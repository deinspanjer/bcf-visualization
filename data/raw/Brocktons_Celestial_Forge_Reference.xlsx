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ssible Perks" sheetId="1" r:id="rId5"/>
    <sheet state="visible" name="Possible Perk Statistics" sheetId="2" r:id="rId6"/>
    <sheet state="visible" name="Obtained Perks" sheetId="3" r:id="rId7"/>
    <sheet state="visible" name="Unabridged List" sheetId="4" r:id="rId8"/>
    <sheet state="visible" name="Europas Forge Perks" sheetId="5" r:id="rId9"/>
    <sheet state="visible" name="Jumpchain docs and perk counts" sheetId="6" r:id="rId10"/>
    <sheet state="visible" name="Possible Felyne Perks" sheetId="7" r:id="rId11"/>
    <sheet state="visible" name="Soundtrack Perks" sheetId="8" r:id="rId12"/>
    <sheet state="visible" name="Future Capstone Perks" sheetId="9" r:id="rId13"/>
    <sheet state="visible" name="Excluded Media" sheetId="10" r:id="rId14"/>
    <sheet state="visible" name="Timeline of Events" sheetId="11" r:id="rId15"/>
    <sheet state="visible" name="AI Perk Names" sheetId="12" r:id="rId16"/>
    <sheet state="visible" name="Perks List Internals" sheetId="13" r:id="rId17"/>
    <sheet state="visible" name="Unfiltered Perk Internals" sheetId="14" r:id="rId18"/>
  </sheets>
  <definedNames>
    <definedName name="MinCosts">'Possible Perks'!$D$2:$D$54</definedName>
    <definedName name="UnsortedPerks">'Perks List Internals'!$B$1:$H$4000</definedName>
    <definedName name="Increment">'Possible Perk Statistics'!$C$25</definedName>
    <definedName name="SBonusJumps">'Soundtrack Perks'!$A:$A</definedName>
    <definedName name="StartingBalance">'Possible Perk Statistics'!$B$25</definedName>
    <definedName name="NoPerkChapters">'Possible Perk Statistics'!$A$68:$A$197</definedName>
    <definedName name="RepeatableRegex">'Possible Perk Statistics'!$B$60</definedName>
    <definedName name="UniqueCosts">'Possible Perk Statistics'!$B$27:$I$27</definedName>
    <definedName name="RemainingCosts">'Possible Perks'!$E$2:$E$54</definedName>
    <definedName name="PerkLineRegex">'Possible Perk Statistics'!$B$61</definedName>
    <definedName name="Rolls">'Possible Perk Statistics'!$A$28:$A$47</definedName>
    <definedName name="QuickReference">'Unabridged List'!$G$2:$G$423</definedName>
    <definedName name="ExcludedJumps">'Excluded Media'!$A$2:$A$82</definedName>
    <definedName name="ClusterTypeStats">'Possible Perk Statistics'!$L$3:$M$30</definedName>
    <definedName name="PerkChapters">'Obtained Perks'!$A$2:$A$998</definedName>
    <definedName name="RollChances">'Possible Perks'!$G$2:$G$54</definedName>
    <definedName name="ClusterCosts">'Possible Perks'!$F$2:$F$54</definedName>
    <definedName name="FullText">'Unabridged List'!$E$2:$E$423</definedName>
    <definedName name="Clusters">'Possible Perks'!$A$2:$A$54</definedName>
    <definedName name="Headers">'Unabridged List'!$H$2:$H$423</definedName>
    <definedName name="CostRegex">'Possible Perk Statistics'!$B$62</definedName>
    <definedName name="PerkAndCost">'Possible Perks'!$K$2:$K$54</definedName>
    <definedName name="Classifications">'Unabridged List'!$F$2:$F$423</definedName>
    <definedName name="ClusterJumps">'Possible Perks'!$C$2:$C$54</definedName>
    <definedName name="RollsLastChapter">'Possible Perk Statistics'!$A$25</definedName>
    <definedName name="ChapterLineRegex">'Possible Perk Statistics'!$B$63</definedName>
    <definedName hidden="1" localSheetId="2" name="Z_B06D9526_9041_47A1_A9AB_C0FFBA911EC4_.wvu.FilterData">'Obtained Perks'!$A$1:$Y$1000</definedName>
    <definedName hidden="1" localSheetId="0" name="Z_EFE262D1_7655_48D3_94C0_8BAB3C2170F2_.wvu.FilterData">'Possible Perks'!$A$1:$I$54</definedName>
    <definedName hidden="1" localSheetId="2" name="Z_9357586C_8896_4309_825E_6AB4287283CA_.wvu.FilterData">'Obtained Perks'!$A$1:$Y$1000</definedName>
    <definedName hidden="1" localSheetId="2" name="Z_6B98E327_B584_417C_BC53_54DBABA9DE02_.wvu.FilterData">'Obtained Perks'!$A$1:$Y$1000</definedName>
    <definedName hidden="1" localSheetId="2" name="Z_E434C564_8EB7_4E17_A210_47A3F8B479B7_.wvu.FilterData">'Obtained Perks'!$A$1:$Y$1000</definedName>
    <definedName hidden="1" localSheetId="5" name="Z_467F0EF2_F6B4_4DA8_9B68_64E3C29AAEA4_.wvu.FilterData">'Jumpchain docs and perk counts'!$D$1:$D$219</definedName>
    <definedName hidden="1" localSheetId="2" name="Z_DA538052_C277_4053_A2D1_2FD425FD6666_.wvu.FilterData">'Obtained Perks'!$A$1:$G$1000</definedName>
    <definedName hidden="1" localSheetId="2" name="Z_ABA9C76C_724C_42BA_88C2_E1FFD8DC8524_.wvu.FilterData">'Obtained Perks'!$A$1:$Y$1000</definedName>
    <definedName hidden="1" localSheetId="2" name="Z_22141074_733D_4B40_983C_A4B6743EBC86_.wvu.FilterData">'Obtained Perks'!$A$1:$G$1000</definedName>
    <definedName hidden="1" localSheetId="2" name="Z_CBB36517_F391_488A_95A0_C11F9D4650E2_.wvu.FilterData">'Obtained Perks'!$A$1:$G$1000</definedName>
    <definedName hidden="1" localSheetId="2" name="Z_36F8C412_717B_49DD_8799_9F5A91F2532F_.wvu.FilterData">'Obtained Perks'!$A$1:$Y$1000</definedName>
    <definedName hidden="1" localSheetId="2" name="Z_5674A1EA_1C18_4F92_8929_14EEB59440BA_.wvu.FilterData">'Obtained Perks'!$A$1:$G$1000</definedName>
    <definedName hidden="1" localSheetId="2" name="Z_E27D1FF7_23DA_410C_8F0B_805C3836AFA9_.wvu.FilterData">'Obtained Perks'!$A$1:$Y$1000</definedName>
    <definedName name="SUPPLEMENTALHEADERS">LAMBDA(perktext, if(len(perktext) &gt; 0, trim(join("", ARRAYFORMULA("_" &amp; char(10) &amp; REPT(FILTER(split(perktext, char(10)), REGEXMATCH(split(perktext, char(10)), ChapterLineRegex)) &amp; char(10), len(split(join("", arrayformula(ifs(REGEXMATCH(split(perktext, char(10)), PerkLineRegex), "1", REGEXMATCH(split(perktext, char(10)), ChapterLineRegex), "~", true, ""))), "~"))-1)))), ""))</definedName>
  </definedNames>
  <calcPr/>
  <customWorkbookViews>
    <customWorkbookView activeSheetId="0" maximized="1" windowHeight="0" windowWidth="0" guid="{22141074-733D-4B40-983C-A4B6743EBC86}" name="Ability Perks"/>
    <customWorkbookView activeSheetId="0" maximized="1" windowHeight="0" windowWidth="0" guid="{CBB36517-F391-488A-95A0-C11F9D4650E2}" name="Entity Perks"/>
    <customWorkbookView activeSheetId="0" maximized="1" windowHeight="0" windowWidth="0" guid="{E434C564-8EB7-4E17-A210-47A3F8B479B7}" name="Fiat Perks"/>
    <customWorkbookView activeSheetId="0" maximized="1" windowHeight="0" windowWidth="0" guid="{6B98E327-B584-417C-BC53-54DBABA9DE02}" name="Set Perks"/>
    <customWorkbookView activeSheetId="0" maximized="1" windowHeight="0" windowWidth="0" guid="{5674A1EA-1C18-4F92-8929-14EEB59440BA}" name="Facility Perks"/>
    <customWorkbookView activeSheetId="0" maximized="1" windowHeight="0" windowWidth="0" guid="{36F8C412-717B-49DD-8799-9F5A91F2532F}" name="Skill Perks"/>
    <customWorkbookView activeSheetId="0" maximized="1" windowHeight="0" windowWidth="0" guid="{ABA9C76C-724C-42BA-88C2-E1FFD8DC8524}" name="Vehicle Perks"/>
    <customWorkbookView activeSheetId="0" maximized="1" windowHeight="0" windowWidth="0" guid="{467F0EF2-F6B4-4DA8-9B68-64E3C29AAEA4}" name="Allowed"/>
    <customWorkbookView activeSheetId="0" maximized="1" windowHeight="0" windowWidth="0" guid="{E27D1FF7-23DA-410C-8F0B-805C3836AFA9}" name="System Perks"/>
    <customWorkbookView activeSheetId="0" maximized="1" windowHeight="0" windowWidth="0" guid="{EFE262D1-7655-48D3-94C0-8BAB3C2170F2}" name="Filter 1"/>
    <customWorkbookView activeSheetId="0" maximized="1" windowHeight="0" windowWidth="0" guid="{9357586C-8896-4309-825E-6AB4287283CA}" name="Analysis Perks"/>
    <customWorkbookView activeSheetId="0" maximized="1" windowHeight="0" windowWidth="0" guid="{DA538052-C277-4053-A2D1-2FD425FD6666}" name="Personal Perks"/>
    <customWorkbookView activeSheetId="0" maximized="1" windowHeight="0" windowWidth="0" guid="{B06D9526-9041-47A1-A9AB-C0FFBA911EC4}" name="Item Perks"/>
  </customWorkbookViews>
  <pivotCaches>
    <pivotCache cacheId="0" r:id="rId19"/>
  </pivotCaches>
</workbook>
</file>

<file path=xl/sharedStrings.xml><?xml version="1.0" encoding="utf-8"?>
<sst xmlns="http://schemas.openxmlformats.org/spreadsheetml/2006/main" count="6165" uniqueCount="2647">
  <si>
    <t>Constellation</t>
  </si>
  <si>
    <t>Name</t>
  </si>
  <si>
    <t>Origin Jump</t>
  </si>
  <si>
    <t>Min Cost</t>
  </si>
  <si>
    <t>Cluster Cost</t>
  </si>
  <si>
    <t>All Costs</t>
  </si>
  <si>
    <t>Chance to Roll (Not counting CP required)</t>
  </si>
  <si>
    <t>Chance to Roll All Constellations</t>
  </si>
  <si>
    <t>Description</t>
  </si>
  <si>
    <t>Perks available</t>
  </si>
  <si>
    <t>Alchemy Constellation</t>
  </si>
  <si>
    <t>Alchemist</t>
  </si>
  <si>
    <t>Farscape</t>
  </si>
  <si>
    <t>600</t>
  </si>
  <si>
    <t>Your knowledge of plants, animals, and chemicals allows you to mix up all sorts of different compounds. Finding cures to rare diseases, synthesizing fuel, and creating powerful hallucinogens, among other things, is a breeze for you.
Possible free perks:
Space Clothes: A stylish outfit that matches your species and or your occupation. The first purchase is free, but further purchases cost 50cp
Spacesuit: A suit that lets you survive in space for a time. The first purchase is free, but further purchases cost 50cp</t>
  </si>
  <si>
    <t>Formula Formulator</t>
  </si>
  <si>
    <t>Secrets of Evermore</t>
  </si>
  <si>
    <t>Learning new alchemical formulas is pretty easy once you've got the basics down. You, on the other hand, can do something much more difficult, and much more impressive. With careful experimentation and tinkering, you can create your own formulas, allowing you to unleash entirely new alchemical effects nobody's ever seen before. Stronger or more useful effects will generally require rarer ingredients, and they usually need to relate to the effect in some metaphorical way, but as long as you keep those rules in mind you'll be coming up with new alchemy in no time.</t>
  </si>
  <si>
    <t>Truth</t>
  </si>
  <si>
    <t>Full Metal Alchemist</t>
  </si>
  <si>
    <t>800</t>
  </si>
  <si>
    <t>Choose to lose either of the four. Your voice, your dominant hand, Your non-dominant arm, or your dominant arm. In return you gain the ability to perform alchemy without a transmutation circle and your knowledge of the science is expanded to the point where you have effectively mastered both simple and advanced Formulae.</t>
  </si>
  <si>
    <t>Capstone Constellation</t>
  </si>
  <si>
    <t>Spectre</t>
  </si>
  <si>
    <t>Mass Effect</t>
  </si>
  <si>
    <t>300</t>
  </si>
  <si>
    <t>Special Tactics and Reconnaissance are agents entrusted with extraordinary authority by the Citadel Council, including the power of life and death over the inhabitants of the galaxy. They form an elite group selected from a number of different species, and their primary responsibility is to preserve galactic stability by whatever means necessary. Though they are generally considered as being above the law and have complete discretion as to the methods used to accomplish their mission, an individual's status as a Spectre can be revoked by the Council in a case of gross misconduct. Having this makes you slightly more permanently charming and intimidating since Spectres are in equal parts romanticized and feared. It also gives you access to training that only Spectres receive. The result being that it gives you a true mastery of your chosen specialization(s). To the same extent as Military Specialization. All of your gear gets upgraded to match your status. You'll be walking around with over ten million credits worth of gear. Only the best of the best. Your exceptional nature acts as a capstone booster for some of the 600CP perks.</t>
  </si>
  <si>
    <t>All Spark Chosen</t>
  </si>
  <si>
    <t>Transformers</t>
  </si>
  <si>
    <t>500</t>
  </si>
  <si>
    <t>You've been selected by All Spark to be Transformer Jesus-Buddha, you’ll become much more likeable and charismatic able to talk your way out of most situations with ease. Additionally the All Spark has given you an insight on life itself this gives you vast amount of wisdom that rivals the greatest Philosopher-Kings. Additionally with the secrets of life in your mind allowing you to create a Spark. Sparks take time to nurture only one every 9 months can be created and machines implanted with a spark become sentient but their mind is like a child’s which will “grow up” in 1 month.</t>
  </si>
  <si>
    <t>Matrix of Leadership</t>
  </si>
  <si>
    <t>You've become a Prime! Greatly increases your physical abilities by huge amounts &amp; increases your ability to lead to the point where you can lead an entire faction without much trouble.</t>
  </si>
  <si>
    <t>Glory to… Me | Glory to… The Legion</t>
  </si>
  <si>
    <t>Percy Jackson</t>
  </si>
  <si>
    <t>800, 800</t>
  </si>
  <si>
    <t>Me: Your divinely related abilities are all massively enhanced to the point that you could fight on par with some mid-tier gods. Using your powers is instinctual and nearly as easy as breathing. Also you gain benefits from your divine parent’s more obscure domains. A child of Hades might find themselves able to call up wealth and ghosts interchangeably while one of Apollo could burn his foes and heal his allies with his mere presence. Using your abilities extensively is tiring though and you should be careful not to wear yourself out too much by summoning a natural disaster where something smaller would’ve worked just as well. Generally the stronger your parent or other source of abilities the more you will get to work with, a child of a minor deity will probably get less but get some additional ways to interact with their parent’s domain. Generally a demigod can fight on par with a non combat focused god of a rank equivalent to their parents with this.
The Legion: Through a quick ceremony of sharing blood and declaring yourself blood brothers with a friend you may grant them a portion of your powers from this jump, you may selectively grant them some of your powers or all of them. Each bond formed dilutes the powers slightly, while it won’t be too noticeable with just you and a couple friends you probably shouldn’t try for an entire army unless you’re willing to deal with the powers being very weak in individuals. Those bonded with you also gain flawless teamwork and the ability to share senses with eachother. You may renounce any of these bonds with a moment’s concentration.</t>
  </si>
  <si>
    <t>Knowledge Constellation</t>
  </si>
  <si>
    <t>Arch-Magos</t>
  </si>
  <si>
    <t>40k Redux</t>
  </si>
  <si>
    <t>Skill in using and repairing arcane technologies including Archeotech and Xenotech.</t>
  </si>
  <si>
    <t>Hard Science</t>
  </si>
  <si>
    <t>Raildex Science</t>
  </si>
  <si>
    <t>You have knowledge of Academy City's science and technology to rival a scientist with a doctorate and several years of experience under his belt. you are much more intelligent, analytical, and can easily keep your cool under pressure and rein in your emotions. You also gain a Doctorate's worth of Regular Scientific knowledge in the discipline of your Choice. You know the inner workings of recoil mitigating systems and powered armor, but your true specialty is the Esper creation and development process. Given enough time, you might just figure out a way to get rid of the randomness inherent in the process and give x person y ability. Training an Esper to help them reach their maximum potential is child's play.
Note: One random Esper power from the Jumpdoc will be rolled when this perk is obtained.</t>
  </si>
  <si>
    <t>Inventor</t>
  </si>
  <si>
    <t>Futurama</t>
  </si>
  <si>
    <t>You are a brilliant (if eccentric) Inventor. You can (within reason) create nearly anything you can imagine if you put in the time. You have a cabinet full of doomsday devices and would be more than capable of slapping together Reverse Scuba Suits for fish or Death Clocks.</t>
  </si>
  <si>
    <t>Pagan Science</t>
  </si>
  <si>
    <t>Senki Zesshou Symphogear</t>
  </si>
  <si>
    <t>You've managed to uncover some of the secrets of old, the very same knowledge that underlies 'Sakurai Theory', the theoretical basis of the Symphogear system. With this knowledge, many of the more mysterious functions of the Symphogears become clear. You can repair and install new functions into Symphogears, that manipulate existing features, like forcing a berserk state or tuning it to raise synchronization coefficients. What's more, your glimpses into Sakurai theory indicate some possibilities of inducing Human-Relic fusion, but to complete the theory you'll need an existing test subject...
Confirmed to come with a free relic.
Confirmed to come with all these perks:
Attuned [Free]
Well, not just anyone can start singing and activate a relic! While there are ways to artificially gain attunement – the LiNKER drug and Human-Relic fusion coming to mind – you're going to gain a high natural level of attunement, allowing you to activate and use a Symphogear without artificially increasing your synchronization coefficient. Be warned though, your synchronization still isn't high enough to completely prevent the backlash from singing your Swan Song.
The Song of Your Heart [Free]
In addition to an improvement to your singing skills and ability to compose songs you are no longer reliant on your mouth to deliver your songs. You may freely sing and speak simultaneously, as your heart broadcasts your song (plus appropriate musical accompaniment) without necessity for such things as atmosphere, breathing, or instruments. This can be freely toggled but doesn't require further concentration once activated unless you wish to use non-Relic based singing abilities alongside it.
Signature Genre [Free]
Something we've noticed amongst the wielders is that the musical accompaniment created by their Gear tends to follow a certain genre unless working in tandem with another wielder. What's that? You don't have one? No problem! See the table below for what your genre begins as, although much like the Symphogear, it evolves over time and with your character. You could easily begin with Celtic music and end with generic pop, but if you still don't like what you have, we'll also let you play any soundtrack perks you might already have.</t>
  </si>
  <si>
    <t>Retro-Engineer</t>
  </si>
  <si>
    <t>Marvel Cinematic Universe</t>
  </si>
  <si>
    <t>Your understanding of technology is so great that you've even learned to get into the basics of tinkering with alien technologies. As long as you take the time to study something and experiment properly, you'll eventually figure out a method for that tech you found. Whether it's taking that weird glowing thing and powering your machines with it, or dismantling an alien robot and putting it into a gun, you'll figure out a use for something as long as you put in time. As a bonus, you're skilled enough in research and experimentation that you're far less likely to break what you're studying on accident.
Possible free perks:
They Call me "Starlord": Using your real name can be so boring at times... or lacks the awe and intimidation you need. Fortunately, with this you can designate a code name or alias that people will know you by, and a great majority of people will associate that name with you. This does not guarantee they will call you that name, but they will know it's a name that belongs to you.
Tactical Suit: A standard bodysuit made of a polymer blend with ten layers of treated composite materials, allowing for state of the art protection. Default appearance of a S.H.I.E.L.D. logo and emblem, but you may choose a different style upon acquiring this.</t>
  </si>
  <si>
    <t>Tech Expert</t>
  </si>
  <si>
    <t>Starcraft</t>
  </si>
  <si>
    <t>You have a full understanding of terran technology, and a proper foundation for understanding alien technology and biology, while you will never truly come to an understanding of zerg biology or protoss technology, the insight you have into them can be used to enhance other technology greatly.
Hostile Environment Suit, you get a basic model for free, each upgrade costs 50cp, the basic model can regulate temperature, and function as a basic life support system, upgrades can enhance wearer's strength, agility, armor, allow for extreme heat and cold. Cloaking and advanced sensors can be bought together for 100cp. Maximum upgrade level including cloaking can be purchased with 250cp and also doubles everything but Sensor range. Cloaking free with Psychic training, maximum upgrade with psychic training is 100cp.</t>
  </si>
  <si>
    <t>The Maddest Science Yet!</t>
  </si>
  <si>
    <t>Tenchi Muyo</t>
  </si>
  <si>
    <t>Slice of Life: Your brilliance is such that you can build amazing inventions to solve all kinds of problems, easily accomplishing feats depicted in pulpy science fiction novels. More importantly however, you gain an absolute certainty in your work. Nothing made by your hands or under your complete direction can harm people (or planets) unintentionally. A comically large mess may ensue however.
Space­Opera: You can create supertech wonders, past mere conveniences into legitimately useful things like advanced starships, ray guns and miraculous devices. You can also enhance technology from other jumps with this skill. Note that trying to build an FTL starship from scratch on an undeveloped world will probably take ten years...</t>
  </si>
  <si>
    <t>Damaged Microchip</t>
  </si>
  <si>
    <t>Terminator</t>
  </si>
  <si>
    <t>While this looks like the damaged CPU from the first Terminator that Cyberdyne used to help build Skynet, it is actually a storage device. This contains information on just about everything that Skynet has ever produced. From the modified T-1 and small Hunter Killers, to the T3000 and Large Hunter Killer Tanks and Walkers. Even information on how to build an AI as advanced as Skynet is in here, along with Time Travel technology. The problem is, not only is the coding not understandable by the average computer, but the damage to it has eliminated some coding. Nothing vital to the schematics, but it is now even harder to piece the information together. It is unlikely to get all of the information out without 100 years of work
Smash those metal motherfuckers Free All
You have recieved several years worth of training on how to fight. Giving you basic proficiency with all the handheld weaponry used in the 1980s to the 2000s. You won't necessarily know the entire ins and outs of the weapons, but you will know how to shoot them reliably. You also have a general idea of what kind of weaponry would be needed to deal with armored targets.</t>
  </si>
  <si>
    <t>Magic Constellation</t>
  </si>
  <si>
    <t>Magitek Mastery</t>
  </si>
  <si>
    <t>Final Fantasy VI</t>
  </si>
  <si>
    <t>In essence, magitek is simply the use of magical energies as a power and fuel source for technology. Your understanding of that outstrips anyone else, and you can now apply this principle to any technology you own. By altering your devices to use something magical in nature, such as a magicite stone, an enchanted item, or just raw magical energy, you can enhance it in every single way and give it unique properties. A suit of armor would become much harder, lighter, and more agile than before, perhaps even boosting the physical abilities of the wearer in line with the magical power source. From there, the armor could make more esoteric uses of the magic, such as casting spells on its own based around the sort of magic infused into it automatically or at the wearer's prompting. This isn't some measly effect restricted to the mundane or basic, no, magic can infused into any sort of technological device to enhance its functionality and give it a partially magical nature and powers. Even life may be infused with magitek technology like this, not only as cybernetics but directly as well. In this situation, it behaves a bit differently. The magic integrates itself into their body, becoming a natural part of them, allowing them access to that magic system and enhancing them physically, but they must grow into it. They start at a much weaker level, where they have to practice and develop their connection to this magic to realize it fully. There's no upper limit to them beyond what the magic's system is capable of, but it can take time, and you can instead choose to infuse living things with a larger amount of magic to grant them greater magical ability much more quickly. Unfortunately, this can have dangerous side effects, as giving them too much to handle at once can lead to mental instability or even insanity, the severity rapidly scaling upwards the more initial energy put in.</t>
  </si>
  <si>
    <t>Self-Made Shopkeeper</t>
  </si>
  <si>
    <t>Recettear</t>
  </si>
  <si>
    <t>On the quest to stock your shop with truly unique wares, you've learned a skill to fuse items, on a level that no mere shopkeeper could manage by themselves. Anybody can sell a pineapple or a banana, but only you can sell a pinenana! Ok fine, it's actually not that simple. The Fusion spell taught to you works well on items which have the same inherent properties, in the case of two fruits, or two swords, and so forth. Shopkeepers can rejoice that the value of the final product is the additive sum of both ingredients, but only one item can serve as a base, while the other item is consumed. That pineapple that I used as a base for demonstration...well now it can be peeled like a banana. That's handy, right? For any item that this is applied to, it will retain a single trait from the sacrificed item. It's almost as if you were breeding items. On second thought that probably isn’t the best comparison to be making.</t>
  </si>
  <si>
    <t>Magitech Constellation</t>
  </si>
  <si>
    <t>Technomancy</t>
  </si>
  <si>
    <t>Mage: The Awakening</t>
  </si>
  <si>
    <t>400</t>
  </si>
  <si>
    <t>Using technology with magic is not a new practice, especially since technology has existed since man first made fire, or tied a stone to a stick and called it a spear. While there are many other mages who purport to merge technology and magic, you do so with such seamless efficiency that it is nearly impossible to tell where technology ends and magic begins. You could tie the triggering of a spell to a computer program, having it take effect when someone tries to open it. Or perhaps you could use your magic to improve the quality of machines, increasing their speed, effectiveness and overall power. Perhaps you could even write out a grimoire, a repository of magical knowledge into a simple graphing calculator. Whatever you do, it will likely be creative and never seen before as the disparate disciplines are masterfully merged under your guidance.
Note: Jumpdoc implies some magical ability is a given.
Possible free perk: Soul stone ​(50 CP) (First one free+optional)­ The soul stone is a physical fragment of your soul, drawn out from the depths of your spirit during an act of deep meditation. It is not
necessarily a stone but it is usually very small and thematically linked with your path. A Thyrssus mage might have a fang or flower, while an Obrimos mage might have a golden ring or rune­covered key. Whatever it is, its effects are the same as it is a literally fragment of your soul made manifest in the fallen world. The soul stone is a powerful tool and may be used as a strong basis for creating an enhanced or imbued item.
Its true strength emerges only after someone has reached mastery in an arcana. Once this is done, the mage may choose to create a demesne; a ritually prepared area in the fallen world wherein vulgar magic does not induce paradox. The size of the demesne and the arcanum that may be cast there are limited by the number of soulstones that are willingly contributed to it, and the paths of the mages that those soul stones belonged to. A single soul­stone could be used to create a demesne large enough to cover a small apartment or underground chamber. By adding more soulstones from different mage’s (to a maximum of five) the demesne will extend over a sprawling estate or series of underground tunnels. While vulgar magic will not trigger a paradox in these hallowed realms, the spells themselves are still subject to disbelief and subsequent unraveling by sleepers observation.
Should someone get their hands on it however, they will be able to siphon magic away from the soulstones owner freely. Furthermore anyone who possesses it will have an incredibly powerful sympathetic link to its owner; allowing them to cast spells at a great distance on them with an extreme chance of success. Finally, soulstones are highly sought after by all sorts of nightmarish entities, from the Tremere Liches evil spirits and demons of the abyss, all of whom would happily destroy or devour the stone for their nefarious purposes. Soulstones are an extreme vulnerability and must be well guarded, lest their owners suffer terrible fates.
Note:
Postjump, you will still incur paradox for using vulgar or overt magic outside of a demesne, but you will no longer be subject to the disbelief of sleepers (nonmagic and nonsupernatural beings) that see you do it. Disbelief will still however be in effect if you travel to and use magic in other WoD based jumps.</t>
  </si>
  <si>
    <t>Crimson Saint</t>
  </si>
  <si>
    <t>Maoyuu Hero and Demon King</t>
  </si>
  <si>
    <t>With sufficient analysis, Magic is simply Science by another name. A spell that causes plants to grow simply increases the flow of nutrients. A machine that generates a static field to generate an electric shock attack is the same as a lightning bolt spell. With this perk, you can comprehend the link that exists between Science and Magic, and with the proper time and resources reproduce a piece of technology as a magical spell or reproduce a magical effect as a piece of technology. For example, you could take a lightbulb, analyze it, understand how it works in its entirety, then create a magical spell that produces the same amount of light when an equivalent amount of magical power is fed into it. There are a few caveats here, however.
First, you must be capable of already replicating the magical effect, spell, or piece of technology on your own, as this power only lets you reproduce a magical or technological effect in its equivalent technological or magical form. If you weren't able to reproduce a magical effect using magic or a technological effect using technology in the first place, this perk will not let you reproduce them in the opposite manner now. Comprehension alone won't cut it, the ability to already reproduce the effects is necessary.
Second, complexity of the magic or technology you wish to reproduce a converted equivalent of is conserved across systems, so the amount of time necessary to reproduce the equivalent in the opposing system will be, at minimum, the same amount of time it would take to reproduce the equivalent in the same system. A highly sophisticated though reproducible multi-layered magic construct or spell will result in an equally complex technological creation that will be equally or more difficult to understand, use, and replicate.
Third, the limitations of the magic or technology are carried over. If you were incapable of using a piece of tech or magic, you will be incapable of using its equivalent. A spell that creates an Elemental without true sentience will not create a thinking, self upgrading AI in its technological equivalent, though reproducing an AI as a magic construct or a self aware thinking magical construct as a technological entity WILL. If a magical entity or technological construct has a soul, so would its equivalent, but you would already have to be capable of reproducing said soul in the original system.
And fourth, converted technology or magic that you give to others will function only if both A: Either you or them (Doesn't have to be both) would be capable of using the original magic or technology, and B: That if a piece of magic or tech requires energy to function, then an appropriate amount of energy is provided to fuel the magic or tech. Draw off a battery or mana capacitor, have it draw off the person's own mana reserves if they have them, have it draw off ambient energy in the air. One way or another, an amount of energy equivalent to the original power requirements must be supplied</t>
  </si>
  <si>
    <t>Digitized Sorcery</t>
  </si>
  <si>
    <t>Fate/Extra</t>
  </si>
  <si>
    <t>The Magi of old had to adapt, converting the dying system of magecraft into something that could be used to their advantage within the Moon Cell. The results of their efforts are the Code Casts, a digital version of magecraft. Much like them, you can now convert magical systems into a technological variant. This will not be instant and will require a fair amount of research for you to accomplish, but it would let you find a new side to existing systems you possess.
Possible free perks:
Free: Datapad This small touchpad will act as a way to store any information you gain on enemy Servants, Masters or your own Servant. It will automatically fill up with any info you already know or learn in the future. 
Free: Brown school uniform A simple, brown and rather drab school uniform. This is the default avatar clothing and most Masters change it. But hey, why change what works?
Free: Classroom As a participant in the Grail War, you'll need a home-base to rest and figure out your gameplan. The server will give you use of what seems to be an abandoned classroom for the course of the war. This room is off limits to other Masters, just as their's is to you, so you can be sure of relative safety while within it. It is not impenetrable however.</t>
  </si>
  <si>
    <t>Magitech</t>
  </si>
  <si>
    <t>Banjo-Kazooie</t>
  </si>
  <si>
    <t>Your technology and magical powers are always fully compatible with each other. You gain a better understanding of both machines and magic, and are quite capable of using one to supplement the other.</t>
  </si>
  <si>
    <t>Guru</t>
  </si>
  <si>
    <t>Chrono Trigger</t>
  </si>
  <si>
    <t>Back in the glory days of Zeal, “Guru” was a title reserved only for the most skilled and knowledgeable of their mages and scientists. You might not be there yet, but when I'm done with you, you'll be well on your way to deserving the title. Magic is akin to a science to you, letting you delve into the secrets of sorcery the same way a physicist would unlock the secrets of the atom. This also includes learning how to apply magical knowledge like an engineer does the sciences, letting you come up with breathtaking magical wonders. The Blackbird, the Mammon Machine, the Ocean Palace - who knows what you'll add to that list of legends.
Known free perk
Gate Key (100 CP, Free All): What a marvelous little device. This mechanism can detect and stabilize rifts in space and time, enabling you to pass through them safely and easily. Such rifts are usually only found where the fabric of time has been disturbed somehow, including by less sophisticated time travel equipment, and without them, this device is effectively useless. One has been paid for, but if you'd like to stock up in case yours is stolen, I seem to have found myself in possession of a supply of them.
Additional possible free perks:
Jumper's Theme (Free): Ever notice how everyone around here's got their own theme song? Huh, you can't hear it? Well, I sure can, and if you'd like, I can hook you up with the Composer to get you your own personal song! It'll fit you perfectly, and start playing whenever you're doing something impressive or cool. You can decide if anyone else besides the two of us can hear it, although nobody's going to think it's unusual or associate the fact that it suddenly kicks into gear with your presence.
Basic Equipment (Free): Weapons... If the world were a better place, there'd be no need for them. Still, as things are, it would be foolhardy to go without them. Your anonymous benefactor has paid for the weapon of your choice, along with a suit of armor, a helmet, and a week's worth of clothing. All except the clothing are made from my own personal blend of steel, and are ighter and stronger than similar items.</t>
  </si>
  <si>
    <t>The Magic of Science</t>
  </si>
  <si>
    <t>The Witcher</t>
  </si>
  <si>
    <t>You can resolve the issues between magic and science, and while this does not increase your magical or scientific ability, you are able to make quite a few discoveries by combining the two and experimenting
Horse Riding­ (Free)­ You can ride a horse proficiently and with no difficulty. Horses will trust you more easily.
Map ­(Rated Free for everybody)­ A map of the unnamed northern continent. All cities towns and countries are labeled distinctly.</t>
  </si>
  <si>
    <t>Personal Reality Constellation</t>
  </si>
  <si>
    <t>Classroom</t>
  </si>
  <si>
    <t>Personal Reality</t>
  </si>
  <si>
    <t>50</t>
  </si>
  <si>
    <t>This provides your Reality with a large classroom for you and your companions to use for teaching and learning new things. It is outfitted with all the basic classroom equipment like tables and writing board. If you’ve Got the Powa, this includes A/V setups and personal computers, and with Pipes, Pipes, Pipes it includes lab equipment. With any of the Food Options it includes cooking tutorial equipment, with a MedBay it includes first aid and medical education supplies, with workshops it includes a teaching workshop of the same kind. Whenever you acquire new technology that could be beneficial to teaching, the Classroom automatically updates to include it if you have Central Control. Also provides basic supplies for all students and slightly boosts teaching aptitude for the teacher, as well as learning speed and concentration for students. All possible safety equipment is automatically installed at no extra cost. Each classroom can seat up to 50 students comfortably. If you have Jump Recording, the classroom can replay all previous classes for new students.</t>
  </si>
  <si>
    <t>Entrance Hall</t>
  </si>
  <si>
    <t>This is the room your Access Key opens a door to. It starts off as a 5 meter cube with blank white walls, floor, and ceiling, as some doors, one leading to the current Host Reality, the other into your Cosmic Warehouse, with additional doors leading to other extensions as these get added to your Personal Reality. Feel free to customize this Entrance Hall as you see fit. Additional Halls can, at your discretion, be linked only to certain keys or only to certain extensions. This allows you to have an entry hall just for skiing if you want.</t>
  </si>
  <si>
    <t xml:space="preserve">Garage Upgrade | Parking Station | The Big Garage </t>
  </si>
  <si>
    <t>50, 100, 300</t>
  </si>
  <si>
    <t>Garage Upgrade(50) Boosts each slot by a factor of 10.
Parking Station (100): This Garage Upgrade adds 8 additional parking stations to your garage, multiplied by 5 for every Starting Size Increase you purchased above.
The Big Garage (300) Have some vehicles that don’t exactly fit in the Garage? Say... The Enterprise? Light of Terra? Dahak? A Galacti World Ship? The Big Garage can handle it. You start with 4 dry docks, each large enough to house, well, anything. Each additional Starting Size increment doubles the number of dry docks.</t>
  </si>
  <si>
    <t>Music Collection | Movie &amp; TV Series Collection</t>
  </si>
  <si>
    <t>50, 50</t>
  </si>
  <si>
    <t>Music Collection (50): You receive a collection of 500 albums (EPS or LPS) based on personalized criteria such as genre, artists, or themes (big band, love songs, acapella, etc.). Liner-notes, sheet-music, and creator commentary / explanations are provided, as well as live performances, remixes, and covers. Total guaranteed run time not to be less than 2,000 hours. Every month you’ll get a new album. This can be purchased multiple times and only music from previous Host Realities is available. If you find that, upon listening to an album for the first time that you do not like it, it will be replaced... but since perfect memory perks are a dime a dozen, asking for a replacement will result in a mental block being placed over the music. You’ll still be able to remember you heard that album and didn’t enjoy it, but not the actual music. This block is fiat backed until you hear the album again someplace else or gain your spark.
Movie &amp; TV Series Collection (50): Functionally identical to the Music Collection, but instead containing 15,000 hours of recorded passive visual media, all in a format your systems can play. All are available in their original languages, with subtitles that are below the bottom of the image and high visibility, with commentary explaining any cultural or production notes, with creator and actor commentary where possible, and with perfectly done dubbing into a language you speak like a native... or rather all languages you speak like a native... and this dubbing sounds exactly like the original actors. Every month you’ll receive 12 hours of new media.</t>
  </si>
  <si>
    <t>Office</t>
  </si>
  <si>
    <t>A personal office specifically for you, so that you can perform your white collar paper-shuffling in relative privacy. A decent sized office, it comes with all the basic supplies and equipment, such as notepads, paper clips, ink pens, filing cabinets and a desk. If you purchased Computer Hub it comes equipped with computer equipment as well. If you have VOWP it has a phone with an outside line that always direct dials whoever you want to reach in your current Host Reality... even if they don’t have a phone... you may not use this ability to locate them or translocate to their location or tag them with any power or ability or technology. You can ask them where they are, but they don’t have to tell you. This office has the effect of slightly boosting your focus, reading speed, reading comprehension, and retention rate, but only as long as you’re alone in it. Alternatively, it can be set up as a cubicle farm with 20 individual cubicles.. but honestly... why would you? If you do, each cubicle gets a potted plant, an executive desk toy involving magnets or chrome balls, and a japanese lucky cat statue sized to fit on a desk. All are completely mundane. Additional purchases are allowed, each adding the next Fibonacci number of offices (or 20 cubicles per office). Thus, the second purchase will get you a second office, while the third purchase will get you 2 more offices, and the fourth will get you 3 offices and the fifth will get you 5 offices... please tell me you aren’t seriously going to waste WP on OFFICE SPACE? What part of ‘Keep this entertaining’ escaped you, CPA Man!?</t>
  </si>
  <si>
    <t>Rooms for Cheap | Seraglio | Nursery | Grand Dining Hall | Connecting Doors | Servant's Quarters | Unique Servants</t>
  </si>
  <si>
    <t>50, 200, 100, 200, 200, 200. 100</t>
  </si>
  <si>
    <t>Rooms for Cheap (50) If you feel you need more rooms for whatever reason, say to add a pillow lounge to every house, you may purchase them here. Every purchase of this adds an additional room for every kitchen... but you don’t have to be even in the distribution. If you want a special guardsmen building, you could stick 10 rooms together to make a giant barracks. Everytime this generates a fourth room for you, it also generates a bathroom. Every 200 rooms generated by any number of copies of Rooms for Cheap will generate an industrial food preparation venue (i,e, a mess hall). Unlike other options for Housing, if you choose not to assign these rooms to your main Housing, you can spin them off into their own extension or attach them to other extensions you might have as long as that extension allows storage.
Seraglio (200) Do you want an old fashioned Harem? Or just to have a place in your Warehouse that looks like you might have a Harem? This is for you. A huge open courtyard surrounded by room-sized alcoves perfect for crafts and sleeping or maybe a little fun. The area is always pleasant, beautifully scented and full of soft music and laughter, and everyone in it always seems extra beautiful and well groomed. It is a place of enjoyment and contemplation, a place to get away from the world, and time spent here relaxing always takes 1/10th the amount of real time that it seemed to take. Comes with a large central fountain that has water that smells of roses or honeysuckle and tastes as sweet as summer dew.
Nursery (100) Planning on starting a family? Just enjoy collecting infants? Either way, this Housing Upgrade is for you. The nursery Comes with all the equipment needed to deal with a (theoretically transfinite) number of infants and toddlers. It even has uterine replicators just in case no one wants to get fat or have to deal with all the pushing and screaming. The Nursery Upgrade will either be a stand alone facility or will hook each house up with its own smaller nursery. If you have food supplies, they will be adapted to the optimal dietary needs of the children, and packaged into child-friendly packages. If you have robots, diaper-changing robots will be included. Otherwise, the furniture in the nursery is dependant on the quality of your housing and is guaranteed child-safe and friendly.
Grand Dining Hall (200) This Housing Upgrade provides you with your own personal Valhalla, which absorbs all food purchases you have made and displays them on platters and sideboards, always perfectly fresh, always at the ideal temperature. The hall is enormous, as large as the number of guests would need, with room left for dancing and fighting and contests of prowess and might. Always clean and decorated to your current tastes.
Connecting Doors (200) These doors come in pairs and can connect any two parts of your Personal Reality... or one part of your Personal Reality and anywhere else you install it... You must be physically at the location you desire to install it and once installed the Door cannot be removed by anyone or anything. The link remains and requires no key to open, no matter where you go. This means that the reality you installed the door in progresses on the Personal Reality’s internal Clock, even after you leave it, even if the door is currently closed. It also means that those on the other side can open the door without your permission, so be careful where you put it. Breaking the Connection can only be done by taking a -100 CP hit to your starting CP in another jump and causes the Connection to decay over the course of that jump. You get your door back at the end of the jump... if you haven’t changed your mind. If you do... no CP refund. Sorry.
Servants’ Quarters (200) You now have a staff of utterly loyal, attractive, attentive, immortal, and utterly defenseless servants. How many? Enough to do the cooking, cleaning, and other household chores as you might assign them. Assume your number of Followers (Companions, Children, other Hangers on) plus 50%. They’re fully competent but not exceptional in any way except for presentability and discretion. They never protest being mistreated and recover from any injuries within 6 hours. Upgrading them in any way turns them into companions. Unless upgraded, they don’t have souls and if you kill one, say to turn his body into a zombie, it will take a week for him or her to respawn, you necromantic weirdo.
Unique Servants (100) By default your servants are soulless humans, but with this upgrade to Servants’ Quarters you can make them into any type of servants that you want - fleshy homunculi, zombies, metallic robots, animated teddy-bears, house elves, anything is allowed, even mix and match different types. Just keep in mind that they remain soulless and can’t be in any way exceptional except for presentability and discretion. This holds true even if you upgrade them into companions, so no using this as a shortcut to get house elves with their exceptional wandless magic. Once upgraded to companions, any improvements are on you and are limited by your abilities or what you allow them to buy with CP, just like any other companion.</t>
  </si>
  <si>
    <t>Starting Collection | Expanded Collection | Esoteric Collection</t>
  </si>
  <si>
    <t>50, 50, 100</t>
  </si>
  <si>
    <t xml:space="preserve">
Starting Collection (50) This Library Upgrade gets you pre-stocked with books you would expect to find in an average town or school library, with a nice spread of books on a variety of topics and in a language of your choice. This comes with 10,000 individual fiction titles and three times that number non-fiction titles covering all normal real-world subjects. Most of the books will be best sellers or classics (80%) and will cover the last hundred and fifty years or so. The other 20% will be more esoteric works, but seldom anything particularly obscure or rare. In addition to scholarly works and literature, you’ll also get a periodicals section similar to that of a town library, containing several thousand assorted magazines and newspapers. This can be purchased up to five times, each time increasing the number of titles in all three categories (fiction, non-fiction, periodicals) by a factor of ten. Additional purchases only cost 50 WP. This is the only Library Upgrade that includes fiction from ‘the real world’.
Expanded Collection (50) This Library Upgrade specializes your library in a specific way, adding books on specific topics, things that you would expect in specialized university libraries. Each purchase of this comes with 60,000 specific titles in the language of your choice (even if such works have never been published in your selected language). The more specific a topic you pick, the more specific these books will be. So picking Biology as topic will get you books ranging from everything on animals, plants, anatomy, genetics, microbiology and ecology, while picking entomology as topic will give you extremely detailed books about different types of insects, their physiology, and so on. Choosing a specific culture multiplies the number of titles gained by the square root of the number of centuries that culture has existed. Extinct cultures do not generate this bonus. The subject must be one from the real world, but do remember that there are thousands and thousands of real world books on the occult, so it’s not unlikely you can find what you like. Each expansion also comes with specialized journals, magazines, and other periodicals on the topics. This does not include fiction. For each purchase of this Upgrade, once per month, you can request a very specific sub-topic related to the core topic (e.g. architecture... of the Louvre, history... of trade on the Yangtze, quiltmaking in the 1880s, etc.). You’ll receive a dozen books on the subject... assuming a dozen such books exist in the real world and are reasonably available (not unique or exceptionally rare).
Esoteric Collection (100) This Library Upgrade is functionally identical to Expanded Collection, but it is not limited to real world subjects. To be eligible, a subject must be one that is widely known in any setting you have visited. This can include fiction, but only fiction from universes you visit.</t>
  </si>
  <si>
    <t>The Big Pool | The Bigger Pool | Let's Have Fun</t>
  </si>
  <si>
    <t>50. 50. 100</t>
  </si>
  <si>
    <t>The Big Pool (50) This requires Pipes, Pipes, Pipes. An Olympic Water Park (diving pool, swimming pools, warm-up pools, etc) is added to your Personal Reality. The pools upgrade with all the newest tech if you have Central Control.
The Bigger Pool (50) This Big Pool Upgrade adds a lazy river and an entire indoor beach complex to your Aquadome. You know, like they have in Japan. Because those things are absolutely titanic, the footprint of this will not be taken from your available area unless you’ve bought three or more size upgrades to your Starting Size. Don’t try to store things in here... they’ll get very wet and sandy.
Let’s Have Fun (100) This Big Pool Upgrade adds waterfalls, jumping decks, and other similar stuff for your pool complex, including a wave pool and a dozen different water slides of the kind you’d find at the best water parks. This includes small coves for more private types of fun, or massaging pool for relaxing water massages.</t>
  </si>
  <si>
    <t>Windows of Nostalgia</t>
  </si>
  <si>
    <t>Windows of Nostalgia (50) This Windows Upgrade now lets you set Windows to show scenes from previous jumps, although limited to views that happened during those Jumps' durations, nothing that happened before or afterwards.</t>
  </si>
  <si>
    <t>All Your Stuff</t>
  </si>
  <si>
    <t>100</t>
  </si>
  <si>
    <t>All Your Stuff (100): This nifty little one time purchase allows you to bring everything you owned back in your Origin Reality with you and gives it fiat backing. Note that this not only includes everything you owned just prior to your Jumpstart moment, but everything you’d ever owned prior to that moment. Does not include consumable / disposable items such as fuel, food, health-care products, or non-collectable cash. It also excludes land, businesses, and homes... but not any of the furnishings, so you’d end up with cabinets and sinks and fixtures. Included are all items that you would be considered a significant part-owner, such as, say, for instance, the family entertainment center, or the family car, or grandpa’s ashes. It wouldn’t include things like ‘your mom’s car’ that she bought when you were sixteen after she gave you her old junker or things that you were only de-facto owner of, like your company’s car that was given to you for your use. Also excluded are anything you own shares of. You’d keep your shares for all they’re worth, but not be able to say, bring along the Ford Motor Company simply because you own a thousand B-Shares. Very specifically, this does not include any sophont beings (anything more intelligent than your very smart domestic dog or cat or parrot). No Great Apes, Elephants, Dolphins, Whales, AI’s, Sapient Toys, or Slaves of any species. Thankfully, stuff that is clearly garbage will not be included, but if you’d value it and you owned it, it’ll show up, as good as new... unless you want it in a specific condition for some reason.
Pets (Free): You want to bring your dog along, as well as the cat that was a family pet? Goldfish, other fishes, a pair of horses, that hamster you rescued from being duct-taped... Slow down! Any animal that you were personally the owner of, or that you could be considered its significant part-owner, like a family pet cat, you can now bring along as well. Any animals brought along this way will be kept in the prime of their lives and healthy, and should they for manage to get themselves killed they will be restored back to life and full health in 24 hours. Does not come with any food for them, though, so you will need to figure out something else for this. Other requirements of All Your Stuff apply. This will restore pets that passed on before you started on the chain to life just before restoring them to prime of life condition, but their memories (such as they have memories) will be of their entire lives.</t>
  </si>
  <si>
    <t>Eye Spy</t>
  </si>
  <si>
    <t>Are you a peeping tom? Or are you simply hypervigilant? Well, with this PR Enhancement, you can now view anything happening in your Personal Reality, or anything that’s happened in the last day, PR Time. Keyholder Companions can establish blackout zones around themselves, blocking out your ability to view the room they’re in or an area 20 meters radius around them. You’ll be notified whenever they do so. With Jump Recording below, the one day limit is removed and you can view anything that has ever happened in your Personal Reality.</t>
  </si>
  <si>
    <t>Garden | Park | Meditating Corner | Courts</t>
  </si>
  <si>
    <t>100. 50, 50, 50</t>
  </si>
  <si>
    <t>Garden (100) A garden in your Personal Reality, small place filled with aesthetically pleasing flowers, bushes, trees and decorations like fountains and garden gnomes. Comes with benches for you to sit on and relax, with birds singing from branches and butterflies fluttering around. Perfect for a bit of a break away from hassle of busy life.
Park (50) This Garden Upgrade turns it into a park, with paths through it that are perfect for running and skating, and grassy areas ideal for throwing around some frisbee. Maybe you could hang a hammock among these trees?
Meditating Corner (50) This Garden Upgrade adds several hidden corners and alcoves that are perfect for meditation, being calm and relaxing. You're guaranteed never to be unduly disturbed while meditating in one of these spots and time spent meditating is quadrupled.
Courts (50) While the Park is great, not all varieties of sports can be freely played on open grass. Soccer and football might be possible with some personalized rules or some chalk, but games like tennis and basketball are probably right out. With this Garden upgrade you’ll find a couple of tennis courts, handball courts, and a basketball court have been added for you and your companions to enjoy playing all sorts of games.</t>
  </si>
  <si>
    <t>Hollow Earth</t>
  </si>
  <si>
    <t>If you want your Warehouse walls to look like a cave or the inside of an O'Neill Cylinder or a weird Mobius Room, this is the option for you. It’s your choice if this means your walls actually loop around to the ceiling or not, but if they do, passing the midline means you fall up instead of down and there’s an area of null-gravity at the center / axis of rotation / whatever.</t>
  </si>
  <si>
    <t>Mall | More for More | Mall of All | Jump Topic</t>
  </si>
  <si>
    <t>100. 50, 100, 200</t>
  </si>
  <si>
    <t>Mall (100) You now have an entire mall in your Personal Reality, which starts out with 15 average-sized shops. These shops include at least one bookshop, one pet shop, one drug store with pharmacy, three clothing stores, one shoe store, one computer &amp; games shop, one grocery store and one fast food restaurant. You can pick the general theme of the five remaining shops within the mall yourself or leave it to chance. Merchandise sold in these shops is comparable to merchandise normally sold in shops in your current jump. Any currency available in your current Host Reality is required to make purchases in these shops. The mall is kept clean and filled with merchandise by automated system, unless you’ve purchased Servant Quarters, in which case it gets staffed by additional servants.... alternatively, if you and your companions have children, you may require them to staff the shops to earn an allowance. No shops that could not normally be found in your Origin Reality. A shop from one Host Reality may be locked in so that it won’t change when you leave that Host Reality. If you ever decide to change it, that shop will close immediately and a new one will take its place at the start of your next jump. All such stores have limited daily stock, and no storage space for more... but they’ll restock popular items daily and less popular items weekly. If something doesn’t sell, they’ll eventually stop carrying it, but there is never a ‘oh, you buy this much often! We jack up price!’ function. If you’re an ass, you can charge everyone who isn’t you a tax on anything they buy here, but you’re taxing your friends and followers.
More for More (50) This Mall Upgrade adds an additional five shops to your mall, or upgrades the existing shops from low end common shops to upscale shops or from upscale to high end shops. Think the difference between a working class neighborhood mall and a white collar neighborhood and one in a highly affluent neighborhood mall.
Mall of All (100) This More for More Upgrade requires you to have bought More for More enough times to have 65 Shops in your Mall... and doubles the number of shops. This can be bought as many times as you like, and each time it adds twenty restaurants to your mall. They will be 10 common eateries (fast food, cookies, ice cream), 5 cafes, 3 mid-scale, and 2 upscale. Nothing that would get a Michelin Star, but something on the order of an expensive chain steakhouse or fancy french restaurant.
Jump Topic (200) After every jump concludes, your mall gains a general store specific to that jump’s reality that carries commonly available consumer goods and pre-packed food items indicative of that reality’s cuisine. Think convenience store bentos or carry out chinese food. Also carries spare parts for mundane equipment from that reality. If you’ve used More for More to upgrade the general level of your shops, the Jump Topics will also be improved, carrying higher end goods and food.</t>
  </si>
  <si>
    <t>Security Personnel | Automated Weapons Security System | Partition Plan</t>
  </si>
  <si>
    <t>200, 200, 100</t>
  </si>
  <si>
    <t>Security Personnel (200): This Security System Upgrade provides your Personal Reality with security personnel, which ensure nothing untoward happens within your Personal Reality. To successfully execute their tasks they will have unlimited access to the entire extent of your Reality. Since they can only use equipment, anyone powerful enough to challenge you or your companions will probably trash them, but they should have little problem with mooks, especially as they have access to your Arsenal. Security Personnel will not attack a Keyholder.
Automated Weapons Security System (200): This Security System Upgrade adds automated weapon security systems to your Personal Reality. Useful for keeping invading enemy forces from easily overwhelming systems or personnel. You’ll need to supply the weapons, but this will provide ammo and targeting systems for the shooting and maintenance and repairs for between the shootings These weapons will not fire on a Keyholder... but can fire very very very close to a Keyholder.
Partition Plan (100) This Force Wall Upgrade allows you to set up internal force-fields throughout your Personal Reality. If you have Central Control, they can even be customized with different levels of security. Be aware, a Keyholder’s access cannot be be blocked by these fields.</t>
  </si>
  <si>
    <t>Wellness Center | Bath and Body Works</t>
  </si>
  <si>
    <t>100. 50</t>
  </si>
  <si>
    <t>Wellness Centre (100) This provides your Personal Reality with a size-adjustable complex in which you and your companions, followers and hangers-on can enjoy private or semi-private massages and other types of spa pampering. It’s fully equipped with all the most useless and pointless ‘therapy’ types, but it requires purchase of Servant Quarters to keep it staffed, otherwise you’ll need to come up with your own solution to get it staffed. This requires Environmental Controls, Water, and Electricity.
Bath and Body Works (50) What’s a Wellness Centre without a Spa and Roman Baths? This Upgrade to the above facility provides you with a huge sauna (with or without large burly Russians or Finns to beat you with leaves) including a large snowdrift and ice pond to jump into after your steam, as well as a dozen different Roman-style, Japanese-Style, and Chinese-Style bathing pools of all different temperatures to relax in. Guaranteed to be cleaner than clean and extremely foggy.</t>
  </si>
  <si>
    <t>Workshop</t>
  </si>
  <si>
    <t>Each purchase of this adds to your Personal Reality Workshop needed to perform specific type of craft, which is to be specified when purchase is made. It comes with a basic set of tools and supplies. Good for fixing or creating all sorts of things, although any complex parts or nonstandard supplies will have to be brought in from outside. Additional purchases can add different types of Workshops to your Personal Reality or expand existing ones. Anything built in one of those workshops is fiat backed to be restored to its original condition within 48 hours if damaged or destroyed.</t>
  </si>
  <si>
    <t>Additional Space | Additional Space (Loft)</t>
  </si>
  <si>
    <t>200, 200</t>
  </si>
  <si>
    <t>This Starting Space Upgrade expands your Personal Reality by a factor of 10 in each dimension... or rather the standard three dimensions, you rabid cheeselord. This can
be purchased multiple times. Additional Space also upgrades various expansion options. The first purchase of this brings you to 64 Million Cubic Meters, then 64 Billion Cubic Meters, then 64 Trillion Cubic Meters. Earth’s volume, for reference, is 1 Hexillion Cubic Meters and it’s surface area is 510 Quadrillion Square Meters. Cover the Earth in storage facilities 100 meters high and you get 51 Quintillion Cubic Meters of Storage space.</t>
  </si>
  <si>
    <t>Environmental Controls | Improved Regulation</t>
  </si>
  <si>
    <t>200. 400</t>
  </si>
  <si>
    <t>Environmentally Neutral (Free): By default, the temperature in your Personal Reality is never too hot nor too cold, the air will always smell faintly musty but scent neutral, and the air will always be breathable... even if two different species with different atmospheric requirements are present in it at the same time.... well, as long as both species are there with permission. This won’t protect breathing invaders. Earth Standard Gravity will be maintained in all areas, and the air will be just humid enough.
Environmental Controls (200) Not only does this allow you to control the temperature inside your Personal Reality... it allows you to change the temperature, humidity, ambient noise, gravity, and airflow to any and all parts of your Personal Reality independently. Want a one meter cube of freezing cold nothingness surrounded on all sides by temperatures that would be fitting for soup? Go for it. This can change the gravity from 0.00001 gees all the way up to 8 gees, the temperature anywhere from -40 °C all the way up to 180 °C. Comes with a tablet that has all the system controls you’ll need and a big ol’ box of wireless thermostats. The direction of gravity can be easily manipulated in whole or part of your Reality. So if you want to build a Labyrinth style room with doors and stairs going every-which-way, feel free.
Improved Regulation (400) Unhappy with the limits of Environmental Controls? This gives you a much greater range. How much greater? You can control the ambient noise level to generate sounds anywhere between -10 decibels and 160 decibels. Temperature-wise, you can range from absolute zero to 15,000 degrees. Gravity-wise, you can completely negate gravity or ramp it up to what is common on the surface of a neutron star. Humidity? Anywhere from 0% to 150%. That’s not a very dense fog, that’s active rainfall... though this last requires Pipes, Pipes, Pipes or a very large amount of water in your Personal Reality. As for airflow, you can have F-5 scale winds if you really want them. Hell, go nuts, have the kind of winds only seen in gas giants, the kinds that make an F-5 tornado seem placid. Think Coriolis Winds in excess of 800 kilometers an hour.</t>
  </si>
  <si>
    <t>Game Room</t>
  </si>
  <si>
    <t>200</t>
  </si>
  <si>
    <t>So much free time, so little to do. This room is the answer to that. Not only is it equipped with 6 networked PCs customized for gaming circa the year you came from, it has up to 12 real world gaming consoles and any gaming network required to connect them. The furniture matches your general housing level but will always be at least comfy beanbags. In addition to the PCs and Consoles, you’ll also get a dozen real world arcade cabinets (up to four of the same machine may be counted as a single machine for multiplayer games), a pool table, a billiards table, a two lane bowling alley, a darts set up, and up to six other game specific tables, including table top board games and RPGs. The room comes with a mini-fridge and microwave if you have Powa. And a room for games wouldn’t be very much use without games, so you may select 250 games from the real world to have up to 6 copies each of, and you gain 6 copies of any one new game from the real world or any setting you’ve been to (all DLC or expansions included) every month. Free of charge. No magical or other-wise powered games included. If you also have the Entertainment Room the two can be combined to turn the rooms into personal gaming rooms using the Game Room equipment.</t>
  </si>
  <si>
    <t>Jump Recording</t>
  </si>
  <si>
    <t>You’re now the star of your very own reality TV program! Invisible, intangible cameras follow you everywhere and record everything that you and your companions do. These recordings are then edited for maximum viewability and compiled and cross indexed. What happens next depends on if you bought the limitation ‘Big Benefactor’. If you did, you get this for free. If you didn’t, you have to pay for it. Either way, you get the copies of the footage, both raw and edited. If you have Big Benefactor... you also get the edited footage of the show that they made for it, audience feedback figures, and all the rest. (See Big Benefactor for details.) Does not come with any equipment suitable for watching the footage.</t>
  </si>
  <si>
    <t>Medical Bay | Counseling Bay | Cybernetics Bay | Nano-Medical Lab | Bio-Synthesis Lab | Body Mod Pod</t>
  </si>
  <si>
    <t>200. 200, 200, 100, 100, 100</t>
  </si>
  <si>
    <t>Medical Bay (200) Fully functional medical bay that can fix up anything that still has a pulse or equivalent. Does Dentistry too. Also provides detailed accounting of person’s medical history. This will not repair genetic defects or replace / repair cybernetics and possesses no ability to differentiate between beneficial and harmful nanites or implants without you providing that information to the system. Works on animals as well. By ‘Fix Up’ we mean complete repair to full function, not patch up.
Counseling Bay (200) And how does that make you feel? Helps you work through any issue. A couch, and solid light therapist are included, but not mandatory.
Cybernetics Bay (200) This Medical Bay Upgrade allows your Medical Bay to repair and replace damaged cybernetic and biomedical implants. All CyBay installed cybernetics have fiat backing.
Nano-Medical Lab (100) This Medical Bay Upgrade allows the Medical Bay to tell exactly what every nanoscale contaminant inside a living body does and, optionally, remove them without causing harm to the host. The NML can also replicate and administer Medical and Augmentation Nanites as long as you have the materials and requisite know how. All NML administered Nanites have fiat-backing.
Bio-Synthesis Lab (100) This Medical Bay Upgrade covers all serums, viruses, bacteriological agents, and other chemical, genetic, or retroviral repair and boosting sciences, giving the results fiat-backing. Does not provide any knowledge base.
Body Mod Pod (100 Ever wanted to run a Companion or friend through the Body Mod? Now you can. Have fun. This pod is infinitely reusable as long as each person only uses it once. People using this get access to the same Body Mod Supplement as you used. You can’t use this to run yourself through Body Mod again. Anything that lacks a humanoid form can be given one by this machine.</t>
  </si>
  <si>
    <t>Menagerie</t>
  </si>
  <si>
    <t>During your Jumpchain adventures you will undoubtedly acquire a plethora of animals, be they pets, mounts, or livestock. Everything from dogs and cats to horses, oxen, emu, or chocobos... Unfortunately, such animals need space... often a great deal of it it. Well, this improvement provides your Personal Reality with a nearly perfect place for each of them to go and a steady supply of feed and drink. Each Animal receives a spacious living area in your Menagerie, something large enough and varied enough that they’ll be able to exercise and amuse themselves. While this area is not boundless, and it cannot be used for storage or exploited for resources, it will mimic their natural environment and can cover dozens or hundreds of square kilometers. Multiple animals can share an environment if they, in fact, can share an environment (zebras and lions for instance). The area of your Menagerie is not taken from your Starting Size and is completely separate, but each purchase of Additional Space increases the total number of environments by 10 and you start with 10, each of which maxes out at the size of Portugal.</t>
  </si>
  <si>
    <t>Portal Link | Additional Portal | Portal Control Rod | Portal Apeture</t>
  </si>
  <si>
    <t>300, 100, 200, 100</t>
  </si>
  <si>
    <t>Portal Link (300) This Portal Upgrade allows you to open a portal from inside your Personal Reality leading to anywhere in the current Host Reality that you’ve already been to. With this upgrade, you can now close the Personal Reality Door or Portal while inside your Reality and may open up to two portals at a time. Purchasing this does not include Key Link. 
Additional Portal (100) This may be purchased multiple times
Portal Control Rod (200) This Portal Upgrade gives you a special device very much like a laser pointer that can be summoned instantly into your hand. Instead of having to directly physically touch a surface to open a portal, all you need do is point at any appropriate surface and a portal will open at that location. To make a bigger portal, simply hold down the activation button longer. Handy if you’re running a kidnapping ring. The Rod works at up to 10 kilometers distance.
Portal Aperture (100) This Portal Upgrade allows you to shrink your portals down to planck scale or open them up to 8,000 square meters and increases the rate of expansion / contraction by a factor of 10. Additional Purchases will increase the maximum portal size to 80,000, then to 800,000, then to 8 million square meters. The expansion / contraction rate increases by a factor of 10 each time. The Portal shrinks to functionally no size, absolutely no size, and then conceptually no size. If you need it smaller than that, a fifth purchase will make it memetically as small as the number of fucks I give on the subject.</t>
  </si>
  <si>
    <t>Recyclotron | Fabricator</t>
  </si>
  <si>
    <t>200. 200</t>
  </si>
  <si>
    <t>Recyclotron (200) This option adds a matter recycler to your Personal Reality, which will break down any biological waste into compost, clean all water run through it, and transform any non-organics back into their basic compounds or elements. The Recyclotron can handle the waste output of a major city like Paris or Mumbai. If you have Maintenance Systems, they will dump garbage into it for you.
Fabricator (200) This Recyclotron Upgrade turns any raw materials harvested by the Recyclotron into anything you have a blueprint for. Adding a blueprint is as simple as tossing a sample of any item you know how to make into the Recyclotron. Anything made by the fabricator will be a perfect physical copy of what was dumped into it. This does not include any metaphysical properties and you’ll have to supply all required materials.</t>
  </si>
  <si>
    <t>Stasis | Sectional Time | Eternalizer Level 1 | Eternalizer Level 2</t>
  </si>
  <si>
    <t>200, 200, 200, 200</t>
  </si>
  <si>
    <t>Stasis (200) This Upgrade for Temporal Controls allows you to set chambers to total temporal stasis if you like... or set your entire Personal Reality to Temporal Stasis while you’re not there.
Sectional Time (200) This Upgrade to Temporal Controls means you can now install fast or slow time chambers inside your Personal Reality. These can be anything from 1:100 to 100:1 and you are allowed to make use of them, but the time spent inside such an accelerated or decelerated chamber still counts only as the amount of time that passed in the host reality. Stasis still cannot be used while you’re inside the Personal Reality for obvious reasons. You age at the rate you’re personally experiencing time.
Eternalizer Level 1 (200) This Temporal Controls Upgrade keeps anything you bring into your warehouse from decaying or aging unless it is a living organism more complex than a normal insect. If combined the Security System (yes, we know it’s free, but you might not have taken it for some reason), this will auto-detect any kind of pest species or lifeform and stop them from maturing at all. Thus no mold growth, no larval maturation, etc. You’ll still have to hunt down and kill any individual bugs or beasties, but they won’t reproduce.
Eternalizer Level 2 (200) This Eternalizaer Upgrade means that nothing inside your Personal Reality ever ages unless you actively want it to. Thus, your wines and cheeses can age, but your books won’t. If you have Maintenance Systems, the Personal Reality will auto-detect the exact right degree of aging for anything within and never allow it to age past that unless you specifically instruct it to do so. Why? Because with the Eternalizer, you could leave a slice of bread out on the counter for a billion years and it wouldn’t go stale... stale bread is useful if you want to make good french toast. All non-authorized lifeforms can be automatically aged to dust, assuming they would normally die of old age, though this doesn’t work on anything more advanced than a baseline human.</t>
  </si>
  <si>
    <t>Tashi Station</t>
  </si>
  <si>
    <t>Did someone say ‘Power Converters’? This Upgrade to Who’s Got the Powa means that your generator now pumps out any esoteric energy type your Personal Reality’s equipment or city-like objects might need by converting some of its electricity into whatever, be that mana, anbaric power, natural gas, ether, the power of love, or the power of rock and roll. How, you ask? FIAT, BITCHES! (insert Air-Guitar Solo Here)</t>
  </si>
  <si>
    <t>Toolkits Constellation</t>
  </si>
  <si>
    <t>Orb Design Plans</t>
  </si>
  <si>
    <t>Swat Kats</t>
  </si>
  <si>
    <t xml:space="preserve">Well... this is curious. The design plans for a Micro-Brain Repair Unit... this won't show up for some time, but it is quite useful nonetheless. Once assembled, it will have the ability to scan and repair any damaged machinery it comes across, simply by using the materials around it. The more advanced the machine is, the longer it will take... but it will do its job. Even more concerningly, it has the ability to learn and adapt itself, assimilating machinery to create a more grand body. It may come with existential issues... are you sure you want this?
-The Orb Design Plans has a fatal flaw: If the core itself is damaged, the whole thing could undergo a catastrophic collapse. It will take time and a great deal of resources to fix this flaw, as the core is the most important part. It is like the 'brain' of a machine; once it's gone, everything is gone. </t>
  </si>
  <si>
    <t>Vehicles Constellation</t>
  </si>
  <si>
    <t>The Good Doctor</t>
  </si>
  <si>
    <t>Captain Harlock</t>
  </si>
  <si>
    <t>With enough time and materials, the greatest works of this day and age will all be by your hand. Refueling stations disguised as meteors, rapiers that double as laser guns, or even a ship as magnificent as the Arcadia – all these might bear your name. Where to get the materials, though?
May come with:
Flight Suit [Free] – Whether a sleek Mazone suit or the bulkier pressurized human space gear, this suit leaves you ready to take to the stars in a fighter craft!</t>
  </si>
  <si>
    <t>How many clusters contain a perk with given cost. (Clusters with more than one cost of perk are counted in multiple columns)</t>
  </si>
  <si>
    <t>Any Cost</t>
  </si>
  <si>
    <t>Cluster Type</t>
  </si>
  <si>
    <t>Chance to roll</t>
  </si>
  <si>
    <t>Count</t>
  </si>
  <si>
    <t>Total CP Spent</t>
  </si>
  <si>
    <t>Remaining CP</t>
  </si>
  <si>
    <t>Perks Obtained</t>
  </si>
  <si>
    <t>Perks Bought</t>
  </si>
  <si>
    <t>Bonus Perks</t>
  </si>
  <si>
    <t>Available</t>
  </si>
  <si>
    <t>Grand Total</t>
  </si>
  <si>
    <t>Average</t>
  </si>
  <si>
    <t>Rolls Last Chapter</t>
  </si>
  <si>
    <t>Starting With</t>
  </si>
  <si>
    <t>New CP per roll</t>
  </si>
  <si>
    <t>Words per roll</t>
  </si>
  <si>
    <t>Shadow Min</t>
  </si>
  <si>
    <t>Shadow Ratio</t>
  </si>
  <si>
    <t>Chances of earning at least one perk of the given price after x rolls.</t>
  </si>
  <si>
    <t>Rolls</t>
  </si>
  <si>
    <r>
      <rPr/>
      <t xml:space="preserve">Original V1 text: </t>
    </r>
    <r>
      <rPr>
        <color rgb="FF1155CC"/>
        <u/>
      </rPr>
      <t>https://drive.google.com/file/d/1Xu2r0swdtbazSxAod40_UDjn7eHA5WJA/view?usp=sharing</t>
    </r>
  </si>
  <si>
    <t>Classification</t>
  </si>
  <si>
    <t>Meaning</t>
  </si>
  <si>
    <t>Analysis</t>
  </si>
  <si>
    <t>Improves the ability to understand, repair, or upgrade</t>
  </si>
  <si>
    <t>Ability</t>
  </si>
  <si>
    <t>A specific new ability Joe has</t>
  </si>
  <si>
    <t>Entity</t>
  </si>
  <si>
    <t>An entity capable of independant action</t>
  </si>
  <si>
    <t>Facility</t>
  </si>
  <si>
    <t>An addition or enhancement to the workshop</t>
  </si>
  <si>
    <t>Fiat</t>
  </si>
  <si>
    <t>Rules that trump everything</t>
  </si>
  <si>
    <t>Item</t>
  </si>
  <si>
    <t>An item meant to be moved around</t>
  </si>
  <si>
    <t>Personal</t>
  </si>
  <si>
    <t>A change to Joe's body or soul</t>
  </si>
  <si>
    <t>Set</t>
  </si>
  <si>
    <t>A limited set of recipes</t>
  </si>
  <si>
    <t>Skill</t>
  </si>
  <si>
    <t>New skills</t>
  </si>
  <si>
    <t>System</t>
  </si>
  <si>
    <t>Unlocks a range of new possibilities</t>
  </si>
  <si>
    <t>Vehicle</t>
  </si>
  <si>
    <t>Provides a vehicle</t>
  </si>
  <si>
    <t>Repeatable Regex</t>
  </si>
  <si>
    <t>Repeatable</t>
  </si>
  <si>
    <t>Perk Line Regex</t>
  </si>
  <si>
    <t>.*\(.*\) ([0-9]+|Free).*</t>
  </si>
  <si>
    <t>Cost Regex</t>
  </si>
  <si>
    <t>\) ([^:]*)</t>
  </si>
  <si>
    <t>Chapter Line Regex</t>
  </si>
  <si>
    <t>^Chapter [0-9]*:.*</t>
  </si>
  <si>
    <t>Chapters without perks</t>
  </si>
  <si>
    <t>Missing</t>
  </si>
  <si>
    <t>Chapter #</t>
  </si>
  <si>
    <t>Chapter Title</t>
  </si>
  <si>
    <t>Perk Name</t>
  </si>
  <si>
    <t>Jump</t>
  </si>
  <si>
    <t>Cost</t>
  </si>
  <si>
    <t>Perk Text</t>
  </si>
  <si>
    <t>1 Introduction</t>
  </si>
  <si>
    <t xml:space="preserve">
Workshop: Metalworking </t>
  </si>
  <si>
    <t xml:space="preserve"> 100</t>
  </si>
  <si>
    <t>Each purchase of this adds to your Personal Reality Workshop needed to perform specific type of craft, which is to be specified when purchase is made. It comes with a basic set of tools and supplies. Good for fixing or creating all sorts of things, although any complex parts or nonstandard supplies will have to be brought in from outside. Additional purchases can add different types of Workshops to your Personal Reality or expand existing ones. Anything built in one of those workshops is fiat backed to be restored to its original condition within 48 hours if damaged or destroyed. Repeatable</t>
  </si>
  <si>
    <t xml:space="preserve">
Access Key </t>
  </si>
  <si>
    <t xml:space="preserve"> Free</t>
  </si>
  <si>
    <t>This is a special key which lets you access your Personal Reality and its contents. When inserted into any lock on any door, the door opens to reveal a gateway into your Reality at a predetermined location within it. You are the only person who can take the key from the lock, the gateway remains open as long as the key is in the lock, and if key is ever lost or stolen you will find it in your pocket a few minutes later. You cannot close the door as long as you are inside the Personal Reality.</t>
  </si>
  <si>
    <t xml:space="preserve">
Entrance Hall - Joe </t>
  </si>
  <si>
    <t xml:space="preserve">This is the room your Access Key opens a door to. It starts off as a 5 meter cube with blank white walls, floor, and ceiling, as some doors, one leading to the current Host Reality, the other into your Cosmic Warehouse, with additional doors leading to other extensions as these get added to your Personal Reality. Feel free to customize this Entrance Hall as you see fit. Additional Halls can, at your discretion, be linked only to certain keys or only to certain extensions. This allows you to have an entry hall just for skiing if you want. Repeatable </t>
  </si>
  <si>
    <t>2 Preparation</t>
  </si>
  <si>
    <t xml:space="preserve">
Fashion </t>
  </si>
  <si>
    <t>Highschool of the Dead</t>
  </si>
  <si>
    <t xml:space="preserve"> 200</t>
  </si>
  <si>
    <t>Your clothing and entire body acquire defensive properties equal to the most superior protective items you have currently equipped. Emphasis on protective item- an iron or steel ring won’t give you metal-tough skin- the minimum is things like knee pads from extreme sports, helmets- even an apron would count, though all that’d do is protect you from the dangers of a kitchen...</t>
  </si>
  <si>
    <t xml:space="preserve">
Bling of War </t>
  </si>
  <si>
    <t>Macross</t>
  </si>
  <si>
    <t>It's one thing to have a weapon or vehicle of mass destruction, capable of rending an entire ground force or a squadron to shame. It's another to make it look so damn good your enemies would not dare get near it if they had a lick of sense. By purchasing this perk, you can design your equipment to look much more stylish and carry a 'theme' you prefer. This can range from the clothes you wear, to the weapons you wield, to even the vehicles you pilot into battle. It's all about style.</t>
  </si>
  <si>
    <t xml:space="preserve">
Alchemist </t>
  </si>
  <si>
    <t>Secret of Evermore</t>
  </si>
  <si>
    <t>Considered a lost art, the science of Alchemy has reawakened in Evermore, and you've been trained in its use. By combining ordinary ingredients together using an alchemical formula, you can transform them into effects that can only be described as magic. You know both Light Alchemy, the art of healing or protection, and Dark Alchemy, the art of attacking. While it's theoretically possible to learn Alchemy at a later point in Evermore, this will let you skip the training and get straight to the mixing and casting, and will make you significantly better at it to boot.</t>
  </si>
  <si>
    <t>3 First Fight</t>
  </si>
  <si>
    <t xml:space="preserve">
Scientist: Machinery </t>
  </si>
  <si>
    <t>Girl Genius</t>
  </si>
  <si>
    <t>You have a DOCTORATE! And skill in ACTUAL SCIENCE! That doesn’t need you to go crazy to work! Admittedly, it won’t break the fabric of space and time, but meh. Tradeoffs everywhere you go. You’re highly trained in one field, and can easily apply its principles to your work. After all, building a crazed abomination upon the natural order usually requires at least a smidgen of understanding of which bones are supposed to go where (Even if you end up changing them around a little). At the very least, you’re also in the genius range of standard intelligence.</t>
  </si>
  <si>
    <t xml:space="preserve">
Black Thumb </t>
  </si>
  <si>
    <t>Mad Max Gauntlet</t>
  </si>
  <si>
    <t>You have the skills of an expert mechanic, able to keep vehicles running even in the most inhospitable conditions. Repairing and tuning up engines is your bread and butter, even while they’re still operating. You also have a feel for how to upgrade cars in more esoteric ways; hey, it takes skill to add that many spikes and not hurt the handling!</t>
  </si>
  <si>
    <t>4 Recovery</t>
  </si>
  <si>
    <t xml:space="preserve">
Grease Monkey </t>
  </si>
  <si>
    <t>Bubblegum Crisis 2032</t>
  </si>
  <si>
    <t xml:space="preserve"> 300</t>
  </si>
  <si>
    <t>What can you fix or build? What CAN'T you fix or build? Nothing, that's what. From hyper-cars to Buma, computers to Hardsuits, with the right tools and enough time and experiments, you can build it all, weaponry included</t>
  </si>
  <si>
    <t xml:space="preserve">
Laboratorium </t>
  </si>
  <si>
    <t>Light of Terra DLC 3 - A Grand Day Out</t>
  </si>
  <si>
    <t>Ancient cogitators, arrays of auspex systems, and volume upon volume of documentation supply an Adept with the tools and information necessary to capably analyse a recovered technological artefact.</t>
  </si>
  <si>
    <t xml:space="preserve">
Not A Stupid Grunt </t>
  </si>
  <si>
    <t>That you are not. You are smart enough to be the foremost scientist in your field. This doesn't make you so, but you could get there on your own with not a terrible amount of effort. Still not as smart as a drell, but hey, who is?</t>
  </si>
  <si>
    <t>5 Negotiation</t>
  </si>
  <si>
    <t xml:space="preserve">
Smithing </t>
  </si>
  <si>
    <t>Thundercats 2011</t>
  </si>
  <si>
    <t>The ancient art of working with metal to forge weapons and armor. You know how to make beautiful equipment that can survive countless battles and you could even forge a legendary weapon if you dedicated enough time to it, although it'd probably take at least several years to complete.</t>
  </si>
  <si>
    <t>6 Commission</t>
  </si>
  <si>
    <t xml:space="preserve">
Nanite Sciences </t>
  </si>
  <si>
    <t>Generator Rex</t>
  </si>
  <si>
    <t>You possess in depth knowledge of nanite technologies. With sufficient equipment and resources you could produce and control nanite machines, possibly even recreate the nanite event or maybe figure out how to reverse its effects. But that would take a long time of additional study of nanites out in the world, still you might be one of the few who could attempt this endeavor. You possess no knowledge of the meta-nanites, and understanding how they work is beyond your grasp</t>
  </si>
  <si>
    <t xml:space="preserve">
Aerospace Engineering Makes Things Go Fast </t>
  </si>
  <si>
    <t>Kerbal Space Program</t>
  </si>
  <si>
    <t>You have an intuitive grasp on the mechanics of wind-flow, material sciences, atmospheric drag, tensile strengths, rocketry, so on and so forth, and how it applies to the art of designing vehicles that traverse the sky and space.</t>
  </si>
  <si>
    <t xml:space="preserve">
Magic: Enchanting </t>
  </si>
  <si>
    <t>Samurai Jack</t>
  </si>
  <si>
    <t>You can grant magical properties to weapons by marking them with ancient runes. Right now you only know how to give weapons elemental properties but you can learn more enchantments by studying other enchanted and magical weapons.</t>
  </si>
  <si>
    <t>7 Accessory</t>
  </si>
  <si>
    <t xml:space="preserve">
Built to Last </t>
  </si>
  <si>
    <t>Fiat, Ability</t>
  </si>
  <si>
    <t>Assassin's Creed</t>
  </si>
  <si>
    <t>Whatever you personally build, be it handheld or architectural, becomes nigh-impervious to weather, rust and time. If it gets lost or buried, you can 'feel' it out too!</t>
  </si>
  <si>
    <t xml:space="preserve">
Decadence </t>
  </si>
  <si>
    <t>Dune</t>
  </si>
  <si>
    <t>You have the skills to sacrifice neither form nor function when you design, create, or arrange things, which is especially important in a society whose upper crust values opulence the way this society does -- after all, the Emperor's throne is carved out of a single massive gemstone. Whether it's interior decorating, crafting a knife or sword, building furniture or a vehicle... you can make it appeal perfectly to the most crass or the upper crust. You can also figure out the optimal decor for any purpose or environment, which includes the best places to hide discreet surveillance devices.</t>
  </si>
  <si>
    <t>8 Aftermath</t>
  </si>
  <si>
    <t xml:space="preserve">
Machinist </t>
  </si>
  <si>
    <t>Fiat, System</t>
  </si>
  <si>
    <t>Gargoyles</t>
  </si>
  <si>
    <t>You are an expert mechanic. You can rebuild and improve a helicopter in 12 hours or create a functional motorcycle from spare parts. If honed, this ability will let you make nearly anything from incredibly advanced robots to nanite swarms in only a few months time.</t>
  </si>
  <si>
    <t xml:space="preserve">
Rationing </t>
  </si>
  <si>
    <t>When you don’t have much, it’s important to be careful with what you’ve got. You’re very good at saving supplies, ensuring that anything you find of use stays found and that it doesn’t get wasted by accident. You’ll get every last drop of fuel from a can, and never drop some plastic tubing just because you can’t think of a use at the moment.</t>
  </si>
  <si>
    <t>9 Acquisitions</t>
  </si>
  <si>
    <t xml:space="preserve">
Alchemy </t>
  </si>
  <si>
    <t>You are incredibly capable at mixing together mundane ingredients to create effects that can only be described as magical. For a short time these potions can create temporary copies of you, turn you invisible, or give you shielding.</t>
  </si>
  <si>
    <t xml:space="preserve">
Garment Gloves </t>
  </si>
  <si>
    <t>Dodgeball</t>
  </si>
  <si>
    <t>These are a pair of pure white gloves. Bound to them is an intelligence with a mind for fashion: a designer, seamstress, clothier, and tailor without mortal peer. It has the ability to scry for fashion based information from international trends to precise measurements. Given materials and orders, it will industriously produce fine apparel, producing any modifications, clothing, footwear, accessories, etc that is within theoretical mortal ability. It has sufficient telekinesis to move itself and to independently suspend materials. It must be provided with materials, though it may be provided a lump sum or budget with which to magically acquire materials at cost.
You may wear the gloves to channel the skills (but not powers) of the entity, perhaps even learning from it.</t>
  </si>
  <si>
    <t xml:space="preserve">
Life Fiber Spool </t>
  </si>
  <si>
    <t>Kill la Kill</t>
  </si>
  <si>
    <t xml:space="preserve"> 400</t>
  </si>
  <si>
    <t>A medium-sized spool of Life Fiber. It's only enough to maybe make a pair of gloves out of, but with the proper knowledge, one could create Goku Uniforms- Or enhance existing articles of clothing to be like Goku Uniforms. One spool of thread is enough to make several one-star outfits, three two-star outfits, or a single three-star outfit, assuming you have the knowledge of how to work with Life Fibers</t>
  </si>
  <si>
    <t>10 Overhaul</t>
  </si>
  <si>
    <t xml:space="preserve">
Mechanist </t>
  </si>
  <si>
    <t>You know how regular technology and magitek function and can repair it if it breaks down. You'll still need the tools and supplies, but at least with this you'll know what you're doing with mechanical technology. This knowledge can be used to build basic examples of it too, but don't expect to be able to copy anything too complex without getting your hands on the blueprints.</t>
  </si>
  <si>
    <t xml:space="preserve">
Stylish Mechanic </t>
  </si>
  <si>
    <t>Gurren Lagann</t>
  </si>
  <si>
    <t>In addition to knowing how to repair and create mechanical devices you also have quite a knack at making anything you work on look good. Any time you fix something it'll end up clean and pleasant to look at, and you can easily come up with humorous or awe-inspiring designs for vehicles and devices.</t>
  </si>
  <si>
    <t xml:space="preserve">
Repair Savvy </t>
  </si>
  <si>
    <t>Outlaw Star</t>
  </si>
  <si>
    <t>Your skills in mechanics are top notch. Your weapons, armor, and personal equipment are all easy to repair, and maintenance of all of them takes mere minutes instead of hours.</t>
  </si>
  <si>
    <t>11 Power Trip</t>
  </si>
  <si>
    <t xml:space="preserve">
Mechanic </t>
  </si>
  <si>
    <t>Fast and Furious</t>
  </si>
  <si>
    <t>Machines, especially ones that go fast, just speak to you. You have no problem fixing up and tuning any motor vehicle, and can rebuild them after the most devastating crashes. You can keep anything in top condition with just a few simple tools. Of course, you also need to understand the electronics, so hotwiring cars (and sometimes, alarm systems) is not a problem either.</t>
  </si>
  <si>
    <t xml:space="preserve">
Master Builder </t>
  </si>
  <si>
    <t>You’ve been programmed with mastery of Cybertronian science allowing you jury rig any tech you see, as well allowing you to quickly build even the most complex Cybertronian tech within a reasonable time period. Smaller devices are almost instant, larger devices take some time and more components. However with enough material you can build a temporary space bridge. Despite your mastery of Cybertonian science, creation of a Spark and therefore intelligent life, organic or inorganic is beyond you.</t>
  </si>
  <si>
    <t xml:space="preserve">
Deranged Alchemist </t>
  </si>
  <si>
    <t>Van Helsing</t>
  </si>
  <si>
    <t>You have mastered the medieval forerunner of chemistry, and know the transformation of matter via elaborate rituals and mysticism on top of your scientific approach. The greatest secrets of Alchemy still elude you, such as the fabled Panacea, but that can be found in due time. (Hint: Nobody’s found it. At all.) However, you are capable of transmutation of many materials (although it requires that said materials be the same base) and can create Homunculi from following Paracelsus’ studies into alchemy.</t>
  </si>
  <si>
    <t>12 Conference</t>
  </si>
  <si>
    <t xml:space="preserve">
Nanite Removal and Control </t>
  </si>
  <si>
    <t>Many in this world would consider this is your most important ability, you can control nanites and absorb them into yourself, reverting dangerous mutations and can help people regain control of themselves. At first however this power will only work on willing targets, and will not work on incurable, especially virulent nanite infested EVOs. However with training and time, your powers can grow to circumvent these rules. Your greatest limitation is the fact that as you absorb nanites your reservoirs fill to the breaking point, causing dangerous flare ups and renders your abilities unstable. You can purge these nanities, but figuring out how to do so in a safe way with a large amount of unstable nanites may take some effort.
After this Jump your nanites can be used to heal people, whether of wounds, diseases, or possibly even mutations or others turned into a monster. Success will vary depending on factors, a mystical curse is probably beyond your nanites, a really out of this world super virus might be cured, but that's iffy.
If you happen to run into other nanites in other jumps, you could control and manipulate them as well.</t>
  </si>
  <si>
    <t>13 Debut</t>
  </si>
  <si>
    <t xml:space="preserve">
Science! Engineering </t>
  </si>
  <si>
    <t>Your programming is focused on either Mechanics, Medical, or a field of Science (Pick One), this gives you equivalent of a Cybertronian PHD in that field of study.</t>
  </si>
  <si>
    <t xml:space="preserve">
Science! Mechanics </t>
  </si>
  <si>
    <t>13 Exposure</t>
  </si>
  <si>
    <t xml:space="preserve">
Hybridization Theory </t>
  </si>
  <si>
    <t>Zoids: Legacy</t>
  </si>
  <si>
    <t>So one day you had a bit of spare time after your daily Zoid admiration hour. After taking a close look at your favorite Gojulas and your favorite Mad Thunder, you decided that if the Gojulas could wield the Mad Thunder's Magnesser Drills like an arm weapon, you could probably reenact that scene from the show you watched two days back on the professor's hi-def television.
Those mechanics can slap on parts and scavenge however they like. You can literally merge two machines together into one, with twice the processing power as before. Mind you, Zoids typically won't respond well to suddenly sharing a body with another core and another mind, but you'll have ethical uses for this...right?
For most mundane machinery, you don't need any power source besides your own, but be careful that should you make your machine too big, the internal power supply might not be enough to feed it.</t>
  </si>
  <si>
    <t>14 Debut</t>
  </si>
  <si>
    <t xml:space="preserve">
Micromanipulators </t>
  </si>
  <si>
    <t>A Certain Scientific Railgun</t>
  </si>
  <si>
    <t xml:space="preserve"> 50</t>
  </si>
  <si>
    <t>These rather delicate gloves were meant for scientific purposes. They’re reinforced with small motors and electrically contracting artificial muscles to allow you to perform delicate work on the scale of one millionth of a meter. While they’re definitely more suited to scientific experiments, they can be put to use in any situation that requires steady hands like aiming a rifle, conducting brain surgery, cooking, defusing a bomb, or even bypassing some redirection and shielding abilities.</t>
  </si>
  <si>
    <t xml:space="preserve">
Fingers of Silver </t>
  </si>
  <si>
    <t>While other kids were building tinker-toy creations, you were fiddling with your dad's car and doing a better job than him. By purchasing this, meddling with machines and OverTechnology is as easy as breathing for you. By getting your hands on something, you can easily figure out how it works and how to copy its inner workings, provided that it wasn't just bullshit magic. The more advanced something is, the harder it may be... but with time and effort, you just might succeed.</t>
  </si>
  <si>
    <t xml:space="preserve">
Diagnostic Tools </t>
  </si>
  <si>
    <t>A small data display with numerous connectors and scanners, capable of letting you know what is wrong with simple technology and what advanced technology that has been programmed into it.</t>
  </si>
  <si>
    <t xml:space="preserve">
Skills: Physics </t>
  </si>
  <si>
    <t>Star Trek - TNG+DS9</t>
  </si>
  <si>
    <t>How the universe works. The law of gravity, the conservation of matter &amp; energy, quantum physics, etc. Remember though, there are dozens of creatures in this universe that defy the laws of human physics, so you may want to try and rewrite a few of these books while your here.</t>
  </si>
  <si>
    <t>15 Recuperation</t>
  </si>
  <si>
    <t xml:space="preserve">
The Flock's Fleece </t>
  </si>
  <si>
    <t>Actraiser</t>
  </si>
  <si>
    <t>Men and women have not wandered the wilds naked since the long-gone days of the Garden. Whether they knew it or not, the act of clothing oneself is one that at once protects and isolates. A shirt or a robe is a metaphorical armor against the elements, against shame and against the prying eyes of others. You are such a skilled craftsman that you can take the 'metaphorical' part out of the equation. You're a one-person clothing creator and tailor, able to take the raw materials of silk, cotton, wool and hide...and then with almost no tools produce wondrous clothing, fitted just right for anyone who dares try the garments on. They're protective vestments against the harsh elements, able to keep people in comfortable condition be they in the deserts of Kasandora or the icy plains of Northwall.
Not only that, but people who wear them find that they'll be kept safer from the claws of beasts or the swords of their enemies, acting as a light chain-mail mesh despite being soft and maneuverable fabric.</t>
  </si>
  <si>
    <t xml:space="preserve">
Class and Specialization </t>
  </si>
  <si>
    <t>Skill, System, Item</t>
  </si>
  <si>
    <t>You will get enough training in your class to be considered an asset to any team. Not to the point of being a keystone. You are considered to be to a similar level when it comes to your specialization. Specializations are various apexes that can be reached. You also get a set of gear per your two choices.
Class: Engineer
Engineers are pure technology specialists. Although they lack the implants that most other classes wield, they make up for it with their high-spec military grade omni-tools, capable of bypassing shields and armor or incapacitating robotic targets and some synthetics. They can deploy combat drones to harass enemies.
Specialization: Mechanic
A more purely focus Engineer. From fighters and frigates to Mass Effect fields and automated machines, you know your way around and are aside fairly versed in mechanical theory. You might not know how to build something, but you can almost certainly figure it out with time.</t>
  </si>
  <si>
    <t xml:space="preserve">
Innate Talent: Alchemist </t>
  </si>
  <si>
    <t>Overlord</t>
  </si>
  <si>
    <t>You are capable of brewing potions with magical effects. You can easily create ‘true’ healing potions that provide instantaneous healing rather than healing-over-time, and can make potions for any ‘buffing’ spells you know that are in the ranked magic system such as flight, invisibility, increased magic resistance, physical boosts, and so on. Obviously you must actually know a spell in order to make a potion with that spells effect. Additionally to make use of this talent you must actually have the means to make the potions in the first place such as an alchemist's lab or, for slimes, your own body</t>
  </si>
  <si>
    <t xml:space="preserve">
Alchemist's Laboratory </t>
  </si>
  <si>
    <t xml:space="preserve"> Free with Alchemist</t>
  </si>
  <si>
    <t>A fully fitted and supplied alchemist’s laboratory ready for your use. It comes with the highest quality supplies and equipment required to make magical potions, allowing you to make potions to emulate the effect of any spell you know that could be reasonably made into a potion via alchemy (assuming you know alchemy, at least). The equipment will automatically upgrade itself relative to your own personal skill level, so the more skilled you are the better it will be to reflect that. Reagents for common potions restock themselves automatically on a regular basis.</t>
  </si>
  <si>
    <t>16 Therapy</t>
  </si>
  <si>
    <t xml:space="preserve">
Beauty in the Arts </t>
  </si>
  <si>
    <t>God of War</t>
  </si>
  <si>
    <t>The Greeks and their gods have an eye for the aesthetics of their surroundings. Whether it is the statues around them, or the floors they walk upon, or the things they carry and wield, it is better if it is appealing. Your ability to design any of your crafts has increased with this knowledge, able to appeal to form without sacrificing function. Regardless of what you create, it's going to look good enough that the gods might take notice... might. Whether this is a good thing or a bad thing is for you to decide.</t>
  </si>
  <si>
    <t>17 Confrontation</t>
  </si>
  <si>
    <t xml:space="preserve">
Weapon Modifications </t>
  </si>
  <si>
    <t>Archer</t>
  </si>
  <si>
    <t>You design and modify weapons with flair, creativity, and skill.</t>
  </si>
  <si>
    <t xml:space="preserve">
High-Frequency Manufacturer </t>
  </si>
  <si>
    <t>Metal Gear Rising</t>
  </si>
  <si>
    <t>A blade launderer, huh? Anyway, you can now make a HF blade out of anything you want. Depending on the original craftsmanship of the weapon, it could be good or shit. But if you picked this, you probably have something in mind.
Must be a physical object. No lightsabers and the like.
Yes, blunt objects can become HF weapons. No, they can't cut. They only get stronger, and can resist other HF weapons.</t>
  </si>
  <si>
    <t>The ancient science of mixing specific ingredients and then infusing them with natural energy. You know how to make a wide array of potions with both beneficial and harmful effects.</t>
  </si>
  <si>
    <t>18 Regroup</t>
  </si>
  <si>
    <t xml:space="preserve">
Element Analysis </t>
  </si>
  <si>
    <t>Bomberman 64: The Second Attack</t>
  </si>
  <si>
    <t>With a little elbow grease, you can easily identify the elemental composition of ANY material and with the right resources, break it down to its base elements for further use.</t>
  </si>
  <si>
    <t xml:space="preserve">
Unnatural Skill: Smith </t>
  </si>
  <si>
    <t>Whether from your heritage or just being that good you've got one particular mundane skill that your feats with border on supernatural. Whether you're a smith on the level of the Cyclopses, a near prescient tactician or a swordsman who is ny unstoppable with a blade your feats will be legendary. You are on a level within your skill such that only other beings of legend can hope to match you. This may be taken multiple times. You may not choose magic but you may choose a particular application of magic if you have it already (so curses, enchanting might work, more specific gets a bigger boost).</t>
  </si>
  <si>
    <t xml:space="preserve">
Workaholic </t>
  </si>
  <si>
    <t>Sonic The Hedgehog</t>
  </si>
  <si>
    <t>Sometimes you wonder how some geniuses are able to build entire armadas within days or weeks of their last defeat. You become a walking factory of production. Building in masse is something that comes without issue to you. That one bot that took a week to build? Now that one bot is now 5. Or roughly 3x the size it was before. How do you even have the resources to build so much you say? The hell if I know.</t>
  </si>
  <si>
    <t>19 Restoration</t>
  </si>
  <si>
    <t xml:space="preserve">
Valuable Memories: the nature of memories </t>
  </si>
  <si>
    <t>Big O</t>
  </si>
  <si>
    <t>You have knowledge related to any particular concept-the construction of Megadei, the nature of memories, Bigs, or the creation of chimeras. Paradigm will have a vested interest in you, and will protect you and provide you with funds if you work for them.</t>
  </si>
  <si>
    <t xml:space="preserve">
Fingers of the North Star </t>
  </si>
  <si>
    <t>System, Item</t>
  </si>
  <si>
    <t>Cave Story</t>
  </si>
  <si>
    <t>You have a natural talent with machinery, and this extends to firearms creation. You can disassemble, analyze, and reassemble any projectile weapon you come across, and you have the ability to create unique, one of a kind guns that utilizes odd and esoteric technology. You also gain a free 'stamp' you can apply to any weapon you create, to show it's your work. Upgrading existing weapons is a breeze as well.</t>
  </si>
  <si>
    <t xml:space="preserve">
Armourer </t>
  </si>
  <si>
    <t>Light of Terra DLC 5 A Sky Filled With Steel - Warhammer 40,000</t>
  </si>
  <si>
    <t>A mental database containing information on the most common types of armour found in the Necromunda Hive and how to build, repair and maintain them. While this doesn't sound impressive, it is worth pointing out there are countless billions of people dwelling within the hive, and they have been here for millenia - the list of things counted as common at one time or another ranges from Power Armour in the distant past to the more common hammered metal plates made by local Gangers to the standard Imperial Guard Carapace Armour. Don't expect to start churning out Adetus Astartes Power Armour the second you get this though - the infrastructure to build the infrastructure to build the infrastructure to build the armour was lost to ruin a long time ago. There's a reason the Space Marines use suits thousands of years old.</t>
  </si>
  <si>
    <t xml:space="preserve">
Engineering </t>
  </si>
  <si>
    <t>System, Skill</t>
  </si>
  <si>
    <t>Teen Titans</t>
  </si>
  <si>
    <t>You're a master mechanic and an expert at building robots and other technological devices. You also have a fair bit of knowledge about hacking into computers.</t>
  </si>
  <si>
    <t>20 Offensive</t>
  </si>
  <si>
    <t xml:space="preserve">
Master Craftsman </t>
  </si>
  <si>
    <t>Forgotten Realms</t>
  </si>
  <si>
    <t>You are exceptionally skilled at crafting things. At your worst, your results are masterwork.</t>
  </si>
  <si>
    <t xml:space="preserve">
Engineer </t>
  </si>
  <si>
    <t>Ability, Skill</t>
  </si>
  <si>
    <t>Super Mario RPG</t>
  </si>
  <si>
    <t>You're more adept at coming up with novel and creative objects. Any blueprint can be held perfectly in your mind without needing to draw it on paper.</t>
  </si>
  <si>
    <t>21 Closing Moves</t>
  </si>
  <si>
    <t xml:space="preserve">
Maliwan Intern </t>
  </si>
  <si>
    <t>Borderlands</t>
  </si>
  <si>
    <t>At some point, you got lucky and figured out how Elemental Weapons really work. You know how to use them to best effect, allowing you to set enemies on fire regularly, melt people with acid bullets, and have ALL kinds of shocking adventures with electrical ammo. If you have any technical training, you can even jury-rig ways to apply elemental effects to other weapons, as well.</t>
  </si>
  <si>
    <t xml:space="preserve">
Workshop </t>
  </si>
  <si>
    <t>Bubblegum Crisis</t>
  </si>
  <si>
    <t>You need tools? You have ALL the tools. Using this, you can effectively build and/or repair any damn thing in BGC, though constructing orbital shuttles might take a while. Nevermind getting ahold of the plans.</t>
  </si>
  <si>
    <t xml:space="preserve">
Apartment </t>
  </si>
  <si>
    <t>A run down, single-room apartment. Nothing special, but hey, it keeps the rain off. Don't worry too much about the rent.</t>
  </si>
  <si>
    <t xml:space="preserve">
Tailor Made </t>
  </si>
  <si>
    <t>Career Model</t>
  </si>
  <si>
    <t>You are a brilliant designer, and can ensure objects you create are always looking fantastic, aesthetically pleasing and the like. Making something look good no longer takes any time or effort you can focus entirely on function, and whatever you make will look outstanding.</t>
  </si>
  <si>
    <t xml:space="preserve">
Civilian Equipment Package </t>
  </si>
  <si>
    <t>GUNNM/Battle Angel Alita</t>
  </si>
  <si>
    <t>Cramped room in the Scrapyard, basic household belongings, clothing, one Heirloom Weapon for free. If you are employed, attached is enough space to setup a workshop, clinic, studio or whatnot.</t>
  </si>
  <si>
    <t xml:space="preserve">
Cyber-doctor Equipment Package </t>
  </si>
  <si>
    <t>As Medic, plus powered tools for cyborg disassembly and repair. Bulky diagnostic computer, ten kilograms of miscellaneous spare parts, very rare compact 3D fabricator capable of milling custom components and printing or repairing circuitry. Free Rocket Hammer.</t>
  </si>
  <si>
    <t xml:space="preserve">
Single Style - T’ai Chi Chuan </t>
  </si>
  <si>
    <t>Solid theoretical and practical experience of a single form of personal combat. In the wasteland, what martial arts survive are pragmatic descendants of old world teachings. In the Scrapyard however, there are genuine schools of combat, though they are often overlooked – most human styles are ineffective against the crudest cyborg brawler, and the emphasis is to strike fast and run away faster.
T’ai Chi Chuan –This art is rarely taken seriously, owing to its firm rooting in qigong breathing techniques and ideas about chi, internal balance and fluid control of defence and counterattacks that have little appeal to cyborg fighters. However many elements of it have influenced the most advanced cyborg combat styles, and the therapeutic version is popular enough with the elderly that the original forms survive.</t>
  </si>
  <si>
    <t xml:space="preserve">
Heirloom Weapon </t>
  </si>
  <si>
    <t xml:space="preserve"> Free with Civilian Equipment Package</t>
  </si>
  <si>
    <t>Everyone in the Scrapyard carries something. Yours is a lot better than most, something that an actual professional might carry. Firearms are illegal on penalty of death - but outside the Scrapyard anything goes. As an heirloom, it has seen hundreds of years of loving use and its craftsmanship compares very well to modern technology. To the right person, it could be worth a lot.</t>
  </si>
  <si>
    <t xml:space="preserve">
Medic Equipment Package </t>
  </si>
  <si>
    <t xml:space="preserve"> Free with Cyber-doctor Equipment Package</t>
  </si>
  <si>
    <t>One clean blood-and-dirt-repellent jumpsuit, facemask, kit equivalent to a modern first responder’s kit. Assorted drugs and painkillers, and a few roughly bound texts on mutant and human care.</t>
  </si>
  <si>
    <t xml:space="preserve">
Rocket Hammer </t>
  </si>
  <si>
    <t>A two-handed warhammer with chisel-shaped head mounting a rocket booster that activated by a switch on the shaft. It can be disassembled and comes with a rolling case and replacement parts. A rare weapon in the Scrapyard, while very difficult to control it performs superbly against heavy cyborg armour and is fully legal despite the firearms ban.</t>
  </si>
  <si>
    <t>22 Homeward</t>
  </si>
  <si>
    <t xml:space="preserve">
Don't Need A Team </t>
  </si>
  <si>
    <t>Ace Combat</t>
  </si>
  <si>
    <t>Fighter planes are pretty complicated machines, and more often than not you need a whole crew to maintain them so that they don’t break down in the middle of a fight and doom the pilot. You know your plane well enough to circumvent this issue. You've got just the right idea on what needs tuning up and what needs fixing, along with having the speed to be able to fix a plane up by yourself without the need for a crew in a fraction of the time. Performance issues are a thing of the past for you.</t>
  </si>
  <si>
    <t xml:space="preserve">
Most Holy Order of the Socket Wrench </t>
  </si>
  <si>
    <t>You are a master mechanic. Repair and upkeep is nice, but you can go beyond the impossible and improve any vehicle. Take a van and make it beat a supercar? Put NOS injectors on a bicycle (and make it work)? How bout something challenging? And anything you can build up you can tear down, too. You're a one-man chop shop and wiring a car to explode takes but a few moments and some chicken wire.</t>
  </si>
  <si>
    <t>23 Renovation - Addendum Taylor</t>
  </si>
  <si>
    <t xml:space="preserve">
Simplified Formulae </t>
  </si>
  <si>
    <t>Fullmetal Alchemist</t>
  </si>
  <si>
    <t>You understand the connections between parts. You can make large alchemy circles far more easily and far less complex than others. You can combine this with Advanced Formulae for multipurpose combat alchemy.</t>
  </si>
  <si>
    <t xml:space="preserve">
Alchemy Fiats </t>
  </si>
  <si>
    <t>Your alchemy will always work as intended no matter what universe you're in.
Alchemy can be taught, but your students will lack a lot of the fundamentals you take for granted. It is a science after all, and science is only useful if you know what it does.</t>
  </si>
  <si>
    <t xml:space="preserve">
They're Like Legoes, Right? </t>
  </si>
  <si>
    <t>There's robust engineering, and then there's modularity. Pick one. Except for you - you seem to have the gift of designing methods that allow for seamless mixing and matching of modular technology that lack none of the parts incompatibility and fragility you'd except from such a design paradigm. While this seems focused on Kerbin technology in specific, a little work should have you applying such a paradigm to all sorts of technologies...</t>
  </si>
  <si>
    <t xml:space="preserve">
Reliable Invention </t>
  </si>
  <si>
    <t>Kim Possible</t>
  </si>
  <si>
    <t>Anything you construct is only broken when used improperly or purposefully targeted with attacks. The items you create do not malfunction and are completely resistant to damage caused by regular usage.</t>
  </si>
  <si>
    <t xml:space="preserve">23 Renovation - Addendum Taylor
</t>
  </si>
  <si>
    <t xml:space="preserve">
Skyforge </t>
  </si>
  <si>
    <t>The Elder Scrolls: Skyrim</t>
  </si>
  <si>
    <t>An ancient, mysterious, eagle themed forge added to your warehouse. Any metal items crafted at the forge will be significantly harder and stronger for it. Something about the fires.</t>
  </si>
  <si>
    <t xml:space="preserve">
Standing Stone: The Lover </t>
  </si>
  <si>
    <t>Those under the sign of the Lover learn all skills slightly faster than they otherwise would.</t>
  </si>
  <si>
    <t>24 Tech Work - Addendum Alec</t>
  </si>
  <si>
    <t xml:space="preserve">
Garage </t>
  </si>
  <si>
    <t>You have a nice garage and parts supply. With a few days and some elbow grease, you could basically rebuild your car or cars from the bottom up; you probably have enough parts to keep someone else's ride running or give it an upgrade, too.</t>
  </si>
  <si>
    <t xml:space="preserve">
The Vehicle </t>
  </si>
  <si>
    <t>This object barely deserves the title of car, at least in your opinion. A Volkswagen Beetle, a Pinto, or a Yugo, this car technically meets all the criteria and is very cheap, but it would take a master mechanic and a driving god to let it rival even the worst other racers can bring to the table.</t>
  </si>
  <si>
    <t xml:space="preserve">
Machines, They Just Speak To Me </t>
  </si>
  <si>
    <t>Firefly</t>
  </si>
  <si>
    <t>You have no formal schooling, but can fine-tune and repair engines with nothing but shoe polish. You don’t know what the parts are SUPPOSED to do, but you know how to make them work the way you want. You can diagnose a faulty part in the power core just by listening to the AC cycle, and can fix pretty much anything with naught but a wrench and some duct tape. It may not be pretty, and it may not last long, but it’ll work.</t>
  </si>
  <si>
    <t xml:space="preserve">
Hidden Hideaway / Laboratory </t>
  </si>
  <si>
    <t>Valkyria Chronicles</t>
  </si>
  <si>
    <t>You've come into possession of a small but out of the way safe-house, providing you with a place to rest and recuperate. This place has enough supplies for 9 people to live for a year or so. Those who have chosen the Scientist origin however, gain an upgrade to this building in the form of an underground laboratory. It is stocked with all the necessary tools and ingredients for a secret lab in the 1930's, along with a few scattered notes on what appears to be a figure surrounded in light.</t>
  </si>
  <si>
    <t xml:space="preserve">
Ragnite Container </t>
  </si>
  <si>
    <t>Ragnite is a valuable resource in Europa, and it is unlikely to appear in any other worlds. You receive a container that replenishes once per day. The free level gets you a box the size of a human head.</t>
  </si>
  <si>
    <t xml:space="preserve">
Advanced Materials </t>
  </si>
  <si>
    <t>XCOM 2</t>
  </si>
  <si>
    <t>As you experiment the physics and rules of a world ideas for new materials come to you. Elements and compounds from different universes often follow the same rules after all, so it should be theoretically possible to mix them. While you are developing new materials for your projects you will instinctively know whether or not materials will be compatible with each other and roughly how strong they will be. You will not know the exact ratio or procedure you will need to perform to fabricate these exotic materials, and it's not guaranteed that every material will be compatible with each other, but development will be made a lot easier.</t>
  </si>
  <si>
    <t>25 Search and Rescue - Addendum PHO</t>
  </si>
  <si>
    <t xml:space="preserve">
Savvy Sultan </t>
  </si>
  <si>
    <t>When people think of building things, they think of you. Provided you had the resources and the understanding of the technology, you could construct all manners of machines in a fourth of the time it would normally take. By yourself. You're no slouch with any of your tools either, wielding them with the precision of a machine with no loss of speed. Quality and a deadline? No problem.</t>
  </si>
  <si>
    <t xml:space="preserve">25 Search and Rescue - Addendum PHO
</t>
  </si>
  <si>
    <t xml:space="preserve">
Tinkerer </t>
  </si>
  <si>
    <t>RWBY</t>
  </si>
  <si>
    <t>You're a whiz at maintaining, modifying and making things. Everything from Sniper Scyfles to Toaster Ovens, as long as you made it yourself or had the blueprints on hand. Unlock the secret of Variable Weapon Crafting.</t>
  </si>
  <si>
    <t xml:space="preserve">
Scroll </t>
  </si>
  <si>
    <t>Think a smartphone, with terrible wilderness reception, video camera, messaging and more! Practically a passport for civilized society.</t>
  </si>
  <si>
    <t xml:space="preserve">
Aura </t>
  </si>
  <si>
    <t>You start off with an unlocked aura.</t>
  </si>
  <si>
    <t xml:space="preserve">
Dust </t>
  </si>
  <si>
    <t>Dust comes in four basic types: red fire, blue ice, green wind and yellow energy. They can be combined to make new variations.
After this jump, small amounts of Dust will appear in the Warehouse weekly. Enough for a firefight or two at once. Dust augmentation is found to increase the effectiveness of weaponry and ammunition.</t>
  </si>
  <si>
    <t xml:space="preserve">
Variable Weapon </t>
  </si>
  <si>
    <t>It's a thing that turns into another thing! One gun and one melee weapon, together at last.</t>
  </si>
  <si>
    <t>26 Correspondence - Addendum Rory</t>
  </si>
  <si>
    <t xml:space="preserve">
Valuable Memories:the construction of Megadei </t>
  </si>
  <si>
    <t xml:space="preserve">
Do One Thing At A Time </t>
  </si>
  <si>
    <t>Dinotopia</t>
  </si>
  <si>
    <t>When you focus yourself on doing a single task, your skill and efficiency doubles. Material requirements are unaffected, but time taken is halved and quality is doubled.</t>
  </si>
  <si>
    <t xml:space="preserve">26 Correspondence - Addendum Rory
</t>
  </si>
  <si>
    <t xml:space="preserve">
Simple Scientific Solution </t>
  </si>
  <si>
    <t>Science solves everything, even the little household problems. You can create supertech improvements to common tools and appliances, up to and including automobiles or similar works of engineering.
Create dishwashers that can clean dishes in an instant, self heating plumbing or forcefield windowpanes that act as air conditioners.
Well established methodologies and an instinctive grasp of same allow you to draw conclusions or produce results incredibly fast. You halve the time it takes to gather data, compose research on some subject, or devise a test to prove/disprove something handy for when you have to figure out an enemy fortresses’s one weakness.</t>
  </si>
  <si>
    <t>27 Intrusion - Addendum Hannah</t>
  </si>
  <si>
    <t xml:space="preserve">
Xenospecialist </t>
  </si>
  <si>
    <t>Gears of War</t>
  </si>
  <si>
    <t>The problem with fighting and violence is that it's no place for an egghead, and as a result valuable information could be lost to a wayward grenade before study. You've taken it upon yourself to bring that knowledge back, and as such you have an easier time understanding alien language and technology. It won't give you instant knowledge, but as you study further you will find it becomes easier to comprehend.</t>
  </si>
  <si>
    <t xml:space="preserve">
COG Armor </t>
  </si>
  <si>
    <t>Standard issue armor that's made of multiple metal plates. On the back of the suit is a magnetic 'holster', that resembles a general infantry backpack, allowing people to carry two weapons on their backs. The armor provides medium protection against damage (multiple assault rifle shots only bruise the wearer), but will not withstand concentrated or sustained gunfire. Helmet optional.</t>
  </si>
  <si>
    <t xml:space="preserve">
COG Tags </t>
  </si>
  <si>
    <t>A form of identification that takes the form of a necklace with small gear-shaped tags. They will have whatever identification you desire upon them.</t>
  </si>
  <si>
    <t xml:space="preserve">
Combat Boots </t>
  </si>
  <si>
    <t>They're thick, they're heavy, and they'll serve you well. Along with giving excellent comfort and protection from the myriad of terrains you'll find here, they're also very handy for stomping the heads of enemies like watermelons at a comedian show.</t>
  </si>
  <si>
    <t xml:space="preserve">
Imulsion </t>
  </si>
  <si>
    <t>Upon completion of this jump, you gain a small pump in your Warehouse that can supply you with fifty gallons worth of Imulsion per month. Do be careful when handling this, especially around other biological organisms.</t>
  </si>
  <si>
    <t xml:space="preserve">
MX8 Snub Pistol </t>
  </si>
  <si>
    <t>The standard sidearm for all COG soldiers, this weapon makes up for its low damage and small 12-round magazine through a high rate of fire and its impressive accuracy. Expect to find ammo for it everywhere. Weapon purchases will grant a small stockpile of them inside your warehouse to equip your allies with.</t>
  </si>
  <si>
    <t xml:space="preserve">
Personal Digital Assistant </t>
  </si>
  <si>
    <t>There is still a reliance on technology, even if the war with the Locust make things... problematic. With this, you'll have an easier time with Command and keeping track of your data.</t>
  </si>
  <si>
    <t xml:space="preserve">
Weapon Reload System </t>
  </si>
  <si>
    <t>You will also gain a weapon reload system inside the warehouse for the unique weapons you may have purchased from this jump.</t>
  </si>
  <si>
    <t xml:space="preserve">
Gadget Master </t>
  </si>
  <si>
    <t>James Bond: 007</t>
  </si>
  <si>
    <t>You’ve been trained by Major Boothroyd at the skills of his job. You’re excellent at creating and maintaining gadgets of all types. You can miniaturize nearly anything, and hide things in forms that... really shouldn’t work. You can even make lasers! You’re also good at coming up with ideas for unusual methods of assassination; beheading umbrellas, flamethrower bagpipes, and the like.</t>
  </si>
  <si>
    <t xml:space="preserve">
Dwarven Craft </t>
  </si>
  <si>
    <t>System, Speed</t>
  </si>
  <si>
    <t>Lord of the Rings</t>
  </si>
  <si>
    <t>You are a master smith, able to singlehandedly run even a large forge. You can make weapons and armor that stand up to hundreds of years of continuous use, and even know how to mine and forge mystical metals such as Mithril.</t>
  </si>
  <si>
    <t xml:space="preserve">27 Intrusion - Addendum Hannah
</t>
  </si>
  <si>
    <t xml:space="preserve">
Customized Weapons </t>
  </si>
  <si>
    <t>XCOM</t>
  </si>
  <si>
    <t>You know that efficiency is number one, because waste is a thief. You know how to make the best designs better, and will ensure that the equipment in use is ergonomic, streamlined, and efficient.</t>
  </si>
  <si>
    <t>28 Preamble - Addendum Sophia</t>
  </si>
  <si>
    <t>Halo UNSC</t>
  </si>
  <si>
    <t>Yet by understanding the nature of computer systems, wouldn’t it be prudent to understand the technology those systems command? After all, what if you found yourself needing to recalibrate a Magnetic Accelerator Cannon or repair one of the dangerous Shaw-Fujikawa Translight Engines that makes faster-than-light travel possible? What if you found a cache of human weaponry that could be used if someone managed to repair it? While you don’t have the skill to create something as complex as a Shaw-Fujikawa Translight Engine, you’ll know your way around it just like much of Humanity’s 26th century technology. You might even figure out how to make small improvements to the technology if you had the time to sit down and look it over. Hopefully the Covenant give you that time.</t>
  </si>
  <si>
    <t xml:space="preserve">
M274 Mongoose </t>
  </si>
  <si>
    <t>Some vehicles just weren’t designed for combat in mind… at least that’s what one would think upon seeing an all-terrain vehicle like this. Being designed to go over nearly any terrain without much difficulty and able to carry an additional passenger on the back in a pinch, the Mongoose is one of the fastest land vehicles in the UNSC. It’s highly effective in regards to rapid transportation, reconnaissance and swift tactical versatility. The downsides? Its light mass and lack of armor means it can be unwieldy at times and can be taken out rather easily.</t>
  </si>
  <si>
    <t xml:space="preserve">
M6C Magnum </t>
  </si>
  <si>
    <t>Something of a standard issue to the UNSC Marine forces, the M6C is a semiautomatic, recoil-operated, magazine-fed handgun that fires 12.7×40mm (.50 caliber) Semi-ArmorPiercing, High-Penetration rounds. While it does considerable amounts of damage towards flesh-based infantry, Covenant energy shielding might pose a problem and so this weapon is often relegated to a defensive role.</t>
  </si>
  <si>
    <t xml:space="preserve">
M9 Fragmentation Grenade </t>
  </si>
  <si>
    <t>When you can’t shoot them, blow them up. Coming with a hard metal casing that’s meant to break apart upon the explosion, this grenade has a safety feature in that it must hit a hard surface after it has been primed before it can detonate, ensuring that it does not explode in the user’s hand. It can also come with a ‘spoon’ so that it must leave the user’s hand before it explodes as well. Either way, a small button on the ‘handle’ is the method of priming these grenades.</t>
  </si>
  <si>
    <t xml:space="preserve">
Standard Neural Interface </t>
  </si>
  <si>
    <t>As the requirements of war and militarized technology moved forward, the requirements it puts upon its soldiers was likewise changed. This is one such example, being a brain implant that all members of the UNSC obtain upon entering service. It carries a multitude of functions, integrating with armor worn to provide a heads-up display directly into one’s optic nerve instead of on the helmet screen while providing an IFF tag for allied soldiers. Such implants are small enough that there is no visible signs outside the body, and sometimes people have forgotten they even had it until its functions come up.</t>
  </si>
  <si>
    <t xml:space="preserve">
UNSC Marine Corp Battle Dress Uniform </t>
  </si>
  <si>
    <t>The kind of armor you will generally see on the rank-and file troopers, this model has seen a great deal of use and has been spotted since the early days of the Insurrection. It comes with a CH252 Helmet that has a basic heads-up display to keep track of ammunition and your targeting reticle along with a flashlight and radio system, strong boots and fatigues to keep one protected from the elements while having quite a few pockets to keep things in, and ballistics armor over the torso, shoulder and shin. Ballistic armor may optionally include thighs, groin, and forearms as well for the cautious types. This armor provides good resistance against ballistic ammunition but does little against Covenant plasma rounds. Perhaps you could become skilled at dodging oncoming fire. This armor comes in any camouflage color scheme of your choice.</t>
  </si>
  <si>
    <t xml:space="preserve">
Elven Enchantment </t>
  </si>
  <si>
    <t xml:space="preserve"> 500</t>
  </si>
  <si>
    <t>You can enchant objects, if you pour energy into them as they are created. Some of your enchantments are useful in battle, such as swords that never dull and bows that always strike true, but most are simply to ease the life of the wearer, such as cloaks that weigh nothing and aid in hiding and water-flasks that never leak. You may also perform great workings, such as the creation of hidden doorways, given time</t>
  </si>
  <si>
    <t>29 Presentation - Addendum Emily</t>
  </si>
  <si>
    <t xml:space="preserve">
Hangar </t>
  </si>
  <si>
    <t>Sure you might be able to get a fighter plane… but where are you going to store it? You can’t just leave your vehicle to the mercy of the elements, it would cause all manners of damage to the plane and then you might be really in a bind. That’s why if you come out of this with a plane (or end up importing one) you can obtain a hangar bay which has the tools needed to keep the plane in good shape and can stand up to most forms of weather. It can even attach to a property or the Warehouse after your time here should it please you. For an undiscounted +100CP, this turns into an automated hangar bay with heavy arms and equipment to make repairing and moving the plane significantly easier.</t>
  </si>
  <si>
    <t xml:space="preserve">
4th Generation Fighter Plane </t>
  </si>
  <si>
    <t>These planes have been around for some time now, and as a result some would consider these particular planes to be outdated. It’s not the most advanced machine in the sky, but it will get the job done when you need it. Whether it's an MiG-29OVT, an F-18, Su-27 or something else, you can be given a 4th Generation Fighter Plane to do your work and achieve what you need to achieve. Show them that the old ways still work.
Autocannon - Something of a standard on anything that flies in the air, autocannons or gatling guns on a plane’s nose can help one shoot down enemy planes or other targets by unleashing a torrent of bullets upon whatever has the misfortune of being in front of your plane at the time. This option will grant a single gun with 1000 rounds.
Standard Missiles - One of the things that is noteworthy regarding just about any plane is the fact that they will carry missiles. The reason is obvious; you need more than just bullets. That’s why you have a good supply of missiles, attached to your plane and ready to fire off the moment you achieve radar lock with your plane. It’s simple, but it works. Sometimes that’s all you need.
Flare Launch System - Flares are fairly important when it comes to aerial combat. After all, you are in enemy airspace. Enemies will want to shoot you with missiles. Ergo, having protection against missiles would be the smart thing to do. Radar-guided missiles can be duped easily, but infra-red missiles that track heat sources are a concern. Thus it is important for this flare countermeasure system to be equipped, allowing you to launch flares while you do a sharp turn and reduce engine power to dupe the missile into hitting the flare instead. It’s not perfect… but it could be better than nothing.
Ejection System - You know the old saying of going down with the ship? Yeah, nuts to that. This isn’t the navy, this is the Air Force. That’s why there’s ejection equipment for when your plane gets shot down, assuming said plane wasn’t just instantly vaporized by whatever attacked you to begin with.</t>
  </si>
  <si>
    <t xml:space="preserve">
Basic Flight Training </t>
  </si>
  <si>
    <t>If you couldn't fly before, you have a basic idea of how to fly a plane now. You know how to maneuver the joystick properly, which button fires the missiles, and how to properly land a plane without creating a multi-million dollar pile of scrap. It won’t save you if you dive into a massive swarm of planes all by yourself, but you can learn.</t>
  </si>
  <si>
    <t xml:space="preserve">
Comm Chatter </t>
  </si>
  <si>
    <t>While an important part of war is knowing what your opponent is up to, sometimes it’s good for puffing your ego up too. For whatever reason, your radio will occasionally catch communications being broadcast from the enemy. This can range from important information to wild surprise at your antics. Not too useful, but good for knowing how you're doing.</t>
  </si>
  <si>
    <t xml:space="preserve">
Flight Suit </t>
  </si>
  <si>
    <t>When taking off, an important requirement of being in a plane is a flight suit so that the G-forces don’t make your organs explode. It sounds silly, but you’ll be lucky you had it. So, have a nifty flight suit to help keep any pressure issues down while you're in the sky, on the house. It can come in any color you wish with a snazzy helmet to boot, ensuring that you’re the most glamorous pilot in the sky.</t>
  </si>
  <si>
    <t xml:space="preserve">
Missile Surplus </t>
  </si>
  <si>
    <t>Well this is odd. Any plane you pilot seems to hold an unnatural number of missiles for its type, far more than it should. You're not sure where it's getting this many missiles, but you'll have to restock them if you run out. The same thing happens with special weapons, though you have to have a working model to attach if you want to swap it out. The standard number of missiles thanks to 'Missile Surplus' is 150 missiles on a plane, barring any differences depending on the description of the weapon.</t>
  </si>
  <si>
    <t xml:space="preserve">
Ambrosial Artificer </t>
  </si>
  <si>
    <t>So many moving parts, so many pieces to the puzzle. It's so... needless. The other tech teams are complete morons. That's why you've learned how to figure out the optimization of your complex machines like Veritechs. What parts you don't need, you find a way to do away with. What parts you DO need, you can use the now-extra space to improve and bolster their performance. Some will call you mad. But the only madness that will come from your work is the rage of your enemies and rivals.</t>
  </si>
  <si>
    <t xml:space="preserve">29 Presentation - Addendum Emily
</t>
  </si>
  <si>
    <t xml:space="preserve">
The Arcane Craft </t>
  </si>
  <si>
    <t>Sword and Sorcery</t>
  </si>
  <si>
    <t>As much as you might look down upon brutes and barbarians who know only how to break bone and spill blood, you and the warriors of this land have one thing in common. You require the tools of your trade. You know all the methods and ways to bind arcane and mysterious forces into physical vessels. Rings, staves, talismans, warded stone towers, and even more. These items allow the channeling of such forces to work your will, capturing, bending, and shaping the worlds invisible tides to enable works of sorcery and occult splendor. The strength of these items and their effects rely on your skill, knowledge, and power. Of course should you yourself be a font of such forces from your varied lives then you would be surely capable of building the focuses and talismans to augment and amplify your power. The world rewards men for diligent labor. It would behoove you to refine this art to get everything you can out of it. This also includes the skill to use such items, even those not made by your hand should you have the ability to reveal their secrets.</t>
  </si>
  <si>
    <t>30 Crescendo - Addendum Missy</t>
  </si>
  <si>
    <t xml:space="preserve">
Build That Wall </t>
  </si>
  <si>
    <t>Bastion</t>
  </si>
  <si>
    <t>You know the basics of Caelondian technology. You understand how to harness the semimystical power of Cores and turn it into usable Mantic energy, to power basic machinery, shortrange flying machines, computers, and a variety of other uses. More interestingly, you can use Core power to reinforce existing structures, running a Matic current through it to enhance whatever physical properties it possesses usually durability, though other uses are possible. This is what allowed structures like the Rippling Wall and the Bastion to survive the Calamity as well as they did. You also gain basic skill for mundane construction.</t>
  </si>
  <si>
    <t xml:space="preserve">
Phonograph </t>
  </si>
  <si>
    <t>An old-fashioned hand-cranked phonograph. Very sturdy, gives much higher-quality sound than you’d expect. Has a single record with the full OST for the Bastion game, as well as several additional Caelondian and Ura folk songs.</t>
  </si>
  <si>
    <t xml:space="preserve">
Bandit Gunsmith </t>
  </si>
  <si>
    <t>You have amazing technical insight and when shown to a pile of broken weapons or energy shields you can use parts from some to reassemble others into decent condition. Don't expect it to be pretty, but you can nail 15 repeater pistols together to make a functional shotgun, or use bits of five shields to make one that works.</t>
  </si>
  <si>
    <t xml:space="preserve">
Alkahestry </t>
  </si>
  <si>
    <t>You can feel The Dragon’s Pulse. You understand how to perfom basic Alkahestry, an art from Xing wich can perform transmutation from a distance using linked circles, and can heal wounds of many kinds by following the pulse of the body. With practice or tutoring you can make a real skill from it.</t>
  </si>
  <si>
    <t xml:space="preserve">30 Crescendo - Addendum Missy
</t>
  </si>
  <si>
    <t xml:space="preserve">
Volcanic Forge </t>
  </si>
  <si>
    <t>The Smith God's power is great, but it is not by his will alone that his works are forged. There is also his tools to consider, and with this you have one such tool. Attached to your Warehouse is a small volcano, a fiery beast that will never fade and never falter. Its power is great, reducing the time you need to break down metals and minerals, reworking them into new forms while increasing their quality and inherent strengths. Should you choose, you may also take a significant hit in forging time to experiment with different metals and minerals, melting and combining them to create a different, newer resource with one quality from the second object in question. Rise, craftsman. Rise and begin your work.</t>
  </si>
  <si>
    <t xml:space="preserve">
Advanced Materials Upgrade Kit </t>
  </si>
  <si>
    <t>Light of Terra 4 - Lords of the Iron Line - Warhammer 40,000</t>
  </si>
  <si>
    <t>Plasteel, adamantium, armourplas, synth-leather and other sophisticated materials are used for all sorts of purposes within the Imperium and are typically far more resilient than their archaic equivalents. Archaic styles of armor are seldom effective against advanced weapons, and rarely used in any case, but many of those who hail from primitive cultures favor the styles of wargear they are accustomed to. Wrought from plasteel and armourplas instead of bronze, iron and steel, a suit of chain or plate can be a quite effective defense, often the equal of more modern armors.</t>
  </si>
  <si>
    <t xml:space="preserve">
Workshop: Magic </t>
  </si>
  <si>
    <t>A small base filled with all the equipment you’ll need to work. This lab can be used for your choice of scientific or magical research.</t>
  </si>
  <si>
    <t xml:space="preserve">
Juggernaut </t>
  </si>
  <si>
    <t>Terraria</t>
  </si>
  <si>
    <t>Your armor is a lot more effective at doing what it does just by the sheer virtue of it being latched onto and wrapped around your fleshy bits. Not to get too far into the math of it, your armor is about half-again more effective than it would be otherwise.</t>
  </si>
  <si>
    <t>31 Consensus - Preamble PHO - Addendum Accord</t>
  </si>
  <si>
    <t xml:space="preserve">
Researcher </t>
  </si>
  <si>
    <t>Understanding</t>
  </si>
  <si>
    <t>Age of Mythology</t>
  </si>
  <si>
    <t>You are far faster at designing and discovering new technologies. Inspiration and breakthroughs hit you far more often.</t>
  </si>
  <si>
    <t xml:space="preserve">
Setup Wizard </t>
  </si>
  <si>
    <t>Harry Potter</t>
  </si>
  <si>
    <t>You have a natural knack of melding technology and magic. You can easily jury-rig technology to work at Hogwarts. Your inventions could do considerable good for the magical world if they weren’t all such luddites.</t>
  </si>
  <si>
    <t xml:space="preserve">
Wand </t>
  </si>
  <si>
    <t>A wand. You don’t have it yet, mind you, but you’ll get one soon enough on a trip to Ollivanders. You can choose the wood type and between one of the wand cores he produces wands with (Unicorn Hair, Dragon Heartstring and Phoenix Feather). You may instead choose a more exotic wand core (excluding Thestral Hair and limited to parts from other canonical magical creatures/beings of this world e.g. Thunderbird Tail Feather, Veela Hair, etc.) although the three previously mentioned are among the most reliable and powerful. Different cores and woods tend to act a little differently but regardless of what you choose the wand will choose you as soon as you are introduced. Different woods may alter your historical personality (for all but Drop-ins) and therefore tendencies very slightly (e.g. Cypress wands tend to choose brave people and you will as such have been a relatively brave child, Blackthorn may result in you being slightly more combative, etc.). If you already had a wand you may import it into this role and while it will keep it’s wood and core it will gain a significant loyalty boost.</t>
  </si>
  <si>
    <t xml:space="preserve">
Divine Child - Hephaestus </t>
  </si>
  <si>
    <t>Personal, System</t>
  </si>
  <si>
    <t>You are the direct child of a god of your associated pantheon and gain various benefits from this. You gain lesser manifestations of your parent's domains as well as generally being better than an ordinary mortal. You may take most any god as your parent but to take one of the heads of a pantheon as a parent you must take the "Fate finds you interesting" drawback receiving no points for it (you can also do this with a lesser god to get greater powers). Generally this will give you insight into and some control over your divine parent’s domains, a son of Poseidon for example can control water and ships, talk to horses, cause minor earthquakes and is empowered within water.</t>
  </si>
  <si>
    <t xml:space="preserve">
Old Traditions </t>
  </si>
  <si>
    <t>You are knowledgeable in the ways of the ancient civilization corresponding to whatever mythology you're most connected with. You can read their languages, know the proper ways to honor the gods, and have a decent grasp of their mythology. Otherwise unassociated Drop-ins may choose any one ancient culture to know of. You may purchase this multiple times, each time gaining insight into a new culture.</t>
  </si>
  <si>
    <t xml:space="preserve">
Analysis </t>
  </si>
  <si>
    <t>Red Alert 3</t>
  </si>
  <si>
    <t>You can immediately identify any defects in hardware upon casual observation. This is effective on devices, Vehicles, and buildings.</t>
  </si>
  <si>
    <t>32 Family Fugue - Preamble Taylor - Addendum Mike</t>
  </si>
  <si>
    <t>Adventure Time</t>
  </si>
  <si>
    <t>You have the skill and insight to make powerful analytical tools. Such tools are capable of showing you the physical makeup of the things you come across, detect magic and alert you to hidden doorways.</t>
  </si>
  <si>
    <t xml:space="preserve">
Lack of Materials </t>
  </si>
  <si>
    <t>Times are tough in this land. Forces beyond knowing, monsters that roam the lands, and gods who are as petty as they are powerful. With chaos such as this, there are times you may not be able to get everything of what you need. But you've learned to make do. You can get the most out of your materials, using two bars of metal where you might need four, or three hides when you needed six. Of course, if you DO have all the materials required you can use them to make your creations more effective in quality and capability as well. So maybe it doesn't hurt to put the extra mile in.</t>
  </si>
  <si>
    <t xml:space="preserve">
Skills: Combat </t>
  </si>
  <si>
    <t>Hand to hand fighting is an ancient and quintessential skill for every soldier no matter what time period.</t>
  </si>
  <si>
    <t xml:space="preserve">
Skills: Physical Sciences </t>
  </si>
  <si>
    <t>Understanding of the natural laws which govern the physical world. Biology, chemistry, geology and ecology. Again, you may want to rewrite a few of these books while you're here.</t>
  </si>
  <si>
    <t>33 Morning Training - Preamble James - Addendum Youth Guard</t>
  </si>
  <si>
    <t xml:space="preserve">
Lathe of Heaven </t>
  </si>
  <si>
    <t>We're always going to need weapons, so the way I see it, you might as well get good at making them. Now? You'll be able to give old man Melchior a run for his money. Swords, guns, armor, even sunglasses - if it's worn or wielded, you can make it a masterpiece. You'll also learn how to make use of any material, bringing out its best qualities and minimizing its weaknesses. You could make bone sharper than steel, gold sturdier than titanium, and take a legendary material nobody's ever seen before, and figure out how to forge it, what to alloy it with, and how to craft that alloy into an impossibly sharp sword or some amazing shades.</t>
  </si>
  <si>
    <t xml:space="preserve">
Tool Kit </t>
  </si>
  <si>
    <t>Woah now, Sonny Jim! You don't expect to fix that machine with your bare fingers, do you? Don't go anywhere without the equipment you need to make sure that tech keeps on trucking! A handy dandy set of tools to accommodate for maintaining Variable Fighters. This will make things easier if you want to keep things in shape or just want to poke around and see what's inside!</t>
  </si>
  <si>
    <t xml:space="preserve">
Basic Training </t>
  </si>
  <si>
    <t>Piloting a Variable Fighter can be pretty complex. There's all kinds of modes and maneuvers to worry about... with this, you won't have to worry so much. You'll know which button does what, and you won't end up turning into a mech when you need a jet. ...but I reserve the right to laugh if you mess up anyway</t>
  </si>
  <si>
    <t xml:space="preserve">
Basic Variable Fighter </t>
  </si>
  <si>
    <t>Vehicle, System</t>
  </si>
  <si>
    <t>Your good ol' Fisher Price Veritechs! They may be the beginning, but they're classics and were the groundwork for future generations. Editions like the VF-1A Valkyrie (or its other variants), the YF-4, VF-2SS or the VF-4 Lightning III are made available for your stay here. It can transform in the atmosphere and operate in space, but it cannot reach escape velocity on its own. Comes with basic armaments and like all Variable Fighters can transform into a Jet, a Mech, or a 'middle' form called Guardian Mode.</t>
  </si>
  <si>
    <t xml:space="preserve">
Serene Sinatra </t>
  </si>
  <si>
    <t>You're no slouch in the singing department, that's for sure. You may not be popular idol material, but no one's going to complain if you decide to sing along to a song or randomly bust out a tune with a voice like this. Who knows, maybe you could practice and get a little better?</t>
  </si>
  <si>
    <t xml:space="preserve">
Space Suit </t>
  </si>
  <si>
    <t>A futuristic, spandex space suit that will let you survive for 20 minutes in deep space. It's really more in case your vehicle gets stranded, but otherwise it's pretty darn cool looking.</t>
  </si>
  <si>
    <t>34 Little Talks - Addendum Ethan</t>
  </si>
  <si>
    <t xml:space="preserve">
Starting Gear </t>
  </si>
  <si>
    <t>Fallout 4</t>
  </si>
  <si>
    <t xml:space="preserve"> 0</t>
  </si>
  <si>
    <t>You get faction appropriate clothing (normal clothes for Drop Ins and Railroad, a uniform for BOS, lab coat for Institute, and a hodge-podge of leather and scrap metal for Raiders) and your choice of a 10mm pistol, brass knuckles, a security baton, a machete, or a laser pistol (regular or Institute), as well as 100 Caps</t>
  </si>
  <si>
    <t xml:space="preserve">
Scrapper </t>
  </si>
  <si>
    <t>You have the capability to dismantle and repurpose objects for your own creations; even ones that you might not fully understand. So long as it’s not hopelessly beyond your understanding, indestructible, or ridiculously big, you’re capable of taking most things and reducing them to their base components, salvaging any working parts with only a few days of work at the worst.</t>
  </si>
  <si>
    <t xml:space="preserve">
Advanced Formulae </t>
  </si>
  <si>
    <t>Alchemy comes to you as breathing does. Your greater understanding allows for the creation of more complex alchemy. You can combine with Simplified Formulae for multipurpose combat alchemy</t>
  </si>
  <si>
    <t>35 Closing Words - Addendum Chris</t>
  </si>
  <si>
    <t xml:space="preserve">
Robust Engineering </t>
  </si>
  <si>
    <t>Ten thousand years of stagnation in technology is a very long time... and now you know how to apply the lessons of those millennia to the construction of anything you have. Mass production does not exist any longer and even relatively common items are made as if masterwork quality, because aside from obvious cheap items, they have been built to last longer than the person using them. Expect anything you construct by hand to be able to last centuries, as long as you take a little extra time while you make it. With the amount of time you're going to be around... you may need that sort of quality.</t>
  </si>
  <si>
    <t>System, Ability</t>
  </si>
  <si>
    <t>King Arthur</t>
  </si>
  <si>
    <t xml:space="preserve"> 600</t>
  </si>
  <si>
    <t>Thanks to being taught by faeries anything you make by hand is a great deal better than anything regular human can make. Armor is nearly indestructible and lighter than it should be, blades are sharper, blunt weapons have more force behind them, bows and crossbows can shoot farther and are easier to pull back. Even mundane items like baskets work better, though you can't give items mystical powers without being a wizard or something.
This perk is being interpreted based on https://drive.google.com/file/d/15njr4mTk5dNkgHOZzG9NPWjODTuAoIhC/view?usp=sharing which is a different jumpdoc than the one which contains it.</t>
  </si>
  <si>
    <t xml:space="preserve">
Secular Skills </t>
  </si>
  <si>
    <t>Red Dwarf</t>
  </si>
  <si>
    <t>Through growing up in a society in which religion tried to stem the natural instincts of the cat people towards vanity and good looks, you learned to craft amazing clothes and outfits from the most base materials and tools, and don’t worry they all will look fantastic.</t>
  </si>
  <si>
    <t>35.1 Interlude Dragon - Addendum Margaret</t>
  </si>
  <si>
    <t xml:space="preserve">
Weaponsmith </t>
  </si>
  <si>
    <t>To weaponry what Armourer is to protective gear, this is a massive database of the various tools of mayhem the denizens of the Necromunda hive have wielded against each other. While the high tech equipment possible may seem nice, do not underestimate the value of low tech weaponry. Crafting a plasma pistol and crafting a bayonet require wildly different sets of skills, and all too often people who have one assume they have the other, to their chagrin.</t>
  </si>
  <si>
    <t xml:space="preserve">
I Am Iron Man </t>
  </si>
  <si>
    <t>You're not the ACTUAL Iron Man, but you could make a fairly decent knock-off. Power armors, sonic cannons, holographic interface, laser weapons, repulsor technology, you have the knowledge to build these things and more. Furthermore, you can think of different upgrades and modifications to adapt to different situations much easier than normal when presented with a problem that's hampered your technological progress.</t>
  </si>
  <si>
    <t>36 Debrief - Addendum The Bay Bulletin</t>
  </si>
  <si>
    <t xml:space="preserve">
Waste Not </t>
  </si>
  <si>
    <t>Monster Hunter</t>
  </si>
  <si>
    <t>You have found out a great secret in the blacksmithing trade - the reason that most blacksmiths usually ask for so many materials to make a certain weapon or armor isn't because its material intensive, but because they can make one for half of the materials and either sell the rest or make another to sell at a profit. The bastards! You have figured out how to use less materials to gain the same results when it comes to crafting your own weapons and armor. At first it may just be an ore or two less, but with enough practice you acn reduce the amount of materials needed for a project by half (rounded down). As an added bonus, with enough practice, you have a 50% chance to not require high-grade or legendary materials (Rubied, Plates, etc) to make an item, provided you can supplement the build with excess materials.</t>
  </si>
  <si>
    <t xml:space="preserve">
Weapon &amp; Item Storage Chest </t>
  </si>
  <si>
    <t>An absolte must whether you're an aspiring hunter or roving trader. You get two chests - the first one is capable of storing up to 1000 individual weapons, pieces of armor, and charm talismans, while the second is capable of storing up to 1000 stacks of 999 of any given healing item, monster part, ore, or item that isn't a weapon, armor piece, or talisman.</t>
  </si>
  <si>
    <t xml:space="preserve">
Minor Blessing Athena - Craftsmanship </t>
  </si>
  <si>
    <t>For one reason or another you've got a god who cares slightly about you and has seen fit to grant you some minor boon within their domains. Choose one god from any pantheon and gain a minor boon from them. The god will care slightly about you but unless you go on to further distinguish yourself it will be more of a minor interest in your affairs than someone they feel the need to help (Effectively think a diminished version of one ability a demigod might have, think minor ones are stuff along the lines of breathing water, lucid dreaming, or appropriate vague extra senses, useful but nothing especially major). This can be taken multiple times.</t>
  </si>
  <si>
    <t xml:space="preserve">
Fate Finds You Interesting </t>
  </si>
  <si>
    <t>You must take the "Fate finds you interesting" drawback receiving no points for it (you can also do this with a lesser god to get greater powers).
(This boost the power of Divine Child)</t>
  </si>
  <si>
    <t>37 Small Tasks - Addendum Meeting Report</t>
  </si>
  <si>
    <t>Castlevania</t>
  </si>
  <si>
    <t>Through careful experimentation and research, you've gained understanding of the true nature of God's creation of the world. You may now utilize a lesser form of this art to create items of power, ranging from potions and charms to powerful weapons to drive back the forces of evil. You also understand the basics of a darker form of this art, enabling you to understand and counter evil rituals.</t>
  </si>
  <si>
    <t xml:space="preserve">
Time: Manufacturing Line </t>
  </si>
  <si>
    <t>You've always been of the opinion that technology advanced too slowly before you arrived, but now you can apply that to the physical world as well! Any building process you oversee, whether it be the forging of a sword or an entire tank factory, will now produce results twice as fast and with half the required materials used.</t>
  </si>
  <si>
    <t>38 Build Up - Preamble Leet - Addendum Rey</t>
  </si>
  <si>
    <t xml:space="preserve">
Aesthetics and Flair </t>
  </si>
  <si>
    <t>Quality</t>
  </si>
  <si>
    <t>Bayonetta</t>
  </si>
  <si>
    <t>A gun isn't quite a gun until it LOOKS good, you know? It's supposed to be classy, make you look amazing just for having it. Likewise, that sword could use a bit of badass styling to it. When you create your weapons, you can make them look DAMNED good even on an off day. Expect any weapon creator to envy you, and those who die by your weapons to count themselves lucky as they perish to such beautiful art.</t>
  </si>
  <si>
    <t xml:space="preserve">
Classy Contortionist </t>
  </si>
  <si>
    <t>Um... this is something. You've got an innate sense of posing that you can utilize, whether it be to show off your sexiness or simply throw people off their game. It's got all kinds of applications, and no matter what you're always going to look good. Throw it into your battle styles or something.</t>
  </si>
  <si>
    <t xml:space="preserve">
Inexplicable Innuendo </t>
  </si>
  <si>
    <t>You're not sure how, but just by being here you've gotten the jive of things. Any time you want to come off as sexy or just talk in a lightheartedly dirty manner, it's easy as pie for you. Want to make some people squirm with an implication? Done. You can even implement this in your battle quips, throwing them off their game for that moment of distraction you need.</t>
  </si>
  <si>
    <t xml:space="preserve">
Putting On The Reich </t>
  </si>
  <si>
    <t>Indiana Jones</t>
  </si>
  <si>
    <t>They may fear your tenacity. They may hate your cause. They may even oppose your beliefs. But one thing remains constant: A begrudging respect for the aura of organization and sharpness you give off. You have an excellent sense of how to design uniforms that not only are intimidating and show the power of your group, but are also fashionable and make your group look organized, official in a way. It's time to show them who's Boss.</t>
  </si>
  <si>
    <t xml:space="preserve">
Heretical Adaptation </t>
  </si>
  <si>
    <t>Symphogears are, in essence, a Relic adapted into a combat system for it's ability to generate massive amounts of energy that can be formatted into a certain kind of matter through a generic mass-energy converter. However, they also have the ability to 'evolve' overtime, gaining additional armor and improvements to features such as onboard thrusters. With a bit of study, it might be possible to apply this adaptive behavior to other materials, encouraging them to improve themselves over time.</t>
  </si>
  <si>
    <t xml:space="preserve">
Calling Card </t>
  </si>
  <si>
    <t>You spent a lot of time coming up with your combat techniques. It's only fair to name them! When you make an attack that's above par, time almost seems to freeze for a second, and all those onlooking instinctively recognize the name and intended theme of the technique. This effect can be toggled.</t>
  </si>
  <si>
    <t xml:space="preserve">
Scrapyard Skills </t>
  </si>
  <si>
    <t>Where others see junk, you see treasure just waiting to be utilized. You can make far more use out of scrap metal and tossed out electronics, repurposing them for many different tasks. That washer machine might have the parts needed to help spin an engine turbine, or that piston tube might be JUST the right size to refashion into a grappling hook launcher... it's all in how you use it and how you repurpose things.</t>
  </si>
  <si>
    <t xml:space="preserve">
Rockin' Music </t>
  </si>
  <si>
    <t>When you're going around or doing something awesome, you can choose to have a sick electric guitar riff or a few notes of heavy metal goodness playing as you work in all your glory! ...or villainy. Either way it's sure to sound amazing.</t>
  </si>
  <si>
    <t xml:space="preserve">
Valkyrian Science </t>
  </si>
  <si>
    <t>Somehow you've gained some of the knowledge that the Valkyrur used to possess, giving you the skill and ability to graft Ragnite machinery on a level far above any modern human. At first, you'd only be able to create replica's of the Valkyrian weapons, but with many years of study it might be possible to recreate the Valkyrur themselves.</t>
  </si>
  <si>
    <t>39 Set Up - Addendum Kenta</t>
  </si>
  <si>
    <t xml:space="preserve">
Valuable Memories -the creation of chimeras </t>
  </si>
  <si>
    <t xml:space="preserve">
Mauler </t>
  </si>
  <si>
    <t>Command and Conquer: Tiberium Wars</t>
  </si>
  <si>
    <t>You have the skills of a junkyard hound, able to make even the most heavily damaged tech work again. Even machines too battle-damaged for recovery 20 years ago can be effective under your wrench. Repurposing tech and equipment is your forte; you can turn a pneumatic screwdriver into a reasonable cannon, and heaven help your enemies if you get anywhere near mining equipment, as a powerarmored mutant is quickly appearing in their future. There was even one time where you made a toaster into a reasonable facsimile of a flamethrower…..</t>
  </si>
  <si>
    <t xml:space="preserve">
Technosorcery </t>
  </si>
  <si>
    <t>Combining magic and technology is a no brainer for you. You can handily blend the two to create amazing effects like broadcasting spells over telephone lines or melding creatures together through sorcerous surgery. Very little in the field of technomagic is beyond your reach with this skill.</t>
  </si>
  <si>
    <t xml:space="preserve">
Tailor </t>
  </si>
  <si>
    <t>You have the knowledge of how to safely work with life fibers, and how to make them into clothing that empowers (or inhibits) the wearer. In addition, because you know how Life Fiber uniforms work, you know their weak spots better than anyone.</t>
  </si>
  <si>
    <t>40 Knock Down - Preamble Gully - Addendum Emergency Alert</t>
  </si>
  <si>
    <t xml:space="preserve">
Anaheim Degree </t>
  </si>
  <si>
    <t>Gundam UC</t>
  </si>
  <si>
    <t>You have the knowledge (and the paper to prove it to people and shove in their faces to establish superiority) of how to build MS. It’s trickier than it looks, honestly. Weight balances, servo designs, energy reserves-it’s all down to a science and you know how to build the basics. Who knows what you can learn from a bit of hands-on training...</t>
  </si>
  <si>
    <t>This is an addition to the warehouse designed specifically for housing the MS and any vehicles you bought from this Jump, nothing more, nothing less. It does not have space effectively for anything else. You may summon a Mobile Suit remotely, but it will take a minute to launch, a few minutes to travel and you will still have to clamber inside once it lands. The land battleship and cruiser will take much longer, at least 3x as long, probably more, and you cannot call and dismiss them at will- it takes time to reset. 1 day (24 hours) for a Mobile Suit or small vehicle and 3 days (72 hours) for any form of ship</t>
  </si>
  <si>
    <t xml:space="preserve">
Mass Production Mobile Suit: Gun-EZ </t>
  </si>
  <si>
    <t>The GM. The Jegan. The Zaku II. The Gun-EZ. The Den’an Zon. They are not powerful; they are not the best of the best, for they are designed for the common soldier. Everyone starts out piloting one of these, just gotta work your way up. (Or like the higher-up on the faction ladders, just buy a better one.)
60mm Vulcans: These are usually head-mounted in pairs (and this comes in a pair), but don’t expect to win anything with these- they’re usually used against missiles, small vehicles and fragile equipment like sensors. They can’t even penetrate the armor of a Zaku II.
Beam Saber: The standard melee weapon even during the OYW, these laser swords can slice through MS armor pretty well- they are swords, though, and getting close to an MS may be the toughest thing you’ll do here. You may also choose instead a pair of Heat weaponry like knives or an axe or a Heat Saber.</t>
  </si>
  <si>
    <t xml:space="preserve">
Exotic Compatibility </t>
  </si>
  <si>
    <t>Gundam: After Colony</t>
  </si>
  <si>
    <t>You have a way of working with quirky and strange materials-in your hands and machinery, it assumes the forging and abilities of plain Iron until you begin building with it. You also can integrate exotic materials into your constructions a lot easier, and if you don’t know what a material is or what it can do, you’re very good at researching applications and properties of said materials. This research could also go into things such as improving production numbers and similar.</t>
  </si>
  <si>
    <t xml:space="preserve">
Leo </t>
  </si>
  <si>
    <t>This is an adorable, lovable little scrapper we call the Leo, and it’s actually fairly decent for a Mook- it’s got armor enough to survive a few shots from its own gun, it’s able to be modified with little trouble (adding a space-movement backpack or shoulder cannons) and it doesn’t have restricted hands. Still, it’s just a Mook, but can you resist the needy stare of this cutie?</t>
  </si>
  <si>
    <t xml:space="preserve">
Talented: Tailoring </t>
  </si>
  <si>
    <t>Inukami</t>
  </si>
  <si>
    <t>You are an expert at any non-combat related skill. Cooking? You can make a five star meal with low rate ingredients</t>
  </si>
  <si>
    <t>41 Drag Out - Preamble Chen</t>
  </si>
  <si>
    <t xml:space="preserve">
Valuable Memories: Bigs </t>
  </si>
  <si>
    <t xml:space="preserve">
Armor-Shift Manufacture </t>
  </si>
  <si>
    <t>Bloody Roar</t>
  </si>
  <si>
    <t>A small machine - big enough to hold a massive pauldron or two - that gives any pieces of armor or clothing placed inside a specific quality: When their wearer changes form, the armor and clothing changes form with him / her.</t>
  </si>
  <si>
    <t xml:space="preserve">
Beast Change!: Inostrancevia </t>
  </si>
  <si>
    <t>You can freely access your Zoanthrope form, becoming a monstrous humanoid that is a horrific combination of human and beast. Reptile, mammal, avian, amphibian, piscine, it does not matter what. If it existed in Earth’s lifetime, you can choose it. (Yes, this includes Dinosaurs. No, it does not include microorganisms.)</t>
  </si>
  <si>
    <t xml:space="preserve">
Martial Artist: Muay Thai </t>
  </si>
  <si>
    <t>Pick one martial art from Earth’s history &amp; various cultures. You now know the basics of this art, as well as a few of the more advanced moves. More beneficially, you know how to apply this martial art to your Zoanthrope form - and combine the two into a deadly style of combat. Wrestling forms and dances are also accepted if they can be theoretically used in combat.</t>
  </si>
  <si>
    <t xml:space="preserve">
Prismatic Laboratory </t>
  </si>
  <si>
    <t>Fallen London</t>
  </si>
  <si>
    <t>The principle of acute observation is light! And to that end, you have fashioned a workspace of lenses, liquids, critters and crystals to focus upon recreating a spectrum of lights fantastic. Ah, the impossible palette: those colours only seen in the Neath! You may not always produce something like it, but you will produce their inks and lenses in time.</t>
  </si>
  <si>
    <t xml:space="preserve">
Connections: Hell </t>
  </si>
  <si>
    <t>Those amber eyed Devils have taken a shine to you. From their Westernmost halls, to the Brass Embassy on Ladybones, there’s not a tempter who doesn’t know you. Their gifts include nevercooling brass, poisonous wine, masquerade invites, chemicals, and a few bottled souls that strayed away from the archives. Cannot take with Church.
They will send you gifts every fortnight as payment for some obscure service. Similar factions may be present in future jumps.</t>
  </si>
  <si>
    <t xml:space="preserve">
Connections: Rubbery Men </t>
  </si>
  <si>
    <t>Ssaloshagosh? How do you spell that? They risk stonings and harsh glances as they make their way to your abode, but by some alien measure it is worth it. Their slimy packages reveal amber of various colours, tiny unusual skulls and pocket change from ancient cities. Cannot take with Revolutionary.
They will send you gifts every fortnight as payment for some obscure service. Similar factions may be present in future jumps.</t>
  </si>
  <si>
    <t xml:space="preserve">
St Andrew’s Candle </t>
  </si>
  <si>
    <t>That candle you had so long ago. It feels heavier now, perhaps it has fed upon your sins, perhaps it too has changed as you have. St Andrew’s Candle no longer burns low, for indeed it resists all attempts to extinguish it. But in the case of your sudden and fatal injury, it flares in brilliant ignition, granting you ten more minutes of life and action as it burns itself down from wick to stub. It will not heal your injuries, but it will prevent new ones from forming. Should you survive and reverse your fatality, the candle will not and will only renew itself at the beginning of a new jump or after ten years post-spark. The light it gives is a true Neathy light, a reminder of your time in the Fifth City.</t>
  </si>
  <si>
    <t xml:space="preserve">
Secret of Steel </t>
  </si>
  <si>
    <t>History's Strongest Disciple: Kenichi</t>
  </si>
  <si>
    <t>An illustrated guide created by the greatest master of weapons the world has ever known. It keenly details the techniques, methods and set­up required to create weapons using traditional Japanese techniques. This text goes beyond that however, and if the directions are followed perfectly it can be used to forge weapons, armor, and tools that are far better than anything that could possibly be made even with the most advanced metallurgic technology. Objects created—while still composed of steel—will be significantly stronger than steel and can withstand blows from a Martial Arts Master. Blades made using these techniques will be preternaturally sharp, able to cut through stone, steel and perhaps even more with proper strength and training. Such bladed weapons will almost never lose their edge and require virtually no maintenance. Armor made using these techniques is nearly indestructible and will never rust or corrode. Normal tools will work with such efficiency that even primitive tools can accomplish feats of scale equivalent to highly advanced modern technology. For example, a scythe made with these techniques could harvest an entire field in the same amount of time as a combine harvester or a simple hoe could do the work of a tractor­towed plough.</t>
  </si>
  <si>
    <t xml:space="preserve">
“Sword” - Lantern Shield </t>
  </si>
  <si>
    <t>Item, Personal</t>
  </si>
  <si>
    <t>You receive a “sword”. Not necessarily a literal sword; rather a tool that you carry into battle and which you place your heart, soul and trust in.
If you selected weapon however, you receive your choice of melee weapon. It acts and functions as though it were created using the “Secret of Steel” making it more durable than most weapons formed using modern metallurgic techniques. As you grow in skill the weapon will as well, allowing you to hit slightly harder, swing slightly faster and strike with greater accuracy than you would with any other mundane weapon. By the time you have reached master status, you will be able to use this weapon with robotic precision, able to cut or break through a modern tank. Of course without this weapon you will be unable to do nearly half of those things, but that is the price paid when one embarks on the path of weapons. You may instead choose an existing weapon you have to receive this benefits, but it must be compatible with your martial art.</t>
  </si>
  <si>
    <t xml:space="preserve">
Katsujinken </t>
  </si>
  <si>
    <t>Ability, Personal</t>
  </si>
  <si>
    <t>Those who follow the path of “Katsujinken” or “life giving fist” hold that the true purpose of martial arts is to protect those who cannot protect themselves and improve the lives of those around them. People who follow this viewpoint view the death of their opponent as tantamount to defeat and shun those who purposefully kill. By embarking on this path, you develop a kind and calm demeanor, capable of setting just about anyone at ease. So long as you hold to this philosophy, you will be able to have a brief but significant dialogue with your opponent before any act of open combat.</t>
  </si>
  <si>
    <t xml:space="preserve">
Martial Arts Ninjutsu </t>
  </si>
  <si>
    <t>All who enter this world know at the very least the basics of their chosen martial art as well as its various strengths and weaknesses. The more styles you choose to study, the longer it will take to incorporate them into a cohesive and usable whole. You may also choose any real­world martial art not listed here if you so desire. You will however remain a novice in your style unless you can somehow obtain a master or worthy sparring partner.
Ninjutsu­ A martial art believed to have once been practiced by the shinobi of Japan. This style is based primarily around precision, stealth and deception. Its users are particularly skilled at kneading their ki, allowing them to engage in maneuvers and techniques that to the untrained eye appear like magic. It is both an unarmed and armed martial art.</t>
  </si>
  <si>
    <t xml:space="preserve">
Sei Ki </t>
  </si>
  <si>
    <t>Ki is the life force, energy or breath that flows through all living things. Martial artists harness their Ki to perform amazing feats of strength and abilities, with master's able to channel their Ki into effects that are truly superhuman.
Those who utilize Sei Ki seek to focus their Ki inwards. In battle this results in an inner calm and centeredness that lends itself well to thoughtful action and awareness of surroundings. Those who have Sei Ki will be able to master techniques that do not rely on power or anger but on wits, talent and skill. Sei users will be more likely to come up with new inventive solutions in combat and will frequently have moments of insight that may turn an unwinnable battle in their favor.</t>
  </si>
  <si>
    <t xml:space="preserve">
Weapons </t>
  </si>
  <si>
    <t>Martial artists who embark on the path of weapons will seek to master a physical implement to augment their fighting style. These tend to be much more lethal than unarmed fighters, but are at a disadvantage when disarmed or caught without their weapon. Whenever you fight with a weapon corresponding to your martial art, you will find that you consistently deal more damage and are more accurate with your strikes than if you fought unarmed.</t>
  </si>
  <si>
    <t xml:space="preserve">
Master’s Body </t>
  </si>
  <si>
    <t xml:space="preserve"> Free after 10 years</t>
  </si>
  <si>
    <t>You possess the body of a master. You are very near tireless, capable of fighting for days without sleep and only limited food. You never run out of breath, and will still be able to engage in vigorous physical activity even after extreme exercise. You now have access to a limitless logarithmic growth of your physical strength, durability, speed and agility.</t>
  </si>
  <si>
    <t xml:space="preserve">
Workshop: Woodworking </t>
  </si>
  <si>
    <t xml:space="preserve">
Sea Snail Shells </t>
  </si>
  <si>
    <t>Splatoon</t>
  </si>
  <si>
    <t>You have a small breeding population of around 10 Super Sea Snails, large snails with crystalline, conical shells. The snails are hermaphroditic but and they live for around 15 years. They're more than they seem, though they provide an invaluable service- Their shells can be used to imbue hats, shirts, and pairs of shoes with extra Ability Slots, or reroll the abilities of a clothing item with 3 full slots. This kills the Sea Snail, but if you're careful to keep up the population then eventually you might have an entire wardrobe of 3-slot clothing. Also, they're delicious when cooked right.</t>
  </si>
  <si>
    <t xml:space="preserve">
That Undefinable Thing </t>
  </si>
  <si>
    <t>Tales of Symphonia</t>
  </si>
  <si>
    <t xml:space="preserve">Even if you can't describe it, you can still manipulate it. You can now make physical tools and containers for souls, as well as gaining the knowledge of how to use the soul as a power source for magic, machinery, and living bodies. Given proper resources (raw souls), you can create Exspheres and Key Crests­ which can then power the things mentioned in your place.
Anything powered by their user’s soul is known intimately to them, inhabited by the soul the same way a body is inhabited by a soul. It becomes in all ways an extension of the self, for good or ill. While the soul is infinite, it can be diminished and grown. Take care. </t>
  </si>
  <si>
    <t xml:space="preserve">
Iconic Outfit </t>
  </si>
  <si>
    <t>This outfit is rugged, stylish, and undeniably YOU.</t>
  </si>
  <si>
    <t xml:space="preserve">
Questionably Practical Weapon </t>
  </si>
  <si>
    <t>You're fighting with that? Really? And merchants will sell you more and more deadly upgrades? If you want this can be a well crafted mundane weapon instead.</t>
  </si>
  <si>
    <t>42 Incapacitated - Preamble Jeanne</t>
  </si>
  <si>
    <t xml:space="preserve">
Minor Blessing Hestia - Hearthfire </t>
  </si>
  <si>
    <t>For one reason or another you've got a god who cares slightly about you and has seen fit to grant you some minor boon within their domains.</t>
  </si>
  <si>
    <t xml:space="preserve">
Unnatural Skill: Alchemy </t>
  </si>
  <si>
    <t>Whether from your heritage or just being that good you've got one particular mundane skill that your feats with border on supernatural.</t>
  </si>
  <si>
    <t xml:space="preserve">
Striker Artificer Toolkit </t>
  </si>
  <si>
    <t>Strike Witches</t>
  </si>
  <si>
    <t>Professional Quality Toolkit for sale. Never used. All the tools you need to make a Striker. Act Quick, Limited Stock. O'Malley's Tool Mart.</t>
  </si>
  <si>
    <t xml:space="preserve">
Defensive Sign “Directional Shield” </t>
  </si>
  <si>
    <t>All Strike Witches are trained to produce a 2 dimensional circle of energy a short distance directly in front of them which can deflect light attacks. You cannot fire a weapon through a shield.</t>
  </si>
  <si>
    <t xml:space="preserve">
First Generation Striker </t>
  </si>
  <si>
    <t>A basic propeller driven Striker unit. Very agile but unable to break the speed barrier. Fighter</t>
  </si>
  <si>
    <t>43 Ripples Aisha - Preamble Gully - Addendum Joe</t>
  </si>
  <si>
    <t xml:space="preserve">
Build Rome </t>
  </si>
  <si>
    <t>You have a thing about building things- you’re damn fast, and you’re damn good. They say you can’t build 10 Mobile Suits in a week? Hah! You’ll build twice that much and you’ll build them to last! You simply have utter talent in the way of making things quickly enough to double production, maybe even triple production if you work at it enough, and they’ll come out with no loss of quality. In addition, these constructions will last- barring sudden disaster and similar, they’ll easily last several decades of constant abuse, and if they’re upkept and repaired they could even last centuries with no troubles</t>
  </si>
  <si>
    <t xml:space="preserve">
Talisman Trained </t>
  </si>
  <si>
    <t>You are very skilled at using talismans. What that means is you can make them have different properties (like light or sound) and with enough time and training you can make with enough time and training you can make truly devastating effects.</t>
  </si>
  <si>
    <t xml:space="preserve">
Talisman Adept </t>
  </si>
  <si>
    <t>You are much better at using talismans and can give them properties of what shape they are in. Shaped like a frog? These talismans can bounce towards their intended target.</t>
  </si>
  <si>
    <t>43.1 Interlude Fleet</t>
  </si>
  <si>
    <t xml:space="preserve">
Material Synthesis Science </t>
  </si>
  <si>
    <t>You know a few things about getting your own materials, but you also have a bit of know-how about how the people here get such quality materials. Normally, you know how to forge, quench and mold materials into more high quality specimens, but you have a specialization in Zero-Gravity Material Synthesis as well-in microgravity conditions, you can create much more effective materials thanks to the limitations of gravity being removed.</t>
  </si>
  <si>
    <t>44 Awakening</t>
  </si>
  <si>
    <t xml:space="preserve">
Thaumaturgical Focus: Transmutation </t>
  </si>
  <si>
    <t>Fate/</t>
  </si>
  <si>
    <t>There exist many special arts within magecraft, and now you have gained the knowledge of one of them. There are many schools of magic to specialise in, such as Alchemy, Memory Partition, Thought Acceleration, Transmutation, Jewelcraft, Curses etc. You could even learn the Emiya art of Time Manipulation, though you will have only the very basics, and will need years just to get to Kiritsugu's level, but you may possible go even further. You may not choose any True Magic with this perk. This perk can be bought multiple times</t>
  </si>
  <si>
    <t xml:space="preserve">
Magic Circuits </t>
  </si>
  <si>
    <t>You receive 20 magic circuits, each of the highest quality, upon entering the jump. These circuits are used to control both Od and Mana, internal and external magical energy respectively, and allow the use of magecraft. The more circuits you have, the more prana you get to play with.</t>
  </si>
  <si>
    <t xml:space="preserve">
Fixer </t>
  </si>
  <si>
    <t>This Schema contains a massive database filled with the countless bits of equipment the denizens of Necromunda Hive Primus have bought, found, built, stolen or obtained by other means over the centuries since the Hive was founded. Inexplicably it also seems to contain an extremely rare, extremely valuable and extremely heretical to own database detailing how to build and maintain Admech servitors and cybernetic parts.</t>
  </si>
  <si>
    <t>45 Realization - Preamble Taylor</t>
  </si>
  <si>
    <t xml:space="preserve">
Always a Bigger Robot </t>
  </si>
  <si>
    <t>The design and maintenance of epic machines is your specialty. You can figure out how to build starships measuring several kilometers long or devise a way to make a mountain sized mecha. You'll also have no problems getting past all the laws of physics that should make such creations impossible, perhaps Spiral Energy has something to do with it?</t>
  </si>
  <si>
    <t xml:space="preserve">
Spiral Energy </t>
  </si>
  <si>
    <t>A mysterious but incredibly powerful evolutionary force that can be harnessed and manipulated by living beings. Spiral Energy can allow an individual to achieve virtually anything imaginable, but in order to keep things from getting too crazy you’ll have to slowly unlock your Spiral powers over time. Initially you’ll only have enough power to pilot a Gunmen but with enough time and the right circumstances you can figure out how to generate large powerful drill weapons from your mech that are capable of easily destroying other Gunmen and can cause massive explosions. After a few years of continued use you could potentially learn how to increase your physical abilities, Intelligence, and natural lifespan to superhuman levels. Once you’ve fully unlocked your Spiral power you’ll be able to live for over a thousand years, punch apart small Gunmen with your bare hands, discover and forge incredible technological wonders, and generate drills and other constructs from Spiral Energy without the assistance of a mech.
Without going through any of the endgame scenarios you'll only be able achieve first arc levels of Spiral power (The feats mentioned in the description for Spiral Energy and displayed by Simon and Lordgenome during their battle at the end of the Beastmen War story arc.) until after you get your Spark and stop jumping.
Regardless of whether or not you decide to go through one of the endgame scenarios, you'll gain the ability to grant one individual in each world you go to a fraction of your Spiral Energy. The person you gift this power to can only improve if your directly train them yourself and the upper limits of their Spiral Powers cannot exceed your own.
Until you get your spark using Spiral Energy will always carry the risk of triggering the Spiral Nemesis, however doing so would probably require generating the same amount of matter and energy as the entire observable universe.</t>
  </si>
  <si>
    <t xml:space="preserve">
More With Less </t>
  </si>
  <si>
    <t>Through careful construction, you can remove unnecessary components and get maximum efficiency into your products. What this means, is that you can create the same quality item while using less resources. Items with which you have a limited supply, such as alien materials, can be stretched farther.</t>
  </si>
  <si>
    <t>46 Review</t>
  </si>
  <si>
    <t xml:space="preserve">
Efficiency </t>
  </si>
  <si>
    <t>Lego: Ninjango</t>
  </si>
  <si>
    <t>Waste not, want not! Not with this, anyway – whether building machines or making quick moves in combat, you'll never unintentionally use more energy, materials, or flourish than you need to.</t>
  </si>
  <si>
    <t xml:space="preserve">
Tempered Soul </t>
  </si>
  <si>
    <t>Soul Calibur</t>
  </si>
  <si>
    <t>You gain an innate gift for forging high-quality weaponry. The weapons you create do not appear crude in any sense of the word, and in time your skill might cause your functional weaponry to be confused for elaborate display items.</t>
  </si>
  <si>
    <t xml:space="preserve">
Natural Puppy </t>
  </si>
  <si>
    <t>The World Ends With You</t>
  </si>
  <si>
    <t>Natural Puppy is a brand full of clean and simple clothing with soft colors and modest designs. Their clothing offers good resistances to status ailments and defensive bonuses. Works best for those with the Doormat flaw.
Natural Puppy offers a lot of ranged options for Players, and has the best Force Rounds pins available as well as the exclusive Entanglement psych.</t>
  </si>
  <si>
    <t xml:space="preserve">
My Fashion Sense is Tingling </t>
  </si>
  <si>
    <t>You have an impeccable sense of fashion. You can make an appealing outfit out of just about anything. In addition, you will always have an innate knowledge of what is fashionable in the area wherever you go, allowing you to remain on top of your game no matter where you are. In fact, you'll usually be a trendsetter.</t>
  </si>
  <si>
    <t xml:space="preserve">
Entanglement </t>
  </si>
  <si>
    <t>Allows the user to create a chain between two designated points. Enemies hit by the chain (or who run into it) take damage and suffer Defense Break.</t>
  </si>
  <si>
    <t xml:space="preserve">
Player Pin </t>
  </si>
  <si>
    <t>Everyone gets a Player Pin for free, which lets them scan the surface thoughts of people in the RG. Protects against thought-reading.</t>
  </si>
  <si>
    <t>46.1 Interlude Weld</t>
  </si>
  <si>
    <t xml:space="preserve">
Technical Certainties </t>
  </si>
  <si>
    <t>Some engineers are always second guessing themselves, sticking to maintenance of machines that others use. You're so sure of your skills that you're capable of altering fighter planes to great effect, making them noticeably better than they were fresh out of the factory. Upgrades will be easy provided you have resources, and your technical prowess will ensure your plane can serve whatever role you wish of it. You could even slave the controls of ground weapons to your computers, becoming a conductor of war from the skies. You might even be knowledgeable enough to build the next superweapon...</t>
  </si>
  <si>
    <t xml:space="preserve">
Shipping the Product </t>
  </si>
  <si>
    <t>F.E.A.R.</t>
  </si>
  <si>
    <t>Prototypes are one thing, but what about actually getting the damn thing distributed? An item or weapon doesn't help anyone if it's the only one of its kind. You will find your ability to create has increased dramatically in efficiency, letting you use the materials for three of the same items to actually make five while streamlining production lines rather quickly. As a bonus, logistics have increased enough where your shipped supplies are harder to intercept, keeping any allies you have fresh with resources!</t>
  </si>
  <si>
    <t xml:space="preserve">
The Alchemy Machine </t>
  </si>
  <si>
    <t>Shivers</t>
  </si>
  <si>
    <t>Created by the legendary alchemist Louis Garcon, this mysterious machine combines modern science with principles passed down from ancient Egyptian times. Should you have any alchemic ability or knowledge, using this machine will not only drastically enhance the potency of anything you create, but also significantly boost the output. Careful experimentation may even let you learn to automate the alchemic process, allowing the machine to produce indefinitely if provided with supplies. Without such knowledge, though, expect significantly more experimentation before you achieve anything of note.</t>
  </si>
  <si>
    <t>47 Downtime</t>
  </si>
  <si>
    <t xml:space="preserve">
Skills: Medicine </t>
  </si>
  <si>
    <t>Training and knowledge in First-aid, diseases, surgery, anatomy, health and nutrition. You're a fully qualified doctor of the 24th century.</t>
  </si>
  <si>
    <t xml:space="preserve">
Skills: Navigation </t>
  </si>
  <si>
    <t>Training in how to locate your position and plot courses. You can navigate both with a computer, and without one using astronomy.</t>
  </si>
  <si>
    <t xml:space="preserve">
Skills: Stealth </t>
  </si>
  <si>
    <t>Your ability to sneak around unnoticed. This will help you take down enemies unnoticed, infiltrate secure facilities, and steal thing without being detected.</t>
  </si>
  <si>
    <t xml:space="preserve">
Technomage </t>
  </si>
  <si>
    <t>Strike Witches generally rely on service crews to tune and repair their striker, but not you. You'll be able to do the job much better and be able to modify your Striker to aid you focus your speed, defence or attack if you have offensive magical abilities. If you have technology from other jumps you'll be able to incorporate them into your striker and with enough time make one from scratch.</t>
  </si>
  <si>
    <t xml:space="preserve">
Bomber Jacket </t>
  </si>
  <si>
    <t>Discount Army Surplus offering customised bomber jacket for free to any and all of our STRIKE WITCH HEROS. Call through and give your Regiment, Call-sign and Address and will mail out in a day with Regiment patch and Call-sign embodied. Go get „em girls! Ph: 123-456-7890</t>
  </si>
  <si>
    <t xml:space="preserve">
Call sign </t>
  </si>
  <si>
    <t>Attention all military personnel, due to the recent alliances several documents of low importance have gone missing. It is important that you announce your call sign to your direct superior as soon as possible. All your comrades will know you by it, and if you don‟t tell us one will simply be appointed to you during your next Sortie.</t>
  </si>
  <si>
    <t>48 Uptime</t>
  </si>
  <si>
    <t xml:space="preserve">
Salvager </t>
  </si>
  <si>
    <t>Babylon 5</t>
  </si>
  <si>
    <t>When the ore runs out and the company tells the miners to leave, that's where you really shine. It's cheaper to leave gear to rot in an abandoned site than it is to get it into orbit, across the galaxy and set up again so there's always something good just waiting for a new owner. With this skill you are an expert at jury rigging tech, taking it apart, stripping out the usable parts and putting them into something else. With time and effort, you can puzzle out the workings of most technologies and how to integrate them into your own gear. Every day or industrial equipment might take a few moments, but bleeding edge gear will take years, even decades to understand.</t>
  </si>
  <si>
    <t xml:space="preserve">
Minor Blessing Artemis - Bowmanship </t>
  </si>
  <si>
    <t xml:space="preserve">
Unnatural Skill:Enchanting </t>
  </si>
  <si>
    <t xml:space="preserve">
Workshop: Science </t>
  </si>
  <si>
    <t>49 Game Time</t>
  </si>
  <si>
    <t xml:space="preserve">
The Divine Machines </t>
  </si>
  <si>
    <t>Lord of Light</t>
  </si>
  <si>
    <t>Many and varied are the wonders of the Gods. From the Vasty Hall of Death, Yama brings forth Thunder Chariot and Bright Spear, Trident of Destruction and Wand of Universal Fire. In Heaven, there is an elegant statue with eight arms that plays the lute when addressed, and endless machines that keep all in perfect stasis. The elementary forms of these great sciences and artefacts are laid bare to you, and you may service and understand the technology of this world. While great innovations and the wonders forged by Yama might escape you, you have a solid basis that escapes the vast majority of men and gods in the world - sufficient to greatly impress those who understand the value of such things. With this you also gain one artefact costing 200CP or less for free.</t>
  </si>
  <si>
    <t xml:space="preserve">
Bright Spear </t>
  </si>
  <si>
    <t>One and one-half span of silver is this spear, attuned to your brainwaves and taking flight at your will. It strikes faster than any arrow, and vibrates through any shield - shaking clean of gore before its return to your hand. It may also move to intercept arrows and blows, as well as carry you aloft at speeds to outpace the finest horse.</t>
  </si>
  <si>
    <t xml:space="preserve">
Elemental Mastery </t>
  </si>
  <si>
    <t>Any elemental properties your weapon carries are significantly amplified by up to 50% depending on the quality of the weapon.</t>
  </si>
  <si>
    <t xml:space="preserve">
Balance Bangle </t>
  </si>
  <si>
    <t>A simple leather wristband depicting a Rathalos and Tathian chasing each other's tails, vaguely reminiscent of a yin-yang. Comfortable, unobtrusive, easy to remove, and can't be lost or stolen. While it is worn, all offensive and defensive supernatural skills and abilities you have acquired throughout your journey that have not been purchased from your current adventure are sealed. This does not affect passive or intrinsic skills, such as eidetic memory, intelligence or willpower boosts. Meanwhile, your physical attributes will be reduced and/or equalized to a point at the apex of your chosen species. While it is on, you may speak a programmable code word or phrase to temporarily disable the sealing effect (default phrase is 'OH SHIT!') and re-apply it at will afterwards. If you seek a challenge or simply wish to live the true Monster Hunter experience, look no further.</t>
  </si>
  <si>
    <t xml:space="preserve">
Starter Weapon: Bone Rod I and Mauldrone I </t>
  </si>
  <si>
    <t>It would be needlessly cruel to throw you into this dangerous world unprepared. Here, this one is on the house. You may pick any on basic Rarity 1 starter weapon (bone or iron) of any type. Hunters get 1 of each type of basic starter weapon for free. Bone weapons have higher base damage, but relatively poor sharpness, while the inverse is true for iron weapons.</t>
  </si>
  <si>
    <t>50 Meantime</t>
  </si>
  <si>
    <t xml:space="preserve">
Launderer System </t>
  </si>
  <si>
    <t>Facility, System</t>
  </si>
  <si>
    <t>No More Heroes</t>
  </si>
  <si>
    <t>You gain a new thing to place in your warehouse, and though you don’t exactly know how it works the instruction booklet says it can construct beam katanas of all different styles and usefulness if given the right components- or if you don’t have those, shoving the right raw ingredients in enough quantity to just manufacture the damn things. With enough technical knowledge, you will be able to discard the manual.</t>
  </si>
  <si>
    <t xml:space="preserve">
That Sword </t>
  </si>
  <si>
    <t>You have a basic beam katana, and by basic I really mean it’s a piece of shit. It may have a guide bar if you’re into those, though.</t>
  </si>
  <si>
    <t xml:space="preserve">
The Clothes </t>
  </si>
  <si>
    <t>You wouldn’t make the cover of a magazine, but you can make too many belts work with these pieces.</t>
  </si>
  <si>
    <t xml:space="preserve">
Minor Blessing Hera - Administration </t>
  </si>
  <si>
    <t xml:space="preserve">
Unnatural Skill: Transmutation </t>
  </si>
  <si>
    <t>51 Lunchtime</t>
  </si>
  <si>
    <t xml:space="preserve">
Avid Glove </t>
  </si>
  <si>
    <t>A miracle of surgery and tailoring, though it may bite any hands shaken. Who can say no to another set of eyes and fingers?</t>
  </si>
  <si>
    <t xml:space="preserve">
A Thing About Names </t>
  </si>
  <si>
    <t>Following the example of HRH Queen Vic- I mean the Traitor Empress, many citizens of the Neath have taken to calling themselves the Adjectival Noun. Prominent individuals include the Fidgeting Writer, the Sardonic Singer, the Amused Lordship and so on. It is fashionable to do so, though choosing not to do so is a choice in itself. The name chosen will become the title others refer you as.</t>
  </si>
  <si>
    <t xml:space="preserve">
Amateur Academic – Trivia </t>
  </si>
  <si>
    <t>A classical training in grammar, logic and rhetoric. You could fit in with the learned and flighty. This has given your memory a boost, entire books can be memorized.</t>
  </si>
  <si>
    <t xml:space="preserve">
Dabbling Academic – Fool Proof </t>
  </si>
  <si>
    <t>Not only must one learn and understand, but to understand at a level that even laymen can comprehend. Your knowledge can be taught to those far below you.</t>
  </si>
  <si>
    <t xml:space="preserve">
Crucible of Eight Trigrams </t>
  </si>
  <si>
    <t>Journey to the West</t>
  </si>
  <si>
    <t>A big ass crucible that can render down *most* objects into their base components. Magic and enchantments can be removed this way and used for later experiments, although this will take some time to accomplish and is not an exact science. You can’t use it to break down living creatures.</t>
  </si>
  <si>
    <t xml:space="preserve">
Peak ADVENT Technology </t>
  </si>
  <si>
    <t>Before you defected you were working in some of the most top secret black projects any human had access to. You have an encyclopaedic knowledge of all ADVENT technology, minus some of the genetic manipulation techniques and basically anything that would give away ADVENTs dark secrets.</t>
  </si>
  <si>
    <t xml:space="preserve">
Flack Jacket </t>
  </si>
  <si>
    <t>A set of pre-invasion armour that offers some protection from gunfire and plasma weapons. Comes in a verity of patterns and styles</t>
  </si>
  <si>
    <t>52 Showtime</t>
  </si>
  <si>
    <t xml:space="preserve">
Lathe-Wrought Armour Plating Kit </t>
  </si>
  <si>
    <t>Light of Terra DLC 4 - Lords of the Iron Line</t>
  </si>
  <si>
    <t>The astronomical and gravitational alignment of the Lathe worlds creates the conditions for the production of metal alloys of rare and singular properties. Lathe armour plating is strong and light, flexible enough to withstand the most powerful blows, and even resistant to intense heat or the crackling edge of a power weapon. The cost and rarity of such an upgrade is beyond the means of most individuals, with maybe only half a dozen sets of Lathe-wrought armour upgrade kits constructed in a decade, each created under commission for a specific wearer.</t>
  </si>
  <si>
    <t xml:space="preserve">
Workshop: Clothing </t>
  </si>
  <si>
    <t>53 Hard Time</t>
  </si>
  <si>
    <t xml:space="preserve">
Thaumaturgical Focus: Alchemy </t>
  </si>
  <si>
    <t>Fate</t>
  </si>
  <si>
    <t xml:space="preserve">
Dapper Dressing </t>
  </si>
  <si>
    <t>What is a magus without style? A priest without his robe? A jumper without their outfit? Taking this allows you to create your own fabulous outfit, or take a copy of an existing outfit from any Type Moon character. This may be purchased multiple times.</t>
  </si>
  <si>
    <t xml:space="preserve">
Status Page </t>
  </si>
  <si>
    <t>A natural boon given to all masters, you have the ability to view the abilities of your servant and other beings in the form of an RPG statistics page. While this does not give you any information you do not already know, it does put it into an easily understandable format.</t>
  </si>
  <si>
    <t xml:space="preserve">
Panzerkampf </t>
  </si>
  <si>
    <t>Sabaton</t>
  </si>
  <si>
    <t>When it comes to building war machines, yours are top-notch! A gun made by your own hand will never jam, and a tank built by you will never bog down in mud or take damage from an IED. If they want to destroy what you've built, they'd best bring their A-game.</t>
  </si>
  <si>
    <t>54 Overtime</t>
  </si>
  <si>
    <t xml:space="preserve">
Minor Blessing Aphrodite - Beauty </t>
  </si>
  <si>
    <t>Personal, Skill</t>
  </si>
  <si>
    <t xml:space="preserve">
Unnatural Skill: Runes </t>
  </si>
  <si>
    <t>Whether from your heritage or just being that good you've got one particular mundane skill that your feats with border on supernatural.
Note: Unlocks the Percy Jackson system of Runecraft: The Well of Urd</t>
  </si>
  <si>
    <t xml:space="preserve">
Resources: Manufacturing Line </t>
  </si>
  <si>
    <t>55 Processing Time</t>
  </si>
  <si>
    <t xml:space="preserve">
Class Jumper </t>
  </si>
  <si>
    <t>Fate Servant Supplement</t>
  </si>
  <si>
    <t>The Anomalous class. Possibly a hero of another world or many worlds. There is no common denominator to this class. It is the most unpredictable of the classes. They gain no base stats (Strength, Endurance, Agility, Mana, and Luck) above the E Rank base level (E x10 the human peak.). They gain a discount on one stat of their choice. They gain one Skill of their choice as their Class Skill (Territory Creation). Jumper also can pick Personalised Class Name for free. You get one C rank Skill (Magecraft) free and receive an E rank for free in any Class Skill you have according to your bought Class. You receive one C rank Noble Phantasm for free.</t>
  </si>
  <si>
    <t xml:space="preserve">
Item Construction A+++ </t>
  </si>
  <si>
    <t xml:space="preserve"> 550</t>
  </si>
  <si>
    <t>Item Construction is a Caster-class Skill. It is the Skill to manufacture magical items, from implements of war to items for daily use. Also, this Skill requires time to gather components and manufacture items.</t>
  </si>
  <si>
    <t xml:space="preserve">
Magecraft C </t>
  </si>
  <si>
    <t>Knowledge about modern Thaumaturgy</t>
  </si>
  <si>
    <t xml:space="preserve">
Noble Phantasm C </t>
  </si>
  <si>
    <t>Works of Timeless Eternity: Mystic Forge, Anti-Unit (self)</t>
  </si>
  <si>
    <t xml:space="preserve">
Territory Creation E </t>
  </si>
  <si>
    <t>This skill allows the servant to build a special terrain that is advantageous to oneself as a magus. A Territory allows the creator to cast stronger spells at a reduced cost, with the effects increasing as the rank does</t>
  </si>
  <si>
    <t xml:space="preserve">55.1 Interlude Fleet Preamble Roy Addendum Margaret
</t>
  </si>
  <si>
    <t xml:space="preserve">
You Became A Star </t>
  </si>
  <si>
    <t>Robot Unicorn Attack</t>
  </si>
  <si>
    <t>You've gained insight into the process of using rainbows to harness Unicornium without having it explode in your face. With it, you can build your own robot unicorns or other rainbow creatures. Once your initial adventure here concludes successfully you will be taught by an expert wishsmith on everything you might need to know to construct Wishes and design your own upgrades for them.</t>
  </si>
  <si>
    <t>55.1 Interlude Fleet Preamble Roy Addendum Margaret</t>
  </si>
  <si>
    <t xml:space="preserve">
Make A Wish </t>
  </si>
  <si>
    <t>You can take whichever three Wishes you'd like to use. All Wishes are equally effective at defeating obstacles and traversing the realm.
Unicorn: The classic wish! Though mostly horse-like in appearance it has some key differences such as rainbows, being a robot, and a horn.
Mother-flipping Sabretooth Tiger: So cool it's awesome. Plain stripes? How about rainbow stripes? Great shiny metal teeth too, which like all Unicornium resists rusting.
Dragon: Large and stylish wings set this Wish apart from the competition. Unfortunately, they are just for show and not actually flight capable.</t>
  </si>
  <si>
    <t xml:space="preserve">
Rainbow Savior </t>
  </si>
  <si>
    <t>We won't leave you defenseless in this world. At will you can make use of a rainbow dash attack that will easily explode any fallen stars or enemies between you and your goal. You are still vulnerable from above, below, to the sides, and from the rear. This only can be used to attack whatever is directly in front of you.</t>
  </si>
  <si>
    <t xml:space="preserve">
Shoot For The Moon </t>
  </si>
  <si>
    <t>You gain a bonus to jump height, and can even manage to make a second jump off of nothing but air at half the height of your first leap. When you jump through the air, your tail causes a trail of rainbows to form behind you. If you decide to alter the style of your mane and tail through customization, the trail you leave behind will be cosmetically altered to match.</t>
  </si>
  <si>
    <t xml:space="preserve">
Unicornium Horn </t>
  </si>
  <si>
    <t>The first comes free, but additional purchases can grant you more horns. All Wishes come with a built-in horn of the finest craftsmanship. Additional purchases can provide you with an extra horn, or increase the size and destructive capabilities of your initial horn.</t>
  </si>
  <si>
    <t xml:space="preserve">
Sky Machinist </t>
  </si>
  <si>
    <t>Skies of Arcadia</t>
  </si>
  <si>
    <t>Like the famous air pirate Centime, you know your way around machinery. You can repair or build almost anything, given time and resources.</t>
  </si>
  <si>
    <t xml:space="preserve">
Cool Flag With Logo </t>
  </si>
  <si>
    <t>Everyone needs a flag. Something to define and symbolize them, and so all in the sky will remember their legacy. It can look like anything, it's your flag.</t>
  </si>
  <si>
    <t xml:space="preserve">
Secret Handshake </t>
  </si>
  <si>
    <t>Got any friends? With this, you can perform a secret handshake with them, as intricate as you'd like. It doesn't do anything, but damn if it isn't cool.</t>
  </si>
  <si>
    <t xml:space="preserve">
Electron Shield Generators </t>
  </si>
  <si>
    <t xml:space="preserve"> 2 Customization Points</t>
  </si>
  <si>
    <t>This wide energy shield array covers over an L sized Zoid completely in any single direction and resists the effects of beam weapons. Can be turned on and off, but is very noticeable when on. It can be hooked up to a power unit for extra strength, but otherwise has its own onboard power</t>
  </si>
  <si>
    <t xml:space="preserve">
Accelerator Equipment </t>
  </si>
  <si>
    <t xml:space="preserve"> 3 Customization Points</t>
  </si>
  <si>
    <t>A pair of ion boosters, slightly weaker than those used on the Liger Jaeger variant, which boost speed significantly. The cost to manoeuvrability is minimal, and thankfully it comes with an onboard power unit that recharges on cells.</t>
  </si>
  <si>
    <t xml:space="preserve">
Doppler Field Generator </t>
  </si>
  <si>
    <t xml:space="preserve"> 5 Customization Points</t>
  </si>
  <si>
    <t>Restricted to only S (small) sized Zoids. The generator allows for the Zoid’s image to be projected simultaneously in multiple directions. Bystanders see this as multiple copies of the same Zoid moving in sync. Unlike a ZOS core, none of the doppler projections are real however.</t>
  </si>
  <si>
    <t xml:space="preserve">
Pre-existing Variations?! </t>
  </si>
  <si>
    <t>(Only applicable if you already have a robot which has an animal form) Oh my…that robot of yours…I think with a bit of work, we could probably tune it to this new world. I wonder if that’s somehow a new breed of Zoids?... If your robot has a form that resembles any sort of animal, you can import it as a Zoid through the following formula. Cost: 0; Customization Points: 10</t>
  </si>
  <si>
    <t>56 Arrival Time</t>
  </si>
  <si>
    <t xml:space="preserve">
Weapon Crafting </t>
  </si>
  <si>
    <t>Devil May Cry</t>
  </si>
  <si>
    <t>Alright, so you fancy yourself a weapons dealer, huh? Well now you know the ins and outs of every single tool made for killing that you get your crafty little hands on. Swords, handguns, axes, sniper rifles, spears, rocket launchers, it'll all come naturally to you, and you will be able to create these weapons or even improve them with your own custom designs. And to make it even a better deal, you know how to modify a weapon to have unlimited ammunition capability. So go nuts, buddy. You've earned it.</t>
  </si>
  <si>
    <t xml:space="preserve">
Cuh-Ray-Zee! </t>
  </si>
  <si>
    <t>The moment you step into the world of Devil May Cry, you, and anyone you brought with you, will have the innate potential to do incredibly amazing stuff all day long, pal. However, it will take great skill and effort to pull off anything like blocking attacks with the back of your hand, or playing an air guitar that actually produces audible sound for others to hear. But never fear, if you train hard enough, and git gud enough, you too will be able to deflect bullets with other bullets, destroy buildings by spouting out innuendos, and become a worthy disciple of my ways. And yes, you totally get to see your rank whenever you're doing anything.</t>
  </si>
  <si>
    <t xml:space="preserve">
Dark Slayer </t>
  </si>
  <si>
    <t>Dark Slayer Style is essentially an evolved form of Trickster, in that it's based around movement, but rather than simply dashing, Dark Slayer is all about teleporting in quick short-ranger bursts. However, the biggest change from Trickster is the ability to summon swords outta nowhere. Got your attention now, didn't I? Yep, you can effectively create copies of any weapon that you've seen before, from swords, to axes, to giant homing two-sided Shuriken. I will never understand where Nero got that idea from. You can wield them or shoot 'em at your enemies in countless different ways. Make it rain pointy swordy death from above, surround your opponent with them, shoot them all out in rapid succession faster than even a minigun, and much, much more. However, these weapons are often pretty subpar compared to the original, unless you're very familiar with the weapon, or have trained extensively in the replication of weapons. Now, I know this Style's name might sound a bit dark and edgy, but it was my brother's own personal Style, rest his soul, and he was kinda going through a phase at the time. A dickish, emo, power hungry phase. So just cut him some slack and bear with it. Besides, it actually does sound pretty cool. Comes with free Get Set!</t>
  </si>
  <si>
    <t xml:space="preserve">
Get Set! </t>
  </si>
  <si>
    <t>You now have the ability to style your hair in whatever form you wish, whenever you wish, with just your bare hands. Is your hair not long enough or too short for the style you want? No problem, just run your hands through it a couple times, and it'll adjust. Don't ask me how it works. It just does.</t>
  </si>
  <si>
    <t xml:space="preserve">
Taunts </t>
  </si>
  <si>
    <t>Your mother was a hamster, and your father smelled of elderberries! You are able to come up with witty dialogue, insults, jokes, and one-liners on the fly. Now, taunting does three very useful things. First, it will boost your Style rating. I know, I know, that's amazing, and awesome, and all that. Second, taunting pisses off your enemies. A lot. So much that they'll try to stomp your pretty little face in. While this may seem like a bad thing, it can also be good for you, as the dumbass you're fighting will make a mistake in their rage. And thirdly, a successful taunt will help you get your game on and replenish your stamina. You won't be able to run entirely on smack-talking suckers while you rip them a new rectal cavity, but it will definitely ensure that you'll be able to fight for hours, sustained only by the power of your quips.</t>
  </si>
  <si>
    <t xml:space="preserve">
Weapon Swapping </t>
  </si>
  <si>
    <t>The ability to swap between your weapons in the middle of battle. These weapons are stored in a pocket dimension known only to you, and can be switched instantly with but a thought.</t>
  </si>
  <si>
    <t xml:space="preserve">
Infusionist </t>
  </si>
  <si>
    <t>An art form thought lost to the ages and only tangentially unlocked in the rarest of armors, you have discovered the secret to infusing and uplifting weapondry and armor past the typical point even the best blacksmith are capable of taking it. Any weapon that doesn't have an element can be given one, and any weapon that already has one gets a great boost in power. Any armor that this is used on gets a great defensive boost, both to innate defensive capabilities and elemental resistances. This skill can apply to any weapon you have learned how to create - that blue lightsaber you made decades ago? Bet you didn't know it had a latent affinity for ice, did you? That high frequencey blade? It now has enough heat to cauterize as it cuts. This doesn't just apply to melee weapons either - with enough training and focus, you can create bowguns that natively shoot ice or lightning, or gunlances that fire heat beams instead of shells. The possibilities are only limited by your skill and the quality of what you have to work with.</t>
  </si>
  <si>
    <t xml:space="preserve">
Felyne Comrade </t>
  </si>
  <si>
    <t>Shortly after arriving in this world, you come across an old wyverian ladey with a backpack easily 3 times larger than herself full of meowing felynes. She insists you take one with you to help you with your chosen journey, but that is the last one she can just give away, she will have to come back with more next week. You may choose your desired color, gender, skillset and species of felyne that will accompany you on your journey, either as an assistant in your forge, a bookkeeper in your trade caravan, a fellow hunter, or simply a wandering lynian attempting to find its place in the world. While most felyne's skills are dwarfed by even the most marginally competent human, they make up for their shortcomings with extreme enthusiasm and constant effort to get better. Counts as a companion.</t>
  </si>
  <si>
    <t>57 Crunch Time</t>
  </si>
  <si>
    <t xml:space="preserve">
Mechanical Master </t>
  </si>
  <si>
    <t>You are a master armsmith and roboticist. You can build and maintain standard weapons and shields with ease, and if you put some effort into understanding it you could probably make E-Tech your bitch. Further, you can make temporary Digistruct items, though they tend to explode after brief use. If you find the right components, you might even be able to modify good stuff into truly unique weapons; some might call them Legendary. Though for some reason they always look kind of pearly.</t>
  </si>
  <si>
    <t xml:space="preserve">
Ammunition Vending Machine </t>
  </si>
  <si>
    <t>You do get one bonus reward for surviving this hellhole; an ammunition vending machine mysteriously appears in your Warehouse (perhaps Marcus is trying to franchise to other universes?). You can buy ammunition for any of your Borderlands weaponry there, but it only accepts dollars, so not every world will have money you can use. You can try counterfeit dollars if you wish, but the machine probably won't accept them, and it's totally willing to shoot you for trying to cheat it.</t>
  </si>
  <si>
    <t xml:space="preserve">
ECHO device with HUD and a melee weapon </t>
  </si>
  <si>
    <t>ECHO Recorders are portable audio recording devices with a number of visible controls on the unit. They appear to have a gain potentiometer, a one band/octave real-time analyser, and an adjustable microphone. Several other buttons presumably provide the basic functions of playing and recording audio data.</t>
  </si>
  <si>
    <t xml:space="preserve">
Feel It Out </t>
  </si>
  <si>
    <t>Your ability to understand machines and designs are more than just knowledge, and anyone who follows your work would know this well. You have a subtle psionic ability to 'understand' the machines and items that you physically touch, to the point where you can understand how it might work. More importantly, what you could do to also make it better. Naturally the more complex or esoteric the item is, the more drastically the time needed increases. But the more information you collect the more ideas and methods you can formulate to begin working. All psychic powers can be improved via training.</t>
  </si>
  <si>
    <t xml:space="preserve">
Paxton Fettel</t>
  </si>
  <si>
    <t>There can be some pretty odd names people take up in places, and if you have an improper name it could lead to getting teased or ill-thought of. Not anymore! With this little bonus you could have any strange-sounding name and people would treat you as seriously as they would anyone else. That's the key part, 'as serious as anyone else'.</t>
  </si>
  <si>
    <t xml:space="preserve">
Daedalus' Student </t>
  </si>
  <si>
    <t>It is one thing to work on forging mere sword and shield, but it is another to create truly marvelous wonders... for a mortal. You could make marvelous wings out of bird feathers and beeswax, capable of granting flight to anyone. Or maybe you wish to create an everchanging Labyrinth, that shifts and alters itself depending on how it moves. Regardless, your architect and forging skills have taken a dramatic increase, to the point where the things you create just may have properties and quality they normally shouldn't have, albeit directed towards the purpose of your creations. Through your works, your will be known... but take care that the gods do not take offense with your work.</t>
  </si>
  <si>
    <t xml:space="preserve">
Attire </t>
  </si>
  <si>
    <t>When in Rome! ...wait, wrong place. Ah well, the phrase still holds. You'll be able to have a a set of Greek or Spartan outfits so that you can blend in more efficiently. It doesn't have any extraordinary properties, but it does at least help you look the part. Assuming you're human in appearance... but hey! If you're a monster, you're going to be the most trendy monster out there!</t>
  </si>
  <si>
    <t xml:space="preserve">
Scowl of Sparta </t>
  </si>
  <si>
    <t>There are times where you are angry, or disappointed. Like, INCREDIBLY angry or disappointed. However, in these times your face may be expressing maximum dissatisfaction but you must scowl HARDER. That's why you can have this, on me. When your face does not match the depth of the emotion you are showing, people can get a really good idea of how far you really feel just by looking at you. As a bonus, this will work for you regardless of what form you may be taking at the moment. DISAPPOINTED</t>
  </si>
  <si>
    <t>58 Go Time - Preamble Survey</t>
  </si>
  <si>
    <t xml:space="preserve">
Nano-technician </t>
  </si>
  <si>
    <t>Red Faction</t>
  </si>
  <si>
    <t>Is it me or does “nanomachines” not sound like a word anymore? You now have a considerable talent in the field of nanotech. With time and study, you could recreate the Nanoforge, with dedication you could even improve on it. Keep in mind nanotech in this setting is exceptionally hard to work with, but can do anything from fixing a bridge, to disintegrating a starship, to enhancing human abilities.</t>
  </si>
  <si>
    <t xml:space="preserve">
Recycler </t>
  </si>
  <si>
    <t>A new annex is added to your warehouse that allows you to convert salvaged metal and electronics into ammunition, fuel, and parts for any weapons or vehicles from this setting.</t>
  </si>
  <si>
    <t xml:space="preserve">
Sledgehammer </t>
  </si>
  <si>
    <t>For centuries, miners have busted their butts swinging one very basic tool, The Sledgehammer. But on Mars, there’s more to this tool than meets the eye. Powered by mass-multiplier servos, this essential tool of the Red Faction pops on contact, delivering 1000lbs of kinetic force. When you swing the supercharged hammer, something is going to get leveled.</t>
  </si>
  <si>
    <t>58.2 Interlude Lisa Addendum Joe</t>
  </si>
  <si>
    <t xml:space="preserve">
Parahuman - Tinker - Miniaturization and Efficiency </t>
  </si>
  <si>
    <t>Worm</t>
  </si>
  <si>
    <t>It seems that you've triggered, and gained some rather impressive powers. This is optional, you can go without becoming a parahuman if you wish. Although that means you won't be getting any impressive new abilities to help keep you alive in this world. You can only have a single parahuman power. Powers adapt to whatever capabilities you already have. Taking them into account and ensuring you can use your parahuman abilities in sync with them. Assume any potential incompatibilities are handled appropriately to allow a power to still perform its intended function. All powers may be toggled on or off, and you understand their nature and how to use them instinctively, if not necessarily all the different ways they could be applied creatively.
Tinker: Whereas other parahumans get the power to do incredible things, Tinkers get the ability to build incredible things. Tinkers essentially have a database of extremely advanced scientific data and technology in their heads, letting them build and create things far ahead of their time. This data follows a certain theme, whether that be bombs, efficiency, vehicles, or otherwise which defines what their power lets them build and work with. Tinkers need resources, time, and effort to do what other parahumans can do casually, but they are incredibly adaptable, able to show up to the next fight able to completely shut down opponents that were untouchable in their last encounter, all because they can build the right tool. Within their specialty a Tinker can build nearly anything they can imagine. Tinker abilities seamlessly integrate any such knowledge of technology and science you possess, meaning you don't have to make any extra effort to use your powers along with any other tech based perks you might have. The knowledge you gain is basically the collected science of hundreds of advanced civilizations within your area of expertise. You don't necessary have the capability to process and sort through it all at once, but your power will continue to feed you data and knowledge relevant to your endeavors and what you're building.
Miniaturization and Efficiency - You can miniaturize anything down to levels that any sane man would consider impossible. A fusion reactor the size of a watch battery would be the absolute minimum of what you are capable of, and you'd be able to make it far smaller than that. Your power also makes you a master of technological efficiency, anything you make needing barely any energy to run compared to what it should and continue to do so for a very long time. These specialties also make you a master of nanotechnology and similar pursuits. Of course you aren't barred from building something big like a giant robot, just that it'll be impossibly efficient and crammed full of more weapons and subsystems then should be possible.
After this jump any powers are now part of you instead of your shard/passenger, and its connection is severed completely. All other shard limitations are released, even if you stay, letting Tinkers mass produce their tech, precogs see the Entities and Endbringers, etc. This doesn't enhance your power, only removes things like the Manton Limit that held it back before. The same applies to your companions and anyone you bring with you.
The inability of other people to properly maintain Tinker-Tech is simply because a Tinker's shard is hard coded to make it so anything they build is too complex and advanced to learn how to properly do so in any reasonable time frame. Like trying to teach cavemen how to build and maintain modern day computers. A Tinker completely understands the science behind what they have built, but would have to write a massive document to properly explain the maintenance procedures. After this jump this is no longer a problem and you can make things that are easily maintainable and mass producible by others, with the caveat that it doesn't do away with the normal issues of trying to do so. Like said caveman example up above. You can design things to make it much easier, with your power helping instead of hindering.
Tinker abilities give you an insanely large and advanced database of scientific knowledge and superhuman skill at employing it, all within their specialty. Your power will always mean that within this field you'll learn, innovate, and improve in superhuman ways, growing beyond what you start with. This scientific information can be spread and taught just like anything else you know, others simply don't have your impossible skill and talent at it.
It's up to you on how powers budding off works in your jumpchain. Whether they do, or don't, or there are limits to it. You don't personally control this, but you can fanwank whatever you want. Your Jumpchain, not mine. For those of you who aren't familiar with Worm, people close and somehow important to a parahuman will have what is known as a Second-Gen Trigger. Unlike First-Generation triggers these only require very little stress, and result in powers that are similar if different to the original parahuman. A single Third generation trigger was confirmed in canon, happening to a five year old.
Powers do grow with time and use, but this only expands already present parameters, it doesn't allow the development of new ones. Range, area, precision, strength, etc all increase, but your power only does what it could always do better, not gain entirely new capabilities. For example Skitter's range for her bug control expanded with time, she learned to comprehend more of her bug's senses properly, and her bugs began acting with perfect coordination to her desires with nearly zero effort on her part.</t>
  </si>
  <si>
    <t xml:space="preserve">
Outside Context Problem </t>
  </si>
  <si>
    <t>It'd be boring if you were to just die right at the start so for free you'll have a selective immunity to the powers of a few rather nasty plot device level opponents that by all rights would probably want to kill you right out of the gate. Contessa, Ziz, and Zion's precog doesn't seem to be able to pick you up, instead returning a zero-sum error whenever they try to force the issue. They won't notice this until you garner enough attention for them to try and then they might take further measures to see what the problem is. But at the moment you'll be safe from being instantly killed due to the threat you pose to their plans. This works on all shard/entity derived precog. Your peculiar inter-dimensional nature just messes up their ability to predict you. Coil is an exception due to the weird nature of his power.</t>
  </si>
  <si>
    <t xml:space="preserve">
Tinker-Tech Cache </t>
  </si>
  <si>
    <t>You get a decent sized cache of Tinker-Tech whose nature is up to you. Whether you want a large variety of computing and programming devices, an armory full of futuristic guns and weapons, or maybe just a ton of Tinker tools for your personal use. There is nothing crazy in here, but even basic Tinker tech is far more advanced than anything on modern earth. If you have a Tinker ability you get one purchase of this free for tech that corresponds to your specialty, giving you more than enough to get started. Note: Even the worst Tinker-Tech is hundreds of years ahead of modern day earth, and the samples you get here aren't bargain bin by any means, just not anything earth shaking.</t>
  </si>
  <si>
    <t>59 Summit Openings Addendum Uppercrust</t>
  </si>
  <si>
    <t xml:space="preserve">
Demigod Atelier </t>
  </si>
  <si>
    <t>Asura’s Wrath</t>
  </si>
  <si>
    <t>You know the secret science of Mantra technology, and can build custom devices that are powered by prayer or emotion. Further, you can enhance or upgrade items from other jumps to use this same power source. If you take Cyborg Hindu Godbody, you may construct Demigod cybernetics for other people. After the jump concludes, you may also build Mantra Reactors. Demigod Atelier allows you to create any mantrapowered or integrated device, up to and including the vast fleets of Shinkoku Tratstrium, the heavenly vessels of the divine armies, and even the antiGohma platform Brahmastra. The latter however would require millennia of effort, and was never completed even in the scope of the original setting.</t>
  </si>
  <si>
    <t xml:space="preserve">
Imposing Declaration of Title </t>
  </si>
  <si>
    <t>Whenever you do something dramatic or just something really badass, perception of you changes for a splitsecond. Observers see the title or highconcept description of your current state or action as awesome block characters superimposed on their vision. This applies to named attacks/combat maneuvers, legendary weapons, companions and so on.</t>
  </si>
  <si>
    <t xml:space="preserve">
Mantra Generation </t>
  </si>
  <si>
    <t>A being with a soul (you do have a soul, right?) can generate Mantra by prayer or feeling emotion. This mantra can be utilized by devices powered by Mantra Technology, or the Demigods of Shinkoku Trastrium.</t>
  </si>
  <si>
    <t xml:space="preserve">
Minor Blessing Hades - Ferrokinesis </t>
  </si>
  <si>
    <t xml:space="preserve">
Unnatural Skill: Music </t>
  </si>
  <si>
    <t>60 Summit Discussions</t>
  </si>
  <si>
    <t xml:space="preserve">
Scavenger </t>
  </si>
  <si>
    <t>Megaman Zero</t>
  </si>
  <si>
    <t>You have a knack for integrating junk into your systems or gear and for using them to make field repairs. After all, self-repair systems only go so far. You're good at finding compatible parts and jerry-rigging them for the above purposes. That buster could replace the rifle in your arm, while that torso could be scavenged from to repair your own. Though these parts might not work fully if faulty, and you can't integrate parts too different from or incompatible with whatever you're integrating it into, this allows for free upgrades and repairs, as well as self-sufficiency. Perfect for long solo assignments or just survival. Waste not, want not.</t>
  </si>
  <si>
    <t xml:space="preserve">
Robotic Armor </t>
  </si>
  <si>
    <t>You become human again. If you were a robot, that is. Upgrades will be converted into their human equivalents, if not integrated into your armor. Previous powers will be restored to their original, organic equivalents. Your robotic armor can be materialized onto your skin or clothing at will. It will remain in your warehouse otherwise. On the bright side you're unaffected by incompatibilities robots have with magic and the like. Assume said incompatibilities do not exist unless mentioned to exist. Regain your humanity and embrace yourself as you are.</t>
  </si>
  <si>
    <t xml:space="preserve">
Warning </t>
  </si>
  <si>
    <t>This program gives your systems or sufficiently technologically advanced gear with displays the ability to display a warning before a fight with an exceptionally tough enemy by your standards. Said warning appears as a capitalized 'warning' in orange font accompanied with a three boop alarm sound. Though it may not be particularly helpful, it's certainly a neat thing to have. Can be turned on or off.</t>
  </si>
  <si>
    <t xml:space="preserve">61 Summit Confrontations
</t>
  </si>
  <si>
    <t xml:space="preserve">
Atlantean Power Crystals </t>
  </si>
  <si>
    <t>Originally discovered by noted psychic Edward Layce, these shining golden gems draw power from the limitless energy from the Sun. When properly harnessed, these crystals can provide enough energy to power an entire city, and if more could be produced, perhaps even a civilization. But be wary, for Atlantis itself once relied on these crystals, and their misuse directly led to that ancient city sinking beneath the waves.</t>
  </si>
  <si>
    <t>61 Summit Confrontations</t>
  </si>
  <si>
    <t xml:space="preserve">
Fashion Nonvictim </t>
  </si>
  <si>
    <t>For you, there is no such thing as suffering for the sake of fashion. As long as you wear fashionable clothing, you will always be perfectly comfortable no matter the weather. You can make ill-fitting clothing look good on you with a couple subtle pins in the right places, and it'll always be comfortable no matter how big or small it is. Even in the thick of battle, you will be no worse off for your lack of armor- So long as you wear a single peice of armor, like a shoulderpad or gauntlet, your clothes will protect you as if they were a suit of armor made of the same material.</t>
  </si>
  <si>
    <t xml:space="preserve">
Flaw - Doormat </t>
  </si>
  <si>
    <t xml:space="preserve"> Free?</t>
  </si>
  <si>
    <t>The Reaper's Game, above all else, is about personal growth. Only those who grow as a person and improve themselves are capable of freeing themselves from the game forever. Of course, in order to improve yourself, you have to have something to improve on. Here's a little help.
Doormat - Put simply, you're unassertive. You speak quietly, and it's easy to push you around - You generally go with whatever someone tells you to do, even if it's not really in your best interests, and you rarely come up with ideas on your own. Your partner will probably get tired real fast of having to tell you to do everything.
Revival OR Reaperdom
Revival:
Depending on what personality flaw you took, if you elect to press through and defeat it instead of becoming a Reaper you will earn an exclusive perk based upon your personality flaw.
Reaperdom:
Or, instead, you can take the easy way out and make a bargain for power. Reaperdom comes with a number of benefits: First, you can now attune yourself to the UG or the RG as you see fit. When you're attuned to the UG, black skeletal wings manifest from your back. Attuning yourself to the UG makes you invisible and intangible. Attuning yourself to the UG also amplifies the power of your Psychs. Secondly, you can now fight Noise (or Players) on your own using a shadowy projection. You will be able to operate both bodies independently without confusion. However, it comes with a big caveat: Your continued existence depends upon the erasure of Players. If you don't erase any Players, then you will fade from existence after a week - So you must kill at least one Player in order to keep yourself alive. Considering that Reaper's Games might take place weeks or even months apart, it's generally a good idea to erase mulitple players to "bank up" your timer. If you leave this world to go to another, then you will not need to kill people to sustain yourself, but you will need to kill people to access your Reaper powers. One kill will give you access to your powers for a week. These kills can be acheived directly or indirectly - So long as people died because of your actions, then it counts.
You also get access to exclusive Reaper perk Pin Creation
You have unlocked the secret of creating pins. You can make custom pins with your own art on them, with the psych of your choice attached to them. You can still only use psychs you have purchased, but the pins you make will invariably be more powerful than anything you can buy.</t>
  </si>
  <si>
    <t>62 Summit Consensus</t>
  </si>
  <si>
    <t xml:space="preserve">
Storage Solutions </t>
  </si>
  <si>
    <t>Your Personal Reality now has a specialized set of construction automatons which can produce the appropriate storage option for anything you know how to safely contain. These golems could make protective cases for your collectables, display cases for your pet universe, or just endless crates to stuff the preserved heads of everyone who has ever crossed you. All such storage items are fiat-backed never to weaken or wear out and can easily integrate any form of security you might have. All will be clearly labeled.</t>
  </si>
  <si>
    <t xml:space="preserve">
Shelving </t>
  </si>
  <si>
    <t>Basic metal shelves to keep your goods on, the kind you find in industrial big box stores, sized for pallets and numbered for sorting. You’ll get up to as many as will suit your initial space allotment, but if you don’t take all of them, you’ll need to buy more on your own… they sell them at most business supply warehouses, ironically enough.</t>
  </si>
  <si>
    <t xml:space="preserve">
Starting Space </t>
  </si>
  <si>
    <t>Your Personal Reality starts out with volume of 80 x 80 x 10 meters, so 6,400 square meters of floor space or 64,000 cubic meters of storage volume. In the archaic and silly ‘Imperial' measuring system this translates to 262.5 x 262.5 x 32.8 feet, so 68,889 square feet or 2,260,138 cubic feet.</t>
  </si>
  <si>
    <t>63 Summit Conclusion</t>
  </si>
  <si>
    <t xml:space="preserve">
Mantra Affinity </t>
  </si>
  <si>
    <t>You are empowered by a single flavor of sentient emotion. When acting within the themes of your dominant Mantra, you are capable of peakhuman feats. You count as both a prayer source and an emotional source of Mantra. There are eight Mantra affinities, Wrath, Violence, Vanity, Sloth, Melancholy, Lust, Greed, and Pride. Without a Mantra Affinity, you are denied the strength of emotion, and must subsist on ordinary Mantra. By taking this perk, your safe Mantra Level is set to 2, and you always count as having a minimum of Mantral Level 1 for purposes of determining such feats.</t>
  </si>
  <si>
    <t xml:space="preserve">
Mantra Training and Techniques </t>
  </si>
  <si>
    <t>You have learned or been taught numerous techniques to focus and express your Mantra, rendered as supernatural martial arts and superhuman feats of agility, durability and so on. Meditative Kata can extend your natural lifespan, heal minor wounds and fight off sickness, while strikes and attacks could shatter walls. This increases your maximum Mantra level by 1.
As an added benefit, this perk also allows you to create your own personal Mantra Form. Your first form will take approximately five years of study and meditation to fully construct, but when completed, you will be able to manifest an external mantra interface. To most people, it will look like an ornate halo, evocative of your personality and mantra affinity.
A Mantra Form usually has a core theme, such as improved combat ability, damage resistance, speed or other such boosts. Establishing a form enhances your abilities, even beyond what a given level of Mantra would normally allow. With a mantra form active, you may easily perform superhuman physical, mental and social feats, even before the direct application of Mantra. These stances and techniques however cannot enhance stranger powers such as psychic blasts or arcane magic, short of ensuring you can survive to perform them.
Successfully creating an initial form and manifesting it increases your capacity for Mantra by 1. Subsequent forms and other perks can increase this cap further, to a maximum of 8. You may use any mantra form you know, but you cannot stack them. Creating a new form takes ten years, times the number of forms you have already mastered.
Your halos can be attacked however, and if knocked aside or even destroyed. If that happens, you immediately drop down to Mantra Level 3, and any excess Mantra is wasted.</t>
  </si>
  <si>
    <t xml:space="preserve">
Resplendent Wardrobe </t>
  </si>
  <si>
    <t>You have access to an unlimited closet or the finest designers of Shinkoku Trastrium, able to properly dress your theotech empowered form in the grandest of styles. Anyone with mantra cybernetics can wear impossibly impractical clothing without any issue.</t>
  </si>
  <si>
    <t xml:space="preserve">
Shut Up! </t>
  </si>
  <si>
    <t>You don’t have the patience for bullshit. During longwinded speeches or similar engagements that drag on and on, you will have a sense for when and how to best expedite the proceedings. You aren’t required to take the chance, but you will have to live with consequences if you do. This perk cannot let you automatically kill someone, no matter how hard you can hit.</t>
  </si>
  <si>
    <t xml:space="preserve">
upgrades! Upgrades!! UPGRADES!!! </t>
  </si>
  <si>
    <t>You can make it all better. By studying a piece of technology for a short while, you can come up with ways to improve its functions or fix design flaws, though you’ll still need the related technical skills to figure out details. In addition, you can use salvaged materials in lieu of fresh parts for this task.</t>
  </si>
  <si>
    <t>65 Summit Aftermath</t>
  </si>
  <si>
    <t xml:space="preserve">
Workshop: Electronics  </t>
  </si>
  <si>
    <t xml:space="preserve">
Fueling Station </t>
  </si>
  <si>
    <t>This Garage Upgrade has two levels. The first provides all your vehicles with any standard mundane fuel and costs 50 WP. The second level, which costs an additional 150 WP, will fuel any vehicle you have no matter how esoteric the fuel might be, although said fuel can be used only to fuel your vehicles. Attempts to use it for other means may have terrible consequences.</t>
  </si>
  <si>
    <t>A garage for you to place into your vehicles, automatically adjusting to meet with their requirements. Any sort of land, air, or space based personal vehicles (up to the size of 12 meters long, 6 meters wide, and 4 meters tall). The Garage has room for up to 40 such vehicles, with every increase in your Starting Size also increasing the number of slots by a factor of 5. The Garage comes with its own entry room and a set of adaptors which can turn garage doors (even non-automatic ones) into Personal Reality Portals. These adaptors respond to the presence of a Key Holder and open the way into the parking area. If you also have the Pond, this installs a Marina which comes with special adaptors for boat slots. Boat slots do not worry about the draft or masts of the boats you part in them, only the distance from the waterline to the top of the primary hull. Each size increase of the total Personal Reality also increases the maximum size of each vehicle slot by a factor of 5 (60x30x20, 300x150x100, 1500x750x500, etc.). Alternatively, you can purchase a Garage Upgrade for 50WP, which boosts each slot by a factor of 10.</t>
  </si>
  <si>
    <t>66 Review and Preparation</t>
  </si>
  <si>
    <t xml:space="preserve">
Technician </t>
  </si>
  <si>
    <t>Alpha Centauri</t>
  </si>
  <si>
    <t>Learning has become easier for you now, especially in the field of natural science and engineering, you absorb and retain information like a sponge and can mix and match theory and experience with much greater skill.</t>
  </si>
  <si>
    <t xml:space="preserve">
Titan Engineering </t>
  </si>
  <si>
    <t>Titanfall</t>
  </si>
  <si>
    <t>Titans are incredibly complex machines, and due to the disposable nature of their use and production, and not designed for easy repair. You've got the deft touch though, and know exactly where to tweak and shore up the structure to keep it purring like it's fresh out of the drop pod for years.</t>
  </si>
  <si>
    <t xml:space="preserve">
Titan Chassis - Medium </t>
  </si>
  <si>
    <t>Titans. Six meter tall war machines, these humanoid automatons are probably half the reason you're here. Titan's are controlled from a cockpit that forms the torso, inside is a projected display that is a feed from external camera's mounted on the Titan's hull. Titans incorporate a form of force field around the Titan called a bodyshield. Invisible until a projectile is in range, the body shield slows or stops projectiles and forces explosive projectiles to detonate early, significantly reducing damage to the Titan. If a bodyshield is activated too often in a short period, it can be overloaded and go offline until it recharges, making the Titan significantly more vulnerable.
Each Titan has it’s own unique core ability and them which the rest of the Titan is generally built around, with a supporting tactical, defensive and ordnance ability. A Titan’s depends the most on it’s battery packs, of which each Titan generally has several. While the reactor may power the Titan’s ordnance and tactical abilities, the batteries are large reserve power packs that are used in self repair and to maintain structural integrity. Once all battery power is consumed, the Titan will often lose the ability to walk or maintain it’s bodyshield, and easily crumble under bombardment. This makes batteries tempting targets for other Pilots to attempt to steal via a ‘rodeo’ maneuver.
Every Titan also comes equipped with it’s own internal AI, which – on the surface – manages all internal Titan functions, such as power, stabilization and targeting. To a Pilot, however, an AI is much more than that. It is their partner both on and off the battlefield, loyal and helpful to a fault- to the point that many Pilots would call their Titans ‘friend’. While of the available classes, Legion, Scorch and Ronin are loaded with male AIs and Northstar, Tone and Ion loaded with female AIs, you may choose the programmed gender of your AI as well as it’s general voice. From that point on, it is a fairly blank slate as far as personality development is concerned, being designed to eventually develop an AI to compliment you- it’s Pilot.
Buying a Titan chassis does not give you a single Titan. It instead gives you the plans to construct Titans, and during the jump, privilege to request a Titan from your faction, if you are acting in their interest or have sufficient rank, you can request a Titan more often. You get a clip on device that instantly relays coordinates to your faction for a Titan drop. If one of their ships are in range, a Titan will be delivered to your location in a drop pod.
Medium – The first Titan ever developed and tested in combat, the Atlas’ design methodology has survived the ages, being built around a balance of armor and speed. With two dashes to use, medium chassis can never the less take more of a beating, and have modern day descendants in the Tone and Ion Titans.</t>
  </si>
  <si>
    <t xml:space="preserve">
Titan Hangar </t>
  </si>
  <si>
    <t>A sophisticated auto-factory, this attachment to the warehouse will manufacture any Titan you have the plans for. The designator now causes one of these Titans to be deployed to the point you designate in a drop pod when used. Once deployed, another Titan won't be produced until you return it to the warehouse or it is destroyed. Additionally, a Titan is now constructed once a day for free, but if you want more than one Titan per day, it will still construct you more if you can feed it the necessary raw materials.</t>
  </si>
  <si>
    <t>67 Development Plans</t>
  </si>
  <si>
    <t xml:space="preserve">
Pilot Simulator </t>
  </si>
  <si>
    <t>This adds a high tech simulator to your Personal Reality that perfectly replicates the experience of driving, piloting, or otherwise operating any vehicle that exists in your Original Reality or any Host Reality you’ve ever visited. Up to 20 people can use the same simulator for larger vehicles and there are 12 total simulators which can be linked together to make much larger simulations or team practices. Best of all, this allows you and your companion do any required testing for various driving and piloting licenses. Licenses given with this are accepted in all jumps as long you’d qualify to that locale’s basic competence level. (For instance, it’s much much harder to get a Finnish Driver’s License than a French one.)</t>
  </si>
  <si>
    <t xml:space="preserve">
The Meaning of Life </t>
  </si>
  <si>
    <t>This The Pond Upgrade adds in fish and shellfish and pondweed/seaweed to your pond. Also the occasional duck or swan or other waterfowl. Maybe some frogs or lizards or small reptilians, but nothing dangerous… unless you bought a specific limitation.</t>
  </si>
  <si>
    <t xml:space="preserve">
The Pond </t>
  </si>
  <si>
    <t>One of the four walls of your Personal Reality has been replaced with a water feature. This is essentially a pond, but you can give it tides and or waves, make it fresh or salt, and give it a beach if you like. If you buy the Garage option, it comes with a Marina for your boats and a second entry zone so you can drive your boats out into the host reality. For -50WP each, can be expanded to additional walls.</t>
  </si>
  <si>
    <t xml:space="preserve">
Natural Lighting </t>
  </si>
  <si>
    <t>Completely natural lighting that looks and feels and functions as good as the real thing (sun, moon, or starlight). Comes with sectional dimmer switches and can be sourceless or from any lamplike object you bring into the Personal Reality. Purchasing this upgrades all sources of lighting you bring in, even things like TVs and Computer Monitors to be perfectly safe and naturally adjusting for minimal eye-strain. This replaces Neutral Lighting and does not require any power source.</t>
  </si>
  <si>
    <t xml:space="preserve">
The Pond-Expansion </t>
  </si>
  <si>
    <t>For -50WP each, can be expanded to additional walls.</t>
  </si>
  <si>
    <t xml:space="preserve">
Neutral Lighting </t>
  </si>
  <si>
    <t>These lights are nothing special, It’s a color-neutral, source neutral ambient lighting system. It’s not really that bright… think early twilight gloom, but if you want better, install it.</t>
  </si>
  <si>
    <t xml:space="preserve">68 Personal Training
</t>
  </si>
  <si>
    <t xml:space="preserve">
Touched by the Protoculture </t>
  </si>
  <si>
    <t>The Protoculture were a powerful group, having been the creators of the Zentraedi, and having fought off the Protodeviln in their time. They could terraform entire worlds, traverse the galaxy in seconds, and were the first advanced humanoid civilization to exist... and now in some way, you carry their legacy. Along with the ability to understand a species' culture and the paths they could take for evolution, you now have an understanding of 'Space Fold' technology, which allows faster-than-light communication and the generation of micro-wormholes to traverse space in a much faster method.</t>
  </si>
  <si>
    <t>69 Magic Instruction</t>
  </si>
  <si>
    <t xml:space="preserve">
Additional Space </t>
  </si>
  <si>
    <t>This Starting Space Upgrade expands your Personal Reality by a factor of 10 in each dimension… or rather the standard three dimensions, you rabid cheeselord. This can be purchased multiple times. Additional Space also upgrades various expansion options. The first purchase of this brings you to 64 Million Cubic Meters, then 64 Billion Cubic Meters, then 64 Trillion Cubic Meters. Earth’s volume, for reference, is 1 Hexillion Cubic Meters and it’s surface area is 510 Quadrillion Square Meters. Cover the Earth in storage facilities 100 meters high and you get 51 Quintillion Cubic Meters of Storage space. Repeatable</t>
  </si>
  <si>
    <t xml:space="preserve">
Extranet </t>
  </si>
  <si>
    <t>This handy add on connects your Personal Reality with the local Data Networks of the Universe you’re currently in… not only that, but it gets the kind of performance only really ever seen by ISPs at their hubs. If your current Reality of Residence does not have a Data Network, this will connect to the nearest equivalent.. yes, even if that is nothing more than a town gossip and a local library.</t>
  </si>
  <si>
    <t xml:space="preserve">69 Magic Instruction
</t>
  </si>
  <si>
    <t xml:space="preserve">
Bigger on the Inside </t>
  </si>
  <si>
    <t>A book teaching miniaturization techniques. Starts with Bazookas into bottles, leads into Cars into cupholders. They still weigh the same, unfortunately. A master of this knows how to miniaturize around living things! It's very uncomfortable for them, so they won't stay like that. Mastery of a skill-book, as you stretch beyond what the public can accomplish, will take at least three years of independent study and practice, with the appropriate resources.</t>
  </si>
  <si>
    <t>70 Media Presence</t>
  </si>
  <si>
    <t xml:space="preserve">
Key Link </t>
  </si>
  <si>
    <t>With this Access Key Upgrade, you can now close the door while you are in the Personal Reality and use your key in a special podium in the entryway to link your Personal Reality Door to any door in your current Host Reality that you’ve previously used your Access Key on. If you have extra keys, any door opened by any of them can be accessed. You may also use a recall function to bring up a list of all the doors that have been accessed by any key, thus allowing you to follow a Companion should you so desire.</t>
  </si>
  <si>
    <t xml:space="preserve">
Windows </t>
  </si>
  <si>
    <t>Rooms in your Personal Reality receive windows which look out onto some scenery of the current Jump. The view can be customized per room, but can’t be used for spying purposes or to view private moments.</t>
  </si>
  <si>
    <t xml:space="preserve">71 Good Faith - Preamble PHO
</t>
  </si>
  <si>
    <t xml:space="preserve">
Technical Training </t>
  </si>
  <si>
    <t>Skill in using and maintaining 40k tech, does not apply to Ancient or Alien technology.</t>
  </si>
  <si>
    <t xml:space="preserve">
Cyborg Hindu Godbody </t>
  </si>
  <si>
    <t>You have a genetically, cybernetically and magically enhanced physiology, and the knowledge to propagate this technology. Your capacity to wield Mantra is enhanced, both accepting general Mantra as well as your primary association. This constructed body can heal itself, or be repaired by yourself or others. Your magical physiology is obvious, but always aesthetically pleasing. You can survive in space without a suit, endure planetbusting attacks with sufficient Mantra, and are otherwise ageless. This increases your maximum Mantra Level by 2.
If you took any of the theotech cybernetic perks, those upgrades are integrated seamlessly into your body however, channeling larger amounts of Mantra can gradually reveal your body’s true nature. Basically you get a perfect passive ‘I’m normal!’ disguise until you bust open the mantra.</t>
  </si>
  <si>
    <t>71 Good Faith - Preamble PHO</t>
  </si>
  <si>
    <t xml:space="preserve">
Shooting Range </t>
  </si>
  <si>
    <t>This adds a high tech shooting range to your Personal Reality so that you and your companions can to practice your marksmanship in a safe environment. The Shooting Range comes with a fully functional but harmless copy of any weapon you’re familiar with. They have the exact same weight, balance, and accuracy. These duplicates are colored like nerf weapons so you don’t get them confused if you accidentally take them out of the Range. If you also have the Underside or Arena, you automatically get a self-reconfiguring laser-tag arena. If you have both you automatically get an urban combat training course, and if you have the Woods, you get an outdoor shooting range / wilderness combat training ground. If you have Weather Control, you can change the terrain and climate inside this zone. Said zones’ size depends on how much space you have. If you’re running with only Starting Size, your Laser-Tag Arenas are going to be 40 m on a side and 2 stories tall. Every size expansion applies to the arenas as well, doubling the height and multiplying the footprint by x100 (400 m x 400 m x 4 stories, 4 km x 4 km x 8 stories, 40 km x 40 km by 16 stories, and so on.)</t>
  </si>
  <si>
    <t xml:space="preserve">
Trophy Room </t>
  </si>
  <si>
    <t>A spacious chamber set up for you to aesthetically showcase the various trophies and rewards you will gather on your chain. It keeps them safe and from causing harm or from decaying.</t>
  </si>
  <si>
    <t>72 Cakewalk</t>
  </si>
  <si>
    <t xml:space="preserve">
Fly a Kite </t>
  </si>
  <si>
    <t>While this doesn’t add any usable height to your Personal Reality, it means that all the sky space is free for use for flying kites or hot air ballooning</t>
  </si>
  <si>
    <t xml:space="preserve">
Sky Simulator </t>
  </si>
  <si>
    <t>This replaces your boring drab ceiling with a completely realistic sky simulation… or a non-realistic sky simulation if you prefer the universe to look like something out a Bosch painting. Since this means you won’t have a ceiling to attach anything to, all your lighting options now come with Street Lamps. Note that this does not add any height to your Personal Reality.</t>
  </si>
  <si>
    <t>73 Head Trip</t>
  </si>
  <si>
    <t xml:space="preserve">
Mega Bomb </t>
  </si>
  <si>
    <t xml:space="preserve">Magic and Technology are both capable of some pretty fantastic things. So why not put them together, and see what happens? You now understand the secret to integrating magic seamlessly into your mechanical devices, enabling you to create devices like bombs powered with fire magic or medkits that use healing magic. While initially your devices will be one-shots that rely on a magical charge you have to deliver, in time, you'll learn how to make much more advanced fusions, such machines that run on magical power sources, or automated spellcasting devices. In the end, the only limit is your skill with machinery and magic. </t>
  </si>
  <si>
    <t xml:space="preserve">
Combination Attack </t>
  </si>
  <si>
    <t>You didn't think I'd let you go without teaching you this one, did you? Now that you're fortified with magic, or other tricks, you're going to start noticing some of them seem compatible with your buddies' moves. Well, that's because they are. By using them together, you can merge them into one big move that'll be greater than the sum of its parts. Fusing two spells, enhancing an attack with elemental energy, even a well-coordinated double strike... there's a lot of possibilities, so try them out and see what works. Just keep in mind your buddy needs to know how to do this too, and not all techniques are going to be compatible.</t>
  </si>
  <si>
    <t xml:space="preserve">
Element </t>
  </si>
  <si>
    <t>Anyway, weak or strong, you've still got enough strength of will to you for the old guy to send you to me. I'm not just the Master of War, ya know. I'm also the keeper of Magic. Sky, Dark, Water, and Fire... used to be, everyone could call on the power of the elements. But now, only those with enough determination and a strong enough heart can use it. Lucky for you, you've got some great inner strength, so I can teach you the good stuff.
Shadow: Shadow's the element of darkness, covering everything from the space between the stars to the shadows in a cave. Void and gravity are two obvious uses, and curses and status magic fall within its domain as well. However, it's also the magic of harmony, so you might be able to throw around some elemental combos instead.</t>
  </si>
  <si>
    <t xml:space="preserve">
Digital Database </t>
  </si>
  <si>
    <t>This Library Upgrade automatically digitizes every text that enters your Personal Reality, even if it’s already in digital format, and does so safely (spells will contain the correct symbols but not power, memetic or conceptual texts will be rendered harmless). The entire contents of your Library are now completely searchable, indexed, and intelligently cross-referenced, allowing far easier use and accessibility.</t>
  </si>
  <si>
    <t xml:space="preserve">
Library Services </t>
  </si>
  <si>
    <t>This Library Upgrade means that any written text that you add to your library, assuming you or any member of your team possesses the ability to translate it, will gain an appendix that includes all idiomatic word usage, cultural or historical references, and even scholarly explanations of the author’s background and possible inspirations. All such notes will be written from a scholastic, in setting standpoint, as if written by a learned scholar writing from no more than a single century in the future from the time the original work was created. Additionally, if you request a specific book translated into a different language, it will be produced within 24 hours, and the translation will be written by an expert native speaker of both languages. Cover art for the new version will be similarly translated. You or a member of your team must know both languages to a high fluent level for this translation service to work properly.</t>
  </si>
  <si>
    <t xml:space="preserve">
Starting Collection </t>
  </si>
  <si>
    <t>This Library Upgrade gets you pre-stocked with books you would expect to find in an average town or school library, with a nice spread of books on a variety of topics and in a language of your choice. This comes with 10,000 individual fiction titles and three times that number non-fiction titles covering all normal real-world subjects. Most of the books will be best sellers or classics (80%) and will cover the last hundred and fifty years or so. The other 20% will be more esoteric works, but seldom anything particularly obscure or rare. In addition to scholarly works and literature, you’ll also get a periodicals section similar to that of a town library, containing several thousand assorted magazines and newspapers. This can be purchased up to five times, each time increasing the number of titles in all three categories (fiction, non-fiction, periodicals) by a factor of ten. Additional purchases only cost 50 WP. This is the only Library Upgrade that includes fiction from ‘the real world’.</t>
  </si>
  <si>
    <t xml:space="preserve">
Library </t>
  </si>
  <si>
    <t>A place to keep all the books and writings you and your companions might create or gather throughout your adventures, with all of them kept in pristine condition and automatically sorted based on your selected scheme, no matter how harebrained. Comes with reading area that has an effect of slightly boosting concentration, reading speed, comprehension, and retention rate.</t>
  </si>
  <si>
    <t>74 Hard Talk</t>
  </si>
  <si>
    <t xml:space="preserve">
Force Wall </t>
  </si>
  <si>
    <t>This adds a force-field to the entrances and exits to your Personal Reality. Nothing unauthorized can pass through these force-fields. The field is fully permeable to anything authorized. A Keyholder’s Access cannot be blocked by these fields. Be aware, some enemies might conceivably be able to enter your Personal Reality without technically ‘passing through’ these force-fields. I don’t know, but don’t assume the Force Wall is utterly infallible. It is also potentially possible that you or your companions might bring something seemingly harmless into your Reality that turns out to be some kind of threat.</t>
  </si>
  <si>
    <t xml:space="preserve">
Detainment </t>
  </si>
  <si>
    <t>This Security System Upgrade ensures that anybody without correct access authorization who attempts to break into your warehouse automatically gets detained in temporary cells, which are accessed through temporary doors in your Entrance Hall. The cells are not fiat-backed to hold everyone. If you’d have to exert yourself to fight someone, then the cells aren’t going to hold them for long, at least without any upgrades. Detainment will attempt to work on anything that manifests anywhere in your warehouse without proper clearance… as well as anything that had proper clearance and is now clearly a threat. A Keyholder cannot be detained.</t>
  </si>
  <si>
    <t xml:space="preserve">
Security System </t>
  </si>
  <si>
    <t>Anybody coming in and out of your Personal Reality is now checked for any authorization you've given them to access it; and should anything about said authorization (or a lack of it) raise any flags in the system, then you will receive a warning about it. This allows you to define just what sorts of authorization different individuals can have to access your Personality Reality, anything from No Access through Temporary Access and Limited Access to Unlimited Access is possible. All this does is notify you. It does not stop them on its own. A Keyholder’s Access cannot be limited by the Security System. Only hand out Keys to those you trust implicitly</t>
  </si>
  <si>
    <t xml:space="preserve">
Skills: Engineering </t>
  </si>
  <si>
    <t>You've been trained in the maintenance and repair of Starships. Not only do you have a significant amount of mechanical and computer knowledge, but you also know a great deal about physics.</t>
  </si>
  <si>
    <t xml:space="preserve">
Skills: Robotics </t>
  </si>
  <si>
    <t>A combined study of mechanical engineering, and computer science. You learn how to make a wide array of machines, and you could even figure out Android or Borg technology if you studied it enough.</t>
  </si>
  <si>
    <t xml:space="preserve">
Mental Fortress </t>
  </si>
  <si>
    <t>Fiat, Skill</t>
  </si>
  <si>
    <t xml:space="preserve"> Free!</t>
  </si>
  <si>
    <t>Your sense of individuality and self is so strong that invasive influences find your mind impenetrable. Whether it's Mind Control, Emotion Manipulation, Thought Reading, or any other kind of mind-messing mojo - You are the sole master of your own psyche. You can also see through outside manipulation and illusion more easily. Your art becomes famous for its originality and unique style, whatever you decide to apply this to.</t>
  </si>
  <si>
    <t>75 Wind Down</t>
  </si>
  <si>
    <t xml:space="preserve">
Incredibly Craftsmanship </t>
  </si>
  <si>
    <t>Akame ga Kill</t>
  </si>
  <si>
    <t>While the method of creating Teigu is long lost you are able to create things almost at their level, with some research and a couple other skilled people you might even be able to recreate the lost arts that created the Teigu long ago. You also have all the skills to repair Teigu or other incredible items from near destruction.</t>
  </si>
  <si>
    <t xml:space="preserve">
General Level Potential </t>
  </si>
  <si>
    <t>You start with the potential to reach a level of physical and spiritual ability needed to become one of the generals of the empire. You also start out with a level of ability that many Captains would envy, and skill with one weapon type in particular. While this alone does not grant you the potential on par with the most powerful people in this world, it does bring you close enough that they can't instantly kill you</t>
  </si>
  <si>
    <t xml:space="preserve">
Imperial Arms/Teigu </t>
  </si>
  <si>
    <t>You get one free and you may determine who it would be compatible with(besides yourself), or what qualities would make one compatible with it. First though you have to select a Teigu Type. The type of Teigu you chose will also govern what discounts you have in this section. You may also freely import an item of that type to apply the abilities of your Teigu to it(unless your Teigu is an Organism, or Extract type). Teigu options may be combine how you wish, unless noted. Discounts do not stack.
Object: as an object your Teigu is a relatively mundane thing on it's own, and instead grants it's power to the user. It could be a ring, a flute, a pair of gloves or even something like a makeup kit, but it can't be a practical weapon or armor. However this type of Teigu excels at special abilities, making them easier to utilize rapidly or continuously. If you import an item for this, the item may actually be of any type weapon or armor included, however it will not gain any new physical abilities(though it will be increased in durability if lacking).
Flight, Discount Object: Your Teigu holds the power of Flight, while you may be able to approximate this with other options, buying it this way will almost certainly be superior, due to it being far more natural and easier to use.
Awareness, Discount Object: Your Teigu gives you an awareness of it, this counts for things produced directly by your Teigu, and it's physical components. Such that you may know if something interacts with your Teigu directly even if that happens quite a distance from you, or that you will know the location and movement of any projectiles you produce. Not that this effect is that great without something else to enhance it, but it's enough to be aware of your traps. (Integrated into Lantern Shield)</t>
  </si>
  <si>
    <t xml:space="preserve">
Perfect Hair </t>
  </si>
  <si>
    <t>Your hair is perfect, no matter how long, no matter what conditions, explosions constantly around you and getting beaten into the deck of a boat by water can do nothing to your perfect hair. It's never an impediment, nor will it every be damaged in a battle, even if someone shoots and hits your hair, there will be no evidence that your hair was shot. If your hairdo gets dramatically altered, it will only make you look better and take a comb and a moment to restore it.</t>
  </si>
  <si>
    <t xml:space="preserve">
Simple Sturdy Weapon </t>
  </si>
  <si>
    <t>This is a simple weapon that could withstand combat against Teigu, it's nowhere near as durable, but it isn't likely to break unless faced with active effects of a Teigu. This weapon can be of any type you like, from guns to swords, whips to spears, gun-clubs or rifle-glaive, it could even be a pair of swords or similarly paired weapon. If you pick a gun, bow, or other projectile weapon you get a sizable amount of ammo to go with it, certain to last you a while before you need to get more. (Short Sword Chosen)</t>
  </si>
  <si>
    <t xml:space="preserve">
Who’s Got the Powa </t>
  </si>
  <si>
    <t>This provides enough electricity to power a city the size of New York City or London, forever, with nary a brown out or power fluctuation ever. It also comes with all the basic wiring hookups, surge protectors, outlets, circuit-breakers, routers, etc you might need… but you’ll probably want to get a qualified electrician in at some point… or pick up a companion who does that kind of thing. Purchase of this supplies all facilities inside your Personal Reality with electrical hookups.</t>
  </si>
  <si>
    <t xml:space="preserve">
POWER OVERWHELMING </t>
  </si>
  <si>
    <t>Not enough power? Okay, this Who’s Got the Powa Upgrade means that your Personal Reality is now hooked up to the full power of a Sol-Class Star encased in a Dyson Sphere. Congratulations, you’re now a Kardashev II civilization. If this isn’t enough power, you need an intervention.</t>
  </si>
  <si>
    <t>77 Determination - Preamble Mimi</t>
  </si>
  <si>
    <t xml:space="preserve">
Gadgeteer </t>
  </si>
  <si>
    <t>Totally Spies/Martin Mystery</t>
  </si>
  <si>
    <t>Not only do you have the knowledge and resources to produce all of WOOHP and the Center's gadgets quickly and efficiently, but you'll never run out of ideas for new gadgets, and you'll be able to incorporate any other technologies you know seamlessly</t>
  </si>
  <si>
    <t xml:space="preserve">
Catsuit </t>
  </si>
  <si>
    <t>A nearly skintight catsuit in a color of your choice.</t>
  </si>
  <si>
    <t>78 Consolidation</t>
  </si>
  <si>
    <t xml:space="preserve">
Workshop: Robotics </t>
  </si>
  <si>
    <t>This Starting Space Upgrade expands your Personal Reality by a factor of 10 in each dimension… or rather the standard three dimensions, you rabid cheeselord. This can be purchased multiple times. Additional Space also upgrades various expansion options. The first purchase of this brings you to 64 Million Cubic Meters, then 64 Billion Cubic Meters, then 64 Trillion Cubic Meters. Earth’s volume, for reference, is 1 Hexillion Cubic Meters and it’s surface area is 510 Quadrillion Square Meters. Cover the Earth in storage facilities 100 meters high and you get 51 Quintillion Cubic Meters of Storage space.</t>
  </si>
  <si>
    <t>79 Preliminary Work</t>
  </si>
  <si>
    <t xml:space="preserve">
Lofty Loft </t>
  </si>
  <si>
    <t>Is it depressing having your home surrounded by storage space? You gain an area the same size as your starting space that is reserved entirely for housing and luxury facilities, such as pools and sports fields. It is situated either next to your Cosmic Warehouse or above your Cosmic Warehouse. Separate purchases of Additional Space applied to it instead of Cosmic Warehouse can be used to expand it. You’ll have to decide if Warehouse mods from jumps are applied to the Lofty Loft or the Cosmic Warehouse.</t>
  </si>
  <si>
    <t xml:space="preserve">
Underside </t>
  </si>
  <si>
    <t>This allows you to create Basement Spaces in your Personal Reality. The maximum volume of all ‘underground’ spaces is equal to ½ the volume of your Personal Reality, but these spaces need not be contiguous. Connections such as chutes, corridors, or elevator shafts are not counted for that total unless you start trying to cheese it by creating an infinitely long corridor to store things in.</t>
  </si>
  <si>
    <t xml:space="preserve">
Loft </t>
  </si>
  <si>
    <t>What’s the point of having a room 10 meters tall if you can’t build upwards. Feel free to stack things up to the ceiling if you like.</t>
  </si>
  <si>
    <t xml:space="preserve">
What's This Do? </t>
  </si>
  <si>
    <t>The technology used in the frontier can be so complex and advanced it takes years for even the most brilliant minds to understand. Really now? That's good, you needed something to do after lunch today. Now, even if your in a dropship in the middle of a fire fight, you can decipher the inner workings of technology so long as you have the controls to scre- I mean analyze.</t>
  </si>
  <si>
    <t xml:space="preserve">
Core Ability - Amp Core </t>
  </si>
  <si>
    <t>A Titan’s core ability is essentially it’s trump card. Far too powerful to be charged off of standard munitions, a core is charged off of excess power from the Titan’s reactor core until it is ready to be unleashed. Once activated, the Titan must be committed to using it, otherwise the excess energy will fry it’s internal systems.
Amp Core - Some Pilots don’t want fancy attacks or extra missiles. Instead, they’d simply rather their Titan’s performance was boosted for a set period of time. The Amp Core provides this. A single parameter of the Titan may be boosted or extended for a set period of time, such as increasing the strength of bodyshields massively or granted indefinite dashing for a short period. Titan accuracy may be boosted, or firing rate may be increased, as examples.</t>
  </si>
  <si>
    <t xml:space="preserve">
Oi! </t>
  </si>
  <si>
    <t>The funny thing about accents is how divisive they are on the frontier. The IMC troops- who come from the Core Systems, all speak with a very distinct British accent. Meanwhile, the Militia have strong American accents, and strangely, any ex-IMC defectors seem to lose the accent in a matter of weeks. Now, you have the ability to alter your own accent, which seems to spread like wildfire to anyone that follows you, so it becomes an identifier of your faction.</t>
  </si>
  <si>
    <t>80 Analysis and Reflections</t>
  </si>
  <si>
    <t xml:space="preserve">
Glove of the East </t>
  </si>
  <si>
    <t>Binbougami Ga!</t>
  </si>
  <si>
    <t>This hand of mine glows with an awesome power! It's burning gri-... oh! Sorry, wrong show. This single glove comes in any color and style, and is actually quite useful! You can channel your spiritual energies through it to help you with mundane tasks; your cooking might turn out excellent, cleaning takes less work for better results, and massages work WONDERS when you hit those points. If you channel a LOT of spiritual energy, you might even imbue items and equipment to improve them and be more receptive to your spiritual/chi powers! Heart symbol optional.</t>
  </si>
  <si>
    <t xml:space="preserve">80 Analysis and Reflections
</t>
  </si>
  <si>
    <t xml:space="preserve">
Burning Bright </t>
  </si>
  <si>
    <t>The powers of Fortune Energy are great within you; so great that it defies logic. Your energies are so bountiful that your techniques/effects using them are greatly increased, and your overall luck with them has likewise increased. Why, it's likely that given time to train you can unlock different abilities and methods to use the amount of Fortune Energy you possess. Furthermore, you gain the ability to toggle on or off a 'passive' absorbing ability to slowly drain the fortune energy of others and pull them into yourself. Just be wary about staying around people too long with this power. Cannot take with 'A Song For The Hopeless'.
-The maximum Fortune Energy/Misfortune Energy capacity one may possess will only grow slowly with age, and cannot be increased with training. 'A Song For The Hopeless' or 'Burning Bright' will increase the rate your maximum capacity grows, but it will always be at a fixed rate due to age.
-'Burning Bright' likewise is limited in that while you can temporarily supercharge yourself, your maximum Fortune Energy reservoir can only increase with age and not training. In addition, while you can try to supercharge yourself enough to become a god, you will only become a low-level one in the beginning. It will take hundreds of years for your reservoir to grow truly impressive
-'Burning Bright' grants an AoE Fortune Energy-draining field that is a 10-15 feet radius around you, and cannot be improved. However, the more people around you the more you will drain by volume. A temporary timespan of 3-12 hours will not harm the person, but the more time you spend around others with the field on, the more detrimental it will be to them. Spending 8-10 years around a person constantly with the field on will likely result in their death, if they are mortal. The more powerful the entity, the less likely this will occur.</t>
  </si>
  <si>
    <t xml:space="preserve">
Deadbeat Holiday </t>
  </si>
  <si>
    <t>WHAT WAS THAT YOU ARROGANT, ENTITLED SH-... oh, sorry. Was practicing for something else. As you can no doubt guess, this will help you figure out just how to overreact to a situation for comedic effect, as well as WHEN to enact those very moments. You'll get used to it in time, unless you're like a certain grumpy pants. Yeah I said it, GRUMPY PAAAANTS.</t>
  </si>
  <si>
    <t>81 Augmentations</t>
  </si>
  <si>
    <t xml:space="preserve">
Entertainment Room </t>
  </si>
  <si>
    <t>Keeping yourself busy isn’t always easy, and sometimes you just want to relax and listen to some music or watch a movie. This is for you. A six room complex is added to your Personal Reality. Each room is an almost perfect movie theatre, music room, video-gaming theatre, sound stage, or miniature live theatre. There are 24 comfortable chairs in each (the exact level of luxury depends on your housing level). A popcorn and generic candy vendor and off-brand soda dispenser (self-service) are provided at the basic, but will upgrade to name-brands with any housing upgrade.</t>
  </si>
  <si>
    <t xml:space="preserve">
Auditorium </t>
  </si>
  <si>
    <t>This Entertainment Room Upgrade adds an auditorium to your complex with stage for bigger productions and comfortable seating for viewers. the Auditorium can seat up to 400 in comfort and the followspots always follow, the lights always change on cue, and the props and sets are always in the proper order and condition.</t>
  </si>
  <si>
    <t xml:space="preserve">
Costume Closet </t>
  </si>
  <si>
    <t>This Entertainment Room Upgrade adds a closet full of costumes, exactly what you need to perform your various acts or routines. The contents will adjust to the wearer and will be as comfortable as reasonable. They’re self-cleaning and self-repairing, but they cannot be removed from the Warehouse without the Extruder.</t>
  </si>
  <si>
    <t xml:space="preserve">
Kit and Kaboodle </t>
  </si>
  <si>
    <t>There’s not much purpose in having a sound-stage if you don’t have recording equipment and instruments. While not the best, this Entertainment Room Upgrade provides you with professional grade musical instruments of any kind found on Earth, and a professional mixing board and easy to follow instructions on how to make best use of it. The instruments from this can’t be removed from the Warehouse without the Extruder.</t>
  </si>
  <si>
    <t xml:space="preserve">
Music Collection </t>
  </si>
  <si>
    <t xml:space="preserve">You receive a collection of 500 albums (EPS or LPS) based on personalized criteria such as genre, artists, or themes (big band, love songs, acapella, etc.). Liner-notes, sheet-music, and creator commentary / explanations are provided, as well as live performances, remixes, and covers. Total guaranteed run time not to be less than 2,000 hours. Every month you’ll get a new album. This can be purchased multiple times and only music from previous Host Realities is available. If you find that, upon listening to an album for the first time that you do not like it, it will be replaced… but since perfect memory perks are a dime a dozen, asking for a replacement will result in a mental block being placed over the music. You’ll still be able to remember you heard that album and didn’t enjoy it, but not the actual music. This block is fiat backed until you hear the album again someplace else or gain your spark. Repeatable </t>
  </si>
  <si>
    <t>82 Bargaining - Addendum Uppercrust</t>
  </si>
  <si>
    <t xml:space="preserve">
Whispered </t>
  </si>
  <si>
    <t>Full Metal Panic</t>
  </si>
  <si>
    <t>Due to a Soviet experiment a while ago, you're one of the exceptionally rare people known as the Whispered. they have an incredibly advanced knowledge of math, science, engineering, etc though each Whispered only specializes in a single area. If they take the time to learn or supplement this with other technical skills, it's possible to potentially create Black Technology of their own. -The 'Whispered' trait alone is not enough to create Black Technology, but additional tech perks will make this a very real possibility.</t>
  </si>
  <si>
    <t xml:space="preserve">
ARM SLAVE M6 Bushnell </t>
  </si>
  <si>
    <t>A bulky Arm Slave constructed by the United States. This is a Generation 2 mech that requires less rigorous piloting, but its loud noise makes it a problem with stealth. To make up for its slowness it has thicker armor.</t>
  </si>
  <si>
    <t xml:space="preserve">
Dig it </t>
  </si>
  <si>
    <t>You now have 40 meters of foundation material under your RGC. Why? Gardening? Graves? Whatever. It’s just rocks and dirt down there, but all buildings you buy in this supplement have perfectly decent foundations installed under them. If you bought the Underside, all that space is diggable too. You might even find some weird or cool stuff buried. Nothing amazing, but you’ll be amused.</t>
  </si>
  <si>
    <t xml:space="preserve">
Realistic Ground Cover </t>
  </si>
  <si>
    <t>Sick and tired of linoleum or concrete? This is the one for you. Now your Personal Reality floor can be turned into any naturally occurring terrain type, in sections, or roads and paths of your design. Any dirt or dust that would be created by this is magically taken care of… unless you don’t want it to be.</t>
  </si>
  <si>
    <t xml:space="preserve">
Office </t>
  </si>
  <si>
    <t>A personal office specifically for you, so that you can perform your white collar paper-shuffling in relative privacy. A decent sized office, it comes with all the basic supplies and equipment, such as notepads, paper clips, ink pens, filing cabinets and a desk. If you purchased Computer Hub it comes equipped with computer equipment as well. If you have VOWP it has a phone with an outside line that always direct dials whoever you want to reach in your current Host Reality… even if they don’t have a phone… you may not use this ability to locate them or translocate to their location or tag them with any power or ability or technology. You can ask them where they are, but they don’t have to tell you. This office has the effect of slightly boosting your focus, reading speed, reading comprehension, and retention rate, but only as long as you’re alone in it. Alternatively, it can be set up as a cubicle farm with 20 individual cubicles.. but honestly… why would you? If you do, each cubicle gets a potted plant, an executive desk toy involving magnets or chrome balls, and a japanese lucky cat statue sized to fit on a desk. All are completely mundane. Additional purchases are allowed, each adding the next Fibonacci number of offices (or 20 cubicles per office). Thus, the second purchase will get you a second office, while the third purchase will get you 2 more offices, and the fourth will get you 3 offices and the fifth will get you 5 offices… please tell me you aren’t seriously going to waste WP on OFFICE SPACE? What part of ‘Keep this entertaining’ escaped you, CPA Man!? Repeatable</t>
  </si>
  <si>
    <t xml:space="preserve">82 Bargaining - Addendum Uppercrust
</t>
  </si>
  <si>
    <t xml:space="preserve">
Computer Hub </t>
  </si>
  <si>
    <t>A top-of-the-line mainframe / supercomputer with basic additional equipment, like scanners (2D and 3D, standard- and poster-sized) and printers (color, black and white, bulk printer, 3D printer, blueprint-printer), and binding equipment. Perfectly assimilates any upgrades done to it. Comes with operating system of your choice, be it Windows, Linux, Android, iOS, etc. You and each companion receive their own personal desktop computer, laptop, and tablet. With the Extranet, all the computers in the Personal Reality are linked via an internal Intranet as well. If you have Central Control and Robots, they’re linked into the Intranet. All printing supplies (filament, paper, ink) must be supplied by the Jumper, but if you have the Mall, you can always find a print supply shop within without having to assign one of your slots to it.</t>
  </si>
  <si>
    <t xml:space="preserve">
Craftsman of the Gods </t>
  </si>
  <si>
    <t>Viking Saga</t>
  </si>
  <si>
    <t>Things you make yourself from base components gain properties far beyond what they should. Belts that increase strength several times over or a spear that never misses are well within your skill, and you will only get better.</t>
  </si>
  <si>
    <t xml:space="preserve">
Farming tool </t>
  </si>
  <si>
    <t>Hit ho’s with hos.</t>
  </si>
  <si>
    <t xml:space="preserve">82.1 Interlude Uppercrust
</t>
  </si>
  <si>
    <t xml:space="preserve">
Divine Weapon </t>
  </si>
  <si>
    <t>Asura's Wrath</t>
  </si>
  <si>
    <t>You have a legendary weapon forged by the smiths of heaven or found in the hot blood of the earth. In either case, it is nighunbreakable and has a unique quality or power.
As an example Wailing Dark, Argus’s sword, can extend to an outlandish length and with sufficient mantra, cut through a moon. Mooncutting feats require Mantra Level 5 at minimum.</t>
  </si>
  <si>
    <t>82.1 Interlude Uppercrust</t>
  </si>
  <si>
    <t xml:space="preserve">
Dynamic Waterworks </t>
  </si>
  <si>
    <t>This is a strange one, but say you have an infinite source of some liquid and you want it pumped from wherever you source it through your Personal Reality, this Pipes Pipes Pipes Upgrade is for you. The plumbing hookups for your Reality now support up to six additional inputs from sources you must personally supply, and run those feeds through your Reality. If you have Central Control, they can even be mixed in precise ratios at each distribution point. So, say you had an infinite supply of cocoa and an infinite supply of peppermint schnapps… you could set the system to dispense cocoa from all the brown faucets, peppermint schnapps from all the red &amp; white faucets, and spiked hot chocolate toddies from the brown &amp; red faucets… and could even tell it to make the mix in your office stronger than the mix in the staff break-room. While this can be combined with Water World to a degree, that degree is only to use the hose network to dispense a reasonably vast quantity of ‘unlimited liquid x’... say enough chocolate to make a small river… not to flood the planet… unless your source for that unlimited liquid specifies ‘absolutely unlimited’... generally speaking, if it’s for personal or even industrial use… it’s not good enough. Global usage at the very limit required for full Water World Integration. An additional 6 hook-ups costs -50 WP.</t>
  </si>
  <si>
    <t xml:space="preserve">
Pipes Pipes Pipes </t>
  </si>
  <si>
    <t>Purchasing this provides your Warehouse with enough plumbing fixtures to turn the entire volume of your Personal Reality into one massive pool… or anything below that. This provides clean running water with any reasonably common additives you like (chlorine, glacial milk, fluoride), but does not provide a limitless supply, nor does it heat the water. By default, the amount of water this system can produce per day is 1 billion liters or one megaton of water or a block of water 100 meters on a side, and the default temperature of this water is 25 degrees Celsius. It can support any civilian infrastructure on the same scale as Mexico City or Tokyo. Comes only with the basic hookups. You’ll need a plumber to do the actual piping. We hear Mario’s very good. Bathrooms not included. Purchasing this supplies all facilities inside your Personal Reality with water feeds, and if you’ve Got the Powa, it will supply hot and cold running water as well.</t>
  </si>
  <si>
    <t xml:space="preserve">
Waterworld </t>
  </si>
  <si>
    <t>This Pipes Pipes Pipes Upgrade provides you with all the water you’ll ever need. Every day this massive Hydrocore Tap can generate enough H2O in any natural form to cover Luna in seas 10 meters deep… let’s call it 500,000,000 cubic kilometers of water. Of course, throughput is going to be a bitch, so the Hydrocore comes with a Global targeting computer and up to a million hoses each capable of pumping out 500 cubic kilometers of water a day… or 5.8 million tons of water a second… or 29 times the flow rate of the Amazon River… each. If this isn’t enough water for you, you might be obsessed.</t>
  </si>
  <si>
    <t>83 Check In</t>
  </si>
  <si>
    <t xml:space="preserve">
Additional Keys </t>
  </si>
  <si>
    <t>This Access Key Upgrade gives you an additional keys to your Personal Reality. These keys attune to whomever you give them to and cannot be used by anyone other than them or someone they freely and without duress or coercion of any kind allow to use the key. If they lose the key, it will return to them if they are still alive, or to you if they are currently dead. If they die in possession of the key, their body will be transported to your Medical Bay, if you have one.</t>
  </si>
  <si>
    <t xml:space="preserve">
Entrance Hall - Garment </t>
  </si>
  <si>
    <t>This is the room your Access Key opens a door to.</t>
  </si>
  <si>
    <t xml:space="preserve">83.1 Interlude Alec - Addendum Joe
</t>
  </si>
  <si>
    <t xml:space="preserve">
Armsthrift </t>
  </si>
  <si>
    <t>Fire Emblem: Awakening</t>
  </si>
  <si>
    <t>Your weapons just don’t seem to break and you know how to care for them well. Even immensely fragile things are unlikely to break in your care. Guns won’t jam and swords never lose their edge.</t>
  </si>
  <si>
    <t>84 Pick Up</t>
  </si>
  <si>
    <t xml:space="preserve">
One-Man Assembly Line </t>
  </si>
  <si>
    <t>You really liked playing with building blocks as a kid. Now that you're all grown up, the world is your playground. Your knowledge of construction and engineering is unprecedented, and making a jet engine from spare parts over a weekend is your idea of fun.</t>
  </si>
  <si>
    <t>85 Drop Off</t>
  </si>
  <si>
    <t xml:space="preserve">
Additional Space - Starting Area </t>
  </si>
  <si>
    <t xml:space="preserve">
Additional Space – Lofty Loft </t>
  </si>
  <si>
    <t>86 Pack Up</t>
  </si>
  <si>
    <t xml:space="preserve">
Minor Blessing Dionysus - Libations </t>
  </si>
  <si>
    <t xml:space="preserve">
Unnatural Skill: Firecraft </t>
  </si>
  <si>
    <t>87 Close Out</t>
  </si>
  <si>
    <t xml:space="preserve">
Greenhouse </t>
  </si>
  <si>
    <t>A greenhouse in which you can now grow some of your own vegetables and fruits. I hear that strawberries are especially popular this season. The Greenhouse requires Pipes, Pipes, Pipes and either Natural Lighting or Powa. It is set up for soil-ponics, hydroponics, or aeroponics and is contained in a separate structure that has a footprint of exactly half your Starting Size in all dimensions. Any increase in size to your main space multiplies your Greenhouse’s space by a factor of 5.</t>
  </si>
  <si>
    <t xml:space="preserve">88 Perspectives
</t>
  </si>
  <si>
    <t xml:space="preserve">
Synchronicity Event </t>
  </si>
  <si>
    <t>Curiouser and curiouser. Due to coming into contact with... well, SOMETHING, your psionic abilities have noticeably increased. Psychic powers you may have had are stronger now, with control and development coming more quickly with practice. There is also a boon to this; by taking a few days to 'attune' a person, you may impart upon them the beginning of psionic abilities of their own. You may only gift one school at a time, and they start at the very beginning; if they are to grow and learn as you have, it would be wise to teach them. On the plus side, they’ll eventually become as strong as you are, so you’ll have quite the pupil on your hands.
Synchronicity Event boosts psychic powers from outside this setting by a decent amount. It's nothing like Alma, but it's a decent boost. At the same time, you may also unlock the following abilities:
-Taking 'Feel It Out' increases your understanding of technologies and different items, dramatically cutting down the time needed to analyze the object in question and improving defenses should any psionic traps be laid. You can also 'attune' objects to better channel psionic abilities and become a powerful focus for them.
Psionic schools from F.E.A.R. include Telekinesis, Telepathy, Pyrokinesis, Possession, Teleportation, and Manifestation.</t>
  </si>
  <si>
    <t xml:space="preserve">
Monstrous Strength </t>
  </si>
  <si>
    <t>Whether by oddity of birth, ancestry, or mystical experiments you have gained an inhuman form. On the plus side this boosts your physical abilities in proportion to how obviously unnatural your current form is. Generally your form will be some terrifying fusion of various aspects of animals and humans, it is your choice on the particulars though. This boost also applies to other monster discounted perks. Generally you can interact with mortals without their notice so long as you stick to actions that can be reasonably explained by the Mist but even then most of those familiar with the true nature of the world will be able to spot various tells.</t>
  </si>
  <si>
    <t>88 Perspectives</t>
  </si>
  <si>
    <t xml:space="preserve">
Free Portal </t>
  </si>
  <si>
    <t>This Portal Upgrade removes the limitation on a portal having to be opened on a flat surface… or on any surface at all. It also allows you to open the portals to any part of your Personal Reality simply by picturing where you want the portal to open. Without the Control Rod, the portals must be opened within 2 meters of you.</t>
  </si>
  <si>
    <t xml:space="preserve">
Portal </t>
  </si>
  <si>
    <t>This optional extra removes the need for use of Access Key, instead allowing you to open a rectangular or circular portal that leads into your Personal Reality on any flat surface big enough to encompass the portal. You can open the portal on any surface you are in contact with or that your vehicle is in contact with… or that your vehicle will be in contact with in less than 5 seconds and within 100 meters if you don’t open the portal. The portal can be any size between 8 square meters and 80 square meters. The portal opens to the same place in your Personal Reality as the Door does and you may still use your Access Key if you want to open a door larger or smaller than the limits of the Portal. Any Companion with a copy of the key may also open such a portal. These portals open at their lowest size instantly and expand at the to maximum size over 10 seconds. This portal cannot be closed while you are inside your Personal Reality. Portals will slowly close over a period of 3 minutes if you leave them open and move more than 10 meters from one without closing it yourself, as long as you are outside your Personal Reality. This closure effect can be disabled, but you can’t open a portal if another is open.</t>
  </si>
  <si>
    <t xml:space="preserve">
Mechanical Genius </t>
  </si>
  <si>
    <t>Star Wars – Clone Wars</t>
  </si>
  <si>
    <t>You're the leading expert at designing droids and starships. Given the right resources you could create fully autonomous starfighters with built in hyperdrives, battle droids with cheap, stronger and longer lasting shields, hover tanks as fast as landspeeders, androids indistinguishable from organics, and combat droids capable of killing jedi.</t>
  </si>
  <si>
    <t xml:space="preserve">89 Divine Mechanics
</t>
  </si>
  <si>
    <t xml:space="preserve">
Titan's Blood </t>
  </si>
  <si>
    <t>What a curious thing you are, to have become such a thing. One of your ancestors was a Titan, a primordial being of great power and ability that was responsible with shaping the world as it is. You are not full-blooded, but the effects have been prevalent on you nonetheless; your size may be increased up to fifteen meters in height, with your strength as such that you could throw pieces of buildings one-handed at your enemies. You may also choose one Titan you are a descendent from, gaining aesthetic appearance changes similar to them. But more importantly, you may relax yourself and 'commune' with the world and nature around you; by opening your mind to the world you can learn about it and its secrets quite quickly, along with finding what is the largest threat to the balance of nature. You are of the planet, child. It is your birthright to know these things.
‘Titan’s Blood’ only gives physical boons and an impressive aesthetic relating to your Titan ancestor. You do not get minor powers from your parent, such as Cronos and his time powers.
Titan's Blood also grants access to the following boosts for capstones you've purchased:
Daedalus' Student': Your crafting has undergone a dramatic improvement, to the point where you can make incredible works with the strength of an army within them. You have also gleamed into a new type of crafting, and you can forge energy constructs such as Zeus' Lightning to be used in your wishes.</t>
  </si>
  <si>
    <t xml:space="preserve">
Hallowed Earth </t>
  </si>
  <si>
    <t>Every inch of your Personal Reality is sanctified. By who? Well… you, I guess. All those within (besides you obviously) are subject to a constant minor blessing that persists for up to a day after leaving that makes them a little luckier and healthier. In D&amp;D terms, a general +1 Morale bonus. Those who worship you as divine may show up here when they die or see visions of you in this, your place of power… though these visions may be merely metaphors for what lies within if they lack the mental or cultural framework to understand. With Linked Portals you may appear anywhere inside your Personal Reality without having to walk there and with Eye Spy you are aware of everything that happens in this Reality. With Central Control, you are constantly aware of the contents of the PR.</t>
  </si>
  <si>
    <t>90 Outreach - Addendum Taylor</t>
  </si>
  <si>
    <t xml:space="preserve">
Housing Complex </t>
  </si>
  <si>
    <t>Having space for all your Companions and Followers can be tricky. Sure, you could pay to have some houses built, but with this option you and each Companion and every child of yours or of a Companion gains their own bedroom. Every three bedrooms gain a full bathroom and your bedroom has a master bath. It’s not luxurious by any means, but this house (or houses) have 1 kitchen &amp; dining room, 2 half baths, two general purpose rooms (offices, living rooms, game rooms), a few of small closets, and a pantry for every 6 people. Individual rooms tailor themselves to the general likes of the individual and come with basic but not quality furniture. Companions who decide to share a room can cause their rooms to merge to create a larger room, but each basic room defaults to 4 meters by 5 meters by 3 meters. Non-bedrooms are on the small side but large enough to function. Floors are basic linoleum and walls are basic low grade paint. Appliances and fixtures are pretty bare bones and the walls are little more than plywood and wood frame. The bedrooms don’t have closets. Any other Personal Reality Extensions can be made part of the Housing Complex or kept separated. Each house must have a kitchen. That’s the rule. No more houses than total number of kitchens. A house may, of course, have more than one kitchen.</t>
  </si>
  <si>
    <t xml:space="preserve">
Opulent Housing </t>
  </si>
  <si>
    <t>This Housing Complex Upgrade does everything that Luxury does and does it better. Rooms are frankly too big, fixtures and furniture are all unique handcrafted pieces, the walls have murals, the floor mosaics… everything isn’t just top of the line, it passed that miles back. High Ceilings, beautiful feng shui, custom decor for each room… huge closets. Additional Rooms generated every three persons. All Bedrooms are now Master Bedrooms and come with ensuite saunas, day spas, and personal office with reading nook. If you have an incremental purchase scheme, you do not get a refund if you bought Upscale Housing or Luxury Housing first. Opulent does not require Upscale or Luxury to be bought first.</t>
  </si>
  <si>
    <t>91 Callout</t>
  </si>
  <si>
    <t xml:space="preserve">
The Toolkit </t>
  </si>
  <si>
    <t>When wielding this toolkit, you can repair devices most would think broken beyond salvation. You could find two twisted armor plates and a couple of treads and before you know it, you have a tank that's as good as new.</t>
  </si>
  <si>
    <t xml:space="preserve">
Primo Victoria </t>
  </si>
  <si>
    <t>In all of these cases, a CD will appear in your hand once you make your choice – a single by Sabaton in both English and Swedish concerning one of your previous adventures.</t>
  </si>
  <si>
    <t>92 Opened Discourse</t>
  </si>
  <si>
    <t xml:space="preserve">
Cybertronian Forge </t>
  </si>
  <si>
    <t xml:space="preserve">Facility
</t>
  </si>
  <si>
    <t>Somehow a good portion of your warehouse is now a mini cybertronian factory. This automatic factory prints out Cybertonium, a material that Transformers bodies are made out of. This is a room temperature super conductor and is the basis of all Cybertronian technology. It also functions as a 3D printer, but its programming is blank ready for input.</t>
  </si>
  <si>
    <t xml:space="preserve">
Altmode </t>
  </si>
  <si>
    <t xml:space="preserve">Ability
</t>
  </si>
  <si>
    <t>All Transformers have an Altmode which is either an animal or machine. You can turn into any animals or machine that you fits your Chassis type. You can choose to change into any animal or vehicle form that you’ve seen in your previous adventures, or for the future you can scan it. For maximum size in your Alt form you take your robot form and add +2m (6ft 6in) to its maximum height or in case of planes, wingspan. Beast Wars Era Transformers can only choose animal or beast like forms, they’ve lost their ability to change into vehicles or other machines.</t>
  </si>
  <si>
    <t xml:space="preserve">
Decepticon Terrorize! </t>
  </si>
  <si>
    <t>You've retained your robotic body, but now can switch between human and whatever form you choose and back. You'll never run out of Energon and routine maintenance is no longer a thing. You can store your robotic body in your warehouse and jump into it at any point; or ride around/on top of its alternative form. Either way it's up to you which you choose, and switching out is easy as dropping off equipment.</t>
  </si>
  <si>
    <t xml:space="preserve">
Energon </t>
  </si>
  <si>
    <t xml:space="preserve">Item
</t>
  </si>
  <si>
    <t>In your warehouse an Energon Cube appears every 24hrs. Don’t worry about your Transformers body, Post-Jump you don’t require Energon for it. Normal transformers need an Energon Cube, which is equivalent of 1000 barrels of oil, every day. This is like the 4000 calories active duty soldiers take in. Beast Wars era, they can subsist off of an Energon Cube for 1 month. You can convert other forms of energy into Energon, but it’s very inefficient. Any other fuel source other than Energon corrodes the systems of a Transformer, it’s like poison.</t>
  </si>
  <si>
    <t xml:space="preserve">
Energon Battle Pistol </t>
  </si>
  <si>
    <t>This is a pistol. Reload required after 8 shots. Comes with 5x zoom.</t>
  </si>
  <si>
    <t xml:space="preserve">
Energon Melee Weapon </t>
  </si>
  <si>
    <t>Every bot worth their Energon has a melee weapon, these weapons like everything else runs on Energon but are very efficient and practically never run out of Energon.</t>
  </si>
  <si>
    <t xml:space="preserve">
ROBOTS IN DISGUISE! - Medium Chassis </t>
  </si>
  <si>
    <t>Medium Chassis, Size: 5m (16ft 5in) to 8m (26ft 2in). You're a robot now; as such you don't need to breathe, eat, or sleep. You do require Energon to survive, without it you'll go into stasis lock. This stasis lock last forever unless your spark (lifeforce) is extinguished or you get enough Energon back in your systems. As a Transformer your strength depends on your chassis, Small Chassis can lift 25tons (22t), Medium Chassis can lift 50tons (45t), and Large Chassis can lift 100tons (90t). Transformers brain circuits are not unlike a highly advanced super computer, giving the average transformer a level of intelligence similar to that of human geniuses. Your robot body is extremely tough to damage, military grade anti- materiel weapons and Energon weapons are only thing that are capable of damaging you. Even then the average transformer can take a beating and survive.</t>
  </si>
  <si>
    <t>93 Loom and Thread</t>
  </si>
  <si>
    <t xml:space="preserve">
Minor Blessing Ares – Armaments </t>
  </si>
  <si>
    <t xml:space="preserve">
Unnatural Skill: Ritual </t>
  </si>
  <si>
    <t xml:space="preserve">
Wildlife </t>
  </si>
  <si>
    <t>This Treeline upgrade adds in small forest creatures like rabbits, squirrels, wolves, and bears. Ferrets too, but they’re not actually wild-animals… except the black-foot ferret, which is. Oh, yeah. birds too, I guess. And bugs… but only mostly harmless ones. Bees yes, Wasps no.</t>
  </si>
  <si>
    <t xml:space="preserve">
Treeline </t>
  </si>
  <si>
    <t>Walls getting you down? Well, you’re in luck. Not only does this replace your walls with trees, there’s actually a bit of a forest out there. Not useable for storage, but you can walk through the woods or cut down trees at the edge of the line for lumber or firewood. Any trees cut down regrow overnight and the stumps can never be cleared. You can walk as far into the woods as you like, but you’ll eventually come out on the other side of your Personal Reality. The trees are a mix of common trees from Earth and you can customize them to your liking with sliders to control how many pines, oaks, poplars, palms, apple trees, etc. The trees will naturally cycle through a year over the course of a year.</t>
  </si>
  <si>
    <t xml:space="preserve">
The Village </t>
  </si>
  <si>
    <t xml:space="preserve"> Free with Sky and Ground plus Trees or Pond on all four sides</t>
  </si>
  <si>
    <t>Your Personal Reality now looks like a town in the middle of the woods, or in a mountain valley, or on a cliffside or seaside / lakeside. Not only that, but you can divide up sections of Warehouse by placing paths or bits of forest or water between them. This includes all Personal Reality expansions you buy, so if you want your Olympian Temple on an island off the coast of your village, that’s fine. The dividing space can be up to 100x the total footprint of your Personal Reality space, but dividing zones and paths can’t be used to store stuff… it’s purely aesthetic</t>
  </si>
  <si>
    <t>95 Instant Replay</t>
  </si>
  <si>
    <t xml:space="preserve">
Erudition </t>
  </si>
  <si>
    <t>Halo</t>
  </si>
  <si>
    <t>Ever since the rise of Dr. Catherine Halsey, many were on the lookout for who might become the next intellectual prodigy. Someone who was able to perform as well as she could, someone who could help turn the tide of the war. With this, that someone is now you. Your cognitive capabilities are on par with the good doctor now, making you exceptionally well-versed in nearly all modern human sciences while holding specialties in at least a few fields. Of course, thanks to that you are also rather exceptional at reverse-engineering technology, which allows you to do such things like obtain working knowledge of the mechanics behind Covenant technology and even begin to understand the 'hows' behind some of the mundane pieces of Forerunner technology currently littering the galaxy. Perhaps you could eventually reclaim them. 'Erudition' allows you to make Smart A.I.s</t>
  </si>
  <si>
    <t xml:space="preserve">
Gladius-class Heavy Corvette </t>
  </si>
  <si>
    <t>While this ship is more meant for patrols and security roles rather than an actual ship of war, the Gladius-class serves its function well. Its armaments are somewhat smaller than most ships as a result, carrying only one small Magnetic Accelerator Cannon and two Archer missile pods with six Rampart point-defense cannons, but it does come with an extensive sensor suite to scan for anomalies and actively track targets for other ships to find and utterly obliterate. Seeing as it’s two hundred and forty-three meters in length however, it would be wise to simply retreat from any Covenant space presence.
-Slipspace Drive: The Shaw-Fujikawa Translight Engine finally allowed Humanity access to fasterthan-light travel in the form of Slipstream Space, and thus opened their path to the stars themselves. This device works by creating ruptures in between normal space and Slipspace while surrounding the ship in a quantum field to protect them from the dangers of the alternate dimension. The engine itself does not propel the vessel through Slipspace however; it relies on the engines to do so. The more powerful the traditional propulsion of the ship, the faster it goes. However, normal models tend to be erratic and jumps can take from several weeks to months of travel time depending on the distance, with exit destinations becoming off by a matter of hundreds of thousands of kilometers. A dangerous gambit, but it’s better than nothing.
-Self-Destruct Function: When it was clear that the Covenant were engaging in a war of extermination rather than one of conquest, the Cole Protocol was initiated. One of those requirements was that in the event of capture, a UNSC ship is to self-destruct to prevent the alien menace from collecting vital data such as navigation coordinates. It’s a drastic measure, but ultimately necessary to prevent them from finding the most important of Human worlds like Reach or Earth.
-Escape Pods/Life Boats: While going down with the ship is often seen as an honorable act so that the Covenant do not gleam anything useful from your mind, that doesn’t always have to be the case with everyone else. What if you’re transporting some VIPs or you want the rest of your crew to survive? Don’t make the same mistake as the ships of old. This gives your ship a slew of escape pods and lifeboats dotted all along the vessel, allowing the whole crew to evacuate on a moment’s notice if something goes wrong. It could be a lifesaver.
-Life Support System: People need air to breathe. There’s just no way of getting around this, as even the mighty SPARTAN soldiers have an air requirement. That’s why every ship has air scrubbers and environmental control so that not only can you keep a stable atmosphere going but also to stay comfortable while on these long journeys as well.</t>
  </si>
  <si>
    <t>95 Interlude Gregor - Shawn</t>
  </si>
  <si>
    <t xml:space="preserve">
Minor Blessing Zeus – Lightning </t>
  </si>
  <si>
    <t xml:space="preserve">
Unnatural Skill: Curses </t>
  </si>
  <si>
    <t>95.5 Interlude Gregor - Shawn</t>
  </si>
  <si>
    <t xml:space="preserve">
Central Control </t>
  </si>
  <si>
    <t>This optional purchase hooks your Personal Reality up with a Smart Pseudo-Intelligent Computer System that tracks the location and condition of all items brought into the Personal Reality. It will share that information with you or anyone you authorize to use the system. They do not have to have a key and you can set up varying levels of access. Central Control can also recall your companions to the Personal Reality if you have Portal and command it to or they are killed and you’ve set up automated recall. It can open your Personal Reality Door from the inside if you’ve given it permission to do so, but will only admit those it believes will assist you. It can only open doors on which Access Key has been used on, but the key need not be still in that door for the door to be opened.</t>
  </si>
  <si>
    <t xml:space="preserve">
Gym </t>
  </si>
  <si>
    <t>This provides your Personal Reality with a large open training room for physical exercise. It comes with exercise equipment that can be used to train almost anyone dedicated enough to the limits of their potential (as long as that potential is no more than 150% of peak human potential) fitness. It can be easily converted into a sparring pit. If you have Robots, this includes extremely durable sparring automatons to learn from in your pit. Anybody using the Gym will find that training physical abilities is slightly less fatiguing than it otherwise would be.</t>
  </si>
  <si>
    <t xml:space="preserve">
Arena </t>
  </si>
  <si>
    <t>This Gym Upgrade that Requires Central Control and Robots removes the limiter on what can be trained and now it can be used to train anyone to any physical potential they might have. The sparring pit is now outfitted with duplodroids, sparring partners that can duplicate the fighting strength and style of anyone you’ve ever fought… or even combine enemies and styles to attempt to throw you curves. Every fight you’ve ever been in and every fight you’re in from now on can be replayed by the Arena. Fights in the Arena are never fatal, like Pokemon Battles, they only result in KOs. If you choose to use the Arena Supplement, you may incorporate it with this Arena for an additional -100 WP.</t>
  </si>
  <si>
    <t xml:space="preserve">
Your Robots </t>
  </si>
  <si>
    <t>This Central Control Upgrade provides you with an automated sorting system that sorts and automatically retrieves anything stored in your Personal Reality. These Robots are completely upgradeable and programmable, so you can keep them out of key areas or tell them not to disturb certain potentially explosive experiments if you want. You get twenty of them and instructions on how to make more.</t>
  </si>
  <si>
    <t>95.6 Interlude Rey</t>
  </si>
  <si>
    <t xml:space="preserve">
This Is How I Want It </t>
  </si>
  <si>
    <t>Your capability of mentally designing items is vastly boosted. It's almost as if you have a mental idea space in the fashion of a construction bay with a lists of parts you have on hand that gives you an idea of what you can build at that moment... actually, that's pretty much what you have. As a bonus, you can mix and match parts in a manner roughly akin to legos, and giving you an idea of what would work and what wouldn't (and how much resources it would take to build). Mind, this doesn't mean that your mental creation will perform successfully, but it will function. As a final bonus, you can mentally hand-off the resultant creation to your Kerbals to build, and they'll do so without a mistake or screwup - meaning any snafu that results will be on your own head.</t>
  </si>
  <si>
    <t xml:space="preserve">
Emblems </t>
  </si>
  <si>
    <t>You'll not only find your creations and rocketships neatly emblazoned with a flag/symbol of your choice, but you'll also be able to fashion cloth emblems for Kerbals(and companions) to utilize to represent various mission types. However, you'll only be able to gift the patches so made to those whom directly participated in the mission itself. While they offer no bonuses, they do make a nice keepsake and reminder of the glories you and your Kerbals(and companions) achieved - wether it's landing on the Mun or going to the stars.</t>
  </si>
  <si>
    <t xml:space="preserve">
Espirit de Kerbal </t>
  </si>
  <si>
    <t>While you're going to have no end of volunteers of Kerbals to go into space (seriously, where the hell are they all coming from?), it's understandable that you're going to want a special group of Kerbals to count on in a pinch - an elite force you can trust to get the job done. Twenty Kerbals have stepped up to the plate to fill that role. This group of Kerbals doesn't seem to let mishaps keep them down; while crashes, explosions, and other shenanigans will, uh, result in Critical Kerbal Existence Failure, they'll pop back up in a week or so, right as rain and raring to go for another try. All 20 of these Kerbals will automatically gain whatever perk you purchase in this jump from the Pilot, Engineer, and Scientist perk tree - Drop-In, however, doesn't count for this. Kerbals regard such things as 'sleep', 'water', 'food', and 'oxygen' as quaint, outdated suggestions. Relevant perks: Aerospace Engineering Makes Things Go Fast. They're Like Legos, Right? This Is How I Want It</t>
  </si>
  <si>
    <t xml:space="preserve">
Some Old Friends </t>
  </si>
  <si>
    <t>Hey, what are you - wait a minute! How did you four get in here!? Oh, well. Looks like you're going to get some help in this jump, whether you want to, or no - Bill, Bob, Jebediah, and Valentina are all up and raring to go. As a bonus, all four come with the 'I Am A Pilot, Actually' perk for free. I Am A Pilot, Actually - All the engineering and mathematics in the world doesn't mean much if you can't actually fly the damn things. You're far from being supernatural in skill, but you're not a weekend warrior, either - you effectively have the piloting skill of Neil Armstrong when it comes to piloting rockets, spaceships, and aeroplanes</t>
  </si>
  <si>
    <t xml:space="preserve">
Speak English, Dammit! </t>
  </si>
  <si>
    <t>You gain perfect understanding of Kerbals and the way they speak in thier burbling, whack-ass mix of swedish meatball chef... something. Conversely, you can pick this to have them all speak english.</t>
  </si>
  <si>
    <t xml:space="preserve">
This Is, Actually, Rocket Science </t>
  </si>
  <si>
    <t>You gain an instinctive grasp and understanding of Delta V and orbital mechanics.</t>
  </si>
  <si>
    <t xml:space="preserve">96 Breakthrough
</t>
  </si>
  <si>
    <t xml:space="preserve">
Superweapons </t>
  </si>
  <si>
    <t>G.I. Joe</t>
  </si>
  <si>
    <t>Your expertise covers the ever growing market of weapons of mass destruction. Giant beam weapons that can teloport people everywhere to controlling the weather, if its meant to bring a city to its knees, you know about it. All of these devices however will take a massive expenditure of manpower and resources. Among rare elements that are the cornerstone of the device. Good thing you always know where to get them, good luck with getting past those giant worms! G. I. Joe will never let you make one...unless they need it to stop cobra's latest super weapon themselves... You repertoire of doomsday devices increases with the technology you are familiar with, you learn how to apply specialties to new super weapons. Robotics could make giant robots that grow as they eat metal. To mutagenic spores that could mutate the planet.</t>
  </si>
  <si>
    <t>96 Breakthrough</t>
  </si>
  <si>
    <t xml:space="preserve">
Minor Blessing Poseidon – Water </t>
  </si>
  <si>
    <t xml:space="preserve">
Unnatural Skill: Stoneworking </t>
  </si>
  <si>
    <t xml:space="preserve">
Arsenal </t>
  </si>
  <si>
    <t>Placing your battle armor and sword right next to your wedding dress rarely appears all that practical, so with this purchase an armoury gets added to your Personal Reality, into which you can place your battle armors and your weapons, and same for your companions. Content placed into armoury will be sorted for easy access and will be kept in pristine condition, always cleaned when placed back and minor damages automatically repaired, although for bigger types of damages you’ll have to figure out something by yourself. If you have Portals, you can summon your equipment through any portal you open.</t>
  </si>
  <si>
    <t xml:space="preserve">
Basic Accommodations </t>
  </si>
  <si>
    <t>This provides minimalist accommodations for you and each companion. Essentially the same thing you’d get in Basic Training in the military. A barracks with a bunk and a locker and a camp toilet. If you bought Plumbing, this improves to include a communal shower and toilets. In fact, someone need not be a companion for this to work. Anyone you allow into your Personal Reality will be allotted a similar level of basic living quarters, thus allowing you to turn your Personal Reality into a refugee center if you like. If you have Basic Nutrition, this will provide any such guests as you may invite into your Personal Reality with very basic food equal to 1200 Kcal a day, totally vegetarian. This can support up to a maximum of 1 person for every 4 cubic meters of space in your warehouse per day.</t>
  </si>
  <si>
    <t xml:space="preserve">
Seeds and Seedlings </t>
  </si>
  <si>
    <t>This Greenhouse Upgrade provides you with a package once a year that contains a random assortment of seeds and seedlings for you to plant in your Greenhouse. Has enough seeds and seedlings to fill half of your Greenhouse and they’re chosen (and labeled) from all the Host Realities you’ve visited, though all are relatively normal plants for their Host Reality.</t>
  </si>
  <si>
    <t>96.1 Interlude Uppercrust</t>
  </si>
  <si>
    <t xml:space="preserve">
Workshop Artisan </t>
  </si>
  <si>
    <t>Bloodborne</t>
  </si>
  <si>
    <t>As if taught at the long gone workshop, you seem to possess knowledge and skill with many of their crafting techniques. You have been granted the knowledge and skills needed to both repair and even create your own Trick Weapons and Hunter's Tools. Trick Weapons are weapons with a variety of special abilities relating to their form. The most common type of Trick Weapons are those that can transform in some manner. An example being swords that can lock into specialized sheaths in order to become different weapons, sometimes radically so. Not to say transformation is the only ability, there are also melee weapons with guns attached, and maces that can be charged with unnatural blue electricity to deal massive damage. Hunter's Tools are pieces of equipment with special abilities activated by using Blood Bullets or Quicksilver Bullets as a medium. Hunter's Tools are usually supernatural items that have been made to work using a Blood/Quicksilver Bullet medium, such as the Beast Roar, a beast's claw that when activated, allows the wielder to roar like a beast. Some Hunter's Tools are completely manmade as well, though this is a relative minority. Basically, you now know how to convert things into being activated and powered by Blood Bullets and Quicksilver Bullets. Doing so allows anyone to use them, even if they are completely mundane beings, so long as they have the bullets mentioned above on their person. When making Hunter's Tools, remember that the more power something requires, the bullets the wielder will need. These skills granted to you may be honed over time, just as any other skill can.</t>
  </si>
  <si>
    <t xml:space="preserve">
Bag of Blood Vials </t>
  </si>
  <si>
    <t>Special blood used in ministration. When injected, the user will rapidly recover from minor and middling injuries such as scratches, bruises, gashes, fractures and blood loss. A single vial's worth of this special blood is unable to regenerate lost limbs, large broken bones or other more severe injuries, but more blood injected equals more healing. The bag is given to you full, somehow containing 20 Blood Vials despite its small size.</t>
  </si>
  <si>
    <t xml:space="preserve">
Bag of Quicksilver Bullets </t>
  </si>
  <si>
    <t>A curious bag full of quicksilver bullets. These bullets are fused with the wielders blood and will prove quite useful during the hunt while facing beasts of various sorts. These bullets, much like Blood Bullets, can assume the shape of larger projectiles by loading them together. The bag is small and easy to carry, but has the odd ability to hold 20 quicksilver bullets at a time.</t>
  </si>
  <si>
    <t xml:space="preserve">
Blood Bullets </t>
  </si>
  <si>
    <t>At any time, you may sacrifice a significant percentage of your blood to create a small supply of five blood bullets. When loaded into a weapon, they will change shape to match the necessary ammo type. A blood bullet loaded into a pistol will match the caliber, while a blood bullet loaded into a shotgun will become a shell filled with blood buck shot. You may not make any more than five at one time, additional attempts will just pointlessly drain you of blood as the bullets fail to keep shape. A single blood bullet is unable to take the shape of significantly larger projectiles, such as cannon balls, but if multiple bullets with a combined mass equal or at least close to the desired projectile are placed together, they will fuse and assume the proper shape. Blood Bullets are able to become liquid fuel for certain weapons, such as flamethrowers. Blood Bullets are unable to assume the shape of projectiles that are too complex.</t>
  </si>
  <si>
    <t xml:space="preserve">
Gifts from the Little Ones </t>
  </si>
  <si>
    <t>You are given a choice of one of three trick melee weapons, and one of two projectile weapons. you will receive the two weapons of your choosing one day after beginning your journey. The first trick weapon you may choose is the Saw Cleaver, a saw with large teeth that can flip open to be wielded similarly to a sword. The second is the Hunter's Axe, a large hand axe with a handle that can be extended so it may be wielded with two hands. The third trick weapon is the threaded cane, a sturdy metal cane that can transform into a bladed chain whip. The first projectile weapon is the Hunter Pistol, a quick, simple, high damage weapon that's handy at short to medium range. Your other option is the Blunderbuss, a heavier weapon that fires a wide spread, effective at close ranges, against small groups of enemies.</t>
  </si>
  <si>
    <t xml:space="preserve">
Hunter </t>
  </si>
  <si>
    <t>Apparently, from what you can gather, you are now a Hunter. This means a number of things, including access to the Hunter's Dream. What that means is that instead of dying, you will wake up in the Hunter's Dream and be able to travel to and from it using Lanterns found around the world. That sounds nice at first, until you realize one of your fellow hunters is a bit too good at this, the mysterious foreign one that is. This Hunter will end the nightmare soon, within a day or two, severing your connection to the dream. There isn't much you can do about it, so enjoy it while it lasts. Another boon of being a Hunter besides being able to visit the dream is the admiration of Messengers, small infantile creatures that can prove useful in some scenarios. I'll explain about them later. Lastly, it seems your new body has some. . .hidden assets. You have an affliction, though one you can control on some level. There's a beast inside you, trying to get out, trying to take you over. Though it takes a bit of concentration, you may temporarily unleash some of this beast's strength in the form of a "Visceral Attack". This attack temporarily transforms your hand into a beastly claw which will slide through the flesh of a prone enemy like a hot knife through butter. Careful not to draw on this power too often though. . . This perk also comes with the Mandatory "Inner Beast" drawback, detailed in the drawback section. ("Inner Beast" - There's a problem with your new body and mind. As previously mentioned, there's now a bestial side to your mind trying to claw its way out and take over, somewhat literally. Drinking or covering yourself in too much blood, consuming items like Beast Blood Pellets, or using/taking various other items or drawbacks like the Beast Claw or "Ignorance is Bliss" will all empower it. If it gets too powerful and manages to take over, transforming you from Hunter into Beast, you lose. There are ways to fight it though. Avoiding or pacing yourself on blood push it down a bit. Becoming more worldly and insightful will weaken it as well. Willpower can slow its power grab, but can't stop it on its own. - Your Inner Beast has been pacified, giving you access to their powers without possibility of losing yourself to them allowing you to more easily use visceral attacks)</t>
  </si>
  <si>
    <t xml:space="preserve">
Rally </t>
  </si>
  <si>
    <t>After being hurt or damaged in some way, you have a short window of time where bathing yourself in the blood of your enemies will trigger a small bit of rapid recovery. It's never very much healing, meaning you're very unlikely to make a full recovery from anything too serious, but every little bit helps. You don't necessarily have to be drenched in blood, but the amount required to trigger Rally will be quite noticeable.</t>
  </si>
  <si>
    <t>97 Confrontations – Preamble Carol</t>
  </si>
  <si>
    <t xml:space="preserve">97 Confrontations – Preamble Carol
</t>
  </si>
  <si>
    <t xml:space="preserve">
Nano-Forge </t>
  </si>
  <si>
    <t>Typically worn around the wrist, this device is an engineer’s wet dream. Using real-time scans provided by the onboard AI, the Nano-Forge emits nanites as either a proximity cloud or projectile globs that procedurally recreate objects nearby. This Nano-Forge is restricted to repair functionality, and it doesn’t work on biological material, but it does have the precision to recreate delicate electronics and the like.</t>
  </si>
  <si>
    <t>98 Finite Resolutions</t>
  </si>
  <si>
    <t xml:space="preserve">
Trigram Knowledge and Manipulation </t>
  </si>
  <si>
    <t>Alchemy and matter manipulation with the understanding of the 8 trigrams to represent the fundamental forces of reality and how to represent and enforce change using these. Let me break this one down for you. It’s like FMA alchemy but with less focus on direct creation and more turning one thing into another of a similar size, including living things. However it cannot create life where there once was none and it requires you to write out a short formula describing the change to make it happen. Feel free to turn sand into water, sheep into boulders and anything else you can think of.</t>
  </si>
  <si>
    <t>99 Main Event - Preamble Hemorrhagia</t>
  </si>
  <si>
    <t xml:space="preserve">
Temporal Controls </t>
  </si>
  <si>
    <t>This Personal Reality Option gives you control over how fast time flows in your Personal Reality while you’re not there. The default is 1:1, but with this you can dial it anywhere from 1:10 to 10:1. Remember, this doesn’t work when you’re in the warehouse.</t>
  </si>
  <si>
    <t>99.1 Interlude Tetra</t>
  </si>
  <si>
    <t xml:space="preserve">
Workshop Equipment </t>
  </si>
  <si>
    <t>This is actually a package deal containing a variety of workshop tools. The first tool set has some basic tools for repairing equipment and some more specialized tools for upgrading weaponry with varying Blood Stones.
The second set of tools allows for the slotting and removal of Blood Gems, items that as previously mentioned can greatly empower weaponry. The last set of tools allows you to etch Caryll Runes into the mind to attain their wondrous strength, or remove them just as easily.
Runesmith Caryll, student of Byrgenwerth, transcribed the inhuman utterings of the Great Ones into what are now called Caryll Runes. Etching these runes into your mind can provide a number of benefits. Benefits can range from resisting certain types of damage, increasing resistance to various poisons or increasing stamina and vitality, among other effects. You may etch up to three runes into your mind at a time. These runes can be found scattered around this world.</t>
  </si>
  <si>
    <t xml:space="preserve">
Curious Goggles </t>
  </si>
  <si>
    <t>A curious pair of goggles with a leather strap, thick lenses and strange frames made of thin tubing and metal, all coming in your choice of colors. These goggles, strange as they may look, are an incredible invention allows for those who wear them to see that which evades the notice of others. To put it in simpler terms, it allows you to see things that would normally require "Insight", though does nothing to help perceive these things in other ways such as hearing or smell. Can be freely worn by anyone, allowing allies to see things they may wish they hadn't as well.
("Insight" - You have seen things, heard things, learned things, all very strange things. . .and its had a noticeable effect. You have lined your brain with eyes and gained the ability to perceive things others can't. Dolls will begin to talk, you can see what some would call divine beings, you can hear singing and crying you wouldn't have heard before. Even in other worlds your senses may perceive that which the senses of the mundane may not. Beware, these things you can see and hear now can sometimes be a bit. . .much. Remember as well that your insight and uplifted senses allow you to learn of and perceive strange and unsettling things, things others would have a hard time believing in. Just be careful who you talk with this about, they may think you more insane than insightful. They're probably wrong though, probably. Lastly, good or bad, a side-effect of your new insight has cleansed your beastly idiocy and heavily weakened the beast inside.)</t>
  </si>
  <si>
    <t>100 Revelations</t>
  </si>
  <si>
    <t xml:space="preserve">
Skills: Communications </t>
  </si>
  <si>
    <t>You're fully versed in reading and operating digital transmissions and sensors. You also have training in linguistics in and diplomacy.</t>
  </si>
  <si>
    <t xml:space="preserve">
Skills: Espionage </t>
  </si>
  <si>
    <t>Manipulation, subterfuge and information gathering skills that are essential for every good spy.</t>
  </si>
  <si>
    <t xml:space="preserve">
Skills: Piloting </t>
  </si>
  <si>
    <t>How to operate starships and other space worthy vessels like shuttles and Runabouts.</t>
  </si>
  <si>
    <t xml:space="preserve">
Skills: Weapons </t>
  </si>
  <si>
    <t>Knowledge in the operation and repair of personal and mounted weaponry</t>
  </si>
  <si>
    <t>101 Catharsis</t>
  </si>
  <si>
    <t xml:space="preserve">
VOWP Cellular Service </t>
  </si>
  <si>
    <t>This Extranet upgrade hooks your Personal Reality up with Voice Over Warehouse Protocol Cellular Service, and provides you with fiat backed cellphones that are guaranteed to connect to the Personal Reality or to any other cell phone on the service… regardless of what Reality those phones are connected to at the current moment. You gain a vending machine that vends Nokia dumb-phones, iPhones up to 8, and Galaxy S7 smartphones, plus any cell phone (or similar) you supply it with a copy of, as well as SIM cards or the equivalent for other phones. These phones will work just fine no matter where you find yourself, but be careful as they’re just as durable as normal ones and will need to be replaced should they get damaged or destroyed. They must be charged as normal, but get extremely good battery life.</t>
  </si>
  <si>
    <t>102 Progress</t>
  </si>
  <si>
    <t xml:space="preserve">
Chosen of Death </t>
  </si>
  <si>
    <t>Great Yama, Death-god, has seen you clearly and bade you enter the Vasty Hall of Death, to serve as his partner in creation. Not merely revealing his secrets of science - you are his equal in the arts. Your creativity is that which may forge ten unique treasures each day, or mass produce legends. Design of all forms of weapons, armours, vehicles, and utilities comes to you with blinding light and strength of inspiration. With this position comes the virtual guarantee of rebirth in your next life, as a Demigod of the forge. You also gain a Discount on all artefacts and equipment.</t>
  </si>
  <si>
    <t xml:space="preserve">
Aspect Cultivation </t>
  </si>
  <si>
    <t>If an Attribute is the grasp of power, then the Aspect is a state of being. To wield reflections, and to become Reflection. To summon Strength and to become it. Greater and more subtle than any Attribute. Through genetic predisposition, hypnosis and chemical therapies, your passions come to correspond with those of the Universe.
Raising your Aspect is like removing a mask or standing straight, a mustering of yourself. It takes some energy to maintain, should you wish to be capable of being anything but an avatar, but it is the exertion of being rather than the struggle to become.
This is a power that requires your kindness. What is the nature of the gods who become Fire, undaunted and ferocious? Who become Death, unknowable, all-ending? Who become Divine Drunkenness, invincible in vitality and charisma? Those who look upon you in raised Aspect know, instantly and surely that you are divine, that you embody a facet of creation.
Any powers raised in harmony with your raised Aspect are magnified and exalted – they are more than just spells or mutation, they are in service of the very order of the universe. An arrow loosed by the Goddess of the Bow might strike a man’s heart from ten miles away, or pin his courage to the wall.
Should the God of Flowers walk in Aspect through a forest, will it blossom and lend him strength? Or does a single rose cut and displayed by his hand speak of days of sun and offer a simple strength to all who behold it?
Demigods, though they have begun along this path are but beginners – they summon weak and feeble Aspects to match their new and uncertain Attributes, and must still undergo a battery of training exercises and therapies to fortify their natures. Mortals who develop this faculty independently are in essence on the same level as Demigods – but lack the aid of Heaven in their development.
Once fully matured, forevermore you will be Water or Marble, the Lute or the Joust.</t>
  </si>
  <si>
    <t xml:space="preserve">
Attribute Induction </t>
  </si>
  <si>
    <t>The Attribute is the capacity to effect the world with your will in a single, highly iconic way. It is a mutant strength, carefully developed with millennia of experience by the scientists of Heaven. With your attribute you might encourage silicates to grow into splendid – and razor sharp – trees of crystal, or have the wind sour and sicken your foes. Food cooked by your hands might keep a thousand men fed with one loaf, or you may will the birds to sing sweet praises in your favour and fly against your foes.
Many Attributes are known best for their utility in war, but the days when mankind’s position on their world need be defended by flaming fists and opalescent eyes has passed, and Heaven cares as greatly for Attributes of craft and fragrance as those of iron and blood.
Demigods and Mortals have just begun to harness their virtues, they are like flickering embers – offering feeble warmth, but needing careful stoking. Their attributes are unstable and untested, often needing some tool to focus their energies. The former may rely on the assistance of their superiors in the Divine, the latter have only their own wills to push further.</t>
  </si>
  <si>
    <t xml:space="preserve">
Demigod </t>
  </si>
  <si>
    <t>Blessed child. Your righteousness and piety have become the seed of Divinity in you. From your old form you have become young, vital. The body of a God is yours, handsome, strong, fast and with the correct mudras and psycho-conditioning, you have begun to align yourself with an Attribute and develop your godly Aspect. You are very much at the bottom rung of Heaven, but even Death Himself was once like you.</t>
  </si>
  <si>
    <t xml:space="preserve">
Divine Physique </t>
  </si>
  <si>
    <t>The body selected for your enjoyment has been carefully shaped beyond the apex of humanity. Strong, vital and beauteous - it is a form that one could live within for hundreds of years, though at any time you may approach the Masters of Karma for a replacement, should the flames of your divine lifestyle burn it out. Care has been made that it expresses the initial mutations and brain structures to develop Aspect and Attribute - though once they have been induced, they will carry with your soul through whatever form you take.</t>
  </si>
  <si>
    <t xml:space="preserve">
Opulent Warehouse </t>
  </si>
  <si>
    <t>Do the bare walls and drab concrete styling of your cosmic warehouse offend thine eyes? Did you wish for a shaded bower, gilded conservatory or tawdry bordello? While the total size and features will not be changed, the cosmetic structure and layout is yours to realign – as long as it is opulent. Change your bare metal shelving into a dozen cozy rooms, filled with leather-bound books and the smell of rich mahogany. Make your Portal appear edged with basalt and gold, and Forcefield into an invincible iron gate that parts only for you. Once set, you may change the appearance once per Jump.</t>
  </si>
  <si>
    <t xml:space="preserve">
Wealth </t>
  </si>
  <si>
    <t>Not merely comfortable in your station, you are quite well arrayed with the finer things. Whether this is from your merchant holdings, your mostly symbolic but well rewarded stewardship of one of the important structures of Heaven, or just the bag of gold at your hip – you have enough capital to smooth over some eccentric purchases and a somewhat flamboyant lifestyle.</t>
  </si>
  <si>
    <t>103 Calls and Connections - Addendum Accord</t>
  </si>
  <si>
    <t xml:space="preserve">
Minor Blessing Demeter - Cultivation </t>
  </si>
  <si>
    <t xml:space="preserve">
Unnatural Skill: Naturecraft </t>
  </si>
  <si>
    <t>104 Loose Ends</t>
  </si>
  <si>
    <t xml:space="preserve">
Entrance Hall - Espirit de Kerbal </t>
  </si>
  <si>
    <t xml:space="preserve">
Entrance Hall - Fleet </t>
  </si>
  <si>
    <t xml:space="preserve">
Entrance Hall - Some Old Friends </t>
  </si>
  <si>
    <t xml:space="preserve">
Entrance Hall - The Matrix </t>
  </si>
  <si>
    <t xml:space="preserve">
Entrance Hall – Aisha </t>
  </si>
  <si>
    <t xml:space="preserve">
Entrance Hall – Survey </t>
  </si>
  <si>
    <t xml:space="preserve">
Entrance Hall – Tetra </t>
  </si>
  <si>
    <t xml:space="preserve">
Entrance Hall – Tybalt </t>
  </si>
  <si>
    <t xml:space="preserve">
Firestorm </t>
  </si>
  <si>
    <t>When someone absolutely, positively needs artillery good enough to reduce the greatest castle to rubble, they come to you and accept no substitutes. You can throw a cannon together from scraps and it will still outperform the best mortars of the age. Moreover, in other worlds, if you can understand the weapon, you can produce something 1.1 times as strong with the items you would find in a rubbish heap, provided they're of equal size to the device they're replicating.</t>
  </si>
  <si>
    <t>106 Unveiled Plans</t>
  </si>
  <si>
    <t xml:space="preserve">
Minor Blessing Apollo - Medicine </t>
  </si>
  <si>
    <t xml:space="preserve">
Unnatural Skill: Healing </t>
  </si>
  <si>
    <t>107 Coffee Time</t>
  </si>
  <si>
    <t xml:space="preserve">
Bloodied Combat </t>
  </si>
  <si>
    <t>More so than Blood Bullets, Bloodied Combat is a perk that allows you to make use of your blood in a fight in a few basic ways. Covering a weapon with your blood allows you to expand the striking surface, lengthening blades or enlarging hammers with a solid sheath of blood. Outside of this, you may also scoop up a handful of your own blood, compressing it into orbs or daggers that can be thrown at enemies, impacting with surprising force. Enough blood gathered and compacted could even allow multiple projectiles to be thrown at once. While this perk isn't as potent as Blood Saint, it also increases blood production enough that it's a great deal harder to bleed out. This allows you to use these abilities safely, provided you practice a bit of moderation. Depending on the buyer, all of these traits are secondary compared to the final benefit it grants though. Bloodied Combat is a "Capstone Booster" that provides any Tier 3 perks you've purchased with secondary benefits. These benefits are listed at the bottom of the Jump in the "Notes" section.</t>
  </si>
  <si>
    <t xml:space="preserve">
Good Blood </t>
  </si>
  <si>
    <t>May the good blood guide your way good hunter! In addition to having stronger white blood cells and more efficient red blood cells, your blood has been strengthened, allowing it to create much more potent Blood Bullets. This perk basically makes your blood more useful all around. Your immune system should be able to fight off most of the diseases lurking in this festering, rotting hell for one. Now, when before it could have taken more a dozen shots to put down an enemy, it should only take two or three. This allows you to be much more conservative with your bullets. Due to your blood empowering Quicksilver Bullets, they are also improved by this perk.</t>
  </si>
  <si>
    <t>108 Raised Colors</t>
  </si>
  <si>
    <t xml:space="preserve">
Maintenance Systems </t>
  </si>
  <si>
    <t>This upgrades Your Robots so that instead of just sorting and fetching they now automatically upgrade with all tech production and repair skills you gain and now provide basic cleaning and maintenance services for anything in your Personal Reality that you know how to fix or repair. They are going to be practically invisible unless you look for them.</t>
  </si>
  <si>
    <t>108.2 Interlude Armstrong</t>
  </si>
  <si>
    <t xml:space="preserve">
Certified Tech </t>
  </si>
  <si>
    <t>Fallout</t>
  </si>
  <si>
    <t>You are one of the brightest minds of the 23rd Century! You now understand Pre-War science, and can even reverse-engineer existing technology to learn how it works, and how to recreate it. Plus, if you can learn the basics of truly alien science, this perk helps you master it the same way.</t>
  </si>
  <si>
    <t xml:space="preserve">
Skill Tag </t>
  </si>
  <si>
    <t>Just three skills to Tag, and you’ll get an immediate boost to your competence in them. Not enough to be an expert, mind. Just enough to go from novice to decent, or decent to downright competent. You’ll also learn that skill faster too, so with enough practice, you really will get perfect. Most also come with tools of the trade, just to make your life easier.
Medicine: Putting people back together – includes first aid and surgery, as well as treating diseases, radiation poisoning, and other conditions. Start with a first aid kit.
Repair: Practical use of science – building things, fixing them when they break. Start with a toolkit.
Science: Various high technical skills, including computers, biology, physics, and geology. Start with a nifty lab coat and gloves.</t>
  </si>
  <si>
    <t>109 Points of Contact - Addendum Lily</t>
  </si>
  <si>
    <t xml:space="preserve">
Basic Nutrition </t>
  </si>
  <si>
    <t>This option provides a basic (if minimalist) food delivery for you and all companions (metered for a normal human dietary requirement). This delivery comes once a week and is the kind of thing you’d buy on a very strict budget; Ramen, Peanut Butter, Generic Cereal, Dry Beans, Eggs, Tofu, Fresh Common Fruits &amp; Veggies, Canned Fruits &amp; Veggies, Dry Pasta, Salt, Pepper, Milk, Bottled Water, Rice, Flour, Butter, Barley, etc. (Note, you cannot sell the Salt or Pepper for money.) Essentially the purchasing power of 50 dollars US a week per person.</t>
  </si>
  <si>
    <t xml:space="preserve">
A Little Less Basic </t>
  </si>
  <si>
    <t>Although not a huge improvement, this raises the basic food allotment to what can be expected for a middle-class working family’s budget. You can set it to the kinds of things your home culture might buy… or simply set it to a random sampling of various cultures’ food purchases. Honestly, it’s fascinating seeing what people buy. Check out Hungry Planet if you can. This is effectively 150 dollars US a week per person, adjusted for cost of living and whatnot. You have very limited brand control.</t>
  </si>
  <si>
    <t xml:space="preserve">
A Lot Less </t>
  </si>
  <si>
    <t>This A Little Less Basic Upgrade gives you specific cultural (rural France in the 1880s, Moscow under the communists, biblical Israel, etc.) and general purchasing breakdown (X% grains, Y% junk food, Z% fresh fruits, etc.) plus raises the food budget to 300 US dollars purchasing power per person per week. Each week you can change what kind of food delivery you get and where it comes from, including any culture you’ve jumped into along your travels. This still does not give you direct control of what you get, just a general batch of stuff that fits your requirements. You can specify brands you’d like, however.</t>
  </si>
  <si>
    <t>110 Tangential Concerns</t>
  </si>
  <si>
    <t xml:space="preserve">
Xenoarcheaologist </t>
  </si>
  <si>
    <t>Stargate SG-1</t>
  </si>
  <si>
    <t>For whatever reason, understanding the civilizations of old means you're able to understand alien technology a lot better. You may not know everything off the bat, but upon first sight you have an idea of what it was meant for... and the longer you look at it, the more information you can glean. Fiddling with it will let you familiarize yourself with it more quickly.</t>
  </si>
  <si>
    <t xml:space="preserve">
Round Telephone </t>
  </si>
  <si>
    <t>The Stargate is a pretty important piece of technology, that much is certain. It's the name of the series, of COURSE it's important. You have knowledge on how to decipher its interface, and as such can use it to go from world to world.</t>
  </si>
  <si>
    <t xml:space="preserve">
Toxicology Reports </t>
  </si>
  <si>
    <t>That wasn't there before. For whatever reason your blood contains just a bit of Naquadah now. Not enough to drain yourself and siphon it, but enough to utilize and work the technology of the Goa'uld. As a bonus, this allows you to sense when other Goa'uld symbiotes are nearby.</t>
  </si>
  <si>
    <t xml:space="preserve">
Unleash the Snark </t>
  </si>
  <si>
    <t>All these aliens acting all hoity-toity... someone needs to take them down a peg. You always know what to say to be snarky at others, whether it be at a superior or a terrorist or an alien menace. They may have weapons and lasers, but the battle of wits belongs to you.</t>
  </si>
  <si>
    <t>110.3 Interlude Everett - Addendum Joe</t>
  </si>
  <si>
    <t xml:space="preserve">
The Pleician Tome </t>
  </si>
  <si>
    <t>LoT DLC 1 – The Heathen Trail – Warhammer 40,000</t>
  </si>
  <si>
    <t>The Pleician Tome is a portable font of certain archives, templates and pieces of ancient lore, created by a senior Tech-priest of the Adeptus Mechanicus and used by Techmarines.
Even to a trained eye, the information is a seemingly random collection, with no easy means of navigation, and so it takes much study to glean anything relevant to a particular task. Indeed, only those with a wide knowledge of Machine Spirits and engine lore have any hope of understanding the information contained within, however, those with patience and the appropriate skills can find secrets of great use within the datacore, secrets dating back to the fabled Dark Age of Technology.</t>
  </si>
  <si>
    <t>112 Dispatch</t>
  </si>
  <si>
    <t xml:space="preserve">
Minor Blessing Hermes - Invention </t>
  </si>
  <si>
    <t xml:space="preserve">
Unnatural Skill: Weaving </t>
  </si>
  <si>
    <t>113 Disrupted Discourse</t>
  </si>
  <si>
    <t xml:space="preserve">
Mixing Mixtures </t>
  </si>
  <si>
    <t>Your created potions can bestow multiple effects you know, however mixing too many might cause surprises. You can Reliably mix up to a dozen elixirs without them interfering with the effects of each other.</t>
  </si>
  <si>
    <t xml:space="preserve">
Strong Spark </t>
  </si>
  <si>
    <t>Rather than having a weak Spark (Like a PEASANT who took the “Spark” Perk, which this is incompatible with) you have an extremely powerful one. You don’t limit your scientific explorations to a single topic, but are a master of anything that meets your eye (well, at least once you’re in the Madness Place). You go further and farther than almost anyone, and when you get working, you quickly stop caring about things like “fundamental laws” and “nature of the universe” and ... well, pretty much anything. Warping the fabric of reality is a pretty common thing. Unfortunately, it’s also significantly harder to get OUT of the Madness Place, and you get sidetracked pretty easily as well. Last week you were trying to get a stain out of your carpet, and woke up with an army of death-ray-wielding mice obedient to your commands! MWAHAHAHA</t>
  </si>
  <si>
    <t>114 Manic Recovery</t>
  </si>
  <si>
    <t xml:space="preserve">
Esoteric Collection - Magic </t>
  </si>
  <si>
    <t>This Library Upgrade is functionally identical to Expanded Collection, but it is not limited to real world subjects. To be eligible, a subject must be one that is widely known in any setting you have visited. This can include fiction, but only fiction from universes you visit.</t>
  </si>
  <si>
    <t xml:space="preserve">
Expanded Collection - Mysticism </t>
  </si>
  <si>
    <t>This Library Upgrade specializes your library in a specific way, adding books on specific topics, things that you would expect in specialized university libraries. Each purchase of this comes with 60,000 specific titles in the language of your choice (even if such works have never been published in your selected language). The more specific a topic you pick, the more specific these books will be. So picking Biology as topic will get you books ranging from everything on animals, plants, anatomy, genetics, microbiology and ecology, while picking entomology as topic will give you extremely detailed books about different types of insects, their physiology, and so on. Choosing a specific culture multiplies the number of titles gained by the square root of the number of centuries that culture has existed. Extinct cultures do not generate this bonus. The subject must be one from the real world, but do remember that there are thousands and thousands of real world books on the occult, so it’s not unlikely you can find what you like. Each expansion also comes with specialized journals, magazines, and other periodicals on the topics. This does not include fiction. For each purchase of this Upgrade, once per month, you can request a very specific sub-topic related to the core topic (e.g. architecture... of the Louvre, history... of trade on the Yangtze, quiltmaking in the 1880s, etc.). You’ll receive a dozen books on the subject… assuming a dozen such books exist in the real world and are reasonably available (not unique or exceptionally rare).</t>
  </si>
  <si>
    <t>115 Recontextualize</t>
  </si>
  <si>
    <t xml:space="preserve">
Magitech </t>
  </si>
  <si>
    <t>The combination of magic and technology. Magitech creations are rare and difficult to make but they're also extremely powerful and could easily function after being abandoned for hundreds of years. Some are even capable of trapping and containing souls</t>
  </si>
  <si>
    <t xml:space="preserve">
Old Cloak </t>
  </si>
  <si>
    <t>A dull looking piece of clothing that will perfectly conceal your features and help you go unnoticed in large crowds</t>
  </si>
  <si>
    <t>116.2 Interlude Panacea - Preamble Vicky</t>
  </si>
  <si>
    <t xml:space="preserve">
Movie &amp; TV Series Collection </t>
  </si>
  <si>
    <t>Functionally identical to the Music Collection, but instead containing 15,000 hours of recorded passive visual media, all in a format your systems can play. All are available in their original languages, with subtitles that are below the bottom of the image and high visibility, with commentary explaining any cultural or production notes, with creator and actor commentary where possible, and with perfectly done dubbing into a language you speak like a native… or rather all languages you speak like a native… and this dubbing sounds exactly like the original actors. Every month you’ll receive 12 hours of new media.</t>
  </si>
  <si>
    <t>You receive a collection of 500 albums (EPS or LPS) based on personalized criteria such as genre, artists, or themes (big band, love songs, acapella, etc.). Liner-notes, sheet-music, and creator commentary / explanations are provided, as well as live performances, remixes, and covers. Total guaranteed run time not to be less than 2,000 hours. Every month you’ll get a new album. This can be purchased multiple times and only music from previous Host Realities is available. If you find that, upon listening to an album for the first time that you do not like it, it will be replaced… but since perfect memory perks are a dime a dozen, asking for a replacement will result in a mental block being placed over the music. You’ll still be able to remember you heard that album and didn’t enjoy it, but not the actual music. This block is fiat backed until you hear the album again someplace else or gain your spark.</t>
  </si>
  <si>
    <t>116.3 Interlude Crystal - Addendum Joe</t>
  </si>
  <si>
    <t xml:space="preserve">
A New Age of Warfare </t>
  </si>
  <si>
    <t>Metal Gear</t>
  </si>
  <si>
    <t>Metal Gear, a weapon capable of bringing an entire nation to its knees (in theory). Your engineering talents have extended to the point you can create these war machines, even automate them with AI, provided you have enough time and resources.</t>
  </si>
  <si>
    <t xml:space="preserve">
Global Operations </t>
  </si>
  <si>
    <t>In an era of tactical espionage, a soldier can no longer trust the fight to be defined by borders or battle lines. Operations can occur anywhere on the planet, and you’ve taken the first step to prepare for that. You can speak one additional language, appropriate to your location, fluently.</t>
  </si>
  <si>
    <t xml:space="preserve">
Signature Weapon </t>
  </si>
  <si>
    <t>While soldiers are often expected to be familiar with a variety of weapons, everyone has a favorite. Especially in this universe, where some of the elite are defined by their weapon of choice. You may import a weapon you already own into any number of weapons purchased, or simply combine purchased weapons, adding either new functionality or an alternate form to the weapon. Selecting a weapon as your signature grants the following benefits:
Total familiarity of the weapon. Operating and maintaining this weapon comes as naturally as breathing to you. This won’t make you a better shot per se, but you know how the weapon behaves as well as your own limbs.
In addition to standard ammo, your warehouse can produce any ammo type that could theoretically be made for it with modern day tech. This includes unorthodox picks like shotgun sabots, mercury-filled bullets, or explosive arrows. Options without conventional ammo use have other benefits, listed with the respective weapon.
Extra bonuses to the weapon, based on your background and certain perks, these will persist if someone else is using it. R&amp;D Unit: You can't really say there are many like it, unless you're trying to be humble. Your signature weapon is simply a masterwork: including design and material innovations that would be cutting-edge in MGS4, parts fabricated to microscopic precision, and that intangible care of a hand-made item. The benefits of this won't match the other listed perk effects, but it will improve virtually every aspect of this weapon.</t>
  </si>
  <si>
    <t>118 Roles and Reflection</t>
  </si>
  <si>
    <t xml:space="preserve">
Blood Artisan Plus </t>
  </si>
  <si>
    <t>You have been granted an experienced artisan's knowledge on crafting things out of blood. This is basically an overall improved version of Blood Artisan, allowing you to craft more potent Blood Vials, larger Blood Stones and even Blood Gems. Blood Gems are supernatural gems formed from blood that can be slotted into weapons to give them a variety of special abilities. Some Blood Gems can make an edge sharper, or a tip pointer. Other gems can bathe a weapon in fire, poison or electricity to make them more effective against certain enemies. Some gems can even increase your strength or dexterity while wielding the weapon it's slotted in. Their magical powers can be stacked, to an extent at least. This means you may slot up to three different Blood Gems in the same weapon, though no more. Blood Gems can be slotted and removed with special equipment. (Cannot be taken with Blood Artisan.)</t>
  </si>
  <si>
    <t xml:space="preserve">
Bloodied Combat + Blood Artisan Plus </t>
  </si>
  <si>
    <t>You may now crystallize blood in contact with your hand into whatever shape you desire, though the more complex the shape is the more you'll need to focus. Additionally, by holding an object made of crystallized blood in your hands, you may slowly manipulate the crystal structure into something more desirable. Whether this means warping it into a new shape or making it sturdier or something else is up to you, but I'm sure you'll find more than a few creative uses.</t>
  </si>
  <si>
    <t>119.5 Interlude Labyrinth</t>
  </si>
  <si>
    <t xml:space="preserve">
Box-tech </t>
  </si>
  <si>
    <t>Metal Gear Solid</t>
  </si>
  <si>
    <t>Cardboard boxes that can produce a smoke cloud? Check. Poison Cigars? Check. A mine-detector the size of a Walkman? Check. Building the sort of gadgets that MGS protagonists rely on is your thing. With Box-tech you can apply 'A New Age of Warfare' cutting-edge technologies to combat-ready gear, creating things like man-portable Railguns and Stealth Camo.</t>
  </si>
  <si>
    <t xml:space="preserve">
Equivalent Exchange </t>
  </si>
  <si>
    <t>Minecraft</t>
  </si>
  <si>
    <t>You are a powerful Alchemist, able to infuse a Diamond with the power of Redstone and Glowstone to make a Philosopher’s Stone. With such a stone in hand, you’ll be able to create a Transmutation Tablet, allowing you to instantly convert matter from one form to another, possibly even converting ordinary dirt to valuable Diamonds... or even compressing the Diamonds further into Dark Matter or Red Matter. Combining your transmutation skills with these exotic and vastly expensive forms of matter, you’ll be able to produce Alchemical Chests with incredible volume, indestructible equipment with immense power, energy collector systems to generate additional resources from nothingness, and potentially become nearly immortal, burning vast quantities of resources instead of taking wounds. Your powers are all incredibly expensive to use, and you won’t be able to max them out in your time here (especially if you don’t have any advantages in harvesting resources!), but the raw potential of this path exceeds all others.</t>
  </si>
  <si>
    <t>Jumpdoc</t>
  </si>
  <si>
    <t>Status</t>
  </si>
  <si>
    <t>Full Text With Bonuses and Chapter(s) Obtained</t>
  </si>
  <si>
    <t>Classifiications</t>
  </si>
  <si>
    <t>Quick Reference</t>
  </si>
  <si>
    <t>Supplemental Chapter Headers</t>
  </si>
  <si>
    <t>Alchemy</t>
  </si>
  <si>
    <t>Creation Prodigy</t>
  </si>
  <si>
    <t>Ar Tonelico</t>
  </si>
  <si>
    <t>Synthesis: Rank 3
Efficiency: Rank 1</t>
  </si>
  <si>
    <t>Atelier: Arland Trilogy</t>
  </si>
  <si>
    <t>Alchemy
Mixing Mixtures</t>
  </si>
  <si>
    <r>
      <rPr>
        <rFont val="Arial"/>
        <color theme="1"/>
      </rPr>
      <t xml:space="preserve">Chapter 12: 9 Acquisitions
Alchemy (Banjo-Kazooie) 100:
You are incredibly capable at mixing together mundane ingredients to create effects that can only be described as magical. For a short time these potions can create temporary copies of you, turn you invisible, or give you shielding.
</t>
    </r>
    <r>
      <rPr>
        <rFont val="Arial"/>
        <color rgb="FF181A1B"/>
      </rPr>
      <t>Chapter 175: 113 Disrupted Discourse
Mixing Mixtures (Banjo-Kazooie) 200:
Your created potions can bestow multiple effects you know, however mixing too many might cause surprises. You can Reliably mix up to a dozen elixirs without them interfering with the effects of each other.</t>
    </r>
  </si>
  <si>
    <r>
      <rPr>
        <rFont val="Arial"/>
        <color theme="1"/>
      </rPr>
      <t xml:space="preserve">Set
</t>
    </r>
    <r>
      <rPr>
        <rFont val="Arial"/>
        <color rgb="FF181A1B"/>
      </rPr>
      <t>Set</t>
    </r>
  </si>
  <si>
    <t>Chapter 44: 37 Small Tasks - Addendum Meeting Report
Alchemy (Castlevania) 300:
Through careful experimentation and research, you've gained understanding of the true nature of God's creation of the world. You may now utilize a lesser form of this art to create items of power, ranging from potions and charms to powerful weapons to drive back the forces of evil. You also understand the basics of a darker form of this art, enabling you to understand and counter evil rituals.</t>
  </si>
  <si>
    <t>Alchemical Expertise</t>
  </si>
  <si>
    <t>eXceed</t>
  </si>
  <si>
    <t>Transmutation
Alchemy</t>
  </si>
  <si>
    <t>Chapter 56: 44 Awakening
Thaumaturgical Focus: Transmutation (Fate/) 400:
There exist many special arts within magecraft, and now you have gained the knowledge of one of them. There are many schools of magic to specialise in, such as Alchemy, Memory Partition, Thought Acceleration, Transmutation, Jewelcraft, Curses etc. You could even learn the Emiya art of Time Manipulation, though you will have only the very basics, and will need years just to get to Kiritsugu's level, but you may possible go even further. You may not choose any True Magic with this perk. This perk can be bought multiple times
Magic Circuits (Fate/) Free:
You receive 20 magic circuits, each of the highest quality, upon entering the jump. These circuits are used to control both Od and Mana, internal and external magical energy respectively, and allow the use of magecraft. The more circuits you have, the more prana you get to play with.
Chapter 68: 53 Hard Time
Thaumaturgical Focus: Alchemy (Fate) 400:
There exist many special arts within magecraft, and now you have gained the knowledge of one of them. There are many schools of magic to specialise in, such as Alchemy, Memory Partition, Thought Acceleration, Transmutation, Jewelcraft, Curses etc. You could even learn the Emiya art of Time Manipulation, though you will have only the very basics, and will need years just to get to Kiritsugu's level, but you may possible go even further. You may not choose any True Magic with this perk. This perk can be bought multiple times
Status Page (Fate) Free:
A natural boon given to all masters, you have the ability to view the abilities of your servant and other beings in the form of an RPG statistics page. While this does not give you any information you do not already know, it does put it into an easily understandable format.
Dapper Dressing (Fate) Free:
What is a magus without style? A priest without his robe? A jumper without their outfit? Taking this allows you to create your own fabulous outfit, or take a copy of an existing outfit from any Type Moon character. This may be purchased multiple times.</t>
  </si>
  <si>
    <t>System
Personal
System
Ability
Item</t>
  </si>
  <si>
    <t>Simplified Formulae
Advanced Formulae
Alkahestry
Truth</t>
  </si>
  <si>
    <t>Chapter 29: 23 Renovation - Addendum Taylor
Simplified Formulae (Fullmetal Alchemist) 100:
You understand the connections between parts. You can make large alchemy circles far more easily and far less complex than others. You can combine this with Advanced Formulae for multipurpose combat alchemy.
Alchemy Fiats (Fullmetal Alchemist) Free:
Your alchemy will always work as intended no matter what universe you're in.
Alchemy can be taught, but your students will lack a lot of the fundamentals you take for granted. It is a science after all, and science is only useful if you know what it does.
Chapter 36: 30 Crescendo - Addendum Missy
Alkahestry (Fullmetal Alchemist) 300:
You can feel The Dragon’s Pulse. You understand how to perfom basic Alkahestry, an art from Xing wich can perform transmutation from a distance using linked circles, and can heal wounds of many kinds by following the pulse of the body. With practice or tutoring you can make a real skill from it.
Chapter 40: 34 Little Talks - Addendum Ethan
Advanced Formulae (Fullmetal Alchemist) 100:
Alchemy comes to you as breathing does. Your greater understanding allows for the creation of more complex alchemy. You can combine with Simplified Formulae for multipurpose combat alchemy</t>
  </si>
  <si>
    <t>System
Fiat
System
System</t>
  </si>
  <si>
    <t>Alchemy Knowledge</t>
  </si>
  <si>
    <t>Golden Sun</t>
  </si>
  <si>
    <t>Gothic</t>
  </si>
  <si>
    <t>Trigram Knowledge and Manipulation</t>
  </si>
  <si>
    <t>Chapter 143: 98 Finite Resolutions
Trigram Knowledge and Manipulation (Journey to the West) 600:
Alchemy and matter manipulation with the understanding of the 8 trigrams to represent the fundamental forces of reality and how to represent and enforce change using these. Let me break this one down for you. It’s like FMA alchemy but with less focus on direct creation and more turning one thing into another of a similar size, including living things. However it cannot create life where there once was none and it requires you to write out a short formula describing the change to make it happen. Feel free to turn sand into water, sheep into boulders and anything else you can think of.</t>
  </si>
  <si>
    <t>Master Synthesist</t>
  </si>
  <si>
    <t>Kingdom Hearts</t>
  </si>
  <si>
    <t>Kingdoms of Amalur: Reckoning</t>
  </si>
  <si>
    <t>Masters of Magic</t>
  </si>
  <si>
    <t>Equivalent Exchange</t>
  </si>
  <si>
    <t>Chapter 192: 119.5 Interlude Labyrinth
Equivalent Exchange (Minecraft) 600:
You are a powerful Alchemist, able to infuse a Diamond with the power of Redstone and Glowstone to make a Philosopher’s Stone. With such a stone in hand, you’ll be able to create a Transmutation Tablet, allowing you to instantly convert matter from one form to another, possibly even converting ordinary dirt to valuable Diamonds... or even compressing the Diamonds further into Dark Matter or Red Matter. Combining your transmutation skills with these exotic and vastly expensive forms of matter, you’ll be able to produce Alchemical Chests with incredible volume, indestructible equipment with immense power, energy collector systems to generate additional resources from nothingness, and potentially become nearly immortal, burning vast quantities of resources instead of taking wounds. Your powers are all incredibly expensive to use, and you won’t be able to max them out in your time here (especially if you don’t have any advantages in harvesting resources!), but the raw potential of this path exceeds all others.</t>
  </si>
  <si>
    <t>Overlord: Light Novel</t>
  </si>
  <si>
    <t>Chapter 19: 15 Recuperation
Innate Talent: Alchemist (Overlord) 200:
You are capable of brewing potions with magical effects. You can easily create ‘true’ healing potions that provide instantaneous healing rather than healing-over-time, and can make potions for any ‘buffing’ spells you know that are in the ranked magic system such as flight, invisibility, increased magic resistance, physical boosts, and so on. Obviously you must actually know a spell in order to make a potion with that spells effect. Additionally to make use of this talent you must actually have the means to make the potions in the first place such as an alchemist's lab or, for slimes, your own body
Alchemist's Laboratory (Overlord) Free with Alchemist:
A fully fitted and supplied alchemist’s laboratory ready for your use. It comes with the highest quality supplies and equipment required to make magical potions, allowing you to make potions to emulate the effect of any spell you know that could be reasonably made into a potion via alchemy (assuming you know alchemy, at least). The equipment will automatically upgrade itself relative to your own personal skill level, so the more skilled you are the better it will be to reflect that. Reagents for common potions restock themselves automatically on a regular basis.</t>
  </si>
  <si>
    <t>System
Facility</t>
  </si>
  <si>
    <t>Chapter 22: 17 Confrontation
Alchemy (Samurai Jack) 200:
The ancient science of mixing specific ingredients and then infusing them with natural energy. You know how to make a wide array of potions with both beneficial and harmful effects.</t>
  </si>
  <si>
    <t>Alchemization</t>
  </si>
  <si>
    <t>SBURB</t>
  </si>
  <si>
    <t>Alchemist
Formula Formulator</t>
  </si>
  <si>
    <t>Chapter 02: 2 Preparation
Alchemist (Secret of Evermore) 200:
Considered a lost art, the science of Alchemy has reawakened in Evermore, and you've been trained in its use. By combining ordinary ingredients together using an alchemical formula, you can transform them into effects that can only be described as magic. You know both Light Alchemy, the art of healing or protection, and Dark Alchemy, the art of attacking. While it's theoretically possible to learn Alchemy at a later point in Evermore, this will let you skip the training and get straight to the mixing and casting, and will make you significantly better at it to boot.</t>
  </si>
  <si>
    <t>The Mighty Boosh</t>
  </si>
  <si>
    <t>Valkyrie Profile</t>
  </si>
  <si>
    <t>Deranged Alchemist</t>
  </si>
  <si>
    <t>Chapter 14: 11 Power Trip
Deranged Alchemist (Van Helsing) 300:
You have mastered the medieval forerunner of chemistry, and know the transformation of matter via elaborate rituals and mysticism on top of your scientific approach. The greatest secrets of Alchemy still elude you, such as the fabled Panacea, but that can be found in due time. (Hint: Nobody’s found it. At all.) However, you are capable of transmutation of many materials (although it requires that said materials be the same base) and can create Homunculi from following Paracelsus’ studies into alchemy.</t>
  </si>
  <si>
    <t>World of Warcraft</t>
  </si>
  <si>
    <t>Capstone</t>
  </si>
  <si>
    <t>Cyborg Hindu Godbody</t>
  </si>
  <si>
    <t>Chapter 98: 71 Good Faith - Preamble PHO
Cyborg Hindu Godbody (Asura’s Wrath) 400:
You have a genetically, cybernetically and magically enhanced physiology, and the knowledge to propagate this technology. Your capacity to wield Mantra is enhanced, both accepting general Mantra as well as your primary association. This constructed body can heal itself, or be repaired by yourself or others. Your magical physiology is obvious, but always aesthetically pleasing. You can survive in space without a suit, endure planetbusting attacks with sufficient Mantra, and are otherwise ageless. This increases your maximum Mantra Level by 2.
If you took any of the theotech cybernetic perks, those upgrades are integrated seamlessly into your body however, channeling larger amounts of Mantra can gradually reveal your body’s true nature. Basically you get a perfect passive ‘I’m normal!’ disguise until you bust open the mantra.</t>
  </si>
  <si>
    <t>Divine Weapon</t>
  </si>
  <si>
    <t>Chapter 114: 82.1 Interlude Uppercrust
Divine Weapon (Asura's Wrath) 300:
You have a legendary weapon forged by the smiths of heaven or found in the hot blood of the earth. In either case, it is nighunbreakable and has a unique quality or power.
As an example Wailing Dark, Argus’s sword, can extend to an outlandish length and with sufficient mantra, cut through a moon. Mooncutting feats require Mantra Level 5 at minimum.</t>
  </si>
  <si>
    <t>Resplendent Wardrobe
Shut Up!
Mantra Affinity
Mantra Training and Techniques</t>
  </si>
  <si>
    <t>Chapter 82: 63 Summit Conclusion
Shut Up! (Asura’s Wrath) 50:
You don’t have the patience for bullshit. During longwinded speeches or similar engagements that drag on and on, you will have a sense for when and how to best expedite the proceedings. You aren’t required to take the chance, but you will have to live with consequences if you do. This perk cannot let you automatically kill someone, no matter how hard you can hit.
Mantra Affinity (Asura’s Wrath) 100:
You are empowered by a single flavor of sentient emotion. When acting within the themes of your dominant Mantra, you are capable of peakhuman feats. You count as both a prayer source and an emotional source of Mantra. There are eight Mantra affinities, Wrath, Violence, Vanity, Sloth, Melancholy, Lust, Greed, and Pride. Without a Mantra Affinity, you are denied the strength of emotion, and must subsist on ordinary Mantra. By taking this perk, your safe Mantra Level is set to 2, and you always count as having a minimum of Mantral Level 1 for purposes of determining such feats.
Mantra Training and Techniques (Asura’s Wrath) 200:
You have learned or been taught numerous techniques to focus and express your Mantra, rendered as supernatural martial arts and superhuman feats of agility, durability and so on. Meditative Kata can extend your natural lifespan, heal minor wounds and fight off sickness, while strikes and attacks could shatter walls. This increases your maximum Mantra level by 1.
As an added benefit, this perk also allows you to create your own personal Mantra Form. Your first form will take approximately five years of study and meditation to fully construct, but when completed, you will be able to manifest an external mantra interface. To most people, it will look like an ornate halo, evocative of your personality and mantra affinity.
A Mantra Form usually has a core theme, such as improved combat ability, damage resistance, speed or other such boosts. Establishing a form enhances your abilities, even beyond what a given level of Mantra would normally allow. With a mantra form active, you may easily perform superhuman physical, mental and social feats, even before the direct application of Mantra. These stances and techniques however cannot enhance stranger powers such as psychic blasts or arcane magic, short of ensuring you can survive to perform them.
Successfully creating an initial form and manifesting it increases your capacity for Mantra by 1. Subsequent forms and other perks can increase this cap further, to a maximum of 8. You may use any mantra form you know, but you cannot stack them. Creating a new form takes ten years, times the number of forms you have already mastered.
Your halos can be attacked however, and if knocked aside or even destroyed. If that happens, you immediately drop down to Mantra Level 3, and any excess Mantra is wasted.
Resplendent Wardrobe (Asura’s Wrath) 50:
You have access to an unlimited closet or the finest designers of Shinkoku Trastrium, able to properly dress your theotech empowered form in the grandest of styles. Anyone with mantra cybernetics can wear impossibly impractical clothing without any issue.</t>
  </si>
  <si>
    <t>Skill
Personal
Skill
Facility</t>
  </si>
  <si>
    <t>Burning Bright</t>
  </si>
  <si>
    <t>Binbougami ga</t>
  </si>
  <si>
    <t>Obtained</t>
  </si>
  <si>
    <t>Chapter 111: 80 Analysis and Reflections
Burning Bright (Binbougami Ga!) 300:
The powers of Fortune Energy are great within you; so great that it defies logic. Your energies are so bountiful that your techniques/effects using them are greatly increased, and your overall luck with them has likewise increased. Why, it's likely that given time to train you can unlock different abilities and methods to use the amount of Fortune Energy you possess. Furthermore, you gain the ability to toggle on or off a 'passive' absorbing ability to slowly drain the fortune energy of others and pull them into yourself. Just be wary about staying around people too long with this power. Cannot take with 'A Song For The Hopeless'.
-The maximum Fortune Energy/Misfortune Energy capacity one may possess will only grow slowly with age, and cannot be increased with training. 'A Song For The Hopeless' or 'Burning Bright' will increase the rate your maximum capacity grows, but it will always be at a fixed rate due to age.
-'Burning Bright' likewise is limited in that while you can temporarily supercharge yourself, your maximum Fortune Energy reservoir can only increase with age and not training. In addition, while you can try to supercharge yourself enough to become a god, you will only become a low-level one in the beginning. It will take hundreds of years for your reservoir to grow truly impressive
-'Burning Bright' grants an AoE Fortune Energy-draining field that is a 10-15 feet radius around you, and cannot be improved. However, the more people around you the more you will drain by volume. A temporary timespan of 3-12 hours will not harm the person, but the more time you spend around others with the field on, the more detrimental it will be to them. Spending 8-10 years around a person constantly with the field on will likely result in their death, if they are mortal. The more powerful the entity, the less likely this will occur.</t>
  </si>
  <si>
    <t>Bloodied Combat</t>
  </si>
  <si>
    <t>Chapter 159: 107 Coffee Time
Bloodied Combat (Bloodborne) 400:
More so than Blood Bullets, Bloodied Combat is a perk that allows you to make use of your blood in a fight in a few basic ways. Covering a weapon with your blood allows you to expand the striking surface, lengthening blades or enlarging hammers with a solid sheath of blood. Outside of this, you may also scoop up a handful of your own blood, compressing it into orbs or daggers that can be thrown at enemies, impacting with surprising force. Enough blood gathered and compacted could even allow multiple projectiles to be thrown at once. While this perk isn't as potent as Blood Saint, it also increases blood production enough that it's a great deal harder to bleed out. This allows you to use these abilities safely, provided you practice a bit of moderation. Depending on the buyer, all of these traits are secondary compared to the final benefit it grants though. Bloodied Combat is a "Capstone Booster" that provides any Tier 3 perks you've purchased with secondary benefits. These benefits are listed at the bottom of the Jump in the "Notes" section.
Good Blood (Bloodborne) Free:
May the good blood guide your way good hunter! In addition to having stronger white blood cells and more efficient red blood cells, your blood has been strengthened, allowing it to create much more potent Blood Bullets. This perk basically makes your blood more useful all around. Your immune system should be able to fight off most of the diseases lurking in this festering, rotting hell for one. Now, when before it could have taken more a dozen shots to put down an enemy, it should only take two or three. This allows you to be much more conservative with your bullets. Due to your blood empowering Quicksilver Bullets, they are also improved by this perk.</t>
  </si>
  <si>
    <t>Ability
Personal</t>
  </si>
  <si>
    <t>Synchronicity Event</t>
  </si>
  <si>
    <t>Chapter 123: 88 Perspectives
Synchronicity Event (F.E.A.R.) 300:
Curiouser and curiouser. Due to coming into contact with... well, SOMETHING, your psionic abilities have noticeably increased. Psychic powers you may have had are stronger now, with control and development coming more quickly with practice. There is also a boon to this; by taking a few days to 'attune' a person, you may impart upon them the beginning of psionic abilities of their own. You may only gift one school at a time, and they start at the very beginning; if they are to grow and learn as you have, it would be wise to teach them. On the plus side, they’ll eventually become as strong as you are, so you’ll have quite the pupil on your hands.
Synchronicity Event boosts psychic powers from outside this setting by a decent amount. It's nothing like Alma, but it's a decent boost. At the same time, you may also unlock the following abilities:
-Taking 'Feel It Out' increases your understanding of technologies and different items, dramatically cutting down the time needed to analyze the object in question and improving defenses should any psionic traps be laid. You can also 'attune' objects to better channel psionic abilities and become a powerful focus for them.
Psionic schools from F.E.A.R. include Telekinesis, Telepathy, Pyrokinesis, Possession, Teleportation, and Manifestation.</t>
  </si>
  <si>
    <t>Titan's Blood</t>
  </si>
  <si>
    <t>Chapter 125: 89 Divine Mechanics
Titan's Blood (God of War) 500:
What a curious thing you are, to have become such a thing. One of your ancestors was a Titan, a primordial being of great power and ability that was responsible with shaping the world as it is. You are not full-blooded, but the effects have been prevalent on you nonetheless; your size may be increased up to fifteen meters in height, with your strength as such that you could throw pieces of buildings one-handed at your enemies. You may also choose one Titan you are a descendent from, gaining aesthetic appearance changes similar to them. But more importantly, you may relax yourself and 'commune' with the world and nature around you; by opening your mind to the world you can learn about it and its secrets quite quickly, along with finding what is the largest threat to the balance of nature. You are of the planet, child. It is your birthright to know these things.
‘Titan’s Blood’ only gives physical boons and an impressive aesthetic relating to your Titan ancestor. You do not get minor powers from your parent, such as Cronos and his time powers.
Titan's Blood also grants access to the following boosts for capstones you've purchased:
'Daedalus' Student': Your crafting has undergone a dramatic improvement, to the point where you can make incredible works with the strength of an army within them. You have also gleamed into a new type of crafting, and you can forge energy constructs such as Zeus' Lightning to be used in your wishes.</t>
  </si>
  <si>
    <t>Touched by the Protoculture</t>
  </si>
  <si>
    <t>Chapter 92: 68 Personal Training
Touched by the Protoculture (Macross) 500:
The Protoculture were a powerful group, having been the creators of the Zentraedi, and having fought off the Protodeviln in their time. They could terraform entire worlds, traverse the galaxy in seconds, and were the first advanced humanoid civilization to exist... and now in some way, you carry their legacy. Along with the ability to understand a species' culture and the paths they could take for evolution, you now have an understanding of 'Space Fold' technology, which allows faster-than-light communication and the generation of micro-wormholes to traverse space in a much faster method.</t>
  </si>
  <si>
    <t>Blessed By The Gods</t>
  </si>
  <si>
    <t>Locked</t>
  </si>
  <si>
    <t>Box-tech</t>
  </si>
  <si>
    <t>Chapter 192: 119.5 Interlude Labyrinth
Box-tech (Metal Gear Solid) 400:
Cardboard boxes that can produce a smoke cloud? Check. Poison Cigars? Check. A mine-detector the size of a Walkman? Check. Building the sort of gadgets that MGS protagonists rely on is your thing. With Box-tech you can apply 'A New Age of Warfare' cutting-edge technologies to combat-ready gear, creating things like man-portable Railguns and Stealth Camo.</t>
  </si>
  <si>
    <t>Monstrous Strength</t>
  </si>
  <si>
    <t>Chapter 123: 88 Perspectives
Monstrous Strength (Percy Jackson) 100:
Whether by oddity of birth, ancestry, or mystical experiments you have gained an inhuman form. On the plus side this boosts your physical abilities in proportion to how obviously unnatural your current form is. Generally your form will be some terrifying fusion of various aspects of animals and humans, it is your choice on the particulars though. This boost also applies to other monster discounted perks. Generally you can interact with mortals without their notice so long as you stick to actions that can be reasonably explained by the Mist but even then most of those familiar with the true nature of the world will be able to spot various tells.</t>
  </si>
  <si>
    <t>Glory to...</t>
  </si>
  <si>
    <t>Bigger on the Inside</t>
  </si>
  <si>
    <t>Chapter 96: 69 Magic Instruction
Bigger on the Inside (RWBY) 100:
A book teaching miniaturization techniques. Starts with Bazookas into bottles, leads into Cars into cupholders. They still weigh the same, unfortunately. A master of this knows how to miniaturize around living things! It's very uncomfortable for them, so they won't stay like that. Mastery of a skill-book, as you stretch beyond what the public can accomplish, will take at least three years of independent study and practice, with the appropriate resources.</t>
  </si>
  <si>
    <t>Implanted Relic</t>
  </si>
  <si>
    <t>Eyes of the World</t>
  </si>
  <si>
    <t>Unknown</t>
  </si>
  <si>
    <t>Devil</t>
  </si>
  <si>
    <t>Magic Core</t>
  </si>
  <si>
    <t>Hybrid</t>
  </si>
  <si>
    <t>GUNNM</t>
  </si>
  <si>
    <t>Tuned</t>
  </si>
  <si>
    <t>Maleficium</t>
  </si>
  <si>
    <t>Dragon Soul</t>
  </si>
  <si>
    <t>Magic</t>
  </si>
  <si>
    <t>Psionic Operative</t>
  </si>
  <si>
    <t>Clothing</t>
  </si>
  <si>
    <t>The Flock's Fleece</t>
  </si>
  <si>
    <t>Chapter 19: 15 Recuperation
The Flock's Fleece (Actraiser) 400:
Men and women have not wandered the wilds naked since the long-gone days of the Garden. Whether they knew it or not, the act of clothing oneself is one that at once protects and isolates. A shirt or a robe is a metaphorical armor against the elements, against shame and against the prying eyes of others. You are such a skilled craftsman that you can take the 'metaphorical' part out of the equation. You're a one-person clothing creator and tailor, able to take the raw materials of silk, cotton, wool and hide...and then with almost no tools produce wondrous clothing, fitted just right for anyone who dares try the garments on. They're protective vestments against the harsh elements, able to keep people in comfortable condition be they in the deserts of Kasandora or the icy plains of Northwall.
Not only that, but people who wear them find that they'll be kept safer from the claws of beasts or the swords of their enemies, acting as a light chain-mail mesh despite being soft and maneuverable fabric.</t>
  </si>
  <si>
    <t>Garment Gloves</t>
  </si>
  <si>
    <t>Chapter 12: 9 Acquisitions
Garment Gloves (Dodgeball) 200:
These are a pair of pure white gloves. Bound to them is an intelligence with a mind for fashion: a designer, seamstress, clothier, and tailor without mortal peer. It has the ability to scry for fashion based information from international trends to precise measurements. Given materials and orders, it will industriously produce fine apparel, producing any modifications, clothing, footwear, accessories, etc that is within theoretical mortal ability. It has sufficient telekinesis to move itself and to independently suspend materials. It must be provided with materials, though it may be provided a lump sum or budget with which to magically acquire materials at cost.
You may wear the gloves to channel the skills (but not powers) of the entity, perhaps even learning from it.</t>
  </si>
  <si>
    <t>Avid Glove</t>
  </si>
  <si>
    <t>Chapter 66: 51 Lunchtime
Avid Glove (Fallen London) 100:
A miracle of surgery and tailoring, though it may bite any hands shaken. Who can say no to another set of eyes and fingers?
Amateur Academic – Trivia (Fallen London) Free:
A classical training in grammar, logic and rhetoric. You could fit in with the learned and flighty. This has given your memory a boost, entire books can be memorized.
Dabbling Academic – Fool Proof (Fallen London) Free:
Not only must one learn and understand, but to understand at a level that even laymen can comprehend. Your knowledge can be taught to those far below you.
A Thing About Names (Fallen London) Free:
Following the example of HRH Queen Vic- I mean the Traitor Empress, many citizens of the Neath have taken to calling themselves the Adjectival Noun. Prominent individuals include the Fidgeting Writer, the Sardonic Singer, the Amused Lordship and so on. It is fashionable to do so, though choosing not to do so is a choice in itself. The name chosen will become the title others refer you as.</t>
  </si>
  <si>
    <t>Entity
Skill
Skill
Personal</t>
  </si>
  <si>
    <t>Crafting Genius</t>
  </si>
  <si>
    <t>Final Fantasy XI</t>
  </si>
  <si>
    <t>Fashion</t>
  </si>
  <si>
    <t>High School of the Dead</t>
  </si>
  <si>
    <t>Chapter 02: 2 Preparation
Fashion (Highschool of the Dead) 200:
Your clothing and entire body acquire defensive properties equal to the most superior protective items you have currently equipped. Emphasis on protective item- an iron or steel ring won’t give you metal-tough skin- the minimum is things like knee pads from extreme sports, helmets- even an apron would count, though all that’d do is protect you from the dangers of a kitchen...</t>
  </si>
  <si>
    <t>Putting On The Reich</t>
  </si>
  <si>
    <t>Chapter 45: 38 Build Up - Preamble Leet - Addendum Rey
Putting On The Reich (Indiana Jones) 200:
They may fear your tenacity. They may hate your cause. They may even oppose your beliefs. But one thing remains constant: A begrudging respect for the aura of organization and sharpness you give off. You have an excellent sense of how to design uniforms that not only are intimidating and show the power of your group, but are also fashionable and make your group look organized, official in a way. It's time to show them who's Boss.</t>
  </si>
  <si>
    <t>Talented: Tailoring</t>
  </si>
  <si>
    <t>Chapter 47: 40 Knock Down - Preamble Gully - Addendum Emergency Alert
Talented: Tailoring (Inukami) 100:
You are an expert at any non-combat related skill. Cooking? You can make a five star meal with low rate ingredients</t>
  </si>
  <si>
    <t>Requiem of Souls
Weaver
Silk Spinning</t>
  </si>
  <si>
    <t>Jade Cocoon</t>
  </si>
  <si>
    <t>Tailor
Life Fiber Spool</t>
  </si>
  <si>
    <t>Chapter 12: 9 Acquisitions
Life Fiber Spool (Kill la Kill) 400:
A medium-sized spool of Life Fiber. It's only enough to maybe make a pair of gloves out of, but with the proper knowledge, one could create Goku Uniforms- Or enhance existing articles of clothing to be like Goku Uniforms. One spool of thread is enough to make several one-star outfits, three two-star outfits, or a single three-star outfit, assuming you have the knowledge of how to work with Life Fibers
Chapter 46: 39 Set Up - Addendum Kenta
Tailor (Kill la Kill) 300:
You have the knowledge of how to safely work with life fibers, and how to make them into clothing that empowers (or inhibits) the wearer. In addition, because you know how Life Fiber uniforms work, you know their weak spots better than anyone.</t>
  </si>
  <si>
    <t>Entity
System</t>
  </si>
  <si>
    <t>Coordinated Outfits</t>
  </si>
  <si>
    <t>Kingdom of Loathing</t>
  </si>
  <si>
    <t>Micromanipulators</t>
  </si>
  <si>
    <t>Chapter 18: 14 Debut
Micromanipulators (A Certain Scientific Railgun) 50:
These rather delicate gloves were meant for scientific purposes. They’re reinforced with small motors and electrically contracting artificial muscles to allow you to perform delicate work on the scale of one millionth of a meter. While they’re definitely more suited to scientific experiments, they can be put to use in any situation that requires steady hands like aiming a rifle, conducting brain surgery, cooking, defusing a bomb, or even bypassing some redirection and shielding abilities.</t>
  </si>
  <si>
    <t>Secular Skills</t>
  </si>
  <si>
    <t>Chapter 41: 35 Closing Words - Addendum Chris
Secular Skills (Red Dwarf) 200:
Through growing up in a society in which religion tried to stem the natural instincts of the cat people towards vanity and good looks, you learned to craft amazing clothes and outfits from the most base materials and tools, and don’t worry they all will look fantastic.</t>
  </si>
  <si>
    <t>Tailor Made</t>
  </si>
  <si>
    <t>Skullduggery Pleasant</t>
  </si>
  <si>
    <t>Sea Snail Shells</t>
  </si>
  <si>
    <t>Chapter 48: 41 Drag Out - Preamble Chen
Sea Snail Shells (Splatoon) 300:
You have a small breeding population of around 10 Super Sea Snails, large snails with crystalline, conical shells. The snails are hermaphroditic but and they live for around 15 years. They're more than they seem, though they provide an invaluable service- Their shells can be used to imbue hats, shirts, and pairs of shoes with extra Ability Slots, or reroll the abilities of a clothing item with 3 full slots. This kills the Sea Snail, but if you're careful to keep up the population then eventually you might have an entire wardrobe of 3-slot clothing. Also, they're delicious when cooked right.</t>
  </si>
  <si>
    <t>Juggernaut</t>
  </si>
  <si>
    <t>Chapter 36: 30 Crescendo - Addendum Missy
Juggernaut (Terraria) 200:
Your armor is a lot more effective at doing what it does just by the sheer virtue of it being latched onto and wrapped around your fleshy bits. Not to get too far into the math of it, your armor is about half-again more effective than it would be otherwise.</t>
  </si>
  <si>
    <t>Fashion Nonvictim</t>
  </si>
  <si>
    <t>Chapter 80: 61 Summit Confrontations
Fashion Nonvictim (The World Ends With You) 200:
For you, there is no such thing as suffering for the sake of fashion. As long as you wear fashionable clothing, you will always be perfectly comfortable no matter the weather. You can make ill-fitting clothing look good on you with a couple subtle pins in the right places, and it'll always be comfortable no matter how big or small it is. Even in the thick of battle, you will be no worse off for your lack of armor- So long as you wear a single peice of armor, like a shoulderpad or gauntlet, your clothes will protect you as if they were a suit of armor made of the same material.
Flaw - Doormat (The World Ends With You) Free?:
The Reaper's Game, above all else, is about personal growth. Only those who grow as a person and improve themselves are capable of freeing themselves from the game forever. Of course, in order to improve yourself, you have to have something to improve on. Here's a little help.
Doormat - Put simply, you're unassertive. You speak quietly, and it's easy to push you around - You generally go with whatever someone tells you to do, even if it's not really in your best interests, and you rarely come up with ideas on your own. Your partner will probably get tired real fast of having to tell you to do everything.
Revival OR Reaperdom
Revival:
Depending on what personality flaw you took, if you elect to press through and defeat it instead of becoming a Reaper you will earn an exclusive perk based upon your personality flaw.
Reaperdom:
Or, instead, you can take the easy way out and make a bargain for power. Reaperdom comes with a number of benefits: First, you can now attune yourself to the UG or the RG as you see fit. When you're attuned to the UG, black skeletal wings manifest from your back. Attuning yourself to the UG makes you invisible and intangible. Attuning yourself to the UG also amplifies the power of your Psychs. Secondly, you can now fight Noise (or Players) on your own using a shadowy projection. You will be able to operate both bodies independently without confusion. However, it comes with a big caveat: Your continued existence depends upon the erasure of Players. If you don't erase any Players, then you will fade from existence after a week - So you must kill at least one Player in order to keep yourself alive. Considering that Reaper's Games might take place weeks or even months apart, it's generally a good idea to erase mulitple players to "bank up" your timer. If you leave this world to go to another, then you will not need to kill people to sustain yourself, but you will need to kill people to access your Reaper powers. One kill will give you access to your powers for a week. These kills can be acheived directly or indirectly - So long as people died because of your actions, then it counts.
You also get access to exclusive Reaper perk Pin Creation
You have unlocked the secret of creating pins. You can make custom pins with your own art on them, with the psych of your choice attached to them. You can still only use psychs you have purchased, but the pins you make will invariably be more powerful than anything you can buy.
Chapter 101: 74 Hard Talk
Mental Fortress (The World Ends With You) Free!:
Your sense of individuality and self is so strong that invasive influences find your mind impenetrable. Whether it's Mind Control, Emotion Manipulation, Thought Reading, or any other kind of mind-messing mojo - You are the sole master of your own psyche. You can also see through outside manipulation and illusion more easily. Your art becomes famous for its originality and unique style, whatever you decide to apply this to.</t>
  </si>
  <si>
    <t>Fiat
Personal
Fiat, Skill</t>
  </si>
  <si>
    <t>Profession: Tailoring</t>
  </si>
  <si>
    <t>Crafting</t>
  </si>
  <si>
    <t>Gunsmith</t>
  </si>
  <si>
    <t>Alpha Protocol</t>
  </si>
  <si>
    <t>Weapon Modifications</t>
  </si>
  <si>
    <t>Chapter 22: 17 Confrontation
Weapon Modifications (Archer) 100:
You design and modify weapons with flair, creativity, and skill.</t>
  </si>
  <si>
    <t>Workshop Artisan</t>
  </si>
  <si>
    <t>Chapter 141: 96.1 Interlude Uppercrust
Workshop Artisan (Bloodborne) 300:
As if taught at the long gone workshop, you seem to possess knowledge and skill with many of their crafting techniques. You have been granted the knowledge and skills needed to both repair and even create your own Trick Weapons and Hunter's Tools. Trick Weapons are weapons with a variety of special abilities relating to their form. The most common type of Trick Weapons are those that can transform in some manner. An example being swords that can lock into specialized sheaths in order to become different weapons, sometimes radically so. Not to say transformation is the only ability, there are also melee weapons with guns attached, and maces that can be charged with unnatural blue electricity to deal massive damage. Hunter's Tools are pieces of equipment with special abilities activated by using Blood Bullets or Quicksilver Bullets as a medium. Hunter's Tools are usually supernatural items that have been made to work using a Blood/Quicksilver Bullet medium, such as the Beast Roar, a beast's claw that when activated, allows the wielder to roar like a beast. Some Hunter's Tools are completely manmade as well, though this is a relative minority. Basically, you now know how to convert things into being activated and powered by Blood Bullets and Quicksilver Bullets. Doing so allows anyone to use them, even if they are completely mundane beings, so long as they have the bullets mentioned above on their person. When making Hunter's Tools, remember that the more power something requires, the bullets the wielder will need. These skills granted to you may be honed over time, just as any other skill can.
Rally (Bloodborne) Free:
After being hurt or damaged in some way, you have a short window of time where bathing yourself in the blood of your enemies will trigger a small bit of rapid recovery. It's never very much healing, meaning you're very unlikely to make a full recovery from anything too serious, but every little bit helps. You don't necessarily have to be drenched in blood, but the amount required to trigger Rally will be quite noticeable.
Blood Bullets (Bloodborne) Free:
At any time, you may sacrifice a significant percentage of your blood to create a small supply of five blood bullets. When loaded into a weapon, they will change shape to match the necessary ammo type. A blood bullet loaded into a pistol will match the caliber, while a blood bullet loaded into a shotgun will become a shell filled with blood buck shot. You may not make any more than five at one time, additional attempts will just pointlessly drain you of blood as the bullets fail to keep shape. A single blood bullet is unable to take the shape of significantly larger projectiles, such as cannon balls, but if multiple bullets with a combined mass equal or at least close to the desired projectile are placed together, they will fuse and assume the proper shape. Blood Bullets are able to become liquid fuel for certain weapons, such as flamethrowers. Blood Bullets are unable to assume the shape of projectiles that are too complex.
Gifts from the Little Ones (Bloodborne) Free:
You are given a choice of one of three trick melee weapons, and one of two projectile weapons. you will receive the two weapons of your choosing one day after beginning your journey. The first trick weapon you may choose is the Saw Cleaver, a saw with large teeth that can flip open to be wielded similarly to a sword. The second is the Hunter's Axe, a large hand axe with a handle that can be extended so it may be wielded with two hands. The third trick weapon is the threaded cane, a sturdy metal cane that can transform into a bladed chain whip. The first projectile weapon is the Hunter Pistol, a quick, simple, high damage weapon that's handy at short to medium range. Your other option is the Blunderbuss, a heavier weapon that fires a wide spread, effective at close ranges, against small groups of enemies.
Bag of Quicksilver Bullets (Bloodborne) Free:
A curious bag full of quicksilver bullets. These bullets are fused with the wielders blood and will prove quite useful during the hunt while facing beasts of various sorts. These bullets, much like Blood Bullets, can assume the shape of larger projectiles by loading them together. The bag is small and easy to carry, but has the odd ability to hold 20 quicksilver bullets at a time.
Bag of Blood Vials (Bloodborne) Free:
Special blood used in ministration. When injected, the user will rapidly recover from minor and middling injuries such as scratches, bruises, gashes, fractures and blood loss. A single vial's worth of this special blood is unable to regenerate lost limbs, large broken bones or other more severe injuries, but more blood injected equals more healing. The bag is given to you full, somehow containing 20 Blood Vials despite its small size.
Hunter (Bloodborne) Free:
Apparently, from what you can gather, you are now a Hunter. This means a number of things, including access to the Hunter's Dream. What that means is that instead of dying, you will wake up in the Hunter's Dream and be able to travel to and from it using Lanterns found around the world. That sounds nice at first, until you realize one of your fellow hunters is a bit too good at this, the mysterious foreign one that is. This Hunter will end the nightmare soon, within a day or two, severing your connection to the dream. There isn't much you can do about it, so enjoy it while it lasts. Another boon of being a Hunter besides being able to visit the dream is the admiration of Messengers, small infantile creatures that can prove useful in some scenarios. I'll explain about them later. Lastly, it seems your new body has some. . .hidden assets. You have an affliction, though one you can control on some level. There's a beast inside you, trying to get out, trying to take you over. Though it takes a bit of concentration, you may temporarily unleash some of this beast's strength in the form of a "Visceral Attack". This attack temporarily transforms your hand into a beastly claw which will slide through the flesh of a prone enemy like a hot knife through butter. Careful not to draw on this power too often though. . . This perk also comes with the Mandatory "Inner Beast" drawback, detailed in the drawback section. ("Inner Beast" - There's a problem with your new body and mind. As previously mentioned, there's now a bestial side to your mind trying to claw its way out and take over, somewhat literally. Drinking or covering yourself in too much blood, consuming items like Beast Blood Pellets, or using/taking various other items or drawbacks like the Beast Claw or "Ignorance is Bliss" will all empower it. If it gets too powerful and manages to take over, transforming you from Hunter into Beast, you lose. There are ways to fight it though. Avoiding or pacing yourself on blood push it down a bit. Becoming more worldly and insightful will weaken it as well. Willpower can slow its power grab, but can't stop it on its own. - Your Inner Beast has been pacified, giving you access to their powers without possibility of losing yourself to them allowing you to more easily use visceral attacks)</t>
  </si>
  <si>
    <t>System
Personal
Ability
Item
Item
Item
Personal</t>
  </si>
  <si>
    <t>Bandit Gunsmith</t>
  </si>
  <si>
    <t>Chapter 36: 30 Crescendo - Addendum Missy
Bandit Gunsmith (Borderlands) 100:
You have amazing technical insight and when shown to a pile of broken weapons or energy shields you can use parts from some to reassemble others into decent condition. Don't expect it to be pretty, but you can nail 15 repeater pistols together to make a functional shotgun, or use bits of five shields to make one that works.</t>
  </si>
  <si>
    <t>Fingers of the North Star</t>
  </si>
  <si>
    <t>Chapter 24: 19 Restoration
Fingers of the North Star (Cave Story) 200:
You have a natural talent with machinery, and this extends to firearms creation. You can disassemble, analyze, and reassemble any projectile weapon you come across, and you have the ability to create unique, one of a kind guns that utilizes odd and esoteric technology. You also gain a free 'stamp' you can apply to any weapon you create, to show it's your work. Upgrading existing weapons is a breeze as well.</t>
  </si>
  <si>
    <t>Infinitely Customizable</t>
  </si>
  <si>
    <t>Dead Space</t>
  </si>
  <si>
    <t>Weapon Crafting</t>
  </si>
  <si>
    <t>Chapter 72: 56 Arrival Time
Weapon Crafting (Devil May Cry) 200:
Alright, so you fancy yourself a weapons dealer, huh? Well now you know the ins and outs of every single tool made for killing that you get your crafty little hands on. Swords, handguns, axes, sniper rifles, spears, rocket launchers, it'll all come naturally to you, and you will be able to create these weapons or even improve them with your own custom designs. And to make it even a better deal, you know how to modify a weapon to have unlimited ammunition capability. So go nuts, buddy. You've earned it.
Cuh-Ray-Zee! (Devil May Cry) Free:
The moment you step into the world of Devil May Cry, you, and anyone you brought with you, will have the innate potential to do incredibly amazing stuff all day long, pal. However, it will take great skill and effort to pull off anything like blocking attacks with the back of your hand, or playing an air guitar that actually produces audible sound for others to hear. But never fear, if you train hard enough, and git gud enough, you too will be able to deflect bullets with other bullets, destroy buildings by spouting out innuendos, and become a worthy disciple of my ways. And yes, you totally get to see your rank whenever you're doing anything.
Taunts (Devil May Cry) Free:
Your mother was a hamster, and your father smelled of elderberries! You are able to come up with witty dialogue, insults, jokes, and one-liners on the fly. Now, taunting does three very useful things. First, it will boost your Style rating. I know, I know, that's amazing, and awesome, and all that. Second, taunting pisses off your enemies. A lot. So much that they'll try to stomp your pretty little face in. While this may seem like a bad thing, it can also be good for you, as the dumbass you're fighting will make a mistake in their rage. And thirdly, a successful taunt will help you get your game on and replenish your stamina. You won't be able to run entirely on smack-talking suckers while you rip them a new rectal cavity, but it will definitely ensure that you'll be able to fight for hours, sustained only by the power of your quips.
Weapon Swapping (Devil May Cry) Free:
The ability to swap between your weapons in the middle of battle. These weapons are stored in a pocket dimension known only to you, and can be switched instantly with but a thought.
Dark Slayer (Devil May Cry) Free:
Dark Slayer Style is essentially an evolved form of Trickster, in that it's based around movement, but rather than simply dashing, Dark Slayer is all about teleporting in quick short-ranger bursts. However, the biggest change from Trickster is the ability to summon swords outta nowhere. Got your attention now, didn't I? Yep, you can effectively create copies of any weapon that you've seen before, from swords, to axes, to giant homing two-sided Shuriken. I will never understand where Nero got that idea from. You can wield them or shoot 'em at your enemies in countless different ways. Make it rain pointy swordy death from above, surround your opponent with them, shoot them all out in rapid succession faster than even a minigun, and much, much more. However, these weapons are often pretty subpar compared to the original, unless you're very familiar with the weapon, or have trained extensively in the replication of weapons. Now, I know this Style's name might sound a bit dark and edgy, but it was my brother's own personal Style, rest his soul, and he was kinda going through a phase at the time. A dickish, emo, power hungry phase. So just cut him some slack and bear with it. Besides, it actually does sound pretty cool. Comes with free Get Set!
Get Set! (Devil May Cry) Free:
You now have the ability to style your hair in whatever form you wish, whenever you wish, with just your bare hands. Is your hair not long enough or too short for the style you want? No problem, just run your hands through it a couple times, and it'll adjust. Don't ask me how it works. It just does.</t>
  </si>
  <si>
    <t>System
System
Ability
Ability
System
Ability</t>
  </si>
  <si>
    <t>Craftsman</t>
  </si>
  <si>
    <t>Dwarf Fortress</t>
  </si>
  <si>
    <t>Item Construction A+++</t>
  </si>
  <si>
    <t>Chapter 70: 55 Processing Time
Class Jumper (Fate Servant Supplement) 50:
The Anomalous class. Possibly a hero of another world or many worlds. There is no common denominator to this class. It is the most unpredictable of the classes. They gain no base stats (Strength, Endurance, Agility, Mana, and Luck) above the E Rank base level (E x10 the human peak.). They gain a discount on one stat of their choice. They gain one Skill of their choice as their Class Skill (Territory Creation). Jumper also can pick Personalised Class Name for free. You get one C rank Skill (Magecraft) free and receive an E rank for free in any Class Skill you have according to your bought Class. You receive one C rank Noble Phantasm for free.
Territory Creation E (Fate Servant Supplement) Free:
This skill allows the servant to build a special terrain that is advantageous to oneself as a magus. A Territory allows the creator to cast stronger spells at a reduced cost, with the effects increasing as the rank does
Magecraft C (Fate Servant Supplement) Free:
Knowledge about modern Thaumaturgy
Noble Phantasm C (Fate Servant Supplement) Free:
Works of Timeless Eternity: Mystic Forge, Anti-Unit (self)
Item Construction A+++ (Fate Servant Supplement) 550:
Item Construction is a Caster-class Skill. It is the Skill to manufacture magical items, from implements of war to items for daily use. Also, this Skill requires time to gather components and manufacture items.</t>
  </si>
  <si>
    <t>Personal
Skill
System
Ability
System</t>
  </si>
  <si>
    <t>Crystal Metallurgy</t>
  </si>
  <si>
    <t>Final Fantasy XIV</t>
  </si>
  <si>
    <t>Master Craftsman</t>
  </si>
  <si>
    <t>Chapter 25: 20 Offensive
Master Craftsman (Forgotten Realms) 300:
You are exceptionally skilled at crafting things. At your worst, your results are masterwork.</t>
  </si>
  <si>
    <t>Blacksmith</t>
  </si>
  <si>
    <t>Smith</t>
  </si>
  <si>
    <t>Dwarven Craft</t>
  </si>
  <si>
    <t>Chapter 33: 27 Intrusion - Addendum Hannah
Dwarven Craft (Lord of the Rings) 400:
You are a master smith, able to singlehandedly run even a large forge. You can make weapons and armor that stand up to hundreds of years of continuous use, and even know how to mine and forge mystical metals such as Mithril.</t>
  </si>
  <si>
    <t>High-Frequency Manufacturer</t>
  </si>
  <si>
    <t>Chapter 22: 17 Confrontation
High-Frequency Manufacturer (Metal Gear Rising) 300:
A blade launderer, huh? Anyway, you can now make a HF blade out of anything you want. Depending on the original craftsmanship of the weapon, it could be good or shit. But if you picked this, you probably have something in mind.
Must be a physical object. No lightsabers and the like.
Yes, blunt objects can become HF weapons. No, they can't cut. They only get stronger, and can resist other HF weapons.</t>
  </si>
  <si>
    <t>Gadgetron License</t>
  </si>
  <si>
    <t>Ratchet &amp; Clank</t>
  </si>
  <si>
    <t>I Can Fix It!</t>
  </si>
  <si>
    <t>Reborn</t>
  </si>
  <si>
    <t>You Became A Star</t>
  </si>
  <si>
    <t>Chapter 71: 55.1 Interlude Fleet Preamble Roy Addendum Margaret
You Became A Star (Robot Unicorn Attack) 400:
You've gained insight into the process of using rainbows to harness Unicornium without having it explode in your face. With it, you can build your own robot unicorns or other rainbow creatures. Once your initial adventure here concludes successfully you will be taught by an expert wishsmith on everything you might need to know to construct Wishes and design your own upgrades for them.
Shoot For The Moon (Robot Unicorn Attack) Free:
You gain a bonus to jump height, and can even manage to make a second jump off of nothing but air at half the height of your first leap. When you jump through the air, your tail causes a trail of rainbows to form behind you. If you decide to alter the style of your mane and tail through customization, the trail you leave behind will be cosmetically altered to match.
Rainbow Savior (Robot Unicorn Attack) Free:
We won't leave you defenseless in this world. At will you can make use of a rainbow dash attack that will easily explode any fallen stars or enemies between you and your goal. You are still vulnerable from above, below, to the sides, and from the rear. This only can be used to attack whatever is directly in front of you.
Unicornium Horn (Robot Unicorn Attack) Free:
The first comes free, but additional purchases can grant you more horns. All Wishes come with a built-in horn of the finest craftsmanship. Additional purchases can provide you with an extra horn, or increase the size and destructive capabilities of your initial horn.
Make A Wish (Robot Unicorn Attack) Free:
You can take whichever three Wishes you'd like to use. All Wishes are equally effective at defeating obstacles and traversing the realm.
Unicorn: The classic wish! Though mostly horse-like in appearance it has some key differences such as rainbows, being a robot, and a horn.
Mother-flipping Sabretooth Tiger: So cool it's awesome. Plain stripes? How about rainbow stripes? Great shiny metal teeth too, which like all Unicornium resists rusting.
Dragon: Large and stylish wings set this Wish apart from the competition. Unfortunately, they are just for show and not actually flight capable.</t>
  </si>
  <si>
    <t>System
Ability
Ability
Item
Entity</t>
  </si>
  <si>
    <t>Tempered Soul</t>
  </si>
  <si>
    <t>Chapter 59: 46 Review
Tempered Soul (Soul Calibur) 300:
You gain an innate gift for forging high-quality weaponry. The weapons you create do not appear crude in any sense of the word, and in time your skill might cause your functional weaponry to be confused for elaborate display items.</t>
  </si>
  <si>
    <t>Engineer</t>
  </si>
  <si>
    <t>Chapter 25: 20 Offensive
Engineer (Super Mario RPG) 300:
You're more adept at coming up with novel and creative objects. Any blueprint can be held perfectly in your mind without needing to draw it on paper.</t>
  </si>
  <si>
    <t>The Arcane Craft</t>
  </si>
  <si>
    <t>Chapter 35: 29 Presentation - Addendum Emily
The Arcane Craft (Sword and Sorcery) 300:
As much as you might look down upon brutes and barbarians who know only how to break bone and spill blood, you and the warriors of this land have one thing in common. You require the tools of your trade. You know all the methods and ways to bind arcane and mysterious forces into physical vessels. Rings, staves, talismans, warded stone towers, and even more. These items allow the channeling of such forces to work your will, capturing, bending, and shaping the worlds invisible tides to enable works of sorcery and occult splendor. The strength of these items and their effects rely on your skill, knowledge, and power. Of course should you yourself be a font of such forces from your varied lives then you would be surely capable of building the focuses and talismans to augment and amplify your power. The world rewards men for diligent labor. It would behoove you to refine this art to get everything you can out of it. This also includes the skill to use such items, even those not made by your hand should you have the ability to reveal their secrets.</t>
  </si>
  <si>
    <t>Blessing of Dundr</t>
  </si>
  <si>
    <t>The Banner Saga</t>
  </si>
  <si>
    <t>Smithing</t>
  </si>
  <si>
    <t>Thundercats</t>
  </si>
  <si>
    <t>Chapter 06: 5 Negotiation
Smithing (Thundercats 2011) 200:
The ancient art of working with metal to forge weapons and armor. You know how to make beautiful equipment that can survive countless battles and you could even forge a legendary weapon if you dedicated enough time to it, although it'd probably take at least several years to complete.</t>
  </si>
  <si>
    <t>Wakfu</t>
  </si>
  <si>
    <t>Armourer
Fixer
Weaponsmith</t>
  </si>
  <si>
    <t>Warhammer 40,000: Light of Terra DLC 5 - A Sky Filled With Steel</t>
  </si>
  <si>
    <t>Chapter 24: 19 Restoration
Armourer (Light of Terra DLC 5 A Sky Filled With Steel - Warhammer 40,000) 300:
A mental database containing information on the most common types of armour found in the Necromunda Hive and how to build, repair and maintain them. While this doesn't sound impressive, it is worth pointing out there are countless billions of people dwelling within the hive, and they have been here for millenia - the list of things counted as common at one time or another ranges from Power Armour in the distant past to the more common hammered metal plates made by local Gangers to the standard Imperial Guard Carapace Armour. Don't expect to start churning out Adetus Astartes Power Armour the second you get this though - the infrastructure to build the infrastructure to build the infrastructure to build the armour was lost to ruin a long time ago. There's a reason the Space Marines use suits thousands of years old.
Chapter 42: 35.1 Interlude Dragon - Addendum Margaret
Weaponsmith (Light of Terra DLC 5 A Sky Filled With Steel - Warhammer 40,000) 300:
To weaponry what Armourer is to protective gear, this is a massive database of the various tools of mayhem the denizens of the Necromunda hive have wielded against each other. While the high tech equipment possible may seem nice, do not underestimate the value of low tech weaponry. Crafting a plasma pistol and crafting a bayonet require wildly different sets of skills, and all too often people who have one assume they have the other, to their chagrin.
Chapter 56: 44 Awakening
Fixer (Light of Terra DLC 5 A Sky Filled With Steel - Warhammer 40,000) 300:
This Schema contains a massive database filled with the countless bits of equipment the denizens of Necromunda Hive Primus have bought, found, built, stolen or obtained by other means over the centuries since the Hive was founded. Inexplicably it also seems to contain an extremely rare, extremely valuable and extremely heretical to own database detailing how to build and maintain Admech servitors and cybernetic parts.</t>
  </si>
  <si>
    <t>Set
Set
Set</t>
  </si>
  <si>
    <t>Blacksmithing</t>
  </si>
  <si>
    <t>Customized Weapons</t>
  </si>
  <si>
    <t>Chapter 33: 27 Intrusion - Addendum Hannah
Customized Weapons (XCOM) 100:
You know that efficiency is number one, because waste is a thief. You know how to make the best designs better, and will ensure that the equipment in use is ergonomic, streamlined, and efficient.</t>
  </si>
  <si>
    <t>Felyne Perks</t>
  </si>
  <si>
    <t>Friends and Allies</t>
  </si>
  <si>
    <t>Will Thee Accompany Me?</t>
  </si>
  <si>
    <t>Chapter 100: 73 Head Trip
Will Thee Accompany Me? (Free): While it might not be my specialty, I'm not a bad hand at restoring lost timestreams. If you have any friends who tagged along with you, I make sure they're able to find you wherever and whenever they end up. I'll even provide them with a healthy new human body, along with the Element of their choice.
Element (Chrono Trigger) Free:
Anyway, weak or strong, you've still got enough strength of will to you for the old guy to send you to me. I'm not just the Master of War, ya know. I'm also the keeper of Magic. Sky, Dark, Water, and Fire... used to be, everyone could call on the power of the elements. But now, only those with enough determination and a strong enough heart can use it. Lucky for you, you've got some great inner strength, so I can teach you the good stuff.
Fire: Fire's the element of the world, from the day it was born until the day it dies. It's a pretty simple element, generally in the form of blasts of flame and explosions, but molten lava's not impossible, and you can even go with rock and earth if you want. It's also offers a good mix of support for your allies and debuffs for your enemies.
Combination Attack (Chrono Trigger) Free:
You didn't think I'd let you go without teaching you this one, did you? Now that you're fortified with magic, or other tricks, you're going to start noticing some of them seem compatible with your buddies' moves. Well, that's because they are. By using them together, you can merge them into one big move that'll be greater than the sum of its parts. Fusing two spells, enhancing an attack with elemental energy, even a well-coordinated double strike... there's a lot of possibilities, so try them out and see what works. Just keep in mind your buddy needs to know how to do this too, and not all techniques are going to be compatible.</t>
  </si>
  <si>
    <t>Some Of My Best Friends Are Dodgeball Players</t>
  </si>
  <si>
    <t>Chapter 72: 56 Arrival Time
Some Of My Best Friends Are Dodgeball Players (Dodgeball) Free:
You may import eight Companions, granting them a past in this world. Since everyone in this world plays dodgeball, they have at least a moderate amount of skill in the activity­ more if they were already particularly physically or martially inclined. Your Companions share your Origin, in addition to any 600cp perks you purchased for yourself, with or without a discount.
Milkshake OR Nutrient shake - Milkshake (Dodgeball) Free:
One tastes delicious and comes in a variety of flavors­ and probably isn’t the best for your health. The other comes in one flavor­ gruel­ and does wonders for your health. Choose one upon purchase. You may summon one whenever you like, but only one at a time.
All I Know Is That Dyke Can Play (Dodgeball) Free:
Race, accent, gender, sexuality, social class, age, wealth, relations, dress­ these are but a few of the ways your worth or capability is judged. You may, at will, choose for these or other superficial traits to be ignored for an objective merit based evaluation of yourself, or instead for a trait to be exaggerated in their perception. You may mix and match. You may also apply this to your perceptions of others to eliminate these biases in yourself.</t>
  </si>
  <si>
    <t>Servant</t>
  </si>
  <si>
    <t>Form Up, Team!</t>
  </si>
  <si>
    <t>Chapter 72: 56 Arrival Time
Form Up, Team! (Gears of War) Free:
Fighting alone gets you killed. Good thing you can bring backup; you can bring up to four Companions with you for free, as human members of your own squad. Should you desire more, you can pay 50CP per Companion to bring additional Companions with you, up to four extra for eight total. Each Companion is able to have their own Background (CQC Expert), and 200CP to spend for the purpose of this jump.
GOD DAMN SON OF A BITCH (Gears of War) Free:
The art of swearing is crude and obnoxious when used incorrectly. But you? You know how to swear EFFICIENTLY. Whether it's for the sake of injecting some comedy into a situation, or emphasizing the seriousness of a situation, you'll know just how to get the most bang for your buck.
Action Reload (Gears of War) Free:
Whether it shows up on a HUD of some kind, or whether it's a 'feeling' you have, you're aware of an action prompt whenever you reload your weapons. When you hit the sweet spot in your reloading routine, you're able to finish the job much faster, and the excess movements you've discarded make your shots that much more accurate for a brief period. Every second counts in battle! 
Weapon Executions (Gears of War) Free:
Most guns are designed to kill something from afar. But where's the fun in that? If an enemy is downed or in a position where you can take the time, you can come up with all manners of methods to use your weapons to execute enemies in a hilarious fashion. Use a shotgun like a golf club? No problem! A sniper rifle like a sledgehammer? No problem! All of these and more, plus your weapons will never suffer damage from using them in this fashion.
The Cole Train (Gears of War) 400, discounted to 200:
To Hell with ANYONE in your way. Momentum is your friend, your ally; when charging the enemy you find your attacks deal a noticeable increase in damage, and your ability to reload and strike people on the fly is increased. You could even shove your gun in someone, fire through them, and move onto the next one akin to chaining your kills. This effect ends when standing still, but when you push forward and charge through the enemy they will know it. All Aboard!
COG Armor (Gears of War) Free:
Standard issue armor that's made of multiple metal plates. On the back of the suit is a magnetic 'holster', that resembles a general infantry backpack, allowing people to carry two weapons on their backs. The armor provides medium protection against damage (multiple assault rifle shots only bruise the wearer), but will not withstand concentrated or sustained gunfire. Helmet optional.
Combat Boots (Gears of War) Free:
They're thick, they're heavy, and they'll serve you well. Along with giving excellent comfort and protection from the myriad of terrains you'll find here, they're also very handy for stomping the heads of enemies like watermelons at a comedian show
MX8 Snub Pistol (Gears of War) Free:
The standard sidearm for all COG soldiers, this weapon makes up for its low damage and small 12-round magazine through a high rate of fire and its impressive accuracy. Expect to find ammo for it everywhere
COG Tags (Gears of War) Free:
A form of identification that takes the form of a necklace with small gear-shaped tags. They will have whatever identification you desire upon them
Personal Digital Assistant (Gears of War) Free:
There is still a reliance on technology, even if the war with the Locust make things... problematic. With this, you'll have an easier time with Command and keeping track of your data.</t>
  </si>
  <si>
    <t>Someone From Below</t>
  </si>
  <si>
    <t>Chapter 72: 56 Arrival Time
Someone From Below (Gurren Lagann) Free:
You can make up to eight of your current companions inhabitants of this world, granting them a background, the power to generate Spiral Energy and either a human or beastman body for free. You can also spend 50cp in order to give an individual companion 600cp to spend, or pay 200cp to give all eight imported companions 600cp to spend on perks, items, or a Gunmen. Companions cannot purchase any companion options or drawbacks. Companions will only gain the free items, perks and discounts given by their backgrounds if you spend cp on imports. Otherwise they will only benefit from their new memories, a new form and the power to generate Spiral Energy.
Spiral Energy (Gurren Lagann) Free:
A mysterious but incredibly powerful evolutionary force that can be harnessed and manipulated by living beings. Spiral Energy can allow an individual to achieve virtually anything imaginable, but in order to keep things from getting too crazy you'll have to slowly unlock your Spiral powers over time. Initially you'll only have enough power to pilot a Gunmen but with enough time and the right circumstances you can figure out how to generate large powerful drill weapons from your mech that are capable of easily destroying other Gunmen and can cause massive explosions. After a few years of continued use you could potentially learn how to increase your physical abilities, Intelligence, and natural lifespan to superhuman levels. Once you've fully unlocked your Spiral power you'll be able to live for over a thousand years, punch apart small Gunmen with your bare hands, discover and forge incredible technological wonders, and generate drills and other constructs from Spiral Energy without the assistance of a mech.</t>
  </si>
  <si>
    <t>Democracy Under the Companions</t>
  </si>
  <si>
    <t>Chapter 72: 56 Arrival Time
Democracy Under the Companions (Highschool of the Dead) Free:
At no cost you may import up to eight Companions, who shall receive the 100cp perk of their Origin, and an appropriate history. Companions may not be imported as one of Them, and each of the first six origins (All­Rounder, Otaku, Genius, Fighter, Teacher, Soldier) must be filled by you or one of your companions before any unassigned imports can double up at no cost. You must pay 50cp to import a Companion as The Expert (Drop­In), or when importing a companion as any given Survior origin after the first without filling the roster.
Hard Target (Highschool of the Dead) Free:
You’re a tough nut to crack­ because you know how to wear armor effectively! This perk ensures that any armor or protective gear you wear feels comfortable and doesn’t get in your way no matter how bulky or awkward it seems. Further, your skills make rips and breaks in the armor much less likely, and far easier to repair. One of Them won’t down you with a lucky one­bite hit!</t>
  </si>
  <si>
    <t>Band</t>
  </si>
  <si>
    <t>Chapter 72: 56 Arrival Time
Band (Percy Jackson) Free:
You may import or create a companion with 500 cp, if they take the same origin as you they get the origin for free. You may further supplement any companions with your points at a 1:1 ratio or giving them the Illiterate, Divine Disdain, Unwanted Suitor, Godly Grudge, Luddite, Minor Mistake, Fate Finds you Interesting and/or Bad Oath drawbacks for the appropriate amount of points (max 300 from drawbacks per companion). As Fate likes its threes the first two companions are free.
Old Traditions (Percy Jackson) Free:
You are knowledgeable in the ways of the ancient civilization corresponding to whatever mythology you're most connected with. You can read their languages, know the proper ways to honor the gods, and have a decent grasp of their mythology. Otherwise unassociated Drop-ins may choose any one ancient culture to know of. You may purchase this multiple times, each time gaining insight into a new culture.
Divine Child - Ares (Percy Jackson) Free:
You are the direct child of a god of your associated pantheon and gain various benefits from this. You gain lesser manifestations of your parent's domains as well as generally being better than an ordinary mortal. You may take most any god as your parent but to take one of the heads of a pantheon as a parent you must take the "Fate finds you interesting" drawback receiving no points for it (you can also do this with a lesser god to get greater powers). Generally this will give you insight into and some control over your divine parent’s domains, a son of Poseidon for example can control water and ships, talk to horses, cause minor earthquakes and is empowered within water
Fate Finds You Interesting (Percy Jackson) Free:
"Fate finds you interesting" drawback receiving no points for it (you can also do this with a lesser god to get greater powers)
Legendary Implement - Stygian Iron Helmet (Percy Jackson) Free:
Be it a celestial bronze sword that folds down into a pen, a staff that was custom built for you and helps channel your magic, flying shoes, a yankees cap of invisibility or any other useful mildly magical weapon or item this is what you’re after. Weapons may optionally be forged from one of the various divine metals, in which case they will do nothing to mortals but be amazingly effective against monsters or other creatures of legend (once the jump is over you may turn this on and off freely). The following add ons may also be purchased: Materials (free) You may have your item made from Celestial Bronze (relatively mundane, somewhat lighter than the other metals), Stygian Iron (absorbs the essence of monsters it kills, preventing their return), Imperial Gold (can be broken to create a fairly large explosion of mystic energy), or Bone Steel forged from a species of your choice (is much more effective on things similar to the donor of the bones). Concealable (free) When not in use the item will turn into a small mundane item so as to hide its nature and help make it easier to carry. Unique ability (100, one free non-weapon items) The item has some minor ability unique to it, from a cap that turns you invisible when worn to a Sword that trails water.
Legendary Training - Berserking (Percy Jackson) 200, discounted to 100:
You can fly into a blood rage, while in this state you are far stronger than normal and can fight despite nearly any wound. You will still use your other abilities effectively but will be hyperfocused on melee combat. Also taking part in this training has toughened your hide, making it possible to shrug off blows that would leave mortals reeling.
Glory to… Me (Percy Jackson) 800, discounted to 400:
Your divinely related abilities are all massively enhanced to the point that you could fight on par with some mid-tier gods. Using your powers is instinctual and nearly as easy as breathing. Also you gain benefits from your divine parent’s more obscure domains. A child of Hades might find themselves able to call up wealth and ghosts interchangeably while one of Apollo could burn his foes and heal his allies with his mere presence. Using your abilities extensively is tiring though and you should be careful not to wear yourself out too much by summoning a natural disaster where something smaller would’ve worked just as well. Generally the stronger your parent or other source of abilities the more you will get to work with, a child of a minor deity will probably get less but get some additional ways to interact with their parent’s domain. Generally a demigod can fight on par with a non combat focused god of a rank equivalent to their parents with this.</t>
  </si>
  <si>
    <t>Companion Import</t>
  </si>
  <si>
    <t>Chapter 75: 58 Go Time - Preamble Survey
Companion Import (Red Faction) Free:
Give a class, with all associated freebies, to as many companions as you want.
Basic Training (Red Faction) Free Soldier:
When the bullets start flying you know how to get things done. In addition to being physically fit and mentally disciplined, you have a functional knowledge of all weapons and vehicles in the setting. You might not know how a rail driver works, but you can put a slug from it between someone's eyes at a fair distance.
Enforcer (Red Faction) Free Soldier:
Since the introduction of assault rifles in the mid-20th century, little has fundamentally changed about this workhorse weapon, until now. Instead of bullets, the Enforcer fires micro-missiles that can lock on to a target and hone in on enemies, even changing course to hit targets in almost any combat environment. While the expenditure of fuel means these projectiles don’t hit quite as hard as an equivalent AR, it makes up for this with amazing accuracy. Buying this with CP improves propellant efficiency, allowing it to hit as hard as an assault rifle or course correct further depending on the shot.
Sledgehammer (Red Faction) Free:
For centuries, miners have busted their butts swinging one very basic tool, The Sledgehammer. But on Mars, there’s more to this tool than meets the eye. Powered by mass-multiplier servos, this essential tool of the Red Faction pops on contact, delivering 1000lbs of kinetic force. When you swing the supercharged hammer, something is going to get leveled.</t>
  </si>
  <si>
    <t>Units</t>
  </si>
  <si>
    <t>We Go Together</t>
  </si>
  <si>
    <t>Companions</t>
  </si>
  <si>
    <t>Chapter 72: 56 Arrival Time
Companions (Strike Witches) Free:
Any companions you bring in with you are given the freebies and a striker of the Generation as you. They can be outfitted with a different type of Striker (IE if you have a Fighter they can have a Super Fortress or a Bomber). You can also give them weapons to their maximum carrying capacity. You cannot exploit this, and any weapons assigned to your companions that you haven’t bought for yourself cannot be used by you. You can import the maximum amount of companions Jumpchain allows for.
Defensive Sign “Directional Shield” (Strike Witches) Free:
All Strike Witches are trained to produce a 2 dimensional circle of energy a short distance directly in front of them which can deflect light attacks. You cannot fire a weapon through a shield. 
First generation Striker (Strike Witches) Free:
A basic propeller driven Striker unit. Very agile but unable to break the speed barrier. Fighter
Bomber Jacket (Strike Witches) Free:
Discount Army Surplus offering customised bomber jacket for free to any and all of our STRIKE WITCH HEROS. Call through and give your Regiment, Call-sign and Address and will mail out in a day with Regiment patch and Call-sign embodied. Go get „em girls! Ph: 123-456-7890
Call sign (Strike Witches) Free:
Attention all military personnel, due to the recent alliances several documents of low importance have gone missing. It is important that you announce your call sign to your direct superior as soon as possible. All your comrades will know you by it, and if you don‟t tell us one will simply be appointed to you during your next Sortie.
Anti Tank Rifle (Strike Witches) Free:
A highly accurate weapon capable of firing .50BMG rounds with a range of 2.5 kilometres on hard targets. Moving targets might take some skill though.
General Purpose Machine Gun (Strike Witches) Free:
Considered the standard ordinance of a Strike Witch, they fire powerful rounds like the .308 at a rate of 1,200 rounds per minute. During extended use the barrels tend to overheat and may need to be replaced in the field. - Considered a medium weapon.</t>
  </si>
  <si>
    <t>Old Friends</t>
  </si>
  <si>
    <t>Chapter 72: 56 Arrival Time
Companion Import (Tales of Symphonia) Free:
You may freely import up to 8 companions and grant them a Race and Origin at no cost, granting them a history in the world. They receive the free perk of their Origin. Do NOT collect CP from the Half­Elf background.
Warrior (Tales of Symphonia) Free:
You have supernatural command and discipline of your body.
Weight of Breath (Tales of Symphonia) Free:
Through a breathing exercise, you have learned to manipulate your own weight. When you begin, you’ll be able to multiply or divide your weight by a factor of two, but mastery may push you to further heights. There is a snapback effectreducing your weight for a time will cause you to multiply your weight immediately after. The effect extends to armor and tools which you are wielding. Masters are known to take advantage of the snapback for ‘jump and ground pound’ like techniques, in addition to reducing their own weight so as to not resist the knockback of an enemy attack and make distance. As a bonus, you’ve learned a technique known as Demon Fang that allows you to project a strike roughly twice your own melee range. Demon Fang is obvious, resembling a bolt of soft light coming off your weapon.
Iconic Outfit (Tales of Symphonia) Free:
This outfit is rugged, stylish, and undeniably YOU.
Questionably Practical Weapon - Jägerstock (Tales of Symphonia) Free:
You're fighting with that? Really? And merchants will sell you more and more deadly upgrades? If you want this can be a well crafted mundane weapon instead.</t>
  </si>
  <si>
    <t>Chapter 110: 79 Preliminary Work
Companion Import (Titanfall) Free:
You can import up to eight companions for free, with additional companions over eight costing an extra 50cp per companion. You may give them either the Drop In, Engineer or Corporate Origin. They receive the 100 and 200 perks of that Origin for free. They start with a free Pilot Weapon. If you wish, you may give all imported companions additional cp by sacrificing some of your own CP.
Grunt - Drop In Backgrond (Titanfall) Free:
You suddenly wake up with a start in the cramped metal interior of a dropship. The first words you hear is the shouting of a Sergeant as you are ushered into the blinding sunlight.
Oi! (Titanfall) Free:
The funny thing about accents is how divisive they are on the frontier. The IMC troops- who come from the Core Systems, all speak with a very distinct British accent. Meanwhile, the Militia have strong American accents, and strangely, any ex-IMC defectors seem to lose the accent in a matter of weeks. Now, you have the ability to alter your own accent, which seems to spread like wildfire to anyone that follows you, so it becomes an identifier of your faction.
Back from the Brink (Titanfall) Free:
You're like a roach, it's so hard to kill you. No matter how many times it would appear that you were downed in combat or crushed by falling rubble, if you can manage to stumble and crawl your way back to friendly territory, you'll eventually make a full recovery. Obviously this doesn't protect against death, but it does help you bleed out slower.
Combat Stims (Titanfall) Free:
Pilot suits and most life pods have auto-injectors that administer potentially life saving stims to infantry when needed. Unfortunately, some of these stims have debilitating side-effects like nausea and even hallucinations at points. With this perk, the negative side-effects of stims will be severely lessened, to the point that if they are ever experienced, it will be for seconds
Just Another Grunt (Titanfall) Free:
What? You? Nah, you're not anyone important, just another grunt here. The danger you pose is constantly undervalued, and you are often passed over for other targets. When surrounded by your cannon fodder brethren, its virtually impossible to pick you out.
Grand Theft Semi-Auto (Titanfall) Free:
When it’s just you against the world, you’re gonna need to get a little creative to survive. Ambushes, flanking, dropping mines- even shooting someone in the head with their own pistol. It doesn’t matter how ‘dirty’ it is, if it exists, you’ve used it.
Playbook (Titanfall) Free:
A complete copy of the playbook written by James MacAllen and Marcus Graves, containing detailed war plans for a winning scenario against the IMC. It is dependent on predictions made several years ago, so any wild advancements and changes will throw the predictions off. Also contains detailed prediction on IMC force reaction and methods by which the IMC could win the scenario.
Pilot Weapon (Titanfall) One Free Grunt:
For every purchase you make, you get three weapons from the list below along with a maintenance kit for each. A crate of munitions will appear in your warehouse every week additionally containing a case of spare parts.
R-101C Carbine
An automatic rifle designed for reliability and modability, the R-101C is the weapon of the everyman on the frontier, found in the hands of Pilots and Grunts alike. While each individual 8.19mm round deals substandard damage through body armor, the high accuracy and rate of fire allow the operator to deal a killing blow in the same amount of time as slower firing rifles. This model has been modified to contain a suppressor while still being more deadly and with a higher clip capacity than the standard variant. Comes with a case and 2.4x AOG, 2.1x Holosight and 1.85x HCOG Scope attachments to swap out with the inbuilt iron sights as you wish.
EVA-8 Shotgun
Aside from some antique pieces that can be found in the hands of colonists, the EVA-8 is the only widely available shotgun in the Frontier. A semi-automatic shotgun fed from a drum magazine, the EVA-8 is highly lethal at short ranges, capable of downing even heavily modified pilots in a single blast. Strangely for a shotgun, this EVA-8 is modified with a unique suppressor that doesn't reduce the muzzle velocity of the rounds fired. In addition to the high-capacity drums included with the weapon, the operator may switch to Leadwall mode, significantly increasing the spread of the pellets for use in close quarters
Longbow-DMR Sniper
The long range derivative of the R-series rifles, the Longbow is a long range high velocity weapon designed for easy take down of moving targets – such as Pilots – at extreme ranges. The hyper-velocity rounds travel so fast that even over distances of two kilometers it is not necessary to lead targets to guarantee impact. This model has an integrated suppressor and computerassisted stabilizer in the grip, and in addition comes with a module that can be attached to the end of scopes that provides active Sonar Vision when looking through the scope. Comes with a case containing a 2.4x AOG and 4.5x Scope to be swapped out with the weapons 6x Zoom Scope as needed.
Smart Pistol MK5
Probably the most exotic Pilot weapon, the Smart Pistol is a semi-automatic handgun that automatically locks-on to valid targets in the direction its targeting sensor is aimed. The sensor itself is a module attached to headgear worn by the operator, and links into the display of the helmet that scans for targets based on thermal and optical imaging. Once a valid target is identified, the module automatically locks onto these targets in order of identification, a process that takes several seconds as the module calculates for current weather conditions and position relative to the barrel of the pistol. After lock is achieved, the computer estimates the number of shots required to kill the target and queues that number from the pistol, up to five at a time, once the trigger is pulled, the pistol automatically fires specialized fin stabilized anti-personnel discarding sabot rounds containing a tiny computer that automatically deflect themselves on the proper trajectory, guaranteeing a hit. The process may be spoofed by a target rapidly altering it's thermal or optical signature, such as when cloaking, which will immediately cancel the lock as the computer attempts to regain lock. This process is fairly short range, requiring targets being within twenty meters, although the pistol may still be manually aimed. This pistol has an integrated suppressor and advanced targeting computer, which locks on faster and over a slightly longer range. Optimized targeting procedures reduce the amount of rounds requiring for most targets by about one.
Aircraft - Crow (Titanfall) One Free Grunt:
These aircraft will repair damage to themselves slowly over time, taking about two weeks if fully destroyed. A large barrel of fuel will appear in the warehouse every week. If your Origin is Command, any purchase here will grant four of these Aircraft.
Crow - An older generation of dropship derived from the tested and proven designs of the Titan Wars, the Crow can be found everywhere on the frontier, usually in service with the Militia or in the hands of colonists. The Crow is a 26m long twin-engine jump-capable aircraft, with enough onboard fuel to jump from space to a planets surface and back twice. The Crow does feature an onboard jump computer, but substantially benefits from having network access to a carrier's computer to increase calculation speed. The cockpit holds two, a pilot and a gunner for the Crow's nose mounted heavy machine gun. The hold has space for approximately eight people under normal circumstances, but can more, albeit much more restrictively. Mounted in the roof of the hold is a small gunners pod fitted with an autocannon, allowing the Crow to serve as a form of Anti-Air power when landed.
Titan Chassis - Light (Titanfall) Free:
Buying a Titan chassis does not give you a single Titan. It instead gives you the plans to construct Titans, and during the jump, privilege to request a Titan from your faction, if you are acting in their interest or have sufficient rank, you can request a Titan more often. You get a clip on device that instantly relays coordinates to your faction for a Titan drop. If one of their ships are in range, a Titan will be delivered to your location in a drop pod.
Light – A descendent of the Stryder Titan, light chassis emphasize mobility, having a maximum of three dashes available at any given time. Thanks to it’s light armor design (read: non-existent) it can maintain a high speed at the cost of damage protection. Titans that use the light chassis include the Northstar and Ronin Titans.
Core Ability - Melee Core (Titanfall) Free:
A Titan’s core ability is essentially it’s trump card. Far too powerful to be charged off of standard munitions, a core is charged off of excess power from the Titan’s reactor core until it is ready to be unleashed. Once activated, the Titan must be committed to using it, otherwise the excess energy will fry it’s internal systems.
Melee Core – Melee combat among Titans generally boils down to high-powered fist fights between two large war machines. For Pilots who choose to arm themselves with a melee weapon, however, it may be one of their only methods of attack, where speed and strength are crucial to survival. With this in mind, the Melee Core is used to supercharge the Titan’s servos to greatly increase strength and speed, as well as activating electrical pads in the Titan’s hands, which turns any conductive material in the Titan’s hands – such as a Titan broadsword – into a lethal electrical weapon</t>
  </si>
  <si>
    <t>Knowledge</t>
  </si>
  <si>
    <t>Technical Training
Arch-Magos</t>
  </si>
  <si>
    <t>Chapter 98: 71 Good Faith - Preamble PHO
Technical Training (40k Redux) 100:
Skill in using and maintaining 40k tech, does not apply to Ancient or Alien technology.</t>
  </si>
  <si>
    <t>Chapter 38: 32 Family Fugue - Preamble Taylor - Addendum Mike
Analysis (Adventure Time) 300:
You have the skill and insight to make powerful analytical tools. Such tools are capable of showing you the physical makeup of the things you come across, detect magic and alert you to hidden doorways.</t>
  </si>
  <si>
    <t>Technician</t>
  </si>
  <si>
    <t>Alpha Cenaturi</t>
  </si>
  <si>
    <t>Chapter 90: 66 Review and Preparation
Technician (Alpha Centauri) 400:
Learning has become easier for you now, especially in the field of natural science and engineering, you absorb and retain information like a sponge and can mix and match theory and experience with much greater skill.</t>
  </si>
  <si>
    <t>Demigod Atelier</t>
  </si>
  <si>
    <t>Chapter 78: 59 Summit Openings Addendum Uppercrust
Demigod Atelier (Asura’s Wrath) 400:
You know the secret science of Mantra technology, and can build custom devices that are powered by prayer or emotion. Further, you can enhance or upgrade items from other jumps to use this same power source. If you take Cyborg Hindu Godbody, you may construct Demigod cybernetics for other people. After the jump concludes, you may also build Mantra Reactors. Demigod Atelier allows you to create any mantrapowered or integrated device, up to and including the vast fleets of Shinkoku Tratstrium, the heavenly vessels of the divine armies, and even the antiGohma platform Brahmastra. The latter however would require millennia of effort, and was never completed even in the scope of the original setting.
Mantra Generation (Asura’s Wrath) Free:
A being with a soul (you do have a soul, right?) can generate Mantra by prayer or feeling emotion. This mantra can be utilized by devices powered by Mantra Technology, or the Demigods of Shinkoku Trastrium.
Imposing Declaration of Title (Asura’s Wrath) Free:
Whenever you do something dramatic or just something really badass, perception of you changes for a splitsecond. Observers see the title or highconcept description of your current state or action as awesome block characters superimposed on their vision. This applies to named attacks/combat maneuvers, legendary weapons, companions and so on.</t>
  </si>
  <si>
    <t>System
System
Personal</t>
  </si>
  <si>
    <t>Build That Wall</t>
  </si>
  <si>
    <t>Chapter 36: 30 Crescendo - Addendum Missy
Build That Wall (Bastion) 100:
You know the basics of Caelondian technology. You understand how to harness the semimystical power of Cores and turn it into usable Mantic energy, to power basic machinery, shortrange flying machines, computers, and a variety of other uses. More interestingly, you can use Core power to reinforce existing structures, running a Matic current through it to enhance whatever physical properties it possesses usually durability, though other uses are possible. This is what allowed structures like the Rippling Wall and the Bastion to survive the Calamity as well as they did. You also gain basic skill for mundane construction.
Phonograph (Bastion) Free:
An old-fashioned hand-cranked phonograph. Very sturdy, gives much higher-quality sound than you’d expect. Has a single record with the full OST for the Bastion game, as well as several additional Caelondian and Ura folk songs.</t>
  </si>
  <si>
    <t>System
Item</t>
  </si>
  <si>
    <t>Gadgeteering</t>
  </si>
  <si>
    <t>Blazblue</t>
  </si>
  <si>
    <t>Grease Monkey</t>
  </si>
  <si>
    <t>Chapter 05: 4 Recovery
Grease Monkey (Bubblegum Crisis 2032) 300:
What can you fix or build? What CAN'T you fix or build? Nothing, that's what. From hyper-cars to Buma, computers to Hardsuits, with the right tools and enough time and experiments, you can build it all, weaponry included</t>
  </si>
  <si>
    <t>Engineering</t>
  </si>
  <si>
    <t>Feel It Out</t>
  </si>
  <si>
    <t>Chapter 73: 57 Crunch Time
Feel It Out (F.E.A.R.) 600:
Your ability to understand machines and designs are more than just knowledge, and anyone who follows your work would know this well. You have a subtle psionic ability to 'understand' the machines and items that you physically touch, to the point where you can understand how it might work. More importantly, what you could do to also make it better. Naturally the more complex or esoteric the item is, the more drastically the time needed increases. But the more information you collect the more ideas and methods you can formulate to begin working. All psychic powers can be improved via training.
Paxton Fettel(F.E.A.R.) Free:
There can be some pretty odd names people take up in places, and if you have an improper name it could lead to getting teased or ill-thought of. Not anymore! With this little bonus you could have any strange-sounding name and people would treat you as seriously as they would anyone else. That's the key part, 'as serious as anyone else'.</t>
  </si>
  <si>
    <t>Analysis
Personal</t>
  </si>
  <si>
    <t>Certified Tech</t>
  </si>
  <si>
    <t>Chapter 162: 108.2 Interlude Armstrong
Certified Tech (Fallout) 600:
You are one of the brightest minds of the 23rd Century! You now understand Pre-War science, and can even reverse-engineer existing technology to learn how it works, and how to recreate it. Plus, if you can learn the basics of truly alien science, this perk helps you master it the same way.
Skill Tag (Fallout) Free:
Just three skills to Tag, and you’ll get an immediate boost to your competence in them. Not enough to be an expert, mind. Just enough to go from novice to decent, or decent to downright competent. You’ll also learn that skill faster too, so with enough practice, you really will get perfect. Most also come with tools of the trade, just to make your life easier.
Medicine: Putting people back together – includes first aid and surgery, as well as treating diseases, radiation poisoning, and other conditions. Start with a first aid kit.
Repair: Practical use of science – building things, fixing them when they break. Start with a toolkit.
Science: Various high technical skills, including computers, biology, physics, and geology. Start with a nifty lab coat and gloves.</t>
  </si>
  <si>
    <t>System
Personal</t>
  </si>
  <si>
    <t>Etoria Disciple</t>
  </si>
  <si>
    <t>Final Fantasy XII</t>
  </si>
  <si>
    <t>Machines, They Just Speak To Me</t>
  </si>
  <si>
    <t>Chapter 30: 24 Tech Work - Addendum Alec
Machines, They Just Speak To Me (Firefly) 200:
You have no formal schooling, but can fine-tune and repair engines with nothing but shoe polish. You don’t know what the parts are SUPPOSED to do, but you know how to make them work the way you want. You can diagnose a faulty part in the power core just by listening to the AC cycle, and can fix pretty much anything with naught but a wrench and some duct tape. It may not be pretty, and it may not last long, but it’ll work.</t>
  </si>
  <si>
    <t>Whispered</t>
  </si>
  <si>
    <t>Chapter 113: 82 Bargaining - Addendum Uppercrust
Whispered (Full Metal Panic) 600:
Due to a Soviet experiment a while ago, you're one of the exceptionally rare people known as the Whispered. they have an incredibly advanced knowledge of math, science, engineering, etc though each Whispered only specializes in a single area. If they take the time to learn or supplement this with other technical skills, it's possible to potentially create Black Technology of their own. -The 'Whispered' trait alone is not enough to create Black Technology, but additional tech perks will make this a very real possibility.
ARM SLAVE M6 Bushnell (Full Metal Panic) Free:
A bulky Arm Slave constructed by the United States. This is a Generation 2 mech that requires less rigorous piloting, but its loud noise makes it a problem with stealth. To make up for its slowness it has thicker armor.</t>
  </si>
  <si>
    <t>System
Vehicle</t>
  </si>
  <si>
    <t>Xenospecialist</t>
  </si>
  <si>
    <t>Chapter 33: 27 Intrusion - Addendum Hannah
Xenospecialist (Gears of War) 200:
The problem with fighting and violence is that it's no place for an egghead, and as a result valuable information could be lost to a wayward grenade before study. You've taken it upon yourself to bring that knowledge back, and as such you have an easier time understanding alien language and technology. It won't give you instant knowledge, but as you study further you will find it becomes easier to comprehend.
COG Armor (Gears of War) Free:
Standard issue armor that's made of multiple metal plates. On the back of the suit is a magnetic 'holster', that resembles a general infantry backpack, allowing people to carry two weapons on their backs. The armor provides medium protection against damage (multiple assault rifle shots only bruise the wearer), but will not withstand concentrated or sustained gunfire. Helmet optional.
Combat Boots (Gears of War) Free:
They're thick, they're heavy, and they'll serve you well. Along with giving excellent comfort and protection from the myriad of terrains you'll find here, they're also very handy for stomping the heads of enemies like watermelons at a comedian show.
MX8 Snub Pistol (Gears of War) Free:
The standard sidearm for all COG soldiers, this weapon makes up for its low damage and small 12-round magazine through a high rate of fire and its impressive accuracy. Expect to find ammo for it everywhere. Weapon purchases will grant a small stockpile of them inside your warehouse to equip your allies with.
COG Tags (Gears of War) Free:
A form of identification that takes the form of a necklace with small gear-shaped tags. They will have whatever identification you desire upon them.
Personal Digital Assistant (Gears of War) Free:
There is still a reliance on technology, even if the war with the Locust make things... problematic. With this, you'll have an easier time with Command and keeping track of your data.
Weapon Reload System (Gears of War) Free:
You will also gain a weapon reload system inside the warehouse for the unique weapons you may have purchased from this jump.
Imulsion (Gears of War) Free:
Upon completion of this jump, you gain a small pump in your Warehouse that can supply you with fifty gallons worth of Imulsion per month. Do be careful when handling this, especially around other biological organisms.</t>
  </si>
  <si>
    <t>Analysis
Item
Item
Item
Item
Item
Facility
Facility</t>
  </si>
  <si>
    <t>Fitting into a Mould: Scientist</t>
  </si>
  <si>
    <t>Gravity Rush</t>
  </si>
  <si>
    <t>Independent Innovation</t>
  </si>
  <si>
    <t>Gundam AGE</t>
  </si>
  <si>
    <t>An Order To Things</t>
  </si>
  <si>
    <t>Gunnerkrigg Court</t>
  </si>
  <si>
    <t>Engineer
Erudition</t>
  </si>
  <si>
    <t>Chapter 34: 28 Preamble - Addendum Sophia
Engineer (Halo UNSC) 200:
Yet by understanding the nature of computer systems, wouldn’t it be prudent to understand the technology those systems command? After all, what if you found yourself needing to recalibrate a Magnetic Accelerator Cannon or repair one of the dangerous Shaw-Fujikawa Translight Engines that makes faster-than-light travel possible? What if you found a cache of human weaponry that could be used if someone managed to repair it? While you don’t have the skill to create something as complex as a Shaw-Fujikawa Translight Engine, you’ll know your way around it just like much of Humanity’s 26th century technology. You might even figure out how to make small improvements to the technology if you had the time to sit down and look it over. Hopefully the Covenant give you that time.
Standard Neural Interface (Halo UNSC) Free:
As the requirements of war and militarized technology moved forward, the requirements it puts upon its soldiers was likewise changed. This is one such example, being a brain implant that all members of the UNSC obtain upon entering service. It carries a multitude of functions, integrating with armor worn to provide a heads-up display directly into one’s optic nerve instead of on the helmet screen while providing an IFF tag for allied soldiers. Such implants are small enough that there is no visible signs outside the body, and sometimes people have forgotten they even had it until its functions come up.
M274 Mongoose (Halo UNSC) Free:
Some vehicles just weren’t designed for combat in mind… at least that’s what one would think upon seeing an all-terrain vehicle like this. Being designed to go over nearly any terrain without much difficulty and able to carry an additional passenger on the back in a pinch, the Mongoose is one of the fastest land vehicles in the UNSC. It’s highly effective in regards to rapid transportation, reconnaissance and swift tactical versatility. The downsides? Its light mass and lack of armor means it can be unwieldy at times and can be taken out rather easily.
M6C Magnum (Halo UNSC) Free:
Something of a standard issue to the UNSC Marine forces, the M6C is a semiautomatic, recoil-operated, magazine-fed handgun that fires 12.7×40mm (.50 caliber) Semi-ArmorPiercing, High-Penetration rounds. While it does considerable amounts of damage towards flesh-based infantry, Covenant energy shielding might pose a problem and so this weapon is often relegated to a defensive role.
M9 Fragmentation Grenade (Halo UNSC) Free:
When you can’t shoot them, blow them up. Coming with a hard metal casing that’s meant to break apart upon the explosion, this grenade has a safety feature in that it must hit a hard surface after it has been primed before it can detonate, ensuring that it does not explode in the user’s hand. It can also come with a ‘spoon’ so that it must leave the user’s hand before it explodes as well. Either way, a small button on the ‘handle’ is the method of priming these grenades.
UNSC Marine Corp Battle Dress Uniform (Halo UNSC) Free:
The kind of armor you will generally see on the rank-and file troopers, this model has seen a great deal of use and has been spotted since the early days of the Insurrection. It comes with a CH252 Helmet that has a basic heads-up display to keep track of ammunition and your targeting reticle along with a flashlight and radio system, strong boots and fatigues to keep one protected from the elements while having quite a few pockets to keep things in, and ballistics armor over the torso, shoulder and shin. Ballistic armor may optionally include thighs, groin, and forearms as well for the cautious types. This armor provides good resistance against ballistic ammunition but does little against Covenant plasma rounds. Perhaps you could become skilled at dodging oncoming fire. This armor comes in any camouflage color scheme of your choice.
Chapter 133: 95 Instant Replay
Erudition (Halo) 600:
Ever since the rise of Dr. Catherine Halsey, many were on the lookout for who might become the next intellectual prodigy. Someone who was able to perform as well as she could, someone who could help turn the tide of the war. With this, that someone is now you. Your cognitive capabilities are on par with the good doctor now, making you exceptionally well-versed in nearly all modern human sciences while holding specialties in at least a few fields. Of course, thanks to that you are also rather exceptional at reverse-engineering technology, which allows you to do such things like obtain working knowledge of the mechanics behind Covenant technology and even begin to understand the 'hows' behind some of the mundane pieces of Forerunner technology currently littering the galaxy. Perhaps you could eventually reclaim them. 'Erudition' allows you to make Smart A.I.s
Gladius-class Heavy Corvette (Halo) Free:
While this ship is more meant for patrols and security roles rather than an actual ship of war, the Gladius-class serves its function well. Its armaments are somewhat smaller than most ships as a result, carrying only one small Magnetic Accelerator Cannon and two Archer missile pods with six Rampart point-defense cannons, but it does come with an extensive sensor suite to scan for anomalies and actively track targets for other ships to find and utterly obliterate. Seeing as it’s two hundred and forty-three meters in length however, it would be wise to simply retreat from any Covenant space presence.
-Slipspace Drive: The Shaw-Fujikawa Translight Engine finally allowed Humanity access to fasterthan-light travel in the form of Slipstream Space, and thus opened their path to the stars themselves. This device works by creating ruptures in between normal space and Slipspace while surrounding the ship in a quantum field to protect them from the dangers of the alternate dimension. The engine itself does not propel the vessel through Slipspace however; it relies on the engines to do so. The more powerful the traditional propulsion of the ship, the faster it goes. However, normal models tend to be erratic and jumps can take from several weeks to months of travel time depending on the distance, with exit destinations becoming off by a matter of hundreds of thousands of kilometers. A dangerous gambit, but it’s better than nothing.
-Self-Destruct Function: When it was clear that the Covenant were engaging in a war of extermination rather than one of conquest, the Cole Protocol was initiated. One of those requirements was that in the event of capture, a UNSC ship is to self-destruct to prevent the alien menace from collecting vital data such as navigation coordinates. It’s a drastic measure, but ultimately necessary to prevent them from finding the most important of Human worlds like Reach or Earth.
-Escape Pods/Life Boats: While going down with the ship is often seen as an honorable act so that the Covenant do not gleam anything useful from your mind, that doesn’t always have to be the case with everyone else. What if you’re transporting some VIPs or you want the rest of your crew to survive? Don’t make the same mistake as the ships of old. This gives your ship a slew of escape pods and lifeboats dotted all along the vessel, allowing the whole crew to evacuate on a moment’s notice if something goes wrong. It could be a lifesaver.
-Life Support System: People need air to breathe. There’s just no way of getting around this, as even the mighty SPARTAN soldiers have an air requirement. That’s why every ship has air scrubbers and environmental control so that not only can you keep a stable atmosphere going but also to stay comfortable while on these long journeys as well.</t>
  </si>
  <si>
    <t>System
Personal
Vehicle
Item
Item
Item
System
Vehicle</t>
  </si>
  <si>
    <t>Hands of Icarus</t>
  </si>
  <si>
    <t>Heaven's Lost Property</t>
  </si>
  <si>
    <t>Holy Forge</t>
  </si>
  <si>
    <t>Hellgate London</t>
  </si>
  <si>
    <t>The Divine Machines</t>
  </si>
  <si>
    <t>Chapter 64: 49 Game Time
The Divine Machines (Lord of Light) 300:
Many and varied are the wonders of the Gods. From the Vasty Hall of Death, Yama brings forth Thunder Chariot and Bright Spear, Trident of Destruction and Wand of Universal Fire. In Heaven, there is an elegant statue with eight arms that plays the lute when addressed, and endless machines that keep all in perfect stasis. The elementary forms of these great sciences and artefacts are laid bare to you, and you may service and understand the technology of this world. While great innovations and the wonders forged by Yama might escape you, you have a solid basis that escapes the vast majority of men and gods in the world - sufficient to greatly impress those who understand the value of such things. With this you also gain one artefact costing 200CP or less for free.
Bright Spear (Lord of Light) Free:
One and one-half span of silver is this spear, attuned to your brainwaves and taking flight at your will. It strikes faster than any arrow, and vibrates through any shield - shaking clean of gore before its return to your hand. It may also move to intercept arrows and blows, as well as carry you aloft at speeds to outpace the finest horse.</t>
  </si>
  <si>
    <t>I Am Iron Man
Retro-Engineer</t>
  </si>
  <si>
    <t>Chapter 42: 35.1 Interlude Dragon - Addendum Margaret
I Am Iron Man (Marvel Cinematic Universe) 400:
You're not the ACTUAL Iron Man, but you could make a fairly decent knock-off. Power armors, sonic cannons, holographic interface, laser weapons, repulsor technology, you have the knowledge to build these things and more. Furthermore, you can think of different upgrades and modifications to adapt to different situations much easier than normal when presented with a problem that's hampered your technological progress.</t>
  </si>
  <si>
    <t>Not A Stupid Grunt</t>
  </si>
  <si>
    <t>Chapter 05: 4 Recovery
Not A Stupid Grunt (Mass Effect) 100:
That you are not. You are smart enough to be the foremost scientist in your field. This doesn't make you so, but you could get there on your own with not a terrible amount of effort. Still not as smart as a drell, but hey, who is?</t>
  </si>
  <si>
    <t>Ancient Knowledge</t>
  </si>
  <si>
    <t>Mysterious Cities of Gold</t>
  </si>
  <si>
    <t>Chapter 37: 31 Consensus - Preamble PHO - Addendum Accord
Analysis (Red Alert 3) 100:
You can immediately identify any defects in hardware upon casual observation. This is effective on devices, Vehicles, and buildings.</t>
  </si>
  <si>
    <t>upgrades! Upgrades!! UPGRADES!!!</t>
  </si>
  <si>
    <t>Chapter 82: 63 Summit Conclusion
upgrades! Upgrades!! UPGRADES!!! (Red Faction) 400:
You can make it all better. By studying a piece of technology for a short while, you can come up with ways to improve its functions or fix design flaws, though you’ll still need the related technical skills to figure out details. In addition, you can use salvaged materials in lieu of fresh parts for this task.</t>
  </si>
  <si>
    <t>Reverse Engineering</t>
  </si>
  <si>
    <t>Sekirei</t>
  </si>
  <si>
    <t>Machinist</t>
  </si>
  <si>
    <t>Chapter 71: 55.1 Interlude Fleet Preamble Roy Addendum Margaret
Sky Machinist (Skies of Arcadia) 200:
Like the famous air pirate Centime, you know your way around machinery. You can repair or build almost anything, given time and resources.
Cool Flag With Logo (Skies of Arcadia) Free:
Everyone needs a flag. Something to define and symbolize them, and so all in the sky will remember their legacy. It can look like anything, it's your flag.
Secret Handshake (Skies of Arcadia) Free:
Got any friends? With this, you can perform a secret handshake with them, as intricate as you'd like. It doesn't do anything, but damn if it isn't cool.</t>
  </si>
  <si>
    <t>System
Item
Ability</t>
  </si>
  <si>
    <t>Technician
Core Competence</t>
  </si>
  <si>
    <t>Spiral Knights</t>
  </si>
  <si>
    <t>Xenotechnology</t>
  </si>
  <si>
    <t>STALKER</t>
  </si>
  <si>
    <t>Skills: Combat
Skills: Stealth
Skills: Weapons
Skills: Espionage
Skills: Medicine
Skills: Robotics
Skills: Physics
Skills: Physical Sciences
Skills: Engineering
Skills: Communications
Skills: Piloting
Skills: Navigation</t>
  </si>
  <si>
    <t>Star Trek: TNG</t>
  </si>
  <si>
    <t>Chapter 18: 14 Debut
Skills: Physics (Star Trek - TNG+DS9) 100:
How the universe works. The law of gravity, the conservation of matter &amp; energy, quantum physics, etc. Remember though, there are dozens of creatures in this universe that defy the laws of human physics, so you may want to try and rewrite a few of these books while your here.
Chapter 38: 32 Family Fugue - Preamble Taylor - Addendum Mike
Skills: Physical Sciences (Star Trek - TNG+DS9) 100:
Understanding of the natural laws which govern the physical world. Biology, chemistry, geology and ecology. Again, you may want to rewrite a few of these books while you're here.
Skills: Combat (Star Trek - TNG+DS9) 100:
Hand to hand fighting is an ancient and quintessential skill for every soldier no matter what time period.
Chapter 62: 47 Downtime
Skills: Stealth (Star Trek - TNG+DS9) 100:
Your ability to sneak around unnoticed. This will help you take down enemies unnoticed, infiltrate secure facilities, and steal thing without being detected.
Skills: Medicine (Star Trek - TNG+DS9) 100:
Training and knowledge in First-aid, diseases, surgery, anatomy, health and nutrition. You're a fully qualified doctor of the 24th century.
Skills: Navigation (Star Trek - TNG+DS9) 100:
Training in how to locate your position and plot courses. You can navigate both with a computer, and without one using astronomy.
Chapter 101: 74 Hard Talk
Skills: Robotics (Star Trek - TNG+DS9) 100:
A combined study of mechanical engineering, and computer science. You learn how to make a wide array of machines, and you could even figure out Android or Borg technology if you studied it enough.
Skills: Engineering (Star Trek - TNG+DS9) 100:
You've been trained in the maintenance and repair of Starships. Not only do you have a significant amount of mechanical and computer knowledge, but you also know a great deal about physics.
Chapter 149: 100 Revelations
Skills: Weapons (Star Trek - TNG+DS9) 100:
Knowledge in the operation and repair of personal and mounted weaponry
Skills: Espionage (Star Trek - TNG+DS9) 100:
Manipulation, subterfuge and information gathering skills that are essential for every good spy.
Skills: Communications (Star Trek - TNG+DS9) 100:
You're fully versed in reading and operating digital transmissions and sensors. You also have training in linguistics in and diplomacy.
Skills: Piloting (Star Trek - TNG+DS9) 100:
How to operate starships and other space worthy vessels like shuttles and Runabouts.</t>
  </si>
  <si>
    <t>System
Skill
Skill
Skill
Skill
Skill
System
System
Skill
Skill
Skill
Skill</t>
  </si>
  <si>
    <t>Xenoarcheaologist</t>
  </si>
  <si>
    <t>Chapter 166: 110 Tangential Concerns
Xenoarcheaologist (Stargate SG-1) 600:
For whatever reason, understanding the civilizations of old means you're able to understand alien technology a lot better. You may not know everything off the bat, but upon first sight you have an idea of what it was meant for... and the longer you look at it, the more information you can glean. Fiddling with it will let you familiarize yourself with it more quickly.
Round Telephone (Stargate SG-1) Free:
The Stargate is a pretty important piece of technology, that much is certain. It's the name of the series, of COURSE it's important. You have knowledge on how to decipher its interface, and as such can use it to go from world to world.
Unleash the Snark (Stargate SG-1) Free:
All these aliens acting all hoity-toity... someone needs to take them down a peg. You always know what to say to be snarky at others, whether it be at a superior or a terrorist or an alien menace. They may have weapons and lasers, but the battle of wits belongs to you.
Toxicology Reports (Stargate SG-1) Free:
That wasn't there before. For whatever reason your blood contains just a bit of Naquadah now. Not enough to drain yourself and siphon it, but enough to utilize and work the technology of the Goa'uld. As a bonus, this allows you to sense when other Goa'uld symbiotes are nearby.</t>
  </si>
  <si>
    <t>System
Skill
Skill
Personal</t>
  </si>
  <si>
    <t>Technomage</t>
  </si>
  <si>
    <t>Chapter 62: 47 Downtime
Technomage (Strike Witches) 200:
Strike Witches generally rely on service crews to tune and repair their striker, but not you. You'll be able to do the job much better and be able to modify your Striker to aid you focus your speed, defence or attack if you have offensive magical abilities. If you have technology from other jumps you'll be able to incorporate them into your striker and with enough time make one from scratch.
Bomber Jacket (Strike Witches) Free:
Discount Army Surplus offering customised bomber jacket for free to any and all of our STRIKE WITCH HEROS. Call through and give your Regiment, Call-sign and Address and will mail out in a day with Regiment patch and Call-sign embodied. Go get „em girls! Ph: 123-456-7890
Call sign (Strike Witches) Free:
Attention all military personnel, due to the recent alliances several documents of low importance have gone missing. It is important that you announce your call sign to your direct superior as soon as possible. All your comrades will know you by it, and if you don‟t tell us one will simply be appointed to you during your next Sortie.</t>
  </si>
  <si>
    <t>System
Item
Personal</t>
  </si>
  <si>
    <t>Chapter 24: 19 Restoration
Engineering (Teen Titans) 100:
You're a master mechanic and an expert at building robots and other technological devices. You also have a fair bit of knowledge about hacking into computers.</t>
  </si>
  <si>
    <t>What's This Do?</t>
  </si>
  <si>
    <t>Chapter 110: 79 Preliminary Work
What's This Do? (Titanfall) 200:
The technology used in the frontier can be so complex and advanced it takes years for even the most brilliant minds to understand. Really now? That's good, you needed something to do after lunch today. Now, even if your in a dropship in the middle of a fire fight, you can decipher the inner workings of technology so long as you have the controls to scre- I mean analyze.
Oi! (Titanfall) Free:
The funny thing about accents is how divisive they are on the frontier. The IMC troops- who come from the Core Systems, all speak with a very distinct British accent. Meanwhile, the Militia have strong American accents, and strangely, any ex-IMC defectors seem to lose the accent in a matter of weeks. Now, you have the ability to alter your own accent, which seems to spread like wildfire to anyone that follows you, so it becomes an identifier of your faction.
Core Ability - Amp Core (Titanfall) Free:
A Titan’s core ability is essentially it’s trump card. Far too powerful to be charged off of standard munitions, a core is charged off of excess power from the Titan’s reactor core until it is ready to be unleashed. Once activated, the Titan must be committed to using it, otherwise the excess energy will fry it’s internal systems.
Amp Core - Some Pilots don’t want fancy attacks or extra missiles. Instead, they’d simply rather their Titan’s performance was boosted for a set period of time. The Amp Core provides this. A single parameter of the Titan may be boosted or extended for a set period of time, such as increasing the strength of bodyshields massively or granted indefinite dashing for a short period. Titan accuracy may be boosted, or firing rate may be increased, as examples.</t>
  </si>
  <si>
    <t>Analysis
Ability
Vehicle</t>
  </si>
  <si>
    <t>Valkyrian Science</t>
  </si>
  <si>
    <t>Chapter 45: 38 Build Up - Preamble Leet - Addendum Rey
Valkyrian Science (Valkyria Chronicles) 300:
Somehow you've gained some of the knowledge that the Valkyrur used to possess, giving you the skill and ability to graft Ragnite machinery on a level far above any modern human. At first, you'd only be able to create replica's of the Valkyrian weapons, but with many years of study it might be possible to recreate the Valkyrur themselves.</t>
  </si>
  <si>
    <t>Light of the Orokin</t>
  </si>
  <si>
    <t>Warframe</t>
  </si>
  <si>
    <t>The Pleician Tome</t>
  </si>
  <si>
    <t>Warhammer 40,000: Light of Terra DLC 1 - The Heathen Trail</t>
  </si>
  <si>
    <t>Chapter 169: 110.3 Interlude Everett - Addendum Joe
The Pleician Tome (LoT DLC 1 – The Heathen Trail – Warhammer 40,000) 500:
The Pleician Tome is a portable font of certain archives, templates and pieces of ancient lore, created by a senior Tech-priest of the Adeptus Mechanicus and used by Techmarines.
Even to a trained eye, the information is a seemingly random collection, with no easy means of navigation, and so it takes much study to glean anything relevant to a particular task. Indeed, only those with a wide knowledge of Machine Spirits and engine lore have any hope of understanding the information contained within, however, those with patience and the appropriate skills can find secrets of great use within the datacore, secrets dating back to the fabled Dark Age of Technology.</t>
  </si>
  <si>
    <t>Peak ADVENT Technology</t>
  </si>
  <si>
    <t>Chapter 66: 51 Lunchtime
Peak ADVENT Technology (XCOM 2) 200:
Before you defected you were working in some of the most top secret black projects any human had access to. You have an encyclopaedic knowledge of all ADVENT technology, minus some of the genetic manipulation techniques and basically anything that would give away ADVENTs dark secrets.
Flack Jacket (XCOM 2) Free:
A set of pre-invasion armour that offers some protection from gunfire and plasma weapons. Comes in a verity of patterns and styles</t>
  </si>
  <si>
    <t>Artifice</t>
  </si>
  <si>
    <t>Avernum</t>
  </si>
  <si>
    <t>Glove of the East</t>
  </si>
  <si>
    <t>Chapter 111: 80 Analysis and Reflections
Glove of the East (Binbougami Ga!) 300:
This hand of mine glows with an awesome power! It's burning gri-... oh! Sorry, wrong show. This single glove comes in any color and style, and is actually quite useful! You can channel your spiritual energies through it to help you with mundane tasks; your cooking might turn out excellent, cleaning takes less work for better results, and massages work WONDERS when you hit those points. If you channel a LOT of spiritual energy, you might even imbue items and equipment to improve them and be more receptive to your spiritual/chi powers! Heart symbol optional.
Deadbeat Holiday (Binbougami Ga!) Free:
WHAT WAS THAT YOU ARROGANT, ENTITLED SH-... oh, sorry. Was practicing for something else. As you can no doubt guess, this will help you figure out just how to overreact to a situation for comedic effect, as well as WHEN to enact those very moments. You'll get used to it in time, unless you're like a certain grumpy pants. Yeah I said it, GRUMPY PAAAANTS.</t>
  </si>
  <si>
    <t>Item
Ability</t>
  </si>
  <si>
    <t>Ars Magus Creation
Armagus Creation</t>
  </si>
  <si>
    <t>Blood Artisan Plus</t>
  </si>
  <si>
    <t>Chapter 186: 118 Roles and Reflection
Blood Artisan Plus (Bloodborne) 600:
You have been granted an experienced artisan's knowledge on crafting things out of blood. This is basically an overall improved version of Blood Artisan, allowing you to craft more potent Blood Vials, larger Blood Stones and even Blood Gems. Blood Gems are supernatural gems formed from blood that can be slotted into weapons to give them a variety of special abilities. Some Blood Gems can make an edge sharper, or a tip pointer. Other gems can bathe a weapon in fire, poison or electricity to make them more effective against certain enemies. Some gems can even increase your strength or dexterity while wielding the weapon it's slotted in. Their magical powers can be stacked, to an extent at least. This means you may slot up to three different Blood Gems in the same weapon, though no more. Blood Gems can be slotted and removed with special equipment. (Cannot be taken with Blood Artisan.)
Bloodied Combat + Blood Artisan Plus (Bloodborne) Free:
You may now crystallize blood in contact with your hand into whatever shape you desire, though the more complex the shape is the more you'll need to focus. Additionally, by holding an object made of crystallized blood in your hands, you may slowly manipulate the crystal structure into something more desirable. Whether this means warping it into a new shape or making it sturdier or something else is up to you, but I'm sure you'll find more than a few creative uses.</t>
  </si>
  <si>
    <t>System
System</t>
  </si>
  <si>
    <t>Maliwan Intern</t>
  </si>
  <si>
    <t>Chapter 26: 21 Closing Moves
Maliwan Intern (Borderlands) 200:
At some point, you got lucky and figured out how Elemental Weapons really work. You know how to use them to best effect, allowing you to set enemies on fire regularly, melt people with acid bullets, and have ALL kinds of shocking adventures with electrical ammo. If you have any technical training, you can even jury-rig ways to apply elemental effects to other weapons, as well.</t>
  </si>
  <si>
    <t>Moon Orb</t>
  </si>
  <si>
    <t>Dark Cloud</t>
  </si>
  <si>
    <t>Weapon Absorption</t>
  </si>
  <si>
    <t>Weapon Synthesis</t>
  </si>
  <si>
    <t>Augment Blade System</t>
  </si>
  <si>
    <t>Dark Cloud 2</t>
  </si>
  <si>
    <t>Soul Smith</t>
  </si>
  <si>
    <t>Dark Souls</t>
  </si>
  <si>
    <t>Celestial Technology</t>
  </si>
  <si>
    <t>Darksiders</t>
  </si>
  <si>
    <t>Maker's Prodigy
Maker</t>
  </si>
  <si>
    <t>Modular Designs</t>
  </si>
  <si>
    <t>Enchantment?</t>
  </si>
  <si>
    <t>Dragon Age</t>
  </si>
  <si>
    <t>Feel It Out
Synchronicity Event</t>
  </si>
  <si>
    <t>Chapter 73: 57 Crunch Time
Feel It Out (F.E.A.R.) 600:
Your ability to understand machines and designs are more than just knowledge, and anyone who follows your work would know this well. You have a subtle psionic ability to 'understand' the machines and items that you physically touch, to the point where you can understand how it might work. More importantly, what you could do to also make it better. Naturally the more complex or esoteric the item is, the more drastically the time needed increases. But the more information you collect the more ideas and methods you can formulate to begin working. All psychic powers can be improved via training.
Paxton Fettel(F.E.A.R.) Free:
There can be some pretty odd names people take up in places, and if you have an improper name it could lead to getting teased or ill-thought of. Not anymore! With this little bonus you could have any strange-sounding name and people would treat you as seriously as they would anyone else. That's the key part, 'as serious as anyone else'.
Chapter 123: 88 Perspectives
Synchronicity Event (F.E.A.R.) 300:
Curiouser and curiouser. Due to coming into contact with... well, SOMETHING, your psionic abilities have noticeably increased. Psychic powers you may have had are stronger now, with control and development coming more quickly with practice. There is also a boon to this; by taking a few days to 'attune' a person, you may impart upon them the beginning of psionic abilities of their own. You may only gift one school at a time, and they start at the very beginning; if they are to grow and learn as you have, it would be wise to teach them. On the plus side, they’ll eventually become as strong as you are, so you’ll have quite the pupil on your hands.
Synchronicity Event boosts psychic powers from outside this setting by a decent amount. It's nothing like Alma, but it's a decent boost. At the same time, you may also unlock the following abilities:
-Taking 'Feel It Out' increases your understanding of technologies and different items, dramatically cutting down the time needed to analyze the object in question and improving defenses should any psionic traps be laid. You can also 'attune' objects to better channel psionic abilities and become a powerful focus for them.
Psionic schools from F.E.A.R. include Telekinesis, Telepathy, Pyrokinesis, Possession, Teleportation, and Manifestation.</t>
  </si>
  <si>
    <t>Analysis
Personal
System</t>
  </si>
  <si>
    <t>Inner Linings</t>
  </si>
  <si>
    <t>Material Hybridization</t>
  </si>
  <si>
    <t>Geneforge</t>
  </si>
  <si>
    <t>Minor Enchantment</t>
  </si>
  <si>
    <t>Talisman Adept</t>
  </si>
  <si>
    <t>Chapter 54: 43 Ripples Aisha - Preamble Gully - Addendum Joe
Talisman Trained (Inukami) 100:
You are very skilled at using talismans. What that means is you can make them have different properties (like light or sound) and with enough time and training you can make with enough time and training you can make truly devastating effects.
Talisman Adept (Inukami) 200:
You are much better at using talismans and can give them properties of what shape they are in. Shaped like a frog? These talismans can bounce towards their intended target.</t>
  </si>
  <si>
    <t>Lesser Magicks</t>
  </si>
  <si>
    <t>Lone Wolf</t>
  </si>
  <si>
    <t>Elven Enchantment</t>
  </si>
  <si>
    <t>Chapter 34: 28 Preamble - Addendum Sophia
Elven Enchantment (Lord of the Rings) 500:
You can enchant objects, if you pour energy into them as they are created. Some of your enchantments are useful in battle, such as swords that never dull and bows that always strike true, but most are simply to ease the life of the wearer, such as cloaks that weigh nothing and aid in hiding and water-flasks that never leak. You may also perform great workings, such as the creation of hidden doorways, given time</t>
  </si>
  <si>
    <t>Device Meister</t>
  </si>
  <si>
    <t>Lyrical Nanoha</t>
  </si>
  <si>
    <t>Artificer</t>
  </si>
  <si>
    <t>Elemental Mastery</t>
  </si>
  <si>
    <t>Chapter 64: 49 Game Time
Elemental Mastery (Monster Hunter) 400:
Any elemental properties your weapon carries are significantly amplified by up to 50% depending on the quality of the weapon.
Balance Bangle (Monster Hunter) Free:
A simple leather wristband depicting a Rathalos and Tathian chasing each other's tails, vaguely reminiscent of a yin-yang. Comfortable, unobtrusive, easy to remove, and can't be lost or stolen. While it is worn, all offensive and defensive supernatural skills and abilities you have acquired throughout your journey that have not been purchased from your current adventure are sealed. This does not affect passive or intrinsic skills, such as eidetic memory, intelligence or willpower boosts. Meanwhile, your physical attributes will be reduced and/or equalized to a point at the apex of your chosen species. While it is on, you may speak a programmable code word or phrase to temporarily disable the sealing effect (default phrase is 'OH SHIT!') and re-apply it at will afterwards. If you seek a challenge or simply wish to live the true Monster Hunter experience, look no further.
Starter Weapon: Bone Rod I and Mauldrone I (Monster Hunter) Free:
It would be needlessly cruel to throw you into this dangerous world unprepared. Here, this one is on the house. You may pick any on basic Rarity 1 starter weapon (bone or iron) of any type. Hunters get 1 of each type of basic starter weapon for free. Bone weapons have higher base damage, but relatively poor sharpness, while the inverse is true for iron weapons.</t>
  </si>
  <si>
    <t>Fiat
Item
Item</t>
  </si>
  <si>
    <t>Infusionist</t>
  </si>
  <si>
    <t>Chapter 72: 56 Arrival Time
Infusionist (Monster Hunter) 600:
An art form thought lost to the ages and only tangentially unlocked in the rarest of armors, you have discovered the secret to infusing and uplifting weapondry and armor past the typical point even the best blacksmith are capable of taking it. Any weapon that doesn't have an element can be given one, and any weapon that already has one gets a great boost in power. Any armor that this is used on gets a great defensive boost, both to innate defensive capabilities and elemental resistances. This skill can apply to any weapon you have learned how to create - that blue lightsaber you made decades ago? Bet you didn't know it had a latent affinity for ice, did you? That high frequencey blade? It now has enough heat to cauterize as it cuts. This doesn't just apply to melee weapons either - with enough training and focus, you can create bowguns that natively shoot ice or lightning, or gunlances that fire heat beams instead of shells. The possibilities are only limited by your skill and the quality of what you have to work with.
Felyne Comrade (Monster Hunter) Free:
Shortly after arriving in this world, you come across an old wyverian ladey with a backpack easily 3 times larger than herself full of meowing felynes. She insists you take one with you to help you with your chosen journey, but that is the last one she can just give away, she will have to come back with more next week. You may choose your desired color, gender, skillset and species of felyne that will accompany you on your journey, either as an assistant in your forge, a bookkeeper in your trade caravan, a fellow hunter, or simply a wandering lynian attempting to find its place in the world. While most felyne's skills are dwarfed by even the most marginally competent human, they make up for their shortcomings with extreme enthusiasm and constant effort to get better. Counts as a companion.</t>
  </si>
  <si>
    <t>System
Entity</t>
  </si>
  <si>
    <t>Solar Harnessing</t>
  </si>
  <si>
    <t>Transcendence</t>
  </si>
  <si>
    <t>Ragnarok Online</t>
  </si>
  <si>
    <t>Magic: Enchanting</t>
  </si>
  <si>
    <t>Chapter 07: 6 Commission
Magic: Enchanting (Samurai Jack) 200:
You can grant magical properties to weapons by marking them with ancient runes. Right now you only know how to give weapons elemental properties but you can learn more enchantments by studying other enchanted and magical weapons.</t>
  </si>
  <si>
    <t>Heretical Adaptation</t>
  </si>
  <si>
    <t>Chapter 45: 38 Build Up - Preamble Leet - Addendum Rey
Heretical Adaptation (Senki Zesshou Symphogear) 200:
Symphogears are, in essence, a Relic adapted into a combat system for it's ability to generate massive amounts of energy that can be formatted into a certain kind of matter through a generic mass-energy converter. However, they also have the ability to 'evolve' overtime, gaining additional armor and improvements to features such as onboard thrusters. With a bit of study, it might be possible to apply this adaptive behavior to other materials, encouraging them to improve themselves over time.
Calling Card (Senki Zesshou Symphogear) Free:
You spent a lot of time coming up with your combat techniques. It's only fair to name them! When you make an attack that's above par, time almost seems to freeze for a second, and all those onlooking instinctively recognize the name and intended theme of the technique. This effect can be toggled.</t>
  </si>
  <si>
    <t>System
Ability</t>
  </si>
  <si>
    <t>Atlantean Power Crystals</t>
  </si>
  <si>
    <t>Chapter 80: 61 Summit Confrontations
Atlantean Power Crystals (Shivers) 400:
Originally discovered by noted psychic Edward Layce, these shining golden gems draw power from the limitless energy from the Sun. When properly harnessed, these crystals can provide enough energy to power an entire city, and if more could be produced, perhaps even a civilization. But be wary, for Atlantis itself once relied on these crystals, and their misuse directly led to that ancient city sinking beneath the waves.</t>
  </si>
  <si>
    <t>That Undefinable Thing</t>
  </si>
  <si>
    <t>Chapter 48: 41 Drag Out - Preamble Chen
That Undefinable Thing (Tales of Symphonia) 300:
Even if you can't describe it, you can still manipulate it. You can now make physical tools and containers for souls, as well as gaining the knowledge of how to use the soul as a power source for magic, machinery, and living bodies. Given proper resources (raw souls), you can create Exspheres and Key Crests­ which can then power the things mentioned in your place.
Anything powered by their user’s soul is known intimately to them, inhabited by the soul the same way a body is inhabited by a soul. It becomes in all ways an extension of the self, for good or ill. While the soul is infinite, it can be diminished and grown. Take care. 
Iconic Outfit (Tales of Symphonia) Free:
This outfit is rugged, stylish, and undeniably YOU.
Questionably Practical Weapon (Tales of Symphonia) Free:
You're fighting with that? Really? And merchants will sell you more and more deadly upgrades? If you want this can be a well crafted mundane weapon instead.</t>
  </si>
  <si>
    <t>System
Item
Item</t>
  </si>
  <si>
    <t>Glyph Magic</t>
  </si>
  <si>
    <t>Thief</t>
  </si>
  <si>
    <t>Profession: Enchanting</t>
  </si>
  <si>
    <t>Advanced Materials</t>
  </si>
  <si>
    <t>Chapter 30: 24 Tech Work - Addendum Alec
Advanced Materials (XCOM 2) 200:
As you experiment the physics and rules of a world ideas for new materials come to you. Elements and compounds from different universes often follow the same rules after all, so it should be theoretically possible to mix them. While you are developing new materials for your projects you will instinctively know whether or not materials will be compatible with each other and roughly how strong they will be. You will not know the exact ratio or procedure you will need to perform to fabricate these exotic materials, and it's not guaranteed that every material will be compatible with each other, but development will be made a lot easier.</t>
  </si>
  <si>
    <t>Mega Bomb
Guru</t>
  </si>
  <si>
    <t>Chapter 100: 73 Head Trip
Mega Bomb (Chrono Trigger) 600:
Magic and Technology are both capable of some pretty fantastic things. So why not put them together, and see what happens? You now understand the secret to integrating magic seamlessly into your mechanical devices, enabling you to create devices like bombs powered with fire magic or medkits that use healing magic. While initially your devices will be one-shots that rely on a magical charge you have to deliver, in time, you'll learn how to make much more advanced fusions, such machines that run on magical power sources, or automated spellcasting devices. In the end, the only limit is your skill with machinery and magic. 
Element (Chrono Trigger) Free:
Anyway, weak or strong, you've still got enough strength of will to you for the old guy to send you to me. I'm not just the Master of War, ya know. I'm also the keeper of Magic. Sky, Dark, Water, and Fire... used to be, everyone could call on the power of the elements. But now, only those with enough determination and a strong enough heart can use it. Lucky for you, you've got some great inner strength, so I can teach you the good stuff.
Shadow: Shadow's the element of darkness, covering everything from the space between the stars to the shadows in a cave. Void and gravity are two obvious uses, and curses and status magic fall within its domain as well. However, it's also the magic of harmony, so you might be able to throw around some elemental combos instead.
Combination Attack (Chrono Trigger) Free:
You didn't think I'd let you go without teaching you this one, did you? Now that you're fortified with magic, or other tricks, you're going to start noticing some of them seem compatible with your buddies' moves. Well, that's because they are. By using them together, you can merge them into one big move that'll be greater than the sum of its parts. Fusing two spells, enhancing an attack with elemental energy, even a well-coordinated double strike... there's a lot of possibilities, so try them out and see what works. Just keep in mind your buddy needs to know how to do this too, and not all techniques are going to be compatible.</t>
  </si>
  <si>
    <t>System
Skill
Skill</t>
  </si>
  <si>
    <t>Tech Wizard</t>
  </si>
  <si>
    <t>Devil Survivor</t>
  </si>
  <si>
    <t>Crystal Mechanics</t>
  </si>
  <si>
    <t>Final Fantasy Type-0</t>
  </si>
  <si>
    <t>Mechanist
Magitek Mastery</t>
  </si>
  <si>
    <t>Chapter 13: 10 Overhaul
Mechanist (Final Fantasy VI) 100:
You know how regular technology and magitek function and can repair it if it breaks down. You'll still need the tools and supplies, but at least with this you'll know what you're doing with mechanical technology. This knowledge can be used to build basic examples of it too, but don't expect to be able to copy anything too complex without getting your hands on the blueprints.</t>
  </si>
  <si>
    <t>Assault Manadrive
Defence Manadrive
Antimatter Manipulation Principle</t>
  </si>
  <si>
    <t>Final Fantasy XIII</t>
  </si>
  <si>
    <t>Antimatter Temporal Principle</t>
  </si>
  <si>
    <t>Final Fantasy XIII-3</t>
  </si>
  <si>
    <t>Magitek Augmentation Theories, 14th Edition</t>
  </si>
  <si>
    <t>Magitek
The Legionsx5
Garlond Ironworks buff</t>
  </si>
  <si>
    <t>Final Fantasy XIV Scenarios</t>
  </si>
  <si>
    <t>Ruins of the Last Age
Mythology
Azys Lla data</t>
  </si>
  <si>
    <t>Technosorcery</t>
  </si>
  <si>
    <t>Chapter 46: 39 Set Up - Addendum Kenta
Technosorcery (Gargoyles) 400:
Combining magic and technology is a no brainer for you. You can handily blend the two to create amazing effects like broadcasting spells over telephone lines or melding creatures together through sorcerous surgery. Very little in the field of technomagic is beyond your reach with this skill.</t>
  </si>
  <si>
    <t>Setup Wizard</t>
  </si>
  <si>
    <t>Chapter 37: 31 Consensus - Preamble PHO - Addendum Accord
Setup Wizard (Harry Potter) 200:
You have a natural knack of melding technology and magic. You can easily jury-rig technology to work at Hogwarts. Your inventions could do considerable good for the magical world if they weren’t all such luddites.
Wand (Harry Potter) Free:
A wand. You don’t have it yet, mind you, but you’ll get one soon enough on a trip to Ollivanders. You can choose the wood type and between one of the wand cores he produces wands with (Unicorn Hair, Dragon Heartstring and Phoenix Feather). You may instead choose a more exotic wand core (excluding Thestral Hair and limited to parts from other canonical magical creatures/beings of this world e.g. Thunderbird Tail Feather, Veela Hair, etc.) although the three previously mentioned are among the most reliable and powerful. Different cores and woods tend to act a little differently but regardless of what you choose the wand will choose you as soon as you are introduced. Different woods may alter your historical personality (for all but Drop-ins) and therefore tendencies very slightly (e.g. Cypress wands tend to choose brave people and you will as such have been a relatively brave child, Blackthorn may result in you being slightly more combative, etc.). If you already had a wand you may import it into this role and while it will keep it’s wood and core it will gain a significant loyalty boost.</t>
  </si>
  <si>
    <t>Libriomancer</t>
  </si>
  <si>
    <t>Moon Tech</t>
  </si>
  <si>
    <t>Okami</t>
  </si>
  <si>
    <t>Arcane Interface</t>
  </si>
  <si>
    <t>Storm Hawks</t>
  </si>
  <si>
    <t>Chapter 180: 115 Recontextualize
Magitech (Thundercats 2011) 600:
The combination of magic and technology. Magitech creations are rare and difficult to make but they're also extremely powerful and could easily function after being abandoned for hundreds of years. Some are even capable of trapping and containing souls
Old Cloak (Thundercats 2011) Free:
A dull looking piece of clothing that will perfectly conceal your features and help you go unnoticed in large crowds</t>
  </si>
  <si>
    <t>Doll Maker of Bucuresti</t>
  </si>
  <si>
    <t>Touhou</t>
  </si>
  <si>
    <t>Access Key
Key Link</t>
  </si>
  <si>
    <t>Chapter 01: 1 Introduction
Access Key (Personal Reality) Free:
This is a special key which lets you access your Personal Reality and its contents. When inserted into any lock on any door, the door opens to reveal a gateway into your Reality at a predetermined location within it. You are the only person who can take the key from the lock, the gateway remains open as long as the key is in the lock, and if key is ever lost or stolen you will find it in your pocket a few minutes later. You cannot close the door as long as you are inside the Personal Reality.
Chapter 97: 70 Media Presence
Key Link (Personal Reality) 50:
With this Access Key Upgrade, you can now close the door while you are in the Personal Reality and use your key in a special podium in the entryway to link your Personal Reality Door to any door in your current Host Reality that you’ve previously used your Access Key on. If you have extra keys, any door opened by any of them can be accessed. You may also use a recall function to bring up a list of all the doors that have been accessed by any key, thus allowing you to follow a Companion should you so desire.</t>
  </si>
  <si>
    <t>Item
Facility</t>
  </si>
  <si>
    <t>Starting Space
Additional Space</t>
  </si>
  <si>
    <t>Chapter 81: 62 Summit Consensus
Starting Space (Personal Reality) Free:
Your Personal Reality starts out with volume of 80 x 80 x 10 meters, so 6,400 square meters of floor space or 64,000 cubic meters of storage volume. In the archaic and silly ‘Imperial' measuring system this translates to 262.5 x 262.5 x 32.8 feet, so 68,889 square feet or 2,260,138 cubic feet.
Chapter 96: 69 Magic Instruction
Additional Space (Personal Reality) 200:
This Starting Space Upgrade expands your Personal Reality by a factor of 10 in each dimension… or rather the standard three dimensions, you rabid cheeselord. This can be purchased multiple times. Additional Space also upgrades various expansion options. The first purchase of this brings you to 64 Million Cubic Meters, then 64 Billion Cubic Meters, then 64 Trillion Cubic Meters. Earth’s volume, for reference, is 1 Hexillion Cubic Meters and it’s surface area is 510 Quadrillion Square Meters. Cover the Earth in storage facilities 100 meters high and you get 51 Quintillion Cubic Meters of Storage space. Repeatable
Chapter 109: 78 Consolidation
Additional Space (Personal Reality) 200:
This Starting Space Upgrade expands your Personal Reality by a factor of 10 in each dimension… or rather the standard three dimensions, you rabid cheeselord. This can be purchased multiple times. Additional Space also upgrades various expansion options. The first purchase of this brings you to 64 Million Cubic Meters, then 64 Billion Cubic Meters, then 64 Trillion Cubic Meters. Earth’s volume, for reference, is 1 Hexillion Cubic Meters and it’s surface area is 510 Quadrillion Square Meters. Cover the Earth in storage facilities 100 meters high and you get 51 Quintillion Cubic Meters of Storage space.
Chapter 118: 85 Drop Off
Additional Space - Starting Area (Personal Reality) 200:
This Starting Space Upgrade expands your Personal Reality by a factor of 10 in each dimension… or rather the standard three dimensions, you rabid cheeselord. This can be purchased multiple times. Additional Space also upgrades various expansion options. The first purchase of this brings you to 64 Million Cubic Meters, then 64 Billion Cubic Meters, then 64 Trillion Cubic Meters. Earth’s volume, for reference, is 1 Hexillion Cubic Meters and it’s surface area is 510 Quadrillion Square Meters. Cover the Earth in storage facilities 100 meters high and you get 51 Quintillion Cubic Meters of Storage space.
Additional Space – Lofty Loft (Personal Reality) 200:
This Starting Space Upgrade expands your Personal Reality by a factor of 10 in each dimension… or rather the standard three dimensions, you rabid cheeselord. This can be purchased multiple times. Additional Space also upgrades various expansion options. The first purchase of this brings you to 64 Million Cubic Meters, then 64 Billion Cubic Meters, then 64 Trillion Cubic Meters. Earth’s volume, for reference, is 1 Hexillion Cubic Meters and it’s surface area is 510 Quadrillion Square Meters. Cover the Earth in storage facilities 100 meters high and you get 51 Quintillion Cubic Meters of Storage space.
Chapter 142: 97 Confrontations – Preamble Carol
Additional Space - Starting Area (Personal Reality) 200:
This Starting Space Upgrade expands your Personal Reality by a factor of 10 in each dimension… or rather the standard three dimensions, you rabid cheeselord. This can be purchased multiple times. Additional Space also upgrades various expansion options. The first purchase of this brings you to 64 Million Cubic Meters, then 64 Billion Cubic Meters, then 64 Trillion Cubic Meters. Earth’s volume, for reference, is 1 Hexillion Cubic Meters and it’s surface area is 510 Quadrillion Square Meters. Cover the Earth in storage facilities 100 meters high and you get 51 Quintillion Cubic Meters of Storage space.
Additional Space – Lofty Loft (Personal Reality) 200:
This Starting Space Upgrade expands your Personal Reality by a factor of 10 in each dimension… or rather the standard three dimensions, you rabid cheeselord. This can be purchased multiple times. Additional Space also upgrades various expansion options. The first purchase of this brings you to 64 Million Cubic Meters, then 64 Billion Cubic Meters, then 64 Trillion Cubic Meters. Earth’s volume, for reference, is 1 Hexillion Cubic Meters and it’s surface area is 510 Quadrillion Square Meters. Cover the Earth in storage facilities 100 meters high and you get 51 Quintillion Cubic Meters of Storage space.</t>
  </si>
  <si>
    <t>Facility
Facility
Facility
Facility
Facility
Facility
Facility</t>
  </si>
  <si>
    <t>Chapter 140: 96 Breakthrough
Arsenal (Personal Reality) 200:
Placing your battle armor and sword right next to your wedding dress rarely appears all that practical, so with this purchase an armoury gets added to your Personal Reality, into which you can place your battle armors and your weapons, and same for your companions. Content placed into armoury will be sorted for easy access and will be kept in pristine condition, always cleaned when placed back and minor damages automatically repaired, although for bigger types of damages you’ll have to figure out something by yourself. If you have Portals, you can summon your equipment through any portal you open.</t>
  </si>
  <si>
    <t>Arsenal</t>
  </si>
  <si>
    <t>Basic Accommodations</t>
  </si>
  <si>
    <t>Chapter 140: 96 Breakthrough
Basic Accommodations (Personal Reality) 50:
This provides minimalist accommodations for you and each companion. Essentially the same thing you’d get in Basic Training in the military. A barracks with a bunk and a locker and a camp toilet. If you bought Plumbing, this improves to include a communal shower and toilets. In fact, someone need not be a companion for this to work. Anyone you allow into your Personal Reality will be allotted a similar level of basic living quarters, thus allowing you to turn your Personal Reality into a refugee center if you like. If you have Basic Nutrition, this will provide any such guests as you may invite into your Personal Reality with very basic food equal to 1200 Kcal a day, totally vegetarian. This can support up to a maximum of 1 person for every 4 cubic meters of space in your warehouse per day.</t>
  </si>
  <si>
    <t>Basic Nutrition
A Little Less Basic
A Lot Less</t>
  </si>
  <si>
    <t>Chapter 164: 109 Points of Contact - Addendum Lily
Basic Nutrition (Personal Reality) 100:
This option provides a basic (if minimalist) food delivery for you and all companions (metered for a normal human dietary requirement). This delivery comes once a week and is the kind of thing you’d buy on a very strict budget; Ramen, Peanut Butter, Generic Cereal, Dry Beans, Eggs, Tofu, Fresh Common Fruits &amp; Veggies, Canned Fruits &amp; Veggies, Dry Pasta, Salt, Pepper, Milk, Bottled Water, Rice, Flour, Butter, Barley, etc. (Note, you cannot sell the Salt or Pepper for money.) Essentially the purchasing power of 50 dollars US a week per person.
A Little Less Basic (Personal Reality) 200:
Although not a huge improvement, this raises the basic food allotment to what can be expected for a middle-class working family’s budget. You can set it to the kinds of things your home culture might buy… or simply set it to a random sampling of various cultures’ food purchases. Honestly, it’s fascinating seeing what people buy. Check out Hungry Planet if you can. This is effectively 150 dollars US a week per person, adjusted for cost of living and whatnot. You have very limited brand control.
A Lot Less (Personal Reality) 200:
This A Little Less Basic Upgrade gives you specific cultural (rural France in the 1880s, Moscow under the communists, biblical Israel, etc.) and general purchasing breakdown (X% grains, Y% junk food, Z% fresh fruits, etc.) plus raises the food budget to 300 US dollars purchasing power per person per week. Each week you can change what kind of food delivery you get and where it comes from, including any culture you’ve jumped into along your travels. This still does not give you direct control of what you get, just a general batch of stuff that fits your requirements. You can specify brands you’d like, however.</t>
  </si>
  <si>
    <t>Facility
Facility
Facility</t>
  </si>
  <si>
    <t>Central Control
Your Robots
Maintenance Systems</t>
  </si>
  <si>
    <t>Chapter 138: 95.5 Interlude Gregor - Shawn
Central Control (Personal Reality) 100:
This optional purchase hooks your Personal Reality up with a Smart Pseudo-Intelligent Computer System that tracks the location and condition of all items brought into the Personal Reality. It will share that information with you or anyone you authorize to use the system. They do not have to have a key and you can set up varying levels of access. Central Control can also recall your companions to the Personal Reality if you have Portal and command it to or they are killed and you’ve set up automated recall. It can open your Personal Reality Door from the inside if you’ve given it permission to do so, but will only admit those it believes will assist you. It can only open doors on which Access Key has been used on, but the key need not be still in that door for the door to be opened.
Your Robots (Personal Reality) 200:
This Central Control Upgrade provides you with an automated sorting system that sorts and automatically retrieves anything stored in your Personal Reality. These Robots are completely upgradeable and programmable, so you can keep them out of key areas or tell them not to disturb certain potentially explosive experiments if you want. You get twenty of them and instructions on how to make more.
Chapter 160: 108 Raised Colors
Maintenance Systems (Personal Reality) 100:
This upgrades Your Robots so that instead of just sorting and fetching they now automatically upgrade with all tech production and repair skills you gain and now provide basic cleaning and maintenance services for anything in your Personal Reality that you know how to fix or repair. They are going to be practically invisible unless you look for them.</t>
  </si>
  <si>
    <r>
      <rPr>
        <rFont val="Arial"/>
        <color theme="1"/>
      </rPr>
      <t xml:space="preserve">Facility
Facility
</t>
    </r>
    <r>
      <rPr>
        <rFont val="Arial"/>
        <color rgb="FF181A1B"/>
      </rPr>
      <t>Facility</t>
    </r>
  </si>
  <si>
    <t>Computer Hub</t>
  </si>
  <si>
    <t>Chapter 113: 82 Bargaining - Addendum Uppercrust
Computer Hub (Personal Reality) 50:
A top-of-the-line mainframe / supercomputer with basic additional equipment, like scanners (2D and 3D, standard- and poster-sized) and printers (color, black and white, bulk printer, 3D printer, blueprint-printer), and binding equipment. Perfectly assimilates any upgrades done to it. Comes with operating system of your choice, be it Windows, Linux, Android, iOS, etc. You and each companion receive their own personal desktop computer, laptop, and tablet. With the Extranet, all the computers in the Personal Reality are linked via an internal Intranet as well. If you have Central Control and Robots, they’re linked into the Intranet. All printing supplies (filament, paper, ink) must be supplied by the Jumper, but if you have the Mall, you can always find a print supply shop within without having to assign one of your slots to it.</t>
  </si>
  <si>
    <t>Entertainment Room
Kit and Kaboodle
Auditorium
Costume Closet</t>
  </si>
  <si>
    <t>Chapter 112: 81 Augmentations
Entertainment Room (Personal Reality) 200:
Keeping yourself busy isn’t always easy, and sometimes you just want to relax and listen to some music or watch a movie. This is for you. A six room complex is added to your Personal Reality. Each room is an almost perfect movie theatre, music room, video-gaming theatre, sound stage, or miniature live theatre. There are 24 comfortable chairs in each (the exact level of luxury depends on your housing level). A popcorn and generic candy vendor and off-brand soda dispenser (self-service) are provided at the basic, but will upgrade to name-brands with any housing upgrade.
Kit and Kaboodle (Personal Reality) 50:
There’s not much purpose in having a sound-stage if you don’t have recording equipment and instruments. While not the best, this Entertainment Room Upgrade provides you with professional grade musical instruments of any kind found on Earth, and a professional mixing board and easy to follow instructions on how to make best use of it. The instruments from this can’t be removed from the Warehouse without the Extruder.
Auditorium (Personal Reality) 50:
This Entertainment Room Upgrade adds an auditorium to your complex with stage for bigger productions and comfortable seating for viewers. the Auditorium can seat up to 400 in comfort and the followspots always follow, the lights always change on cue, and the props and sets are always in the proper order and condition.
Costume Closet (Personal Reality) 50:
This Entertainment Room Upgrade adds a closet full of costumes, exactly what you need to perform your various acts or routines. The contents will adjust to the wearer and will be as comfortable as reasonable. They’re self-cleaning and self-repairing, but they cannot be removed from the Warehouse without the Extruder.</t>
  </si>
  <si>
    <t>Facility
Facility
Facility
Facility</t>
  </si>
  <si>
    <t>Entrance Hall
Additional Keys</t>
  </si>
  <si>
    <t>Chapter 01: 1 Introduction
Entrance Hall - Joe (Personal Reality) Free:
This is the room your Access Key opens a door to. It starts off as a 5 meter cube with blank white walls, floor, and ceiling, as some doors, one leading to the current Host Reality, the other into your Cosmic Warehouse, with additional doors leading to other extensions as these get added to your Personal Reality. Feel free to customize this Entrance Hall as you see fit. Additional Halls can, at your discretion, be linked only to certain keys or only to certain extensions. This allows you to have an entry hall just for skiing if you want. Repeatable 
Chapter 115: 83 Check In
Additional Keys (Personal Reality) 50:
This Access Key Upgrade gives you an additional keys to your Personal Reality. These keys attune to whomever you give them to and cannot be used by anyone other than them or someone they freely and without duress or coercion of any kind allow to use the key. If they lose the key, it will return to them if they are still alive, or to you if they are currently dead. If they die in possession of the key, their body will be transported to your Medical Bay, if you have one.
Entrance Hall - Garment (Personal Reality) 50:
This is the room your Access Key opens a door to.
Chapter 154: 104 Loose Ends
Entrance Hall - Fleet (Personal Reality) 50:
This is the room your Access Key opens a door to.
Entrance Hall – Survey (Personal Reality) 50:
This is the room your Access Key opens a door to.
Entrance Hall – Aisha (Personal Reality) 50:
This is the room your Access Key opens a door to.
Entrance Hall – Tetra (Personal Reality) 50:
This is the room your Access Key opens a door to.
Entrance Hall - The Matrix (Personal Reality) 50:
This is the room your Access Key opens a door to.
Entrance Hall – Tybalt (Personal Reality) 50:
This is the room your Access Key opens a door to.
Entrance Hall - Espirit de Kerbal (Personal Reality) 50:
This is the room your Access Key opens a door to.
Entrance Hall - Some Old Friends (Personal Reality) 50:
This is the room your Access Key opens a door to.</t>
  </si>
  <si>
    <t>Facility
Item
Facility
Facility
Facility
Facility
Facility
Facility
Facility
Facility
Facility</t>
  </si>
  <si>
    <t>Environmental Controls
Improved Regulation</t>
  </si>
  <si>
    <t>Extranet
VOWP Cellular Service</t>
  </si>
  <si>
    <t>Chapter 96: 69 Magic Instruction
Extranet (Personal Reality) 200:
This handy add on connects your Personal Reality with the local Data Networks of the Universe you’re currently in… not only that, but it gets the kind of performance only really ever seen by ISPs at their hubs. If your current Reality of Residence does not have a Data Network, this will connect to the nearest equivalent.. yes, even if that is nothing more than a town gossip and a local library.
Chapter 151: 101 Catharsis
VOWP Cellular Service (Personal Reality) 200:
This Extranet upgrade hooks your Personal Reality up with Voice Over Warehouse Protocol Cellular Service, and provides you with fiat backed cellphones that are guaranteed to connect to the Personal Reality or to any other cell phone on the service… regardless of what Reality those phones are connected to at the current moment. You gain a vending machine that vends Nokia dumb-phones, iPhones up to 8, and Galaxy S7 smartphones, plus any cell phone (or similar) you supply it with a copy of, as well as SIM cards or the equivalent for other phones. These phones will work just fine no matter where you find yourself, but be careful as they’re just as durable as normal ones and will need to be replaced should they get damaged or destroyed. They must be charged as normal, but get extremely good battery life.</t>
  </si>
  <si>
    <t>Facility
Facility</t>
  </si>
  <si>
    <t>Garage
Garage Upgrade
Parking Station
Fueling Station
The Big Garage</t>
  </si>
  <si>
    <t>Chapter 85: 65 Summit Aftermath
Garage (Personal Reality) 200:
A garage for you to place into your vehicles, automatically adjusting to meet with their requirements. Any sort of land, air, or space based personal vehicles (up to the size of 12 meters long, 6 meters wide, and 4 meters tall). The Garage has room for up to 40 such vehicles, with every increase in your Starting Size also increasing the number of slots by a factor of 5. The Garage comes with its own entry room and a set of adaptors which can turn garage doors (even non-automatic ones) into Personal Reality Portals. These adaptors respond to the presence of a Key Holder and open the way into the parking area. If you also have the Pond, this installs a Marina which comes with special adaptors for boat slots. Boat slots do not worry about the draft or masts of the boats you part in them, only the distance from the waterline to the top of the primary hull. Each size increase of the total Personal Reality also increases the maximum size of each vehicle slot by a factor of 5 (60x30x20, 300x150x100, 1500x750x500, etc.). Alternatively, you can purchase a Garage Upgrade for 50WP, which boosts each slot by a factor of 10.
Fueling Station (Personal Reality) 200:
This Garage Upgrade has two levels. The first provides all your vehicles with any standard mundane fuel and costs 50 WP. The second level, which costs an additional 150 WP, will fuel any vehicle you have no matter how esoteric the fuel might be, although said fuel can be used only to fuel your vehicles. Attempts to use it for other means may have terrible consequences.</t>
  </si>
  <si>
    <t>Garden
Park
Meditating Corner
Courts</t>
  </si>
  <si>
    <t>Greenhouse
Seed and Seedlings</t>
  </si>
  <si>
    <t>Chapter 121: 87 Close Out
Greenhouse (Personal Reality) 100:
A greenhouse in which you can now grow some of your own vegetables and fruits. I hear that strawberries are especially popular this season. The Greenhouse requires Pipes, Pipes, Pipes and either Natural Lighting or Powa. It is set up for soil-ponics, hydroponics, or aeroponics and is contained in a separate structure that has a footprint of exactly half your Starting Size in all dimensions. Any increase in size to your main space multiplies your Greenhouse’s space by a factor of 5.
Chapter 140: 96 Breakthrough
Seeds and Seedlings (Personal Reality) 50:
This Greenhouse Upgrade provides you with a package once a year that contains a random assortment of seeds and seedlings for you to plant in your Greenhouse. Has enough seeds and seedlings to fill half of your Greenhouse and they’re chosen (and labeled) from all the Host Realities you’ve visited, though all are relatively normal plants for their Host Reality.</t>
  </si>
  <si>
    <t>Gym
Arena</t>
  </si>
  <si>
    <t>Chapter 138: 95.5 Interlude Gregor - Shawn
Gym (Personal Reality) 100:
This provides your Personal Reality with a large open training room for physical exercise. It comes with exercise equipment that can be used to train almost anyone dedicated enough to the limits of their potential (as long as that potential is no more than 150% of peak human potential) fitness. It can be easily converted into a sparring pit. If you have Robots, this includes extremely durable sparring automatons to learn from in your pit. Anybody using the Gym will find that training physical abilities is slightly less fatiguing than it otherwise would be.
Arena (Personal Reality) 200:
This Gym Upgrade that Requires Central Control and Robots removes the limiter on what can be trained and now it can be used to train anyone to any physical potential they might have. The sparring pit is now outfitted with duplodroids, sparring partners that can duplicate the fighting strength and style of anyone you’ve ever fought… or even combine enemies and styles to attempt to throw you curves. Every fight you’ve ever been in and every fight you’re in from now on can be replayed by the Arena. Fights in the Arena are never fatal, like Pokemon Battles, they only result in KOs. If you choose to use the Arena Supplement, you may incorporate it with this Arena for an additional -100 WP.</t>
  </si>
  <si>
    <t>Hallowed Earth</t>
  </si>
  <si>
    <t>Chapter 125: 89 Divine Mechanics
Hallowed Earth (Personal Reality) 400:
Every inch of your Personal Reality is sanctified. By who? Well… you, I guess. All those within (besides you obviously) are subject to a constant minor blessing that persists for up to a day after leaving that makes them a little luckier and healthier. In D&amp;D terms, a general +1 Morale bonus. Those who worship you as divine may show up here when they die or see visions of you in this, your place of power… though these visions may be merely metaphors for what lies within if they lack the mental or cultural framework to understand. With Linked Portals you may appear anywhere inside your Personal Reality without having to walk there and with Eye Spy you are aware of everything that happens in this Reality. With Central Control, you are constantly aware of the contents of the PR.</t>
  </si>
  <si>
    <t>Housing Complex
Rooms for Cheap
Opulent Housing
Seraglio
Nursery
Grand Dining Hall
Connecting Doors
Servant's Quarters
Unique Servants</t>
  </si>
  <si>
    <t>Chapter 127: 90 Outreach - Addendum Taylor
Housing Complex (Personal Reality) 200:
Having space for all your Companions and Followers can be tricky. Sure, you could pay to have some houses built, but with this option you and each Companion and every child of yours or of a Companion gains their own bedroom. Every three bedrooms gain a full bathroom and your bedroom has a master bath. It’s not luxurious by any means, but this house (or houses) have 1 kitchen &amp; dining room, 2 half baths, two general purpose rooms (offices, living rooms, game rooms), a few of small closets, and a pantry for every 6 people. Individual rooms tailor themselves to the general likes of the individual and come with basic but not quality furniture. Companions who decide to share a room can cause their rooms to merge to create a larger room, but each basic room defaults to 4 meters by 5 meters by 3 meters. Non-bedrooms are on the small side but large enough to function. Floors are basic linoleum and walls are basic low grade paint. Appliances and fixtures are pretty bare bones and the walls are little more than plywood and wood frame. The bedrooms don’t have closets. Any other Personal Reality Extensions can be made part of the Housing Complex or kept separated. Each house must have a kitchen. That’s the rule. No more houses than total number of kitchens. A house may, of course, have more than one kitchen.
Opulent Housing (Personal Reality) 300:
This Housing Complex Upgrade does everything that Luxury does and does it better. Rooms are frankly too big, fixtures and furniture are all unique handcrafted pieces, the walls have murals, the floor mosaics… everything isn’t just top of the line, it passed that miles back. High Ceilings, beautiful feng shui, custom decor for each room… huge closets. Additional Rooms generated every three persons. All Bedrooms are now Master Bedrooms and come with ensuite saunas, day spas, and personal office with reading nook. If you have an incremental purchase scheme, you do not get a refund if you bought Upscale Housing or Luxury Housing first. Opulent does not require Upscale or Luxury to be bought first.</t>
  </si>
  <si>
    <t>Library
Library Services
Digital Database
Starting Collection
Expanded Collection
Esoteric Collection</t>
  </si>
  <si>
    <t>Chapter 100: 73 Head Trip
Library (Personal Reality) 200:
A place to keep all the books and writings you and your companions might create or gather throughout your adventures, with all of them kept in pristine condition and automatically sorted based on your selected scheme, no matter how harebrained. Comes with reading area that has an effect of slightly boosting concentration, reading speed, comprehension, and retention rate.
Library Services (Personal Reality) 100:
This Library Upgrade means that any written text that you add to your library, assuming you or any member of your team possesses the ability to translate it, will gain an appendix that includes all idiomatic word usage, cultural or historical references, and even scholarly explanations of the author’s background and possible inspirations. All such notes will be written from a scholastic, in setting standpoint, as if written by a learned scholar writing from no more than a single century in the future from the time the original work was created. Additionally, if you request a specific book translated into a different language, it will be produced within 24 hours, and the translation will be written by an expert native speaker of both languages. Cover art for the new version will be similarly translated. You or a member of your team must know both languages to a high fluent level for this translation service to work properly.
Digital Database (Personal Reality) 100:
This Library Upgrade automatically digitizes every text that enters your Personal Reality, even if it’s already in digital format, and does so safely (spells will contain the correct symbols but not power, memetic or conceptual texts will be rendered harmless). The entire contents of your Library are now completely searchable, indexed, and intelligently cross-referenced, allowing far easier use and accessibility.
Starting Collection (Personal Reality) 100:
This Library Upgrade gets you pre-stocked with books you would expect to find in an average town or school library, with a nice spread of books on a variety of topics and in a language of your choice. This comes with 10,000 individual fiction titles and three times that number non-fiction titles covering all normal real-world subjects. Most of the books will be best sellers or classics (80%) and will cover the last hundred and fifty years or so. The other 20% will be more esoteric works, but seldom anything particularly obscure or rare. In addition to scholarly works and literature, you’ll also get a periodicals section similar to that of a town library, containing several thousand assorted magazines and newspapers. This can be purchased up to five times, each time increasing the number of titles in all three categories (fiction, non-fiction, periodicals) by a factor of ten. Additional purchases only cost 50 WP. This is the only Library Upgrade that includes fiction from ‘the real world’.
Chapter 179: 114 Manic Recovery
Starting Collection (Personal Reality) 50: 
This Library Upgrade gets you pre-stocked with books you would expect to find in an average town or school library, with a nice spread of books on a variety of topics and in a language of your choice. This comes with 10,000 individual fiction titles and three times that number non-fiction titles covering all normal real-world subjects. Most of the books will be best sellers or classics (80%) and will cover the last hundred and fifty years or so. The other 20% will be more esoteric works, but seldom anything particularly obscure or rare. In addition to scholarly works and literature, you’ll also get a periodicals section similar to that of a town library, containing several thousand assorted magazines and newspapers. This can be purchased up to five times, each time increasing the number of titles in all three categories (fiction, non-fiction, periodicals) by a factor of ten. Additional purchases only cost 50 WP. This is the only Library Upgrade that includes fiction from ‘the real world’.
Expanded Collection - Mysticism (Personal Reality) 50:
This Library Upgrade specializes your library in a specific way, adding books on specific topics, things that you would expect in specialized university libraries. Each purchase of this comes with 60,000 specific titles in the language of your choice (even if such works have never been published in your selected language). The more specific a topic you pick, the more specific these books will be. So picking Biology as topic will get you books ranging from everything on animals, plants, anatomy, genetics, microbiology and ecology, while picking entomology as topic will give you extremely detailed books about different types of insects, their physiology, and so on. Choosing a specific culture multiplies the number of titles gained by the square root of the number of centuries that culture has existed. Extinct cultures do not generate this bonus. The subject must be one from the real world, but do remember that there are thousands and thousands of real world books on the occult, so it’s not unlikely you can find what you like. Each expansion also comes with specialized journals, magazines, and other periodicals on the topics. This does not include fiction. For each purchase of this Upgrade, once per month, you can request a very specific sub-topic related to the core topic (e.g. architecture... of the Louvre, history... of trade on the Yangtze, quiltmaking in the 1880s, etc.). You’ll receive a dozen books on the subject… assuming a dozen such books exist in the real world and are reasonably available (not unique or exceptionally rare).
Esoteric Collection - Magic (Personal Reality) 100:
This Library Upgrade is functionally identical to Expanded Collection, but it is not limited to real world subjects. To be eligible, a subject must be one that is widely known in any setting you have visited. This can include fiction, but only fiction from universes you visit.</t>
  </si>
  <si>
    <t>Loft
Lofty Loft
Underside</t>
  </si>
  <si>
    <t>Chapter 110: 79 Preliminary Work
Loft (Personal Reality) Free: 
What’s the point of having a room 10 meters tall if you can’t build upwards. Feel free to stack things up to the ceiling if you like.
Lofty Loft (Personal Reality) 100:
Is it depressing having your home surrounded by storage space? You gain an area the same size as your starting space that is reserved entirely for housing and luxury facilities, such as pools and sports fields. It is situated either next to your Cosmic Warehouse or above your Cosmic Warehouse. Separate purchases of Additional Space applied to it instead of Cosmic Warehouse can be used to expand it. You’ll have to decide if Warehouse mods from jumps are applied to the Lofty Loft or the Cosmic Warehouse.
Underside (Personal Reality) 200:
This allows you to create Basement Spaces in your Personal Reality. The maximum volume of all ‘underground’ spaces is equal to ½ the volume of your Personal Reality, but these spaces need not be contiguous. Connections such as chutes, corridors, or elevator shafts are not counted for that total unless you start trying to cheese it by creating an infinitely long corridor to store things in.</t>
  </si>
  <si>
    <t>Mall
More for More
Mall of All
Jump Topic</t>
  </si>
  <si>
    <t>Medical Bay
Counseling Bay
Cybernetics Bay
Nano-Medical Lab
Bio-Synthesis Lab
Body Mod Pod</t>
  </si>
  <si>
    <t>Music Collection
Movie &amp; TV Series Collection</t>
  </si>
  <si>
    <t>Chapter 112: 81 Augmentations
Music Collection (Personal Reality) 50:
You receive a collection of 500 albums (EPS or LPS) based on personalized criteria such as genre, artists, or themes (big band, love songs, acapella, etc.). Liner-notes, sheet-music, and creator commentary / explanations are provided, as well as live performances, remixes, and covers. Total guaranteed run time not to be less than 2,000 hours. Every month you’ll get a new album. This can be purchased multiple times and only music from previous Host Realities is available. If you find that, upon listening to an album for the first time that you do not like it, it will be replaced… but since perfect memory perks are a dime a dozen, asking for a replacement will result in a mental block being placed over the music. You’ll still be able to remember you heard that album and didn’t enjoy it, but not the actual music. This block is fiat backed until you hear the album again someplace else or gain your spark. Repeatable 
Chapter 183: 116.2 Interlude Panacea - Preamble Vicky
Movie &amp; TV Series Collection (Personal Reality) 50:
Functionally identical to the Music Collection, but instead containing 15,000 hours of recorded passive visual media, all in a format your systems can play. All are available in their original languages, with subtitles that are below the bottom of the image and high visibility, with commentary explaining any cultural or production notes, with creator and actor commentary where possible, and with perfectly done dubbing into a language you speak like a native… or rather all languages you speak like a native… and this dubbing sounds exactly like the original actors. Every month you’ll receive 12 hours of new media.
Music Collection (Personal Reality) 50:
You receive a collection of 500 albums (EPS or LPS) based on personalized criteria such as genre, artists, or themes (big band, love songs, acapella, etc.). Liner-notes, sheet-music, and creator commentary / explanations are provided, as well as live performances, remixes, and covers. Total guaranteed run time not to be less than 2,000 hours. Every month you’ll get a new album. This can be purchased multiple times and only music from previous Host Realities is available. If you find that, upon listening to an album for the first time that you do not like it, it will be replaced… but since perfect memory perks are a dime a dozen, asking for a replacement will result in a mental block being placed over the music. You’ll still be able to remember you heard that album and didn’t enjoy it, but not the actual music. This block is fiat backed until you hear the album again someplace else or gain your spark.</t>
  </si>
  <si>
    <t>Neutral Lighting
Natural Lighting</t>
  </si>
  <si>
    <t>Chapter 91: 67 Development Plans
Neutral Lighting (Personal Reality) Free:
These lights are nothing special, It’s a color-neutral, source neutral ambient lighting system. It’s not really that bright… think early twilight gloom, but if you want better, install it.
Natural Lighting (Personal Reality) 50:
Completely natural lighting that looks and feels and functions as good as the real thing (sun, moon, or starlight). Comes with sectional dimmer switches and can be sourceless or from any lamplike object you bring into the Personal Reality. Purchasing this upgrades all sources of lighting you bring in, even things like TVs and Computer Monitors to be perfectly safe and naturally adjusting for minimal eye-strain. This replaces Neutral Lighting and does not require any power source.</t>
  </si>
  <si>
    <t>Chapter 113: 82 Bargaining - Addendum Uppercrust
Office (Personal Reality) 50:
A personal office specifically for you, so that you can perform your white collar paper-shuffling in relative privacy. A decent sized office, it comes with all the basic supplies and equipment, such as notepads, paper clips, ink pens, filing cabinets and a desk. If you purchased Computer Hub it comes equipped with computer equipment as well. If you have VOWP it has a phone with an outside line that always direct dials whoever you want to reach in your current Host Reality… even if they don’t have a phone… you may not use this ability to locate them or translocate to their location or tag them with any power or ability or technology. You can ask them where they are, but they don’t have to tell you. This office has the effect of slightly boosting your focus, reading speed, reading comprehension, and retention rate, but only as long as you’re alone in it. Alternatively, it can be set up as a cubicle farm with 20 individual cubicles.. but honestly… why would you? If you do, each cubicle gets a potted plant, an executive desk toy involving magnets or chrome balls, and a japanese lucky cat statue sized to fit on a desk. All are completely mundane. Additional purchases are allowed, each adding the next Fibonacci number of offices (or 20 cubicles per office). Thus, the second purchase will get you a second office, while the third purchase will get you 2 more offices, and the fourth will get you 3 offices and the fifth will get you 5 offices… please tell me you aren’t seriously going to waste WP on OFFICE SPACE? What part of ‘Keep this entertaining’ escaped you, CPA Man!? Repeatable</t>
  </si>
  <si>
    <t>Pilot Simulator</t>
  </si>
  <si>
    <t>Chapter 91: 67 Development Plans
Pilot Simulator (Personal Reality) 100:
This adds a high tech simulator to your Personal Reality that perfectly replicates the experience of driving, piloting, or otherwise operating any vehicle that exists in your Original Reality or any Host Reality you’ve ever visited. Up to 20 people can use the same simulator for larger vehicles and there are 12 total simulators which can be linked together to make much larger simulations or team practices. Best of all, this allows you and your companion do any required testing for various driving and piloting licenses. Licenses given with this are accepted in all jumps as long you’d qualify to that locale’s basic competence level. (For instance, it’s much much harder to get a Finnish Driver’s License than a French one.)</t>
  </si>
  <si>
    <t>Pipes Pipes Pipes
Waterworld
Dynamic Waterworks</t>
  </si>
  <si>
    <t>Chapter 114: 82.1 Interlude Uppercrust
Pipes Pipes Pipes (Personal Reality) 100:
Purchasing this provides your Warehouse with enough plumbing fixtures to turn the entire volume of your Personal Reality into one massive pool… or anything below that. This provides clean running water with any reasonably common additives you like (chlorine, glacial milk, fluoride), but does not provide a limitless supply, nor does it heat the water. By default, the amount of water this system can produce per day is 1 billion liters or one megaton of water or a block of water 100 meters on a side, and the default temperature of this water is 25 degrees Celsius. It can support any civilian infrastructure on the same scale as Mexico City or Tokyo. Comes only with the basic hookups. You’ll need a plumber to do the actual piping. We hear Mario’s very good. Bathrooms not included. Purchasing this supplies all facilities inside your Personal Reality with water feeds, and if you’ve Got the Powa, it will supply hot and cold running water as well.
Waterworld (Personal Reality) 300:
This Pipes Pipes Pipes Upgrade provides you with all the water you’ll ever need. Every day this massive Hydrocore Tap can generate enough H2O in any natural form to cover Luna in seas 10 meters deep… let’s call it 500,000,000 cubic kilometers of water. Of course, throughput is going to be a bitch, so the Hydrocore comes with a Global targeting computer and up to a million hoses each capable of pumping out 500 cubic kilometers of water a day… or 5.8 million tons of water a second… or 29 times the flow rate of the Amazon River… each. If this isn’t enough water for you, you might be obsessed.
Dynamic Waterworks (Personal Reality) 100:
This is a strange one, but say you have an infinite source of some liquid and you want it pumped from wherever you source it through your Personal Reality, this Pipes Pipes Pipes Upgrade is for you. The plumbing hookups for your Reality now support up to six additional inputs from sources you must personally supply, and run those feeds through your Reality. If you have Central Control, they can even be mixed in precise ratios at each distribution point. So, say you had an infinite supply of cocoa and an infinite supply of peppermint schnapps… you could set the system to dispense cocoa from all the brown faucets, peppermint schnapps from all the red &amp; white faucets, and spiked hot chocolate toddies from the brown &amp; red faucets… and could even tell it to make the mix in your office stronger than the mix in the staff break-room. While this can be combined with Water World to a degree, that degree is only to use the hose network to dispense a reasonably vast quantity of ‘unlimited liquid x’... say enough chocolate to make a small river… not to flood the planet… unless your source for that unlimited liquid specifies ‘absolutely unlimited’... generally speaking, if it’s for personal or even industrial use… it’s not good enough. Global usage at the very limit required for full Water World Integration. An additional 6 hook-ups costs -50 WP.</t>
  </si>
  <si>
    <t>Portal
Portal Link
Additional Portal
Portal Control Rod
Free Portal
Portal Apeture</t>
  </si>
  <si>
    <t>Chapter 123: 88 Perspectives
Portal (Personal Reality) 300:
This optional extra removes the need for use of Access Key, instead allowing you to open a rectangular or circular portal that leads into your Personal Reality on any flat surface big enough to encompass the portal. You can open the portal on any surface you are in contact with or that your vehicle is in contact with… or that your vehicle will be in contact with in less than 5 seconds and within 100 meters if you don’t open the portal. The portal can be any size between 8 square meters and 80 square meters. The portal opens to the same place in your Personal Reality as the Door does and you may still use your Access Key if you want to open a door larger or smaller than the limits of the Portal. Any Companion with a copy of the key may also open such a portal. These portals open at their lowest size instantly and expand at the to maximum size over 10 seconds. This portal cannot be closed while you are inside your Personal Reality. Portals will slowly close over a period of 3 minutes if you leave them open and move more than 10 meters from one without closing it yourself, as long as you are outside your Personal Reality. This closure effect can be disabled, but you can’t open a portal if another is open.
Free Portal (Personal Reality) 100:
This Portal Upgrade removes the limitation on a portal having to be opened on a flat surface… or on any surface at all. It also allows you to open the portals to any part of your Personal Reality simply by picturing where you want the portal to open. Without the Control Rod, the portals must be opened within 2 meters of you.</t>
  </si>
  <si>
    <t>Ability
Ability</t>
  </si>
  <si>
    <t>Realistic Ground Cover
Dig It</t>
  </si>
  <si>
    <t>Chapter 113: 82 Bargaining - Addendum Uppercrust
Realistic Ground Cover (Personal Reality) 100:
Sick and tired of linoleum or concrete? This is the one for you. Now your Personal Reality floor can be turned into any naturally occurring terrain type, in sections, or roads and paths of your design. Any dirt or dust that would be created by this is magically taken care of… unless you don’t want it to be.
Dig it (Personal Reality) 100:
You now have 40 meters of foundation material under your RGC. Why? Gardening? Graves? Whatever. It’s just rocks and dirt down there, but all buildings you buy in this supplement have perfectly decent foundations installed under them. If you bought the Underside, all that space is diggable too. You might even find some weird or cool stuff buried. Nothing amazing, but you’ll be amused.</t>
  </si>
  <si>
    <t>Reality Extruder</t>
  </si>
  <si>
    <t>Chapter 179: 114 Manic Recovery
Reality Extruder (Personal Reality) 100:
This allows you to manifest anything attached to your Personal Reality into the Host Reality, but doing so creates a physical link between the two realities that doesn’t require an Access Key to open. It could be a door in the back of a wardrobe, or a locked service closet, but if it’s opened, others will be able to come inside. This does not bypass any defenses you might set up, but anyone who enters via one of these links will be treated as baseline authorized by your forcefield unless clearly hostile. Anything extruded will be treated as native to the host reality even if it clearly couldn’t be (see lamp-posts in Narnia). Yes, this means you can have the entrance to your PR look like a Phone Booth if you have a phone booth in your Warehouse. Comes with a free phone booth. Extruder only works to the current Host Reality and you cannot connect to previous Host Realities through an Extrusion.</t>
  </si>
  <si>
    <t>Recyclotron
Fabricator</t>
  </si>
  <si>
    <t>Security System
Detainment
Security Personnel
Automated Weapons Security System
Force Wall
Partition Plan</t>
  </si>
  <si>
    <t>Chapter 101: 74 Hard Talk
Security System (Personal Reality) Free:
Anybody coming in and out of your Personal Reality is now checked for any authorization you've given them to access it; and should anything about said authorization (or a lack of it) raise any flags in the system, then you will receive a warning about it. This allows you to define just what sorts of authorization different individuals can have to access your Personality Reality, anything from No Access through Temporary Access and Limited Access to Unlimited Access is possible. All this does is notify you. It does not stop them on its own. A Keyholder’s Access cannot be limited by the Security System. Only hand out Keys to those you trust implicitly
Detainment (Personal Reality) 300:
This Security System Upgrade ensures that anybody without correct access authorization who attempts to break into your warehouse automatically gets detained in temporary cells, which are accessed through temporary doors in your Entrance Hall. The cells are not fiat-backed to hold everyone. If you’d have to exert yourself to fight someone, then the cells aren’t going to hold them for long, at least without any upgrades. Detainment will attempt to work on anything that manifests anywhere in your warehouse without proper clearance… as well as anything that had proper clearance and is now clearly a threat. A Keyholder cannot be detained.
Force Wall (Personal Reality) 200:
This adds a force-field to the entrances and exits to your Personal Reality. Nothing unauthorized can pass through these force-fields. The field is fully permeable to anything authorized. A Keyholder’s Access cannot be blocked by these fields. Be aware, some enemies might conceivably be able to enter your Personal Reality without technically ‘passing through’ these force-fields. I don’t know, but don’t assume the Force Wall is utterly infallible. It is also potentially possible that you or your companions might bring something seemingly harmless into your Reality that turns out to be some kind of threat.</t>
  </si>
  <si>
    <t>Shooting Range</t>
  </si>
  <si>
    <t>Chapter 98: 71 Good Faith - Preamble PHO
Shooting Range (Personal Reality) 50:
This adds a high tech shooting range to your Personal Reality so that you and your companions can to practice your marksmanship in a safe environment. The Shooting Range comes with a fully functional but harmless copy of any weapon you’re familiar with. They have the exact same weight, balance, and accuracy. These duplicates are colored like nerf weapons so you don’t get them confused if you accidentally take them out of the Range. If you also have the Underside or Arena, you automatically get a self-reconfiguring laser-tag arena. If you have both you automatically get an urban combat training course, and if you have the Woods, you get an outdoor shooting range / wilderness combat training ground. If you have Weather Control, you can change the terrain and climate inside this zone. Said zones’ size depends on how much space you have. If you’re running with only Starting Size, your Laser-Tag Arenas are going to be 40 m on a side and 2 stories tall. Every size expansion applies to the arenas as well, doubling the height and multiplying the footprint by x100 (400 m x 400 m x 4 stories, 4 km x 4 km x 8 stories, 40 km x 40 km by 16 stories, and so on.)</t>
  </si>
  <si>
    <t>Sky Simulator
Fly a Kite</t>
  </si>
  <si>
    <t>Chapter 99: 72 Cakewalk
Sky Simulator (Personal Reality) 100:
This replaces your boring drab ceiling with a completely realistic sky simulation… or a non-realistic sky simulation if you prefer the universe to look like something out a Bosch painting. Since this means you won’t have a ceiling to attach anything to, all your lighting options now come with Street Lamps. Note that this does not add any height to your Personal Reality.
Fly a Kite (Personal Reality) 100:
While this doesn’t add any usable height to your Personal Reality, it means that all the sky space is free for use for flying kites or hot air ballooning</t>
  </si>
  <si>
    <t>Shelving
Storage Solutions</t>
  </si>
  <si>
    <t>Chapter 81: 62 Summit Consensus
Shelving (Personal Reality) Free:
Basic metal shelves to keep your goods on, the kind you find in industrial big box stores, sized for pallets and numbered for sorting. You’ll get up to as many as will suit your initial space allotment, but if you don’t take all of them, you’ll need to buy more on your own… they sell them at most business supply warehouses, ironically enough.
Storage Solutions (Personal Reality) 200:
Your Personal Reality now has a specialized set of construction automatons which can produce the appropriate storage option for anything you know how to safely contain. These golems could make protective cases for your collectables, display cases for your pet universe, or just endless crates to stuff the preserved heads of everyone who has ever crossed you. All such storage items are fiat-backed never to weaken or wear out and can easily integrate any form of security you might have. All will be clearly labeled.</t>
  </si>
  <si>
    <t>Temporal Controls
Stasis
Sectional Time
Eternalizer Level 1
Eternalizer Level 2</t>
  </si>
  <si>
    <t>Chapter 145: 99 Main Event - Preamble Hemorrhagia
Temporal Controls (Personal Reality) 200:
This Personal Reality Option gives you control over how fast time flows in your Personal Reality while you’re not there. The default is 1:1, but with this you can dial it anywhere from 1:10 to 10:1. Remember, this doesn’t work when you’re in the warehouse.</t>
  </si>
  <si>
    <t>The Big Pool
The Bigger Pool
Let's Have Fun</t>
  </si>
  <si>
    <t>The Pond
The Meaning of Life</t>
  </si>
  <si>
    <t>Chapter 91: 67 Development Plans
The Pond (Personal Reality) 200:
One of the four walls of your Personal Reality has been replaced with a water feature. This is essentially a pond, but you can give it tides and or waves, make it fresh or salt, and give it a beach if you like. If you buy the Garage option, it comes with a Marina for your boats and a second entry zone so you can drive your boats out into the host reality. For -50WP each, can be expanded to additional walls.
The Meaning of Life (Personal Reality) 100:
This The Pond Upgrade adds in fish and shellfish and pondweed/seaweed to your pond. Also the occasional duck or swan or other waterfowl. Maybe some frogs or lizards or small reptilians, but nothing dangerous… unless you bought a specific limitation.
The Pond-Expansion (Personal Reality) 50:
For -50WP each, can be expanded to additional walls.</t>
  </si>
  <si>
    <t>Treeline
Wildlife</t>
  </si>
  <si>
    <t>Chapter 130: 93 Loom and Thread
Treeline (Personal Reality) 200:
Walls getting you down? Well, you’re in luck. Not only does this replace your walls with trees, there’s actually a bit of a forest out there. Not useable for storage, but you can walk through the woods or cut down trees at the edge of the line for lumber or firewood. Any trees cut down regrow overnight and the stumps can never be cleared. You can walk as far into the woods as you like, but you’ll eventually come out on the other side of your Personal Reality. The trees are a mix of common trees from Earth and you can customize them to your liking with sliders to control how many pines, oaks, poplars, palms, apple trees, etc. The trees will naturally cycle through a year over the course of a year.
Wildlife (Personal Reality) 100:
This Treeline upgrade adds in small forest creatures like rabbits, squirrels, wolves, and bears. Ferrets too, but they’re not actually wild-animals… except the black-foot ferret, which is. Oh, yeah. birds too, I guess. And bugs… but only mostly harmless ones. Bees yes, Wasps no.
The Village (Personal Reality) Free with Sky and Ground plus Trees or Pond on all four sides:
Your Personal Reality now looks like a town in the middle of the woods, or in a mountain valley, or on a cliffside or seaside / lakeside. Not only that, but you can divide up sections of Warehouse by placing paths or bits of forest or water between them. This includes all Personal Reality expansions you buy, so if you want your Olympian Temple on an island off the coast of your village, that’s fine. The dividing space can be up to 100x the total footprint of your Personal Reality space, but dividing zones and paths can’t be used to store stuff… it’s purely aesthetic</t>
  </si>
  <si>
    <t>Trophy Room</t>
  </si>
  <si>
    <t>Chapter 98: 71 Good Faith - Preamble PHO
Trophy Room (Personal Reality) 50:
A spacious chamber set up for you to aesthetically showcase the various trophies and rewards you will gather on your chain. It keeps them safe and from causing harm or from decaying.</t>
  </si>
  <si>
    <t>Wellness Center
Bath and Body Works</t>
  </si>
  <si>
    <t>Who's Got the Powa
POWER OVERHELMING
Tashi Station</t>
  </si>
  <si>
    <t>Chapter 104: 75 Wind Down
Who’s Got the Powa (Personal Reality) 100:
This provides enough electricity to power a city the size of New York City or London, forever, with nary a brown out or power fluctuation ever. It also comes with all the basic wiring hookups, surge protectors, outlets, circuit-breakers, routers, etc you might need… but you’ll probably want to get a qualified electrician in at some point… or pick up a companion who does that kind of thing. Purchase of this supplies all facilities inside your Personal Reality with electrical hookups.
POWER OVERWHELMING (Personal Reality) 400:
Not enough power? Okay, this Who’s Got the Powa Upgrade means that your Personal Reality is now hooked up to the full power of a Sol-Class Star encased in a Dyson Sphere. Congratulations, you’re now a Kardashev II civilization. If this isn’t enough power, you need an intervention.</t>
  </si>
  <si>
    <t>Windows
Windows of Nostalgia</t>
  </si>
  <si>
    <t>Chapter 97: 70 Media Presence
Windows (Personal Reality) 50:
Rooms in your Personal Reality receive windows which look out onto some scenery of the current Jump. The view can be customized per room, but can’t be used for spying purposes or to view private moments.</t>
  </si>
  <si>
    <t>Chapter 01: 1 Introduction
Workshop: Metalworking (Personal Reality) 100:
Each purchase of this adds to your Personal Reality Workshop needed to perform specific type of craft, which is to be specified when purchase is made. It comes with a basic set of tools and supplies. Good for fixing or creating all sorts of things, although any complex parts or nonstandard supplies will have to be brought in from outside. Additional purchases can add different types of Workshops to your Personal Reality or expand existing ones. Anything built in one of those workshops is fiat backed to be restored to its original condition within 48 hours if damaged or destroyed. Repeatable
Chapter 48: 41 Drag Out - Preamble Chen
Workshop: Woodworking (Personal Reality) 100:
Each purchase of this adds to your Personal Reality Workshop needed to perform specific type of craft, which is to be specified when purchase is made. It comes with a basic set of tools and supplies. Good for fixing or creating all sorts of things, although any complex parts or nonstandard supplies will have to be brought in from outside. Additional purchases can add different types of Workshops to your Personal Reality or expand existing ones. Anything built in one of those workshops is fiat backed to be restored to its original condition within 48 hours if damaged or destroyed. Repeatable
Chapter 67: 52 Showtime
Workshop: Clothing (Personal Reality) 100:
Each purchase of this adds to your Personal Reality Workshop needed to perform specific type of craft, which is to be specified when purchase is made. It comes with a basic set of tools and supplies. Good for fixing or creating all sorts of things, although any complex parts or nonstandard supplies will have to be brought in from outside. Additional purchases can add different types of Workshops to your Personal Reality or expand existing ones. Anything built in one of those workshops is fiat backed to be restored to its original condition within 48 hours if damaged or destroyed. Repeatable
Chapter 85: 65 Summit Aftermath
Workshop: Electronics  (Personal Reality) 100:
Each purchase of this adds to your Personal Reality Workshop needed to perform specific type of craft, which is to be specified when purchase is made. It comes with a basic set of tools and supplies. Good for fixing or creating all sorts of things, although any complex parts or nonstandard supplies will have to be brought in from outside. Additional purchases can add different types of Workshops to your Personal Reality or expand existing ones. Anything built in one of those workshops is fiat backed to be restored to its original condition within 48 hours if damaged or destroyed. Repeatable
Chapter 109: 78 Consolidation
Workshop: Robotics (Personal Reality) 100:
Each purchase of this adds to your Personal Reality Workshop needed to perform specific type of craft, which is to be specified when purchase is made. It comes with a basic set of tools and supplies. Good for fixing or creating all sorts of things, although any complex parts or nonstandard supplies will have to be brought in from outside. Additional purchases can add different types of Workshops to your Personal Reality or expand existing ones. Anything built in one of those workshops is fiat backed to be restored to its original condition within 48 hours if damaged or destroyed.</t>
  </si>
  <si>
    <t>Facility
Facility
Facility
Facility
Facility</t>
  </si>
  <si>
    <t>Armsfusion Crafter</t>
  </si>
  <si>
    <t>Aion</t>
  </si>
  <si>
    <t>Clothing Skinner</t>
  </si>
  <si>
    <t>Incredibly Craftsmanship</t>
  </si>
  <si>
    <t>Chapter 104: 75 Wind Down
Incredibly Craftsmanship (Akame ga Kill) 600:
While the method of creating Teigu is long lost you are able to create things almost at their level, with some research and a couple other skilled people you might even be able to recreate the lost arts that created the Teigu long ago. You also have all the skills to repair Teigu or other incredible items from near destruction.
General Level Potential (Akame ga Kill) Free:
You start with the potential to reach a level of physical and spiritual ability needed to become one of the generals of the empire. You also start out with a level of ability that many Captains would envy, and skill with one weapon type in particular. While this alone does not grant you the potential on par with the most powerful people in this world, it does bring you close enough that they can't instantly kill you
Perfect Hair (Akame ga Kill) Free:
Your hair is perfect, no matter how long, no matter what conditions, explosions constantly around you and getting beaten into the deck of a boat by water can do nothing to your perfect hair. It's never an impediment, nor will it every be damaged in a battle, even if someone shoots and hits your hair, there will be no evidence that your hair was shot. If your hairdo gets dramatically altered, it will only make you look better and take a comb and a moment to restore it.
Imperial Arms/Teigu (Akame ga Kill) Free:
You get one free and you may determine who it would be compatible with(besides yourself), or what qualities would make one compatible with it. First though you have to select a Teigu Type. The type of Teigu you chose will also govern what discounts you have in this section. You may also freely import an item of that type to apply the abilities of your Teigu to it(unless your Teigu is an Organism, or Extract type). Teigu options may be combine how you wish, unless noted. Discounts do not stack.
Object: as an object your Teigu is a relatively mundane thing on it's own, and instead grants it's power to the user. It could be a ring, a flute, a pair of gloves or even something like a makeup kit, but it can't be a practical weapon or armor. However this type of Teigu excels at special abilities, making them easier to utilize rapidly or continuously. If you import an item for this, the item may actually be of any type weapon or armor included, however it will not gain any new physical abilities(though it will be increased in durability if lacking).
Flight, Discount Object: Your Teigu holds the power of Flight, while you may be able to approximate this with other options, buying it this way will almost certainly be superior, due to it being far more natural and easier to use.
Awareness, Discount Object: Your Teigu gives you an awareness of it, this counts for things produced directly by your Teigu, and it's physical components. Such that you may know if something interacts with your Teigu directly even if that happens quite a distance from you, or that you will know the location and movement of any projectiles you produce. Not that this effect is that great without something else to enhance it, but it's enough to be aware of your traps. (Integrated into Lantern Shield)
Simple Sturdy Weapon (Akame ga Kill) Free:
This is a simple weapon that could withstand combat against Teigu, it's nowhere near as durable, but it isn't likely to break unless faced with active effects of a Teigu. This weapon can be of any type you like, from guns to swords, whips to spears, gun-clubs or rifle-glaive, it could even be a pair of swords or similarly paired weapon. If you pick a gun, bow, or other projectile weapon you get a sizable amount of ammo to go with it, certain to last you a while before you need to get more. (Short Sword Chosen)</t>
  </si>
  <si>
    <t>System
Personal
Personal
Item
Item</t>
  </si>
  <si>
    <t>Aesthetics</t>
  </si>
  <si>
    <t>Anno 2070</t>
  </si>
  <si>
    <t>Aesthetics and Flair</t>
  </si>
  <si>
    <t>Chapter 45: 38 Build Up - Preamble Leet - Addendum Rey
Aesthetics and Flair (Bayonetta) 100:
A gun isn't quite a gun until it LOOKS good, you know? It's supposed to be classy, make you look amazing just for having it. Likewise, that sword could use a bit of badass styling to it. When you create your weapons, you can make them look DAMNED good even on an off day. Expect any weapon creator to envy you, and those who die by your weapons to count themselves lucky as they perish to such beautiful art.
Inexplicable Innuendo (Bayonetta) Free:
You're not sure how, but just by being here you've gotten the jive of things. Any time you want to come off as sexy or just talk in a lightheartedly dirty manner, it's easy as pie for you. Want to make some people squirm with an implication? Done. You can even implement this in your battle quips, throwing them off their game for that moment of distraction you need.
Classy Contortionist (Bayonetta) Free:
Um... this is something. You've got an innate sense of posing that you can utilize, whether it be to show off your sexiness or simply throw people off their game. It's got all kinds of applications, and no matter what you're always going to look good. Throw it into your battle styles or something.</t>
  </si>
  <si>
    <t>Quality
Ability
Ability</t>
  </si>
  <si>
    <t>Mechanical Master</t>
  </si>
  <si>
    <t>Chapter 73: 57 Crunch Time
Mechanical Master (Borderlands) 400:
You are a master armsmith and roboticist. You can build and maintain standard weapons and shields with ease, and if you put some effort into understanding it you could probably make E-Tech your bitch. Further, you can make temporary Digistruct items, though they tend to explode after brief use. If you find the right components, you might even be able to modify good stuff into truly unique weapons; some might call them Legendary. Though for some reason they always look kind of pearly.
ECHO device with HUD and a melee weapon (Borderlands) Free:
ECHO Recorders are portable audio recording devices with a number of visible controls on the unit. They appear to have a gain potentiometer, a one band/octave real-time analyser, and an adjustable microphone. Several other buttons presumably provide the basic functions of playing and recording audio data.
Ammunition Vending Machine (Borderlands) Free:
You do get one bonus reward for surviving this hellhole; an ammunition vending machine mysteriously appears in your Warehouse (perhaps Marcus is trying to franchise to other universes?). You can buy ammunition for any of your Borderlands weaponry there, but it only accepts dollars, so not every world will have money you can use. You can try counterfeit dollars if you wish, but the machine probably won't accept them, and it's totally willing to shoot you for trying to cheat it.</t>
  </si>
  <si>
    <t>Chapter 26: 21 Closing Moves
Tailor Made (Career Model) 100:
You are a brilliant designer, and can ensure objects you create are always looking fantastic, aesthetically pleasing and the like. Making something look good no longer takes any time or effort you can focus entirely on function, and whatever you make will look outstanding.</t>
  </si>
  <si>
    <t>Lathe of Heaven</t>
  </si>
  <si>
    <t>Chapter 39: 33 Morning Training - Preamble James - Addendum Youth Guard
Lathe of Heaven (Chrono Trigger) 400:
We're always going to need weapons, so the way I see it, you might as well get good at making them. Now? You'll be able to give old man Melchior a run for his money. Swords, guns, armor, even sunglasses - if it's worn or wielded, you can make it a masterpiece. You'll also learn how to make use of any material, bringing out its best qualities and minimizing its weaknesses. You could make bone sharper than steel, gold sturdier than titanium, and take a legendary material nobody's ever seen before, and figure out how to forge it, what to alloy it with, and how to craft that alloy into an impossibly sharp sword or some amazing shades.</t>
  </si>
  <si>
    <t>Fixer Upper</t>
  </si>
  <si>
    <t>Soulcraft
Sage</t>
  </si>
  <si>
    <t>Demons' Souls</t>
  </si>
  <si>
    <t>Pure Art</t>
  </si>
  <si>
    <t>Destiny</t>
  </si>
  <si>
    <t>Do One Thing At A Time</t>
  </si>
  <si>
    <t>Chapter 32: 26 Correspondence - Addendum Rory
Do One Thing At A Time (Dinotopia) 300:
When you focus yourself on doing a single task, your skill and efficiency doubles. Material requirements are unaffected, but time taken is halved and quality is doubled.</t>
  </si>
  <si>
    <t>Mythril Coating</t>
  </si>
  <si>
    <t>Dissidia</t>
  </si>
  <si>
    <t>Decadence</t>
  </si>
  <si>
    <t>Chapter 09: 7 Accessory
Decadence (Dune) 100:
You have the skills to sacrifice neither form nor function when you design, create, or arrange things, which is especially important in a society whose upper crust values opulence the way this society does -- after all, the Emperor's throne is carved out of a single massive gemstone. Whether it's interior decorating, crafting a knife or sword, building furniture or a vehicle... you can make it appeal perfectly to the most crass or the upper crust. You can also figure out the optimal decor for any purpose or environment, which includes the best places to hide discreet surveillance devices.</t>
  </si>
  <si>
    <t>Form and Function</t>
  </si>
  <si>
    <t>Innovator</t>
  </si>
  <si>
    <t>Beauty in the Arts</t>
  </si>
  <si>
    <t>Chapter 20: 16 Therapy
Beauty in the Arts (God of War) 200:
The Greeks and their gods have an eye for the aesthetics of their surroundings. Whether it is the statues around them, or the floors they walk upon, or the things they carry and wield, it is better if it is appealing. Your ability to design any of your crafts has increased with this knowledge, able to appeal to form without sacrificing function. Regardless of what you create, it's going to look good enough that the gods might take notice... might. Whether this is a good thing or a bad thing is for you to decide.</t>
  </si>
  <si>
    <t>Daedalus' Student
Titan's Blood</t>
  </si>
  <si>
    <t>Chapter 73: 57 Crunch Time
Daedalus' Student (God of War) 600:
It is one thing to work on forging mere sword and shield, but it is another to create truly marvelous wonders... for a mortal. You could make marvelous wings out of bird feathers and beeswax, capable of granting flight to anyone. Or maybe you wish to create an everchanging Labyrinth, that shifts and alters itself depending on how it moves. Regardless, your architect and forging skills have taken a dramatic increase, to the point where the things you create just may have properties and quality they normally shouldn't have, albeit directed towards the purpose of your creations. Through your works, your will be known... but take care that the gods do not take offense with your work.
Scowl of Sparta (God of War) Free:
There are times where you are angry, or disappointed. Like, INCREDIBLY angry or disappointed. However, in these times your face may be expressing maximum dissatisfaction but you must scowl HARDER. That's why you can have this, on me. When your face does not match the depth of the emotion you are showing, people can get a really good idea of how far you really feel just by looking at you. As a bonus, this will work for you regardless of what form you may be taking at the moment. DISAPPOINTED
Attire (God of War) Free:
When in Rome! ...wait, wrong place. Ah well, the phrase still holds. You'll be able to have a a set of Greek or Spartan outfits so that you can blend in more efficiently. It doesn't have any extraordinary properties, but it does at least help you look the part. Assuming you're human in appearance... but hey! If you're a monster, you're going to be the most trendy monster out there!
Chapter 125: 89 Divine Mechanics
Titan's Blood (God of War) 500:
What a curious thing you are, to have become such a thing. One of your ancestors was a Titan, a primordial being of great power and ability that was responsible with shaping the world as it is. You are not full-blooded, but the effects have been prevalent on you nonetheless; your size may be increased up to fifteen meters in height, with your strength as such that you could throw pieces of buildings one-handed at your enemies. You may also choose one Titan you are a descendent from, gaining aesthetic appearance changes similar to them. But more importantly, you may relax yourself and 'commune' with the world and nature around you; by opening your mind to the world you can learn about it and its secrets quite quickly, along with finding what is the largest threat to the balance of nature. You are of the planet, child. It is your birthright to know these things.
‘Titan’s Blood’ only gives physical boons and an impressive aesthetic relating to your Titan ancestor. You do not get minor powers from your parent, such as Cronos and his time powers.
Titan's Blood also grants access to the following boosts for capstones you've purchased:
'Daedalus' Student': Your crafting has undergone a dramatic improvement, to the point where you can make incredible works with the strength of an army within them. You have also gleamed into a new type of crafting, and you can forge energy constructs such as Zeus' Lightning to be used in your wishes.</t>
  </si>
  <si>
    <t>System
Personal
Item
Personal</t>
  </si>
  <si>
    <t>We Need Reserves
Special Attention</t>
  </si>
  <si>
    <t>Material Synthesis Science
Exotic Compatibility</t>
  </si>
  <si>
    <t>Chapter 47: 40 Knock Down - Preamble Gully - Addendum Emergency Alert
Exotic Compatibility (Gundam: After Colony) 400:
You have a way of working with quirky and strange materials-in your hands and machinery, it assumes the forging and abilities of plain Iron until you begin building with it. You also can integrate exotic materials into your constructions a lot easier, and if you don’t know what a material is or what it can do, you’re very good at researching applications and properties of said materials. This research could also go into things such as improving production numbers and similar.
Leo (Gundam: After Colony) Free:
This is an adorable, lovable little scrapper we call the Leo, and it’s actually fairly decent for a Mook- it’s got armor enough to survive a few shots from its own gun, it’s able to be modified with little trouble (adding a space-movement backpack or shoulder cannons) and it doesn’t have restricted hands. Still, it’s just a Mook, but can you resist the needy stare of this cutie?
Chapter 55: 43.1 Interlude Fleet
Material Synthesis Science (Gundam: After Colony) 200:
You know a few things about getting your own materials, but you also have a bit of know-how about how the people here get such quality materials. Normally, you know how to forge, quench and mold materials into more high quality specimens, but you have a specialization in Zero-Gravity Material Synthesis as well-in microgravity conditions, you can create much more effective materials thanks to the limitations of gravity being removed.</t>
  </si>
  <si>
    <t>Ability
Vehicle
System</t>
  </si>
  <si>
    <t>Stylish Mechanic</t>
  </si>
  <si>
    <t>Chapter 13: 10 Overhaul
Stylish Mechanic (Gurren Lagann) 100:
In addition to knowing how to repair and create mechanical devices you also have quite a knack at making anything you work on look good. Any time you fix something it'll end up clean and pleasant to look at, and you can easily come up with humorous or awe-inspiring designs for vehicles and devices.</t>
  </si>
  <si>
    <t>Secret of Steel</t>
  </si>
  <si>
    <t>Chapter 48: 41 Drag Out - Preamble Chen
Secret of Steel (History's Strongest Disciple: Kenichi) 400:
An illustrated guide created by the greatest master of weapons the world has ever known. It keenly details the techniques, methods and set­up required to create weapons using traditional Japanese techniques. This text goes beyond that however, and if the directions are followed perfectly it can be used to forge weapons, armor, and tools that are far better than anything that could possibly be made even with the most advanced metallurgic technology. Objects created—while still composed of steel—will be significantly stronger than steel and can withstand blows from a Martial Arts Master. Blades made using these techniques will be preternaturally sharp, able to cut through stone, steel and perhaps even more with proper strength and training. Such bladed weapons will almost never lose their edge and require virtually no maintenance. Armor made using these techniques is nearly indestructible and will never rust or corrode. Normal tools will work with such efficiency that even primitive tools can accomplish feats of scale equivalent to highly advanced modern technology. For example, a scythe made with these techniques could harvest an entire field in the same amount of time as a combine harvester or a simple hoe could do the work of a tractor­towed plough.
Katsujinken (History's Strongest Disciple: Kenichi) Free:
Those who follow the path of “Katsujinken” or “life giving fist” hold that the true purpose of martial arts is to protect those who cannot protect themselves and improve the lives of those around them. People who follow this viewpoint view the death of their opponent as tantamount to defeat and shun those who purposefully kill. By embarking on this path, you develop a kind and calm demeanor, capable of setting just about anyone at ease. So long as you hold to this philosophy, you will be able to have a brief but significant dialogue with your opponent before any act of open combat.
Sei Ki (History's Strongest Disciple: Kenichi) Free:
Ki is the life force, energy or breath that flows through all living things. Martial artists harness their Ki to perform amazing feats of strength and abilities, with master's able to channel their Ki into effects that are truly superhuman.
Those who utilize Sei Ki seek to focus their Ki inwards. In battle this results in an inner calm and centeredness that lends itself well to thoughtful action and awareness of surroundings. Those who have Sei Ki will be able to master techniques that do not rely on power or anger but on wits, talent and skill. Sei users will be more likely to come up with new inventive solutions in combat and will frequently have moments of insight that may turn an unwinnable battle in their favor.
Weapons (History's Strongest Disciple: Kenichi) Free:
Martial artists who embark on the path of weapons will seek to master a physical implement to augment their fighting style. These tend to be much more lethal than unarmed fighters, but are at a disadvantage when disarmed or caught without their weapon. Whenever you fight with a weapon corresponding to your martial art, you will find that you consistently deal more damage and are more accurate with your strikes than if you fought unarmed.
Martial Arts Ninjutsu (History's Strongest Disciple: Kenichi) Free:
All who enter this world know at the very least the basics of their chosen martial art as well as its various strengths and weaknesses. The more styles you choose to study, the longer it will take to incorporate them into a cohesive and usable whole. You may also choose any real­world martial art not listed here if you so desire. You will however remain a novice in your style unless you can somehow obtain a master or worthy sparring partner.
Ninjutsu­ A martial art believed to have once been practiced by the shinobi of Japan. This style is based primarily around precision, stealth and deception. Its users are particularly skilled at kneading their ki, allowing them to engage in maneuvers and techniques that to the untrained eye appear like magic. It is both an unarmed and armed martial art.
Master’s Body (History's Strongest Disciple: Kenichi) Free after 10 years:
You possess the body of a master. You are very near tireless, capable of fighting for days without sleep and only limited food. You never run out of breath, and will still be able to engage in vigorous physical activity even after extreme exercise. You now have access to a limitless logarithmic growth of your physical strength, durability, speed and agility.
“Sword” - Lantern Shield (History's Strongest Disciple: Kenichi) Free:
You receive a “sword”. Not necessarily a literal sword; rather a tool that you carry into battle and which you place your heart, soul and trust in.
If you selected weapon however, you receive your choice of melee weapon. It acts and functions as though it were created using the “Secret of Steel” making it more durable than most weapons formed using modern metallurgic techniques. As you grow in skill the weapon will as well, allowing you to hit slightly harder, swing slightly faster and strike with greater accuracy than you would with any other mundane weapon. By the time you have reached master status, you will be able to use this weapon with robotic precision, able to cut or break through a modern tank. Of course without this weapon you will be unable to do nearly half of those things, but that is the price paid when one embarks on the path of weapons. You may instead choose an existing weapon you have to receive this benefits, but it must be compatible with your martial art.</t>
  </si>
  <si>
    <t>System, Item
Ability, Personal
Skill
Skill
Skill
Personal
Item, Personal</t>
  </si>
  <si>
    <t>Technical Expertise</t>
  </si>
  <si>
    <t>Iji</t>
  </si>
  <si>
    <r>
      <rPr/>
      <t>Chapter 41: 35 Closing Words - Addendum Chris
Master Craftsman (King Arthur) 600:
Thanks to being taught by faeries anything you make by hand is a great deal better than anything regular human can make. Armor is nearly indestructible and lighter than it should be, blades are sharper, blunt weapons have more force behind them, bows and crossbows can shoot farther and are easier to pull back. Even mundane items like baskets work better, though you can't give items mystical powers without being a wizard or something.
This perk is being interpreted based</t>
    </r>
    <r>
      <rPr>
        <color rgb="FF000000"/>
      </rPr>
      <t xml:space="preserve"> on </t>
    </r>
    <r>
      <rPr>
        <color rgb="FF56A3F1"/>
        <u/>
      </rPr>
      <t>https://drive.google.com/file/d/15njr4mTk5dNkgHOZzG9NPWjODTuAoIhC/view?usp=sharing</t>
    </r>
    <r>
      <rPr/>
      <t xml:space="preserve"> which is a different jumpdoc than the one which contains it.</t>
    </r>
  </si>
  <si>
    <t>Chosen of Death</t>
  </si>
  <si>
    <t>Chapter 152: 102 Progress
Chosen of Death (Lord of Light) 600:
Great Yama, Death-god, has seen you clearly and bade you enter the Vasty Hall of Death, to serve as his partner in creation. Not merely revealing his secrets of science - you are his equal in the arts. Your creativity is that which may forge ten unique treasures each day, or mass produce legends. Design of all forms of weapons, armours, vehicles, and utilities comes to you with blinding light and strength of inspiration. With this position comes the virtual guarantee of rebirth in your next life, as a Demigod of the forge. You also gain a Discount on all artefacts and equipment.
Demigod (Lord of Light) Free:
Blessed child. Your righteousness and piety have become the seed of Divinity in you. From your old form you have become young, vital. The body of a God is yours, handsome, strong, fast and with the correct mudras and psycho-conditioning, you have begun to align yourself with an Attribute and develop your godly Aspect. You are very much at the bottom rung of Heaven, but even Death Himself was once like you.
Divine Physique (Lord of Light) Free:
The body selected for your enjoyment has been carefully shaped beyond the apex of humanity. Strong, vital and beauteous - it is a form that one could live within for hundreds of years, though at any time you may approach the Masters of Karma for a replacement, should the flames of your divine lifestyle burn it out. Care has been made that it expresses the initial mutations and brain structures to develop Aspect and Attribute - though once they have been induced, they will carry with your soul through whatever form you take.
Attribute Induction (Lord of Light) Free:
The Attribute is the capacity to effect the world with your will in a single, highly iconic way. It is a mutant strength, carefully developed with millennia of experience by the scientists of Heaven. With your attribute you might encourage silicates to grow into splendid – and razor sharp – trees of crystal, or have the wind sour and sicken your foes. Food cooked by your hands might keep a thousand men fed with one loaf, or you may will the birds to sing sweet praises in your favour and fly against your foes.
Many Attributes are known best for their utility in war, but the days when mankind’s position on their world need be defended by flaming fists and opalescent eyes has passed, and Heaven cares as greatly for Attributes of craft and fragrance as those of iron and blood.
Demigods and Mortals have just begun to harness their virtues, they are like flickering embers – offering feeble warmth, but needing careful stoking. Their attributes are unstable and untested, often needing some tool to focus their energies. The former may rely on the assistance of their superiors in the Divine, the latter have only their own wills to push further.
Aspect Cultivation (Lord of Light) Free:
If an Attribute is the grasp of power, then the Aspect is a state of being. To wield reflections, and to become Reflection. To summon Strength and to become it. Greater and more subtle than any Attribute. Through genetic predisposition, hypnosis and chemical therapies, your passions come to correspond with those of the Universe.
Raising your Aspect is like removing a mask or standing straight, a mustering of yourself. It takes some energy to maintain, should you wish to be capable of being anything but an avatar, but it is the exertion of being rather than the struggle to become.
This is a power that requires your kindness. What is the nature of the gods who become Fire, undaunted and ferocious? Who become Death, unknowable, all-ending? Who become Divine Drunkenness, invincible in vitality and charisma? Those who look upon you in raised Aspect know, instantly and surely that you are divine, that you embody a facet of creation.
Any powers raised in harmony with your raised Aspect are magnified and exalted – they are more than just spells or mutation, they are in service of the very order of the universe. An arrow loosed by the Goddess of the Bow might strike a man’s heart from ten miles away, or pin his courage to the wall.
Should the God of Flowers walk in Aspect through a forest, will it blossom and lend him strength? Or does a single rose cut and displayed by his hand speak of days of sun and offer a simple strength to all who behold it?
Demigods, though they have begun along this path are but beginners – they summon weak and feeble Aspects to match their new and uncertain Attributes, and must still undergo a battery of training exercises and therapies to fortify their natures. Mortals who develop this faculty independently are in essence on the same level as Demigods – but lack the aid of Heaven in their development.
Once fully matured, forevermore you will be Water or Marble, the Lute or the Joust.
Wealth (Lord of Light) Free:
Not merely comfortable in your station, you are quite well arrayed with the finer things. Whether this is from your merchant holdings, your mostly symbolic but well rewarded stewardship of one of the important structures of Heaven, or just the bag of gold at your hip – you have enough capital to smooth over some eccentric purchases and a somewhat flamboyant lifestyle.
Opulent Warehouse (Lord of Light) Free:
Do the bare walls and drab concrete styling of your cosmic warehouse offend thine eyes? Did you wish for a shaded bower, gilded conservatory or tawdry bordello? While the total size and features will not be changed, the cosmetic structure and layout is yours to realign – as long as it is opulent. Change your bare metal shelving into a dozen cozy rooms, filled with leather-bound books and the smell of rich mahogany. Make your Portal appear edged with basalt and gold, and Forcefield into an invincible iron gate that parts only for you. Once set, you may change the appearance once per Jump.</t>
  </si>
  <si>
    <t>System
Personal
Personal
Ability
System
Item
Facility</t>
  </si>
  <si>
    <t>Ambrosial Artificer</t>
  </si>
  <si>
    <t>Chapter 35: 29 Presentation - Addendum Emily
Ambrosial Artificer (Macross) 400:
So many moving parts, so many pieces to the puzzle. It's so... needless. The other tech teams are complete morons. That's why you've learned how to figure out the optimization of your complex machines like Veritechs. What parts you don't need, you find a way to do away with. What parts you DO need, you can use the now-extra space to improve and bolster their performance. Some will call you mad. But the only madness that will come from your work is the rage of your enemies and rivals.</t>
  </si>
  <si>
    <t>Bling of War</t>
  </si>
  <si>
    <t>Chapter 02: 2 Preparation
Bling of War (Macross) 100:
It's one thing to have a weapon or vehicle of mass destruction, capable of rending an entire ground force or a squadron to shame. It's another to make it look so damn good your enemies would not dare get near it if they had a lick of sense. By purchasing this perk, you can design your equipment to look much more stylish and carry a 'theme' you prefer. This can range from the clothes you wear, to the weapons you wield, to even the vehicles you pilot into battle. It's all about style.</t>
  </si>
  <si>
    <t>Remodelling</t>
  </si>
  <si>
    <t>Medaka Box</t>
  </si>
  <si>
    <t>Minor Blessing
Unnatural Skill
Divine Child
Fate Finds You Interesting</t>
  </si>
  <si>
    <r>
      <rPr>
        <rFont val="Arial"/>
        <color theme="1"/>
      </rPr>
      <t xml:space="preserve">Chapter 23: 18 Regroup
Unnatural Skill: Smith (Percy Jackson) 200:
Whether from your heritage or just being that good you've got one particular mundane skill that your feats with border on supernatural. Whether you're a smith on the level of the Cyclopses, a near prescient tactician or a swordsman who is ny unstoppable with a blade your feats will be legendary. You are on a level within your skill such that only other beings of legend can hope to match you. This may be taken multiple times. You may not choose magic but you may choose a particular application of magic if you have it already (so curses, enchanting might work, more specific gets a bigger boost).
Chapter 37: 31 Consensus - Preamble PHO - Addendum Accord
Divine Child - Hephaestus (Percy Jackson) 400:
You are the direct child of a god of your associated pantheon and gain various benefits from this. You gain lesser manifestations of your parent's domains as well as generally being better than an ordinary mortal. You may take most any god as your parent but to take one of the heads of a pantheon as a parent you must take the "Fate finds you interesting" drawback receiving no points for it (you can also do this with a lesser god to get greater powers). Generally this will give you insight into and some control over your divine parent’s domains, a son of Poseidon for example can control water and ships, talk to horses, cause minor earthquakes and is empowered within water.
Old Traditions (Percy Jackson) Free:
You are knowledgeable in the ways of the ancient civilization corresponding to whatever mythology you're most connected with. You can read their languages, know the proper ways to honor the gods, and have a decent grasp of their mythology. Otherwise unassociated Drop-ins may choose any one ancient culture to know of. You may purchase this multiple times, each time gaining insight into a new culture.
Chapter 43: 36 Debrief - Addendum The Bay Bulletin
Fate Finds You Interesting (Percy Jackson) 300:
You must take the "Fate finds you interesting" drawback receiving no points for it (you can also do this with a lesser god to get greater powers).
(This boost the power of Divine Child)
Minor Blessing Athena - Craftsmanship (Percy Jackson) 100:
For one reason or another you've got a god who cares slightly about you and has seen fit to grant you some minor boon within their domains. Choose one god from any pantheon and gain a minor boon from them. The god will care slightly about you but unless you go on to further distinguish yourself it will be more of a minor interest in your affairs than someone they feel the need to help (Effectively think a diminished version of one ability a demigod might have, think minor ones are stuff along the lines of breathing water, lucid dreaming, or appropriate vague extra senses, useful but nothing especially major). This can be taken multiple times.
Chapter 52: 42 Incapacitated - Preamble Jeanne
Minor Blessing Hestia - Hearthfire (Percy Jackson) 100:
For one reason or another you've got a god who cares slightly about you and has seen fit to grant you some minor boon within their domains.
Unnatural Skill: Alchemy (Percy Jackson) 200:
Whether from your heritage or just being that good you've got one particular mundane skill that your feats with border on supernatural.
Chapter 63: 48 Uptime
Minor Blessing Artemis - Bowmanship (Percy Jackson) 100:
For one reason or another you've got a god who cares slightly about you and has seen fit to grant you some minor boon within their domains.
Unnatural Skill:Enchanting (Percy Jackson) 200:
Whether from your heritage or just being that good you've got one particular mundane skill that your feats with border on supernatural.
Chapter 65: 50 Meantime
Minor Blessing Hera - Administration (Percy Jackson) 100:
For one reason or another you've got a god who cares slightly about you and has seen fit to grant you some minor boon within their domains.
Unnatural Skill: Transmutation (Percy Jackson) 200:
Whether from your heritage or just being that good you've got one particular mundane skill that your feats with border on supernatural.
Chapter 69: 54 Overtime
Minor Blessing Aphrodite - Beauty (Percy Jackson) 100:
For one reason or another you've got a god who cares slightly about you and has seen fit to grant you some minor boon within their domains.
Unnatural Skill: Runes (Percy Jackson) 200:
Whether from your heritage or just being that good you've got one particular mundane skill that your feats with border on supernatural.
Note: Unlocks the Percy Jackson system of Runecraft: The Well of Urd
Chapter 78: 59 Summit Openings Addendum Uppercrust
Minor Blessing Hades - Ferrokinesis (Percy Jackson) 100:
For one reason or another you've got a god who cares slightly about you and has seen fit to grant you some minor boon within their domains.
Unnatural Skill: Music (Percy Jackson) 200:
Whether from your heritage or just being that good you've got one particular mundane skill that your feats with border on supernatural.
Chapter 120: 86 Pack Up
Minor Blessing Dionysus - Libations (Percy Jackson) 100:
For one reason or another you've got a god who cares slightly about you and has seen fit to grant you some minor boon within their domains.
Unnatural Skill: Firecraft (Percy Jackson) 200:
Whether from your heritage or just being that good you've got one particular mundane skill that your feats with border on supernatural.
Chapter 130: 93 Loom and Thread
Minor Blessing Ares – Armaments (Percy Jackson) 100:
For one reason or another you've got a god who cares slightly about you and has seen fit to grant you some minor boon within their domains.
Unnatural Skill: Ritual (Percy Jackson) 200:
Whether from your heritage or just being that good you've got one particular mundane skill that your feats with border on supernatural.
Chapter 138: 95 Interlude Gregor - Shawn
Minor Blessing Zeus – Lightning (Percy Jackson) 100:
For one reason or another you've got a god who cares slightly about you and has seen fit to grant you some minor boon within their domains.
Unnatural Skill: Curses (Percy Jackson) 200:
Whether from your heritage or just being that good you've got one particular mundane skill that your feats with border on supernatural.
Chapter 140: 96 Breakthrough
Minor Blessing Poseidon – Water (Percy Jackson) 100:
For one reason or another you've got a god who cares slightly about you and has seen fit to grant you some minor boon within their domains.
Unnatural Skill: Stoneworking (Percy Jackson) 200:
Whether from your heritage or just being that good you've got one particular mundane skill that your feats with border on supernatural.
Chapter 153: 103 Calls and Connections - Addendum Accord
Minor Blessing Demeter - Cultivation (Percy Jackson) 100:
For one reason or another you've got a god who cares slightly about you and has seen fit to grant you some minor boon within their domains.
Unnatural Skill: Naturecraft (Percy Jackson) 200:
Whether from your heritage or just being that good you've got one particular mundane skill that your feats with border on supernatural.
Chapter 158: 106 Unveiled Plans
Minor Blessing Apollo - Medicine (Percy Jackson) 100:
For one reason or another you've got a god who cares slightly about you and has seen fit to grant you some minor boon within their domains.
Unnatural Skill: Healing (Percy Jackson) 200:
Whether from your heritage or just being that good you've got one particular mundane skill that your feats with border on supernatural.
</t>
    </r>
    <r>
      <rPr>
        <rFont val="Arial"/>
        <color rgb="FF181A1B"/>
      </rPr>
      <t>Chapter 174: 112 Dispatch
Minor Blessing Hermes - Invention (Percy Jackson) 100:
For one reason or another you've got a god who cares slightly about you and has seen fit to grant you some minor boon within their domains.
Unnatural Skill: Weaving (Percy Jackson) 200:
Whether from your heritage or just being that good you've got one particular mundane skill that your feats with border on supernatural.</t>
    </r>
  </si>
  <si>
    <r>
      <rPr>
        <rFont val="Arial"/>
        <color theme="1"/>
      </rPr>
      <t xml:space="preserve">System
Personal, System
Skill
Personal
Skill
System
System
Skill
System
Skill
System
Personal, Skill
System
Skill
System
System
System
Skill
System
System
System
System
System
System
System
System
System
</t>
    </r>
    <r>
      <rPr>
        <rFont val="Arial"/>
        <color rgb="FF181A1B"/>
      </rPr>
      <t>System
System</t>
    </r>
  </si>
  <si>
    <t>Expert Smithing</t>
  </si>
  <si>
    <t>Accessory Machine</t>
  </si>
  <si>
    <t>Engineering Iteration</t>
  </si>
  <si>
    <t>Sunrider</t>
  </si>
  <si>
    <t>My Fashion Sense is Tingling</t>
  </si>
  <si>
    <t>Chapter 59: 46 Review
My Fashion Sense is Tingling (The World Ends With You) 50:
You have an impeccable sense of fashion. You can make an appealing outfit out of just about anything. In addition, you will always have an innate knowledge of what is fashionable in the area wherever you go, allowing you to remain on top of your game no matter where you are. In fact, you'll usually be a trendsetter.
Natural Puppy (The World Ends With You) 100:
Natural Puppy is a brand full of clean and simple clothing with soft colors and modest designs. Their clothing offers good resistances to status ailments and defensive bonuses. Works best for those with the Doormat flaw.
Natural Puppy offers a lot of ranged options for Players, and has the best Force Rounds pins available as well as the exclusive Entanglement psych.
Entanglement (The World Ends With You) Free:
Allows the user to create a chain between two designated points. Enemies hit by the chain (or who run into it) take damage and suffer Defense Break.
Player Pin (The World Ends With You) Free:
Everyone gets a Player Pin for free, which lets them scan the surface thoughts of people in the RG. Protects against thought-reading.</t>
  </si>
  <si>
    <t>Skill
Set
Ability
Item</t>
  </si>
  <si>
    <t>Craftsman of the Gods</t>
  </si>
  <si>
    <t>Chapter 113: 82 Bargaining - Addendum Uppercrust
Craftsman of the Gods (Viking Saga) 600:
Things you make yourself from base components gain properties far beyond what they should. Belts that increase strength several times over or a spear that never misses are well within your skill, and you will only get better.
Farming tool (Viking Saga) Free:
Hit ho’s with hos.</t>
  </si>
  <si>
    <t>Deity's Weapon
Weapon Synthesis</t>
  </si>
  <si>
    <t>Warrior's Orochi</t>
  </si>
  <si>
    <t>Transmogrification</t>
  </si>
  <si>
    <t>Resources and Durability</t>
  </si>
  <si>
    <t>Reuseable Resources
Artificial Alloys</t>
  </si>
  <si>
    <t>Built to Last</t>
  </si>
  <si>
    <t>Chapter 09: 7 Accessory
Built to Last (Assassin's Creed) 300:
Whatever you personally build, be it handheld or architectural, becomes nigh-impervious to weather, rust and time. If it gets lost or buried, you can 'feel' it out too!</t>
  </si>
  <si>
    <t>Salvager</t>
  </si>
  <si>
    <t>Chapter 63: 48 Uptime
Salvager (Babylon 5) 300:
When the ore runs out and the company tells the miners to leave, that's where you really shine. It's cheaper to leave gear to rot in an abandoned site than it is to get it into orbit, across the galaxy and set up again so there's always something good just waiting for a new owner. With this skill you are an expert at jury rigging tech, taking it apart, stripping out the usable parts and putting them into something else. With time and effort, you can puzzle out the workings of most technologies and how to integrate them into your own gear. Every day or industrial equipment might take a few moments, but bleeding edge gear will take years, even decades to understand.</t>
  </si>
  <si>
    <t>Element Analysis</t>
  </si>
  <si>
    <t>Chapter 23: 18 Regroup
Element Analysis (Bomberman 64: The Second Attack) 100:
With a little elbow grease, you can easily identify the elemental composition of ANY material and with the right resources, break it down to its base elements for further use.</t>
  </si>
  <si>
    <t>Mauler</t>
  </si>
  <si>
    <t>Chapter 46: 39 Set Up - Addendum Kenta
Mauler (Command and Conquer: Tiberium Wars) 400:
You have the skills of a junkyard hound, able to make even the most heavily damaged tech work again. Even machines too battle-damaged for recovery 20 years ago can be effective under your wrench. Repurposing tech and equipment is your forte; you can turn a pneumatic screwdriver into a reasonable cannon, and heaven help your enemies if you get anywhere near mining equipment, as a powerarmored mutant is quickly appearing in their future. There was even one time where you made a toaster into a reasonable facsimile of a flamethrower…..</t>
  </si>
  <si>
    <t>Robust Engineering</t>
  </si>
  <si>
    <t>Chapter 41: 35 Closing Words - Addendum Chris
Robust Engineering (Dune) 300:
Ten thousand years of stagnation in technology is a very long time... and now you know how to apply the lessons of those millennia to the construction of anything you have. Mass production does not exist any longer and even relatively common items are made as if masterwork quality, because aside from obvious cheap items, they have been built to last longer than the person using them. Expect anything you construct by hand to be able to last centuries, as long as you take a little extra time while you make it. With the amount of time you're going to be around... you may need that sort of quality.</t>
  </si>
  <si>
    <t>Crimson Weapons</t>
  </si>
  <si>
    <t>Etrian Odyssey</t>
  </si>
  <si>
    <t>Shipping the Product</t>
  </si>
  <si>
    <t>Chapter 60: 46.1 Interlude Weld
Shipping the Product (F.E.A.R.) 400:
Prototypes are one thing, but what about actually getting the damn thing distributed? An item or weapon doesn't help anyone if it's the only one of its kind. You will find your ability to create has increased dramatically in efficiency, letting you use the materials for three of the same items to actually make five while streamlining production lines rather quickly. As a bonus, logistics have increased enough where your shipped supplies are harder to intercept, keeping any allies you have fresh with resources!</t>
  </si>
  <si>
    <t>Scrapper</t>
  </si>
  <si>
    <t>Chapter 40: 34 Little Talks - Addendum Ethan
Scrapper (Fallout 4) 300:
You have the capability to dismantle and repurpose objects for your own creations; even ones that you might not fully understand. So long as it’s not hopelessly beyond your understanding, indestructible, or ridiculously big, you’re capable of taking most things and reducing them to their base components, salvaging any working parts with only a few days of work at the worst.
Starting Gear (Fallout 4) 0:
You get faction appropriate clothing (normal clothes for Drop Ins and Railroad, a uniform for BOS, lab coat for Institute, and a hodge-podge of leather and scrap metal for Raiders) and your choice of a 10mm pistol, brass knuckles, a security baton, a machete, or a laser pistol (regular or Institute), as well as 100 Caps</t>
  </si>
  <si>
    <t>Analysis
Item</t>
  </si>
  <si>
    <t>Cold Fires</t>
  </si>
  <si>
    <t>Composition Analysis</t>
  </si>
  <si>
    <t>Harmless Extraction
Extraction Efficiency
Rapid Growth</t>
  </si>
  <si>
    <t>Armsthrift</t>
  </si>
  <si>
    <t>Chapter 116: 83.1 Interlude Alec - Addendum Joe
Armsthrift (Fire Emblem: Awakening) 400:
Your weapons just don’t seem to break and you know how to care for them well. Even immensely fragile things are unlikely to break in your care. Guns won’t jam and swords never lose their edge.</t>
  </si>
  <si>
    <t>Lack of Materials</t>
  </si>
  <si>
    <t>Chapter 38: 32 Family Fugue - Preamble Taylor - Addendum Mike
Lack of Materials (God of War) 400:
Times are tough in this land. Forces beyond knowing, monsters that roam the lands, and gods who are as petty as they are powerful. With chaos such as this, there are times you may not be able to get everything of what you need. But you've learned to make do. You can get the most out of your materials, using two bars of metal where you might need four, or three hides when you needed six. Of course, if you DO have all the materials required you can use them to make your creations more effective in quality and capability as well. So maybe it doesn't hurt to put the extra mile in.</t>
  </si>
  <si>
    <t>Reliable Invention</t>
  </si>
  <si>
    <t>Chapter 29: 23 Renovation - Addendum Taylor
Reliable Invention (Kim Possible) 200:
Anything you construct is only broken when used improperly or purposefully targeted with attacks. The items you create do not malfunction and are completely resistant to damage caused by regular usage.</t>
  </si>
  <si>
    <t>Efficiency</t>
  </si>
  <si>
    <t>Chapter 59: 46 Review
Efficiency (Lego: Ninjango) 400:
Waste not, want not! Not with this, anyway – whether building machines or making quick moves in combat, you'll never unintentionally use more energy, materials, or flourish than you need to.</t>
  </si>
  <si>
    <t>Rationing</t>
  </si>
  <si>
    <t>Mad Max</t>
  </si>
  <si>
    <t>Chapter 10: 8 Aftermath
Rationing (Mad Max Gauntlet) 100:
When you don’t have much, it’s important to be careful with what you’ve got. You’re very good at saving supplies, ensuring that anything you find of use stays found and that it doesn’t get wasted by accident. You’ll get every last drop of fuel from a can, and never drop some plastic tubing just because you can’t think of a use at the moment.</t>
  </si>
  <si>
    <t>Scavenger</t>
  </si>
  <si>
    <t>Chapter 79: 60 Summit Discussions
Scavenger (Megaman Zero) 400:
You have a knack for integrating junk into your systems or gear and for using them to make field repairs. After all, self-repair systems only go so far. You're good at finding compatible parts and jerry-rigging them for the above purposes. That buster could replace the rifle in your arm, while that torso could be scavenged from to repair your own. Though these parts might not work fully if faulty, and you can't integrate parts too different from or incompatible with whatever you're integrating it into, this allows for free upgrades and repairs, as well as self-sufficiency. Perfect for long solo assignments or just survival. Waste not, want not.
Warning (Megaman Zero) Free:
This program gives your systems or sufficiently technologically advanced gear with displays the ability to display a warning before a fight with an exceptionally tough enemy by your standards. Said warning appears as a capitalized 'warning' in orange font accompanied with a three boop alarm sound. Though it may not be particularly helpful, it's certainly a neat thing to have. Can be turned on or off.
Robotic Armor (Megaman Zero) Free:
You become human again. If you were a robot, that is. Upgrades will be converted into their human equivalents, if not integrated into your armor. Previous powers will be restored to their original, organic equivalents. Your robotic armor can be materialized onto your skin or clothing at will. It will remain in your warehouse otherwise. On the bright side you're unaffected by incompatibilities robots have with magic and the like. Assume said incompatibilities do not exist unless mentioned to exist. Regain your humanity and embrace yourself as you are.</t>
  </si>
  <si>
    <t>Analysis
Ability
Item</t>
  </si>
  <si>
    <t>Waste Not</t>
  </si>
  <si>
    <t>Chapter 43: 36 Debrief - Addendum The Bay Bulletin
Waste Not (Monster Hunter) 300:
You have found out a great secret in the blacksmithing trade - the reason that most blacksmiths usually ask for so many materials to make a certain weapon or armor isn't because its material intensive, but because they can make one for half of the materials and either sell the rest or make another to sell at a profit. The bastards! You have figured out how to use less materials to gain the same results when it comes to crafting your own weapons and armor. At first it may just be an ore or two less, but with enough practice you acn reduce the amount of materials needed for a project by half (rounded down). As an added bonus, with enough practice, you have a 50% chance to not require high-grade or legendary materials (Rubied, Plates, etc) to make an item, provided you can supplement the build with excess materials.
Weapon &amp; Item Storage Chest (Monster Hunter) Free:
An absolte must whether you're an aspiring hunter or roving trader. You get two chests - the first one is capable of storing up to 1000 individual weapons, pieces of armor, and charm talismans, while the second is capable of storing up to 1000 stacks of 999 of any given healing item, monster part, ore, or item that isn't a weapon, armor piece, or talisman.</t>
  </si>
  <si>
    <t>Fiat
Item</t>
  </si>
  <si>
    <t>Repair Savvy</t>
  </si>
  <si>
    <t>Chapter 13: 10 Overhaul
Repair Savvy (Outlaw Star) 100:
Your skills in mechanics are top notch. Your weapons, armor, and personal equipment are all easy to repair, and maintenance of all of them takes mere minutes instead of hours.</t>
  </si>
  <si>
    <t>The Honed Edge</t>
  </si>
  <si>
    <t>Pocky &amp; Rocky</t>
  </si>
  <si>
    <t>Panzerkampf
Firestorm</t>
  </si>
  <si>
    <t>Chapter 68: 53 Hard Time
Panzerkampf (Sabaton) 300:
When it comes to building war machines, yours are top-notch! A gun made by your own hand will never jam, and a tank built by you will never bog down in mud or take damage from an IED. If they want to destroy what you've built, they'd best bring their A-game.
Chapter 154: 104 Loose Ends
Firestorm (Sabaton) 600:
When someone absolutely, positively needs artillery good enough to reduce the greatest castle to rubble, they come to you and accept no substitutes. You can throw a cannon together from scraps and it will still outperform the best mortars of the age. Moreover, in other worlds, if you can understand the weapon, you can produce something 1.1 times as strong with the items you would find in a rubbish heap, provided they're of equal size to the device they're replicating.</t>
  </si>
  <si>
    <t>Fiat
Fiat</t>
  </si>
  <si>
    <t>Acquester</t>
  </si>
  <si>
    <t>Squirrel and Hedgehog</t>
  </si>
  <si>
    <t>Scrapyard Skills</t>
  </si>
  <si>
    <t>Chapter 45: 38 Build Up - Preamble Leet - Addendum Rey
Scrapyard Skills (Swat Kats) 300:
Where others see junk, you see treasure just waiting to be utilized. You can make far more use out of scrap metal and tossed out electronics, repurposing them for many different tasks. That washer machine might have the parts needed to help spin an engine turbine, or that piston tube might be JUST the right size to refashion into a grappling hook launcher... it's all in how you use it and how you repurpose things.
Rockin' Music (Swat Kats) Free:
When you're going around or doing something awesome, you can choose to have a sick electric guitar riff or a few notes of heavy metal goodness playing as you work in all your glory! ...or villainy. Either way it's sure to sound amazing.</t>
  </si>
  <si>
    <t>Fiat
Ability</t>
  </si>
  <si>
    <t>Simple Scientific Solution</t>
  </si>
  <si>
    <t>Chapter 32: 26 Correspondence - Addendum Rory
Simple Scientific Solution (Tenchi Muyo) 100:
Science solves everything, even the little household problems. You can create supertech improvements to common tools and appliances, up to and including automobiles or similar works of engineering.
Create dishwashers that can clean dishes in an instant, self heating plumbing or forcefield windowpanes that act as air conditioners.
Well established methodologies and an instinctive grasp of same allow you to draw conclusions or produce results incredibly fast. You halve the time it takes to gather data, compose research on some subject, or devise a test to prove/disprove something handy for when you have to figure out an enemy fortresses’s one weakness.</t>
  </si>
  <si>
    <t>Gadgeteer</t>
  </si>
  <si>
    <t>Totally Spies</t>
  </si>
  <si>
    <t>Chapter 108: 77 Determination - Preamble Mimi
Gadgeteer (Totally Spies/Martin Mystery) 600:
Not only do you have the knowledge and resources to produce all of WOOHP and the Center's gadgets quickly and efficiently, but you'll never run out of ideas for new gadgets, and you'll be able to incorporate any other technologies you know seamlessly
Catsuit (Totally Spies/Martin Mystery) Free:
A nearly skintight catsuit in a color of your choice.</t>
  </si>
  <si>
    <t>Manufacturing Line</t>
  </si>
  <si>
    <t>Chapter 69: 54 Overtime
Resources: Manufacturing Line (Valkyria Chronicles) 400:
You've always been of the opinion that technology advanced too slowly before you arrived, but now you can apply that to the physical world as well! Any building process you oversee, whether it be the forging of a sword or an entire tank factory, will now produce results twice as fast and with half the required materials used.</t>
  </si>
  <si>
    <t>More With Less</t>
  </si>
  <si>
    <t>Chapter 57: 45 Realization - Preamble Taylor
More With Less (XCOM) 300:
Through careful construction, you can remove unnecessary components and get maximum efficiency into your products. What this means, is that you can create the same quality item while using less resources. Items with which you have a limited supply, such as alien materials, can be stretched farther.</t>
  </si>
  <si>
    <t>Size</t>
  </si>
  <si>
    <t>Weapons Recombination Template</t>
  </si>
  <si>
    <t>Final Fantasy XIII-2</t>
  </si>
  <si>
    <t>Nanite Sciences
Nanite Removal and Control</t>
  </si>
  <si>
    <t>Chapter 07: 6 Commission
Nanite Sciences (Generator Rex) 100:
You possess in depth knowledge of nanite technologies. With sufficient equipment and resources you could produce and control nanite machines, possibly even recreate the nanite event or maybe figure out how to reverse its effects. But that would take a long time of additional study of nanites out in the world, still you might be one of the few who could attempt this endeavor. You possess no knowledge of the meta-nanites, and understanding how they work is beyond your grasp
Chapter 15: 12 Conference
Nanite Removal and Control (Generator Rex) 400:
Many in this world would consider this is your most important ability, you can control nanites and absorb them into yourself, reverting dangerous mutations and can help people regain control of themselves. At first however this power will only work on willing targets, and will not work on incurable, especially virulent nanite infested EVOs. However with training and time, your powers can grow to circumvent these rules. Your greatest limitation is the fact that as you absorb nanites your reservoirs fill to the breaking point, causing dangerous flare ups and renders your abilities unstable. You can purge these nanities, but figuring out how to do so in a safe way with a large amount of unstable nanites may take some effort.
After this Jump your nanites can be used to heal people, whether of wounds, diseases, or possibly even mutations or others turned into a monster. Success will vary depending on factors, a mystical curse is probably beyond your nanites, a really out of this world super virus might be cured, but that's iffy.
If you happen to run into other nanites in other jumps, you could control and manipulate them as well.</t>
  </si>
  <si>
    <t>Gadget Master</t>
  </si>
  <si>
    <t>Chapter 33: 27 Intrusion - Addendum Hannah
Gadget Master (James Bond: 007) 300:
You’ve been trained by Major Boothroyd at the skills of his job. You’re excellent at creating and maintaining gadgets of all types. You can miniaturize nearly anything, and hide things in forms that... really shouldn’t work. You can even make lasers! You’re also good at coming up with ideas for unusual methods of assassination; beheading umbrellas, flamethrower bagpipes, and the like.</t>
  </si>
  <si>
    <t>They're Like Legoes, Right?
This Is How I Want It</t>
  </si>
  <si>
    <t>Chapter 29: 23 Renovation - Addendum Taylor
They're Like Legoes, Right? (Kerbal Space Program) 200:
There's robust engineering, and then there's modularity. Pick one. Except for you - you seem to have the gift of designing methods that allow for seamless mixing and matching of modular technology that lack none of the parts incompatibility and fragility you'd except from such a design paradigm. While this seems focused on Kerbin technology in specific, a little work should have you applying such a paradigm to all sorts of technologies...
Chapter 139: 95.6 Interlude Rey
This Is How I Want It (Kerbal Space Program) 400:
Your capability of mentally designing items is vastly boosted. It's almost as if you have a mental idea space in the fashion of a construction bay with a lists of parts you have on hand that gives you an idea of what you can build at that moment... actually, that's pretty much what you have. As a bonus, you can mix and match parts in a manner roughly akin to legos, and giving you an idea of what would work and what wouldn't (and how much resources it would take to build). Mind, this doesn't mean that your mental creation will perform successfully, but it will function. As a final bonus, you can mentally hand-off the resultant creation to your Kerbals to build, and they'll do so without a mistake or screwup - meaning any snafu that results will be on your own head.
This Is, Actually, Rocket Science (Kerbal Space Program) Free:
You gain an instinctive grasp and understanding of Delta V and orbital mechanics.
Speak English, Dammit! (Kerbal Space Program) Free:
You gain perfect understanding of Kerbals and the way they speak in thier burbling, whack-ass mix of swedish meatball chef... something. Conversely, you can pick this to have them all speak english.
Some Old Friends (Kerbal Space Program) Free:
Hey, what are you - wait a minute! How did you four get in here!? Oh, well. Looks like you're going to get some help in this jump, whether you want to, or no - Bill, Bob, Jebediah, and Valentina are all up and raring to go. As a bonus, all four come with the 'I Am A Pilot, Actually' perk for free. I Am A Pilot, Actually - All the engineering and mathematics in the world doesn't mean much if you can't actually fly the damn things. You're far from being supernatural in skill, but you're not a weekend warrior, either - you effectively have the piloting skill of Neil Armstrong when it comes to piloting rockets, spaceships, and aeroplanes
Espirit de Kerbal (Kerbal Space Program) Free:
While you're going to have no end of volunteers of Kerbals to go into space (seriously, where the hell are they all coming from?), it's understandable that you're going to want a special group of Kerbals to count on in a pinch - an elite force you can trust to get the job done. Twenty Kerbals have stepped up to the plate to fill that role. This group of Kerbals doesn't seem to let mishaps keep them down; while crashes, explosions, and other shenanigans will, uh, result in Critical Kerbal Existence Failure, they'll pop back up in a week or so, right as rain and raring to go for another try. All 20 of these Kerbals will automatically gain whatever perk you purchase in this jump from the Pilot, Engineer, and Scientist perk tree - Drop-In, however, doesn't count for this. Kerbals regard such things as 'sleep', 'water', 'food', and 'oxygen' as quaint, outdated suggestions. Relevant perks: Aerospace Engineering Makes Things Go Fast. They're Like Legos, Right? This Is How I Want It
Emblems (Kerbal Space Program) Free:
You'll not only find your creations and rocketships neatly emblazoned with a flag/symbol of your choice, but you'll also be able to fashion cloth emblems for Kerbals(and companions) to utilize to represent various mission types. However, you'll only be able to gift the patches so made to those whom directly participated in the mission itself. While they offer no bonuses, they do make a nice keepsake and reminder of the glories you and your Kerbals(and companions) achieved - wether it's landing on the Mun or going to the stars.</t>
  </si>
  <si>
    <t>Fiat
Ability
Skill
Ability
Entity
Entity
Ability</t>
  </si>
  <si>
    <t>Sohon</t>
  </si>
  <si>
    <t>Legacy of the Aldenata</t>
  </si>
  <si>
    <t>Prototyper</t>
  </si>
  <si>
    <t>Polity</t>
  </si>
  <si>
    <t>Nanotech Wizard</t>
  </si>
  <si>
    <t>Nano-technician
Nano-forge</t>
  </si>
  <si>
    <t>Chapter 75: 58 Go Time - Preamble Survey
Nano-technician (Red Faction) 600:
Is it me or does “nanomachines” not sound like a word anymore? You now have a considerable talent in the field of nanotech. With time and study, you could recreate the Nanoforge, with dedication you could even improve on it. Keep in mind nanotech in this setting is exceptionally hard to work with, but can do anything from fixing a bridge, to disintegrating a starship, to enhancing human abilities.
Recycler (Red Faction) Free:
A new annex is added to your warehouse that allows you to convert salvaged metal and electronics into ammunition, fuel, and parts for any weapons or vehicles from this setting.
Sledgehammer (Red Faction) Free:
For centuries, miners have busted their butts swinging one very basic tool, The Sledgehammer. But on Mars, there’s more to this tool than meets the eye. Powered by mass-multiplier servos, this essential tool of the Red Faction pops on contact, delivering 1000lbs of kinetic force. When you swing the supercharged hammer, something is going to get leveled.
Chapter 142: 97 Confrontations – Preamble Carol
Nano-Forge (Red Faction) 600:
Typically worn around the wrist, this device is an engineer’s wet dream. Using real-time scans provided by the onboard AI, the Nano-Forge emits nanites as either a proximity cloud or projectile globs that procedurally recreate objects nearby. This Nano-Forge is restricted to repair functionality, and it doesn’t work on biological material, but it does have the precision to recreate delicate electronics and the like.</t>
  </si>
  <si>
    <t>System
Facility
Item
Item</t>
  </si>
  <si>
    <t>Tinkerer</t>
  </si>
  <si>
    <t>Chapter 31: 25 Search and Rescue - Addendum PHO
Tinkerer (RWBY) 300:
You're a whiz at maintaining, modifying and making things. Everything from Sniper Scyfles to Toaster Ovens, as long as you made it yourself or had the blueprints on hand. Unlock the secret of Variable Weapon Crafting.
Aura (RWBY) Free:
You start off with an unlocked aura.
Dust (RWBY) Free:
Dust comes in four basic types: red fire, blue ice, green wind and yellow energy. They can be combined to make new variations.
After this jump, small amounts of Dust will appear in the Warehouse weekly. Enough for a firefight or two at once. Dust augmentation is found to increase the effectiveness of weaponry and ammunition.
Variable Weapon (RWBY) Free:
It's a thing that turns into another thing! One gun and one melee weapon, together at last.
Scroll (RWBY) Free:
Think a smartphone, with terrible wilderness reception, video camera, messaging and more! Practically a passport for civilized society.</t>
  </si>
  <si>
    <t>System
Personal
Facility
Item
Item</t>
  </si>
  <si>
    <t>Cybertronian Forge</t>
  </si>
  <si>
    <t>Chapter 129: 92 Opened Discourse
Cybertronian Forge (Transformers) 600:
Somehow a good portion of your warehouse is now a mini cybertronian factory. This automatic factory prints out Cybertonium, a material that Transformers bodies are made out of. This is a room temperature super conductor and is the basis of all Cybertronian technology. It also functions as a 3D printer, but its programming is blank ready for input.
ROBOTS IN DISGUISE! - Medium Chassis (Transformers) Free:
Medium Chassis, Size: 5m (16ft 5in) to 8m (26ft 2in). You're a robot now; as such you don't need to breathe, eat, or sleep. You do require Energon to survive, without it you'll go into stasis lock. This stasis lock last forever unless your spark (lifeforce) is extinguished or you get enough Energon back in your systems. As a Transformer your strength depends on your chassis, Small Chassis can lift 25tons (22t), Medium Chassis can lift 50tons (45t), and Large Chassis can lift 100tons (90t). Transformers brain circuits are not unlike a highly advanced super computer, giving the average transformer a level of intelligence similar to that of human geniuses. Your robot body is extremely tough to damage, military grade anti- materiel weapons and Energon weapons are only thing that are capable of damaging you. Even then the average transformer can take a beating and survive.
Altmode (Transformers) Free:
All Transformers have an Altmode which is either an animal or machine. You can turn into any animals or machine that you fits your Chassis type. You can choose to change into any animal or vehicle form that you’ve seen in your previous adventures, or for the future you can scan it. For maximum size in your Alt form you take your robot form and add +2m (6ft 6in) to its maximum height or in case of planes, wingspan. Beast Wars Era Transformers can only choose animal or beast like forms, they’ve lost their ability to change into vehicles or other machines.
Energon Melee Weapon (Transformers) Free:
Every bot worth their Energon has a melee weapon, these weapons like everything else runs on Energon but are very efficient and practically never run out of Energon.
Energon Battle Pistol (Transformers) Free:
This is a pistol. Reload required after 8 shots. Comes with 5x zoom.
Energon (Transformers) Free:
In your warehouse an Energon Cube appears every 24hrs. Don’t worry about your Transformers body, Post-Jump you don’t require Energon for it. Normal transformers need an Energon Cube, which is equivalent of 1000 barrels of oil, every day. This is like the 4000 calories active duty soldiers take in. Beast Wars era, they can subsist off of an Energon Cube for 1 month. You can convert other forms of energy into Energon, but it’s very inefficient. Any other fuel source other than Energon corrodes the systems of a Transformer, it’s like poison.
Decepticon Terrorize! (Transformers) Free:
You've retained your robotic body, but now can switch between human and whatever form you choose and back. You'll never run out of Energon and routine maintenance is no longer a thing. You can store your robotic body in your warehouse and jump into it at any point; or ride around/on top of its alternative form. Either way it's up to you which you choose, and switching out is easy as dropping off equipment.</t>
  </si>
  <si>
    <t>Facility
Item
Ability
Item
Item
Item
Ability</t>
  </si>
  <si>
    <t>Master Builder</t>
  </si>
  <si>
    <t>Chapter 14: 11 Power Trip
Master Builder (Transformers) 400:
You’ve been programmed with mastery of Cybertronian science allowing you jury rig any tech you see, as well allowing you to quickly build even the most complex Cybertronian tech within a reasonable time period. Smaller devices are almost instant, larger devices take some time and more components. However with enough material you can build a temporary space bridge. Despite your mastery of Cybertonian science, creation of a Spark and therefore intelligent life, organic or inorganic is beyond you.</t>
  </si>
  <si>
    <t>Science! Mechanics
Science! Engineering</t>
  </si>
  <si>
    <t>Chapter 17: 13 Debut
Science! Mechanics (Transformers) 100: 
Your programming is focused on either Mechanics, Medical, or a field of Science (Pick One), this gives you equivalent of a Cybertronian PHD in that field of study.
Science! Engineering (Transformers) 100:
Your programming is focused on either Mechanics, Medical, or a field of Science (Pick One), this gives you equivalent of a Cybertronian PHD in that field of study.</t>
  </si>
  <si>
    <t>Miniaturization and Efficiency</t>
  </si>
  <si>
    <t>Chapter 77: 58.2 Interlude Lisa Addendum Joe
Parahuman - Tinker - Miniaturization and Efficiency (Worm) 400:
It seems that you've triggered, and gained some rather impressive powers. This is optional, you can go without becoming a parahuman if you wish. Although that means you won't be getting any impressive new abilities to help keep you alive in this world. You can only have a single parahuman power. Powers adapt to whatever capabilities you already have. Taking them into account and ensuring you can use your parahuman abilities in sync with them. Assume any potential incompatibilities are handled appropriately to allow a power to still perform its intended function. All powers may be toggled on or off, and you understand their nature and how to use them instinctively, if not necessarily all the different ways they could be applied creatively.
Tinker: Whereas other parahumans get the power to do incredible things, Tinkers get the ability to build incredible things. Tinkers essentially have a database of extremely advanced scientific data and technology in their heads, letting them build and create things far ahead of their time. This data follows a certain theme, whether that be bombs, efficiency, vehicles, or otherwise which defines what their power lets them build and work with. Tinkers need resources, time, and effort to do what other parahumans can do casually, but they are incredibly adaptable, able to show up to the next fight able to completely shut down opponents that were untouchable in their last encounter, all because they can build the right tool. Within their specialty a Tinker can build nearly anything they can imagine. Tinker abilities seamlessly integrate any such knowledge of technology and science you possess, meaning you don't have to make any extra effort to use your powers along with any other tech based perks you might have. The knowledge you gain is basically the collected science of hundreds of advanced civilizations within your area of expertise. You don't necessary have the capability to process and sort through it all at once, but your power will continue to feed you data and knowledge relevant to your endeavors and what you're building.
Miniaturization and Efficiency - You can miniaturize anything down to levels that any sane man would consider impossible. A fusion reactor the size of a watch battery would be the absolute minimum of what you are capable of, and you'd be able to make it far smaller than that. Your power also makes you a master of technological efficiency, anything you make needing barely any energy to run compared to what it should and continue to do so for a very long time. These specialties also make you a master of nanotechnology and similar pursuits. Of course you aren't barred from building something big like a giant robot, just that it'll be impossibly efficient and crammed full of more weapons and subsystems then should be possible.
After this jump any powers are now part of you instead of your shard/passenger, and its connection is severed completely. All other shard limitations are released, even if you stay, letting Tinkers mass produce their tech, precogs see the Entities and Endbringers, etc. This doesn't enhance your power, only removes things like the Manton Limit that held it back before. The same applies to your companions and anyone you bring with you.
The inability of other people to properly maintain Tinker-Tech is simply because a Tinker's shard is hard coded to make it so anything they build is too complex and advanced to learn how to properly do so in any reasonable time frame. Like trying to teach cavemen how to build and maintain modern day computers. A Tinker completely understands the science behind what they have built, but would have to write a massive document to properly explain the maintenance procedures. After this jump this is no longer a problem and you can make things that are easily maintainable and mass producible by others, with the caveat that it doesn't do away with the normal issues of trying to do so. Like said caveman example up above. You can design things to make it much easier, with your power helping instead of hindering.
Tinker abilities give you an insanely large and advanced database of scientific knowledge and superhuman skill at employing it, all within their specialty. Your power will always mean that within this field you'll learn, innovate, and improve in superhuman ways, growing beyond what you start with. This scientific information can be spread and taught just like anything else you know, others simply don't have your impossible skill and talent at it.
It's up to you on how powers budding off works in your jumpchain. Whether they do, or don't, or there are limits to it. You don't personally control this, but you can fanwank whatever you want. Your Jumpchain, not mine. For those of you who aren't familiar with Worm, people close and somehow important to a parahuman will have what is known as a Second-Gen Trigger. Unlike First-Generation triggers these only require very little stress, and result in powers that are similar if different to the original parahuman. A single Third generation trigger was confirmed in canon, happening to a five year old.
Powers do grow with time and use, but this only expands already present parameters, it doesn't allow the development of new ones. Range, area, precision, strength, etc all increase, but your power only does what it could always do better, not gain entirely new capabilities. For example Skitter's range for her bug control expanded with time, she learned to comprehend more of her bug's senses properly, and her bugs began acting with perfect coordination to her desires with nearly zero effort on her part.
Outside Context Problem (Worm) Free:
It'd be boring if you were to just die right at the start so for free you'll have a selective immunity to the powers of a few rather nasty plot device level opponents that by all rights would probably want to kill you right out of the gate. Contessa, Ziz, and Zion's precog doesn't seem to be able to pick you up, instead returning a zero-sum error whenever they try to force the issue. They won't notice this until you garner enough attention for them to try and then they might take further measures to see what the problem is. But at the moment you'll be safe from being instantly killed due to the threat you pose to their plans. This works on all shard/entity derived precog. Your peculiar inter-dimensional nature just messes up their ability to predict you. Coil is an exception due to the weird nature of his power.
Tinker-Tech Cache (Worm) Free:
You get a decent sized cache of Tinker-Tech whose nature is up to you. Whether you want a large variety of computing and programming devices, an armory full of futuristic guns and weapons, or maybe just a ton of Tinker tools for your personal use. There is nothing crazy in here, but even basic Tinker tech is far more advanced than anything on modern earth. If you have a Tinker ability you get one purchase of this free for tech that corresponds to your specialty, giving you more than enough to get started. Note: Even the worst Tinker-Tech is hundreds of years ahead of modern day earth, and the samples you get here aren't bargain bin by any means, just not anything earth shaking.</t>
  </si>
  <si>
    <t>System
Personal
Facility</t>
  </si>
  <si>
    <t>Hybridization Theory</t>
  </si>
  <si>
    <t>Chapter 17: 13 Exposure
Hybridization Theory (Zoids: Legacy) 400:
So one day you had a bit of spare time after your daily Zoid admiration hour. After taking a close look at your favorite Gojulas and your favorite Mad Thunder, you decided that if the Gojulas could wield the Mad Thunder's Magnesser Drills like an arm weapon, you could probably reenact that scene from the show you watched two days back on the professor's hi-def television.
Those mechanics can slap on parts and scavenge however they like. You can literally merge two machines together into one, with twice the processing power as before. Mind you, Zoids typically won't respond well to suddenly sharing a body with another core and another mind, but you'll have ethical uses for this...right?
For most mundane machinery, you don't need any power source besides your own, but be careful that should you make your machine too big, the internal power supply might not be enough to feed it.
Chapter 71: 55.1 Interlude Fleet Preamble Roy Addendum Margaret
Pre-existing Variations?! (Zoids: Legacy) Free:
(Only applicable if you already have a robot which has an animal form) Oh my…that robot of yours…I think with a bit of work, we could probably tune it to this new world. I wonder if that’s somehow a new breed of Zoids?... If your robot has a form that resembles any sort of animal, you can import it as a Zoid through the following formula. Cost: 0; Customization Points: 10
Accelerator Equipment (Zoids: Legacy) 3 Customization Points:
A pair of ion boosters, slightly weaker than those used on the Liger Jaeger variant, which boost speed significantly. The cost to manoeuvrability is minimal, and thankfully it comes with an onboard power unit that recharges on cells.
Electron Shield Generators (Zoids: Legacy) 2 Customization Points:
This wide energy shield array covers over an L sized Zoid completely in any single direction and resists the effects of beam weapons. Can be turned on and off, but is very noticeable when on. It can be hooked up to a power unit for extra strength, but otherwise has its own onboard power
Doppler Field Generator (Zoids: Legacy) 5 Customization Points:
Restricted to only S (small) sized Zoids. The generator allows for the Zoid’s image to be projected simultaneously in multiple directions. Bystanders see this as multiple copies of the same Zoid moving in sync. Unlike a ZOS core, none of the doppler projections are real however.</t>
  </si>
  <si>
    <t>Ability
Item
Item
Item
Item</t>
  </si>
  <si>
    <t>Time</t>
  </si>
  <si>
    <t>Don't Need A Team</t>
  </si>
  <si>
    <t>Chapter 28: 22 Homeward
Don't Need A Team (Ace Combat) 100:
Fighter planes are pretty complicated machines, and more often than not you need a whole crew to maintain them so that they don’t break down in the middle of a fight and doom the pilot. You know your plane well enough to circumvent this issue. You've got just the right idea on what needs tuning up and what needs fixing, along with having the speed to be able to fix a plane up by yourself without the need for a crew in a fraction of the time. Performance issues are a thing of the past for you.</t>
  </si>
  <si>
    <t>Researcher</t>
  </si>
  <si>
    <t>Chapter 37: 31 Consensus - Preamble PHO - Addendum Accord
Researcher (Age of Mythology) 400:
You are far faster at designing and discovering new technologies. Inspiration and breakthroughs hit you far more often.</t>
  </si>
  <si>
    <t>Most Holy Order of the Socket Wrench</t>
  </si>
  <si>
    <t>Chapter 28: 22 Homeward
Most Holy Order of the Socket Wrench (Fast and Furious) 400:
You are a master mechanic. Repair and upkeep is nice, but you can go beyond the impossible and improve any vehicle. Take a van and make it beat a supercar? Put NOS injectors on a bicycle (and make it work)? How bout something challenging? And anything you can build up you can tear down, too. You're a one-man chop shop and wiring a car to explode takes but a few moments and some chicken wire.</t>
  </si>
  <si>
    <t>Chapter 10: 8 Aftermath
Machinist (Gargoyles) 200:
You are an expert mechanic. You can rebuild and improve a helicopter in 12 hours or create a functional motorcycle from spare parts. If honed, this ability will let you make nearly anything from incredibly advanced robots to nanite swarms in only a few months time.</t>
  </si>
  <si>
    <t>Scientist: Machinery
Strong Spark</t>
  </si>
  <si>
    <r>
      <rPr>
        <rFont val="Arial"/>
        <color theme="1"/>
      </rPr>
      <t xml:space="preserve">Chapter 03: 3 First Fight
Scientist: Machinery (Girl Genius) 100:
You have a DOCTORATE! And skill in ACTUAL SCIENCE! That doesn’t need you to go crazy to work! Admittedly, it won’t break the fabric of space and time, but meh. Tradeoffs everywhere you go. You’re highly trained in one field, and can easily apply its principles to your work. After all, building a crazed abomination upon the natural order usually requires at least a smidgen of understanding of which bones are supposed to go where (Even if you end up changing them around a little). At the very least, you’re also in the genius range of standard intelligence.
</t>
    </r>
    <r>
      <rPr>
        <rFont val="Arial"/>
        <color rgb="FF181A1B"/>
      </rPr>
      <t>Chapter 175: 113 Disrupted Discourse
Strong Spark (Girl Genius) 600:
Rather than having a weak Spark (Like a PEASANT who took the “Spark” Perk, which this is incompatible with) you have an extremely powerful one. You don’t limit your scientific explorations to a single topic, but are a master of anything that meets your eye (well, at least once you’re in the Madness Place). You go further and farther than almost anyone, and when you get working, you quickly stop caring about things like “fundamental laws” and “nature of the universe” and ... well, pretty much anything. Warping the fabric of reality is a pretty common thing. Unfortunately, it’s also significantly harder to get OUT of the Madness Place, and you get sidetracked pretty easily as well. Last week you were trying to get a stain out of your carpet, and woke up with an army of death-ray-wielding mice obedient to your commands! MWAHAHAHA</t>
    </r>
  </si>
  <si>
    <r>
      <rPr>
        <rFont val="Arial"/>
        <color theme="1"/>
      </rPr>
      <t xml:space="preserve">Skill
</t>
    </r>
    <r>
      <rPr>
        <rFont val="Arial"/>
        <color rgb="FF181A1B"/>
      </rPr>
      <t>System</t>
    </r>
  </si>
  <si>
    <t>Build Rome</t>
  </si>
  <si>
    <t>Chapter 54: 43 Ripples Aisha - Preamble Gully - Addendum Joe
Build Rome (Gundam: After Colony) 600:
You have a thing about building things- you’re damn fast, and you’re damn good. They say you can’t build 10 Mobile Suits in a week? Hah! You’ll build twice that much and you’ll build them to last! You simply have utter talent in the way of making things quickly enough to double production, maybe even triple production if you work at it enough, and they’ll come out with no loss of quality. In addition, these constructions will last- barring sudden disaster and similar, they’ll easily last several decades of constant abuse, and if they’re upkept and repaired they could even last centuries with no troubles</t>
  </si>
  <si>
    <t>Savvy Sultan</t>
  </si>
  <si>
    <t>Chapter 31: 25 Search and Rescue - Addendum PHO
Savvy Sultan (Macross) 400:
When people think of building things, they think of you. Provided you had the resources and the understanding of the technology, you could construct all manners of machines in a fourth of the time it would normally take. By yourself. You're no slouch with any of your tools either, wielding them with the precision of a machine with no loss of speed. Quality and a deadline? No problem.</t>
  </si>
  <si>
    <t>Workaholic</t>
  </si>
  <si>
    <t>Sonic</t>
  </si>
  <si>
    <t>Chapter 23: 18 Regroup
Workaholic (Sonic The Hedgehog) 300:
Sometimes you wonder how some geniuses are able to build entire armadas within days or weeks of their last defeat. You become a walking factory of production. Building in masse is something that comes without issue to you. That one bot that took a week to build? Now that one bot is now 5. Or roughly 3x the size it was before. How do you even have the resources to build so much you say? The hell if I know.</t>
  </si>
  <si>
    <t>Chapter 44: 37 Small Tasks - Addendum Meeting Report
Time: Manufacturing Line (Valkyria Chronicles) 400:
You've always been of the opinion that technology advanced too slowly before you arrived, but now you can apply that to the physical world as well! Any building process you oversee, whether it be the forging of a sword or an entire tank factory, will now produce results twice as fast and with half the required materials used.</t>
  </si>
  <si>
    <t>One-Man Assembly Line</t>
  </si>
  <si>
    <t>Chapter 117: 84 Pick Up
One-Man Assembly Line (XCOM) 600:
You really liked playing with building blocks as a kid. Now that you're all grown up, the world is your playground. Your knowledge of construction and engineering is unprecedented, and making a jet engine from spare parts over a weekend is your idea of fun.</t>
  </si>
  <si>
    <t>Toolkits</t>
  </si>
  <si>
    <t>Hangar</t>
  </si>
  <si>
    <t>Chapter 35: 29 Presentation - Addendum Emily
Hangar (Ace Combat) 100:
Sure you might be able to get a fighter plane… but where are you going to store it? You can’t just leave your vehicle to the mercy of the elements, it would cause all manners of damage to the plane and then you might be really in a bind. That’s why if you come out of this with a plane (or end up importing one) you can obtain a hangar bay which has the tools needed to keep the plane in good shape and can stand up to most forms of weather. It can even attach to a property or the Warehouse after your time here should it please you. For an undiscounted +100CP, this turns into an automated hangar bay with heavy arms and equipment to make repairing and moving the plane significantly easier.
Basic Flight Training (Ace Combat) Free:
If you couldn't fly before, you have a basic idea of how to fly a plane now. You know how to maneuver the joystick properly, which button fires the missiles, and how to properly land a plane without creating a multi-million dollar pile of scrap. It won’t save you if you dive into a massive swarm of planes all by yourself, but you can learn.
Missile Surplus (Ace Combat) Free:
Well this is odd. Any plane you pilot seems to hold an unnatural number of missiles for its type, far more than it should. You're not sure where it's getting this many missiles, but you'll have to restock them if you run out. The same thing happens with special weapons, though you have to have a working model to attach if you want to swap it out. The standard number of missiles thanks to 'Missile Surplus' is 150 missiles on a plane, barring any differences depending on the description of the weapon.
Comm Chatter (Ace Combat) Free:
While an important part of war is knowing what your opponent is up to, sometimes it’s good for puffing your ego up too. For whatever reason, your radio will occasionally catch communications being broadcast from the enemy. This can range from important information to wild surprise at your antics. Not too useful, but good for knowing how you're doing.
Flight Suit (Ace Combat) Free:
When taking off, an important requirement of being in a plane is a flight suit so that the G-forces don’t make your organs explode. It sounds silly, but you’ll be lucky you had it. So, have a nifty flight suit to help keep any pressure issues down while you're in the sky, on the house. It can come in any color you wish with a snazzy helmet to boot, ensuring that you’re the most glamorous pilot in the sky.
4th Generation Fighter Plane (Ace Combat) Free:
These planes have been around for some time now, and as a result some would consider these particular planes to be outdated. It’s not the most advanced machine in the sky, but it will get the job done when you need it. Whether it's an MiG-29OVT, an F-18, Su-27 or something else, you can be given a 4th Generation Fighter Plane to do your work and achieve what you need to achieve. Show them that the old ways still work.
Autocannon - Something of a standard on anything that flies in the air, autocannons or gatling guns on a plane’s nose can help one shoot down enemy planes or other targets by unleashing a torrent of bullets upon whatever has the misfortune of being in front of your plane at the time. This option will grant a single gun with 1000 rounds.
Standard Missiles - One of the things that is noteworthy regarding just about any plane is the fact that they will carry missiles. The reason is obvious; you need more than just bullets. That’s why you have a good supply of missiles, attached to your plane and ready to fire off the moment you achieve radar lock with your plane. It’s simple, but it works. Sometimes that’s all you need.
Flare Launch System - Flares are fairly important when it comes to aerial combat. After all, you are in enemy airspace. Enemies will want to shoot you with missiles. Ergo, having protection against missiles would be the smart thing to do. Radar-guided missiles can be duped easily, but infra-red missiles that track heat sources are a concern. Thus it is important for this flare countermeasure system to be equipped, allowing you to launch flares while you do a sharp turn and reduce engine power to dupe the missile into hitting the flare instead. It’s not perfect… but it could be better than nothing.
Ejection System - You know the old saying of going down with the ship? Yeah, nuts to that. This isn’t the navy, this is the Air Force. That’s why there’s ejection equipment for when your plane gets shot down, assuming said plane wasn’t just instantly vaporized by whatever attacked you to begin with.</t>
  </si>
  <si>
    <t>Facility
Skill
Fiat
Ability
Item
Vehicle</t>
  </si>
  <si>
    <t>Orgel of Origins</t>
  </si>
  <si>
    <t>The Mixing Cauldron
Melting Pot
Spirit Pyroxene
Goldberg Formula
Daisy Chain
Vortex</t>
  </si>
  <si>
    <t>Ars Creation Tools</t>
  </si>
  <si>
    <t>Workshop Equipment</t>
  </si>
  <si>
    <t>Chapter 146: 99.1 Interlude Tetra
Workshop Equipment (Bloodborne) 300:
This is actually a package deal containing a variety of workshop tools. The first tool set has some basic tools for repairing equipment and some more specialized tools for upgrading weaponry with varying Blood Stones.
The second set of tools allows for the slotting and removal of Blood Gems, items that as previously mentioned can greatly empower weaponry. The last set of tools allows you to etch Caryll Runes into the mind to attain their wondrous strength, or remove them just as easily.
Runesmith Caryll, student of Byrgenwerth, transcribed the inhuman utterings of the Great Ones into what are now called Caryll Runes. Etching these runes into your mind can provide a number of benefits. Benefits can range from resisting certain types of damage, increasing resistance to various poisons or increasing stamina and vitality, among other effects. You may etch up to three runes into your mind at a time. These runes can be found scattered around this world.
Curious Goggles (Bloodborne) Free:
A curious pair of goggles with a leather strap, thick lenses and strange frames made of thin tubing and metal, all coming in your choice of colors. These goggles, strange as they may look, are an incredible invention allows for those who wear them to see that which evades the notice of others. To put it in simpler terms, it allows you to see things that would normally require "Insight", though does nothing to help perceive these things in other ways such as hearing or smell. Can be freely worn by anyone, allowing allies to see things they may wish they hadn't as well.
("Insight" - You have seen things, heard things, learned things, all very strange things. . .and its had a noticeable effect. You have lined your brain with eyes and gained the ability to perceive things others can't. Dolls will begin to talk, you can see what some would call divine beings, you can hear singing and crying you wouldn't have heard before. Even in other worlds your senses may perceive that which the senses of the mundane may not. Beware, these things you can see and hear now can sometimes be a bit. . .much. Remember as well that your insight and uplifted senses allow you to learn of and perceive strange and unsettling things, things others would have a hard time believing in. Just be careful who you talk with this about, they may think you more insane than insightful. They're probably wrong though, probably. Lastly, good or bad, a side-effect of your new insight has cleansed your beastly idiocy and heavily weakened the beast inside.)</t>
  </si>
  <si>
    <t>Facility
Item</t>
  </si>
  <si>
    <t>Armor-Shift Manufacture</t>
  </si>
  <si>
    <t>Chapter 48: 41 Drag Out - Preamble Chen
Armor-Shift Manufacture (Bloody Roar) 100:
A small machine - big enough to hold a massive pauldron or two - that gives any pieces of armor or clothing placed inside a specific quality: When their wearer changes form, the armor and clothing changes form with him / her.
Beast Change!: Inostrancevia (Bloody Roar) Free:
You can freely access your Zoanthrope form, becoming a monstrous humanoid that is a horrific combination of human and beast. Reptile, mammal, avian, amphibian, piscine, it does not matter what. If it existed in Earth’s lifetime, you can choose it. (Yes, this includes Dinosaurs. No, it does not include microorganisms.)
Martial Artist: Muay Thai (Bloody Roar) Free:
Pick one martial art from Earth’s history &amp; various cultures. You now know the basics of this art, as well as a few of the more advanced moves. More beneficially, you know how to apply this martial art to your Zoanthrope form - and combine the two into a deadly style of combat. Wrestling forms and dances are also accepted if they can be theoretically used in combat.</t>
  </si>
  <si>
    <t>Item
Ability
Skill</t>
  </si>
  <si>
    <t>Chapter 26: 21 Closing Moves
Workshop (Bubblegum Crisis) 100:
You need tools? You have ALL the tools. Using this, you can effectively build and/or repair any damn thing in BGC, though constructing orbital shuttles might take a while. Nevermind getting ahold of the plans.
Apartment (Bubblegum Crisis) Free:
A run down, single-room apartment. Nothing special, but hey, it keeps the rain off. Don't worry too much about the rent.</t>
  </si>
  <si>
    <t>Alchemical Foundry
Mythic Forge
Dust Refinery
Arcane Smelter</t>
  </si>
  <si>
    <t>Endless Legend</t>
  </si>
  <si>
    <t>Alchemy Workshop</t>
  </si>
  <si>
    <t>Prismatic Laboratory</t>
  </si>
  <si>
    <t>Chapter 48: 41 Drag Out - Preamble Chen
Prismatic Laboratory (Fallen London) 400:
The principle of acute observation is light! And to that end, you have fashioned a workspace of lenses, liquids, critters and crystals to focus upon recreating a spectrum of lights fantastic. Ah, the impossible palette: those colours only seen in the Neath! You may not always produce something like it, but you will produce their inks and lenses in time.
St Andrew’s Candle (Fallen London) Free:
That candle you had so long ago. It feels heavier now, perhaps it has fed upon your sins, perhaps it too has changed as you have. St Andrew’s Candle no longer burns low, for indeed it resists all attempts to extinguish it. But in the case of your sudden and fatal injury, it flares in brilliant ignition, granting you ten more minutes of life and action as it burns itself down from wick to stub. It will not heal your injuries, but it will prevent new ones from forming. Should you survive and reverse your fatality, the candle will not and will only renew itself at the beginning of a new jump or after ten years post-spark. The light it gives is a true Neathy light, a reminder of your time in the Fifth City.
Connections: Hell (Fallen London) Free:
Those amber eyed Devils have taken a shine to you. From their Westernmost halls, to the Brass Embassy on Ladybones, there’s not a tempter who doesn’t know you. Their gifts include nevercooling brass, poisonous wine, masquerade invites, chemicals, and a few bottled souls that strayed away from the archives. Cannot take with Church.
They will send you gifts every fortnight as payment for some obscure service. Similar factions may be present in future jumps.
Connections: Rubbery Men (Fallen London) Free:
Ssaloshagosh? How do you spell that? They risk stonings and harsh glances as they make their way to your abode, but by some alien measure it is worth it. Their slimy packages reveal amber of various colours, tiny unusual skulls and pocket change from ancient cities. Cannot take with Revolutionary.
They will send you gifts every fortnight as payment for some obscure service. Similar factions may be present in future jumps.</t>
  </si>
  <si>
    <t>Facility
Item
Item
Item</t>
  </si>
  <si>
    <t>Garage</t>
  </si>
  <si>
    <t>Chapter 30: 24 Tech Work - Addendum Alec
Garage (Fast and Furious) 100:
You have a nice garage and parts supply. With a few days and some elbow grease, you could basically rebuild your car or cars from the bottom up; you probably have enough parts to keep someone else's ride running or give it an upgrade, too.
The Vehicle (Fast and Furious) Free:
This object barely deserves the title of car, at least in your opinion. A Volkswagen Beetle, a Pinto, or a Yugo, this car technically meets all the criteria and is very cheap, but it would take a master mechanic and a driving god to let it rival even the worst other racers can bring to the table.</t>
  </si>
  <si>
    <t>Facility
Vehicle</t>
  </si>
  <si>
    <t>Volcanic Forge</t>
  </si>
  <si>
    <t>Chapter 36: 30 Crescendo - Addendum Missy
Volcanic Forge (God of War) 300:
The Smith God's power is great, but it is not by his will alone that his works are forged. There is also his tools to consider, and with this you have one such tool. Attached to your Warehouse is a small volcano, a fiery beast that will never fade and never falter. Its power is great, reducing the time you need to break down metals and minerals, reworking them into new forms while increasing their quality and inherent strengths. Should you choose, you may also take a significant hit in forging time to experiment with different metals and minerals, melting and combining them to create a different, newer resource with one quality from the second object in question. Rise, craftsman. Rise and begin your work.</t>
  </si>
  <si>
    <t>AGE Device</t>
  </si>
  <si>
    <t>Cyber-doctor Equipment Package</t>
  </si>
  <si>
    <t>Chapter 26: 21 Closing Moves
Civilian Equipment Package (GUNNM/Battle Angel Alita) 100:
Cramped room in the Scrapyard, basic household belongings, clothing, one Heirloom Weapon for free. If you are employed, attached is enough space to setup a workshop, clinic, studio or whatnot.
Heirloom Weapon (GUNNM/Battle Angel Alita) Free with Civilian Equipment Package:
Everyone in the Scrapyard carries something. Yours is a lot better than most, something that an actual professional might carry. Firearms are illegal on penalty of death - but outside the Scrapyard anything goes. As an heirloom, it has seen hundreds of years of loving use and its craftsmanship compares very well to modern technology. To the right person, it could be worth a lot.
Cyber-doctor Equipment Package (GUNNM/Battle Angel Alita) 200:
As Medic, plus powered tools for cyborg disassembly and repair. Bulky diagnostic computer, ten kilograms of miscellaneous spare parts, very rare compact 3D fabricator capable of milling custom components and printing or repairing circuitry. Free Rocket Hammer.
Medic Equipment Package (GUNNM/Battle Angel Alita) Free with Cyber-doctor Equipment Package:
One clean blood-and-dirt-repellent jumpsuit, facemask, kit equivalent to a modern first responder’s kit. Assorted drugs and painkillers, and a few roughly bound texts on mutant and human care.
Rocket Hammer (GUNNM/Battle Angel Alita) Free with Cyber-doctor Equipment Package:
A two-handed warhammer with chisel-shaped head mounting a rocket booster that activated by a switch on the shaft. It can be disassembled and comes with a rolling case and replacement parts. A rare weapon in the Scrapyard, while very difficult to control it performs superbly against heavy cyborg armour and is fully legal despite the firearms ban.
Single Style - T’ai Chi Chuan (GUNNM/Battle Angel Alita) Free:
Solid theoretical and practical experience of a single form of personal combat. In the wasteland, what martial arts survive are pragmatic descendants of old world teachings. In the Scrapyard however, there are genuine schools of combat, though they are often overlooked – most human styles are ineffective against the crudest cyborg brawler, and the emphasis is to strike fast and run away faster.
T’ai Chi Chuan –This art is rarely taken seriously, owing to its firm rooting in qigong breathing techniques and ideas about chi, internal balance and fluid control of defence and counterattacks that have little appeal to cyborg fighters. However many elements of it have influenced the most advanced cyborg combat styles, and the therapeutic version is popular enough with the elderly that the original forms survive.</t>
  </si>
  <si>
    <t>Facility
Item
Facility
Item
Item
Skill</t>
  </si>
  <si>
    <t>Scanner</t>
  </si>
  <si>
    <t>Mythical Forge</t>
  </si>
  <si>
    <t>Jade Empire</t>
  </si>
  <si>
    <t>Crucible of Eight Trigrams</t>
  </si>
  <si>
    <t>Chapter 66: 51 Lunchtime
Crucible of Eight Trigrams (Journey to the West) 500:
A big ass crucible that can render down *most* objects into their base components. Magic and enchantments can be removed this way and used for later experiments, although this will take some time to accomplish and is not an exact science. You can’t use it to break down living creatures.</t>
  </si>
  <si>
    <t>Architect's Eye</t>
  </si>
  <si>
    <t>LOSS</t>
  </si>
  <si>
    <t>Tool Kit</t>
  </si>
  <si>
    <t>Chapter 39: 33 Morning Training - Preamble James - Addendum Youth Guard
Tool Kit (Macross) 100:
Woah now, Sonny Jim! You don't expect to fix that machine with your bare fingers, do you? Don't go anywhere without the equipment you need to make sure that tech keeps on trucking! A handy dandy set of tools to accommodate for maintaining Variable Fighters. This will make things easier if you want to keep things in shape or just want to poke around and see what's inside!
Serene Sinatra (Macross) Free:
You're no slouch in the singing department, that's for sure. You may not be popular idol material, but no one's going to complain if you decide to sing along to a song or randomly bust out a tune with a voice like this. Who knows, maybe you could practice and get a little better?
Basic Training (Macross) Free:
Piloting a Variable Fighter can be pretty complex. There's all kinds of modes and maneuvers to worry about... with this, you won't have to worry so much. You'll know which button does what, and you won't end up turning into a mech when you need a jet. ...but I reserve the right to laugh if you mess up anyway
Space Suit (Macross) Free:
A futuristic, spandex space suit that will let you survive for 20 minutes in deep space. It's really more in case your vehicle gets stranded, but otherwise it's pretty darn cool looking.
Basic Variable Fighter (Macross) Free:
Your good ol' Fisher Price Veritechs! They may be the beginning, but they're classics and were the groundwork for future generations. Editions like the VF-1A Valkyrie (or its other variants), the YF-4, VF-2SS or the VF-4 Lightning III are made available for your stay here. It can transform in the atmosphere and operate in space, but it cannot reach escape velocity on its own. Comes with basic armaments and like all Variable Fighters can transform into a Jet, a Mech, or a 'middle' form called Guardian Mode.</t>
  </si>
  <si>
    <t>Item
Skill
Skill
Item
Vehicle, System</t>
  </si>
  <si>
    <t>Class and Specialization</t>
  </si>
  <si>
    <t>Chapter 19: 15 Recuperation
Class and Specialization (Mass Effect) 100:
You will get enough training in your class to be considered an asset to any team. Not to the point of being a keystone. You are considered to be to a similar level when it comes to your specialization. Specializations are various apexes that can be reached. You also get a set of gear per your two choices.
Class: Engineer
Engineers are pure technology specialists. Although they lack the implants that most other classes wield, they make up for it with their high-spec military grade omni-tools, capable of bypassing shields and armor or incapacitating robotic targets and some synthetics. They can deploy combat drones to harass enemies.
Specialization: Mechanic
A more purely focus Engineer. From fighters and frigates to Mass Effect fields and automated machines, you know your way around and are aside fairly versed in mechanical theory. You might not know how to build something, but you can almost certainly figure it out with time.</t>
  </si>
  <si>
    <t>Launderer System</t>
  </si>
  <si>
    <t>Chapter 65: 50 Meantime
Launderer System (No More Heroes) 400:
You gain a new thing to place in your warehouse, and though you don’t exactly know how it works the instruction booklet says it can construct beam katanas of all different styles and usefulness if given the right components- or if you don’t have those, shoving the right raw ingredients in enough quantity to just manufacture the damn things. With enough technical knowledge, you will be able to discard the manual.
The Clothes (No More Heroes) Free:
You wouldn’t make the cover of a magazine, but you can make too many belts work with these pieces.
That Sword (No More Heroes) Free:
You have a basic beam katana, and by basic I really mean it’s a piece of shit. It may have a guide bar if you’re into those, though.</t>
  </si>
  <si>
    <t>Facility, System
Item
Item</t>
  </si>
  <si>
    <t>Diagnostic Tools</t>
  </si>
  <si>
    <t>Chapter 18: 14 Debut
Diagnostic Tools (Outlaw Star) 50:
A small data display with numerous connectors and scanners, capable of letting you know what is wrong with simple technology and what advanced technology that has been programmed into it.</t>
  </si>
  <si>
    <t>Utility Mods</t>
  </si>
  <si>
    <t>The Toolkit</t>
  </si>
  <si>
    <t>Chapter 128: 91 Callout
The Toolkit (Sabaton) 100:
When wielding this toolkit, you can repair devices most would think broken beyond salvation. You could find two twisted armor plates and a couple of treads and before you know it, you have a tank that's as good as new.
Primo Victoria (Sabaton) Free:
In all of these cases, a CD will appear in your hand once you make your choice – a single by Sabaton in both English and Swedish concerning one of your previous adventures.</t>
  </si>
  <si>
    <t>Item
Item</t>
  </si>
  <si>
    <t>Chapter 36: 30 Crescendo - Addendum Missy
Workshop: Magic (Samurai Jack) 200:
A small base filled with all the equipment you’ll need to work. This lab can be used for your choice of scientific or magical research.
Chapter 63: 48 Uptime
Workshop: Science (Samurai Jack) 200:
A small base filled with all the equipment you’ll need to work. This lab can be used for your choice of scientific or magical research.</t>
  </si>
  <si>
    <t>Alchemy Machines</t>
  </si>
  <si>
    <t>The Alchemy Machine</t>
  </si>
  <si>
    <t>Chapter 60: 46.1 Interlude Weld
The Alchemy Machine (Shivers) 400:
Created by the legendary alchemist Louis Garcon, this mysterious machine combines modern science with principles passed down from ancient Egyptian times. Should you have any alchemic ability or knowledge, using this machine will not only drastically enhance the potency of anything you create, but also significantly boost the output. Careful experimentation may even let you learn to automate the alchemic process, allowing the machine to produce indefinitely if provided with supplies. Without such knowledge, though, expect significantly more experimentation before you achieve anything of note.</t>
  </si>
  <si>
    <t>Alchemy Machine</t>
  </si>
  <si>
    <t>Striker Artificer Toolkit</t>
  </si>
  <si>
    <t>Chapter 52: 42 Incapacitated - Preamble Jeanne
Striker Artificer Toolkit (Strike Witches) 100:
Professional Quality Toolkit for sale. Never used. All the tools you need to make a Striker. Act Quick, Limited Stock. O'Malley's Tool Mart.
Defensive Sign “Directional Shield” (Strike Witches) Free:
All Strike Witches are trained to produce a 2 dimensional circle of energy a short distance directly in front of them which can deflect light attacks. You cannot fire a weapon through a shield.
First Generation Striker (Strike Witches) Free:
A basic propeller driven Striker unit. Very agile but unable to break the speed barrier. Fighter</t>
  </si>
  <si>
    <t>Item
System, Ability
Vehicle</t>
  </si>
  <si>
    <t>Skyforge</t>
  </si>
  <si>
    <t>Chapter 29: 23 Renovation - Addendum Taylor
Skyforge (The Elder Scrolls: Skyrim) 200:
An ancient, mysterious, eagle themed forge added to your warehouse. Any metal items crafted at the forge will be significantly harder and stronger for it. Something about the fires.
Standing Stone: The Lover (The Elder Scrolls: Skyrim) Free:
Those under the sign of the Lover learn all skills slightly faster than they otherwise would.</t>
  </si>
  <si>
    <t>Facility
Personal</t>
  </si>
  <si>
    <t>Hidden Hideaway / Laboratory</t>
  </si>
  <si>
    <t>Chapter 30: 24 Tech Work - Addendum Alec
Hidden Hideaway / Laboratory (Valkyria Chronicles) 200:
You've come into possession of a small but out of the way safe-house, providing you with a place to rest and recuperate. This place has enough supplies for 9 people to live for a year or so. Those who have chosen the Scientist origin however, gain an upgrade to this building in the form of an underground laboratory. It is stocked with all the necessary tools and ingredients for a secret lab in the 1930's, along with a few scattered notes on what appears to be a figure surrounded in light.
Ragnite Container (Valkyria Chronicles) Free:
Ragnite is a valuable resource in Europa, and it is unlikely to appear in any other worlds. You receive a container that replenishes once per day. The free level gets you a box the size of a human head.</t>
  </si>
  <si>
    <t>Laboratorium</t>
  </si>
  <si>
    <t>Warhammer 40,000: Light of Terra DLC 3 - A Grand Day Out</t>
  </si>
  <si>
    <t>Chapter 05: 4 Recovery
Laboratorium (Light of Terra DLC 3 - A Grand Day Out) 100:
Ancient cogitators, arrays of auspex systems, and volume upon volume of documentation supply an Adept with the tools and information necessary to capably analyse a recovered technological artefact.</t>
  </si>
  <si>
    <t>Advanced Materials Upgrade Kit</t>
  </si>
  <si>
    <t>Warhammer 40,000: Light of Terra DLC 4 - Lords of the Iron Line</t>
  </si>
  <si>
    <t>Chapter 36: 30 Crescendo - Addendum Missy
Advanced Materials Upgrade Kit (Light of Terra 4 - Lords of the Iron Line - Warhammer 40,000) 300:
Plasteel, adamantium, armourplas, synth-leather and other sophisticated materials are used for all sorts of purposes within the Imperium and are typically far more resilient than their archaic equivalents. Archaic styles of armor are seldom effective against advanced weapons, and rarely used in any case, but many of those who hail from primitive cultures favor the styles of wargear they are accustomed to. Wrought from plasteel and armourplas instead of bronze, iron and steel, a suit of chain or plate can be a quite effective defense, often the equal of more modern armors.</t>
  </si>
  <si>
    <t>Lathe-Wrought Armour Plating Kit</t>
  </si>
  <si>
    <t>Chapter 67: 52 Showtime
Lathe-Wrought Armour Plating Kit (Light of Terra DLC 4 - Lords of the Iron Line) 400:
The astronomical and gravitational alignment of the Lathe worlds creates the conditions for the production of metal alloys of rare and singular properties. Lathe armour plating is strong and light, flexible enough to withstand the most powerful blows, and even resistant to intense heat or the crackling edge of a power weapon. The cost and rarity of such an upgrade is beyond the means of most individuals, with maybe only half a dozen sets of Lathe-wrought armour upgrade kits constructed in a decade, each created under commission for a specific wearer.</t>
  </si>
  <si>
    <t>Soul of the Forge</t>
  </si>
  <si>
    <t>Vehicles</t>
  </si>
  <si>
    <t>Technical Certainties</t>
  </si>
  <si>
    <t>Chapter 60: 46.1 Interlude Weld
Technical Certainties (Ace Combat) 400:
Some engineers are always second guessing themselves, sticking to maintenance of machines that others use. You're so sure of your skills that you're capable of altering fighter planes to great effect, making them noticeably better than they were fresh out of the factory. Upgrades will be easy provided you have resources, and your technical prowess will ensure your plane can serve whatever role you wish of it. You could even slave the controls of ground weapons to your computers, becoming a conductor of war from the skies. You might even be knowledgeable enough to build the next superweapon...</t>
  </si>
  <si>
    <t>Core Competence</t>
  </si>
  <si>
    <t>Armored Core Classic</t>
  </si>
  <si>
    <t>MT/AC Engineering</t>
  </si>
  <si>
    <t>Valuable Memories</t>
  </si>
  <si>
    <t>Chapter 24: 19 Restoration
Valuable Memories: the nature of memories (Big O) 300:
You have knowledge related to any particular concept-the construction of Megadei, the nature of memories, Bigs, or the creation of chimeras. Paradigm will have a vested interest in you, and will protect you and provide you with funds if you work for them.
Chapter 32: 26 Correspondence - Addendum Rory
Valuable Memories:the construction of Megadei (Big O) 300:
You have knowledge related to any particular concept-the construction of Megadei, the nature of memories, Bigs, or the creation of chimeras. Paradigm will have a vested interest in you, and will protect you and provide you with funds if you work for them.
Chapter 46: 39 Set Up - Addendum Kenta
Valuable Memories -the creation of chimeras (Big O) 300:
You have knowledge related to any particular concept-the construction of Megadei, the nature of memories, Bigs, or the creation of chimeras. Paradigm will have a vested interest in you, and will protect you and provide you with funds if you work for them.
Chapter 48: 41 Drag Out - Preamble Chen
Valuable Memories: Bigs (Big O) 300:
You have knowledge related to any particular concept-the construction of Megadei, the nature of memories, Bigs, or the creation of chimeras. Paradigm will have a vested interest in you, and will protect you and provide you with funds if you work for them.</t>
  </si>
  <si>
    <t>Skill
System
System
System</t>
  </si>
  <si>
    <t>Techy</t>
  </si>
  <si>
    <t>Code Geass</t>
  </si>
  <si>
    <t>Mechanic</t>
  </si>
  <si>
    <t>Chapter 14: 11 Power Trip
Mechanic (Fast and Furious) 100:
Machines, especially ones that go fast, just speak to you. You have no problem fixing up and tuning any motor vehicle, and can rebuild them after the most devastating crashes. You can keep anything in top condition with just a few simple tools. Of course, you also need to understand the electronics, so hotwiring cars (and sometimes, alarm systems) is not a problem either.</t>
  </si>
  <si>
    <t>Field Meister</t>
  </si>
  <si>
    <t>Five Star Stories</t>
  </si>
  <si>
    <t>Superweapons</t>
  </si>
  <si>
    <t>Chapter 140: 96 Breakthrough
Superweapons (G.I. Joe) 600:
Your expertise covers the ever growing market of weapons of mass destruction. Giant beam weapons that can teloport people everywhere to controlling the weather, if its meant to bring a city to its knees, you know about it. All of these devices however will take a massive expenditure of manpower and resources. Among rare elements that are the cornerstone of the device. Good thing you always know where to get them, good luck with getting past those giant worms! G. I. Joe will never let you make one...unless they need it to stop cobra's latest super weapon themselves... You repertoire of doomsday devices increases with the technology you are familiar with, you learn how to apply specialties to new super weapons. Robotics could make giant robots that grow as they eat metal. To mutagenic spores that could mutate the planet.</t>
  </si>
  <si>
    <t>I Like 'Em Big
Could Stand To Lose A Few Pounds</t>
  </si>
  <si>
    <t>Anaheim Degree</t>
  </si>
  <si>
    <t>Chapter 47: 40 Knock Down - Preamble Gully - Addendum Emergency Alert
Anaheim Degree (Gundam UC) 200:
You have the knowledge (and the paper to prove it to people and shove in their faces to establish superiority) of how to build MS. It’s trickier than it looks, honestly. Weight balances, servo designs, energy reserves-it’s all down to a science and you know how to build the basics. Who knows what you can learn from a bit of hands-on training...
Mass Production Mobile Suit: Gun-EZ (Gundam UC) Free:
The GM. The Jegan. The Zaku II. The Gun-EZ. The Den’an Zon. They are not powerful; they are not the best of the best, for they are designed for the common soldier. Everyone starts out piloting one of these, just gotta work your way up. (Or like the higher-up on the faction ladders, just buy a better one.)
60mm Vulcans: These are usually head-mounted in pairs (and this comes in a pair), but don’t expect to win anything with these- they’re usually used against missiles, small vehicles and fragile equipment like sensors. They can’t even penetrate the armor of a Zaku II.
Beam Saber: The standard melee weapon even during the OYW, these laser swords can slice through MS armor pretty well- they are swords, though, and getting close to an MS may be the toughest thing you’ll do here. You may also choose instead a pair of Heat weaponry like knives or an axe or a Heat Saber.
Hangar (Gundam UC) Free:
This is an addition to the warehouse designed specifically for housing the MS and any vehicles you bought from this Jump, nothing more, nothing less. It does not have space effectively for anything else. You may summon a Mobile Suit remotely, but it will take a minute to launch, a few minutes to travel and you will still have to clamber inside once it lands. The land battleship and cruiser will take much longer, at least 3x as long, probably more, and you cannot call and dismiss them at will- it takes time to reset. 1 day (24 hours) for a Mobile Suit or small vehicle and 3 days (72 hours) for any form of ship</t>
  </si>
  <si>
    <t>System
Vehicle
Facility</t>
  </si>
  <si>
    <t>Always a Bigger Robot</t>
  </si>
  <si>
    <t>Chapter 57: 45 Realization - Preamble Taylor
Always a Bigger Robot (Gurren Lagann) 600:
The design and maintenance of epic machines is your specialty. You can figure out how to build starships measuring several kilometers long or devise a way to make a mountain sized mecha. You'll also have no problems getting past all the laws of physics that should make such creations impossible, perhaps Spiral Energy has something to do with it?
Spiral Energy (Gurren Lagann) Free:
A mysterious but incredibly powerful evolutionary force that can be harnessed and manipulated by living beings. Spiral Energy can allow an individual to achieve virtually anything imaginable, but in order to keep things from getting too crazy you’ll have to slowly unlock your Spiral powers over time. Initially you’ll only have enough power to pilot a Gunmen but with enough time and the right circumstances you can figure out how to generate large powerful drill weapons from your mech that are capable of easily destroying other Gunmen and can cause massive explosions. After a few years of continued use you could potentially learn how to increase your physical abilities, Intelligence, and natural lifespan to superhuman levels. Once you’ve fully unlocked your Spiral power you’ll be able to live for over a thousand years, punch apart small Gunmen with your bare hands, discover and forge incredible technological wonders, and generate drills and other constructs from Spiral Energy without the assistance of a mech.
Without going through any of the endgame scenarios you'll only be able achieve first arc levels of Spiral power (The feats mentioned in the description for Spiral Energy and displayed by Simon and Lordgenome during their battle at the end of the Beastmen War story arc.) until after you get your Spark and stop jumping.
Regardless of whether or not you decide to go through one of the endgame scenarios, you'll gain the ability to grant one individual in each world you go to a fraction of your Spiral Energy. The person you gift this power to can only improve if your directly train them yourself and the upper limits of their Spiral Powers cannot exceed your own.
Until you get your spark using Spiral Energy will always carry the risk of triggering the Spiral Nemesis, however doing so would probably require generating the same amount of matter and energy as the entire observable universe.</t>
  </si>
  <si>
    <t>Fiat
System</t>
  </si>
  <si>
    <t>Aerospace Engineering Makes Things Go Fast</t>
  </si>
  <si>
    <t>Chapter 07: 6 Commission
Aerospace Engineering Makes Things Go Fast (Kerbal Space Program) 100:
You have an intuitive grasp on the mechanics of wind-flow, material sciences, atmospheric drag, tensile strengths, rocketry, so on and so forth, and how it applies to the art of designing vehicles that traverse the sky and space.</t>
  </si>
  <si>
    <t>Tech Mastermind</t>
  </si>
  <si>
    <t>Lost Planet</t>
  </si>
  <si>
    <t>Fingers of Silver</t>
  </si>
  <si>
    <t>Chapter 18: 14 Debut
Fingers of Silver (Macross) 200:
While other kids were building tinker-toy creations, you were fiddling with your dad's car and doing a better job than him. By purchasing this, meddling with machines and OverTechnology is as easy as breathing for you. By getting your hands on something, you can easily figure out how it works and how to copy its inner workings, provided that it wasn't just bullshit magic. The more advanced something is, the harder it may be... but with time and effort, you just might succeed.</t>
  </si>
  <si>
    <t>Black Thumb</t>
  </si>
  <si>
    <t>Chapter 03: 3 First Fight
Black Thumb (Mad Max Gauntlet) 100:
You have the skills of an expert mechanic, able to keep vehicles running even in the most inhospitable conditions. Repairing and tuning up engines is your bread and butter, even while they’re still operating. You also have a feel for how to upgrade cars in more esoteric ways; hey, it takes skill to add that many spikes and not hurt the handling!</t>
  </si>
  <si>
    <t>A New Age of Warfare</t>
  </si>
  <si>
    <t>Chapter 184: 116.3 Interlude Crystal - Addendum Joe
A New Age of Warfare (Metal Gear) 600:
Metal Gear, a weapon capable of bringing an entire nation to its knees (in theory). Your engineering talents have extended to the point you can create these war machines, even automate them with AI, provided you have enough time and resources.
Global Operations (Metal Gear) Free:
In an era of tactical espionage, a soldier can no longer trust the fight to be defined by borders or battle lines. Operations can occur anywhere on the planet, and you’ve taken the first step to prepare for that. You can speak one additional language, appropriate to your location, fluently.
Signature Weapon (Metal Gear) Free:
While soldiers are often expected to be familiar with a variety of weapons, everyone has a favorite. Especially in this universe, where some of the elite are defined by their weapon of choice. You may import a weapon you already own into any number of weapons purchased, or simply combine purchased weapons, adding either new functionality or an alternate form to the weapon. Selecting a weapon as your signature grants the following benefits:
Total familiarity of the weapon. Operating and maintaining this weapon comes as naturally as breathing to you. This won’t make you a better shot per se, but you know how the weapon behaves as well as your own limbs.
In addition to standard ammo, your warehouse can produce any ammo type that could theoretically be made for it with modern day tech. This includes unorthodox picks like shotgun sabots, mercury-filled bullets, or explosive arrows. Options without conventional ammo use have other benefits, listed with the respective weapon.
Extra bonuses to the weapon, based on your background and certain perks, these will persist if someone else is using it. R&amp;D Unit: You can't really say there are many like it, unless you're trying to be humble. Your signature weapon is simply a masterwork: including design and material innovations that would be cutting-edge in MGS4, parts fabricated to microscopic precision, and that intangible care of a hand-made item. The benefits of this won't match the other listed perk effects, but it will improve virtually every aspect of this weapon.</t>
  </si>
  <si>
    <t>System
Skill
Item</t>
  </si>
  <si>
    <t>Consummate Knowledge
Swiss Army Engineer</t>
  </si>
  <si>
    <t>Ring of Red</t>
  </si>
  <si>
    <t>Mechanical Genius</t>
  </si>
  <si>
    <t>Star Wars: The Clone Wars</t>
  </si>
  <si>
    <t>Chapter 123: 88 Perspectives
Mechanical Genius (Star Wars – Clone Wars) 600:
You're the leading expert at designing droids and starships. Given the right resources you could create fully autonomous starfighters with built in hyperdrives, battle droids with cheap, stronger and longer lasting shields, hover tanks as fast as landspeeders, androids indistinguishable from organics, and combat droids capable of killing jedi.</t>
  </si>
  <si>
    <t>PT Theory
Alpha Documents</t>
  </si>
  <si>
    <t>Super Robot Wars OG</t>
  </si>
  <si>
    <t>Titan Engineering</t>
  </si>
  <si>
    <t>Chapter 90: 66 Review and Preparation
Titan Engineering (Titanfall) 100:
Titans are incredibly complex machines, and due to the disposable nature of their use and production, and not designed for easy repair. You've got the deft touch though, and know exactly where to tweak and shore up the structure to keep it purring like it's fresh out of the drop pod for years.
Titan Chassis - Medium (Titanfall) Free:
Titans. Six meter tall war machines, these humanoid automatons are probably half the reason you're here. Titan's are controlled from a cockpit that forms the torso, inside is a projected display that is a feed from external camera's mounted on the Titan's hull. Titans incorporate a form of force field around the Titan called a bodyshield. Invisible until a projectile is in range, the body shield slows or stops projectiles and forces explosive projectiles to detonate early, significantly reducing damage to the Titan. If a bodyshield is activated too often in a short period, it can be overloaded and go offline until it recharges, making the Titan significantly more vulnerable.
Each Titan has it’s own unique core ability and them which the rest of the Titan is generally built around, with a supporting tactical, defensive and ordnance ability. A Titan’s depends the most on it’s battery packs, of which each Titan generally has several. While the reactor may power the Titan’s ordnance and tactical abilities, the batteries are large reserve power packs that are used in self repair and to maintain structural integrity. Once all battery power is consumed, the Titan will often lose the ability to walk or maintain it’s bodyshield, and easily crumble under bombardment. This makes batteries tempting targets for other Pilots to attempt to steal via a ‘rodeo’ maneuver.
Every Titan also comes equipped with it’s own internal AI, which – on the surface – manages all internal Titan functions, such as power, stabilization and targeting. To a Pilot, however, an AI is much more than that. It is their partner both on and off the battlefield, loyal and helpful to a fault- to the point that many Pilots would call their Titans ‘friend’. While of the available classes, Legion, Scorch and Ronin are loaded with male AIs and Northstar, Tone and Ion loaded with female AIs, you may choose the programmed gender of your AI as well as it’s general voice. From that point on, it is a fairly blank slate as far as personality development is concerned, being designed to eventually develop an AI to compliment you- it’s Pilot.
Buying a Titan chassis does not give you a single Titan. It instead gives you the plans to construct Titans, and during the jump, privilege to request a Titan from your faction, if you are acting in their interest or have sufficient rank, you can request a Titan more often. You get a clip on device that instantly relays coordinates to your faction for a Titan drop. If one of their ships are in range, a Titan will be delivered to your location in a drop pod.
Medium – The first Titan ever developed and tested in combat, the Atlas’ design methodology has survived the ages, being built around a balance of armor and speed. With two dashes to use, medium chassis can never the less take more of a beating, and have modern day descendants in the Tone and Ion Titans.
Titan Hangar (Titanfall) Free:
A sophisticated auto-factory, this attachment to the warehouse will manufacture any Titan you have the plans for. The designator now causes one of these Titans to be deployed to the point you designate in a drop pod when used. Once deployed, another Titan won't be produced until you return it to the warehouse or it is destroyed. Additionally, a Titan is now constructed once a day for free, but if you want more than one Titan per day, it will still construct you more if you can feed it the necessary raw materials.</t>
  </si>
  <si>
    <t>Extensive Research Notes</t>
  </si>
  <si>
    <t>White Knight Chronicles</t>
  </si>
  <si>
    <t>Pre-AU</t>
  </si>
  <si>
    <t>Introductions</t>
  </si>
  <si>
    <t>Entanglements</t>
  </si>
  <si>
    <t>This Is, Actually, Rocket Science</t>
  </si>
  <si>
    <t xml:space="preserve">Laboratorium </t>
  </si>
  <si>
    <t>Size M Zoid [Wild Liger]</t>
  </si>
  <si>
    <t>You say you’ve got friends do you? Alright, alright, let’s see who’ve you got here… Well, it looks like I’m going to have to outfit you with a Zoid anyhow! We can’t have you running around the wilderness without a form of protection, now can we? Well, you could opt out if you want…But assuming you don’t, I’m gonna need to explain some things to you! See this fellah up here? This is a Zoid. Aye, and I’m giving you one. A Medium sized one for free, and a core to go with it. See, the Zoid itself is a skeleton, whereas the Core is like the brain. One won’t work without the other. Let’s start with sizes shall we? Sizes run from Small (S) to XL (Ultra Large) with M, L, and LL in between. The smaller the Zoid, the faster and more nimble it is and less likely to get detected. The larger the Zoid, the more armaments and equipment you can place, and the Core also supplies more energy as well. The amount of customization points is tied to the Zoid you choose – but the technicians will explain more about that in a jiffy!</t>
  </si>
  <si>
    <t>Zoid Data [S]</t>
  </si>
  <si>
    <t>With the data samples of a Zoid, you could theoretically mass produce them, granted that you had the proper facilities as well as the necessary resources. With this, you can get the data sample of any Zoid within that specific size class for production purposes. Zoid Data for all Small (Size S) Zoids.</t>
  </si>
  <si>
    <t>Clusters from Setting</t>
  </si>
  <si>
    <t>Available Clusters</t>
  </si>
  <si>
    <t>Jumpdoc Link</t>
  </si>
  <si>
    <t>Jumpchain Final Link: Warhammer 40k</t>
  </si>
  <si>
    <t>ActRaiser</t>
  </si>
  <si>
    <t>Akame ga Kill Jump, .1</t>
  </si>
  <si>
    <t>Alpha Centauri Jumpchain Version 1.0 By: Obfuscation</t>
  </si>
  <si>
    <t>Alpha protocol Jump by ShinyGear Ver1.0</t>
  </si>
  <si>
    <t>Anno 2070 Jumpchain v1.00 by AdmiralAnon</t>
  </si>
  <si>
    <t>Ar Tonelico Jump Finished v6, by Mir</t>
  </si>
  <si>
    <t>archer cyoa</t>
  </si>
  <si>
    <t>Armored Core Classic Jump v1.3</t>
  </si>
  <si>
    <t>Assassin's Creed: A Jump by Clover</t>
  </si>
  <si>
    <t>Asura's Wrath Version 0.9.2</t>
  </si>
  <si>
    <t>ATELIER: ARLAND TRILOGY (JUMP V.01)</t>
  </si>
  <si>
    <t>Avernum!</t>
  </si>
  <si>
    <t>Babylon 5 Jump chain:</t>
  </si>
  <si>
    <t>Jumpchain Compliant Banjo-Kazooie Presented by Stupid_Dog</t>
  </si>
  <si>
    <t>Big O Jump v 0.4 by VecnaAnon</t>
  </si>
  <si>
    <t>Blazblue Jumpchain CYOA v 1.1 Made by Eyebrows</t>
  </si>
  <si>
    <t>Bloodborne Jumpchain CYOA (Version 1.1)  (“The Old Hunters” Update)</t>
  </si>
  <si>
    <t>BLOODY ROAR by THE ONE-ARMED ANON</t>
  </si>
  <si>
    <t>BOMBERMAN 64: The Second Attack Jumpchain! V. 3.0</t>
  </si>
  <si>
    <t>Borderlands CYOA jump chain compliant. Reclaimed EDITION V3ish</t>
  </si>
  <si>
    <t>BUBBLEGUM CRISIS 2032 JUMPCHAIN v1.0 by AdmiralAnon</t>
  </si>
  <si>
    <t>Space Pirate Captain Harlock CYOA  (Jumpchain-Compliant!)  With special thanks to Eisenstein!</t>
  </si>
  <si>
    <t>Career Model Jump v0.3</t>
  </si>
  <si>
    <t>Castlevania Jumpchain - Less Rough Edition By Wild Card</t>
  </si>
  <si>
    <t>Cave Story V2. Still no wind fortress edition</t>
  </si>
  <si>
    <t>Wildcard presents... Chrono Trigger CYOA Edition Jumpchain Compatible Version 1.1</t>
  </si>
  <si>
    <t>Code Geass Cyoa Made by REBORN anon Version 3.5</t>
  </si>
  <si>
    <t>Command and Conquer : Tiberium Jump</t>
  </si>
  <si>
    <t>Dark Cloud (Version 0.1)</t>
  </si>
  <si>
    <t>DARK CLOUD 2 (VERSION 0.1)</t>
  </si>
  <si>
    <t>Dark Souls Jumpchain CYOA (Version 1.6) Started by Rukipedia, finished by Nu with lots of help from everyone.</t>
  </si>
  <si>
    <t>Darksiders Version 1.0 by Obfuscation</t>
  </si>
  <si>
    <t>Dead Space (updated not the original Celestial forge version)</t>
  </si>
  <si>
    <t>Demon Souls</t>
  </si>
  <si>
    <t>Devil May Cry Jump Version 3.05</t>
  </si>
  <si>
    <t>Devil​ ​Survivor​ ​Jump</t>
  </si>
  <si>
    <t>Dinotopia Jumpchain Compliant v1.0 By Jane Doe</t>
  </si>
  <si>
    <t>DISSIDIA JUMP (V.01)</t>
  </si>
  <si>
    <t>Dodgeball: A TRUE Underdog Story</t>
  </si>
  <si>
    <t>Dragon Age CYOA by Wanderer</t>
  </si>
  <si>
    <t>DUNE  (v1.21 by Horcrux)</t>
  </si>
  <si>
    <t>Dwarf Fortress 1.4 Lazy Newb Edition By Toriko</t>
  </si>
  <si>
    <t>Etrian Odyssey Jumpchain v2.0 By Eyebrows</t>
  </si>
  <si>
    <t>eXceed Gun Bullet Children</t>
  </si>
  <si>
    <t>F.E.A.R First Encounter Assault Recon</t>
  </si>
  <si>
    <t>Wildcard presents... The Fallout CYOA Version 1.1 Jumpchain Compliant</t>
  </si>
  <si>
    <t>Fallout 4 CYOA V1</t>
  </si>
  <si>
    <t>Farscape Jump Version 2.4 by Professor Paradox</t>
  </si>
  <si>
    <t>The Fast and the Furious Jumpchain CYOA</t>
  </si>
  <si>
    <t>FATE/JUMPCHAIN By Rukipedia and Valeria</t>
  </si>
  <si>
    <t>Fate/Extra Jump V1.0  By Valeria and Rukipedia</t>
  </si>
  <si>
    <t>FF Type-0, VERSION [v.011]</t>
  </si>
  <si>
    <t>Final Fantasy 6 CYOA</t>
  </si>
  <si>
    <t>Ffxi Jump</t>
  </si>
  <si>
    <t>Final Fantasy 12 – Jump Compliant Version 0.993 Gemini Edition.</t>
  </si>
  <si>
    <t>Final Fantasy 13 – Jump Compliant Version 0.12 Supahbawss Version.</t>
  </si>
  <si>
    <t>Final Fantasy XIII-2: Jump (Version 0)</t>
  </si>
  <si>
    <t>Final Fantasy 13-3 Jump (Version 0.9)</t>
  </si>
  <si>
    <t>Final Fantasy XIV: A Realm Reborn (Jump v.01)</t>
  </si>
  <si>
    <t>Five Star Stories – Jump Compliant (Version 0.1)</t>
  </si>
  <si>
    <t>Forgotten Realms Jump by Otakumick</t>
  </si>
  <si>
    <t>FullMetal Alchemist CYOA JumpChain Compliant v.1.2 (Oct/30/2016) Created by FFTA Images by KOTOR Anon</t>
  </si>
  <si>
    <t>Futurama CYOA</t>
  </si>
  <si>
    <t>Gi Joe Jump</t>
  </si>
  <si>
    <t>Gargoyles CYOA ver. 1.4.1</t>
  </si>
  <si>
    <t>Geneforge Jump, .3</t>
  </si>
  <si>
    <t>Generator Rex Jump Revision 1.2</t>
  </si>
  <si>
    <t>Girl Genius Jump</t>
  </si>
  <si>
    <t>God of War Co-written by Muyo</t>
  </si>
  <si>
    <t>Golden Dawn CYOA</t>
  </si>
  <si>
    <t>GRAVITY RUSH (JUMP VERSION 0.1)</t>
  </si>
  <si>
    <t>Gundam Advanced Generation</t>
  </si>
  <si>
    <t>Gundam: Universal Century Version 1.2</t>
  </si>
  <si>
    <t>Gundam After Colony Jump</t>
  </si>
  <si>
    <t>Gunnerkrigg Court CYOA Version 1.2 by SomeFaggit</t>
  </si>
  <si>
    <t>Gurren Lagann Jumpchain CYOA December/16/2018 – v.2.0 KOTOR Anon</t>
  </si>
  <si>
    <t>Halo -Original jump by KOTOR and Quicksilver, with permission given for this update</t>
  </si>
  <si>
    <t>Harry Potter CYOA Jumpchain Compliant</t>
  </si>
  <si>
    <t>Heaven’s Lost Property Version 2.2 - We Hate You Tomoki Edition  By HeavensAnon</t>
  </si>
  <si>
    <t>High School of the Dead 6/8/2015 ­ First Draft!</t>
  </si>
  <si>
    <t>History's Strongest Disciple Kenichi CYOA (Jumpchain Compliant) v1.3</t>
  </si>
  <si>
    <t>Inukami Jump V2.0 Made By: mib</t>
  </si>
  <si>
    <t>Jade Empire Jump</t>
  </si>
  <si>
    <t>007 Jump</t>
  </si>
  <si>
    <t>Journey to the West Jumpchain V1.0 By Wukong</t>
  </si>
  <si>
    <t>Kerbal Space Program Jumpchain by AdmiralAnon</t>
  </si>
  <si>
    <t>Kill la Kill Jump by Eyebrows</t>
  </si>
  <si>
    <t>Disney's Kim Possible Jumpchain Compliant Presented by stupid_dog and friends</t>
  </si>
  <si>
    <t>King Arthur Jumpchain</t>
  </si>
  <si>
    <t>Kingdom Hearts Jumpchain By SyproAnon and TopHaia1iha1us updated 24 December 2016</t>
  </si>
  <si>
    <t>Kingdom of Jumping 12/19/15 10:28 PM</t>
  </si>
  <si>
    <t>Kingdoms of Amalur: Reckoning made by Amalur Anon</t>
  </si>
  <si>
    <t>Legacy of the Aldenata Jump</t>
  </si>
  <si>
    <t>Ninjago: Masters of Spinjitzu CYOA (Jumpchain-Compliant!)</t>
  </si>
  <si>
    <t>Libriomancer Jump chain v1.5</t>
  </si>
  <si>
    <t>Lone Wolf Jump Chain Compliant</t>
  </si>
  <si>
    <t>Lord of Light By Mir</t>
  </si>
  <si>
    <t>The Lord of The Rings</t>
  </si>
  <si>
    <t>LoSS JumpChain by SpyroAnon</t>
  </si>
  <si>
    <t>Lost Planet  By- GundamAnon</t>
  </si>
  <si>
    <t xml:space="preserve">Lyrical Nanoha Original jump and WIP by AncillaAnon Finished with permission by HeavensAnon, Ver 0.3 </t>
  </si>
  <si>
    <t>Mad Max Jump V1.3</t>
  </si>
  <si>
    <t>nWOD Mage: The Awakening (1st edition) CYOA Jumpchain Compliant  v. 1.1 Signed; Zediekiel, with contributions by Alice English and others</t>
  </si>
  <si>
    <t>Maoyuu Hero And Demon King</t>
  </si>
  <si>
    <t>Marvel Studios Vol 1 Special thanks to Marvel_Anon, Valeria, SoAnon, and various members of /jc/!</t>
  </si>
  <si>
    <t>Master of Magic Jumpchain by Acheld. Version 1.12. Based on the 1994 Video Game.</t>
  </si>
  <si>
    <t>Medaka Box Jumpchain CYOA By tovam updated 2015/05/15</t>
  </si>
  <si>
    <t>Megaman Zero v1.1 Jumpchain Compliant By Reploid and Odama Image by Reploid</t>
  </si>
  <si>
    <t>Metal Gear Solid Rising Lightning Jump Action Version 2.0</t>
  </si>
  <si>
    <t>Metal Gear Solid Tactical Espionage Action Created by Rising Anon and Kanon's Updated 11/30/2017</t>
  </si>
  <si>
    <t>Minecraft Jumpchain 0.6, Reloaded Edition</t>
  </si>
  <si>
    <t>Monster Hunter CYOA</t>
  </si>
  <si>
    <t>The Mysterious Cities of Gold CYOA (Jumpchain-Compliant!)  (Version 0.1)</t>
  </si>
  <si>
    <t>No More Heroes Jump</t>
  </si>
  <si>
    <t>Okami Jump  Version 1.1</t>
  </si>
  <si>
    <t>Outlaw Star 10/29/16 12:07 AM</t>
  </si>
  <si>
    <t>Overlord (the series) v1.4 Jump by Brellin</t>
  </si>
  <si>
    <t>Percy Jackson jump</t>
  </si>
  <si>
    <t>PERSONAL REALITY SUPPLEMENT  FOR JUMP-CHAIN CYOAs by SJ-Chan and Sonic0704 v.1.3</t>
  </si>
  <si>
    <t>Pocky &amp; Rocky Jumpchain! v.4.7</t>
  </si>
  <si>
    <t>THE POLITY JUMP  v1.01</t>
  </si>
  <si>
    <t>Ragnarok Online – Jump Version 2</t>
  </si>
  <si>
    <t>A Certain Scientific Railgun v1.2 by Reploid and DFC</t>
  </si>
  <si>
    <t>Ratchet &amp; Clank Jumpchain V1.2 by Wukong</t>
  </si>
  <si>
    <t>Katekyo Hitman, Reborn!</t>
  </si>
  <si>
    <t>Recettear: Jump [v.00]</t>
  </si>
  <si>
    <t>Command &amp; Conquer Red Alert 3 Jumpchain Compliant By stupid_dog and friends</t>
  </si>
  <si>
    <t>Red Dwarf Jumpchain V1.0 By Wukong</t>
  </si>
  <si>
    <t>Jumpchain: Red Faction Updated 11/2/2017</t>
  </si>
  <si>
    <t>Ring of Red JumpChain By Yorokonde (Credit: Muyo for Mecha Building System)</t>
  </si>
  <si>
    <t>Robot Unicorn Attack Jumpchain Compliant Presented by stupid_dog</t>
  </si>
  <si>
    <t>RWBY by Clover</t>
  </si>
  <si>
    <t>Sabaton CYOA (Jumpchain-compliant!)</t>
  </si>
  <si>
    <t>Samurai Jack Jumpchain CYOA By KOTOR Anon - December/16/2018</t>
  </si>
  <si>
    <t>Sburb Made by CleanupAnon/Mardukth, with help from Alice English and the thread.</t>
  </si>
  <si>
    <t>Wild Card Presents... Secret of Evermore CYOA edition Version 1.0</t>
  </si>
  <si>
    <t>SEKIREI</t>
  </si>
  <si>
    <t>Senki Zesshou Symphogear  v1.1.3 by AncillaAnon WIP by Merchant</t>
  </si>
  <si>
    <t>Wild Card Presents... Shivers CYOA Edition Jumpchain Compliant Version 1.0</t>
  </si>
  <si>
    <t>Skies of Arcadia CYOA</t>
  </si>
  <si>
    <t>Skulduggery Pleasant</t>
  </si>
  <si>
    <t>Sonic JumpChain v6</t>
  </si>
  <si>
    <t>Soul Calibur Jumpchain Compliant Presented by stupid_dog</t>
  </si>
  <si>
    <t>Spiral Knights By RED Ronin, Reploid, One-armed Anon</t>
  </si>
  <si>
    <t>Splatoon Jumpchain CYOA v 1.2 Made By Eyebrows</t>
  </si>
  <si>
    <t>Squirrel and Hedgehog!</t>
  </si>
  <si>
    <t>STALKER v1.4.2 By StalkerAnon Special thanks to Sol, Falldown, and the community for their contributions.</t>
  </si>
  <si>
    <t>Star Trek TNG/DS9 JumpChain CYOA Created by KOTOR Anon V.1.2 (Feb, 26, 2018)</t>
  </si>
  <si>
    <t xml:space="preserve">Star Wars: The Clone Wars JumpChain Jan/11/2018 – v.2.1 KOTOR AnonCYOA </t>
  </si>
  <si>
    <t>Starcraft Jump, version .46</t>
  </si>
  <si>
    <t>Stargate</t>
  </si>
  <si>
    <t>Storm Hawks v1.1 Jumpchain compliant</t>
  </si>
  <si>
    <t>STRIKE WITCHES JUMPCHAIN  V1.04By Strike-Chan</t>
  </si>
  <si>
    <t>Sunrider By Strike-chan Version 1</t>
  </si>
  <si>
    <t>Super Mario RPG CYOA v.01</t>
  </si>
  <si>
    <t>Super Robot Wars The Moon Dwellers</t>
  </si>
  <si>
    <t>Sword and Sorcery Jump By Worm_Anon</t>
  </si>
  <si>
    <t>Tales of Symphonia, Jumpchain Compliant</t>
  </si>
  <si>
    <t>Teen Titans CYOA JumpChain Compatible by KOTOR Anon v.1.3 (Oct/29/2016)</t>
  </si>
  <si>
    <t>Tenchi Muyo! Jump V0.9.2 1/4/15</t>
  </si>
  <si>
    <t>the Banner Saga By: Obfuscation</t>
  </si>
  <si>
    <t>The Elder Scrolls V Skyrim</t>
  </si>
  <si>
    <t>The Mighty Boosh Jumpchain V1.0 By Wukong</t>
  </si>
  <si>
    <t>The Witcher Videogames jump By Mad_Hatter</t>
  </si>
  <si>
    <t>The World Ends With You Jumpchain v 0.2 Made by Eyebrows</t>
  </si>
  <si>
    <t>THIEF JUMPCHAIN By: Manyfist</t>
  </si>
  <si>
    <t>Thundercats [2011] JumpChain CYOA Jumpchain Compliant – V 2.1 – 3/10/17</t>
  </si>
  <si>
    <t>Titanfall Jumpchain V2.5 – AncillaAnon</t>
  </si>
  <si>
    <t>Totally Spies/Martin Mystery CYOA (Jumpchain- Compliant!)</t>
  </si>
  <si>
    <t>Touhou Project Jumpchain CYOA v1.5 Final – Original Edition  -By MoeAnon-</t>
  </si>
  <si>
    <t>Transformers Jumpchain  By: Manyfist</t>
  </si>
  <si>
    <t>VALKYRIA CHRONICLES JUMP By Valeria</t>
  </si>
  <si>
    <t>Valkyrie Profile CYOA</t>
  </si>
  <si>
    <t>Wakfu CYOA Jumpchain Compliant</t>
  </si>
  <si>
    <t>Light of Terra Optional DLC - The Heathen Trail</t>
  </si>
  <si>
    <t>Light of Terra Optional DLC - A Grand Day Out.</t>
  </si>
  <si>
    <t>Light of Terra Optional DLC - Lords of the Iron Line.</t>
  </si>
  <si>
    <t>Light of Terra Optional DLC - A Sky Filled With Steel.</t>
  </si>
  <si>
    <t>Warriors Orochi Jump Compliant Version (V0.1)</t>
  </si>
  <si>
    <t>White Knight Chronicles - Incorruptus &amp; Georama Jumpchain  Supplement (Version 1.1: Georama Update)</t>
  </si>
  <si>
    <t>World Of Warcraft Jumpchain By Manyfist</t>
  </si>
  <si>
    <t>Worm Jump By Worm_Anon</t>
  </si>
  <si>
    <t>XCOM Jump</t>
  </si>
  <si>
    <t>XCOM 2 Jump Version 0.992 By Strike-Chan</t>
  </si>
  <si>
    <t>Zoids Legacy: Jump (Version 0.1)</t>
  </si>
  <si>
    <t>Companion Text</t>
  </si>
  <si>
    <t>Potential Free Perks</t>
  </si>
  <si>
    <t>More importantly you may pick one friend or ally from each chain you’ve visited up to now and summon them to your starting point. All backgrounds, items, and drawbacks will apply to your entire party unless otherwise stated.</t>
  </si>
  <si>
    <t>Astartes Impants 250CP (free for Space Marine)
o A series of implants providing abilities such as radiation resistance, bulletproof skeleton, acid spit, and more.
 Technical Training 100CP (Free for Techpriest)
o Skill in using and maintaining 40k tech, does not apply to Ancient or Alien technology.
 Martial Training 100CP (Free for Guardsmen)
o Skill in using various imperial weapons.
 Imperial Creed 50CP (Free for Citizen)
o Knowledge of various prayers and stories underlying the Imperial Faith.
Advanced Medkit 100CP (free for Civilian)
o Disinfectant, dressings, antidotes, stimulants, the works. Better selection than typical kits, shelf life of 1000 years, give or take. Can be restocked from warehouse medbay.
 Flashlight and T-shirt 100CP (Free for Guardsmen)
o Standard Issue M36 Lasgun, Flak Armor, and Guardsmen’s uplifting primer. Weaksauce compared to most kit in 40k, but it’ll do the job against other humans.
 Mechanicus Implants 150CP (Free for Techpriests)
o Basic set of cybernetics used by all Techpriests, includes interfaces, power sources, and anchoring points for all kinds of devices.
 Astartes Scout Gear 250CP (Free for Space Marines)
o What, you thought full power armor would be free? Funny. Still, this protects better than most armor without encumbering you. Includes cameoline cloak and helmet.</t>
  </si>
  <si>
    <t>Free: Servant
A Master must have a Servant. The Moon Cell will grant you the service and protection of one of history's greatest figures, be it a hero or a villain. They will be your sword for this conflict, the method through which you do battle with the other Masters and perhaps even claim the prize for you. You will use the Servant Supplement in the Drive to create this Servant and can freely import a singular, non-group, companion into the role. Servants in this jump are Tier Two Servants.</t>
  </si>
  <si>
    <t>https://drive.google.com/file/d/1TAfvv7_gtaWzgSEl9OT7maQbucVBd0J0/view?usp=sharing</t>
  </si>
  <si>
    <t>To get you started you gain a companion of any of the listed unit types, if there is a cost stated you must pay that price, unless you import a companion into this role, which may be done freely. Along with this companion you get a squad of units of the same type. You may also obtain or import additional companion units for 50cp, new companions are also required to pay any stated cost. Likewise for 50cp and any listed price you may hire a squad of units. All companion units gained or imported here come in your choice of gender, and gain the best training, and the best equipment that isn’t an experimental prototype.</t>
  </si>
  <si>
    <t>Marine, the most basic of all terran units, and the backbone of terran military might. This companion is a skilled commander, military strategist, and a crack shot with every weapon. Squad size 8
Marauder, heavy unit that launches a variety of grenades, they are an expert in explosives and controlled, or not so controlled demolition. Squad size 4
Firebat, heavy unit that uses flamethrowers and missiles, expert battlefield analysis with an artistic side. Caution, artistic side usually involves fire. Squad size 4
Reaper, demolition and scouting unit that comes with a jetpack. Actually an expert in training, or more accurately chemically reconditioning reapers, they are very skilled at directing drugged up lunatics, and forming them into a skilled fighting force. Squad size 6
Medic, skilled and quick medical care, even a bit of machine repair, also a very skilled pilot, and very knowledgeable about biology. Squad size 6
Ghost, 50cp. Light stealth unit with psychic powers, has expert use of their psychic powers to do things you might not have thought possible. Though they have a hard time reading minds, and are no more powerful than you with the psychic power option, they are also a skilled teacher, and great at training psychic potential. Squad size 4
Spectre, 50cp. Light stealth unit with psychic powers, is more powerful than the Ghost, but has less skill, slight rage issues but a great friend that is always there for you. They know how to enhance your power if you chose the psychic power option and can teach you to use that power. Squad size 4
Goliath, 50cp. The pilot of a basic mech with machineguns and missile pods, they are surprisingly able in social situations and are great at getting people to like them. Squad size 2
Banshee, 50cp. Pilot of a missile based ground attack aircraft. Pilot is also very skilled at fighting in CQC. Squad size 2
Viking, 100cp. Pilot of transforming fighter/mech, amazing agility and flexibility, minor psychic powers but some skill at reading minds, expert at spying and covert ops. Very cheerful, and always willing to help. Squad size 2
Predator. Personal Predator unit, not sentient, comes at an above average size of your choosing, anywhere from the ordinary size to 2.5 times normal. Self repairing and comes with the ability to lay mines, and a lightning field that does not harm friendly units. Can cloak for 100cp extra. Saddle option is free. Squad size 3
Crucio Siege Tank, 100cp. The pilot of a powerful tank that can transform into an immobile artillery platform, they are an expert in machines and computers, they are also a hell of a chef. Squad size 2
SCV, basic construction and mining unit. Pilot is an incredible engineer and can find ways to improve just about anything that can be improved. Squad size 8</t>
  </si>
  <si>
    <t>-We Go Together (Free): Anyone in this world will tell you that you need allies. Whether it's teammates or minions, one person is nothing. You can import up to 8 companions for free as they gain human forms, along with skills in firefights and the use of various weapons. If human, you form the newly created 'SG-30' team, an exploration group meant to see new worlds. If Goa'uld, you choose to either be a minor Tok'ra resistance group or a new faction vying for the title of System Lord.</t>
  </si>
  <si>
    <t>Old Friends [Free or 50cp] It can be lonely being one of the attuned sometimes, so how about this? I'll let you bring up to eight of your companions with you, if you want to bring more than that, you'll need to pay an additional 50cp for each person.
Companions imported using this option receive a free Origin, along with any freebies and discounts associated with it. Why discounts if they have no points, you ask? Well, you can sacrifice some of your own cp to give all of your companions that much as well, how about that?</t>
  </si>
  <si>
    <t>https://drive.google.com/file/d/1E2kFAwTDiizQYabrfXmSJdGeyUKwksPj/view</t>
  </si>
  <si>
    <t>Perk text</t>
  </si>
  <si>
    <t>-Soundtrack (Free): When you take to the skies, it does not always have to be on a somber note. As you fly to your mission, dogfight, or assault an enemy position you'll have the soundtrack of your choice playing in the background. Others can hear this if you wish, and you can turn this off at any time. Perfect for when you want to hype yourself up for a situation.</t>
  </si>
  <si>
    <t>-Jingle of Jazz (Free): You've got a soundtrack now! Whether you want it to be peppy and sound likesomething out of a club, or go to the other end of the spectrum with ominous latin chanting and heavy orchestra, it's up to you! Go nuts and remember to keep it how you like it. Heck, you can make it a soft jazz note fit for a bar if you wanted.</t>
  </si>
  <si>
    <t>Moonsong: Now the Cave Story soundtrack follows you wherever you go! Every song from the soundtrack is available to you and you can play whatever feels appropriate. As a bonus, you also get a constantly updated list of remixed tracks based on Cave Story music wherever you go. Ever wanted to hear Moon Doctor while traversing space? You can.</t>
  </si>
  <si>
    <t>Jumper's Theme (Free): Ever notice how everyone around here's got their own theme song? Huh, you can't hear it? Well, I sure can, and if you'd like, I can hook you up with the Composer to get you your own personal song! It'll fit you perfectly, and start playing whenever you're doing something impressive or cool. You can decide if anyone else besides the two of us can hear it, although nobody's going to think it's unusual or associate the fact that it suddenly kicks into gear with your presence.</t>
  </si>
  <si>
    <t>-Epic Poem (Free): The Greeks very much enjoy their tales and stories, traveler. They were infatuated by stories, and things that could be done to improve them. You have been blessed with such a boon, and now have access to the entirety of the God of War series' soundtrack to play for you in the background! You may turn this on or off at your leisure.</t>
  </si>
  <si>
    <t>-Soundtrack of the Stars (Free): It is one thing to be told that you have to fight a war that appears outright impossible, but to do so with little in the way of morale or confidence boosters is effectively asking you to die. You really need something to help you out on that last part if you want to make it through this whole thing, which is why you have this freebie that allows you to have the entire Halo soundtrack at your disposal. Have appropriate themes playing in your head depending on the situation, or cue something up to feel amazing. This option is able to be toggled.</t>
  </si>
  <si>
    <t>-Catchy Theme (Free): Dr. Jones' theme song is practically iconic by now. The second someone hums it, you know who it belongs to. It's time you got that same treatment. This will grant you a single tune that can play whenever you're going to do something that will completely steal the show, and it's guaranteed to be damned amazing. Whether others hear it or just you, is your choice.</t>
  </si>
  <si>
    <t>Soundtrack of the Galaxy: What's a good act of heroism or villainy without some kind of music to back you up? This will ensure that you have a fine selection of music that you feel defines the moment, whatever it may be. Superb orchestra, rock music, even a hefty dash of songs from the 1980s if that's your thing. I'll even throw in this handheld cassette player that can work in deep space to listen to it from if you feel like it. Plan and act your day with style.</t>
  </si>
  <si>
    <t>Grasshopper.1 (Free)- You have a boss track. Simple as that. It may not be the best one known to man, but you have something to call your own.</t>
  </si>
  <si>
    <t>Iconic Theme, Free: You first hear this song when you do something amazing, then everytime things get serious. Others can hear this if you wish, but won't find it strange. How bizarre.</t>
  </si>
  <si>
    <t>In all of these cases, a CD will appear in your hand once you make your choice – a single by Sabaton in both English and Swedish concerning one of your previous adventures. However, there is another option...</t>
  </si>
  <si>
    <t>Soundtrack­(Free)­ You get the entire Witcher soundtrack.You can play it at anytime and choose who hears it, breathtakingly clear and beautiful.</t>
  </si>
  <si>
    <t>Transylvanian Horses: During a time of great peril, need, or trial, an ancient Transylvanian tune will echo behind you. You can adjust its ambient volume, and it can be turned on and off at will.</t>
  </si>
  <si>
    <t>Setting</t>
  </si>
  <si>
    <t>Unlocked By</t>
  </si>
  <si>
    <t>Text</t>
  </si>
  <si>
    <t>Notes</t>
  </si>
  <si>
    <t>Confirmed</t>
  </si>
  <si>
    <t>Retroengineer</t>
  </si>
  <si>
    <t>Asgard is a wondrous place, you know. Existing for thousands of years, with advanced magic and technology that would see them rise to become a city of gods... it is little wonder that they are both feared and praised throughout the Nine Realms. The royalty however, has a penchant for adopting strays if Loki is any indication. You have been likewise adopted by Odin and raised as a member of the royal family to be great like them. Not only have you been augmented by Asgardian magics to a truly attractive state that you would feel qualifies as an appearance booster, but you display a great willpower and determination to see your goals and plans through with a very strong learning aptitude to absorb information like a sponge beyond even Tony Stark as befitting of Odin's adoptive child.
-Taking 'Retro Engineer' gives you insight into Asgardian theories in using magic in the creation of technology seamlessly, and the utilization of magic in scientific theories and technology. This allows you to make great leaps in using magitech, and eventually learn the inner workings of Asgardian 'technology' to create works like the Bifrost or enchanted weapons that can focus abilities through them.
Asgardian Armor (Free with Blessed By The Gods)
This exquisite set of ornate armor is as beautiful as it is protective, and comes in the colors and style that you wish. Along with looking amazing and being deceptively lightweight, this armor can withstand a great deal of punishment and even self-repair itself slowly given time. When you want to be protected without sacrificing appearance? This is the armor for you.</t>
  </si>
  <si>
    <t>Symphogear</t>
  </si>
  <si>
    <t>Somehow, perhaps through an accident, a relic has become embedded in a part of your body. While this doesn't prevent you from using other relics you will find that your synchronization coefficient with that Relic has increased tenfold, making the blowback from Swan Songs and other exhaustive features far less severe, with Swan Songs only tiring you immensely. This Relic seems to be reacting differently than seen with Human-Relic Fusion Specimen no. 1, Hibiki Tachibana and Gungnir. It seems to be merging with your body far better than Gungnir ever did, not threatening your life and eventually resolving into something similar to what was achieved by Finé herself with the Nehushtan Armor. The Relic that has been implanted is one of the ones associated with your Origin, but once again you may pay 100cp to change it to a different one.
With Pagan Science – Looking through some of the notes made by Finé's reincarnation, you manage to glean the mechanism behind the energy-mass converter used to create the armor of a Symphogear. While you would still need a Relic to make a proper Symphogear, you can use this to store armor and weapons in the form of a small necklace, simply requiring that the user be able to sing the activation song to use.</t>
  </si>
  <si>
    <t>Possible</t>
  </si>
  <si>
    <t>Your eyes... such beautiful eyes you have there, traveler. Pristine. Gorgeous. Along with your eyes looking how you wish for them to be, you gain a rather large boon. These aren't the actual Eyes of the World, but even as a pale imitation these eyes give an incredible boost to your magical abilities, enhancing their potency and efficiency while allowing you to decide the appearance of your eyes to whatever you wish it to be. It is this gift that allows you to decide whether you want to create, or destroy... it is Aesir's gift to you: The gift of Choice.</t>
  </si>
  <si>
    <t>Rather than a specific species of demons, “Devil” is a catch-all term for the big guys, the movers and shakers of the Demon World. I’m talking about the likes of Sparda, Argosax and Mundus. By sharing their lineage, you’re a step above the vast majority of
demonkind. Superior physical ability, powerful innate magic, the works. But, more than anything, this lineage will improve what you already are. Good will become great. Evil will become worse. Make sure to use the power of your bloodline responsibly, alright, Jumper?</t>
  </si>
  <si>
    <t>Thaumaturgical Focus: Transmutation</t>
  </si>
  <si>
    <t>A core identical to the one Artura Pendragon holds has appeared deep within your soul. This Magic Core has granted you an immense amount of Mana, far more then any normal magus could ever hope to achieve with just magic circuits. This source of mana also regenerates quite rapidly, refilling to full within a single day. This mana is roughly equal to B rank in Servant terms.</t>
  </si>
  <si>
    <t>This represents a very broad base and enough skill to quickly adapt and integrate new techniques into your personal style. It doesn’t by itself increase your raw power, but versatility is extremely useful when your opponents may have a huge variety of body types and combat styles. Allows ordinary humans to attempt to learn special cyborg techniques such as vibration strikes – but is extremely difficult and stressful.</t>
  </si>
  <si>
    <t>This is cybertechnology beyond the capabilities of the Scrapyard. Tiphares keeps a very tight lid on anything that challenges their authority, and in reaction to the potential threat of Den and Barjack – more for stirring up the population than out of fear – will eventually dispatch TUNED agents based on Alita’s body and skills. Baselines are around 20x peak human, and they have a discount on the TUNED equipment package.</t>
  </si>
  <si>
    <t>Similar to true magic but instead is focused on empowerment, curses, transfiguration, and contracts using mystic runes. Though it focuses on these subjects there is little it cannot do if you know the right runes. Even if it's power for destruction may not be as powerful as a wizard's magic.</t>
  </si>
  <si>
    <t>You have the soul of a dragon, or at least people seem to think that now. Aside from the cool factor this give you a greatly increased aptitude for magic of all kinds and, even if only slight, the respect of dragons. Allowing you to talk to even the most haughty of flying lizards without them immediately trying to kill you.</t>
  </si>
  <si>
    <t>I'm scaling the King Author perks to the levels seen in the Fate Legends - Garden of Avalon Jump. In that jump Arturia's Dragonheart is a 600 point perk, so the 300 point Dragon Soul perk wouldn't be on that level. Still powerful, but not as overpowered as a complete magical core. For context, here is the 600 point perk:
Dragonheart- 600
When you were but a babe, a mad wizard decided to test out a new spell on you. He infused your body with the blood of a dragon, granting those same abilities in your frail human form. Or not so frail anymore. Your core has become akin to that of a Dragon, immensely enhancing your magical abilities. Your mana will grow immensely as you age, becoming close to equaling that of an adult Dragon by the time you are an adult, and continuing to grow at a slower rate as long as you continue to live. It will replenish at a terrifying rate, refilling from empty in but an hour of time as your inner dragon generates nearly endless amounts within you. This draconic power also grants you a extremely high level of resistance to magic, rendering you immune to spells save from the highest class of magus, such as Merlin himself. However, it does also make you slightly more vulnerable to attacks that have an advantage against dragons, due to your nature.
The King Author perk is limited to "greatly increased aptitude for magic of all kinds" and a certain level of respect from dragons. So no overpowering mana source, no high grade magic resistance, but also no vulnerability to anti-dragon weapons. There is a side benefit in that "magic of all kinds" means it will affect every type of magic Joe is capable of from every jump he has access to. It gets better the more magic systems he can use, so basically trading a great deal of depth for a variable amount of breadth.</t>
  </si>
  <si>
    <t>A Rare power within this world with only 1 in 10000 normal humans having the power allowing it's user to bring things into being using Pure willpower and the stamina of the caster. Throwing fire balls, constructing a sword, making it rain, all basic powers that can be acquired easily, but a wizard isn't an unlimited battery of power, more complicated spells take more power and are therefore harder to use. That said with enough willpower and energy there are very few things you couldn't achieve.</t>
  </si>
  <si>
    <t>A mysterious new branch of study for XCOM, the Psionic Operative utilizes their mental abilities to great effect to boost their allies and cripple the will of enemies. All offensive attacks bypass obstacles and armour. Taking this perk gives you all of the following:
- Soulfire - Direct some of your psionic energy at the enemy, hurting all but the most mentally fortified opponents. The attack releases endorphins and hormones into your system that make youfeel good and heal some light wounds.
- Stasis - Using your psionic powers you can cause an enemy or an ally to stop in their tracks. With alittle extra effort to can erect a temporary impenetrable field.
- Insanity - A debilitating telepathic attack that can inflict a variety of different negative effects, even forcing some enemies to bend to your will. With a little extra effort the attack causes blood vessels to rupture, causing sever haemorrhaging.
- Fuse - Telekinesis can either be really strong or really precise, and while using it as a cudgel is defiantly an effective tactic, it's precise applications can be both devastating and entertaining.. With some effort you can pull the pin any grenades your target might be carrying.
- Domination - A psionic attack that can theoretically, permanently take over an individual's mind. It takes a reasonable amount of effort, so only one can be controlled at a time, but only the most strong willed opponents can resist your mind.
- Null Lance - You can direct your psionic energy into a beam of telekinetic energy. The beam has a rather long range and damages anything in its path. Anything that isn't obliterated is definitely and it passes through armour as though it wasn't there.
- Void Rift - An attack that creates a bubble of harmful psionic energy. All entities inside the bubble are hurt and organic ones suffer the same effects as someone hit with insanity.
- Solace - An aura of calm surrounds you at all times. Any allies in close proximity will never get panicked, be considerably more difficult for enemies to mind control and will generally have a strong feeling of wellbeing. You also benefit from this, and if you stay in one place long enough with the ability active the psionic energy charges the air around you creating a beautiful purple aurora effect which also marks the boundary of the field.</t>
  </si>
  <si>
    <t>With respect to what can be accomplished with Peak ADVENT Technology in terms of psionics there are some limitations. Psionic Operative is a 800 point perk that grants you the psionic abilities as seen in XCOM 2. The difference between psionic operatives created with Peak ADVENT Technology and people with the Psionic Operative perk is that the Psionic Operative perk has its effects fiat backed. That means everything functions exactly as it does in the games, no matter what you are facing of what kind of resistances they might have. For instance, the fiat backed Null Lance is guaranteed to hurt anything it hits. Without that fiat backing, creating a psionic operative with the Null Lance only guarantees they'll be able to perform as well as in the game, meaning they can ignore armor up to the strongest level seen in the game. Basically, fiat backed Null Lance is Sting-light while Peak ADVENT Technology is 'just' a very powerful blaster effect that can ignore a significant amount of defense.</t>
  </si>
  <si>
    <t>Excluded Jumps</t>
  </si>
  <si>
    <t>Expected Additions</t>
  </si>
  <si>
    <t>Date</t>
  </si>
  <si>
    <t>Events</t>
  </si>
  <si>
    <t>Joe graduates from high school</t>
  </si>
  <si>
    <t>Timeline up to the beginning of the story provided by Lord</t>
  </si>
  <si>
    <t>Joe begins studying engineering at Brockton University</t>
  </si>
  <si>
    <t>Joe’s faculty advisor dies and is replaced by an associate professor. The combined effect of the sudden death and bad advice causes his academics and personal life to suffer.</t>
  </si>
  <si>
    <t>January-March, 2009</t>
  </si>
  <si>
    <t>Joe’s relationship with Sabah deteriorates, including a public blow up, six-week absence, and her ultimate apology and return.</t>
  </si>
  <si>
    <t>Sabah’s father dies, causing her to trigger. She transfers from Engineering to Fashion and begins operating as Parian</t>
  </si>
  <si>
    <t>June, 2009-August 2010</t>
  </si>
  <si>
    <t xml:space="preserve">Joe attempts treatment for his depression, but makes little progress. Multiple medications are tried before a stable combination is eventually found, though it badly affects his sleep. He meets with several different therapists and attempts to make up courses he previously failed, but has to formally file for a medical withdrawal in the spring of 2010.
</t>
  </si>
  <si>
    <t xml:space="preserve">Joe begins seeing Dr. Campbell and making progress on strategies for dealing with his depression. Joe also moves into the city and starts working part-time.
</t>
  </si>
  <si>
    <t xml:space="preserve">Joe’s mother learns about potential changes to his medication after speaking with his psychiatrist and begins heavily advocating for the idea.
</t>
  </si>
  <si>
    <t xml:space="preserve">Joe has the final therapy session that will Dr. Campbell that will be covered by his Q1 insurance with the next session booked for the 16th of April.
</t>
  </si>
  <si>
    <t>Mid-March, 2011</t>
  </si>
  <si>
    <t xml:space="preserve">Joe is convinced to change to a new antidepressant.
</t>
  </si>
  <si>
    <t xml:space="preserve">Joe begins his new medication and attends a family dinner with his parents and one of his sisters. He triggers, leaves the house, and walks home.
</t>
  </si>
  <si>
    <t>April 2-7, 2011</t>
  </si>
  <si>
    <t xml:space="preserve">Joe cuts off contact with his family and begins planning and training to begin work as a cape.
</t>
  </si>
  <si>
    <t>Story Begins</t>
  </si>
  <si>
    <t xml:space="preserve"> Joe goes out as a cape for the first time, encounters Oni Lee and then the Undersiders. Joe's first fight.</t>
  </si>
  <si>
    <t>Timeline after story begins compiled by Whamodyne</t>
  </si>
  <si>
    <t>Joe delivers the knives to the Undersiders in the morning, they rob the bank at noon, Joe has a chat with Amy and heals her in the afternoon. The PRT learns of Joe for the first time.</t>
  </si>
  <si>
    <t>Joe gets Garment Gloves while out on his morning run. Passes his motorcycle DMV test and gets a motorcycle that afternoon.</t>
  </si>
  <si>
    <t>Joe has an appointment with Dr Campbell, ABB starts the bombing spree, Joe has the fight with Bakuda, Uber and Leet while rescuing and healing the Undersiders at the storage facility. Joe's second fight and his first public appearance. Garment Gloves patrols around the Docks neighborhood and meets Flechette and Shadow Stalker.</t>
  </si>
  <si>
    <t>Joe rescues Weld from the bottom of Brockton Bay, has a chat with Director Armstrong. Aisha Laborn follows Joe home into his workshop.</t>
  </si>
  <si>
    <t>Garment Gloves has meet and greet with Protectorate at the gym in the morning. Afterwards Joe chats with Lisa then gets a call from Aisha in trouble at ABB financial center. Joe for the first time has a serious loadout prepared and ready, busts into ABB financial center, rescues Aisha, messes up ABB finances, fights Uber and Leet and displays ability to repair, upgrade and integrate other tinker's work into his own during combat. Joe's third fight. Joe acquires a volcano. Joe briefs Aisha on his powers. Finds out March is the ABB thinker, and she has an annihilator ability. Has a call with his sister that causes emotional stress. With Aisha's help, makes Lethe water and Celestial Bronze. Makes Ren, his first named object, to help Aisha control her power. Gives Aisha omnitool watch.</t>
  </si>
  <si>
    <t>Acquires Veritech VF-2SS Valkyrie II main variable space fighter. Joe surfs the volcano. Joe trains against the duplicates. Meets Taylor in the library, discovers she is the daughter of his old faculty advisor. Goes to Taylor's home, meets and is questioned by Danny Hebert. Amy learns of her family backstory. Joe acquires his first 600 point perk, Master Craftsman. Has thirty four more 600 point perks left in the Celestial Forge to go. Joe goes online, chats with Weld and then meets Dragon. Starts tinker confab with Dragon which ends when emergency is formally declared in BB. Joe attempts to bribe Dragon with reproducible fusion power to continue confab, pushes idea that she is Mastered. This triggers Dragon to attack Joe. He fights in retreat, finally tapping into the Labratorium ability to fight against hostile AIs and defeats Dragon. She considers him a scoundrel. After Dragon fight, Joe goes out and puts out docks wide fire set by Lung rampaging earlier that night. Both Dragon and Dragonslayers decide to head to Brockton Bay.</t>
  </si>
  <si>
    <t>Joe talks with the Undersiders about their debt to him and what he is looking for. Gives them scaled down omnitool watches. Makes wrong assumption over the source of his "I am Iron Man" perk. Garment Gloves visits the bank to get a business loan, choses retail location a block from the gym. Joe researches Natural Alchemy potions and starts producing nanotech which may allow Master Craftsman to apply to extremely high precision crafting.</t>
  </si>
  <si>
    <t>Joe and Garment work together to make new boots and combat uniforms for each other. Joe builds a mantic energy circuit throughout the entire volcano base. Joe's duplicates turn Trauma the lantern shield into a soul bound wristband that anchors a subspace inventory. Joe upgrades his cerebral implant to be Shatterbird proof. Spars with Fleet driving the Motoroid, gets a feel for Boots of Kickass. Survey creates ID of "Delphine Mertens", lawyer for Garment. Garment signs lease, starts to move into her new shop. Aisha introduces her father to Garment in new shop, they discuss Aisha working there. Joe gives Aisha her power armor. Joe patrols into ABB territory, triggers tripwire set by March. Joe, Bakuda and March banter on video call as he traces connection to their location. Fight between Joe and ABB spreads across the city. Joe acquires two Gundam robots and related perks. A duplicate heals Chen and gives him a magic sword, armor and unlocks his Aura. Joe makes public his city wide scans of ABB forces and bomb effects. A duplicate gets info on the dead man's switch, allowing them to trace all implanted bombs. Joe is ambushed by a swarm of Oni Lee's using March's sting attack, almost killing Joe and causing severe damage. March and Lung setup a televised execution. The life fibers embed inside Joe's body and around his organs, giving him enough power to fight back. March takes a serious blow and flies into a shipping container with a broken body. Oni Lee finally takes a serious hit and retreats. Lung ramps up even more. Joe gets the beast roar perk and turns into a half human, half Inostrancevia. Were-Joe fights Lung over the Bay. The duplicate shows up in a Gundam and takes over the fight. Dragon enters the fight against Lung in one of her powered suits. Joe and the Gundam kick Lung up into the sky so Lung can get hit by Fleet driving the motoroid at FTL speeds, killing Lung. Aisha shows up in armor, stealth flies Joe back to Garment's Shop and she and duplicate get him on the medical table to be worked on.
That night multiple sets of duplicates work on Joe, trying to figure out how to separate Tetra from him without killing either. As part of this Joe is given a new super heart made of exotic materials. While this is going on the Undersiders with their watches are sent into the "Dark Zone" as sensor platforms to send back into to Survey who reports it on the Apeiron info website. The duplicates use alchemy fission powered by souls to split Joe and Tetra from each other. Tetra and the divine nanomachines join The Workshop Crew as individuals. Joe finally figures out that his powers are based on fictional universes. Joe is looking forward to his session with Dr. Campbell.</t>
  </si>
  <si>
    <t>Joe and the workshop crew talk over his powers and what known fictional universes some of them come from. Taylor once again makes wrong assumptions about her self assigned mission. Uppercrust has come to town, looking for some sweet, sweet healing. Joe calls Weld on his WardPhone(tm), lets him know that he is recovered and that he plans on taking a nap.
While Joe gets some much needed sleep Scion visits the site of the shardspace breach and fixes some dimensional damage and removes the Minovsky particles in the area.</t>
  </si>
  <si>
    <t>Joe, Tetra and Garment surf the volcano at dawn. Joe and the Workshop Crew put together relief supplies for Brockton Bay and distribute them anonymously across town, including a quarter ton of baking supplies to the gym. Mrs. Gartenberg declares challenge accepted. Joe receives texts from his sister which are exactly as you would expect, deflects the insults and promises to call when he can. Joe and the Duplicates face off in a three on three giant robot basketball tourney against the Workshop Crew of Tetra, Matrix and Fleet. All players are in their version of a giant mech, real or projected.
Joe goes out in the morning to visit the gym which is doing double duty as the neighborhood food bank with lots of baked goods. Doug offers Joe multiple opportunities to work as a mechanic which Joe politely turns down. Joe, using his newly acquired admin skills, helps organize the gym and the logistics of food distribution. Joe introduces himself to Theo Anders to thank him for helping out.
Joe meets Lisa and Brian for lunch. They want to talk about Somer's Rock which Joe knows as a dive bar he visited a few times from his college days. Joe is informed that Somer's Rock is neutral ground for Villains to meet and there is a summit the next night to talk about him. Joe agrees to show up in order to cool things down in town, and promises to deliver replacement costumes for the Undersiders to their lair that evening.
Just after leaving the lunch meeting Joe gains the Avid Glove which as a side effect triggers a global master effect of everyone knowing him as The Enigmatic Artificer. Joe tries to cut off the confusion but people are still kinda freaking out a bit.
Joe gets back to his workshop inside a closet at Garment's Studio just in time for Flechette and Kid Win to visit.
In the Workshop Joe knows that the best healing he can offer others is fully programmed nanite arrays. He pushes the Workshop Crew to start developing them with the EVO program. They transmute Elerium from XCOM to help with the nanites and psionics. Tetra shows Joe she can do Harry Potter magic. They find that Tetra can "feed" off Joe via the Avid Glove remotely, so she can always have a power source and recharge. Flechette has a serious thirst for Garment which Garment and Joe are both missing. Uppercrust choses now to visit the shop, introduce himself, and leave a card. Flechette is upset he interrupted her hitting on Garment and that she considers the Elite a threat to her love interest. Joe sees Flechette flare up some Sting power and starts to understand her importance to his passenger. Kid Win gets samples of Garment's more exotic fabrics and an awesome scarf. The Wards leave to report Uppercrust coming to visit.
Everyone in the Workshop is telling Joe it's time to call his sister in Chicago, the only family member he doesn't block. Joe then gains Thaumaturgical Focus: Alchemy which he uses as an excuse to put off the call. After talking it over with the duplicates, Joe decides to delay the sister call by first calling Taylor to talk about improved armor plates for her. These will also include reinforcement spells that will give her overall costume a defensive boost.
Joe calls his sister who refuses to take anything he says seriously, that he doesn't understand the situation around him, and treats him like a moron who should listen to his betters. This is the good sister. Joe explains about staying in town to care for a friend and the city and is not leaving and has commitments for the next evening (Somer's Rock) instead of Easter Dinner at the parents. Finally promises to stay safe and call after Sunday. To blow off steam, Joe and the Duplicates have an elemental weapon fight.
For the fourth time that day Joe has a short call with Aisha and promises for her to attend Movie Night that evening. Joe mentions that he now has the power of teaching and can teach her Ninja Moves and Alchemy. Aisha is interested but understands there is work involved.
Joe drops off the costumes to the Undersiders, chats with Alec. Tells Alec he is now healed and his coping mechanisms have been removed. Joe is informed again that the watch is making a big difference for Rachael in a good way. Joe visits the Hebert home, says hello to Danny and drops off Taylor's armor plates under some clothes in a bag of holding. Taylor now has some original Garment outfits and four cubic meters of room in a standard canvas tote bag for All The Bees.
Joe heads for his appointment with Dr. Campbell, the only human besides Aisha that knows he is Apeiron.
Joe has a therapy session with Dr Campbell, gives him an "ignore me" tie pin as protection.
The Motoroid in shardspace autorepairs and phones home and the team starts to turn it into a space station.
Joe gets Tybalt the Feline as a companion, and everyone is issued anti-precog gear.
Joe unlocks Tybalt's Aura and then builds bodies for Survey, Fleet and The Matrix including parts of his own soul in the process.</t>
  </si>
  <si>
    <t>Joe tells the summit he wants peace and no civilian or recovery work to be interfered with.
Joe talks to the Butcher about powers and what March promised her.
Joe implies publicly that he can mess with parahuman powers themselves.
Joe puts up a text box on his website as a way to contact him.
Joe gets the E88 to retreat fully from one block on the edge of the Dead Zone.
As appreciation for their going out of the way to get Tetra her order of Blood, Joe gives the bartender a bottle of 70 year of Whiskey that was made that morning.
After the summit, Joe and the team figure out that Aura users have a semblance and that Joe's is "Avoidance" and Tybalt's is "War Games".
Joe calls Chen to give him a heads up about having a semblance.</t>
  </si>
  <si>
    <t>Joe introduces Aisha to the Laboriatorium.
Joe gets Titan robots with AI who he introduces to Fleet and starts to train and integrate them into the team.
Joe, Aisha and Tybalt train on riding the Wish-Zoid AI robots.
The team starts Aura training under Tybalt
Garment and Aisha train for their state driver's licence in the Pilot Simulator.
Garment, Survey (as Delphine Mertens) and Fleet (as Jake Clark) go out of the workshop to meet Parain at her studio.
Garment and Survey meet Parain to warn of Elite recruitment. Parain suggests moving Garment's public showing on Weds from her shop to a larger venue. The team starts to put this plan into action.
Tetra and Aisha get Striker Units and magical familiar spirt forms, Mink for Tetra and Tapir for Aisha.
Joe realizes he has a unique "third eye" ability which allows him to sense mana flow around him.
Joe is able to pull some cultural information about the RWBY universe via the "Bigger on the Inside" technical manual.
Joe and the team watch as news of the existence of the Celestial Forge is released to the public by the PRT.
The workshop gets the "Key Link" upgrade where they can close the door and reopen it at any previously used location.
Joe follows the other members of the Forge on PHO.
Joe promises Tetra that tomorrow they will work with Garment to turn her into a Kamui.
Joe demonstrates a Vortex Grenade in the Shooting Range to show how random it is, even if it can kill an Endbringer.
Joe goes for a walk, placing door locations all around Brockton Bay and the surrounding area.
Joe stops by the gym. Doug points him towards a collection of electric appliances damaged by the Minovsky Particles and asks Joe to do what he can to repair them for the families from the area. Doug also gives him a heads up about volunteering for Garment's charity event on Wednesday.
Joe has a phone call with his sister at the end of which he achieves Mental Fortress.
Joe has a call with Lisa and he unlocks the sensors in her watch so they can get an idea of what Coil's contingency is
Joe tells Lisa he can see through manipulation
Joe receives an invitation to meet Uppercrust the next day
Joe can now fly and lock himself in 3D space from the Incredibly Craftsmanship perk
Joe has The Matrix repair two kitchen ranges and a Fridge for Doug at the Gym
The team prepares for Garment's Charity Event on Wednesday night
Joe becomes a level two Kardashev Civilization</t>
  </si>
  <si>
    <t>Order Obtained</t>
  </si>
  <si>
    <t>Sub-Order</t>
  </si>
  <si>
    <t>Sub-perk</t>
  </si>
  <si>
    <t>AI Designation</t>
  </si>
  <si>
    <t>F</t>
  </si>
  <si>
    <t>Di</t>
  </si>
  <si>
    <t>‘Fashion’</t>
  </si>
  <si>
    <t>L</t>
  </si>
  <si>
    <t>Null</t>
  </si>
  <si>
    <t>A</t>
  </si>
  <si>
    <t>Iso</t>
  </si>
  <si>
    <t>‘Laboratorium’</t>
  </si>
  <si>
    <t>M</t>
  </si>
  <si>
    <t>(Interpolated)</t>
  </si>
  <si>
    <t>Demi</t>
  </si>
  <si>
    <t>B</t>
  </si>
  <si>
    <t>Tri</t>
  </si>
  <si>
    <t>‘Grease Monkey’</t>
  </si>
  <si>
    <t>Clothing Constellation</t>
  </si>
  <si>
    <t>I</t>
  </si>
  <si>
    <t>Quad</t>
  </si>
  <si>
    <t>‘Master Builder’</t>
  </si>
  <si>
    <t>Crafting Skills</t>
  </si>
  <si>
    <t>E</t>
  </si>
  <si>
    <t>‘Nanite Removal and Control’</t>
  </si>
  <si>
    <t>Echo</t>
  </si>
  <si>
    <t>‘Science! Mechanics’</t>
  </si>
  <si>
    <t>G</t>
  </si>
  <si>
    <t>‘Science! Engineering’</t>
  </si>
  <si>
    <t>K</t>
  </si>
  <si>
    <t>Pent</t>
  </si>
  <si>
    <t>Alpha</t>
  </si>
  <si>
    <t>‘Innate Talent: Alchemist’</t>
  </si>
  <si>
    <t>Quality Constellation</t>
  </si>
  <si>
    <t>H</t>
  </si>
  <si>
    <t>Hex</t>
  </si>
  <si>
    <t>Beta</t>
  </si>
  <si>
    <t>‘Alchemist's Laboratory’</t>
  </si>
  <si>
    <t>Resources and Durability Constellation</t>
  </si>
  <si>
    <t>J</t>
  </si>
  <si>
    <t>‘Class: Engineer’</t>
  </si>
  <si>
    <t>Size Constellation</t>
  </si>
  <si>
    <t>‘Specialization: Mechanic’</t>
  </si>
  <si>
    <t>Time Constellation</t>
  </si>
  <si>
    <t>D</t>
  </si>
  <si>
    <t>‘Weapon Modifications’</t>
  </si>
  <si>
    <t>‘Workaholic’</t>
  </si>
  <si>
    <t>C</t>
  </si>
  <si>
    <t>‘Masterwork Craftsman’</t>
  </si>
  <si>
    <t>‘Skyforge’</t>
  </si>
  <si>
    <t>‘Ragnite Container’</t>
  </si>
  <si>
    <t>‘Aura’</t>
  </si>
  <si>
    <t>‘Do One Thing At A Time’</t>
  </si>
  <si>
    <t>‘Customized Weapons’</t>
  </si>
  <si>
    <t>‘Standard Neural Interface’</t>
  </si>
  <si>
    <t>‘Elven Enchantment’</t>
  </si>
  <si>
    <t>‘Ambrosial Artificer’</t>
  </si>
  <si>
    <t>‘The Arcane Craft’</t>
  </si>
  <si>
    <t>‘Volcanic Forge’</t>
  </si>
  <si>
    <t>Alpha-Dash</t>
  </si>
  <si>
    <t>‘Divine Child – Hephaestus’</t>
  </si>
  <si>
    <t>‘Lack of Materials’</t>
  </si>
  <si>
    <t>‘Analysis Tools’</t>
  </si>
  <si>
    <t>‘Lathe of Heaven’</t>
  </si>
  <si>
    <t>‘Master Craftsman’</t>
  </si>
  <si>
    <t>‘Belmont Alchemy’</t>
  </si>
  <si>
    <t>‘Heretical Adaptation’</t>
  </si>
  <si>
    <t>‘Tailor’</t>
  </si>
  <si>
    <t>‘Mass Production Mobile Suit: Gun-EZ</t>
  </si>
  <si>
    <t>Gamma</t>
  </si>
  <si>
    <t>‘Hangar’</t>
  </si>
  <si>
    <t>‘Exotic Compatibility’</t>
  </si>
  <si>
    <t>‘Talented: Tailoring’</t>
  </si>
  <si>
    <t>‘That Undefinable Thing’</t>
  </si>
  <si>
    <t>‘Secret of Steel’</t>
  </si>
  <si>
    <t>‘Prismatic Laboratory’</t>
  </si>
  <si>
    <t>‘Connections: Hell’</t>
  </si>
  <si>
    <t>‘Connections: Rubbery Men’</t>
  </si>
  <si>
    <t>‘Unnatural Skill (Alchemy)’</t>
  </si>
  <si>
    <t>‘Build Rome’</t>
  </si>
  <si>
    <t>‘Material Synthesis Science’</t>
  </si>
  <si>
    <t>‘Tempered Soul’</t>
  </si>
  <si>
    <t>‘Shipping the Product’</t>
  </si>
  <si>
    <t>‘Panzerkampf’</t>
  </si>
  <si>
    <t>‘Class Crafter’</t>
  </si>
  <si>
    <t>Pent-Demi</t>
  </si>
  <si>
    <t>‘Item Construction A+++’</t>
  </si>
  <si>
    <t>‘You Became A Star’</t>
  </si>
  <si>
    <t>‘Shoot For The Moon’</t>
  </si>
  <si>
    <t>Episilon</t>
  </si>
  <si>
    <t>‘Make A Wish’</t>
  </si>
  <si>
    <t>‘Pre-existing Variations?!’</t>
  </si>
  <si>
    <t>‘Infusionist’</t>
  </si>
  <si>
    <t>‘Weapon Crafting’</t>
  </si>
  <si>
    <t>‘Feel It Out’</t>
  </si>
  <si>
    <t>‘Daedalus' Student’</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</si>
</sst>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mmm, yyyy"/>
    <numFmt numFmtId="165" formatCode="dddd, mmmm d, yyyy"/>
    <numFmt numFmtId="166" formatCode="dddd&quot;, &quot;mmmm&quot; &quot;d&quot;, &quot;yyyy"/>
  </numFmts>
  <fonts count="14">
    <font>
      <sz val="10.0"/>
      <color rgb="FF000000"/>
      <name val="Arial"/>
      <scheme val="minor"/>
    </font>
    <font>
      <b/>
      <sz val="12.0"/>
      <color theme="1"/>
      <name val="Arial"/>
      <scheme val="minor"/>
    </font>
    <font>
      <color theme="1"/>
      <name val="Arial"/>
      <scheme val="minor"/>
    </font>
    <font>
      <color rgb="FF000000"/>
      <name val="Arial"/>
    </font>
    <font>
      <color rgb="FF000000"/>
      <name val="Arial"/>
      <scheme val="minor"/>
    </font>
    <font>
      <color rgb="FFFFFFFF"/>
      <name val="Arial"/>
      <scheme val="minor"/>
    </font>
    <font>
      <color rgb="FF181A1B"/>
      <name val="Arial"/>
      <scheme val="minor"/>
    </font>
    <font>
      <u/>
      <color rgb="FF0000FF"/>
    </font>
    <font>
      <color theme="1"/>
      <name val="Arial"/>
    </font>
    <font>
      <u/>
      <color rgb="FF0000FF"/>
    </font>
    <font>
      <u/>
      <color rgb="FF1155CC"/>
    </font>
    <font>
      <b/>
      <color theme="1"/>
      <name val="Arial"/>
      <scheme val="minor"/>
    </font>
    <font>
      <u/>
      <color rgb="FF56A3F1"/>
    </font>
    <font>
      <u/>
      <color rgb="FF0000FF"/>
    </font>
  </fonts>
  <fills count="6">
    <fill>
      <patternFill patternType="none"/>
    </fill>
    <fill>
      <patternFill patternType="lightGray"/>
    </fill>
    <fill>
      <patternFill patternType="solid">
        <fgColor rgb="FFFFFFFF"/>
        <bgColor rgb="FFFFFFFF"/>
      </patternFill>
    </fill>
    <fill>
      <patternFill patternType="solid">
        <fgColor rgb="FFF4F6F8"/>
        <bgColor rgb="FFF4F6F8"/>
      </patternFill>
    </fill>
    <fill>
      <patternFill patternType="solid">
        <fgColor rgb="FF8093B3"/>
        <bgColor rgb="FF8093B3"/>
      </patternFill>
    </fill>
    <fill>
      <patternFill patternType="solid">
        <fgColor rgb="FFDFE4EC"/>
        <bgColor rgb="FFDFE4EC"/>
      </patternFill>
    </fill>
  </fills>
  <borders count="5">
    <border/>
    <border>
      <bottom style="thin">
        <color rgb="FF8093B3"/>
      </bottom>
    </border>
    <border>
      <top style="double">
        <color rgb="FF8093B3"/>
      </top>
    </border>
    <border>
      <bottom style="thick">
        <color rgb="FF8093B3"/>
      </bottom>
    </border>
    <border>
      <top style="double">
        <color rgb="FF000000"/>
      </top>
    </border>
  </borders>
  <cellStyleXfs count="1">
    <xf borderId="0" fillId="0" fontId="0" numFmtId="0" applyAlignment="1" applyFont="1"/>
  </cellStyleXfs>
  <cellXfs count="54">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1" numFmtId="0" xfId="0" applyAlignment="1" applyFont="1">
      <alignment horizontal="center" readingOrder="0" shrinkToFit="0" vertical="center" wrapText="0"/>
    </xf>
    <xf borderId="0" fillId="0" fontId="1" numFmtId="49" xfId="0" applyAlignment="1" applyFont="1" applyNumberFormat="1">
      <alignment horizontal="center" readingOrder="0" shrinkToFit="0" vertical="center" wrapText="1"/>
    </xf>
    <xf borderId="0" fillId="0" fontId="2" numFmtId="0" xfId="0" applyAlignment="1" applyFont="1">
      <alignment horizontal="center" readingOrder="0" shrinkToFit="0" vertical="center" wrapText="1"/>
    </xf>
    <xf borderId="0" fillId="0" fontId="2" numFmtId="0" xfId="0" applyAlignment="1" applyFont="1">
      <alignment horizontal="center" readingOrder="0" shrinkToFit="0" vertical="center" wrapText="0"/>
    </xf>
    <xf borderId="0" fillId="0" fontId="2" numFmtId="49" xfId="0" applyAlignment="1" applyFont="1" applyNumberFormat="1">
      <alignment horizontal="center" readingOrder="0" shrinkToFit="0" vertical="center" wrapText="1"/>
    </xf>
    <xf borderId="0" fillId="0" fontId="2" numFmtId="10" xfId="0" applyAlignment="1" applyFont="1" applyNumberFormat="1">
      <alignment horizontal="center" readingOrder="0" shrinkToFit="0" vertical="center" wrapText="0"/>
    </xf>
    <xf borderId="0" fillId="0" fontId="2" numFmtId="0" xfId="0" applyAlignment="1" applyFont="1">
      <alignment horizontal="left" readingOrder="0" shrinkToFit="0" vertical="center" wrapText="0"/>
    </xf>
    <xf borderId="0" fillId="0" fontId="2" numFmtId="0" xfId="0" applyAlignment="1" applyFont="1">
      <alignment readingOrder="0" shrinkToFit="0" wrapText="1"/>
    </xf>
    <xf borderId="0" fillId="2" fontId="3" numFmtId="0" xfId="0" applyAlignment="1" applyFill="1" applyFont="1">
      <alignment horizontal="center" readingOrder="0" vertical="center"/>
    </xf>
    <xf borderId="0" fillId="0" fontId="2" numFmtId="0" xfId="0" applyAlignment="1" applyFont="1">
      <alignment readingOrder="0"/>
    </xf>
    <xf borderId="1" fillId="3" fontId="4" numFmtId="0" xfId="0" applyAlignment="1" applyBorder="1" applyFill="1" applyFont="1">
      <alignment readingOrder="0"/>
    </xf>
    <xf borderId="0" fillId="4" fontId="5" numFmtId="0" xfId="0" applyFill="1" applyFont="1"/>
    <xf borderId="0" fillId="4" fontId="5" numFmtId="0" xfId="0" applyAlignment="1" applyFont="1">
      <alignment horizontal="right" readingOrder="0"/>
    </xf>
    <xf borderId="0" fillId="4" fontId="5" numFmtId="0" xfId="0" applyAlignment="1" applyFont="1">
      <alignment readingOrder="0"/>
    </xf>
    <xf borderId="0" fillId="3" fontId="2" numFmtId="0" xfId="0" applyFont="1"/>
    <xf borderId="0" fillId="0" fontId="2" numFmtId="0" xfId="0" applyFont="1"/>
    <xf borderId="0" fillId="0" fontId="2" numFmtId="49" xfId="0" applyFont="1" applyNumberFormat="1"/>
    <xf borderId="0" fillId="0" fontId="2" numFmtId="10" xfId="0" applyFont="1" applyNumberFormat="1"/>
    <xf borderId="0" fillId="0" fontId="2" numFmtId="0" xfId="0" applyAlignment="1" applyFont="1">
      <alignment horizontal="right"/>
    </xf>
    <xf borderId="2" fillId="5" fontId="2" numFmtId="0" xfId="0" applyAlignment="1" applyBorder="1" applyFill="1" applyFont="1">
      <alignment readingOrder="0"/>
    </xf>
    <xf borderId="2" fillId="5" fontId="2" numFmtId="0" xfId="0" applyBorder="1" applyFont="1"/>
    <xf borderId="0" fillId="0" fontId="2" numFmtId="0" xfId="0" applyAlignment="1" applyFont="1">
      <alignment horizontal="right" readingOrder="0"/>
    </xf>
    <xf borderId="2" fillId="5" fontId="2" numFmtId="10" xfId="0" applyBorder="1" applyFont="1" applyNumberFormat="1"/>
    <xf borderId="0" fillId="0" fontId="6" numFmtId="0" xfId="0" applyAlignment="1" applyFont="1">
      <alignment readingOrder="0"/>
    </xf>
    <xf borderId="0" fillId="3" fontId="2" numFmtId="0" xfId="0" applyFont="1"/>
    <xf borderId="0" fillId="0" fontId="2" numFmtId="10" xfId="0" applyAlignment="1" applyFont="1" applyNumberFormat="1">
      <alignment readingOrder="0"/>
    </xf>
    <xf borderId="0" fillId="0" fontId="7" numFmtId="0" xfId="0" applyAlignment="1" applyFont="1">
      <alignment readingOrder="0"/>
    </xf>
    <xf borderId="0" fillId="3" fontId="2" numFmtId="0" xfId="0" applyAlignment="1" applyFont="1">
      <alignment readingOrder="0"/>
    </xf>
    <xf borderId="0" fillId="0" fontId="2" numFmtId="0" xfId="0" applyFont="1"/>
    <xf borderId="0" fillId="0" fontId="2" numFmtId="0" xfId="0" applyAlignment="1" applyFont="1">
      <alignment shrinkToFit="0" wrapText="1"/>
    </xf>
    <xf borderId="0" fillId="0" fontId="6" numFmtId="0" xfId="0" applyAlignment="1" applyFont="1">
      <alignment readingOrder="0" shrinkToFit="0" wrapText="1"/>
    </xf>
    <xf borderId="0" fillId="0" fontId="8" numFmtId="0" xfId="0" applyAlignment="1" applyFont="1">
      <alignment shrinkToFit="0" vertical="bottom" wrapText="1"/>
    </xf>
    <xf borderId="0" fillId="0" fontId="8" numFmtId="0" xfId="0" applyAlignment="1" applyFont="1">
      <alignment vertical="bottom"/>
    </xf>
    <xf borderId="0" fillId="0" fontId="8" numFmtId="0" xfId="0" applyAlignment="1" applyFont="1">
      <alignment readingOrder="0" vertical="bottom"/>
    </xf>
    <xf borderId="0" fillId="0" fontId="8" numFmtId="0" xfId="0" applyAlignment="1" applyFont="1">
      <alignment readingOrder="0" shrinkToFit="0" vertical="bottom" wrapText="1"/>
    </xf>
    <xf borderId="0" fillId="2" fontId="8" numFmtId="0" xfId="0" applyAlignment="1" applyFont="1">
      <alignment shrinkToFit="0" vertical="bottom" wrapText="1"/>
    </xf>
    <xf borderId="0" fillId="2" fontId="3" numFmtId="0" xfId="0" applyAlignment="1" applyFont="1">
      <alignment horizontal="left" readingOrder="0"/>
    </xf>
    <xf borderId="0" fillId="5" fontId="2" numFmtId="0" xfId="0" applyAlignment="1" applyFont="1">
      <alignment readingOrder="0" shrinkToFit="0" wrapText="1"/>
    </xf>
    <xf borderId="0" fillId="5" fontId="2" numFmtId="0" xfId="0" applyAlignment="1" applyFont="1">
      <alignment shrinkToFit="0" wrapText="1"/>
    </xf>
    <xf borderId="0" fillId="2" fontId="3" numFmtId="0" xfId="0" applyAlignment="1" applyFont="1">
      <alignment horizontal="left" readingOrder="0" shrinkToFit="0" wrapText="1"/>
    </xf>
    <xf borderId="0" fillId="0" fontId="9" numFmtId="0" xfId="0" applyAlignment="1" applyFont="1">
      <alignment readingOrder="0" shrinkToFit="0" wrapText="1"/>
    </xf>
    <xf borderId="0" fillId="0" fontId="2" numFmtId="49" xfId="0" applyAlignment="1" applyFont="1" applyNumberFormat="1">
      <alignment readingOrder="0"/>
    </xf>
    <xf borderId="0" fillId="0" fontId="2" numFmtId="49" xfId="0" applyAlignment="1" applyFont="1" applyNumberFormat="1">
      <alignment shrinkToFit="0" wrapText="1"/>
    </xf>
    <xf borderId="3" fillId="4" fontId="5" numFmtId="0" xfId="0" applyAlignment="1" applyBorder="1" applyFont="1">
      <alignment readingOrder="0"/>
    </xf>
    <xf borderId="0" fillId="0" fontId="10" numFmtId="0" xfId="0" applyAlignment="1" applyFont="1">
      <alignment readingOrder="0"/>
    </xf>
    <xf borderId="4" fillId="5" fontId="11" numFmtId="0" xfId="0" applyBorder="1" applyFont="1"/>
    <xf borderId="0" fillId="0" fontId="12" numFmtId="0" xfId="0" applyAlignment="1" applyFont="1">
      <alignment readingOrder="0" shrinkToFit="0" wrapText="1"/>
    </xf>
    <xf borderId="0" fillId="0" fontId="13" numFmtId="0" xfId="0" applyAlignment="1" applyFont="1">
      <alignment readingOrder="0" shrinkToFit="0" wrapText="1"/>
    </xf>
    <xf borderId="0" fillId="0" fontId="2" numFmtId="0" xfId="0" applyAlignment="1" applyFont="1">
      <alignment horizontal="left" readingOrder="0"/>
    </xf>
    <xf borderId="0" fillId="0" fontId="2" numFmtId="164" xfId="0" applyAlignment="1" applyFont="1" applyNumberFormat="1">
      <alignment horizontal="right" readingOrder="0"/>
    </xf>
    <xf borderId="0" fillId="0" fontId="2" numFmtId="165" xfId="0" applyAlignment="1" applyFont="1" applyNumberFormat="1">
      <alignment horizontal="right" readingOrder="0"/>
    </xf>
    <xf borderId="0" fillId="0" fontId="2" numFmtId="166" xfId="0" applyAlignment="1" applyFont="1" applyNumberFormat="1">
      <alignment horizontal="right" readingOrder="0"/>
    </xf>
  </cellXfs>
  <cellStyles count="1">
    <cellStyle xfId="0" name="Normal" builtinId="0"/>
  </cellStyles>
  <dxfs count="7">
    <dxf>
      <font/>
      <fill>
        <patternFill patternType="solid">
          <fgColor rgb="FFB7E1CD"/>
          <bgColor rgb="FFB7E1CD"/>
        </patternFill>
      </fill>
      <border/>
    </dxf>
    <dxf>
      <font/>
      <fill>
        <patternFill patternType="none"/>
      </fill>
      <border/>
    </dxf>
    <dxf>
      <font>
        <color rgb="FF000000"/>
      </font>
      <fill>
        <patternFill patternType="solid">
          <fgColor rgb="FFFFFFFF"/>
          <bgColor rgb="FFFFFFFF"/>
        </patternFill>
      </fill>
      <border/>
    </dxf>
    <dxf>
      <font>
        <color rgb="FF000000"/>
      </font>
      <fill>
        <patternFill patternType="solid">
          <fgColor rgb="FFF3F3F3"/>
          <bgColor rgb="FFF3F3F3"/>
        </patternFill>
      </fill>
      <border>
        <right style="thin">
          <color rgb="FFFFFFFF"/>
        </right>
      </border>
    </dxf>
    <dxf>
      <font>
        <color rgb="FFFFFFFF"/>
      </font>
      <fill>
        <patternFill patternType="solid">
          <fgColor rgb="FF666666"/>
          <bgColor rgb="FF666666"/>
        </patternFill>
      </fill>
      <border>
        <bottom style="thin">
          <color rgb="FFFFFFFF"/>
        </bottom>
      </border>
    </dxf>
    <dxf>
      <font>
        <color rgb="FF000000"/>
      </font>
      <fill>
        <patternFill patternType="solid">
          <fgColor rgb="FFD9D9D9"/>
          <bgColor rgb="FFD9D9D9"/>
        </patternFill>
      </fill>
      <border>
        <top style="thin">
          <color rgb="FFFFFFFF"/>
        </top>
      </border>
    </dxf>
    <dxf>
      <font>
        <b/>
        <color rgb="FF000000"/>
      </font>
      <fill>
        <patternFill patternType="solid">
          <fgColor rgb="FFD9D9D9"/>
          <bgColor rgb="FFD9D9D9"/>
        </patternFill>
      </fill>
      <border>
        <top style="double">
          <color rgb="FF000000"/>
        </top>
      </border>
    </dxf>
  </dxfs>
  <tableStyles count="1">
    <tableStyle count="12" table="0" name="Google Sheets Pivot Table Style">
      <tableStyleElement dxfId="2" type="wholeTable"/>
      <tableStyleElement dxfId="3" type="firstRowSubheading"/>
      <tableStyleElement dxfId="3" type="secondRowSubheading"/>
      <tableStyleElement dxfId="3" type="thirdRowSubheading"/>
      <tableStyleElement dxfId="4" type="firstColumnSubheading"/>
      <tableStyleElement dxfId="4" type="secondColumnSubheading"/>
      <tableStyleElement dxfId="4" type="thirdColumnSubheading"/>
      <tableStyleElement dxfId="4" type="headerRow"/>
      <tableStyleElement dxfId="5" type="firstSubtotalRow"/>
      <tableStyleElement dxfId="5" type="secondSubtotalRow"/>
      <tableStyleElement dxfId="5" type="thirdSubtotalRow"/>
      <tableStyleElement dxfId="6" type="totalRow"/>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pivotCacheDefinition" Target="pivotCache/pivotCacheDefinition1.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E423" sheet="Unabridged List"/>
  </cacheSource>
  <cacheFields>
    <cacheField name="Constellation" numFmtId="0">
      <sharedItems>
        <s v="Alchemy"/>
        <s v="Capstone"/>
        <s v="Clothing"/>
        <s v="Crafting"/>
        <s v="Felyne Perks"/>
        <s v="Knowledge"/>
        <s v="Magic"/>
        <s v="Magitech"/>
        <s v="Personal Reality"/>
        <s v="Quality"/>
        <s v="Resources and Durability"/>
        <s v="Size"/>
        <s v="Time"/>
        <s v="Toolkits"/>
        <s v="Vehicles"/>
      </sharedItems>
    </cacheField>
    <cacheField name="Name" numFmtId="0">
      <sharedItems>
        <s v="Creation Prodigy"/>
        <s v="Synthesis: Rank 3&#10;Efficiency: Rank 1"/>
        <s v="Alchemy&#10;Mixing Mixtures"/>
        <s v="Alchemy"/>
        <s v="Alchemical Expertise"/>
        <s v="Alchemist"/>
        <s v="Transmutation&#10;Alchemy"/>
        <s v="Simplified Formulae&#10;Advanced Formulae&#10;Alkahestry&#10;Truth"/>
        <s v="Alchemy Knowledge"/>
        <s v="Trigram Knowledge and Manipulation"/>
        <s v="Master Synthesist"/>
        <s v="Equivalent Exchange"/>
        <s v="Alchemization"/>
        <s v="Alchemist&#10;Formula Formulator"/>
        <s v="Deranged Alchemist"/>
        <s v="Cyborg Hindu Godbody"/>
        <s v="Divine Weapon"/>
        <s v="Resplendent Wardrobe&#10;Shut Up!&#10;Mantra Affinity&#10;Mantra Training and Techniques"/>
        <s v="Burning Bright"/>
        <s v="Bloodied Combat"/>
        <s v="Synchronicity Event"/>
        <s v="Titan's Blood"/>
        <s v="Touched by the Protoculture"/>
        <s v="Blessed By The Gods"/>
        <s v="Spectre"/>
        <s v="Box-tech"/>
        <s v="Monstrous Strength"/>
        <s v="Glory to..."/>
        <s v="Bigger on the Inside"/>
        <s v="Implanted Relic"/>
        <s v="All Spark Chosen"/>
        <s v="Matrix of Leadership"/>
        <s v="Eyes of the World"/>
        <s v="Devil"/>
        <s v="Magic Core"/>
        <s v="Hybrid"/>
        <s v="Tuned"/>
        <s v="Maleficium"/>
        <s v="Dragon Soul"/>
        <s v="Magic"/>
        <s v="Psionic Operative"/>
        <s v="The Flock's Fleece"/>
        <s v="Garment Gloves"/>
        <s v="Avid Glove"/>
        <s v="Crafting Genius"/>
        <s v="Fashion"/>
        <s v="Putting On The Reich"/>
        <s v="Talented: Tailoring"/>
        <s v="Requiem of Souls&#10;Weaver&#10;Silk Spinning"/>
        <s v="Tailor&#10;Life Fiber Spool"/>
        <s v="Coordinated Outfits"/>
        <s v="Micromanipulators"/>
        <s v="Secular Skills"/>
        <s v="Tailor Made"/>
        <s v="Sea Snail Shells"/>
        <s v="Juggernaut"/>
        <s v="Fashion Nonvictim"/>
        <s v="Profession: Tailoring"/>
        <s v="Gunsmith"/>
        <s v="Weapon Modifications"/>
        <s v="Workshop Artisan"/>
        <s v="Bandit Gunsmith"/>
        <s v="Fingers of the North Star"/>
        <s v="Infinitely Customizable"/>
        <s v="Weapon Crafting"/>
        <s v="Craftsman"/>
        <s v="Item Construction A+++"/>
        <s v="Crystal Metallurgy"/>
        <s v="Master Craftsman"/>
        <s v="Blacksmith"/>
        <s v="Smith"/>
        <s v="Dwarven Craft"/>
        <s v="High-Frequency Manufacturer"/>
        <s v="Gadgetron License"/>
        <s v="I Can Fix It!"/>
        <s v="You Became A Star"/>
        <s v="Tempered Soul"/>
        <s v="Engineer"/>
        <s v="The Arcane Craft"/>
        <s v="Blessing of Dundr"/>
        <s v="Smithing"/>
        <s v="Armourer&#10;Fixer&#10;Weaponsmith"/>
        <s v="Blacksmithing"/>
        <s v="Customized Weapons"/>
        <s v="Friends and Allies"/>
        <s v="Will Thee Accompany Me?"/>
        <s v="Some Of My Best Friends Are Dodgeball Players"/>
        <s v="Servant"/>
        <s v="Form Up, Team!"/>
        <s v="Someone From Below"/>
        <s v="Democracy Under the Companions"/>
        <s v="Band"/>
        <s v="Companion Import"/>
        <s v="Units"/>
        <s v="We Go Together"/>
        <s v="Companions"/>
        <s v="Old Friends"/>
        <s v="Technical Training&#10;Arch-Magos"/>
        <s v="Analysis"/>
        <s v="Technician"/>
        <s v="Demigod Atelier"/>
        <s v="Build That Wall"/>
        <s v="Gadgeteering"/>
        <s v="Grease Monkey"/>
        <s v="Engineering"/>
        <s v="Feel It Out"/>
        <s v="Certified Tech"/>
        <s v="Etoria Disciple"/>
        <s v="Machines, They Just Speak To Me"/>
        <s v="Whispered"/>
        <s v="Inventor"/>
        <s v="Xenospecialist"/>
        <s v="Fitting into a Mould: Scientist"/>
        <s v="Independent Innovation"/>
        <s v="An Order To Things"/>
        <s v="Engineer&#10;Erudition"/>
        <s v="Hands of Icarus"/>
        <s v="Holy Forge"/>
        <s v="The Divine Machines"/>
        <s v="I Am Iron Man&#10;Retro-Engineer"/>
        <s v="Not A Stupid Grunt"/>
        <s v="Ancient Knowledge"/>
        <s v="Hard Science"/>
        <s v="upgrades! Upgrades!! UPGRADES!!!"/>
        <s v="Reverse Engineering"/>
        <s v="Pagan Science"/>
        <s v="Machinist"/>
        <s v="Technician&#10;Core Competence"/>
        <s v="Xenotechnology"/>
        <s v="Skills: Combat&#10;Skills: Stealth&#10;Skills: Weapons&#10;Skills: Espionage&#10;Skills: Medicine&#10;Skills: Robotics&#10;Skills: Physics&#10;Skills: Physical Sciences&#10;Skills: Engineering&#10;Skills: Communications&#10;Skills: Piloting&#10;Skills: Navigation"/>
        <s v="Tech Expert"/>
        <s v="Xenoarcheaologist"/>
        <s v="Technomage"/>
        <s v="The Maddest Science Yet!"/>
        <s v="Damaged Microchip"/>
        <s v="What's This Do?"/>
        <s v="Valkyrian Science"/>
        <s v="Light of the Orokin"/>
        <s v="The Pleician Tome"/>
        <s v="Peak ADVENT Technology"/>
        <s v="Artifice"/>
        <s v="Glove of the East"/>
        <s v="Ars Magus Creation&#10;Armagus Creation"/>
        <s v="Blood Artisan Plus"/>
        <s v="Maliwan Intern"/>
        <s v="Moon Orb"/>
        <s v="Weapon Absorption"/>
        <s v="Weapon Synthesis"/>
        <s v="Augment Blade System"/>
        <s v="Soul Smith"/>
        <s v="Celestial Technology"/>
        <s v="Maker's Prodigy&#10;Maker"/>
        <s v="Modular Designs"/>
        <s v="Enchantment?"/>
        <s v="Feel It Out&#10;Synchronicity Event"/>
        <s v="Magitek Mastery"/>
        <s v="Inner Linings"/>
        <s v="Material Hybridization"/>
        <s v="Crafting"/>
        <s v="Minor Enchantment"/>
        <s v="Talisman Adept"/>
        <s v="Lesser Magicks"/>
        <s v="Elven Enchantment"/>
        <s v="Device Meister"/>
        <s v="Artificer"/>
        <s v="Elemental Mastery"/>
        <s v="Infusionist"/>
        <s v="Solar Harnessing"/>
        <s v="Transcendence"/>
        <s v="Self-Made Shopkeeper"/>
        <s v="Magic: Enchanting"/>
        <s v="Heretical Adaptation"/>
        <s v="Atlantean Power Crystals"/>
        <s v="That Undefinable Thing"/>
        <s v="Glyph Magic"/>
        <s v="Profession: Enchanting"/>
        <s v="Advanced Materials"/>
        <s v="Magitech"/>
        <s v="Mega Bomb&#10;Guru"/>
        <s v="Tech Wizard"/>
        <s v="Digitized Sorcery"/>
        <s v="Crystal Mechanics"/>
        <s v="Mechanist&#10;Magitek Mastery"/>
        <s v="Assault Manadrive&#10;Defence Manadrive&#10;Antimatter Manipulation Principle"/>
        <s v="Antimatter Temporal Principle"/>
        <s v="Magitek Augmentation Theories, 14th Edition"/>
        <s v="Magitek&#10;The Legionsx5&#10;Garlond Ironworks buff"/>
        <s v="Ruins of the Last Age&#10;Mythology&#10;Azys Lla data"/>
        <s v="Technosorcery"/>
        <s v="Setup Wizard"/>
        <s v="Technomancy"/>
        <s v="Crimson Saint"/>
        <s v="Moon Tech"/>
        <s v="Arcane Interface"/>
        <s v="The Magic of Science"/>
        <s v="Doll Maker of Bucuresti"/>
        <s v="Access Key&#10;Key Link"/>
        <s v="Starting Space&#10;Additional Space"/>
        <s v="All Your Stuff"/>
        <s v="Arsenal"/>
        <s v="Basic Accommodations"/>
        <s v="Basic Nutrition&#10;A Little Less Basic&#10;A Lot Less"/>
        <s v="Central Control&#10;Your Robots&#10;Maintenance Systems"/>
        <s v="Classroom"/>
        <s v="Computer Hub"/>
        <s v="Entertainment Room&#10;Kit and Kaboodle&#10;Auditorium&#10;Costume Closet"/>
        <s v="Entrance Hall&#10;Additional Keys"/>
        <s v="Environmental Controls&#10;Improved Regulation"/>
        <s v="Extranet&#10;VOWP Cellular Service"/>
        <s v="Eye Spy"/>
        <s v="Game Room"/>
        <s v="Garage&#10;Garage Upgrade&#10;Parking Station&#10;Fueling Station&#10;The Big Garage"/>
        <s v="Garden&#10;Park&#10;Meditating Corner&#10;Courts"/>
        <s v="Greenhouse&#10;Seed and Seedlings"/>
        <s v="Gym&#10;Arena"/>
        <s v="Hallowed Earth"/>
        <s v="Hollow Earth"/>
        <s v="Housing Complex &#10;Rooms for Cheap   &#10;Opulent Housing &#10;Seraglio &#10;Nursery &#10;Grand Dining Hall &#10;Connecting Doors &#10;Servant's Quarters &#10;Unique Servants"/>
        <s v="Jump Recording"/>
        <s v="Library &#10;Library Services &#10;Digital Database &#10;Starting Collection &#10;Expanded Collection &#10;Esoteric Collection"/>
        <s v="Loft&#10;Lofty Loft&#10;Underside"/>
        <s v="Mall&#10;More for More&#10;Mall of All&#10;Jump Topic"/>
        <s v="Medical Bay &#10;Counseling Bay &#10;Cybernetics Bay &#10;Nano-Medical Lab &#10;Bio-Synthesis Lab &#10;Body Mod Pod"/>
        <s v="Menagerie"/>
        <s v="Music Collection&#10;Movie &amp; TV Series Collection"/>
        <s v="Neutral Lighting&#10;Natural Lighting"/>
        <s v="Office"/>
        <s v="Pilot Simulator"/>
        <s v="Pipes Pipes Pipes&#10;Waterworld&#10;Dynamic Waterworks"/>
        <s v="Portal &#10;Portal Link &#10;Additional Portal &#10;Portal Control Rod &#10;Free Portal &#10;Portal Apeture"/>
        <s v="Realistic Ground Cover&#10;Dig It"/>
        <s v="Reality Extruder"/>
        <s v="Recyclotron&#10;Fabricator"/>
        <s v="Security System &#10;Detainment &#10;Security Personnel &#10;Automated Weapons Security System &#10;Force Wall &#10;Partition Plan"/>
        <s v="Shooting Range"/>
        <s v="Sky Simulator&#10;Fly a Kite"/>
        <s v="Shelving&#10;Storage Solutions"/>
        <s v="Temporal Controls&#10;Stasis&#10;Sectional Time&#10;Eternalizer Level 1&#10;Eternalizer Level 2"/>
        <s v="The Big Pool&#10;The Bigger Pool&#10;Let's Have Fun"/>
        <s v="The Pond&#10;The Meaning of Life"/>
        <s v="Treeline&#10;Wildlife"/>
        <s v="Trophy Room"/>
        <s v="Wellness Center&#10;Bath and Body Works"/>
        <s v="Who's Got the Powa&#10;POWER OVERHELMING&#10;Tashi Station"/>
        <s v="Windows&#10;Windows of Nostalgia"/>
        <s v="Workshop"/>
        <s v="Armsfusion Crafter"/>
        <s v="Clothing Skinner"/>
        <s v="Incredibly Craftsmanship"/>
        <s v="Aesthetics"/>
        <s v="Aesthetics and Flair"/>
        <s v="Mechanical Master"/>
        <s v="Lathe of Heaven"/>
        <s v="Fixer Upper"/>
        <s v="Soulcraft&#10;Sage"/>
        <s v="Pure Art"/>
        <s v="Do One Thing At A Time"/>
        <s v="Mythril Coating"/>
        <s v="Decadence"/>
        <s v="Form and Function"/>
        <s v="Innovator"/>
        <s v="Beauty in the Arts"/>
        <s v="Daedalus' Student&#10;Titan's Blood"/>
        <s v="We Need Reserves&#10;Special Attention"/>
        <s v="Material Synthesis Science&#10;Exotic Compatibility"/>
        <s v="Stylish Mechanic"/>
        <s v="Secret of Steel"/>
        <s v="Technical Expertise"/>
        <s v="Chosen of Death"/>
        <s v="Ambrosial Artificer"/>
        <s v="Bling of War"/>
        <s v="Remodelling"/>
        <s v="Minor Blessing&#10;Unnatural Skill&#10;Divine Child&#10;Fate Finds You Interesting"/>
        <s v="Expert Smithing"/>
        <s v="Accessory Machine"/>
        <s v="Engineering Iteration"/>
        <s v="My Fashion Sense is Tingling"/>
        <s v="Craftsman of the Gods"/>
        <s v="Deity's Weapon&#10;Weapon Synthesis"/>
        <s v="Transmogrification"/>
        <s v="Reuseable Resources&#10;Artificial Alloys"/>
        <s v="Built to Last"/>
        <s v="Salvager"/>
        <s v="Element Analysis"/>
        <s v="Mauler"/>
        <s v="Robust Engineering"/>
        <s v="Crimson Weapons"/>
        <s v="Shipping the Product"/>
        <s v="Scrapper"/>
        <s v="Cold Fires"/>
        <s v="Composition Analysis"/>
        <s v="Harmless Extraction&#10;Extraction Efficiency&#10;Rapid Growth"/>
        <s v="Armsthrift"/>
        <s v="Lack of Materials"/>
        <s v="Reliable Invention"/>
        <s v="Efficiency"/>
        <s v="Rationing"/>
        <s v="Scavenger"/>
        <s v="Waste Not"/>
        <s v="Repair Savvy"/>
        <s v="The Honed Edge"/>
        <s v="Panzerkampf&#10;Firestorm"/>
        <s v="Acquester"/>
        <s v="Scrapyard Skills"/>
        <s v="Simple Scientific Solution"/>
        <s v="Gadgeteer"/>
        <s v="Manufacturing Line"/>
        <s v="More With Less"/>
        <s v="Weapons Recombination Template"/>
        <s v="Nanite Sciences&#10;Nanite Removal and Control"/>
        <s v="Gadget Master"/>
        <s v="They're Like Legoes, Right?&#10;This Is How I Want It"/>
        <s v="Sohon"/>
        <s v="Prototyper"/>
        <s v="Nanotech Wizard"/>
        <s v="Nano-technician&#10;Nano-forge"/>
        <s v="Tinkerer"/>
        <s v="Cybertronian Forge"/>
        <s v="Master Builder"/>
        <s v="Science! Mechanics&#10;Science! Engineering"/>
        <s v="Miniaturization and Efficiency"/>
        <s v="Hybridization Theory"/>
        <s v="Don't Need A Team"/>
        <s v="Researcher"/>
        <s v="Most Holy Order of the Socket Wrench"/>
        <s v="Scientist: Machinery&#10;Strong Spark"/>
        <s v="Build Rome"/>
        <s v="Savvy Sultan"/>
        <s v="Workaholic"/>
        <s v="One-Man Assembly Line"/>
        <s v="Hangar"/>
        <s v="Orgel of Origins"/>
        <s v="The Mixing Cauldron &#10;Melting Pot &#10;Spirit Pyroxene &#10;Goldberg Formula &#10;Daisy Chain &#10;Vortex"/>
        <s v="Ars Creation Tools"/>
        <s v="Workshop Equipment"/>
        <s v="Armor-Shift Manufacture"/>
        <s v="Alchemical Foundry&#10;Mythic Forge&#10;Dust Refinery&#10;Arcane Smelter"/>
        <s v="Alchemy Workshop"/>
        <s v="Prismatic Laboratory"/>
        <s v="Garage"/>
        <s v="Volcanic Forge"/>
        <s v="AGE Device"/>
        <s v="Cyber-doctor Equipment Package"/>
        <s v="Scanner"/>
        <s v="Mythical Forge"/>
        <s v="Crucible of Eight Trigrams"/>
        <s v="Architect's Eye"/>
        <s v="Tool Kit"/>
        <s v="Class and Specialization"/>
        <s v="Launderer System"/>
        <s v="Diagnostic Tools"/>
        <s v="Utility Mods"/>
        <s v="The Toolkit"/>
        <s v="Alchemy Machines"/>
        <s v="The Alchemy Machine"/>
        <s v="Alchemy Machine"/>
        <s v="Striker Artificer Toolkit"/>
        <s v="Orb Design Plans"/>
        <s v="Skyforge"/>
        <s v="Hidden Hideaway / Laboratory"/>
        <s v="Laboratorium"/>
        <s v="Advanced Materials Upgrade Kit"/>
        <s v="Lathe-Wrought Armour Plating Kit"/>
        <s v="Soul of the Forge"/>
        <s v="Technical Certainties"/>
        <s v="Core Competence"/>
        <s v="MT/AC Engineering"/>
        <s v="Valuable Memories"/>
        <s v="The Good Doctor"/>
        <s v="Techy"/>
        <s v="Mechanic"/>
        <s v="Field Meister"/>
        <s v="Superweapons"/>
        <s v="I Like 'Em Big&#10;Could Stand To Lose A Few Pounds"/>
        <s v="Anaheim Degree"/>
        <s v="Always a Bigger Robot"/>
        <s v="Aerospace Engineering Makes Things Go Fast"/>
        <s v="Tech Mastermind"/>
        <s v="Fingers of Silver"/>
        <s v="Black Thumb"/>
        <s v="A New Age of Warfare"/>
        <s v="Consummate Knowledge&#10;Swiss Army Engineer"/>
        <s v="Mechanical Genius"/>
        <s v="PT Theory&#10;Alpha Documents"/>
        <s v="Titan Engineering"/>
        <s v="Extensive Research Notes"/>
      </sharedItems>
    </cacheField>
    <cacheField name="Jumpdoc" numFmtId="0">
      <sharedItems>
        <s v="Ar Tonelico"/>
        <s v="Atelier: Arland Trilogy"/>
        <s v="Banjo-Kazooie"/>
        <s v="Castlevania"/>
        <s v="eXceed"/>
        <s v="Farscape"/>
        <s v="Fate/"/>
        <s v="Full Metal Alchemist"/>
        <s v="Golden Sun"/>
        <s v="Gothic"/>
        <s v="Journey to the West"/>
        <s v="Kingdom Hearts"/>
        <s v="Kingdoms of Amalur: Reckoning"/>
        <s v="Masters of Magic"/>
        <s v="Minecraft"/>
        <s v="Overlord: Light Novel"/>
        <s v="Samurai Jack"/>
        <s v="SBURB"/>
        <s v="Secrets of Evermore"/>
        <s v="The Mighty Boosh"/>
        <s v="Valkyrie Profile"/>
        <s v="Van Helsing"/>
        <s v="World of Warcraft"/>
        <s v="Asura's Wrath"/>
        <s v="Binbougami ga"/>
        <s v="Bloodborne"/>
        <s v="F.E.A.R."/>
        <s v="God of War"/>
        <s v="Macross"/>
        <s v="Marvel Cinematic Universe"/>
        <s v="Mass Effect"/>
        <s v="Metal Gear Solid"/>
        <s v="Percy Jackson"/>
        <s v="RWBY"/>
        <s v="Senki Zesshou Symphogear"/>
        <s v="Transformers"/>
        <s v="Bayonetta"/>
        <s v="Devil May Cry"/>
        <s v="GUNNM"/>
        <s v="King Arthur"/>
        <s v="XCOM 2"/>
        <s v="Actraiser"/>
        <s v="Dodgeball"/>
        <s v="Fallen London"/>
        <s v="Final Fantasy XI"/>
        <s v="High School of the Dead"/>
        <s v="Indiana Jones"/>
        <s v="Inukami"/>
        <s v="Jade Cocoon"/>
        <s v="Kill la Kill"/>
        <s v="Kingdom of Loathing"/>
        <s v="Raildex Science"/>
        <s v="Red Dwarf"/>
        <s v="Skullduggery Pleasant"/>
        <s v="Splatoon"/>
        <s v="Terraria"/>
        <s v="The World Ends With You"/>
        <s v="Alpha Protocol"/>
        <s v="Archer"/>
        <s v="Borderlands"/>
        <s v="Cave Story"/>
        <s v="Dead Space"/>
        <s v="Dwarf Fortress"/>
        <s v="Fate Servant Supplement"/>
        <s v="Final Fantasy XIV"/>
        <s v="Forgotten Realms"/>
        <s v="Lord of the Rings"/>
        <s v="Metal Gear Rising"/>
        <s v="Ratchet &amp; Clank"/>
        <s v="Reborn"/>
        <s v="Robot Unicorn Attack"/>
        <s v="Soul Calibur"/>
        <s v="Super Mario RPG"/>
        <s v="Sword and Sorcery"/>
        <s v="The Banner Saga"/>
        <s v="Thundercats"/>
        <s v="Wakfu"/>
        <s v="Warhammer 40,000: Light of Terra DLC 5 - A Sky Filled With Steel"/>
        <s v="XCOM"/>
        <s v="40k Redux"/>
        <s v="Chrono Trigger"/>
        <s v="Fate/Extra"/>
        <s v="Gears of War"/>
        <s v="Gurren Lagann"/>
        <s v="Red Faction"/>
        <s v="Starcraft"/>
        <s v="Stargate SG-1"/>
        <s v="Strike Witches"/>
        <s v="Tales of Symphonia"/>
        <s v="Titanfall"/>
        <s v="Adventure Time"/>
        <s v="Alpha Cenaturi"/>
        <s v="Bastion"/>
        <s v="Blazblue"/>
        <s v="Bubblegum Crisis"/>
        <s v="Fallout"/>
        <s v="Final Fantasy XII"/>
        <s v="Firefly"/>
        <s v="Full Metal Panic"/>
        <s v="Futurama"/>
        <s v="Gravity Rush"/>
        <s v="Gundam AGE"/>
        <s v="Gunnerkrigg Court"/>
        <s v="Halo"/>
        <s v="Heaven's Lost Property"/>
        <s v="Hellgate London"/>
        <s v="Lord of Light"/>
        <s v="Mysterious Cities of Gold"/>
        <s v="Red Alert 3"/>
        <s v="Sekirei"/>
        <s v="Skies of Arcadia"/>
        <s v="Spiral Knights"/>
        <s v="STALKER"/>
        <s v="Star Trek: TNG"/>
        <s v="Teen Titans"/>
        <s v="Tenchi Muyo"/>
        <s v="Terminator"/>
        <s v="Valkyria Chronicles"/>
        <s v="Warframe"/>
        <s v="Warhammer 40,000: Light of Terra DLC 1 - The Heathen Trail"/>
        <s v="Avernum"/>
        <s v="Dark Cloud"/>
        <s v="Dark Cloud 2"/>
        <s v="Dark Souls"/>
        <s v="Darksiders"/>
        <s v="Dragon Age"/>
        <s v="Final Fantasy VI"/>
        <s v="Geneforge"/>
        <s v="Lone Wolf"/>
        <s v="Lyrical Nanoha"/>
        <s v="Monster Hunter"/>
        <s v="Ragnarok Online"/>
        <s v="Recettear"/>
        <s v="Shivers"/>
        <s v="Thief"/>
        <s v="Devil Survivor"/>
        <s v="Final Fantasy Type-0"/>
        <s v="Final Fantasy XIII"/>
        <s v="Final Fantasy XIII-3"/>
        <s v="Final Fantasy XIV Scenarios"/>
        <s v="Gargoyles"/>
        <s v="Harry Potter"/>
        <s v="Libriomancer"/>
        <s v="Mage: The Awakening"/>
        <s v="Maoyuu Hero and Demon King"/>
        <s v="Okami"/>
        <s v="Storm Hawks"/>
        <s v="The Witcher"/>
        <s v="Touhou"/>
        <s v="Personal Reality"/>
        <s v="Aion"/>
        <s v="Akame ga Kill"/>
        <s v="Anno 2070"/>
        <s v="Career Model"/>
        <s v="Demons' Souls"/>
        <s v="Destiny"/>
        <s v="Dinotopia"/>
        <s v="Dissidia"/>
        <s v="Dune"/>
        <s v="Gundam: After Colony"/>
        <s v="History's Strongest Disciple: Kenichi"/>
        <s v="Iji"/>
        <s v="Medaka Box"/>
        <s v="Sunrider"/>
        <s v="Viking Saga"/>
        <s v="Warrior's Orochi"/>
        <s v="Assassin's Creed"/>
        <s v="Babylon 5"/>
        <s v="Bomberman 64: The Second Attack"/>
        <s v="Command and Conquer: Tiberium Wars"/>
        <s v="Etrian Odyssey"/>
        <s v="Fallout 4"/>
        <s v="Fire Emblem: Awakening"/>
        <s v="Kim Possible"/>
        <s v="Lego: Ninjango"/>
        <s v="Mad Max"/>
        <s v="Megaman Zero"/>
        <s v="Outlaw Star"/>
        <s v="Pocky &amp; Rocky"/>
        <s v="Sabaton"/>
        <s v="Squirrel and Hedgehog"/>
        <s v="Swat Kats"/>
        <s v="Totally Spies"/>
        <s v="Final Fantasy XIII-2"/>
        <s v="Generator Rex"/>
        <s v="James Bond: 007"/>
        <s v="Kerbal Space Program"/>
        <s v="Legacy of the Aldenata"/>
        <s v="Polity"/>
        <s v="Worm"/>
        <s v="Zoids: Legacy"/>
        <s v="Ace Combat"/>
        <s v="Age of Mythology"/>
        <s v="Fast and Furious"/>
        <s v="Girl Genius"/>
        <s v="Sonic"/>
        <s v="Bloody Roar"/>
        <s v="Endless Legend"/>
        <s v="Jade Empire"/>
        <s v="LOSS"/>
        <s v="No More Heroes"/>
        <s v="The Elder Scrolls: Skyrim"/>
        <s v="Warhammer 40,000: Light of Terra DLC 3 - A Grand Day Out"/>
        <s v="Warhammer 40,000: Light of Terra DLC 4 - Lords of the Iron Line"/>
        <s v="Armored Core Classic"/>
        <s v="Big O"/>
        <s v="Captain Harlock"/>
        <s v="Code Geass"/>
        <s v="Five Star Stories"/>
        <s v="G.I. Joe"/>
        <s v="Gundam UC"/>
        <s v="Lost Planet"/>
        <s v="Ring of Red"/>
        <s v="Star Wars: The Clone Wars"/>
        <s v="Super Robot Wars OG"/>
        <s v="White Knight Chronicles"/>
      </sharedItems>
    </cacheField>
    <cacheField name="Status" numFmtId="0">
      <sharedItems>
        <s v="Excluded"/>
        <s v="Obtained"/>
        <s v="Available"/>
        <s v="Partial"/>
        <s v="Locked"/>
        <s v="Unknown"/>
        <s v="Repeatable"/>
      </sharedItems>
    </cacheField>
    <cacheField name="Full Text With Bonuses and Chapter(s) Obtained" numFmtId="0">
      <sharedItems containsBlank="1">
        <m/>
        <s v="Chapter 12: 9 Acquisitions&#10;Alchemy (Banjo-Kazooie) 100:&#10;You are incredibly capable at mixing together mundane ingredients to create effects that can only be described as magical. For a short time these potions can create temporary copies of you, turn you "/>
        <s v="Chapter 44: 37 Small Tasks - Addendum Meeting Report&#10;Alchemy (Castlevania) 300:&#10;Through careful experimentation and research, you've gained understanding of the true nature of God's creation of the world. You may now utilize a lesser form of this art to c"/>
        <s v="Chapter 56: 44 Awakening&#10;Thaumaturgical Focus: Transmutation (Fate/) 400:&#10;There exist many special arts within magecraft, and now you have gained the knowledge of one of them. There are many schools of magic to specialise in, such as Alchemy, Memory Parti"/>
        <s v="Chapter 29: 23 Renovation - Addendum Taylor&#10;Simplified Formulae (Fullmetal Alchemist) 100:&#10;You understand the connections between parts. You can make large alchemy circles far more easily and far less complex than others. You can combine this with Advance"/>
        <s v="Chapter 143: 98 Finite Resolutions&#10;Trigram Knowledge and Manipulation (Journey to the West) 600:&#10;Alchemy and matter manipulation with the understanding of the 8 trigrams to represent the fundamental forces of reality and how to represent and enforce chang"/>
        <s v="Chapter 192: 119.5 Interlude Labyrinth&#10;Equivalent Exchange (Minecraft) 600:&#10;You are a powerful Alchemist, able to infuse a Diamond with the power of Redstone and Glowstone to make a Philosopher’s Stone. With such a stone in hand, you’ll be able to create "/>
        <s v="Chapter 19: 15 Recuperation&#10;Innate Talent: Alchemist (Overlord) 200:&#10;You are capable of brewing potions with magical effects. You can easily create ‘true’ healing potions that provide instantaneous healing rather than healing-over-time, and can make potio"/>
        <s v="Chapter 22: 17 Confrontation&#10;Alchemy (Samurai Jack) 200:&#10;The ancient science of mixing specific ingredients and then infusing them with natural energy. You know how to make a wide array of potions with both beneficial and harmful effects."/>
        <s v="Chapter 02: 2 Preparation&#10;Alchemist (Secret of Evermore) 200:&#10;Considered a lost art, the science of Alchemy has reawakened in Evermore, and you've been trained in its use. By combining ordinary ingredients together using an alchemical formula, you can tra"/>
        <s v="Chapter 14: 11 Power Trip&#10;Deranged Alchemist (Van Helsing) 300:&#10;You have mastered the medieval forerunner of chemistry, and know the transformation of matter via elaborate rituals and mysticism on top of your scientific approach. The greatest secrets of A"/>
        <s v="Chapter 98: 71 Good Faith - Preamble PHO &#10;Cyborg Hindu Godbody (Asura’s Wrath) 400: &#10;You have a genetically, cybernetically and magically enhanced physiology, and the knowledge to propagate this technology. Your capacity to wield Mantra is enhanced, both "/>
        <s v="Chapter 114: 82.1 Interlude Uppercrust &#10;Divine Weapon (Asura's Wrath) 300: &#10;You have a legendary weapon forged by the smiths of heaven or found in the hot blood of the earth. In either case, it is nighunbreakable and has a unique quality or power. &#10;As an "/>
        <s v="Chapter 82: 63 Summit Conclusion&#10;Shut Up! (Asura’s Wrath) 50:&#10;You don’t have the patience for bullshit. During longwinded speeches or similar engagements that drag on and on, you will have a sense for when and how to best expedite the proceedings. You are"/>
        <s v="Chapter 111: 80 Analysis and Reflections &#10;Burning Bright (Binbougami Ga!) 300: &#10;The powers of Fortune Energy are great within you; so great that it defies logic. Your energies are so bountiful that your techniques/effects using them are greatly increased,"/>
        <s v="Chapter 159: 107 Coffee Time&#10;Bloodied Combat (Bloodborne) 400:&#10;More so than Blood Bullets, Bloodied Combat is a perk that allows you to make use of your blood in a fight in a few basic ways. Covering a weapon with your blood allows you to expand the strik"/>
        <s v="Chapter 123: 88 Perspectives &#10;Synchronicity Event (F.E.A.R.) 300: &#10;Curiouser and curiouser. Due to coming into contact with... well, SOMETHING, your psionic abilities have noticeably increased. Psychic powers you may have had are stronger now, with contro"/>
        <s v="Chapter 125: 89 Divine Mechanics &#10;Titan's Blood (God of War) 500: &#10;What a curious thing you are, to have become such a thing. One of your ancestors was a Titan, a primordial being of great power and ability that was responsible with shaping the world as i"/>
        <s v="Chapter 92: 68 Personal Training &#10;Touched by the Protoculture (Macross) 500: &#10;The Protoculture were a powerful group, having been the creators of the Zentraedi, and having fought off the Protodeviln in their time. They could terraform entire worlds, trave"/>
        <s v="Chapter 192: 119.5 Interlude Labyrinth&#10;Box-tech (Metal Gear Solid) 400:&#10;Cardboard boxes that can produce a smoke cloud? Check. Poison Cigars? Check. A mine-detector the size of a Walkman? Check. Building the sort of gadgets that MGS protagonists rely on i"/>
        <s v="Chapter 123: 88 Perspectives &#10;Monstrous Strength (Percy Jackson) 100: &#10;Whether by oddity of birth, ancestry, or mystical experiments you have gained an inhuman form. On the plus side this boosts your physical abilities in proportion to how obviously unnat"/>
        <s v="Chapter 96: 69 Magic Instruction &#10;Bigger on the Inside (RWBY) 100: &#10;A book teaching miniaturization techniques. Starts with Bazookas into bottles, leads into Cars into cupholders. They still weigh the same, unfortunately. A master of this knows how to min"/>
        <s v="Chapter 19: 15 Recuperation&#10;The Flock's Fleece (Actraiser) 400:&#10;Men and women have not wandered the wilds naked since the long-gone days of the Garden. Whether they knew it or not, the act of clothing oneself is one that at once protects and isolates. A s"/>
        <s v="Chapter 12: 9 Acquisitions&#10;Garment Gloves (Dodgeball) 200:&#10;These are a pair of pure white gloves. Bound to them is an intelligence with a mind for fashion: a designer, seamstress, clothier, and tailor without mortal peer. It has the ability to scry for fa"/>
        <s v="Chapter 66: 51 Lunchtime&#10;Avid Glove (Fallen London) 100:&#10;A miracle of surgery and tailoring, though it may bite any hands shaken. Who can say no to another set of eyes and fingers?&#10;&#10;Amateur Academic – Trivia (Fallen London) Free:&#10;A classical training in g"/>
        <s v="Chapter 02: 2 Preparation&#10;Fashion (Highschool of the Dead) 200:&#10;Your clothing and entire body acquire defensive properties equal to the most superior protective items you have currently equipped. Emphasis on protective item- an iron or steel ring won’t gi"/>
        <s v="Chapter 45: 38 Build Up - Preamble Leet - Addendum Rey&#10;Putting On The Reich (Indiana Jones) 200:&#10;They may fear your tenacity. They may hate your cause. They may even oppose your beliefs. But one thing remains constant: A begrudging respect for the aura of"/>
        <s v="Chapter 47: 40 Knock Down - Preamble Gully - Addendum Emergency Alert&#10;Talented: Tailoring (Inukami) 100:&#10;You are an expert at any non-combat related skill. Cooking? You can make a five star meal with low rate ingredients"/>
        <s v="Chapter 12: 9 Acquisitions&#10;Life Fiber Spool (Kill la Kill) 400:&#10;A medium-sized spool of Life Fiber. It's only enough to maybe make a pair of gloves out of, but with the proper knowledge, one could create Goku Uniforms- Or enhance existing articles of clot"/>
        <s v="Chapter 18: 14 Debut&#10;Micromanipulators (A Certain Scientific Railgun) 50:&#10;These rather delicate gloves were meant for scientific purposes. They’re reinforced with small motors and electrically contracting artificial muscles to allow you to perform delicat"/>
        <s v="Chapter 41: 35 Closing Words - Addendum Chris&#10;Secular Skills (Red Dwarf) 200:&#10;Through growing up in a society in which religion tried to stem the natural instincts of the cat people towards vanity and good looks, you learned to craft amazing clothes and o"/>
        <s v="Chapter 48: 41 Drag Out - Preamble Chen&#10;Sea Snail Shells (Splatoon) 300:&#10;You have a small breeding population of around 10 Super Sea Snails, large snails with crystalline, conical shells. The snails are hermaphroditic but and they live for around 15 years"/>
        <s v="Chapter 36: 30 Crescendo - Addendum Missy&#10;Juggernaut (Terraria) 200:&#10;Your armor is a lot more effective at doing what it does just by the sheer virtue of it being latched onto and wrapped around your fleshy bits. Not to get too far into the math of it, yo"/>
        <s v="Chapter 80: 61 Summit Confrontations&#10;Fashion Nonvictim (The World Ends With You) 200:&#10;For you, there is no such thing as suffering for the sake of fashion. As long as you wear fashionable clothing, you will always be perfectly comfortable no matter the we"/>
        <s v="Chapter 22: 17 Confrontation&#10;Weapon Modifications (Archer) 100:&#10;You design and modify weapons with flair, creativity, and skill."/>
        <s v="Chapter 141: 96.1 Interlude Uppercrust&#10;Workshop Artisan (Bloodborne) 300:&#10;As if taught at the long gone workshop, you seem to possess knowledge and skill with many of their crafting techniques. You have been granted the knowledge and skills needed to both"/>
        <s v="Chapter 36: 30 Crescendo - Addendum Missy&#10;Bandit Gunsmith (Borderlands) 100:&#10;You have amazing technical insight and when shown to a pile of broken weapons or energy shields you can use parts from some to reassemble others into decent condition. Don't expe"/>
        <s v="Chapter 24: 19 Restoration&#10;Fingers of the North Star (Cave Story) 200:&#10;You have a natural talent with machinery, and this extends to firearms creation. You can disassemble, analyze, and reassemble any projectile weapon you come across, and you have the ab"/>
        <s v="Chapter 72: 56 Arrival Time&#10;Weapon Crafting (Devil May Cry) 200:&#10;Alright, so you fancy yourself a weapons dealer, huh? Well now you know the ins and outs of every single tool made for killing that you get your crafty little hands on. Swords, handguns, axe"/>
        <s v="Chapter 70: 55 Processing Time&#10;Class Jumper (Fate Servant Supplement) 50:&#10;The Anomalous class. Possibly a hero of another world or many worlds. There is no common denominator to this class. It is the most unpredictable of the classes. They gain no base st"/>
        <s v="Chapter 25: 20 Offensive&#10;Master Craftsman (Forgotten Realms) 300:&#10;You are exceptionally skilled at crafting things. At your worst, your results are masterwork."/>
        <s v="Chapter 33: 27 Intrusion - Addendum Hannah&#10;Dwarven Craft (Lord of the Rings) 400:&#10;You are a master smith, able to singlehandedly run even a large forge. You can make weapons and armor that stand up to hundreds of years of continuous use, and even know how"/>
        <s v="Chapter 22: 17 Confrontation&#10;High-Frequency Manufacturer (Metal Gear Rising) 300:&#10;A blade launderer, huh? Anyway, you can now make a HF blade out of anything you want. Depending on the original craftsmanship of the weapon, it could be good or shit. But if"/>
        <s v="Chapter 71: 55.1 Interlude Fleet Preamble Roy Addendum Margaret &#10;You Became A Star (Robot Unicorn Attack) 400:&#10;You've gained insight into the process of using rainbows to harness Unicornium without having it explode in your face. With it, you can build yo"/>
        <s v="Chapter 59: 46 Review&#10;Tempered Soul (Soul Calibur) 300:&#10;You gain an innate gift for forging high-quality weaponry. The weapons you create do not appear crude in any sense of the word, and in time your skill might cause your functional weaponry to be confu"/>
        <s v="Chapter 25: 20 Offensive&#10;Engineer (Super Mario RPG) 300:&#10;You're more adept at coming up with novel and creative objects. Any blueprint can be held perfectly in your mind without needing to draw it on paper."/>
        <s v="Chapter 35: 29 Presentation - Addendum Emily &#10;The Arcane Craft (Sword and Sorcery) 300:&#10;As much as you might look down upon brutes and barbarians who know only how to break bone and spill blood, you and the warriors of this land have one thing in common. "/>
        <s v="Chapter 06: 5 Negotiation&#10;Smithing (Thundercats 2011) 200:&#10;The ancient art of working with metal to forge weapons and armor. You know how to make beautiful equipment that can survive countless battles and you could even forge a legendary weapon if you ded"/>
        <s v="Chapter 24: 19 Restoration&#10;Armourer (Light of Terra DLC 5 A Sky Filled With Steel - Warhammer 40,000) 300:&#10;A mental database containing information on the most common types of armour found in the Necromunda Hive and how to build, repair and maintain them."/>
        <s v="Chapter 33: 27 Intrusion - Addendum Hannah &#10;Customized Weapons (XCOM) 100:&#10;You know that efficiency is number one, because waste is a thief. You know how to make the best designs better, and will ensure that the equipment in use is ergonomic, streamlined,"/>
        <s v="Chapter 100: 73 Head Trip&#10;Will Thee Accompany Me? (Free): While it might not be my specialty, I'm not a bad hand at restoring lost timestreams. If you have any friends who tagged along with you, I make sure they're able to find you wherever and whenever t"/>
        <s v="Chapter 72: 56 Arrival Time&#10;Some Of My Best Friends Are Dodgeball Players (Dodgeball) Free:&#10;You may import eight Companions, granting them a past in this world. Since everyone in this world plays dodgeball, they have at least a moderate amount of skill in"/>
        <s v="Chapter 72: 56 Arrival Time&#10;Form Up, Team! (Gears of War) Free: &#10;Fighting alone gets you killed. Good thing you can bring backup; you can bring up to four Companions with you for free, as human members of your own squad. Should you desire more, you can pa"/>
        <s v="Chapter 72: 56 Arrival Time&#10;Someone From Below (Gurren Lagann) Free: &#10;You can make up to eight of your current companions inhabitants of this world, granting them a background, the power to generate Spiral Energy and either a human or beastman body for fr"/>
        <s v="Chapter 72: 56 Arrival Time&#10;Democracy Under the Companions (Highschool of the Dead) Free:&#10;At no cost you may import up to eight Companions, who shall receive the 100cp perk of their Origin, and an appropriate history. Companions may not be imported as one"/>
        <s v="Chapter 72: 56 Arrival Time&#10;Band (Percy Jackson) Free:&#10;You may import or create a companion with 500 cp, if they take the same origin as you they get the origin for free. You may further supplement any companions with your points at a 1:1 ratio or giving "/>
        <s v="Chapter 75: 58 Go Time - Preamble Survey&#10;Companion Import (Red Faction) Free: &#10;Give a class, with all associated freebies, to as many companions as you want. &#10; &#10;Basic Training (Red Faction) Free Soldier: &#10;When the bullets start flying you know how to get "/>
        <s v="Chapter 72: 56 Arrival Time&#10;Companions (Strike Witches) Free: &#10;Any companions you bring in with you are given the freebies and a striker of the Generation as you. They can be outfitted with a different type of Striker (IE if you have a Fighter they can ha"/>
        <s v="Chapter 72: 56 Arrival Time&#10;Companion Import (Tales of Symphonia) Free: &#10;You may freely import up to 8 companions and grant them a Race and Origin at no cost, granting them a history in the world. They receive the free perk of their Origin. Do NOT collect"/>
        <s v="Chapter 110: 79 Preliminary Work&#10;Companion Import (Titanfall) Free:&#10;You can import up to eight companions for free, with additional companions over eight costing an extra 50cp per companion. You may give them either the Drop In, Engineer or Corporate Orig"/>
        <s v="Chapter 98: 71 Good Faith - Preamble PHO &#10;Technical Training (40k Redux) 100: &#10;Skill in using and maintaining 40k tech, does not apply to Ancient or Alien technology."/>
        <s v="Chapter 38: 32 Family Fugue - Preamble Taylor - Addendum Mike&#10;Analysis (Adventure Time) 300:&#10;You have the skill and insight to make powerful analytical tools. Such tools are capable of showing you the physical makeup of the things you come across, detect "/>
        <s v="Chapter 90: 66 Review and Preparation&#10;Technician (Alpha Centauri) 400:&#10;Learning has become easier for you now, especially in the field of natural science and engineering, you absorb and retain information like a sponge and can mix and match theory and exp"/>
        <s v="Chapter 78: 59 Summit Openings Addendum Uppercrust&#10;Demigod Atelier (Asura’s Wrath) 400:&#10;You know the secret science of Mantra technology, and can build custom devices that are powered by prayer or emotion. Further, you can enhance or upgrade items from ot"/>
        <s v="Chapter 36: 30 Crescendo - Addendum Missy&#10;Build That Wall (Bastion) 100:&#10;You know the basics of Caelondian technology. You understand how to harness the semimystical power of Cores and turn it into usable Mantic energy, to power basic machinery, shortrang"/>
        <s v="Chapter 05: 4 Recovery&#10;Grease Monkey (Bubblegum Crisis 2032) 300:&#10;What can you fix or build? What CAN'T you fix or build? Nothing, that's what. From hyper-cars to Buma, computers to Hardsuits, with the right tools and enough time and experiments, you can "/>
        <s v="Chapter 73: 57 Crunch Time&#10;Feel It Out (F.E.A.R.) 600:&#10;Your ability to understand machines and designs are more than just knowledge, and anyone who follows your work would know this well. You have a subtle psionic ability to 'understand' the machines and "/>
        <s v="Chapter 162: 108.2 Interlude Armstrong&#10;Certified Tech (Fallout) 600:&#10;You are one of the brightest minds of the 23rd Century! You now understand Pre-War science, and can even reverse-engineer existing technology to learn how it works, and how to recreate i"/>
        <s v="Chapter 30: 24 Tech Work - Addendum Alec&#10;Machines, They Just Speak To Me (Firefly) 200:&#10;You have no formal schooling, but can fine-tune and repair engines with nothing but shoe polish. You don’t know what the parts are SUPPOSED to do, but you know how to "/>
        <s v="Chapter 113: 82 Bargaining - Addendum Uppercrust&#10;Whispered (Full Metal Panic) 600:&#10;Due to a Soviet experiment a while ago, you're one of the exceptionally rare people known as the Whispered. they have an incredibly advanced knowledge of math, science, eng"/>
        <s v="Chapter 33: 27 Intrusion - Addendum Hannah&#10;Xenospecialist (Gears of War) 200:&#10;The problem with fighting and violence is that it's no place for an egghead, and as a result valuable information could be lost to a wayward grenade before study. You've taken i"/>
        <s v="Chapter 34: 28 Preamble - Addendum Sophia&#10;Engineer (Halo UNSC) 200:&#10;Yet by understanding the nature of computer systems, wouldn’t it be prudent to understand the technology those systems command? After all, what if you found yourself needing to recalibrat"/>
        <s v="Chapter 64: 49 Game Time&#10;The Divine Machines (Lord of Light) 300:&#10;Many and varied are the wonders of the Gods. From the Vasty Hall of Death, Yama brings forth Thunder Chariot and Bright Spear, Trident of Destruction and Wand of Universal Fire. In Heaven, "/>
        <s v="Chapter 42: 35.1 Interlude Dragon - Addendum Margaret&#10;I Am Iron Man (Marvel Cinematic Universe) 400:&#10;You're not the ACTUAL Iron Man, but you could make a fairly decent knock-off. Power armors, sonic cannons, holographic interface, laser weapons, repulsor "/>
        <s v="Chapter 05: 4 Recovery&#10;Not A Stupid Grunt (Mass Effect) 100:&#10;That you are not. You are smart enough to be the foremost scientist in your field. This doesn't make you so, but you could get there on your own with not a terrible amount of effort. Still not a"/>
        <s v="Chapter 37: 31 Consensus - Preamble PHO - Addendum Accord&#10;Analysis (Red Alert 3) 100:&#10;You can immediately identify any defects in hardware upon casual observation. This is effective on devices, Vehicles, and buildings."/>
        <s v="Chapter 82: 63 Summit Conclusion&#10;upgrades! Upgrades!! UPGRADES!!! (Red Faction) 400:&#10;You can make it all better. By studying a piece of technology for a short while, you can come up with ways to improve its functions or fix design flaws, though you’ll sti"/>
        <s v="Chapter 71: 55.1 Interlude Fleet Preamble Roy Addendum Margaret&#10;Sky Machinist (Skies of Arcadia) 200:&#10;Like the famous air pirate Centime, you know your way around machinery. You can repair or build almost anything, given time and resources.&#10;&#10;Cool Flag Wit"/>
        <s v="Chapter 18: 14 Debut&#10;Skills: Physics (Star Trek - TNG+DS9) 100:&#10;How the universe works. The law of gravity, the conservation of matter &amp; energy, quantum physics, etc. Remember though, there are dozens of creatures in this universe that defy the laws of hu"/>
        <s v="Chapter 166: 110 Tangential Concerns&#10;Xenoarcheaologist (Stargate SG-1) 600:&#10;For whatever reason, understanding the civilizations of old means you're able to understand alien technology a lot better. You may not know everything off the bat, but upon first "/>
        <s v="Chapter 62: 47 Downtime&#10;Technomage (Strike Witches) 200:&#10;Strike Witches generally rely on service crews to tune and repair their striker, but not you. You'll be able to do the job much better and be able to modify your Striker to aid you focus your speed,"/>
        <s v="Chapter 24: 19 Restoration&#10;Engineering (Teen Titans) 100:&#10;You're a master mechanic and an expert at building robots and other technological devices. You also have a fair bit of knowledge about hacking into computers."/>
        <s v="Chapter 110: 79 Preliminary Work&#10;What's This Do? (Titanfall) 200:&#10;The technology used in the frontier can be so complex and advanced it takes years for even the most brilliant minds to understand. Really now? That's good, you needed something to do after "/>
        <s v="Chapter 45: 38 Build Up - Preamble Leet - Addendum Rey&#10;Valkyrian Science (Valkyria Chronicles) 300:&#10;Somehow you've gained some of the knowledge that the Valkyrur used to possess, giving you the skill and ability to graft Ragnite machinery on a level far a"/>
        <s v="Chapter 169: 110.3 Interlude Everett - Addendum Joe&#10;The Pleician Tome (LoT DLC 1 – The Heathen Trail – Warhammer 40,000) 500:&#10;The Pleician Tome is a portable font of certain archives, templates and pieces of ancient lore, created by a senior Tech-priest o"/>
        <s v="Chapter 66: 51 Lunchtime&#10;Peak ADVENT Technology (XCOM 2) 200:&#10;Before you defected you were working in some of the most top secret black projects any human had access to. You have an encyclopaedic knowledge of all ADVENT technology, minus some of the genet"/>
        <s v="Chapter 111: 80 Analysis and Reflections&#10;Glove of the East (Binbougami Ga!) 300:&#10;This hand of mine glows with an awesome power! It's burning gri-... oh! Sorry, wrong show. This single glove comes in any color and style, and is actually quite useful! You c"/>
        <s v="Chapter 186: 118 Roles and Reflection&#10;Blood Artisan Plus (Bloodborne) 600:&#10;You have been granted an experienced artisan's knowledge on crafting things out of blood. This is basically an overall improved version of Blood Artisan, allowing you to craft more"/>
        <s v="Chapter 26: 21 Closing Moves&#10;Maliwan Intern (Borderlands) 200:&#10;At some point, you got lucky and figured out how Elemental Weapons really work. You know how to use them to best effect, allowing you to set enemies on fire regularly, melt people with acid bu"/>
        <s v="Chapter 54: 43 Ripples Aisha - Preamble Gully - Addendum Joe&#10;Talisman Trained (Inukami) 100:&#10;You are very skilled at using talismans. What that means is you can make them have different properties (like light or sound) and with enough time and training yo"/>
        <s v="Chapter 34: 28 Preamble - Addendum Sophia&#10;Elven Enchantment (Lord of the Rings) 500:&#10;You can enchant objects, if you pour energy into them as they are created. Some of your enchantments are useful in battle, such as swords that never dull and bows that al"/>
        <s v="Chapter 64: 49 Game Time&#10;Elemental Mastery (Monster Hunter) 400:&#10;Any elemental properties your weapon carries are significantly amplified by up to 50% depending on the quality of the weapon.&#10;&#10;Balance Bangle (Monster Hunter) Free:&#10;A simple leather wristban"/>
        <s v="Chapter 72: 56 Arrival Time&#10;Infusionist (Monster Hunter) 600:&#10;An art form thought lost to the ages and only tangentially unlocked in the rarest of armors, you have discovered the secret to infusing and uplifting weapondry and armor past the typical point "/>
        <s v="Chapter 07: 6 Commission&#10;Magic: Enchanting (Samurai Jack) 200:&#10;You can grant magical properties to weapons by marking them with ancient runes. Right now you only know how to give weapons elemental properties but you can learn more enchantments by studying"/>
        <s v="Chapter 45: 38 Build Up - Preamble Leet - Addendum Rey&#10;Heretical Adaptation (Senki Zesshou Symphogear) 200:&#10;Symphogears are, in essence, a Relic adapted into a combat system for it's ability to generate massive amounts of energy that can be formatted into"/>
        <s v="Chapter 80: 61 Summit Confrontations &#10;Atlantean Power Crystals (Shivers) 400: &#10;Originally discovered by noted psychic Edward Layce, these shining golden gems draw power from the limitless energy from the Sun. When properly harnessed, these crystals can pr"/>
        <s v="Chapter 48: 41 Drag Out - Preamble Chen&#10;That Undefinable Thing (Tales of Symphonia) 300:&#10;Even if you can't describe it, you can still manipulate it. You can now make physical tools and containers for souls, as well as gaining the knowledge of how to use t"/>
        <s v="Chapter 30: 24 Tech Work - Addendum Alec&#10;Advanced Materials (XCOM 2) 200:&#10;As you experiment the physics and rules of a world ideas for new materials come to you. Elements and compounds from different universes often follow the same rules after all, so it "/>
        <s v="Chapter 100: 73 Head Trip&#10;Mega Bomb (Chrono Trigger) 600:&#10;Magic and Technology are both capable of some pretty fantastic things. So why not put them together, and see what happens? You now understand the secret to integrating magic seamlessly into your me"/>
        <s v="Chapter 13: 10 Overhaul&#10;Mechanist (Final Fantasy VI) 100:&#10;You know how regular technology and magitek function and can repair it if it breaks down. You'll still need the tools and supplies, but at least with this you'll know what you're doing with mechani"/>
        <s v="Chapter 46: 39 Set Up - Addendum Kenta&#10;Technosorcery (Gargoyles) 400:&#10;Combining magic and technology is a no brainer for you. You can handily blend the two to create amazing effects like broadcasting spells over telephone lines or melding creatures togeth"/>
        <s v="Chapter 37: 31 Consensus - Preamble PHO - Addendum Accord&#10;Setup Wizard (Harry Potter) 200:&#10;You have a natural knack of melding technology and magic. You can easily jury-rig technology to work at Hogwarts. Your inventions could do considerable good for the"/>
        <s v="Chapter 180: 115 Recontextualize&#10;Magitech (Thundercats 2011) 600:&#10;The combination of magic and technology. Magitech creations are rare and difficult to make but they're also extremely powerful and could easily function after being abandoned for hundreds o"/>
        <s v="Chapter 01: 1 Introduction&#10;Access Key (Personal Reality) Free:&#10;This is a special key which lets you access your Personal Reality and its contents. When inserted into any lock on any door, the door opens to reveal a gateway into your Reality at a predeterm"/>
        <s v="Chapter 81: 62 Summit Consensus&#10;Starting Space (Personal Reality) Free:&#10;Your Personal Reality starts out with volume of 80 x 80 x 10 meters, so 6,400 square meters of floor space or 64,000 cubic meters of storage volume. In the archaic and silly ‘Imperial"/>
        <s v="Chapter 140: 96 Breakthrough &#10;Arsenal (Personal Reality) 200: &#10;Placing your battle armor and sword right next to your wedding dress rarely appears all that practical, so with this purchase an armoury gets added to your Personal Reality, into which you can"/>
        <s v="Chapter 140: 96 Breakthrough &#10;Basic Accommodations (Personal Reality) 50: &#10;This provides minimalist accommodations for you and each companion. Essentially the same thing you’d get in Basic Training in the military. A barracks with a bunk and a locker and "/>
        <s v="Chapter 164: 109 Points of Contact - Addendum Lily&#10;Basic Nutrition (Personal Reality) 100: &#10;This option provides a basic (if minimalist) food delivery for you and all companions (metered for a normal human dietary requirement). This delivery comes once a "/>
        <s v="Chapter 138: 95.5 Interlude Gregor - Shawn&#10;Central Control (Personal Reality) 100:&#10;This optional purchase hooks your Personal Reality up with a Smart Pseudo-Intelligent Computer System that tracks the location and condition of all items brought into the P"/>
        <s v="Chapter 113: 82 Bargaining - Addendum Uppercrust &#10;Computer Hub (Personal Reality) 50: &#10;A top-of-the-line mainframe / supercomputer with basic additional equipment, like scanners (2D and 3D, standard- and poster-sized) and printers (color, black and white,"/>
        <s v="Chapter 112: 81 Augmentations&#10;Entertainment Room (Personal Reality) 200:&#10;Keeping yourself busy isn’t always easy, and sometimes you just want to relax and listen to some music or watch a movie. This is for you. A six room complex is added to your Personal"/>
        <s v="Chapter 01: 1 Introduction&#10;Entrance Hall - Joe (Personal Reality) Free:&#10;This is the room your Access Key opens a door to. It starts off as a 5 meter cube with blank white walls, floor, and ceiling, as some doors, one leading to the current Host Reality, t"/>
        <s v="Chapter 96: 69 Magic Instruction&#10;Extranet (Personal Reality) 200:&#10;This handy add on connects your Personal Reality with the local Data Networks of the Universe you’re currently in… not only that, but it gets the kind of performance only really ever seen b"/>
        <s v="Chapter 85: 65 Summit Aftermath&#10;Garage (Personal Reality) 200:&#10;A garage for you to place into your vehicles, automatically adjusting to meet with their requirements. Any sort of land, air, or space based personal vehicles (up to the size of 12 meters long"/>
        <s v="Chapter 121: 87 Close Out&#10;Greenhouse (Personal Reality) 100:&#10;A greenhouse in which you can now grow some of your own vegetables and fruits. I hear that strawberries are especially popular this season. The Greenhouse requires Pipes, Pipes, Pipes and either"/>
        <s v="Chapter 138: 95.5 Interlude Gregor - Shawn&#10;Gym (Personal Reality) 100:&#10;This provides your Personal Reality with a large open training room for physical exercise. It comes with exercise equipment that can be used to train almost anyone dedicated enough to "/>
        <s v="Chapter 125: 89 Divine Mechanics &#10;Hallowed Earth (Personal Reality) 400: &#10;Every inch of your Personal Reality is sanctified. By who? Well… you, I guess. All those within (besides you obviously) are subject to a constant minor blessing that persists for up"/>
        <s v="Chapter 127: 90 Outreach - Addendum Taylor&#10;Housing Complex (Personal Reality) 200:&#10;Having space for all your Companions and Followers can be tricky. Sure, you could pay to have some houses built, but with this option you and each Companion and every child"/>
        <s v="Chapter 100: 73 Head Trip&#10;Library (Personal Reality) 200:&#10;A place to keep all the books and writings you and your companions might create or gather throughout your adventures, with all of them kept in pristine condition and automatically sorted based on y"/>
        <s v="Chapter 110: 79 Preliminary Work&#10;Loft (Personal Reality) Free: &#10;What’s the point of having a room 10 meters tall if you can’t build upwards. Feel free to stack things up to the ceiling if you like.&#10;&#10;Lofty Loft (Personal Reality) 100:&#10;Is it depressing havi"/>
        <s v="Chapter 112: 81 Augmentations&#10;Music Collection (Personal Reality) 50:&#10;You receive a collection of 500 albums (EPS or LPS) based on personalized criteria such as genre, artists, or themes (big band, love songs, acapella, etc.). Liner-notes, sheet-music, an"/>
        <s v="Chapter 91: 67 Development Plans&#10;Neutral Lighting (Personal Reality) Free:&#10;These lights are nothing special, It’s a color-neutral, source neutral ambient lighting system. It’s not really that bright… think early twilight gloom, but if you want better, ins"/>
        <s v="Chapter 113: 82 Bargaining - Addendum Uppercrust&#10;Office (Personal Reality) 50:&#10;A personal office specifically for you, so that you can perform your white collar paper-shuffling in relative privacy. A decent sized office, it comes with all the basic suppli"/>
        <s v="Chapter 91: 67 Development Plans&#10;Pilot Simulator (Personal Reality) 100:&#10;This adds a high tech simulator to your Personal Reality that perfectly replicates the experience of driving, piloting, or otherwise operating any vehicle that exists in your Origina"/>
        <s v="Chapter 114: 82.1 Interlude Uppercrust&#10;Pipes Pipes Pipes (Personal Reality) 100:&#10;Purchasing this provides your Warehouse with enough plumbing fixtures to turn the entire volume of your Personal Reality into one massive pool… or anything below that. This p"/>
        <s v="Chapter 123: 88 Perspectives&#10;Portal (Personal Reality) 300:&#10;This optional extra removes the need for use of Access Key, instead allowing you to open a rectangular or circular portal that leads into your Personal Reality on any flat surface big enough to e"/>
        <s v="Chapter 113: 82 Bargaining - Addendum Uppercrust&#10;Realistic Ground Cover (Personal Reality) 100:&#10;Sick and tired of linoleum or concrete? This is the one for you. Now your Personal Reality floor can be turned into any naturally occurring terrain type, in se"/>
        <s v="Chapter 179: 114 Manic Recovery&#10;Reality Extruder (Personal Reality) 100:&#10;This allows you to manifest anything attached to your Personal Reality into the Host Reality, but doing so creates a physical link between the two realities that doesn’t require an A"/>
        <s v="Chapter 101: 74 Hard Talk&#10;Security System (Personal Reality) Free:&#10;Anybody coming in and out of your Personal Reality is now checked for any authorization you've given them to access it; and should anything about said authorization (or a lack of it) raise"/>
        <s v="Chapter 98: 71 Good Faith - Preamble PHO&#10;Shooting Range (Personal Reality) 50:&#10;This adds a high tech shooting range to your Personal Reality so that you and your companions can to practice your marksmanship in a safe environment. The Shooting Range comes "/>
        <s v="Chapter 99: 72 Cakewalk&#10;Sky Simulator (Personal Reality) 100:&#10;This replaces your boring drab ceiling with a completely realistic sky simulation… or a non-realistic sky simulation if you prefer the universe to look like something out a Bosch painting. Sinc"/>
        <s v="Chapter 81: 62 Summit Consensus&#10;Shelving (Personal Reality) Free:&#10;Basic metal shelves to keep your goods on, the kind you find in industrial big box stores, sized for pallets and numbered for sorting. You’ll get up to as many as will suit your initial spa"/>
        <s v="Chapter 145: 99 Main Event - Preamble Hemorrhagia&#10;Temporal Controls (Personal Reality) 200:&#10;This Personal Reality Option gives you control over how fast time flows in your Personal Reality while you’re not there. The default is 1:1, but with this you can "/>
        <s v="Chapter 91: 67 Development Plans&#10;The Pond (Personal Reality) 200:&#10;One of the four walls of your Personal Reality has been replaced with a water feature. This is essentially a pond, but you can give it tides and or waves, make it fresh or salt, and give it"/>
        <s v="Chapter 130: 93 Loom and Thread&#10;Treeline (Personal Reality) 200:&#10;Walls getting you down? Well, you’re in luck. Not only does this replace your walls with trees, there’s actually a bit of a forest out there. Not useable for storage, but you can walk throug"/>
        <s v="Chapter 98: 71 Good Faith - Preamble PHO&#10;Trophy Room (Personal Reality) 50:&#10;A spacious chamber set up for you to aesthetically showcase the various trophies and rewards you will gather on your chain. It keeps them safe and from causing harm or from decayi"/>
        <s v="Chapter 104: 75 Wind Down&#10;Who’s Got the Powa (Personal Reality) 100:&#10;This provides enough electricity to power a city the size of New York City or London, forever, with nary a brown out or power fluctuation ever. It also comes with all the basic wiring ho"/>
        <s v="Chapter 97: 70 Media Presence&#10;Windows (Personal Reality) 50:&#10;Rooms in your Personal Reality receive windows which look out onto some scenery of the current Jump. The view can be customized per room, but can’t be used for spying purposes or to view private"/>
        <s v="Chapter 01: 1 Introduction&#10;Workshop: Metalworking (Personal Reality) 100:&#10;Each purchase of this adds to your Personal Reality Workshop needed to perform specific type of craft, which is to be specified when purchase is made. It comes with a basic set of t"/>
        <s v="Chapter 104: 75 Wind Down&#10;Incredibly Craftsmanship (Akame ga Kill) 600:&#10;While the method of creating Teigu is long lost you are able to create things almost at their level, with some research and a couple other skilled people you might even be able to rec"/>
        <s v="Chapter 45: 38 Build Up - Preamble Leet - Addendum Rey&#10;Aesthetics and Flair (Bayonetta) 100:&#10;A gun isn't quite a gun until it LOOKS good, you know? It's supposed to be classy, make you look amazing just for having it. Likewise, that sword could use a bit "/>
        <s v="Chapter 73: 57 Crunch Time&#10;Mechanical Master (Borderlands) 400:&#10;You are a master armsmith and roboticist. You can build and maintain standard weapons and shields with ease, and if you put some effort into understanding it you could probably make E-Tech yo"/>
        <s v="Chapter 26: 21 Closing Moves&#10;Tailor Made (Career Model) 100:&#10;You are a brilliant designer, and can ensure objects you create are always looking fantastic, aesthetically pleasing and the like. Making something look good no longer takes any time or effort y"/>
        <s v="Chapter 39: 33 Morning Training - Preamble James - Addendum Youth Guard&#10;Lathe of Heaven (Chrono Trigger) 400:&#10;We're always going to need weapons, so the way I see it, you might as well get good at making them. Now? You'll be able to give old man Melchior "/>
        <s v="Chapter 32: 26 Correspondence - Addendum Rory&#10;Do One Thing At A Time (Dinotopia) 300:&#10;When you focus yourself on doing a single task, your skill and efficiency doubles. Material requirements are unaffected, but time taken is halved and quality is doubled."/>
        <s v="Chapter 09: 7 Accessory&#10;Decadence (Dune) 100:&#10;You have the skills to sacrifice neither form nor function when you design, create, or arrange things, which is especially important in a society whose upper crust values opulence the way this society does -- "/>
        <s v="Chapter 20: 16 Therapy&#10;Beauty in the Arts (God of War) 200:&#10;The Greeks and their gods have an eye for the aesthetics of their surroundings. Whether it is the statues around them, or the floors they walk upon, or the things they carry and wield, it is bett"/>
        <s v="Chapter 73: 57 Crunch Time&#10;Daedalus' Student (God of War) 600:&#10;It is one thing to work on forging mere sword and shield, but it is another to create truly marvelous wonders... for a mortal. You could make marvelous wings out of bird feathers and beeswax, "/>
        <s v="Chapter 47: 40 Knock Down - Preamble Gully - Addendum Emergency Alert&#10;Exotic Compatibility (Gundam: After Colony) 400:&#10;You have a way of working with quirky and strange materials-in your hands and machinery, it assumes the forging and abilities of plain I"/>
        <s v="Chapter 13: 10 Overhaul&#10;Stylish Mechanic (Gurren Lagann) 100:&#10;In addition to knowing how to repair and create mechanical devices you also have quite a knack at making anything you work on look good. Any time you fix something it'll end up clean and pleasa"/>
        <s v="Chapter 48: 41 Drag Out - Preamble Chen&#10;Secret of Steel (History's Strongest Disciple: Kenichi) 400:&#10;An illustrated guide created by the greatest master of weapons the world has ever known. It keenly details the techniques, methods and set­up required to "/>
        <s v="Chapter 41: 35 Closing Words - Addendum Chris&#10;Master Craftsman (King Arthur) 600:&#10;Thanks to being taught by faeries anything you make by hand is a great deal better than anything regular human can make. Armor is nearly indestructible and lighter than it s"/>
        <s v="Chapter 152: 102 Progress&#10;Chosen of Death (Lord of Light) 600:&#10;Great Yama, Death-god, has seen you clearly and bade you enter the Vasty Hall of Death, to serve as his partner in creation. Not merely revealing his secrets of science - you are his equal in "/>
        <s v="Chapter 35: 29 Presentation - Addendum Emily&#10;Ambrosial Artificer (Macross) 400:&#10;So many moving parts, so many pieces to the puzzle. It's so... needless. The other tech teams are complete morons. That's why you've learned how to figure out the optimization"/>
        <s v="Chapter 02: 2 Preparation&#10;Bling of War (Macross) 100:&#10;It's one thing to have a weapon or vehicle of mass destruction, capable of rending an entire ground force or a squadron to shame. It's another to make it look so damn good your enemies would not dare g"/>
        <s v="Chapter 23: 18 Regroup&#10;Unnatural Skill: Smith (Percy Jackson) 200:&#10;Whether from your heritage or just being that good you've got one particular mundane skill that your feats with border on supernatural. Whether you're a smith on the level of the Cyclopses"/>
        <s v="Chapter 59: 46 Review&#10;My Fashion Sense is Tingling (The World Ends With You) 50:&#10;You have an impeccable sense of fashion. You can make an appealing outfit out of just about anything. In addition, you will always have an innate knowledge of what is fashion"/>
        <s v="Chapter 113: 82 Bargaining - Addendum Uppercrust&#10;Craftsman of the Gods (Viking Saga) 600:&#10;Things you make yourself from base components gain properties far beyond what they should. Belts that increase strength several times over or a spear that never miss"/>
        <s v="Chapter 09: 7 Accessory&#10;Built to Last (Assassin's Creed) 300:&#10;Whatever you personally build, be it handheld or architectural, becomes nigh-impervious to weather, rust and time. If it gets lost or buried, you can 'feel' it out too!"/>
        <s v="Chapter 63: 48 Uptime&#10;Salvager (Babylon 5) 300:&#10;When the ore runs out and the company tells the miners to leave, that's where you really shine. It's cheaper to leave gear to rot in an abandoned site than it is to get it into orbit, across the galaxy and s"/>
        <s v="Chapter 23: 18 Regroup&#10;Element Analysis (Bomberman 64: The Second Attack) 100:&#10;With a little elbow grease, you can easily identify the elemental composition of ANY material and with the right resources, break it down to its base elements for further use."/>
        <s v="Chapter 46: 39 Set Up - Addendum Kenta&#10;Mauler (Command and Conquer: Tiberium Wars) 400:&#10;You have the skills of a junkyard hound, able to make even the most heavily damaged tech work again. Even machines too battle-damaged for recovery 20 years ago can be "/>
        <s v="Chapter 41: 35 Closing Words - Addendum Chris&#10;Robust Engineering (Dune) 300:&#10;Ten thousand years of stagnation in technology is a very long time... and now you know how to apply the lessons of those millennia to the construction of anything you have. Mass "/>
        <s v="Chapter 60: 46.1 Interlude Weld&#10;Shipping the Product (F.E.A.R.) 400:&#10;Prototypes are one thing, but what about actually getting the damn thing distributed? An item or weapon doesn't help anyone if it's the only one of its kind. You will find your ability t"/>
        <s v="Chapter 40: 34 Little Talks - Addendum Ethan&#10;Scrapper (Fallout 4) 300:&#10;You have the capability to dismantle and repurpose objects for your own creations; even ones that you might not fully understand. So long as it’s not hopelessly beyond your understandi"/>
        <s v="Chapter 116: 83.1 Interlude Alec - Addendum Joe &#10;Armsthrift (Fire Emblem: Awakening) 400: &#10;Your weapons just don’t seem to break and you know how to care for them well. Even immensely fragile things are unlikely to break in your care. Guns won’t jam and s"/>
        <s v="Chapter 38: 32 Family Fugue - Preamble Taylor - Addendum Mike&#10;Lack of Materials (God of War) 400:&#10;Times are tough in this land. Forces beyond knowing, monsters that roam the lands, and gods who are as petty as they are powerful. With chaos such as this, t"/>
        <s v="Chapter 29: 23 Renovation - Addendum Taylor&#10;Reliable Invention (Kim Possible) 200:&#10;Anything you construct is only broken when used improperly or purposefully targeted with attacks. The items you create do not malfunction and are completely resistant to da"/>
        <s v="Chapter 59: 46 Review&#10;Efficiency (Lego: Ninjango) 400:&#10;Waste not, want not! Not with this, anyway – whether building machines or making quick moves in combat, you'll never unintentionally use more energy, materials, or flourish than you need to."/>
        <s v="Chapter 10: 8 Aftermath&#10;Rationing (Mad Max Gauntlet) 100:&#10;When you don’t have much, it’s important to be careful with what you’ve got. You’re very good at saving supplies, ensuring that anything you find of use stays found and that it doesn’t get wasted b"/>
        <s v="Chapter 79: 60 Summit Discussions&#10;Scavenger (Megaman Zero) 400:&#10;You have a knack for integrating junk into your systems or gear and for using them to make field repairs. After all, self-repair systems only go so far. You're good at finding compatible part"/>
        <s v="Chapter 43: 36 Debrief - Addendum The Bay Bulletin&#10;Waste Not (Monster Hunter) 300:&#10;You have found out a great secret in the blacksmithing trade - the reason that most blacksmiths usually ask for so many materials to make a certain weapon or armor isn't be"/>
        <s v="Chapter 13: 10 Overhaul&#10;Repair Savvy (Outlaw Star) 100:&#10;Your skills in mechanics are top notch. Your weapons, armor, and personal equipment are all easy to repair, and maintenance of all of them takes mere minutes instead of hours."/>
        <s v="Chapter 68: 53 Hard Time&#10;Panzerkampf (Sabaton) 300:&#10;When it comes to building war machines, yours are top-notch! A gun made by your own hand will never jam, and a tank built by you will never bog down in mud or take damage from an IED. If they want to des"/>
        <s v="Chapter 45: 38 Build Up - Preamble Leet - Addendum Rey&#10;Scrapyard Skills (Swat Kats) 300:&#10;Where others see junk, you see treasure just waiting to be utilized. You can make far more use out of scrap metal and tossed out electronics, repurposing them for man"/>
        <s v="Chapter 32: 26 Correspondence - Addendum Rory &#10;Simple Scientific Solution (Tenchi Muyo) 100:&#10;Science solves everything, even the little household problems. You can create supertech improvements to common tools and appliances, up to and including automobil"/>
        <s v="Chapter 108: 77 Determination - Preamble Mimi&#10;Gadgeteer (Totally Spies/Martin Mystery) 600:&#10;Not only do you have the knowledge and resources to produce all of WOOHP and the Center's gadgets quickly and efficiently, but you'll never run out of ideas for ne"/>
        <s v="Chapter 69: 54 Overtime&#10;Resources: Manufacturing Line (Valkyria Chronicles) 400:&#10;You've always been of the opinion that technology advanced too slowly before you arrived, but now you can apply that to the physical world as well! Any building process you o"/>
        <s v="Chapter 57: 45 Realization - Preamble Taylor&#10;More With Less (XCOM) 300:&#10;Through careful construction, you can remove unnecessary components and get maximum efficiency into your products. What this means, is that you can create the same quality item while "/>
        <s v="Chapter 07: 6 Commission&#10;Nanite Sciences (Generator Rex) 100:&#10;You possess in depth knowledge of nanite technologies. With sufficient equipment and resources you could produce and control nanite machines, possibly even recreate the nanite event or maybe fi"/>
        <s v="Chapter 33: 27 Intrusion - Addendum Hannah&#10;Gadget Master (James Bond: 007) 300:&#10;You’ve been trained by Major Boothroyd at the skills of his job. You’re excellent at creating and maintaining gadgets of all types. You can miniaturize nearly anything, and hi"/>
        <s v="Chapter 29: 23 Renovation - Addendum Taylor&#10;They're Like Legoes, Right? (Kerbal Space Program) 200:&#10;There's robust engineering, and then there's modularity. Pick one. Except for you - you seem to have the gift of designing methods that allow for seamless "/>
        <s v="Chapter 75: 58 Go Time - Preamble Survey&#10;Nano-technician (Red Faction) 600:&#10;Is it me or does “nanomachines” not sound like a word anymore? You now have a considerable talent in the field of nanotech. With time and study, you could recreate the Nanoforge, "/>
        <s v="Chapter 31: 25 Search and Rescue - Addendum PHO &#10;Tinkerer (RWBY) 300:&#10;You're a whiz at maintaining, modifying and making things. Everything from Sniper Scyfles to Toaster Ovens, as long as you made it yourself or had the blueprints on hand. Unlock the sec"/>
        <s v="Chapter 129: 92 Opened Discourse&#10;Cybertronian Forge (Transformers) 600:&#10;Somehow a good portion of your warehouse is now a mini cybertronian factory. This automatic factory prints out Cybertonium, a material that Transformers bodies are made out of. This i"/>
        <s v="Chapter 14: 11 Power Trip&#10;Master Builder (Transformers) 400:&#10;You’ve been programmed with mastery of Cybertronian science allowing you jury rig any tech you see, as well allowing you to quickly build even the most complex Cybertronian tech within a reasona"/>
        <s v="Chapter 17: 13 Debut&#10;Science! Mechanics (Transformers) 100: &#10;Your programming is focused on either Mechanics, Medical, or a field of Science (Pick One), this gives you equivalent of a Cybertronian PHD in that field of study.&#10;&#10;Science! Engineering (Transfo"/>
        <s v="Chapter 77: 58.2 Interlude Lisa Addendum Joe&#10;Parahuman - Tinker - Miniaturization and Efficiency (Worm) 400:&#10;It seems that you've triggered, and gained some rather impressive powers. This is optional, you can go without becoming a parahuman if you wish. A"/>
        <s v="Chapter 17: 13 Exposure&#10;Hybridization Theory (Zoids: Legacy) 400:&#10;So one day you had a bit of spare time after your daily Zoid admiration hour. After taking a close look at your favorite Gojulas and your favorite Mad Thunder, you decided that if the Gojul"/>
        <s v="Chapter 28: 22 Homeward&#10;Don't Need A Team (Ace Combat) 100:&#10;Fighter planes are pretty complicated machines, and more often than not you need a whole crew to maintain them so that they don’t break down in the middle of a fight and doom the pilot. You know "/>
        <s v="Chapter 37: 31 Consensus - Preamble PHO - Addendum Accord&#10;Researcher (Age of Mythology) 400:&#10;You are far faster at designing and discovering new technologies. Inspiration and breakthroughs hit you far more often."/>
        <s v="Chapter 28: 22 Homeward&#10;Most Holy Order of the Socket Wrench (Fast and Furious) 400:&#10;You are a master mechanic. Repair and upkeep is nice, but you can go beyond the impossible and improve any vehicle. Take a van and make it beat a supercar? Put NOS inject"/>
        <s v="Chapter 10: 8 Aftermath&#10;Machinist (Gargoyles) 200:&#10;You are an expert mechanic. You can rebuild and improve a helicopter in 12 hours or create a functional motorcycle from spare parts. If honed, this ability will let you make nearly anything from incredibl"/>
        <s v="Chapter 03: 3 First Fight&#10;Scientist: Machinery (Girl Genius) 100:&#10;You have a DOCTORATE! And skill in ACTUAL SCIENCE! That doesn’t need you to go crazy to work! Admittedly, it won’t break the fabric of space and time, but meh. Tradeoffs everywhere you go. "/>
        <s v="Chapter 54: 43 Ripples Aisha - Preamble Gully - Addendum Joe&#10;Build Rome (Gundam: After Colony) 600:&#10;You have a thing about building things- you’re damn fast, and you’re damn good. They say you can’t build 10 Mobile Suits in a week? Hah! You’ll build twice"/>
        <s v="Chapter 31: 25 Search and Rescue - Addendum PHO&#10;Savvy Sultan (Macross) 400:&#10;When people think of building things, they think of you. Provided you had the resources and the understanding of the technology, you could construct all manners of machines in a f"/>
        <s v="Chapter 23: 18 Regroup&#10;Workaholic (Sonic The Hedgehog) 300:&#10;Sometimes you wonder how some geniuses are able to build entire armadas within days or weeks of their last defeat. You become a walking factory of production. Building in masse is something that "/>
        <s v="Chapter 44: 37 Small Tasks - Addendum Meeting Report&#10;Time: Manufacturing Line (Valkyria Chronicles) 400:&#10;You've always been of the opinion that technology advanced too slowly before you arrived, but now you can apply that to the physical world as well! An"/>
        <s v="Chapter 117: 84 Pick Up&#10;One-Man Assembly Line (XCOM) 600: &#10;You really liked playing with building blocks as a kid. Now that you're all grown up, the world is your playground. Your knowledge of construction and engineering is unprecedented, and making a je"/>
        <s v="Chapter 35: 29 Presentation - Addendum Emily&#10;Hangar (Ace Combat) 100:&#10;Sure you might be able to get a fighter plane… but where are you going to store it? You can’t just leave your vehicle to the mercy of the elements, it would cause all manners of damage "/>
        <s v="Chapter 146: 99.1 Interlude Tetra&#10;Workshop Equipment (Bloodborne) 300:&#10;This is actually a package deal containing a variety of workshop tools. The first tool set has some basic tools for repairing equipment and some more specialized tools for upgrading we"/>
        <s v="Chapter 48: 41 Drag Out - Preamble Chen&#10;Armor-Shift Manufacture (Bloody Roar) 100:&#10;A small machine - big enough to hold a massive pauldron or two - that gives any pieces of armor or clothing placed inside a specific quality: When their wearer changes form"/>
        <s v="Chapter 26: 21 Closing Moves&#10;Workshop (Bubblegum Crisis) 100:&#10;You need tools? You have ALL the tools. Using this, you can effectively build and/or repair any damn thing in BGC, though constructing orbital shuttles might take a while. Nevermind getting aho"/>
        <s v="Chapter 48: 41 Drag Out - Preamble Chen&#10;Prismatic Laboratory (Fallen London) 400:&#10;The principle of acute observation is light! And to that end, you have fashioned a workspace of lenses, liquids, critters and crystals to focus upon recreating a spectrum of"/>
        <s v="Chapter 30: 24 Tech Work - Addendum Alec&#10;Garage (Fast and Furious) 100:&#10;You have a nice garage and parts supply. With a few days and some elbow grease, you could basically rebuild your car or cars from the bottom up; you probably have enough parts to keep"/>
        <s v="Chapter 36: 30 Crescendo - Addendum Missy &#10;Volcanic Forge (God of War) 300:&#10;The Smith God's power is great, but it is not by his will alone that his works are forged. There is also his tools to consider, and with this you have one such tool. Attached to y"/>
        <s v="Chapter 26: 21 Closing Moves&#10;Civilian Equipment Package (GUNNM/Battle Angel Alita) 100:&#10;Cramped room in the Scrapyard, basic household belongings, clothing, one Heirloom Weapon for free. If you are employed, attached is enough space to setup a workshop, c"/>
        <s v="Chapter 66: 51 Lunchtime&#10;Crucible of Eight Trigrams (Journey to the West) 500:&#10;A big ass crucible that can render down *most* objects into their base components. Magic and enchantments can be removed this way and used for later experiments, although this "/>
        <s v="Chapter 39: 33 Morning Training - Preamble James - Addendum Youth Guard&#10;Tool Kit (Macross) 100:&#10;Woah now, Sonny Jim! You don't expect to fix that machine with your bare fingers, do you? Don't go anywhere without the equipment you need to make sure that te"/>
        <s v="Chapter 19: 15 Recuperation&#10;Class and Specialization (Mass Effect) 100:&#10;You will get enough training in your class to be considered an asset to any team. Not to the point of being a keystone. You are considered to be to a similar level when it comes to yo"/>
        <s v="Chapter 65: 50 Meantime&#10;Launderer System (No More Heroes) 400:&#10;You gain a new thing to place in your warehouse, and though you don’t exactly know how it works the instruction booklet says it can construct beam katanas of all different styles and usefulnes"/>
        <s v="Chapter 18: 14 Debut&#10;Diagnostic Tools (Outlaw Star) 50:&#10;A small data display with numerous connectors and scanners, capable of letting you know what is wrong with simple technology and what advanced technology that has been programmed into it."/>
        <s v="Chapter 128: 91 Callout&#10;The Toolkit (Sabaton) 100:&#10;When wielding this toolkit, you can repair devices most would think broken beyond salvation. You could find two twisted armor plates and a couple of treads and before you know it, you have a tank that's a"/>
        <s v="Chapter 36: 30 Crescendo - Addendum Missy&#10;Workshop: Magic (Samurai Jack) 200:&#10;A small base filled with all the equipment you’ll need to work. This lab can be used for your choice of scientific or magical research.&#10;&#10;Chapter 63: 48 Uptime&#10;Workshop: Science "/>
        <s v="Chapter 60: 46.1 Interlude Weld&#10;The Alchemy Machine (Shivers) 400:&#10;Created by the legendary alchemist Louis Garcon, this mysterious machine combines modern science with principles passed down from ancient Egyptian times. Should you have any alchemic abili"/>
        <s v="Chapter 52: 42 Incapacitated - Preamble Jeanne&#10;Striker Artificer Toolkit (Strike Witches) 100:&#10;Professional Quality Toolkit for sale. Never used. All the tools you need to make a Striker. Act Quick, Limited Stock. O'Malley's Tool Mart.&#10;&#10;Defensive Sign “Di"/>
        <s v="Chapter 29: 23 Renovation - Addendum Taylor &#10;Skyforge (The Elder Scrolls: Skyrim) 200:&#10;An ancient, mysterious, eagle themed forge added to your warehouse. Any metal items crafted at the forge will be significantly harder and stronger for it. Something abo"/>
        <s v="Chapter 30: 24 Tech Work - Addendum Alec&#10;Hidden Hideaway / Laboratory (Valkyria Chronicles) 200:&#10;You've come into possession of a small but out of the way safe-house, providing you with a place to rest and recuperate. This place has enough supplies for 9 "/>
        <s v="Chapter 05: 4 Recovery&#10;Laboratorium (Light of Terra DLC 3 - A Grand Day Out) 100:&#10;Ancient cogitators, arrays of auspex systems, and volume upon volume of documentation supply an Adept with the tools and information necessary to capably analyse a recovered"/>
        <s v="Chapter 36: 30 Crescendo - Addendum Missy &#10;Advanced Materials Upgrade Kit (Light of Terra 4 - Lords of the Iron Line - Warhammer 40,000) 300:&#10;Plasteel, adamantium, armourplas, synth-leather and other sophisticated materials are used for all sorts of purpo"/>
        <s v="Chapter 67: 52 Showtime&#10;Lathe-Wrought Armour Plating Kit (Light of Terra DLC 4 - Lords of the Iron Line) 400:&#10;The astronomical and gravitational alignment of the Lathe worlds creates the conditions for the production of metal alloys of rare and singular p"/>
        <s v="Chapter 60: 46.1 Interlude Weld&#10;Technical Certainties (Ace Combat) 400:&#10;Some engineers are always second guessing themselves, sticking to maintenance of machines that others use. You're so sure of your skills that you're capable of altering fighter planes"/>
        <s v="Chapter 24: 19 Restoration&#10;Valuable Memories: the nature of memories (Big O) 300:&#10;You have knowledge related to any particular concept-the construction of Megadei, the nature of memories, Bigs, or the creation of chimeras. Paradigm will have a vested inte"/>
        <s v="Chapter 14: 11 Power Trip&#10;Mechanic (Fast and Furious) 100:&#10;Machines, especially ones that go fast, just speak to you. You have no problem fixing up and tuning any motor vehicle, and can rebuild them after the most devastating crashes. You can keep anythin"/>
        <s v="Chapter 140: 96 Breakthrough &#10;Superweapons (G.I. Joe) 600: &#10;Your expertise covers the ever growing market of weapons of mass destruction. Giant beam weapons that can teloport people everywhere to controlling the weather, if its meant to bring a city to it"/>
        <s v="Chapter 47: 40 Knock Down - Preamble Gully - Addendum Emergency Alert&#10;Anaheim Degree (Gundam UC) 200:&#10;You have the knowledge (and the paper to prove it to people and shove in their faces to establish superiority) of how to build MS. It’s trickier than it "/>
        <s v="Chapter 57: 45 Realization - Preamble Taylor&#10;Always a Bigger Robot (Gurren Lagann) 600:&#10;The design and maintenance of epic machines is your specialty. You can figure out how to build starships measuring several kilometers long or devise a way to make a mo"/>
        <s v="Chapter 07: 6 Commission&#10;Aerospace Engineering Makes Things Go Fast (Kerbal Space Program) 100:&#10;You have an intuitive grasp on the mechanics of wind-flow, material sciences, atmospheric drag, tensile strengths, rocketry, so on and so forth, and how it app"/>
        <s v="Chapter 18: 14 Debut&#10;Fingers of Silver (Macross) 200:&#10;While other kids were building tinker-toy creations, you were fiddling with your dad's car and doing a better job than him. By purchasing this, meddling with machines and OverTechnology is as easy as b"/>
        <s v="Chapter 03: 3 First Fight&#10;Black Thumb (Mad Max Gauntlet) 100:&#10;You have the skills of an expert mechanic, able to keep vehicles running even in the most inhospitable conditions. Repairing and tuning up engines is your bread and butter, even while they’re s"/>
        <s v="Chapter 184: 116.3 Interlude Crystal - Addendum Joe&#10;A New Age of Warfare (Metal Gear) 600:&#10;Metal Gear, a weapon capable of bringing an entire nation to its knees (in theory). Your engineering talents have extended to the point you can create these war mac"/>
        <s v="Chapter 123: 88 Perspectives &#10;Mechanical Genius (Star Wars – Clone Wars) 600: &#10;You're the leading expert at designing droids and starships. Given the right resources you could create fully autonomous starfighters with built in hyperdrives, battle droids w"/>
        <s v="Chapter 90: 66 Review and Preparation&#10;Titan Engineering (Titanfall) 100:&#10;Titans are incredibly complex machines, and due to the disposable nature of their use and production, and not designed for easy repair. You've got the deft touch though, and know exa"/>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Jumpchain docs and perk counts" cacheId="0" dataCaption="" compact="0" compactData="0">
  <location ref="A1:B218" firstHeaderRow="0" firstDataRow="1" firstDataCol="0"/>
  <pivotFields>
    <pivotField name="Constellation" compact="0" outline="0" multipleItemSelectionAllowed="1" showAll="0">
      <items>
        <item x="0"/>
        <item x="1"/>
        <item x="2"/>
        <item x="3"/>
        <item x="4"/>
        <item x="5"/>
        <item x="6"/>
        <item x="7"/>
        <item x="8"/>
        <item x="9"/>
        <item x="10"/>
        <item x="11"/>
        <item x="12"/>
        <item x="13"/>
        <item x="14"/>
        <item t="default"/>
      </items>
    </pivotField>
    <pivotField name="Nam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t="default"/>
      </items>
    </pivotField>
    <pivotField name="Jumpdoc" axis="axisRow" compact="0" outline="0" multipleItemSelectionAllowed="1" showAll="0" sortType="ascending">
      <items>
        <item x="79"/>
        <item x="191"/>
        <item x="41"/>
        <item x="90"/>
        <item x="192"/>
        <item x="150"/>
        <item x="151"/>
        <item x="91"/>
        <item x="57"/>
        <item x="152"/>
        <item x="0"/>
        <item x="58"/>
        <item x="204"/>
        <item x="166"/>
        <item x="23"/>
        <item x="1"/>
        <item x="120"/>
        <item x="167"/>
        <item x="2"/>
        <item x="92"/>
        <item x="36"/>
        <item x="205"/>
        <item x="24"/>
        <item x="93"/>
        <item x="25"/>
        <item x="196"/>
        <item x="168"/>
        <item x="59"/>
        <item x="94"/>
        <item x="206"/>
        <item x="153"/>
        <item x="3"/>
        <item x="60"/>
        <item x="80"/>
        <item x="207"/>
        <item x="169"/>
        <item x="121"/>
        <item x="122"/>
        <item x="123"/>
        <item x="124"/>
        <item x="61"/>
        <item x="154"/>
        <item x="155"/>
        <item x="37"/>
        <item x="135"/>
        <item x="156"/>
        <item x="157"/>
        <item x="42"/>
        <item x="125"/>
        <item x="158"/>
        <item x="62"/>
        <item x="197"/>
        <item x="170"/>
        <item x="4"/>
        <item x="26"/>
        <item x="43"/>
        <item x="95"/>
        <item x="171"/>
        <item x="5"/>
        <item x="193"/>
        <item x="63"/>
        <item x="6"/>
        <item x="81"/>
        <item x="136"/>
        <item x="126"/>
        <item x="44"/>
        <item x="96"/>
        <item x="137"/>
        <item x="183"/>
        <item x="138"/>
        <item x="64"/>
        <item x="139"/>
        <item x="172"/>
        <item x="97"/>
        <item x="208"/>
        <item x="65"/>
        <item x="7"/>
        <item x="98"/>
        <item x="99"/>
        <item x="209"/>
        <item x="140"/>
        <item x="82"/>
        <item x="127"/>
        <item x="184"/>
        <item x="194"/>
        <item x="27"/>
        <item x="8"/>
        <item x="9"/>
        <item x="100"/>
        <item x="101"/>
        <item x="210"/>
        <item x="159"/>
        <item x="102"/>
        <item x="38"/>
        <item x="83"/>
        <item x="103"/>
        <item x="141"/>
        <item x="104"/>
        <item x="105"/>
        <item x="45"/>
        <item x="160"/>
        <item x="161"/>
        <item x="46"/>
        <item x="47"/>
        <item x="48"/>
        <item x="198"/>
        <item x="185"/>
        <item x="10"/>
        <item x="186"/>
        <item x="49"/>
        <item x="173"/>
        <item x="39"/>
        <item x="11"/>
        <item x="50"/>
        <item x="12"/>
        <item x="187"/>
        <item x="174"/>
        <item x="142"/>
        <item x="128"/>
        <item x="106"/>
        <item x="66"/>
        <item x="199"/>
        <item x="211"/>
        <item x="129"/>
        <item x="28"/>
        <item x="175"/>
        <item x="143"/>
        <item x="144"/>
        <item x="29"/>
        <item x="30"/>
        <item x="13"/>
        <item x="162"/>
        <item x="176"/>
        <item x="67"/>
        <item x="31"/>
        <item x="14"/>
        <item x="130"/>
        <item x="107"/>
        <item x="200"/>
        <item x="145"/>
        <item x="177"/>
        <item x="15"/>
        <item x="32"/>
        <item x="149"/>
        <item x="178"/>
        <item x="188"/>
        <item x="131"/>
        <item x="51"/>
        <item x="68"/>
        <item x="69"/>
        <item x="132"/>
        <item x="108"/>
        <item x="52"/>
        <item x="84"/>
        <item x="212"/>
        <item x="70"/>
        <item x="33"/>
        <item x="179"/>
        <item x="16"/>
        <item x="17"/>
        <item x="18"/>
        <item x="109"/>
        <item x="34"/>
        <item x="133"/>
        <item x="110"/>
        <item x="53"/>
        <item x="195"/>
        <item x="71"/>
        <item x="111"/>
        <item x="54"/>
        <item x="180"/>
        <item x="112"/>
        <item x="113"/>
        <item x="213"/>
        <item x="85"/>
        <item x="86"/>
        <item x="146"/>
        <item x="87"/>
        <item x="163"/>
        <item x="72"/>
        <item x="214"/>
        <item x="181"/>
        <item x="73"/>
        <item x="88"/>
        <item x="114"/>
        <item x="115"/>
        <item x="116"/>
        <item x="55"/>
        <item x="74"/>
        <item x="201"/>
        <item x="19"/>
        <item x="147"/>
        <item x="56"/>
        <item x="134"/>
        <item x="75"/>
        <item x="89"/>
        <item x="182"/>
        <item x="148"/>
        <item x="35"/>
        <item x="117"/>
        <item x="20"/>
        <item x="21"/>
        <item x="164"/>
        <item x="76"/>
        <item x="118"/>
        <item x="119"/>
        <item x="202"/>
        <item x="203"/>
        <item x="77"/>
        <item x="165"/>
        <item x="215"/>
        <item x="22"/>
        <item x="189"/>
        <item x="78"/>
        <item x="40"/>
        <item x="190"/>
        <item t="default"/>
      </items>
    </pivotField>
    <pivotField name="Status" compact="0" outline="0" multipleItemSelectionAllowed="1" showAll="0">
      <items>
        <item x="0"/>
        <item x="1"/>
        <item x="2"/>
        <item x="3"/>
        <item x="4"/>
        <item x="5"/>
        <item x="6"/>
        <item t="default"/>
      </items>
    </pivotField>
    <pivotField name="Full Text With Bonuses and Chapter(s) Obtain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t="default"/>
      </items>
    </pivotField>
  </pivotFields>
  <rowFields>
    <field x="2"/>
  </rowFields>
  <dataFields>
    <dataField name="Clusters from Setting" fld="1" subtotal="count" baseField="0"/>
  </dataFields>
  <pivotTableStyleInfo name="Google Sheets Pivot Table Style" showRowHeaders="1" showColHeaders="1" showLastColumn="1"/>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Xu2r0swdtbazSxAod40_UDjn7eHA5WJA/view?usp=sharing"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5njr4mTk5dNkgHOZzG9NPWjODTuAoIhC/view?usp=sharing"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40" Type="http://schemas.openxmlformats.org/officeDocument/2006/relationships/hyperlink" Target="https://drive.google.com/file/d/1hUjElQfJmcweft1ihBpwF3MT5x9c94v4/view?usp=sharing" TargetMode="External"/><Relationship Id="rId190" Type="http://schemas.openxmlformats.org/officeDocument/2006/relationships/hyperlink" Target="https://drive.google.com/file/d/1oDiW4aC994EpYVVU91fLFeHRFebz4fkN/view?usp=sharing" TargetMode="External"/><Relationship Id="rId42" Type="http://schemas.openxmlformats.org/officeDocument/2006/relationships/hyperlink" Target="https://drive.google.com/file/d/1MdUbNrx9YQauVEw6gcuY5vUFhIzXyd-c/view?usp=sharing" TargetMode="External"/><Relationship Id="rId41" Type="http://schemas.openxmlformats.org/officeDocument/2006/relationships/hyperlink" Target="https://drive.google.com/file/d/1fPydEx3qJr4jC3CiqG0Krs56H6JuIqfD/view?usp=sharing" TargetMode="External"/><Relationship Id="rId44" Type="http://schemas.openxmlformats.org/officeDocument/2006/relationships/hyperlink" Target="https://drive.google.com/file/d/1CzgvI1FyTHvvrYazj3c1CgBLs2aK-cHM/view?usp=drivesdk" TargetMode="External"/><Relationship Id="rId194" Type="http://schemas.openxmlformats.org/officeDocument/2006/relationships/hyperlink" Target="https://drive.google.com/file/d/1Ruczbq79TFVFB9wbceEAA5hfgPhREEwE/view?usp=sharing" TargetMode="External"/><Relationship Id="rId43" Type="http://schemas.openxmlformats.org/officeDocument/2006/relationships/hyperlink" Target="https://drive.google.com/file/d/1NiAV7mjDMOEsOrEBH_kkq0FkI0WQ-lsw/view?usp=sharing" TargetMode="External"/><Relationship Id="rId193" Type="http://schemas.openxmlformats.org/officeDocument/2006/relationships/hyperlink" Target="https://drive.google.com/file/d/1QsR7gJYtKXo7JWvAsl90jmq-BKW0S9wr/view?usp=sharing" TargetMode="External"/><Relationship Id="rId46" Type="http://schemas.openxmlformats.org/officeDocument/2006/relationships/hyperlink" Target="https://drive.google.com/file/d/131vlN3kQtPNTnZiYmmRpqUJq3qEXnIIa/view?usp=sharing" TargetMode="External"/><Relationship Id="rId192" Type="http://schemas.openxmlformats.org/officeDocument/2006/relationships/hyperlink" Target="https://drive.google.com/file/d/1Z2tDFGRoINF4mrS0acwPFh83SO97aKGh/view?usp=sharing" TargetMode="External"/><Relationship Id="rId45" Type="http://schemas.openxmlformats.org/officeDocument/2006/relationships/hyperlink" Target="https://drive.google.com/file/d/1A9yZlnw9Ri3wg6IlsMRenoUH53H_wVN2/view?usp=sharing" TargetMode="External"/><Relationship Id="rId191" Type="http://schemas.openxmlformats.org/officeDocument/2006/relationships/hyperlink" Target="https://drive.google.com/file/d/1_PrnVf_zkM_SuFVY9ySNZgi08dGzxuXu/view?usp=sharing" TargetMode="External"/><Relationship Id="rId48" Type="http://schemas.openxmlformats.org/officeDocument/2006/relationships/hyperlink" Target="https://drive.google.com/file/d/1ccWY1erADLyZjCvJMVyLFk4_6X_m2pdj/view?usp=sharing" TargetMode="External"/><Relationship Id="rId187" Type="http://schemas.openxmlformats.org/officeDocument/2006/relationships/hyperlink" Target="https://drive.google.com/file/d/1ttixrU2zYlvoj4KZQUOOjbessjbR4Vbl/view?usp=sharing" TargetMode="External"/><Relationship Id="rId47" Type="http://schemas.openxmlformats.org/officeDocument/2006/relationships/hyperlink" Target="https://drive.google.com/file/d/1Gtp-NkSLGgHElJU8PtkWSTcA3sUz46lu/view?usp=sharing" TargetMode="External"/><Relationship Id="rId186" Type="http://schemas.openxmlformats.org/officeDocument/2006/relationships/hyperlink" Target="https://drive.google.com/file/d/1jCyYZLz7uKV4yoovFB2g5m0oFwg_u6rX/view?usp=sharing" TargetMode="External"/><Relationship Id="rId185" Type="http://schemas.openxmlformats.org/officeDocument/2006/relationships/hyperlink" Target="https://drive.google.com/file/d/13c28qPMr-1dhAfBIp7X-w-MvCkmonU31/view?usp=sharing" TargetMode="External"/><Relationship Id="rId49" Type="http://schemas.openxmlformats.org/officeDocument/2006/relationships/hyperlink" Target="https://drive.google.com/file/d/1aCOEowjBggDLyO6Uaz5RBzYI9iJY9Ds-/view?usp=sharing" TargetMode="External"/><Relationship Id="rId184" Type="http://schemas.openxmlformats.org/officeDocument/2006/relationships/hyperlink" Target="https://drive.google.com/file/d/1fuo8XETd0ya8UQnkwqM6-RQgTTVMWXml/view?usp=sharing" TargetMode="External"/><Relationship Id="rId189" Type="http://schemas.openxmlformats.org/officeDocument/2006/relationships/hyperlink" Target="https://drive.google.com/file/d/10eMKn7LpbMPvM2fpueo-idqNontlbnyW/view?usp=sharing" TargetMode="External"/><Relationship Id="rId188" Type="http://schemas.openxmlformats.org/officeDocument/2006/relationships/hyperlink" Target="https://drive.google.com/file/d/1UzkhbeOq3XqFNlA3-XKxpGMpB5rrcEyr/view?usp=sharing" TargetMode="External"/><Relationship Id="rId31" Type="http://schemas.openxmlformats.org/officeDocument/2006/relationships/hyperlink" Target="https://drive.google.com/file/d/1ACuE7RzsdROAsVLP81m4KRsxJJzp38LY/view?usp=sharing" TargetMode="External"/><Relationship Id="rId30" Type="http://schemas.openxmlformats.org/officeDocument/2006/relationships/hyperlink" Target="https://drive.google.com/file/d/12uVXuwM8MsRFkzsbE3q5Jyl7HaSdFMqn/view?usp=sharing" TargetMode="External"/><Relationship Id="rId33" Type="http://schemas.openxmlformats.org/officeDocument/2006/relationships/hyperlink" Target="https://drive.google.com/file/d/1PN4Z58nG-TiA7MPG730XOv0Gs9Dl8LRo/view?usp=sharing" TargetMode="External"/><Relationship Id="rId183" Type="http://schemas.openxmlformats.org/officeDocument/2006/relationships/hyperlink" Target="https://drive.google.com/file/d/16xr4vMs51jTKNkacrpl4JgXUrVMicIgU/view?usp=sharing" TargetMode="External"/><Relationship Id="rId32" Type="http://schemas.openxmlformats.org/officeDocument/2006/relationships/hyperlink" Target="https://drive.google.com/file/d/1U_QBluoRWcDCZl4OaCc22lyWtZ8PNz6k/view?usp=sharing" TargetMode="External"/><Relationship Id="rId182" Type="http://schemas.openxmlformats.org/officeDocument/2006/relationships/hyperlink" Target="https://drive.google.com/file/d/1tJW0PsSIAj5oASIVMBrrJfMqqntD6XIy/view?usp=sharing" TargetMode="External"/><Relationship Id="rId35" Type="http://schemas.openxmlformats.org/officeDocument/2006/relationships/hyperlink" Target="https://drive.google.com/file/d/1-C4eijkNCDJbHu1oUnd5_DZok_fyxpKY/view?usp=sharing" TargetMode="External"/><Relationship Id="rId181" Type="http://schemas.openxmlformats.org/officeDocument/2006/relationships/hyperlink" Target="https://drive.google.com/file/d/1Eef6VUtOsFUfhPu9ebq8rn2ZHaGey2Nn/view?usp=sharing" TargetMode="External"/><Relationship Id="rId34" Type="http://schemas.openxmlformats.org/officeDocument/2006/relationships/hyperlink" Target="https://drive.google.com/file/d/19H1ei_nXJDo9GBS7uOndOQqeJSInEeu5/view?usp=sharing" TargetMode="External"/><Relationship Id="rId180" Type="http://schemas.openxmlformats.org/officeDocument/2006/relationships/hyperlink" Target="https://drive.google.com/file/d/1r9CEZRH68mF8Ko-3vpaXnCw0bRJs6-VL/view?usp=sharing" TargetMode="External"/><Relationship Id="rId37" Type="http://schemas.openxmlformats.org/officeDocument/2006/relationships/hyperlink" Target="https://drive.google.com/file/d/141Ov87RHnYp7wnrcFx5ycK5pT9tEKPw3/view?usp=sharing" TargetMode="External"/><Relationship Id="rId176" Type="http://schemas.openxmlformats.org/officeDocument/2006/relationships/hyperlink" Target="https://drive.google.com/file/d/1JfSFJxyL6WWDCgZ9Ro4MUxy5PWHH4Lky/view?usp=sharing" TargetMode="External"/><Relationship Id="rId36" Type="http://schemas.openxmlformats.org/officeDocument/2006/relationships/hyperlink" Target="https://drive.google.com/file/d/1voWGW0OZ01m3xt6wjuLXfUQfSjzFPJup/view?usp=sharing" TargetMode="External"/><Relationship Id="rId175" Type="http://schemas.openxmlformats.org/officeDocument/2006/relationships/hyperlink" Target="https://drive.google.com/file/d/1pCbEcubnMmLydbcbbmHH5VeI0liDvGEB/view?usp=sharing" TargetMode="External"/><Relationship Id="rId39" Type="http://schemas.openxmlformats.org/officeDocument/2006/relationships/hyperlink" Target="https://drive.google.com/file/d/1oOnUafSny47WFicspUl-I1OjklYuRdTt/view?usp=sharing" TargetMode="External"/><Relationship Id="rId174" Type="http://schemas.openxmlformats.org/officeDocument/2006/relationships/hyperlink" Target="https://drive.google.com/file/d/19gfhZx4135N8H4l-1j25h5lWHi4lDoa4/view?usp=sharing" TargetMode="External"/><Relationship Id="rId38" Type="http://schemas.openxmlformats.org/officeDocument/2006/relationships/hyperlink" Target="https://drive.google.com/file/d/191ROhn-0mWNqeh3xCPoJ7-olICE4WZDb/view?usp=sharing" TargetMode="External"/><Relationship Id="rId173" Type="http://schemas.openxmlformats.org/officeDocument/2006/relationships/hyperlink" Target="https://drive.google.com/file/d/1vP3073k8i7pN6iUoNwJ21DsaufppRF3-/view?usp=sharing" TargetMode="External"/><Relationship Id="rId179" Type="http://schemas.openxmlformats.org/officeDocument/2006/relationships/hyperlink" Target="https://drive.google.com/file/d/1iJlsSjvuxtygbq7g8YS_BZGb741Bfq0e/view?usp=sharing" TargetMode="External"/><Relationship Id="rId178" Type="http://schemas.openxmlformats.org/officeDocument/2006/relationships/hyperlink" Target="https://drive.google.com/file/d/1YtGsYWRYWcAfkTXWoOAHlKYqObsw9i_b/view?usp=sharing" TargetMode="External"/><Relationship Id="rId177" Type="http://schemas.openxmlformats.org/officeDocument/2006/relationships/hyperlink" Target="https://drive.google.com/file/d/1mPaiZCT8Vquy2sCSBg1LJ7VOWpu25ajs/view?usp=sharing" TargetMode="External"/><Relationship Id="rId20" Type="http://schemas.openxmlformats.org/officeDocument/2006/relationships/hyperlink" Target="https://drive.google.com/file/d/1DZsMlkDCIg1TlDvIlbFS_X-kF2GMqLwK/view?usp=sharing" TargetMode="External"/><Relationship Id="rId22" Type="http://schemas.openxmlformats.org/officeDocument/2006/relationships/hyperlink" Target="https://drive.google.com/file/d/1rOK6r1OMS7s9lQiLa7jkF4ceXB6bQSJ1/view?usp=sharing" TargetMode="External"/><Relationship Id="rId21" Type="http://schemas.openxmlformats.org/officeDocument/2006/relationships/hyperlink" Target="https://drive.google.com/file/d/1rPZY4y7LgQzusb-_WfbsqnrJbBu03x6Q/view?usp=sharing" TargetMode="External"/><Relationship Id="rId24" Type="http://schemas.openxmlformats.org/officeDocument/2006/relationships/hyperlink" Target="https://drive.google.com/file/d/1ThdDAvQwpGOoHVCKsGDhxtXDJPlC-Css/view?usp=sharing" TargetMode="External"/><Relationship Id="rId23" Type="http://schemas.openxmlformats.org/officeDocument/2006/relationships/hyperlink" Target="https://drive.google.com/file/d/1coCZ-JpijTFUxywMt8cDNNthWe0qVHfP/view?usp=sharing" TargetMode="External"/><Relationship Id="rId26" Type="http://schemas.openxmlformats.org/officeDocument/2006/relationships/hyperlink" Target="https://drive.google.com/file/d/18JxVQ2ijicRLP-Qtxh_cni2ImVPcDQoc/view?usp=sharing" TargetMode="External"/><Relationship Id="rId25" Type="http://schemas.openxmlformats.org/officeDocument/2006/relationships/hyperlink" Target="https://drive.google.com/file/d/1c_V2f-4i9NO9-gVhzU_-lUQpcA7A7uze/view?usp=sharing" TargetMode="External"/><Relationship Id="rId28" Type="http://schemas.openxmlformats.org/officeDocument/2006/relationships/hyperlink" Target="https://drive.google.com/file/d/1ZeiitQCdqGkY7wXmfg4ivrPseuC-oc7m/view?usp=sharing" TargetMode="External"/><Relationship Id="rId27" Type="http://schemas.openxmlformats.org/officeDocument/2006/relationships/hyperlink" Target="https://drive.google.com/file/d/1crBDEHtW_9GheyGyGJwbp2Ol11dIWeYJ/view?usp=sharing" TargetMode="External"/><Relationship Id="rId29" Type="http://schemas.openxmlformats.org/officeDocument/2006/relationships/hyperlink" Target="https://drive.google.com/file/d/19riTqof--_p5dfFJmRc7azAf--UTU7S4/view?usp=sharing" TargetMode="External"/><Relationship Id="rId11" Type="http://schemas.openxmlformats.org/officeDocument/2006/relationships/hyperlink" Target="https://drive.google.com/file/d/1AEe_Qr4utDPrY-ERomPSM5BqIk0WIp4a/view?usp=sharing" TargetMode="External"/><Relationship Id="rId10" Type="http://schemas.openxmlformats.org/officeDocument/2006/relationships/hyperlink" Target="https://drive.google.com/file/d/1By50VweYVpaDjH_LQLQZbL2TE4YZvqqE/view?usp=sharing" TargetMode="External"/><Relationship Id="rId13" Type="http://schemas.openxmlformats.org/officeDocument/2006/relationships/hyperlink" Target="https://drive.google.com/file/d/1SjR0LeCzgqYJmGCozrO9AW15OBYiDQfO/view?usp=sharing" TargetMode="External"/><Relationship Id="rId12" Type="http://schemas.openxmlformats.org/officeDocument/2006/relationships/hyperlink" Target="https://drive.google.com/file/d/159B1p4wmXe1ead9xijnJqdSwQ2cuDhCd/view?usp=sharing" TargetMode="External"/><Relationship Id="rId15" Type="http://schemas.openxmlformats.org/officeDocument/2006/relationships/hyperlink" Target="https://drive.google.com/file/d/1xLXQOCrgJv2hJdD6BRbApR92ArVD_i6c/view?usp=sharing" TargetMode="External"/><Relationship Id="rId198" Type="http://schemas.openxmlformats.org/officeDocument/2006/relationships/hyperlink" Target="https://drive.google.com/file/d/1YVMMkfgqpKouNhB7Zaovcl-UQO5Pfa8m/view?usp=sharing" TargetMode="External"/><Relationship Id="rId14" Type="http://schemas.openxmlformats.org/officeDocument/2006/relationships/hyperlink" Target="https://drive.google.com/file/d/1wWLHrF4KbwJuT2ja-YoooCZTEdCBEfEq/view?usp=sharing" TargetMode="External"/><Relationship Id="rId197" Type="http://schemas.openxmlformats.org/officeDocument/2006/relationships/hyperlink" Target="https://drive.google.com/file/d/10_JlHyoKjTT94NT0l1wKC3F2e6NrpAf8/view?usp=sharing" TargetMode="External"/><Relationship Id="rId17" Type="http://schemas.openxmlformats.org/officeDocument/2006/relationships/hyperlink" Target="https://drive.google.com/file/d/1pN2AqNs0vuYzwWA_udJrfGaL9m75T7mL/view?usp=sharing" TargetMode="External"/><Relationship Id="rId196" Type="http://schemas.openxmlformats.org/officeDocument/2006/relationships/hyperlink" Target="https://drive.google.com/file/d/1w7L55tNKhLPdchael7E6EwgnZm4cyQcf/view?usp=sharing" TargetMode="External"/><Relationship Id="rId16" Type="http://schemas.openxmlformats.org/officeDocument/2006/relationships/hyperlink" Target="https://drive.google.com/file/d/1CwrpeBhLZvyq7jpN2sAAUbm2mjUg2rkZ/view?usp=sharing" TargetMode="External"/><Relationship Id="rId195" Type="http://schemas.openxmlformats.org/officeDocument/2006/relationships/hyperlink" Target="https://drive.google.com/file/d/1L-CPFC7DEv2TLiThWI2FnqXftqtOwSef/view?usp=sharing" TargetMode="External"/><Relationship Id="rId19" Type="http://schemas.openxmlformats.org/officeDocument/2006/relationships/hyperlink" Target="https://drive.google.com/file/d/18hKReBsyT4IoglQ9M1be3hZzN-Z3Q4EV/view?usp=sharing" TargetMode="External"/><Relationship Id="rId18" Type="http://schemas.openxmlformats.org/officeDocument/2006/relationships/hyperlink" Target="https://drive.google.com/file/d/1hduRPHJNByTiDAaWSQ6LWI-juwS96tEN/view?usp=sharing" TargetMode="External"/><Relationship Id="rId199" Type="http://schemas.openxmlformats.org/officeDocument/2006/relationships/hyperlink" Target="https://drive.google.com/file/d/1XDLV5_DUjkY7J4nfwHM6x-YppgMY7w2g/view?usp=sharing" TargetMode="External"/><Relationship Id="rId84" Type="http://schemas.openxmlformats.org/officeDocument/2006/relationships/hyperlink" Target="https://drive.google.com/file/d/1ZioOOEKNxJNB39QOt0DrRHNnjnhiyMxE/view?usp=sharing" TargetMode="External"/><Relationship Id="rId83" Type="http://schemas.openxmlformats.org/officeDocument/2006/relationships/hyperlink" Target="https://drive.google.com/file/d/1Elcgk5xN7iYweNX192nOhnXIwn-uF3lq/view?usp=sharing" TargetMode="External"/><Relationship Id="rId86" Type="http://schemas.openxmlformats.org/officeDocument/2006/relationships/hyperlink" Target="https://drive.google.com/file/d/1_tuaUPul96ZBqadMCQ7kjPBg-OKm3LWl/view?usp=sharing" TargetMode="External"/><Relationship Id="rId85" Type="http://schemas.openxmlformats.org/officeDocument/2006/relationships/hyperlink" Target="https://drive.google.com/file/d/15-L7KBkk4Zbh99FFH40AQ7cQruq_ll2A/view?usp=sharing" TargetMode="External"/><Relationship Id="rId88" Type="http://schemas.openxmlformats.org/officeDocument/2006/relationships/hyperlink" Target="https://drive.google.com/file/d/1e45GtImj5lg5xLGSmorng-Aza_o4L9CJ/view?usp=sharing" TargetMode="External"/><Relationship Id="rId150" Type="http://schemas.openxmlformats.org/officeDocument/2006/relationships/hyperlink" Target="https://drive.google.com/file/d/10gYwoKt1S0CK0lFtnKZ98ylDIhvLRdmH/view?usp=sharing" TargetMode="External"/><Relationship Id="rId87" Type="http://schemas.openxmlformats.org/officeDocument/2006/relationships/hyperlink" Target="https://drive.google.com/file/d/1-4Q1Tvx8zAaznf5gLjkqESdwg_7f7PbF/view?usp=sharing" TargetMode="External"/><Relationship Id="rId89" Type="http://schemas.openxmlformats.org/officeDocument/2006/relationships/hyperlink" Target="https://drive.google.com/file/d/1XWw8oqCuvMp0zeM0d1y0RNm6wKakCTl4/view?usp=sharing" TargetMode="External"/><Relationship Id="rId80" Type="http://schemas.openxmlformats.org/officeDocument/2006/relationships/hyperlink" Target="https://drive.google.com/file/d/1jNOEej6lih6E7-v_590KW7S-cscZbWrB/view?usp=sharing" TargetMode="External"/><Relationship Id="rId82" Type="http://schemas.openxmlformats.org/officeDocument/2006/relationships/hyperlink" Target="https://drive.google.com/file/d/184c_O7_oSIfep7TDN7ke5FndUKL-DZTY/view?usp=sharing" TargetMode="External"/><Relationship Id="rId81" Type="http://schemas.openxmlformats.org/officeDocument/2006/relationships/hyperlink" Target="https://drive.google.com/file/d/1kNkutbLqcrMYWv2c8-W0I7-lRLgKRrlI/view?usp=sharing" TargetMode="External"/><Relationship Id="rId1" Type="http://schemas.openxmlformats.org/officeDocument/2006/relationships/pivotTable" Target="../pivotTables/pivotTable1.xml"/><Relationship Id="rId2" Type="http://schemas.openxmlformats.org/officeDocument/2006/relationships/hyperlink" Target="https://drive.google.com/file/d/1dEjLS8GnBfURc6MAIbqM5DynYrdy5Blk/view?usp=sharing" TargetMode="External"/><Relationship Id="rId3" Type="http://schemas.openxmlformats.org/officeDocument/2006/relationships/hyperlink" Target="https://drive.google.com/file/d/1BV9C-L9RdSQVDkuDdp2y5pNxXH339fJd/view?usp=sharing" TargetMode="External"/><Relationship Id="rId149" Type="http://schemas.openxmlformats.org/officeDocument/2006/relationships/hyperlink" Target="https://drive.google.com/file/d/1z3ggFCdmRxSxkhD289T_TsvB5eTprbGB/view?usp=sharing" TargetMode="External"/><Relationship Id="rId4" Type="http://schemas.openxmlformats.org/officeDocument/2006/relationships/hyperlink" Target="https://drive.google.com/file/d/1PL214Ll2acKGFeZaKOl23u9fc7HhE3MH/view?usp=sharing" TargetMode="External"/><Relationship Id="rId148" Type="http://schemas.openxmlformats.org/officeDocument/2006/relationships/hyperlink" Target="https://drive.google.com/file/d/1CPpJoE-sTy2zX8GKyab-v5ejOWNplDLu/view?usp=sharing" TargetMode="External"/><Relationship Id="rId9" Type="http://schemas.openxmlformats.org/officeDocument/2006/relationships/hyperlink" Target="https://drive.google.com/file/d/14eot0ssBP9vcl2ieCb5zVjEMmerpV4IL/view?usp=sharing" TargetMode="External"/><Relationship Id="rId143" Type="http://schemas.openxmlformats.org/officeDocument/2006/relationships/hyperlink" Target="https://drive.google.com/file/d/186JDfKwx7EOvq_YD3cId1Jl3oyzXyXn7/view?usp=sharing" TargetMode="External"/><Relationship Id="rId142" Type="http://schemas.openxmlformats.org/officeDocument/2006/relationships/hyperlink" Target="https://drive.google.com/file/d/1-yQr7DdNx1l6803OT4KOA5zqFjpZwjC0/view?usp=sharing" TargetMode="External"/><Relationship Id="rId141" Type="http://schemas.openxmlformats.org/officeDocument/2006/relationships/hyperlink" Target="https://drive.google.com/file/d/1TW2O50NuNWIS8B5JRaHgu2lNHd0w3hI6/view?usp=sharing" TargetMode="External"/><Relationship Id="rId140" Type="http://schemas.openxmlformats.org/officeDocument/2006/relationships/hyperlink" Target="https://drive.google.com/file/d/1G7gbnSXiNB90drv7gRBlqUnfaPVVHIb_/view?usp=sharing" TargetMode="External"/><Relationship Id="rId5" Type="http://schemas.openxmlformats.org/officeDocument/2006/relationships/hyperlink" Target="https://drive.google.com/file/d/1pBBMKsC9v8r_ZkJ3A09VOYwGSlkwUdKt/view?usp=sharing" TargetMode="External"/><Relationship Id="rId147" Type="http://schemas.openxmlformats.org/officeDocument/2006/relationships/hyperlink" Target="https://drive.google.com/file/d/1oMqF6Y1GeEPfJfGxlta8ulFiYX_ClAai/view?usp=sharing" TargetMode="External"/><Relationship Id="rId6" Type="http://schemas.openxmlformats.org/officeDocument/2006/relationships/hyperlink" Target="https://drive.google.com/file/d/1gKCjBJN4ymatZqyqKv_7QqDhxzx8XBXF/view?usp=sharing" TargetMode="External"/><Relationship Id="rId146" Type="http://schemas.openxmlformats.org/officeDocument/2006/relationships/hyperlink" Target="https://drive.google.com/file/d/1EdxjiiW_qUTmehy8DxUvD_UIvr1u33KR/view?usp=sharing" TargetMode="External"/><Relationship Id="rId7" Type="http://schemas.openxmlformats.org/officeDocument/2006/relationships/hyperlink" Target="https://drive.google.com/file/d/1GKBljskNJrdHrnJTChE_qiXyZxJcFtZq/view?usp=sharing" TargetMode="External"/><Relationship Id="rId145" Type="http://schemas.openxmlformats.org/officeDocument/2006/relationships/hyperlink" Target="https://drive.google.com/file/d/1Hmf8G24GUMYjTBGBAZBMLF9fljGPmiE6/view?usp=sharing" TargetMode="External"/><Relationship Id="rId8" Type="http://schemas.openxmlformats.org/officeDocument/2006/relationships/hyperlink" Target="https://drive.google.com/file/d/1ovYGYketF83PCU3RSgXsLIu09TuL3HzU/view?usp=sharing" TargetMode="External"/><Relationship Id="rId144" Type="http://schemas.openxmlformats.org/officeDocument/2006/relationships/hyperlink" Target="https://drive.google.com/file/d/1cQDyxzfORxpjmXblbVQ2GOQ_lK9bLzed/view?usp=sharing" TargetMode="External"/><Relationship Id="rId73" Type="http://schemas.openxmlformats.org/officeDocument/2006/relationships/hyperlink" Target="https://drive.google.com/file/d/1F-uEFbCyi-mMgqCwaPvFiQ-HrD9zq65m/view?usp=sharing" TargetMode="External"/><Relationship Id="rId72" Type="http://schemas.openxmlformats.org/officeDocument/2006/relationships/hyperlink" Target="https://drive.google.com/file/d/1F-uEFbCyi-mMgqCwaPvFiQ-HrD9zq65m/view?usp=sharing" TargetMode="External"/><Relationship Id="rId75" Type="http://schemas.openxmlformats.org/officeDocument/2006/relationships/hyperlink" Target="https://drive.google.com/file/d/1YwxzTayXZ1cmJTqemxwd3gpY3kqq8xux/view?usp=sharing" TargetMode="External"/><Relationship Id="rId74" Type="http://schemas.openxmlformats.org/officeDocument/2006/relationships/hyperlink" Target="https://drive.google.com/file/d/1yXDDjUviOspa5QtYXa4BkFTFy3xLraEw/view?usp=sharing" TargetMode="External"/><Relationship Id="rId77" Type="http://schemas.openxmlformats.org/officeDocument/2006/relationships/hyperlink" Target="https://drive.google.com/file/d/1D4B5FCHc3Ir0Ei-K9qeSl6j-d1rAvDV-/view?usp=sharing" TargetMode="External"/><Relationship Id="rId76" Type="http://schemas.openxmlformats.org/officeDocument/2006/relationships/hyperlink" Target="https://drive.google.com/file/d/1igW64Qtsc2MiLAr8X2n7SsD29atBwwrQ/view?usp=sharing" TargetMode="External"/><Relationship Id="rId79" Type="http://schemas.openxmlformats.org/officeDocument/2006/relationships/hyperlink" Target="https://drive.google.com/file/d/1yTp3uql1LBtz1WsNNKGzWIfaM91urrV0/view?usp=sharing" TargetMode="External"/><Relationship Id="rId78" Type="http://schemas.openxmlformats.org/officeDocument/2006/relationships/hyperlink" Target="https://drive.google.com/file/d/12scJZTzS5xdJH4x__vC8CyGWBZAjyvnq/view?usp=sharing" TargetMode="External"/><Relationship Id="rId71" Type="http://schemas.openxmlformats.org/officeDocument/2006/relationships/hyperlink" Target="https://drive.google.com/file/d/1zOG6a_6yrZhuff6KKIDhol0NFvBr6H-G/view?usp=sharing" TargetMode="External"/><Relationship Id="rId70" Type="http://schemas.openxmlformats.org/officeDocument/2006/relationships/hyperlink" Target="https://drive.google.com/file/d/1vicBF4eUrnSqLBIVB2NDzpvjnCD8MlXQ/view?usp=sharing" TargetMode="External"/><Relationship Id="rId139" Type="http://schemas.openxmlformats.org/officeDocument/2006/relationships/hyperlink" Target="https://drive.google.com/file/d/1LWpFjMT9Y1bZmEoU76Zqdko92qoVZh36/view?usp=sharing" TargetMode="External"/><Relationship Id="rId138" Type="http://schemas.openxmlformats.org/officeDocument/2006/relationships/hyperlink" Target="https://drive.google.com/file/d/19VgF9dz4aDngNRgUU0RGkHkp4rNiULb2/view?usp=sharing" TargetMode="External"/><Relationship Id="rId137" Type="http://schemas.openxmlformats.org/officeDocument/2006/relationships/hyperlink" Target="https://drive.google.com/file/d/1XMEy7RLrqW-vdQlH664EL2QQ_fInq8NC/view?usp=sharing" TargetMode="External"/><Relationship Id="rId132" Type="http://schemas.openxmlformats.org/officeDocument/2006/relationships/hyperlink" Target="https://drive.google.com/file/d/1zKBELrxs0tm4pxaiLIfH2-OGc4wUZUMC/view?usp=sharing" TargetMode="External"/><Relationship Id="rId131" Type="http://schemas.openxmlformats.org/officeDocument/2006/relationships/hyperlink" Target="https://drive.google.com/file/d/1MGlmxnzocsQOzCEOyO3-wzEwGz0q9Flg/view?usp=sharing" TargetMode="External"/><Relationship Id="rId130" Type="http://schemas.openxmlformats.org/officeDocument/2006/relationships/hyperlink" Target="https://drive.google.com/file/d/1Wzkz5yZloQhYgnEZ6JyAaSG9crV0dEZY/view?usp=sharing" TargetMode="External"/><Relationship Id="rId136" Type="http://schemas.openxmlformats.org/officeDocument/2006/relationships/hyperlink" Target="https://drive.google.com/file/d/1lTKIDGW4jWul0GVWhbyRzX3z2iA6xjlC/view?usp=sharing" TargetMode="External"/><Relationship Id="rId135" Type="http://schemas.openxmlformats.org/officeDocument/2006/relationships/hyperlink" Target="https://drive.google.com/file/d/1I-K6QlGow-EdnQgJ2ACSMiRIjhr6Fy-y/view?usp=sharing" TargetMode="External"/><Relationship Id="rId134" Type="http://schemas.openxmlformats.org/officeDocument/2006/relationships/hyperlink" Target="https://drive.google.com/file/d/1tS1reTKOaLXBvrSzFSX1KTxFIyX-4lgm/view?usp=sharing" TargetMode="External"/><Relationship Id="rId133" Type="http://schemas.openxmlformats.org/officeDocument/2006/relationships/hyperlink" Target="https://drive.google.com/file/d/1ewCEEBLGBMliWOXbG3X_IjpyqjkIc_8M/view?usp=sharing" TargetMode="External"/><Relationship Id="rId62" Type="http://schemas.openxmlformats.org/officeDocument/2006/relationships/hyperlink" Target="https://drive.google.com/file/d/17jVy4QEwMGcpFM-5mYb-4cf0Z-U2prz1/view?usp=drivesdk" TargetMode="External"/><Relationship Id="rId61" Type="http://schemas.openxmlformats.org/officeDocument/2006/relationships/hyperlink" Target="https://drive.google.com/file/d/1L3sBl4Y7-k0VOoQv9fS9sDIlgqyBnhW5/view?usp=sharing" TargetMode="External"/><Relationship Id="rId64" Type="http://schemas.openxmlformats.org/officeDocument/2006/relationships/hyperlink" Target="https://drive.google.com/file/d/1xOyUCAAUqZ4NaUSP0pXBL2lxNFWuO-Be/view?usp=sharing" TargetMode="External"/><Relationship Id="rId63" Type="http://schemas.openxmlformats.org/officeDocument/2006/relationships/hyperlink" Target="https://drive.google.com/file/d/1ir3yfZo4bHtCL6PKiOclHO0EDXIt_H_5/view?usp=sharing" TargetMode="External"/><Relationship Id="rId66" Type="http://schemas.openxmlformats.org/officeDocument/2006/relationships/hyperlink" Target="https://drive.google.com/file/d/1388zGFaR_f8S3X4Sh0Cn4OkGwhbj3wHO/view?usp=sharing" TargetMode="External"/><Relationship Id="rId172" Type="http://schemas.openxmlformats.org/officeDocument/2006/relationships/hyperlink" Target="https://drive.google.com/file/d/1R2aW8CXdXeCBuszxFNcCnthJ-AJCoRHs/view?usp=sharing" TargetMode="External"/><Relationship Id="rId65" Type="http://schemas.openxmlformats.org/officeDocument/2006/relationships/hyperlink" Target="https://drive.google.com/file/d/1QQTu0XjGd8BZ5nMGdX4_E0tQRs0r0tgN/view?usp=sharing" TargetMode="External"/><Relationship Id="rId171" Type="http://schemas.openxmlformats.org/officeDocument/2006/relationships/hyperlink" Target="https://drive.google.com/file/d/1bwKjqcY17bPDwARhk9Zl_zi1bG1IFwHl/view?usp=sharing" TargetMode="External"/><Relationship Id="rId68" Type="http://schemas.openxmlformats.org/officeDocument/2006/relationships/hyperlink" Target="https://drive.google.com/file/d/1VnEkRSh_dylrt6yMP_ZmHFKA5MI0vrpQ/view?usp=sharing" TargetMode="External"/><Relationship Id="rId170" Type="http://schemas.openxmlformats.org/officeDocument/2006/relationships/hyperlink" Target="https://drive.google.com/file/d/1xPpElHiC78IMnHI-E3YRcfVXPTjBznrS/view?usp=sharing" TargetMode="External"/><Relationship Id="rId67" Type="http://schemas.openxmlformats.org/officeDocument/2006/relationships/hyperlink" Target="https://drive.google.com/file/d/1A1OrOFIt8WOY3f2nXuEe41nOr7y09LLc/view?usp=sharing" TargetMode="External"/><Relationship Id="rId60" Type="http://schemas.openxmlformats.org/officeDocument/2006/relationships/hyperlink" Target="https://drive.google.com/file/d/1TUSPrZbvPipsN_dxGnq_vifd3zsrmrbL/view?usp=sharing" TargetMode="External"/><Relationship Id="rId165" Type="http://schemas.openxmlformats.org/officeDocument/2006/relationships/hyperlink" Target="https://drive.google.com/file/d/1SdbRIjFQ_x7LHWP-h7UrhOJtrWcNX8Tu/view?usp=sharing" TargetMode="External"/><Relationship Id="rId69" Type="http://schemas.openxmlformats.org/officeDocument/2006/relationships/hyperlink" Target="https://drive.google.com/file/d/1PnhxjB62dKHPQ59urh-Uq6y948d3LmUp/view?usp=sharing" TargetMode="External"/><Relationship Id="rId164" Type="http://schemas.openxmlformats.org/officeDocument/2006/relationships/hyperlink" Target="https://drive.google.com/file/d/1E2kFAwTDiizQYabrfXmSJdGeyUKwksPj/view?usp=sharing" TargetMode="External"/><Relationship Id="rId163" Type="http://schemas.openxmlformats.org/officeDocument/2006/relationships/hyperlink" Target="https://drive.google.com/file/d/11R4PIYo1CSkuCq2qxOvTJ3j8g6MSRoqo/view?usp=sharing" TargetMode="External"/><Relationship Id="rId162" Type="http://schemas.openxmlformats.org/officeDocument/2006/relationships/hyperlink" Target="https://drive.google.com/file/d/1apdyt23QS5xDnUOBkInssnhfocpnr4fs/view?usp=sharing" TargetMode="External"/><Relationship Id="rId169" Type="http://schemas.openxmlformats.org/officeDocument/2006/relationships/hyperlink" Target="https://drive.google.com/file/d/1hzdY3SXdC2uBVNEdoNx6Pp7eqnS59V3u/view?usp=sharing" TargetMode="External"/><Relationship Id="rId168" Type="http://schemas.openxmlformats.org/officeDocument/2006/relationships/hyperlink" Target="https://drive.google.com/file/d/1dKBknrNJgNK6OvSpu5a7Rh0ibme-rlx_/view?usp=sharing" TargetMode="External"/><Relationship Id="rId167" Type="http://schemas.openxmlformats.org/officeDocument/2006/relationships/hyperlink" Target="https://drive.google.com/file/d/1e7t47vnD8GTnL-73zaKe0ed_nTZZ2BnQ/view?usp=sharing" TargetMode="External"/><Relationship Id="rId166" Type="http://schemas.openxmlformats.org/officeDocument/2006/relationships/hyperlink" Target="https://drive.google.com/file/d/1eGb56Tg-joSbipsXTa0pXGx2ujZPZSfZ/view?usp=sharing" TargetMode="External"/><Relationship Id="rId51" Type="http://schemas.openxmlformats.org/officeDocument/2006/relationships/hyperlink" Target="https://drive.google.com/file/d/1oqkh4t0EOakzuSeyJVDVsESGYBXy0VLm/view?usp=sharing" TargetMode="External"/><Relationship Id="rId50" Type="http://schemas.openxmlformats.org/officeDocument/2006/relationships/hyperlink" Target="https://drive.google.com/file/d/1rOMlv1gRTAzil86ELyw2vyc1XqaTNZEk/view?usp=sharing" TargetMode="External"/><Relationship Id="rId53" Type="http://schemas.openxmlformats.org/officeDocument/2006/relationships/hyperlink" Target="https://drive.google.com/file/d/1k4vmenrR2ImNQmoGT9BHzTe026OCgN6a/view?usp=sharing" TargetMode="External"/><Relationship Id="rId52" Type="http://schemas.openxmlformats.org/officeDocument/2006/relationships/hyperlink" Target="https://drive.google.com/file/d/1NDpr5Y3D4PpreRsRG56S7RogMG71Ec03/view?usp=sharing" TargetMode="External"/><Relationship Id="rId55" Type="http://schemas.openxmlformats.org/officeDocument/2006/relationships/hyperlink" Target="https://drive.google.com/file/d/1hKAA4MqeudTNua2717aE0sgxECV5HZWt/view?usp=sharing" TargetMode="External"/><Relationship Id="rId161" Type="http://schemas.openxmlformats.org/officeDocument/2006/relationships/hyperlink" Target="https://drive.google.com/file/d/1Z11GsF5LpsgQh-VpBimfNu0txomnETNR/view?usp=sharing" TargetMode="External"/><Relationship Id="rId54" Type="http://schemas.openxmlformats.org/officeDocument/2006/relationships/hyperlink" Target="https://drive.google.com/file/d/1SONMyh969enrcdMPRq6jKGY9IrtpvG24/view?usp=sharing" TargetMode="External"/><Relationship Id="rId160" Type="http://schemas.openxmlformats.org/officeDocument/2006/relationships/hyperlink" Target="https://drive.google.com/file/d/1ppduY7dZWaMO1ykkNHXSw-OYEgVTObiT/view?usp=sharing" TargetMode="External"/><Relationship Id="rId57" Type="http://schemas.openxmlformats.org/officeDocument/2006/relationships/hyperlink" Target="https://drive.google.com/file/d/1Q_szZ-iEdGN9xvJ9HJOE_taeEdFE1o55/view?usp=sharing" TargetMode="External"/><Relationship Id="rId56" Type="http://schemas.openxmlformats.org/officeDocument/2006/relationships/hyperlink" Target="https://drive.google.com/file/d/1YEo6RetTxw9UEA_3nUOYzvEmB64pKQ7-/view?usp=sharing" TargetMode="External"/><Relationship Id="rId159" Type="http://schemas.openxmlformats.org/officeDocument/2006/relationships/hyperlink" Target="https://drive.google.com/file/d/1SBKLVqm42xF5TgKEyujT5baCyJlEZhkI/view?usp=sharing" TargetMode="External"/><Relationship Id="rId59" Type="http://schemas.openxmlformats.org/officeDocument/2006/relationships/hyperlink" Target="https://drive.google.com/file/d/1tK3V1Ayed5SDyXXjA55ouXvnO-kmUy0l/view?usp=sharing" TargetMode="External"/><Relationship Id="rId154" Type="http://schemas.openxmlformats.org/officeDocument/2006/relationships/hyperlink" Target="https://drive.google.com/file/d/1G4tNvdDFOk4ZPfGxadX0cLm5hi1VuP2W/view?usp=sharing" TargetMode="External"/><Relationship Id="rId58" Type="http://schemas.openxmlformats.org/officeDocument/2006/relationships/hyperlink" Target="https://drive.google.com/file/d/1IFwoKjOy8Rpo4LlwQNPGnIBdhLiRifv1/view?usp=sharing" TargetMode="External"/><Relationship Id="rId153" Type="http://schemas.openxmlformats.org/officeDocument/2006/relationships/hyperlink" Target="https://drive.google.com/file/d/1q3ZkXs8xFvS7BpTJ9BZexHo4lMT7ZwBd/view?usp=sharing" TargetMode="External"/><Relationship Id="rId152" Type="http://schemas.openxmlformats.org/officeDocument/2006/relationships/hyperlink" Target="https://drive.google.com/file/d/10lTwisHEGSDAaHcnJVk_EqCdFEksz9zW/view?usp=sharing" TargetMode="External"/><Relationship Id="rId151" Type="http://schemas.openxmlformats.org/officeDocument/2006/relationships/hyperlink" Target="https://drive.google.com/file/d/16uFhcQKo3d9QQRwiVpFvZdTTp96cIQpX/view?usp=sharing" TargetMode="External"/><Relationship Id="rId158" Type="http://schemas.openxmlformats.org/officeDocument/2006/relationships/hyperlink" Target="https://drive.google.com/file/d/1ROAvzMdP2gND_gzctJN0hZZP9rak08Mv/view?usp=sharing" TargetMode="External"/><Relationship Id="rId157" Type="http://schemas.openxmlformats.org/officeDocument/2006/relationships/hyperlink" Target="https://drive.google.com/file/d/1yVD9_Lb7TO_bvirCbkUh7jkrwazYX_9q/view?usp=sharing" TargetMode="External"/><Relationship Id="rId156" Type="http://schemas.openxmlformats.org/officeDocument/2006/relationships/hyperlink" Target="https://drive.google.com/file/d/1KB4gSWE6TdSFIFvf433IY0-gesDoWxd_/view?usp=sharing" TargetMode="External"/><Relationship Id="rId155" Type="http://schemas.openxmlformats.org/officeDocument/2006/relationships/hyperlink" Target="https://drive.google.com/file/d/1sT6a47S6fdgXN8nlT907ddI6QodeTkwB/view?usp=sharing" TargetMode="External"/><Relationship Id="rId107" Type="http://schemas.openxmlformats.org/officeDocument/2006/relationships/hyperlink" Target="https://drive.google.com/file/d/1tbkIOjR_QgSmlNU-WohtqEyGwp6I4mUI/view?usp=sharing" TargetMode="External"/><Relationship Id="rId106" Type="http://schemas.openxmlformats.org/officeDocument/2006/relationships/hyperlink" Target="https://drive.google.com/file/d/1ocgT5mgBTzwIgZond1NcmZxqrgtLl7oU/view?usp=sharing" TargetMode="External"/><Relationship Id="rId105" Type="http://schemas.openxmlformats.org/officeDocument/2006/relationships/hyperlink" Target="https://drive.google.com/file/d/1T8Ep1T_Acm8cVHFnwDIlbxGYgWURxWJx/view?usp=sharing" TargetMode="External"/><Relationship Id="rId104" Type="http://schemas.openxmlformats.org/officeDocument/2006/relationships/hyperlink" Target="https://drive.google.com/file/d/1Cp6e8tUMK1xiyXH3JnXvZGT6G-NZU3Qc/view?usp=sharing" TargetMode="External"/><Relationship Id="rId109" Type="http://schemas.openxmlformats.org/officeDocument/2006/relationships/hyperlink" Target="https://drive.google.com/file/d/1TSGOYqHkmzOMKDZyrCSrWymrw1-yRo2-/view?usp=sharing" TargetMode="External"/><Relationship Id="rId108" Type="http://schemas.openxmlformats.org/officeDocument/2006/relationships/hyperlink" Target="https://drive.google.com/file/d/1xujVgHqgiPRfX6-GqcMz8z0pHdUBhOeI/view?usp=sharing" TargetMode="External"/><Relationship Id="rId103" Type="http://schemas.openxmlformats.org/officeDocument/2006/relationships/hyperlink" Target="https://drive.google.com/file/d/1KQMsFSxNcRAmaBKJfA1mLQ_hNYnCN46X/view?usp=sharing" TargetMode="External"/><Relationship Id="rId102" Type="http://schemas.openxmlformats.org/officeDocument/2006/relationships/hyperlink" Target="https://drive.google.com/file/d/1aMHy8sm4Y-aQ6l7aqOIcd-wYmiyC6rKp/view?usp=sharing" TargetMode="External"/><Relationship Id="rId101" Type="http://schemas.openxmlformats.org/officeDocument/2006/relationships/hyperlink" Target="https://drive.google.com/file/d/1K-aRfrGcQeaXP0zQgt6JKJRRXK20NVUt/view?usp=sharing" TargetMode="External"/><Relationship Id="rId100" Type="http://schemas.openxmlformats.org/officeDocument/2006/relationships/hyperlink" Target="https://drive.google.com/file/d/1Zx_lvPp7zdulfY0f9DP61vSU-oZzVMr-/view?usp=sharing" TargetMode="External"/><Relationship Id="rId217" Type="http://schemas.openxmlformats.org/officeDocument/2006/relationships/hyperlink" Target="https://drive.google.com/file/d/1sa_O7MpvvqGQu9yVSYiLetihohat1DUm/view?usp=sharing" TargetMode="External"/><Relationship Id="rId216" Type="http://schemas.openxmlformats.org/officeDocument/2006/relationships/hyperlink" Target="https://drive.google.com/file/d/16ufSSte5Jqq4FhJYcJHmzLKkpqyljWD4/view?usp=sharing" TargetMode="External"/><Relationship Id="rId215" Type="http://schemas.openxmlformats.org/officeDocument/2006/relationships/hyperlink" Target="https://drive.google.com/file/d/1Qd2wBbeV1rm0XYiITcRBXUz4wxjdGwzV/view?usp=sharing" TargetMode="External"/><Relationship Id="rId214" Type="http://schemas.openxmlformats.org/officeDocument/2006/relationships/hyperlink" Target="https://drive.google.com/file/d/1Ss4IzaZdKeJOarTl-g3_AWEEC6i0Z01Z/view?usp=sharing" TargetMode="External"/><Relationship Id="rId218" Type="http://schemas.openxmlformats.org/officeDocument/2006/relationships/drawing" Target="../drawings/drawing6.xml"/><Relationship Id="rId213" Type="http://schemas.openxmlformats.org/officeDocument/2006/relationships/hyperlink" Target="https://drive.google.com/file/d/12X-rw5jmySqOY4JDEXhvy20UbBjFKl6f/view?usp=sharing" TargetMode="External"/><Relationship Id="rId212" Type="http://schemas.openxmlformats.org/officeDocument/2006/relationships/hyperlink" Target="https://drive.google.com/file/d/12yEOIyEdBYjdMdq5HsLhOH3ThLoltSm9/view?usp=sharing" TargetMode="External"/><Relationship Id="rId211" Type="http://schemas.openxmlformats.org/officeDocument/2006/relationships/hyperlink" Target="https://drive.google.com/file/d/15O95-FOWJkm7ejo3x_bNUlNmIJTiA9M6/view?usp=sharing" TargetMode="External"/><Relationship Id="rId210" Type="http://schemas.openxmlformats.org/officeDocument/2006/relationships/hyperlink" Target="https://drive.google.com/file/d/1E2Q5JTX1plmiVTfHdzBZHzHrNsfVCgqZ/view?usp=sharing" TargetMode="External"/><Relationship Id="rId129" Type="http://schemas.openxmlformats.org/officeDocument/2006/relationships/hyperlink" Target="https://drive.google.com/file/d/1lM__VGCfjqjBfZntN8ynbhbCPZT0mZSR/view?usp=sharing" TargetMode="External"/><Relationship Id="rId128" Type="http://schemas.openxmlformats.org/officeDocument/2006/relationships/hyperlink" Target="https://drive.google.com/file/d/1_b9gH8IKp8sFovTH907noX9ALIiKBmiN/view?usp=sharing" TargetMode="External"/><Relationship Id="rId127" Type="http://schemas.openxmlformats.org/officeDocument/2006/relationships/hyperlink" Target="https://drive.google.com/file/d/1LQQhnDXVLSUyzDgFjanAa6GZQUobg4EW/view?usp=sharing" TargetMode="External"/><Relationship Id="rId126" Type="http://schemas.openxmlformats.org/officeDocument/2006/relationships/hyperlink" Target="https://drive.google.com/file/d/1y674IkgtX6aC-8Pd3BkvcY_l4feGMjGM/view?usp=sharing" TargetMode="External"/><Relationship Id="rId121" Type="http://schemas.openxmlformats.org/officeDocument/2006/relationships/hyperlink" Target="https://drive.google.com/file/d/1jc4nsozQtVWumwL5-Edo3-l7JFp-FXz0/view?usp=sharing" TargetMode="External"/><Relationship Id="rId120" Type="http://schemas.openxmlformats.org/officeDocument/2006/relationships/hyperlink" Target="https://drive.google.com/file/d/1BQNI_o1eHmHPkA_dPQuLdngA2dPE-CMd/view?usp=sharing" TargetMode="External"/><Relationship Id="rId125" Type="http://schemas.openxmlformats.org/officeDocument/2006/relationships/hyperlink" Target="https://drive.google.com/file/d/1W7foACBfHcWX2HZ7aYrJEl73dEe82YuZ/view?usp=sharing" TargetMode="External"/><Relationship Id="rId124" Type="http://schemas.openxmlformats.org/officeDocument/2006/relationships/hyperlink" Target="https://drive.google.com/file/d/1LxNJqnBRTwmkz1FKYAAk4y7SXkNllP0W/view?usp=sharing" TargetMode="External"/><Relationship Id="rId123" Type="http://schemas.openxmlformats.org/officeDocument/2006/relationships/hyperlink" Target="https://drive.google.com/file/d/1gQ-yRGoyOLDI0rbA4_YuN46LWh9P1y_l/view?usp=sharing" TargetMode="External"/><Relationship Id="rId122" Type="http://schemas.openxmlformats.org/officeDocument/2006/relationships/hyperlink" Target="https://drive.google.com/file/d/1NXZlle1GhEnAe0-eikxo_nesfEIs2hhV/view?usp=sharing" TargetMode="External"/><Relationship Id="rId95" Type="http://schemas.openxmlformats.org/officeDocument/2006/relationships/hyperlink" Target="https://drive.google.com/file/d/1LTQ_0y4oBei-G7prz1pko2KzjAfolwd1/view?usp=sharing" TargetMode="External"/><Relationship Id="rId94" Type="http://schemas.openxmlformats.org/officeDocument/2006/relationships/hyperlink" Target="https://drive.google.com/file/d/1KXGHWOCLzLDRQ2Pz142FPdBx6w4L1usc/view?usp=sharing" TargetMode="External"/><Relationship Id="rId97" Type="http://schemas.openxmlformats.org/officeDocument/2006/relationships/hyperlink" Target="https://drive.google.com/file/d/1yQ4XUl12ArNnNthzl6V152ElLcFRWHS2/view?usp=sharing" TargetMode="External"/><Relationship Id="rId96" Type="http://schemas.openxmlformats.org/officeDocument/2006/relationships/hyperlink" Target="https://drive.google.com/file/d/198_y2OzC2orbeIi4P4ATvb9iTKOq9gJs/view?usp=sharing" TargetMode="External"/><Relationship Id="rId99" Type="http://schemas.openxmlformats.org/officeDocument/2006/relationships/hyperlink" Target="https://drive.google.com/file/d/12dKzaF3FNAPSCEaofGBqh8vHhjmZB3BC/view?usp=sharing" TargetMode="External"/><Relationship Id="rId98" Type="http://schemas.openxmlformats.org/officeDocument/2006/relationships/hyperlink" Target="https://drive.google.com/file/d/1Edar_8Acp49k40MlCjjCwIk-OEFKI1GD/view?usp=sharing" TargetMode="External"/><Relationship Id="rId91" Type="http://schemas.openxmlformats.org/officeDocument/2006/relationships/hyperlink" Target="https://drive.google.com/file/d/1Gr-S87Po-ncZ3vSFPaBdxQKK-24Pk2A8/view?usp=sharing" TargetMode="External"/><Relationship Id="rId90" Type="http://schemas.openxmlformats.org/officeDocument/2006/relationships/hyperlink" Target="https://drive.google.com/file/d/1tLyu7o91_-c38-LyTBPIvx5oTlU75gJx/view?usp=sharing" TargetMode="External"/><Relationship Id="rId93" Type="http://schemas.openxmlformats.org/officeDocument/2006/relationships/hyperlink" Target="https://drive.google.com/file/d/1CT9eplhNnSbbE1D2fy1rHMsFQyUNPRCI/view?usp=sharing" TargetMode="External"/><Relationship Id="rId92" Type="http://schemas.openxmlformats.org/officeDocument/2006/relationships/hyperlink" Target="https://drive.google.com/file/d/1jtidqVIPTmeApjPESO1bj53YS8mrIDp1/view?usp=sharing" TargetMode="External"/><Relationship Id="rId118" Type="http://schemas.openxmlformats.org/officeDocument/2006/relationships/hyperlink" Target="https://drive.google.com/file/d/1zISBgRMcKxNmYe0DVipFesnLYpysxqUB/view?usp=sharing" TargetMode="External"/><Relationship Id="rId117" Type="http://schemas.openxmlformats.org/officeDocument/2006/relationships/hyperlink" Target="https://drive.google.com/file/d/1uxtbbII4wTvMxMIwnSqYpWbe69F4ZLi_/view?usp=sharing" TargetMode="External"/><Relationship Id="rId116" Type="http://schemas.openxmlformats.org/officeDocument/2006/relationships/hyperlink" Target="https://drive.google.com/file/d/1MJSaHBWk1BdNCKFNzvZBT_5gbvkkDXZs/view?usp=sharing" TargetMode="External"/><Relationship Id="rId115" Type="http://schemas.openxmlformats.org/officeDocument/2006/relationships/hyperlink" Target="https://drive.google.com/file/d/1LFXjW0yLU-M0XH_8MJn7FBjRBgrlpyq9/view?usp=sharing" TargetMode="External"/><Relationship Id="rId119" Type="http://schemas.openxmlformats.org/officeDocument/2006/relationships/hyperlink" Target="https://drive.google.com/file/d/1ilE7pk-sXVN7FDXldYQ74P33HrlE1XHA/view?usp=sharing" TargetMode="External"/><Relationship Id="rId110" Type="http://schemas.openxmlformats.org/officeDocument/2006/relationships/hyperlink" Target="https://drive.google.com/file/d/1vSLspJjgBlPtqU7d8ZqPiwYcv0-6puWx/view?usp=sharing" TargetMode="External"/><Relationship Id="rId114" Type="http://schemas.openxmlformats.org/officeDocument/2006/relationships/hyperlink" Target="https://drive.google.com/file/d/1XWRcU1W4yh4GlCc5RDYJJWg6XkdQLx28/view?usp=sharing" TargetMode="External"/><Relationship Id="rId113" Type="http://schemas.openxmlformats.org/officeDocument/2006/relationships/hyperlink" Target="https://drive.google.com/file/d/1sxeIy3VuN0qDtKK8khr0tl-riO3zsT-O/view?usp=sharing" TargetMode="External"/><Relationship Id="rId112" Type="http://schemas.openxmlformats.org/officeDocument/2006/relationships/hyperlink" Target="https://drive.google.com/file/d/1wclMIsM_TgluV2MqNzufLk1BwXSvCoD8/view?usp=sharing" TargetMode="External"/><Relationship Id="rId111" Type="http://schemas.openxmlformats.org/officeDocument/2006/relationships/hyperlink" Target="https://drive.google.com/file/d/11WhXKuTVRCAMVd6ysOt9irinjtWJGlEv/view?usp=sharing" TargetMode="External"/><Relationship Id="rId206" Type="http://schemas.openxmlformats.org/officeDocument/2006/relationships/hyperlink" Target="https://drive.google.com/file/d/1KmASHlwP2TCU1P6bVR-wAaW1TQbybi_n/view?usp=sharing" TargetMode="External"/><Relationship Id="rId205" Type="http://schemas.openxmlformats.org/officeDocument/2006/relationships/hyperlink" Target="https://drive.google.com/file/d/11UMJI6bcvwE8yBvvHg5EvaoCLB36b64n/view?usp=sharing" TargetMode="External"/><Relationship Id="rId204" Type="http://schemas.openxmlformats.org/officeDocument/2006/relationships/hyperlink" Target="https://drive.google.com/file/d/15-TD4NqMwY6Lf8lzsWAoVD-JVKGceo7-/view?usp=sharing" TargetMode="External"/><Relationship Id="rId203" Type="http://schemas.openxmlformats.org/officeDocument/2006/relationships/hyperlink" Target="https://drive.google.com/file/d/1F9BMPshkxodrQYSyg2PPvMV-guadp3z_/view?usp=sharing" TargetMode="External"/><Relationship Id="rId209" Type="http://schemas.openxmlformats.org/officeDocument/2006/relationships/hyperlink" Target="https://drive.google.com/file/d/1nwzDMr8W4maLTJ60a_GhxbQK-vMNUCnB/view?usp=sharing" TargetMode="External"/><Relationship Id="rId208" Type="http://schemas.openxmlformats.org/officeDocument/2006/relationships/hyperlink" Target="https://drive.google.com/file/d/1CiFNUGHhG4IP-q0LHqnFbYq_rITBQ9DJ/view?usp=sharing" TargetMode="External"/><Relationship Id="rId207" Type="http://schemas.openxmlformats.org/officeDocument/2006/relationships/hyperlink" Target="https://drive.google.com/file/d/10gJcwn-wJ64cXV6rYnYCo6m3-ygaYe_R/view?usp=sharing" TargetMode="External"/><Relationship Id="rId202" Type="http://schemas.openxmlformats.org/officeDocument/2006/relationships/hyperlink" Target="https://drive.google.com/file/d/1lcPVOdQEd5XwT8LcjcRBmo863bQxGKHV/view?usp=sharing" TargetMode="External"/><Relationship Id="rId201" Type="http://schemas.openxmlformats.org/officeDocument/2006/relationships/hyperlink" Target="https://drive.google.com/file/d/1axoveR9kOfXrxOTPUGP0WFp0o90rDMNL/view?usp=sharing" TargetMode="External"/><Relationship Id="rId200" Type="http://schemas.openxmlformats.org/officeDocument/2006/relationships/hyperlink" Target="https://drive.google.com/file/d/1AkbI3VGi9wSiib9hVwG5ku9ivXFsPHFG/view?usp=sharing"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drive.google.com/file/d/1TAfvv7_gtaWzgSEl9OT7maQbucVBd0J0/view?usp=sharing" TargetMode="External"/><Relationship Id="rId2" Type="http://schemas.openxmlformats.org/officeDocument/2006/relationships/hyperlink" Target="https://drive.google.com/file/d/1E2kFAwTDiizQYabrfXmSJdGeyUKwksPj/view" TargetMode="External"/><Relationship Id="rId3"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63"/>
    <col customWidth="1" min="2" max="2" width="40.75"/>
    <col customWidth="1" min="3" max="3" width="28.5"/>
    <col customWidth="1" min="4" max="4" width="12.13"/>
    <col customWidth="1" min="5" max="6" width="15.0"/>
    <col customWidth="1" min="7" max="8" width="16.63"/>
    <col customWidth="1" min="9" max="9" width="127.13"/>
    <col customWidth="1" min="11" max="11" width="67.0"/>
  </cols>
  <sheetData>
    <row r="1">
      <c r="A1" s="1" t="s">
        <v>0</v>
      </c>
      <c r="B1" s="1" t="s">
        <v>1</v>
      </c>
      <c r="C1" s="1" t="s">
        <v>2</v>
      </c>
      <c r="D1" s="2" t="s">
        <v>3</v>
      </c>
      <c r="E1" s="2" t="s">
        <v>4</v>
      </c>
      <c r="F1" s="3" t="s">
        <v>5</v>
      </c>
      <c r="G1" s="1" t="s">
        <v>6</v>
      </c>
      <c r="H1" s="1" t="s">
        <v>7</v>
      </c>
      <c r="I1" s="1" t="s">
        <v>8</v>
      </c>
      <c r="J1" s="1" t="s">
        <v>9</v>
      </c>
    </row>
    <row r="2">
      <c r="A2" s="4" t="s">
        <v>10</v>
      </c>
      <c r="B2" s="4" t="s">
        <v>11</v>
      </c>
      <c r="C2" s="5" t="s">
        <v>12</v>
      </c>
      <c r="D2" s="5">
        <f>IFERROR(__xludf.DUMMYFUNCTION("min(split(index(SPLIT(F2,"".""), 0), "",""))"),600.0)</f>
        <v>600</v>
      </c>
      <c r="E2" s="5">
        <f>IFERROR(__xludf.DUMMYFUNCTION("sum(SPLIT(F2, "".,""))"),600.0)</f>
        <v>600</v>
      </c>
      <c r="F2" s="6" t="s">
        <v>13</v>
      </c>
      <c r="G2" s="7">
        <f>IFERROR(__xludf.DUMMYFUNCTION("1/(COUNTUNIQUE(Clusters)*COUNTIF(Clusters, A2))"),0.041666666666666664)</f>
        <v>0.04166666667</v>
      </c>
      <c r="H2" s="7">
        <f t="shared" ref="H2:H54" si="1">SUMIF(K$2:K$54, K2, G$2:G$54)</f>
        <v>0.04166666667</v>
      </c>
      <c r="I2" s="4" t="s">
        <v>14</v>
      </c>
      <c r="J2" s="5">
        <f>IFERROR(__xludf.DUMMYFUNCTION("columns(split(B2, ""|""))"),1.0)</f>
        <v>1</v>
      </c>
      <c r="K2" s="8" t="str">
        <f>IFERROR(__xludf.DUMMYFUNCTION("join(char(10), ArrayFormula(SPLIT(B2, "" | "", false, true) &amp; ""_"" &amp; C2 &amp; ""~"" &amp; split(F2, "".,"")))"),"Alchemist_Farscape~600")</f>
        <v>Alchemist_Farscape~600</v>
      </c>
    </row>
    <row r="3">
      <c r="A3" s="4" t="s">
        <v>10</v>
      </c>
      <c r="B3" s="4" t="s">
        <v>15</v>
      </c>
      <c r="C3" s="5" t="s">
        <v>16</v>
      </c>
      <c r="D3" s="5">
        <f>IFERROR(__xludf.DUMMYFUNCTION("min(split(index(SPLIT(F3,"".""), 0), "",""))"),600.0)</f>
        <v>600</v>
      </c>
      <c r="E3" s="5">
        <f>IFERROR(__xludf.DUMMYFUNCTION("sum(SPLIT(F3, "".,""))"),600.0)</f>
        <v>600</v>
      </c>
      <c r="F3" s="6" t="s">
        <v>13</v>
      </c>
      <c r="G3" s="7">
        <f>IFERROR(__xludf.DUMMYFUNCTION("1/(COUNTUNIQUE(Clusters)*COUNTIF(Clusters, A3))"),0.041666666666666664)</f>
        <v>0.04166666667</v>
      </c>
      <c r="H3" s="7">
        <f t="shared" si="1"/>
        <v>0.04166666667</v>
      </c>
      <c r="I3" s="4" t="s">
        <v>17</v>
      </c>
      <c r="J3" s="5">
        <f>IFERROR(__xludf.DUMMYFUNCTION("columns(split(B3, ""|""))"),1.0)</f>
        <v>1</v>
      </c>
      <c r="K3" s="8" t="str">
        <f>IFERROR(__xludf.DUMMYFUNCTION("join(char(10), ArrayFormula(SPLIT(B3, "" | "", false, true) &amp; ""_"" &amp; C3 &amp; ""~"" &amp; split(F3, "".,"")))"),"Formula Formulator_Secrets of Evermore~600")</f>
        <v>Formula Formulator_Secrets of Evermore~600</v>
      </c>
    </row>
    <row r="4">
      <c r="A4" s="4" t="s">
        <v>10</v>
      </c>
      <c r="B4" s="4" t="s">
        <v>18</v>
      </c>
      <c r="C4" s="5" t="s">
        <v>19</v>
      </c>
      <c r="D4" s="5">
        <f>IFERROR(__xludf.DUMMYFUNCTION("min(split(index(SPLIT(F4,"".""), 0), "",""))"),800.0)</f>
        <v>800</v>
      </c>
      <c r="E4" s="5">
        <f>IFERROR(__xludf.DUMMYFUNCTION("sum(SPLIT(F4, "".,""))"),800.0)</f>
        <v>800</v>
      </c>
      <c r="F4" s="6" t="s">
        <v>20</v>
      </c>
      <c r="G4" s="7">
        <f>IFERROR(__xludf.DUMMYFUNCTION("1/(COUNTUNIQUE(Clusters)*COUNTIF(Clusters, A4))"),0.041666666666666664)</f>
        <v>0.04166666667</v>
      </c>
      <c r="H4" s="7">
        <f t="shared" si="1"/>
        <v>0.04166666667</v>
      </c>
      <c r="I4" s="4" t="s">
        <v>21</v>
      </c>
      <c r="J4" s="5">
        <f>IFERROR(__xludf.DUMMYFUNCTION("columns(split(B4, ""|""))"),1.0)</f>
        <v>1</v>
      </c>
      <c r="K4" s="8" t="str">
        <f>IFERROR(__xludf.DUMMYFUNCTION("join(char(10), ArrayFormula(SPLIT(B4, "" | "", false, true) &amp; ""_"" &amp; C4 &amp; ""~"" &amp; split(F4, "".,"")))"),"Truth_Full Metal Alchemist~800")</f>
        <v>Truth_Full Metal Alchemist~800</v>
      </c>
    </row>
    <row r="5">
      <c r="A5" s="4" t="s">
        <v>22</v>
      </c>
      <c r="B5" s="4" t="s">
        <v>23</v>
      </c>
      <c r="C5" s="5" t="s">
        <v>24</v>
      </c>
      <c r="D5" s="5">
        <f>IFERROR(__xludf.DUMMYFUNCTION("min(split(index(SPLIT(F5,"".""), 0), "",""))"),300.0)</f>
        <v>300</v>
      </c>
      <c r="E5" s="5">
        <f>IFERROR(__xludf.DUMMYFUNCTION("sum(SPLIT(F5, "".,""))"),300.0)</f>
        <v>300</v>
      </c>
      <c r="F5" s="6" t="s">
        <v>25</v>
      </c>
      <c r="G5" s="7">
        <f>IFERROR(__xludf.DUMMYFUNCTION("1/(COUNTUNIQUE(Clusters)*COUNTIF(Clusters, A5))"),0.03125)</f>
        <v>0.03125</v>
      </c>
      <c r="H5" s="7">
        <f t="shared" si="1"/>
        <v>0.03125</v>
      </c>
      <c r="I5" s="4" t="s">
        <v>26</v>
      </c>
      <c r="J5" s="5">
        <f>IFERROR(__xludf.DUMMYFUNCTION("columns(split(B5, ""|""))"),1.0)</f>
        <v>1</v>
      </c>
      <c r="K5" s="8" t="str">
        <f>IFERROR(__xludf.DUMMYFUNCTION("join(char(10), ArrayFormula(SPLIT(B5, "" | "", false, true) &amp; ""_"" &amp; C5 &amp; ""~"" &amp; split(F5, "".,"")))"),"Spectre_Mass Effect~300")</f>
        <v>Spectre_Mass Effect~300</v>
      </c>
    </row>
    <row r="6">
      <c r="A6" s="4" t="s">
        <v>22</v>
      </c>
      <c r="B6" s="4" t="s">
        <v>27</v>
      </c>
      <c r="C6" s="5" t="s">
        <v>28</v>
      </c>
      <c r="D6" s="5">
        <f>IFERROR(__xludf.DUMMYFUNCTION("min(split(index(SPLIT(F6,"".""), 0), "",""))"),500.0)</f>
        <v>500</v>
      </c>
      <c r="E6" s="5">
        <f>IFERROR(__xludf.DUMMYFUNCTION("sum(SPLIT(F6, "".,""))"),500.0)</f>
        <v>500</v>
      </c>
      <c r="F6" s="6" t="s">
        <v>29</v>
      </c>
      <c r="G6" s="7">
        <f>IFERROR(__xludf.DUMMYFUNCTION("1/(COUNTUNIQUE(Clusters)*COUNTIF(Clusters, A6))"),0.03125)</f>
        <v>0.03125</v>
      </c>
      <c r="H6" s="7">
        <f t="shared" si="1"/>
        <v>0.03125</v>
      </c>
      <c r="I6" s="4" t="s">
        <v>30</v>
      </c>
      <c r="J6" s="5">
        <f>IFERROR(__xludf.DUMMYFUNCTION("columns(split(B6, ""|""))"),1.0)</f>
        <v>1</v>
      </c>
      <c r="K6" s="8" t="str">
        <f>IFERROR(__xludf.DUMMYFUNCTION("join(char(10), ArrayFormula(SPLIT(B6, "" | "", false, true) &amp; ""_"" &amp; C6 &amp; ""~"" &amp; split(F6, "".,"")))"),"All Spark Chosen_Transformers~500")</f>
        <v>All Spark Chosen_Transformers~500</v>
      </c>
    </row>
    <row r="7">
      <c r="A7" s="4" t="s">
        <v>22</v>
      </c>
      <c r="B7" s="4" t="s">
        <v>31</v>
      </c>
      <c r="C7" s="5" t="s">
        <v>28</v>
      </c>
      <c r="D7" s="5">
        <f>IFERROR(__xludf.DUMMYFUNCTION("min(split(index(SPLIT(F7,"".""), 0), "",""))"),500.0)</f>
        <v>500</v>
      </c>
      <c r="E7" s="5">
        <f>IFERROR(__xludf.DUMMYFUNCTION("sum(SPLIT(F7, "".,""))"),500.0)</f>
        <v>500</v>
      </c>
      <c r="F7" s="6" t="s">
        <v>29</v>
      </c>
      <c r="G7" s="7">
        <f>IFERROR(__xludf.DUMMYFUNCTION("1/(COUNTUNIQUE(Clusters)*COUNTIF(Clusters, A7))"),0.03125)</f>
        <v>0.03125</v>
      </c>
      <c r="H7" s="7">
        <f t="shared" si="1"/>
        <v>0.03125</v>
      </c>
      <c r="I7" s="4" t="s">
        <v>32</v>
      </c>
      <c r="J7" s="5">
        <f>IFERROR(__xludf.DUMMYFUNCTION("columns(split(B7, ""|""))"),1.0)</f>
        <v>1</v>
      </c>
      <c r="K7" s="8" t="str">
        <f>IFERROR(__xludf.DUMMYFUNCTION("join(char(10), ArrayFormula(SPLIT(B7, "" | "", false, true) &amp; ""_"" &amp; C7 &amp; ""~"" &amp; split(F7, "".,"")))"),"Matrix of Leadership_Transformers~500")</f>
        <v>Matrix of Leadership_Transformers~500</v>
      </c>
    </row>
    <row r="8">
      <c r="A8" s="4" t="s">
        <v>22</v>
      </c>
      <c r="B8" s="4" t="s">
        <v>33</v>
      </c>
      <c r="C8" s="5" t="s">
        <v>34</v>
      </c>
      <c r="D8" s="5">
        <f>IFERROR(__xludf.DUMMYFUNCTION("min(split(index(SPLIT(F8,"".""), 0), "",""))"),800.0)</f>
        <v>800</v>
      </c>
      <c r="E8" s="5">
        <f>IFERROR(__xludf.DUMMYFUNCTION("sum(SPLIT(F8, "".,""))"),1600.0)</f>
        <v>1600</v>
      </c>
      <c r="F8" s="6" t="s">
        <v>35</v>
      </c>
      <c r="G8" s="7">
        <f>IFERROR(__xludf.DUMMYFUNCTION("1/(COUNTUNIQUE(Clusters)*COUNTIF(Clusters, A8))"),0.03125)</f>
        <v>0.03125</v>
      </c>
      <c r="H8" s="7">
        <f t="shared" si="1"/>
        <v>0.03125</v>
      </c>
      <c r="I8" s="4" t="s">
        <v>36</v>
      </c>
      <c r="J8" s="5">
        <f>IFERROR(__xludf.DUMMYFUNCTION("columns(split(B8, ""|""))"),2.0)</f>
        <v>2</v>
      </c>
      <c r="K8" s="8" t="str">
        <f>IFERROR(__xludf.DUMMYFUNCTION("join(char(10), ArrayFormula(SPLIT(B8, "" | "", false, true) &amp; ""_"" &amp; C8 &amp; ""~"" &amp; split(F8, "".,"")))"),"Glory to… Me_Percy Jackson~800
Glory to… The Legion_Percy Jackson~800")</f>
        <v>Glory to… Me_Percy Jackson~800
Glory to… The Legion_Percy Jackson~800</v>
      </c>
    </row>
    <row r="9">
      <c r="A9" s="4" t="s">
        <v>37</v>
      </c>
      <c r="B9" s="4" t="s">
        <v>38</v>
      </c>
      <c r="C9" s="5" t="s">
        <v>39</v>
      </c>
      <c r="D9" s="5">
        <f>IFERROR(__xludf.DUMMYFUNCTION("min(split(index(SPLIT(F9,"".""), 0), "",""))"),500.0)</f>
        <v>500</v>
      </c>
      <c r="E9" s="5">
        <f>IFERROR(__xludf.DUMMYFUNCTION("sum(SPLIT(F9, "".,""))"),500.0)</f>
        <v>500</v>
      </c>
      <c r="F9" s="6" t="s">
        <v>29</v>
      </c>
      <c r="G9" s="7">
        <f>IFERROR(__xludf.DUMMYFUNCTION("1/(COUNTUNIQUE(Clusters)*COUNTIF(Clusters, A9))"),0.015625)</f>
        <v>0.015625</v>
      </c>
      <c r="H9" s="7">
        <f t="shared" si="1"/>
        <v>0.015625</v>
      </c>
      <c r="I9" s="4" t="s">
        <v>40</v>
      </c>
      <c r="J9" s="5">
        <f>IFERROR(__xludf.DUMMYFUNCTION("columns(split(B9, ""|""))"),1.0)</f>
        <v>1</v>
      </c>
      <c r="K9" s="8" t="str">
        <f>IFERROR(__xludf.DUMMYFUNCTION("join(char(10), ArrayFormula(SPLIT(B9, "" | "", false, true) &amp; ""_"" &amp; C9 &amp; ""~"" &amp; split(F9, "".,"")))"),"Arch-Magos_40k Redux~500")</f>
        <v>Arch-Magos_40k Redux~500</v>
      </c>
    </row>
    <row r="10">
      <c r="A10" s="4" t="s">
        <v>37</v>
      </c>
      <c r="B10" s="4" t="s">
        <v>41</v>
      </c>
      <c r="C10" s="5" t="s">
        <v>42</v>
      </c>
      <c r="D10" s="5">
        <f>IFERROR(__xludf.DUMMYFUNCTION("min(split(index(SPLIT(F10,"".""), 0), "",""))"),600.0)</f>
        <v>600</v>
      </c>
      <c r="E10" s="5">
        <f>IFERROR(__xludf.DUMMYFUNCTION("sum(SPLIT(F10, "".,""))"),600.0)</f>
        <v>600</v>
      </c>
      <c r="F10" s="6" t="s">
        <v>13</v>
      </c>
      <c r="G10" s="7">
        <f>IFERROR(__xludf.DUMMYFUNCTION("1/(COUNTUNIQUE(Clusters)*COUNTIF(Clusters, A10))"),0.015625)</f>
        <v>0.015625</v>
      </c>
      <c r="H10" s="7">
        <f t="shared" si="1"/>
        <v>0.015625</v>
      </c>
      <c r="I10" s="4" t="s">
        <v>43</v>
      </c>
      <c r="J10" s="5">
        <f>IFERROR(__xludf.DUMMYFUNCTION("columns(split(B10, ""|""))"),1.0)</f>
        <v>1</v>
      </c>
      <c r="K10" s="8" t="str">
        <f>IFERROR(__xludf.DUMMYFUNCTION("join(char(10), ArrayFormula(SPLIT(B10, "" | "", false, true) &amp; ""_"" &amp; C10 &amp; ""~"" &amp; split(F10, "".,"")))"),"Hard Science_Raildex Science~600")</f>
        <v>Hard Science_Raildex Science~600</v>
      </c>
    </row>
    <row r="11">
      <c r="A11" s="4" t="s">
        <v>37</v>
      </c>
      <c r="B11" s="4" t="s">
        <v>44</v>
      </c>
      <c r="C11" s="5" t="s">
        <v>45</v>
      </c>
      <c r="D11" s="5">
        <f>IFERROR(__xludf.DUMMYFUNCTION("min(split(index(SPLIT(F11,"".""), 0), "",""))"),600.0)</f>
        <v>600</v>
      </c>
      <c r="E11" s="5">
        <f>IFERROR(__xludf.DUMMYFUNCTION("sum(SPLIT(F11, "".,""))"),600.0)</f>
        <v>600</v>
      </c>
      <c r="F11" s="6" t="s">
        <v>13</v>
      </c>
      <c r="G11" s="7">
        <f>IFERROR(__xludf.DUMMYFUNCTION("1/(COUNTUNIQUE(Clusters)*COUNTIF(Clusters, A11))"),0.015625)</f>
        <v>0.015625</v>
      </c>
      <c r="H11" s="7">
        <f t="shared" si="1"/>
        <v>0.015625</v>
      </c>
      <c r="I11" s="4" t="s">
        <v>46</v>
      </c>
      <c r="J11" s="5">
        <f>IFERROR(__xludf.DUMMYFUNCTION("columns(split(B11, ""|""))"),1.0)</f>
        <v>1</v>
      </c>
      <c r="K11" s="8" t="str">
        <f>IFERROR(__xludf.DUMMYFUNCTION("join(char(10), ArrayFormula(SPLIT(B11, "" | "", false, true) &amp; ""_"" &amp; C11 &amp; ""~"" &amp; split(F11, "".,"")))"),"Inventor_Futurama~600")</f>
        <v>Inventor_Futurama~600</v>
      </c>
    </row>
    <row r="12">
      <c r="A12" s="4" t="s">
        <v>37</v>
      </c>
      <c r="B12" s="4" t="s">
        <v>47</v>
      </c>
      <c r="C12" s="5" t="s">
        <v>48</v>
      </c>
      <c r="D12" s="5">
        <f>IFERROR(__xludf.DUMMYFUNCTION("min(split(index(SPLIT(F12,"".""), 0), "",""))"),600.0)</f>
        <v>600</v>
      </c>
      <c r="E12" s="5">
        <f>IFERROR(__xludf.DUMMYFUNCTION("sum(SPLIT(F12, "".,""))"),600.0)</f>
        <v>600</v>
      </c>
      <c r="F12" s="6" t="s">
        <v>13</v>
      </c>
      <c r="G12" s="7">
        <f>IFERROR(__xludf.DUMMYFUNCTION("1/(COUNTUNIQUE(Clusters)*COUNTIF(Clusters, A12))"),0.015625)</f>
        <v>0.015625</v>
      </c>
      <c r="H12" s="7">
        <f t="shared" si="1"/>
        <v>0.015625</v>
      </c>
      <c r="I12" s="4" t="s">
        <v>49</v>
      </c>
      <c r="J12" s="5">
        <f>IFERROR(__xludf.DUMMYFUNCTION("columns(split(B12, ""|""))"),1.0)</f>
        <v>1</v>
      </c>
      <c r="K12" s="8" t="str">
        <f>IFERROR(__xludf.DUMMYFUNCTION("join(char(10), ArrayFormula(SPLIT(B12, "" | "", false, true) &amp; ""_"" &amp; C12 &amp; ""~"" &amp; split(F12, "".,"")))"),"Pagan Science_Senki Zesshou Symphogear~600")</f>
        <v>Pagan Science_Senki Zesshou Symphogear~600</v>
      </c>
    </row>
    <row r="13">
      <c r="A13" s="4" t="s">
        <v>37</v>
      </c>
      <c r="B13" s="4" t="s">
        <v>50</v>
      </c>
      <c r="C13" s="5" t="s">
        <v>51</v>
      </c>
      <c r="D13" s="5">
        <f>IFERROR(__xludf.DUMMYFUNCTION("min(split(index(SPLIT(F13,"".""), 0), "",""))"),600.0)</f>
        <v>600</v>
      </c>
      <c r="E13" s="5">
        <f>IFERROR(__xludf.DUMMYFUNCTION("sum(SPLIT(F13, "".,""))"),600.0)</f>
        <v>600</v>
      </c>
      <c r="F13" s="6" t="s">
        <v>13</v>
      </c>
      <c r="G13" s="7">
        <f>IFERROR(__xludf.DUMMYFUNCTION("1/(COUNTUNIQUE(Clusters)*COUNTIF(Clusters, A13))"),0.015625)</f>
        <v>0.015625</v>
      </c>
      <c r="H13" s="7">
        <f t="shared" si="1"/>
        <v>0.015625</v>
      </c>
      <c r="I13" s="4" t="s">
        <v>52</v>
      </c>
      <c r="J13" s="5">
        <f>IFERROR(__xludf.DUMMYFUNCTION("columns(split(B13, ""|""))"),1.0)</f>
        <v>1</v>
      </c>
      <c r="K13" s="8" t="str">
        <f>IFERROR(__xludf.DUMMYFUNCTION("join(char(10), ArrayFormula(SPLIT(B13, "" | "", false, true) &amp; ""_"" &amp; C13 &amp; ""~"" &amp; split(F13, "".,"")))"),"Retro-Engineer_Marvel Cinematic Universe~600")</f>
        <v>Retro-Engineer_Marvel Cinematic Universe~600</v>
      </c>
    </row>
    <row r="14">
      <c r="A14" s="4" t="s">
        <v>37</v>
      </c>
      <c r="B14" s="4" t="s">
        <v>53</v>
      </c>
      <c r="C14" s="5" t="s">
        <v>54</v>
      </c>
      <c r="D14" s="5">
        <f>IFERROR(__xludf.DUMMYFUNCTION("min(split(index(SPLIT(F14,"".""), 0), "",""))"),600.0)</f>
        <v>600</v>
      </c>
      <c r="E14" s="5">
        <f>IFERROR(__xludf.DUMMYFUNCTION("sum(SPLIT(F14, "".,""))"),600.0)</f>
        <v>600</v>
      </c>
      <c r="F14" s="6" t="s">
        <v>13</v>
      </c>
      <c r="G14" s="7">
        <f>IFERROR(__xludf.DUMMYFUNCTION("1/(COUNTUNIQUE(Clusters)*COUNTIF(Clusters, A14))"),0.015625)</f>
        <v>0.015625</v>
      </c>
      <c r="H14" s="7">
        <f t="shared" si="1"/>
        <v>0.015625</v>
      </c>
      <c r="I14" s="4" t="s">
        <v>55</v>
      </c>
      <c r="J14" s="5">
        <f>IFERROR(__xludf.DUMMYFUNCTION("columns(split(B14, ""|""))"),1.0)</f>
        <v>1</v>
      </c>
      <c r="K14" s="8" t="str">
        <f>IFERROR(__xludf.DUMMYFUNCTION("join(char(10), ArrayFormula(SPLIT(B14, "" | "", false, true) &amp; ""_"" &amp; C14 &amp; ""~"" &amp; split(F14, "".,"")))"),"Tech Expert_Starcraft~600")</f>
        <v>Tech Expert_Starcraft~600</v>
      </c>
    </row>
    <row r="15">
      <c r="A15" s="4" t="s">
        <v>37</v>
      </c>
      <c r="B15" s="4" t="s">
        <v>56</v>
      </c>
      <c r="C15" s="5" t="s">
        <v>57</v>
      </c>
      <c r="D15" s="5">
        <f>IFERROR(__xludf.DUMMYFUNCTION("min(split(index(SPLIT(F15,"".""), 0), "",""))"),800.0)</f>
        <v>800</v>
      </c>
      <c r="E15" s="5">
        <f>IFERROR(__xludf.DUMMYFUNCTION("sum(SPLIT(F15, "".,""))"),800.0)</f>
        <v>800</v>
      </c>
      <c r="F15" s="6" t="s">
        <v>20</v>
      </c>
      <c r="G15" s="7">
        <f>IFERROR(__xludf.DUMMYFUNCTION("1/(COUNTUNIQUE(Clusters)*COUNTIF(Clusters, A15))"),0.015625)</f>
        <v>0.015625</v>
      </c>
      <c r="H15" s="7">
        <f t="shared" si="1"/>
        <v>0.015625</v>
      </c>
      <c r="I15" s="4" t="s">
        <v>58</v>
      </c>
      <c r="J15" s="5">
        <f>IFERROR(__xludf.DUMMYFUNCTION("columns(split(B15, ""|""))"),1.0)</f>
        <v>1</v>
      </c>
      <c r="K15" s="8" t="str">
        <f>IFERROR(__xludf.DUMMYFUNCTION("join(char(10), ArrayFormula(SPLIT(B15, "" | "", false, true) &amp; ""_"" &amp; C15 &amp; ""~"" &amp; split(F15, "".,"")))"),"The Maddest Science Yet!_Tenchi Muyo~800")</f>
        <v>The Maddest Science Yet!_Tenchi Muyo~800</v>
      </c>
    </row>
    <row r="16">
      <c r="A16" s="4" t="s">
        <v>37</v>
      </c>
      <c r="B16" s="4" t="s">
        <v>59</v>
      </c>
      <c r="C16" s="5" t="s">
        <v>60</v>
      </c>
      <c r="D16" s="5">
        <f>IFERROR(__xludf.DUMMYFUNCTION("min(split(index(SPLIT(F16,"".""), 0), "",""))"),800.0)</f>
        <v>800</v>
      </c>
      <c r="E16" s="5">
        <f>IFERROR(__xludf.DUMMYFUNCTION("sum(SPLIT(F16, "".,""))"),800.0)</f>
        <v>800</v>
      </c>
      <c r="F16" s="6" t="s">
        <v>20</v>
      </c>
      <c r="G16" s="7">
        <f>IFERROR(__xludf.DUMMYFUNCTION("1/(COUNTUNIQUE(Clusters)*COUNTIF(Clusters, A16))"),0.015625)</f>
        <v>0.015625</v>
      </c>
      <c r="H16" s="7">
        <f t="shared" si="1"/>
        <v>0.015625</v>
      </c>
      <c r="I16" s="4" t="s">
        <v>61</v>
      </c>
      <c r="J16" s="5">
        <f>IFERROR(__xludf.DUMMYFUNCTION("columns(split(B16, ""|""))"),1.0)</f>
        <v>1</v>
      </c>
      <c r="K16" s="8" t="str">
        <f>IFERROR(__xludf.DUMMYFUNCTION("join(char(10), ArrayFormula(SPLIT(B16, "" | "", false, true) &amp; ""_"" &amp; C16 &amp; ""~"" &amp; split(F16, "".,"")))"),"Damaged Microchip_Terminator~800")</f>
        <v>Damaged Microchip_Terminator~800</v>
      </c>
    </row>
    <row r="17">
      <c r="A17" s="4" t="s">
        <v>62</v>
      </c>
      <c r="B17" s="4" t="s">
        <v>63</v>
      </c>
      <c r="C17" s="5" t="s">
        <v>64</v>
      </c>
      <c r="D17" s="5">
        <f>IFERROR(__xludf.DUMMYFUNCTION("min(split(index(SPLIT(F17,"".""), 0), "",""))"),600.0)</f>
        <v>600</v>
      </c>
      <c r="E17" s="5">
        <f>IFERROR(__xludf.DUMMYFUNCTION("sum(SPLIT(F17, "".,""))"),600.0)</f>
        <v>600</v>
      </c>
      <c r="F17" s="6" t="s">
        <v>13</v>
      </c>
      <c r="G17" s="7">
        <f>IFERROR(__xludf.DUMMYFUNCTION("1/(COUNTUNIQUE(Clusters)*COUNTIF(Clusters, A17))"),0.0625)</f>
        <v>0.0625</v>
      </c>
      <c r="H17" s="7">
        <f t="shared" si="1"/>
        <v>0.08035714286</v>
      </c>
      <c r="I17" s="4" t="s">
        <v>65</v>
      </c>
      <c r="J17" s="5">
        <f>IFERROR(__xludf.DUMMYFUNCTION("columns(split(B17, ""|""))"),1.0)</f>
        <v>1</v>
      </c>
      <c r="K17" s="8" t="str">
        <f>IFERROR(__xludf.DUMMYFUNCTION("join(char(10), ArrayFormula(SPLIT(B17, "" | "", false, true) &amp; ""_"" &amp; C17 &amp; ""~"" &amp; split(F17, "".,"")))"),"Magitek Mastery_Final Fantasy VI~600")</f>
        <v>Magitek Mastery_Final Fantasy VI~600</v>
      </c>
    </row>
    <row r="18">
      <c r="A18" s="4" t="s">
        <v>62</v>
      </c>
      <c r="B18" s="4" t="s">
        <v>66</v>
      </c>
      <c r="C18" s="5" t="s">
        <v>67</v>
      </c>
      <c r="D18" s="5">
        <f>IFERROR(__xludf.DUMMYFUNCTION("min(split(index(SPLIT(F18,"".""), 0), "",""))"),600.0)</f>
        <v>600</v>
      </c>
      <c r="E18" s="5">
        <f>IFERROR(__xludf.DUMMYFUNCTION("sum(SPLIT(F18, "".,""))"),600.0)</f>
        <v>600</v>
      </c>
      <c r="F18" s="6" t="s">
        <v>13</v>
      </c>
      <c r="G18" s="7">
        <f>IFERROR(__xludf.DUMMYFUNCTION("1/(COUNTUNIQUE(Clusters)*COUNTIF(Clusters, A18))"),0.0625)</f>
        <v>0.0625</v>
      </c>
      <c r="H18" s="7">
        <f t="shared" si="1"/>
        <v>0.0625</v>
      </c>
      <c r="I18" s="4" t="s">
        <v>68</v>
      </c>
      <c r="J18" s="5">
        <f>IFERROR(__xludf.DUMMYFUNCTION("columns(split(B18, ""|""))"),1.0)</f>
        <v>1</v>
      </c>
      <c r="K18" s="8" t="str">
        <f>IFERROR(__xludf.DUMMYFUNCTION("join(char(10), ArrayFormula(SPLIT(B18, "" | "", false, true) &amp; ""_"" &amp; C18 &amp; ""~"" &amp; split(F18, "".,"")))"),"Self-Made Shopkeeper_Recettear~600")</f>
        <v>Self-Made Shopkeeper_Recettear~600</v>
      </c>
    </row>
    <row r="19">
      <c r="A19" s="4" t="s">
        <v>69</v>
      </c>
      <c r="B19" s="4" t="s">
        <v>70</v>
      </c>
      <c r="C19" s="5" t="s">
        <v>71</v>
      </c>
      <c r="D19" s="5">
        <f>IFERROR(__xludf.DUMMYFUNCTION("min(split(index(SPLIT(F19,"".""), 0), "",""))"),400.0)</f>
        <v>400</v>
      </c>
      <c r="E19" s="5">
        <f>IFERROR(__xludf.DUMMYFUNCTION("sum(SPLIT(F19, "".,""))"),400.0)</f>
        <v>400</v>
      </c>
      <c r="F19" s="6" t="s">
        <v>72</v>
      </c>
      <c r="G19" s="7">
        <f>IFERROR(__xludf.DUMMYFUNCTION("1/(COUNTUNIQUE(Clusters)*COUNTIF(Clusters, A19))"),0.017857142857142856)</f>
        <v>0.01785714286</v>
      </c>
      <c r="H19" s="7">
        <f t="shared" si="1"/>
        <v>0.01785714286</v>
      </c>
      <c r="I19" s="4" t="s">
        <v>73</v>
      </c>
      <c r="J19" s="5">
        <f>IFERROR(__xludf.DUMMYFUNCTION("columns(split(B19, ""|""))"),1.0)</f>
        <v>1</v>
      </c>
      <c r="K19" s="8" t="str">
        <f>IFERROR(__xludf.DUMMYFUNCTION("join(char(10), ArrayFormula(SPLIT(B19, "" | "", false, true) &amp; ""_"" &amp; C19 &amp; ""~"" &amp; split(F19, "".,"")))"),"Technomancy_Mage: The Awakening~400")</f>
        <v>Technomancy_Mage: The Awakening~400</v>
      </c>
    </row>
    <row r="20">
      <c r="A20" s="4" t="s">
        <v>69</v>
      </c>
      <c r="B20" s="4" t="s">
        <v>74</v>
      </c>
      <c r="C20" s="5" t="s">
        <v>75</v>
      </c>
      <c r="D20" s="5">
        <f>IFERROR(__xludf.DUMMYFUNCTION("min(split(index(SPLIT(F20,"".""), 0), "",""))"),600.0)</f>
        <v>600</v>
      </c>
      <c r="E20" s="5">
        <f>IFERROR(__xludf.DUMMYFUNCTION("sum(SPLIT(F20, "".,""))"),600.0)</f>
        <v>600</v>
      </c>
      <c r="F20" s="6" t="s">
        <v>13</v>
      </c>
      <c r="G20" s="7">
        <f>IFERROR(__xludf.DUMMYFUNCTION("1/(COUNTUNIQUE(Clusters)*COUNTIF(Clusters, A20))"),0.017857142857142856)</f>
        <v>0.01785714286</v>
      </c>
      <c r="H20" s="7">
        <f t="shared" si="1"/>
        <v>0.01785714286</v>
      </c>
      <c r="I20" s="4" t="s">
        <v>76</v>
      </c>
      <c r="J20" s="5">
        <f>IFERROR(__xludf.DUMMYFUNCTION("columns(split(B20, ""|""))"),1.0)</f>
        <v>1</v>
      </c>
      <c r="K20" s="8" t="str">
        <f>IFERROR(__xludf.DUMMYFUNCTION("join(char(10), ArrayFormula(SPLIT(B20, "" | "", false, true) &amp; ""_"" &amp; C20 &amp; ""~"" &amp; split(F20, "".,"")))"),"Crimson Saint_Maoyuu Hero and Demon King~600")</f>
        <v>Crimson Saint_Maoyuu Hero and Demon King~600</v>
      </c>
    </row>
    <row r="21">
      <c r="A21" s="4" t="s">
        <v>69</v>
      </c>
      <c r="B21" s="4" t="s">
        <v>77</v>
      </c>
      <c r="C21" s="5" t="s">
        <v>78</v>
      </c>
      <c r="D21" s="5">
        <f>IFERROR(__xludf.DUMMYFUNCTION("min(split(index(SPLIT(F21,"".""), 0), "",""))"),600.0)</f>
        <v>600</v>
      </c>
      <c r="E21" s="5">
        <f>IFERROR(__xludf.DUMMYFUNCTION("sum(SPLIT(F21, "".,""))"),600.0)</f>
        <v>600</v>
      </c>
      <c r="F21" s="6" t="s">
        <v>13</v>
      </c>
      <c r="G21" s="7">
        <f>IFERROR(__xludf.DUMMYFUNCTION("1/(COUNTUNIQUE(Clusters)*COUNTIF(Clusters, A21))"),0.017857142857142856)</f>
        <v>0.01785714286</v>
      </c>
      <c r="H21" s="7">
        <f t="shared" si="1"/>
        <v>0.01785714286</v>
      </c>
      <c r="I21" s="4" t="s">
        <v>79</v>
      </c>
      <c r="J21" s="5">
        <f>IFERROR(__xludf.DUMMYFUNCTION("columns(split(B21, ""|""))"),1.0)</f>
        <v>1</v>
      </c>
      <c r="K21" s="8" t="str">
        <f>IFERROR(__xludf.DUMMYFUNCTION("join(char(10), ArrayFormula(SPLIT(B21, "" | "", false, true) &amp; ""_"" &amp; C21 &amp; ""~"" &amp; split(F21, "".,"")))"),"Digitized Sorcery_Fate/Extra~600")</f>
        <v>Digitized Sorcery_Fate/Extra~600</v>
      </c>
    </row>
    <row r="22">
      <c r="A22" s="4" t="s">
        <v>69</v>
      </c>
      <c r="B22" s="4" t="s">
        <v>80</v>
      </c>
      <c r="C22" s="5" t="s">
        <v>81</v>
      </c>
      <c r="D22" s="5">
        <f>IFERROR(__xludf.DUMMYFUNCTION("min(split(index(SPLIT(F22,"".""), 0), "",""))"),600.0)</f>
        <v>600</v>
      </c>
      <c r="E22" s="5">
        <f>IFERROR(__xludf.DUMMYFUNCTION("sum(SPLIT(F22, "".,""))"),600.0)</f>
        <v>600</v>
      </c>
      <c r="F22" s="6" t="s">
        <v>13</v>
      </c>
      <c r="G22" s="7">
        <f>IFERROR(__xludf.DUMMYFUNCTION("1/(COUNTUNIQUE(Clusters)*COUNTIF(Clusters, A22))"),0.017857142857142856)</f>
        <v>0.01785714286</v>
      </c>
      <c r="H22" s="7">
        <f t="shared" si="1"/>
        <v>0.01785714286</v>
      </c>
      <c r="I22" s="4" t="s">
        <v>82</v>
      </c>
      <c r="J22" s="5">
        <f>IFERROR(__xludf.DUMMYFUNCTION("columns(split(B22, ""|""))"),1.0)</f>
        <v>1</v>
      </c>
      <c r="K22" s="8" t="str">
        <f>IFERROR(__xludf.DUMMYFUNCTION("join(char(10), ArrayFormula(SPLIT(B22, "" | "", false, true) &amp; ""_"" &amp; C22 &amp; ""~"" &amp; split(F22, "".,"")))"),"Magitech_Banjo-Kazooie~600")</f>
        <v>Magitech_Banjo-Kazooie~600</v>
      </c>
    </row>
    <row r="23">
      <c r="A23" s="4" t="s">
        <v>69</v>
      </c>
      <c r="B23" s="4" t="s">
        <v>63</v>
      </c>
      <c r="C23" s="5" t="s">
        <v>64</v>
      </c>
      <c r="D23" s="5">
        <f>IFERROR(__xludf.DUMMYFUNCTION("min(split(index(SPLIT(F23,"".""), 0), "",""))"),600.0)</f>
        <v>600</v>
      </c>
      <c r="E23" s="5">
        <f>IFERROR(__xludf.DUMMYFUNCTION("sum(SPLIT(F23, "".,""))"),600.0)</f>
        <v>600</v>
      </c>
      <c r="F23" s="6" t="s">
        <v>13</v>
      </c>
      <c r="G23" s="7">
        <f>IFERROR(__xludf.DUMMYFUNCTION("1/(COUNTUNIQUE(Clusters)*COUNTIF(Clusters, A23))"),0.017857142857142856)</f>
        <v>0.01785714286</v>
      </c>
      <c r="H23" s="7">
        <f t="shared" si="1"/>
        <v>0.08035714286</v>
      </c>
      <c r="I23" s="4" t="s">
        <v>65</v>
      </c>
      <c r="J23" s="5">
        <f>IFERROR(__xludf.DUMMYFUNCTION("columns(split(B23, ""|""))"),1.0)</f>
        <v>1</v>
      </c>
      <c r="K23" s="8" t="str">
        <f>IFERROR(__xludf.DUMMYFUNCTION("join(char(10), ArrayFormula(SPLIT(B23, "" | "", false, true) &amp; ""_"" &amp; C23 &amp; ""~"" &amp; split(F23, "".,"")))"),"Magitek Mastery_Final Fantasy VI~600")</f>
        <v>Magitek Mastery_Final Fantasy VI~600</v>
      </c>
    </row>
    <row r="24">
      <c r="A24" s="4" t="s">
        <v>69</v>
      </c>
      <c r="B24" s="4" t="s">
        <v>83</v>
      </c>
      <c r="C24" s="5" t="s">
        <v>84</v>
      </c>
      <c r="D24" s="5">
        <f>IFERROR(__xludf.DUMMYFUNCTION("min(split(index(SPLIT(F24,"".""), 0), "",""))"),600.0)</f>
        <v>600</v>
      </c>
      <c r="E24" s="5">
        <f>IFERROR(__xludf.DUMMYFUNCTION("sum(SPLIT(F24, "".,""))"),600.0)</f>
        <v>600</v>
      </c>
      <c r="F24" s="6" t="s">
        <v>13</v>
      </c>
      <c r="G24" s="7">
        <f>IFERROR(__xludf.DUMMYFUNCTION("1/(COUNTUNIQUE(Clusters)*COUNTIF(Clusters, A24))"),0.017857142857142856)</f>
        <v>0.01785714286</v>
      </c>
      <c r="H24" s="7">
        <f t="shared" si="1"/>
        <v>0.01785714286</v>
      </c>
      <c r="I24" s="4" t="s">
        <v>85</v>
      </c>
      <c r="J24" s="5">
        <f>IFERROR(__xludf.DUMMYFUNCTION("columns(split(B24, ""|""))"),1.0)</f>
        <v>1</v>
      </c>
      <c r="K24" s="8" t="str">
        <f>IFERROR(__xludf.DUMMYFUNCTION("join(char(10), ArrayFormula(SPLIT(B24, "" | "", false, true) &amp; ""_"" &amp; C24 &amp; ""~"" &amp; split(F24, "".,"")))"),"Guru_Chrono Trigger~600")</f>
        <v>Guru_Chrono Trigger~600</v>
      </c>
    </row>
    <row r="25">
      <c r="A25" s="4" t="s">
        <v>69</v>
      </c>
      <c r="B25" s="4" t="s">
        <v>86</v>
      </c>
      <c r="C25" s="5" t="s">
        <v>87</v>
      </c>
      <c r="D25" s="5">
        <f>IFERROR(__xludf.DUMMYFUNCTION("min(split(index(SPLIT(F25,"".""), 0), "",""))"),600.0)</f>
        <v>600</v>
      </c>
      <c r="E25" s="5">
        <f>IFERROR(__xludf.DUMMYFUNCTION("sum(SPLIT(F25, "".,""))"),600.0)</f>
        <v>600</v>
      </c>
      <c r="F25" s="6" t="s">
        <v>13</v>
      </c>
      <c r="G25" s="7">
        <f>IFERROR(__xludf.DUMMYFUNCTION("1/(COUNTUNIQUE(Clusters)*COUNTIF(Clusters, A25))"),0.017857142857142856)</f>
        <v>0.01785714286</v>
      </c>
      <c r="H25" s="7">
        <f t="shared" si="1"/>
        <v>0.01785714286</v>
      </c>
      <c r="I25" s="4" t="s">
        <v>88</v>
      </c>
      <c r="J25" s="5">
        <f>IFERROR(__xludf.DUMMYFUNCTION("columns(split(B25, ""|""))"),1.0)</f>
        <v>1</v>
      </c>
      <c r="K25" s="8" t="str">
        <f>IFERROR(__xludf.DUMMYFUNCTION("join(char(10), ArrayFormula(SPLIT(B25, "" | "", false, true) &amp; ""_"" &amp; C25 &amp; ""~"" &amp; split(F25, "".,"")))"),"The Magic of Science_The Witcher~600")</f>
        <v>The Magic of Science_The Witcher~600</v>
      </c>
    </row>
    <row r="26">
      <c r="A26" s="5" t="s">
        <v>89</v>
      </c>
      <c r="B26" s="4" t="s">
        <v>90</v>
      </c>
      <c r="C26" s="5" t="s">
        <v>91</v>
      </c>
      <c r="D26" s="5">
        <f>IFERROR(__xludf.DUMMYFUNCTION("min(split(index(SPLIT(F26,"".""), 0), "",""))"),50.0)</f>
        <v>50</v>
      </c>
      <c r="E26" s="5">
        <f>IFERROR(__xludf.DUMMYFUNCTION("sum(SPLIT(F26, "".,""))"),50.0)</f>
        <v>50</v>
      </c>
      <c r="F26" s="6" t="s">
        <v>92</v>
      </c>
      <c r="G26" s="7">
        <f>IFERROR(__xludf.DUMMYFUNCTION("1/(COUNTUNIQUE(Clusters)*COUNTIF(Clusters, A26))"),0.004629629629629629)</f>
        <v>0.00462962963</v>
      </c>
      <c r="H26" s="7">
        <f t="shared" si="1"/>
        <v>0.00462962963</v>
      </c>
      <c r="I26" s="4" t="s">
        <v>93</v>
      </c>
      <c r="J26" s="5">
        <f>IFERROR(__xludf.DUMMYFUNCTION("columns(split(B26, ""|""))"),1.0)</f>
        <v>1</v>
      </c>
      <c r="K26" s="8" t="str">
        <f>IFERROR(__xludf.DUMMYFUNCTION("join(char(10), ArrayFormula(SPLIT(B26, "" | "", false, true) &amp; ""_"" &amp; C26 &amp; ""~"" &amp; split(F26, "".,"")))"),"Classroom_Personal Reality~50")</f>
        <v>Classroom_Personal Reality~50</v>
      </c>
    </row>
    <row r="27">
      <c r="A27" s="5" t="s">
        <v>89</v>
      </c>
      <c r="B27" s="4" t="s">
        <v>94</v>
      </c>
      <c r="C27" s="5" t="s">
        <v>91</v>
      </c>
      <c r="D27" s="5">
        <f>IFERROR(__xludf.DUMMYFUNCTION("min(split(index(SPLIT(F27,"".""), 0), "",""))"),50.0)</f>
        <v>50</v>
      </c>
      <c r="E27" s="5">
        <f>IFERROR(__xludf.DUMMYFUNCTION("sum(SPLIT(F27, "".,""))"),50.0)</f>
        <v>50</v>
      </c>
      <c r="F27" s="6" t="s">
        <v>92</v>
      </c>
      <c r="G27" s="7">
        <f>IFERROR(__xludf.DUMMYFUNCTION("1/(COUNTUNIQUE(Clusters)*COUNTIF(Clusters, A27))"),0.004629629629629629)</f>
        <v>0.00462962963</v>
      </c>
      <c r="H27" s="7">
        <f t="shared" si="1"/>
        <v>0.00462962963</v>
      </c>
      <c r="I27" s="4" t="s">
        <v>95</v>
      </c>
      <c r="J27" s="5">
        <f>IFERROR(__xludf.DUMMYFUNCTION("columns(split(B27, ""|""))"),1.0)</f>
        <v>1</v>
      </c>
      <c r="K27" s="8" t="str">
        <f>IFERROR(__xludf.DUMMYFUNCTION("join(char(10), ArrayFormula(SPLIT(B27, "" | "", false, true) &amp; ""_"" &amp; C27 &amp; ""~"" &amp; split(F27, "".,"")))"),"Entrance Hall_Personal Reality~50")</f>
        <v>Entrance Hall_Personal Reality~50</v>
      </c>
    </row>
    <row r="28">
      <c r="A28" s="5" t="s">
        <v>89</v>
      </c>
      <c r="B28" s="4" t="s">
        <v>96</v>
      </c>
      <c r="C28" s="5" t="s">
        <v>91</v>
      </c>
      <c r="D28" s="5">
        <f>IFERROR(__xludf.DUMMYFUNCTION("min(split(index(SPLIT(F28,"".""), 0), "",""))"),50.0)</f>
        <v>50</v>
      </c>
      <c r="E28" s="5">
        <f>IFERROR(__xludf.DUMMYFUNCTION("sum(SPLIT(F28, "".,""))"),450.0)</f>
        <v>450</v>
      </c>
      <c r="F28" s="6" t="s">
        <v>97</v>
      </c>
      <c r="G28" s="7">
        <f>IFERROR(__xludf.DUMMYFUNCTION("1/(COUNTUNIQUE(Clusters)*COUNTIF(Clusters, A28))"),0.004629629629629629)</f>
        <v>0.00462962963</v>
      </c>
      <c r="H28" s="7">
        <f t="shared" si="1"/>
        <v>0.00462962963</v>
      </c>
      <c r="I28" s="4" t="s">
        <v>98</v>
      </c>
      <c r="J28" s="5">
        <f>IFERROR(__xludf.DUMMYFUNCTION("columns(split(B28, ""|""))"),3.0)</f>
        <v>3</v>
      </c>
      <c r="K28" s="8" t="str">
        <f>IFERROR(__xludf.DUMMYFUNCTION("join(char(10), ArrayFormula(SPLIT(B28, "" | "", false, true) &amp; ""_"" &amp; C28 &amp; ""~"" &amp; split(F28, "".,"")))"),"Garage Upgrade_Personal Reality~50
Parking Station_Personal Reality~100
The Big Garage _Personal Reality~300")</f>
        <v>Garage Upgrade_Personal Reality~50
Parking Station_Personal Reality~100
The Big Garage _Personal Reality~300</v>
      </c>
    </row>
    <row r="29">
      <c r="A29" s="5" t="s">
        <v>89</v>
      </c>
      <c r="B29" s="4" t="s">
        <v>99</v>
      </c>
      <c r="C29" s="5" t="s">
        <v>91</v>
      </c>
      <c r="D29" s="5">
        <f>IFERROR(__xludf.DUMMYFUNCTION("min(split(index(SPLIT(F29,"".""), 0), "",""))"),50.0)</f>
        <v>50</v>
      </c>
      <c r="E29" s="5">
        <f>IFERROR(__xludf.DUMMYFUNCTION("sum(SPLIT(F29, "".,""))"),100.0)</f>
        <v>100</v>
      </c>
      <c r="F29" s="6" t="s">
        <v>100</v>
      </c>
      <c r="G29" s="7">
        <f>IFERROR(__xludf.DUMMYFUNCTION("1/(COUNTUNIQUE(Clusters)*COUNTIF(Clusters, A29))"),0.004629629629629629)</f>
        <v>0.00462962963</v>
      </c>
      <c r="H29" s="7">
        <f t="shared" si="1"/>
        <v>0.00462962963</v>
      </c>
      <c r="I29" s="4" t="s">
        <v>101</v>
      </c>
      <c r="J29" s="5">
        <f>IFERROR(__xludf.DUMMYFUNCTION("columns(split(B29, ""|""))"),2.0)</f>
        <v>2</v>
      </c>
      <c r="K29" s="8" t="str">
        <f>IFERROR(__xludf.DUMMYFUNCTION("join(char(10), ArrayFormula(SPLIT(B29, "" | "", false, true) &amp; ""_"" &amp; C29 &amp; ""~"" &amp; split(F29, "".,"")))"),"Music Collection_Personal Reality~50
Movie &amp; TV Series Collection_Personal Reality~50")</f>
        <v>Music Collection_Personal Reality~50
Movie &amp; TV Series Collection_Personal Reality~50</v>
      </c>
    </row>
    <row r="30">
      <c r="A30" s="5" t="s">
        <v>89</v>
      </c>
      <c r="B30" s="4" t="s">
        <v>102</v>
      </c>
      <c r="C30" s="5" t="s">
        <v>91</v>
      </c>
      <c r="D30" s="5">
        <f>IFERROR(__xludf.DUMMYFUNCTION("min(split(index(SPLIT(F30,"".""), 0), "",""))"),50.0)</f>
        <v>50</v>
      </c>
      <c r="E30" s="5">
        <f>IFERROR(__xludf.DUMMYFUNCTION("sum(SPLIT(F30, "".,""))"),50.0)</f>
        <v>50</v>
      </c>
      <c r="F30" s="6" t="s">
        <v>92</v>
      </c>
      <c r="G30" s="7">
        <f>IFERROR(__xludf.DUMMYFUNCTION("1/(COUNTUNIQUE(Clusters)*COUNTIF(Clusters, A30))"),0.004629629629629629)</f>
        <v>0.00462962963</v>
      </c>
      <c r="H30" s="7">
        <f t="shared" si="1"/>
        <v>0.00462962963</v>
      </c>
      <c r="I30" s="4" t="s">
        <v>103</v>
      </c>
      <c r="J30" s="5">
        <f>IFERROR(__xludf.DUMMYFUNCTION("columns(split(B30, ""|""))"),1.0)</f>
        <v>1</v>
      </c>
      <c r="K30" s="8" t="str">
        <f>IFERROR(__xludf.DUMMYFUNCTION("join(char(10), ArrayFormula(SPLIT(B30, "" | "", false, true) &amp; ""_"" &amp; C30 &amp; ""~"" &amp; split(F30, "".,"")))"),"Office_Personal Reality~50")</f>
        <v>Office_Personal Reality~50</v>
      </c>
    </row>
    <row r="31">
      <c r="A31" s="5" t="s">
        <v>89</v>
      </c>
      <c r="B31" s="4" t="s">
        <v>104</v>
      </c>
      <c r="C31" s="5" t="s">
        <v>91</v>
      </c>
      <c r="D31" s="5">
        <f>IFERROR(__xludf.DUMMYFUNCTION("min(split(index(SPLIT(F31,"".""), 0), "",""))"),50.0)</f>
        <v>50</v>
      </c>
      <c r="E31" s="5">
        <f>IFERROR(__xludf.DUMMYFUNCTION("sum(SPLIT(F31, "".,""))"),1050.0)</f>
        <v>1050</v>
      </c>
      <c r="F31" s="6" t="s">
        <v>105</v>
      </c>
      <c r="G31" s="7">
        <f>IFERROR(__xludf.DUMMYFUNCTION("1/(COUNTUNIQUE(Clusters)*COUNTIF(Clusters, A31))"),0.004629629629629629)</f>
        <v>0.00462962963</v>
      </c>
      <c r="H31" s="7">
        <f t="shared" si="1"/>
        <v>0.00462962963</v>
      </c>
      <c r="I31" s="4" t="s">
        <v>106</v>
      </c>
      <c r="J31" s="5">
        <f>IFERROR(__xludf.DUMMYFUNCTION("columns(split(B31, ""|""))"),7.0)</f>
        <v>7</v>
      </c>
      <c r="K31" s="8" t="str">
        <f>IFERROR(__xludf.DUMMYFUNCTION("join(char(10), ArrayFormula(SPLIT(B31, "" | "", false, true) &amp; ""_"" &amp; C31 &amp; ""~"" &amp; split(F31, "".,"")))"),"Rooms for Cheap_Personal Reality~50
Seraglio_Personal Reality~200
Nursery_Personal Reality~100
Grand Dining Hall_Personal Reality~200
Connecting Doors_Personal Reality~200
Servant's Quarters_Personal Reality~200
Unique Servants_Personal Reality~100")</f>
        <v>Rooms for Cheap_Personal Reality~50
Seraglio_Personal Reality~200
Nursery_Personal Reality~100
Grand Dining Hall_Personal Reality~200
Connecting Doors_Personal Reality~200
Servant's Quarters_Personal Reality~200
Unique Servants_Personal Reality~100</v>
      </c>
    </row>
    <row r="32">
      <c r="A32" s="5" t="s">
        <v>89</v>
      </c>
      <c r="B32" s="4" t="s">
        <v>107</v>
      </c>
      <c r="C32" s="5" t="s">
        <v>91</v>
      </c>
      <c r="D32" s="5">
        <f>IFERROR(__xludf.DUMMYFUNCTION("min(split(index(SPLIT(F32,"".""), 0), "",""))"),50.0)</f>
        <v>50</v>
      </c>
      <c r="E32" s="5">
        <f>IFERROR(__xludf.DUMMYFUNCTION("sum(SPLIT(F32, "".,""))"),200.0)</f>
        <v>200</v>
      </c>
      <c r="F32" s="6" t="s">
        <v>108</v>
      </c>
      <c r="G32" s="7">
        <f>IFERROR(__xludf.DUMMYFUNCTION("1/(COUNTUNIQUE(Clusters)*COUNTIF(Clusters, A32))"),0.004629629629629629)</f>
        <v>0.00462962963</v>
      </c>
      <c r="H32" s="7">
        <f t="shared" si="1"/>
        <v>0.00462962963</v>
      </c>
      <c r="I32" s="4" t="s">
        <v>109</v>
      </c>
      <c r="J32" s="5">
        <f>IFERROR(__xludf.DUMMYFUNCTION("columns(split(B32, ""|""))"),3.0)</f>
        <v>3</v>
      </c>
      <c r="K32" s="8" t="str">
        <f>IFERROR(__xludf.DUMMYFUNCTION("join(char(10), ArrayFormula(SPLIT(B32, "" | "", false, true) &amp; ""_"" &amp; C32 &amp; ""~"" &amp; split(F32, "".,"")))"),"Starting Collection_Personal Reality~50
Expanded Collection_Personal Reality~50
Esoteric Collection_Personal Reality~100")</f>
        <v>Starting Collection_Personal Reality~50
Expanded Collection_Personal Reality~50
Esoteric Collection_Personal Reality~100</v>
      </c>
    </row>
    <row r="33">
      <c r="A33" s="5" t="s">
        <v>89</v>
      </c>
      <c r="B33" s="4" t="s">
        <v>110</v>
      </c>
      <c r="C33" s="5" t="s">
        <v>91</v>
      </c>
      <c r="D33" s="5">
        <f>IFERROR(__xludf.DUMMYFUNCTION("min(split(index(SPLIT(F33,"".""), 0), "",""))"),50.0)</f>
        <v>50</v>
      </c>
      <c r="E33" s="5">
        <f>IFERROR(__xludf.DUMMYFUNCTION("sum(SPLIT(F33, "".,""))"),200.0)</f>
        <v>200</v>
      </c>
      <c r="F33" s="6" t="s">
        <v>111</v>
      </c>
      <c r="G33" s="7">
        <f>IFERROR(__xludf.DUMMYFUNCTION("1/(COUNTUNIQUE(Clusters)*COUNTIF(Clusters, A33))"),0.004629629629629629)</f>
        <v>0.00462962963</v>
      </c>
      <c r="H33" s="7">
        <f t="shared" si="1"/>
        <v>0.00462962963</v>
      </c>
      <c r="I33" s="4" t="s">
        <v>112</v>
      </c>
      <c r="J33" s="5">
        <f>IFERROR(__xludf.DUMMYFUNCTION("columns(split(B33, ""|""))"),3.0)</f>
        <v>3</v>
      </c>
      <c r="K33" s="8" t="str">
        <f>IFERROR(__xludf.DUMMYFUNCTION("join(char(10), ArrayFormula(SPLIT(B33, "" | "", false, true) &amp; ""_"" &amp; C33 &amp; ""~"" &amp; split(F33, "".,"")))"),"The Big Pool_Personal Reality~50
The Bigger Pool_Personal Reality~50
Let's Have Fun_Personal Reality~100")</f>
        <v>The Big Pool_Personal Reality~50
The Bigger Pool_Personal Reality~50
Let's Have Fun_Personal Reality~100</v>
      </c>
    </row>
    <row r="34">
      <c r="A34" s="5" t="s">
        <v>89</v>
      </c>
      <c r="B34" s="4" t="s">
        <v>113</v>
      </c>
      <c r="C34" s="5" t="s">
        <v>91</v>
      </c>
      <c r="D34" s="5">
        <f>IFERROR(__xludf.DUMMYFUNCTION("min(split(index(SPLIT(F34,"".""), 0), "",""))"),50.0)</f>
        <v>50</v>
      </c>
      <c r="E34" s="5">
        <f>IFERROR(__xludf.DUMMYFUNCTION("sum(SPLIT(F34, "".,""))"),50.0)</f>
        <v>50</v>
      </c>
      <c r="F34" s="6" t="s">
        <v>92</v>
      </c>
      <c r="G34" s="7">
        <f>IFERROR(__xludf.DUMMYFUNCTION("1/(COUNTUNIQUE(Clusters)*COUNTIF(Clusters, A34))"),0.004629629629629629)</f>
        <v>0.00462962963</v>
      </c>
      <c r="H34" s="7">
        <f t="shared" si="1"/>
        <v>0.00462962963</v>
      </c>
      <c r="I34" s="4" t="s">
        <v>114</v>
      </c>
      <c r="J34" s="5">
        <f>IFERROR(__xludf.DUMMYFUNCTION("columns(split(B34, ""|""))"),1.0)</f>
        <v>1</v>
      </c>
      <c r="K34" s="8" t="str">
        <f>IFERROR(__xludf.DUMMYFUNCTION("join(char(10), ArrayFormula(SPLIT(B34, "" | "", false, true) &amp; ""_"" &amp; C34 &amp; ""~"" &amp; split(F34, "".,"")))"),"Windows of Nostalgia_Personal Reality~50")</f>
        <v>Windows of Nostalgia_Personal Reality~50</v>
      </c>
    </row>
    <row r="35">
      <c r="A35" s="5" t="s">
        <v>89</v>
      </c>
      <c r="B35" s="4" t="s">
        <v>115</v>
      </c>
      <c r="C35" s="5" t="s">
        <v>91</v>
      </c>
      <c r="D35" s="5">
        <f>IFERROR(__xludf.DUMMYFUNCTION("min(split(index(SPLIT(F35,"".""), 0), "",""))"),100.0)</f>
        <v>100</v>
      </c>
      <c r="E35" s="5">
        <f>IFERROR(__xludf.DUMMYFUNCTION("sum(SPLIT(F35, "".,""))"),100.0)</f>
        <v>100</v>
      </c>
      <c r="F35" s="6" t="s">
        <v>116</v>
      </c>
      <c r="G35" s="7">
        <f>IFERROR(__xludf.DUMMYFUNCTION("1/(COUNTUNIQUE(Clusters)*COUNTIF(Clusters, A35))"),0.004629629629629629)</f>
        <v>0.00462962963</v>
      </c>
      <c r="H35" s="7">
        <f t="shared" si="1"/>
        <v>0.00462962963</v>
      </c>
      <c r="I35" s="4" t="s">
        <v>117</v>
      </c>
      <c r="J35" s="5">
        <f>IFERROR(__xludf.DUMMYFUNCTION("columns(split(B35, ""|""))"),1.0)</f>
        <v>1</v>
      </c>
      <c r="K35" s="8" t="str">
        <f>IFERROR(__xludf.DUMMYFUNCTION("join(char(10), ArrayFormula(SPLIT(B35, "" | "", false, true) &amp; ""_"" &amp; C35 &amp; ""~"" &amp; split(F35, "".,"")))"),"All Your Stuff_Personal Reality~100")</f>
        <v>All Your Stuff_Personal Reality~100</v>
      </c>
    </row>
    <row r="36">
      <c r="A36" s="5" t="s">
        <v>89</v>
      </c>
      <c r="B36" s="4" t="s">
        <v>118</v>
      </c>
      <c r="C36" s="5" t="s">
        <v>91</v>
      </c>
      <c r="D36" s="5">
        <f>IFERROR(__xludf.DUMMYFUNCTION("min(split(index(SPLIT(F36,"".""), 0), "",""))"),100.0)</f>
        <v>100</v>
      </c>
      <c r="E36" s="5">
        <f>IFERROR(__xludf.DUMMYFUNCTION("sum(SPLIT(F36, "".,""))"),100.0)</f>
        <v>100</v>
      </c>
      <c r="F36" s="6" t="s">
        <v>116</v>
      </c>
      <c r="G36" s="7">
        <f>IFERROR(__xludf.DUMMYFUNCTION("1/(COUNTUNIQUE(Clusters)*COUNTIF(Clusters, A36))"),0.004629629629629629)</f>
        <v>0.00462962963</v>
      </c>
      <c r="H36" s="7">
        <f t="shared" si="1"/>
        <v>0.00462962963</v>
      </c>
      <c r="I36" s="4" t="s">
        <v>119</v>
      </c>
      <c r="J36" s="5">
        <f>IFERROR(__xludf.DUMMYFUNCTION("columns(split(B36, ""|""))"),1.0)</f>
        <v>1</v>
      </c>
      <c r="K36" s="8" t="str">
        <f>IFERROR(__xludf.DUMMYFUNCTION("join(char(10), ArrayFormula(SPLIT(B36, "" | "", false, true) &amp; ""_"" &amp; C36 &amp; ""~"" &amp; split(F36, "".,"")))"),"Eye Spy_Personal Reality~100")</f>
        <v>Eye Spy_Personal Reality~100</v>
      </c>
    </row>
    <row r="37">
      <c r="A37" s="5" t="s">
        <v>89</v>
      </c>
      <c r="B37" s="4" t="s">
        <v>120</v>
      </c>
      <c r="C37" s="5" t="s">
        <v>91</v>
      </c>
      <c r="D37" s="5">
        <f>IFERROR(__xludf.DUMMYFUNCTION("min(split(index(SPLIT(F37,"".""), 0), "",""))"),100.0)</f>
        <v>100</v>
      </c>
      <c r="E37" s="5">
        <f>IFERROR(__xludf.DUMMYFUNCTION("sum(SPLIT(F37, "".,""))"),250.0)</f>
        <v>250</v>
      </c>
      <c r="F37" s="6" t="s">
        <v>121</v>
      </c>
      <c r="G37" s="7">
        <f>IFERROR(__xludf.DUMMYFUNCTION("1/(COUNTUNIQUE(Clusters)*COUNTIF(Clusters, A37))"),0.004629629629629629)</f>
        <v>0.00462962963</v>
      </c>
      <c r="H37" s="7">
        <f t="shared" si="1"/>
        <v>0.00462962963</v>
      </c>
      <c r="I37" s="4" t="s">
        <v>122</v>
      </c>
      <c r="J37" s="5">
        <f>IFERROR(__xludf.DUMMYFUNCTION("columns(split(B37, ""|""))"),4.0)</f>
        <v>4</v>
      </c>
      <c r="K37" s="8" t="str">
        <f>IFERROR(__xludf.DUMMYFUNCTION("join(char(10), ArrayFormula(SPLIT(B37, "" | "", false, true) &amp; ""_"" &amp; C37 &amp; ""~"" &amp; split(F37, "".,"")))"),"Garden_Personal Reality~100
Park_Personal Reality~50
Meditating Corner_Personal Reality~50
Courts_Personal Reality~50")</f>
        <v>Garden_Personal Reality~100
Park_Personal Reality~50
Meditating Corner_Personal Reality~50
Courts_Personal Reality~50</v>
      </c>
    </row>
    <row r="38">
      <c r="A38" s="5" t="s">
        <v>89</v>
      </c>
      <c r="B38" s="4" t="s">
        <v>123</v>
      </c>
      <c r="C38" s="5" t="s">
        <v>91</v>
      </c>
      <c r="D38" s="5">
        <f>IFERROR(__xludf.DUMMYFUNCTION("min(split(index(SPLIT(F38,"".""), 0), "",""))"),100.0)</f>
        <v>100</v>
      </c>
      <c r="E38" s="5">
        <f>IFERROR(__xludf.DUMMYFUNCTION("sum(SPLIT(F38, "".,""))"),100.0)</f>
        <v>100</v>
      </c>
      <c r="F38" s="6" t="s">
        <v>116</v>
      </c>
      <c r="G38" s="7">
        <f>IFERROR(__xludf.DUMMYFUNCTION("1/(COUNTUNIQUE(Clusters)*COUNTIF(Clusters, A38))"),0.004629629629629629)</f>
        <v>0.00462962963</v>
      </c>
      <c r="H38" s="7">
        <f t="shared" si="1"/>
        <v>0.00462962963</v>
      </c>
      <c r="I38" s="4" t="s">
        <v>124</v>
      </c>
      <c r="J38" s="5">
        <f>IFERROR(__xludf.DUMMYFUNCTION("columns(split(B38, ""|""))"),1.0)</f>
        <v>1</v>
      </c>
      <c r="K38" s="8" t="str">
        <f>IFERROR(__xludf.DUMMYFUNCTION("join(char(10), ArrayFormula(SPLIT(B38, "" | "", false, true) &amp; ""_"" &amp; C38 &amp; ""~"" &amp; split(F38, "".,"")))"),"Hollow Earth_Personal Reality~100")</f>
        <v>Hollow Earth_Personal Reality~100</v>
      </c>
    </row>
    <row r="39">
      <c r="A39" s="5" t="s">
        <v>89</v>
      </c>
      <c r="B39" s="4" t="s">
        <v>125</v>
      </c>
      <c r="C39" s="5" t="s">
        <v>91</v>
      </c>
      <c r="D39" s="5">
        <f>IFERROR(__xludf.DUMMYFUNCTION("min(split(index(SPLIT(F39,"".""), 0), "",""))"),100.0)</f>
        <v>100</v>
      </c>
      <c r="E39" s="5">
        <f>IFERROR(__xludf.DUMMYFUNCTION("sum(SPLIT(F39, "".,""))"),450.0)</f>
        <v>450</v>
      </c>
      <c r="F39" s="6" t="s">
        <v>126</v>
      </c>
      <c r="G39" s="7">
        <f>IFERROR(__xludf.DUMMYFUNCTION("1/(COUNTUNIQUE(Clusters)*COUNTIF(Clusters, A39))"),0.004629629629629629)</f>
        <v>0.00462962963</v>
      </c>
      <c r="H39" s="7">
        <f t="shared" si="1"/>
        <v>0.00462962963</v>
      </c>
      <c r="I39" s="4" t="s">
        <v>127</v>
      </c>
      <c r="J39" s="5">
        <f>IFERROR(__xludf.DUMMYFUNCTION("columns(split(B39, ""|""))"),4.0)</f>
        <v>4</v>
      </c>
      <c r="K39" s="8" t="str">
        <f>IFERROR(__xludf.DUMMYFUNCTION("join(char(10), ArrayFormula(SPLIT(B39, "" | "", false, true) &amp; ""_"" &amp; C39 &amp; ""~"" &amp; split(F39, "".,"")))"),"Mall_Personal Reality~100
More for More_Personal Reality~50
Mall of All_Personal Reality~100
Jump Topic_Personal Reality~200")</f>
        <v>Mall_Personal Reality~100
More for More_Personal Reality~50
Mall of All_Personal Reality~100
Jump Topic_Personal Reality~200</v>
      </c>
    </row>
    <row r="40">
      <c r="A40" s="5" t="s">
        <v>89</v>
      </c>
      <c r="B40" s="4" t="s">
        <v>128</v>
      </c>
      <c r="C40" s="5" t="s">
        <v>91</v>
      </c>
      <c r="D40" s="5">
        <f>IFERROR(__xludf.DUMMYFUNCTION("min(split(index(SPLIT(F40,"".""), 0), "",""))"),100.0)</f>
        <v>100</v>
      </c>
      <c r="E40" s="5">
        <f>IFERROR(__xludf.DUMMYFUNCTION("sum(SPLIT(F40, "".,""))"),500.0)</f>
        <v>500</v>
      </c>
      <c r="F40" s="6" t="s">
        <v>129</v>
      </c>
      <c r="G40" s="7">
        <f>IFERROR(__xludf.DUMMYFUNCTION("1/(COUNTUNIQUE(Clusters)*COUNTIF(Clusters, A40))"),0.004629629629629629)</f>
        <v>0.00462962963</v>
      </c>
      <c r="H40" s="7">
        <f t="shared" si="1"/>
        <v>0.00462962963</v>
      </c>
      <c r="I40" s="4" t="s">
        <v>130</v>
      </c>
      <c r="J40" s="5">
        <f>IFERROR(__xludf.DUMMYFUNCTION("columns(split(B40, ""|""))"),3.0)</f>
        <v>3</v>
      </c>
      <c r="K40" s="8" t="str">
        <f>IFERROR(__xludf.DUMMYFUNCTION("join(char(10), ArrayFormula(SPLIT(B40, "" | "", false, true) &amp; ""_"" &amp; C40 &amp; ""~"" &amp; split(F40, "".,"")))"),"Security Personnel_Personal Reality~200
Automated Weapons Security System_Personal Reality~200
Partition Plan_Personal Reality~100")</f>
        <v>Security Personnel_Personal Reality~200
Automated Weapons Security System_Personal Reality~200
Partition Plan_Personal Reality~100</v>
      </c>
    </row>
    <row r="41">
      <c r="A41" s="5" t="s">
        <v>89</v>
      </c>
      <c r="B41" s="4" t="s">
        <v>131</v>
      </c>
      <c r="C41" s="5" t="s">
        <v>91</v>
      </c>
      <c r="D41" s="5">
        <f>IFERROR(__xludf.DUMMYFUNCTION("min(split(index(SPLIT(F41,"".""), 0), "",""))"),100.0)</f>
        <v>100</v>
      </c>
      <c r="E41" s="5">
        <f>IFERROR(__xludf.DUMMYFUNCTION("sum(SPLIT(F41, "".,""))"),150.0)</f>
        <v>150</v>
      </c>
      <c r="F41" s="6" t="s">
        <v>132</v>
      </c>
      <c r="G41" s="7">
        <f>IFERROR(__xludf.DUMMYFUNCTION("1/(COUNTUNIQUE(Clusters)*COUNTIF(Clusters, A41))"),0.004629629629629629)</f>
        <v>0.00462962963</v>
      </c>
      <c r="H41" s="7">
        <f t="shared" si="1"/>
        <v>0.00462962963</v>
      </c>
      <c r="I41" s="4" t="s">
        <v>133</v>
      </c>
      <c r="J41" s="5">
        <f>IFERROR(__xludf.DUMMYFUNCTION("columns(split(B41, ""|""))"),2.0)</f>
        <v>2</v>
      </c>
      <c r="K41" s="8" t="str">
        <f>IFERROR(__xludf.DUMMYFUNCTION("join(char(10), ArrayFormula(SPLIT(B41, "" | "", false, true) &amp; ""_"" &amp; C41 &amp; ""~"" &amp; split(F41, "".,"")))"),"Wellness Center_Personal Reality~100
Bath and Body Works_Personal Reality~50")</f>
        <v>Wellness Center_Personal Reality~100
Bath and Body Works_Personal Reality~50</v>
      </c>
    </row>
    <row r="42">
      <c r="A42" s="5" t="s">
        <v>89</v>
      </c>
      <c r="B42" s="4" t="s">
        <v>134</v>
      </c>
      <c r="C42" s="5" t="s">
        <v>91</v>
      </c>
      <c r="D42" s="5">
        <f>IFERROR(__xludf.DUMMYFUNCTION("min(split(index(SPLIT(F42,"".""), 0), "",""))"),100.0)</f>
        <v>100</v>
      </c>
      <c r="E42" s="5">
        <f>IFERROR(__xludf.DUMMYFUNCTION("sum(SPLIT(F42, "".,""))"),100.0)</f>
        <v>100</v>
      </c>
      <c r="F42" s="6" t="s">
        <v>116</v>
      </c>
      <c r="G42" s="7">
        <f>IFERROR(__xludf.DUMMYFUNCTION("1/(COUNTUNIQUE(Clusters)*COUNTIF(Clusters, A42))"),0.004629629629629629)</f>
        <v>0.00462962963</v>
      </c>
      <c r="H42" s="7">
        <f t="shared" si="1"/>
        <v>0.00462962963</v>
      </c>
      <c r="I42" s="4" t="s">
        <v>135</v>
      </c>
      <c r="J42" s="5">
        <f>IFERROR(__xludf.DUMMYFUNCTION("columns(split(B42, ""|""))"),1.0)</f>
        <v>1</v>
      </c>
      <c r="K42" s="8" t="str">
        <f>IFERROR(__xludf.DUMMYFUNCTION("join(char(10), ArrayFormula(SPLIT(B42, "" | "", false, true) &amp; ""_"" &amp; C42 &amp; ""~"" &amp; split(F42, "".,"")))"),"Workshop_Personal Reality~100")</f>
        <v>Workshop_Personal Reality~100</v>
      </c>
    </row>
    <row r="43">
      <c r="A43" s="5" t="s">
        <v>89</v>
      </c>
      <c r="B43" s="4" t="s">
        <v>136</v>
      </c>
      <c r="C43" s="5" t="s">
        <v>91</v>
      </c>
      <c r="D43" s="5">
        <f>IFERROR(__xludf.DUMMYFUNCTION("min(split(index(SPLIT(F43,"".""), 0), "",""))"),200.0)</f>
        <v>200</v>
      </c>
      <c r="E43" s="5">
        <f>IFERROR(__xludf.DUMMYFUNCTION("sum(SPLIT(F43, "".,""))"),400.0)</f>
        <v>400</v>
      </c>
      <c r="F43" s="6" t="s">
        <v>137</v>
      </c>
      <c r="G43" s="7">
        <f>IFERROR(__xludf.DUMMYFUNCTION("1/(COUNTUNIQUE(Clusters)*COUNTIF(Clusters, A43))"),0.004629629629629629)</f>
        <v>0.00462962963</v>
      </c>
      <c r="H43" s="7">
        <f t="shared" si="1"/>
        <v>0.00462962963</v>
      </c>
      <c r="I43" s="4" t="s">
        <v>138</v>
      </c>
      <c r="J43" s="5">
        <f>IFERROR(__xludf.DUMMYFUNCTION("columns(split(B43, ""|""))"),2.0)</f>
        <v>2</v>
      </c>
      <c r="K43" s="8" t="str">
        <f>IFERROR(__xludf.DUMMYFUNCTION("join(char(10), ArrayFormula(SPLIT(B43, "" | "", false, true) &amp; ""_"" &amp; C43 &amp; ""~"" &amp; split(F43, "".,"")))"),"Additional Space_Personal Reality~200
Additional Space (Loft)_Personal Reality~200")</f>
        <v>Additional Space_Personal Reality~200
Additional Space (Loft)_Personal Reality~200</v>
      </c>
    </row>
    <row r="44">
      <c r="A44" s="5" t="s">
        <v>89</v>
      </c>
      <c r="B44" s="4" t="s">
        <v>139</v>
      </c>
      <c r="C44" s="5" t="s">
        <v>91</v>
      </c>
      <c r="D44" s="5">
        <f>IFERROR(__xludf.DUMMYFUNCTION("min(split(index(SPLIT(F44,"".""), 0), "",""))"),200.0)</f>
        <v>200</v>
      </c>
      <c r="E44" s="5">
        <f>IFERROR(__xludf.DUMMYFUNCTION("sum(SPLIT(F44, "".,""))"),600.0)</f>
        <v>600</v>
      </c>
      <c r="F44" s="6" t="s">
        <v>140</v>
      </c>
      <c r="G44" s="7">
        <f>IFERROR(__xludf.DUMMYFUNCTION("1/(COUNTUNIQUE(Clusters)*COUNTIF(Clusters, A44))"),0.004629629629629629)</f>
        <v>0.00462962963</v>
      </c>
      <c r="H44" s="7">
        <f t="shared" si="1"/>
        <v>0.00462962963</v>
      </c>
      <c r="I44" s="4" t="s">
        <v>141</v>
      </c>
      <c r="J44" s="5">
        <f>IFERROR(__xludf.DUMMYFUNCTION("columns(split(B44, ""|""))"),2.0)</f>
        <v>2</v>
      </c>
      <c r="K44" s="8" t="str">
        <f>IFERROR(__xludf.DUMMYFUNCTION("join(char(10), ArrayFormula(SPLIT(B44, "" | "", false, true) &amp; ""_"" &amp; C44 &amp; ""~"" &amp; split(F44, "".,"")))"),"Environmental Controls_Personal Reality~200
Improved Regulation_Personal Reality~400")</f>
        <v>Environmental Controls_Personal Reality~200
Improved Regulation_Personal Reality~400</v>
      </c>
    </row>
    <row r="45">
      <c r="A45" s="5" t="s">
        <v>89</v>
      </c>
      <c r="B45" s="4" t="s">
        <v>142</v>
      </c>
      <c r="C45" s="5" t="s">
        <v>91</v>
      </c>
      <c r="D45" s="5">
        <f>IFERROR(__xludf.DUMMYFUNCTION("min(split(index(SPLIT(F45,"".""), 0), "",""))"),200.0)</f>
        <v>200</v>
      </c>
      <c r="E45" s="5">
        <f>IFERROR(__xludf.DUMMYFUNCTION("sum(SPLIT(F45, "".,""))"),200.0)</f>
        <v>200</v>
      </c>
      <c r="F45" s="6" t="s">
        <v>143</v>
      </c>
      <c r="G45" s="7">
        <f>IFERROR(__xludf.DUMMYFUNCTION("1/(COUNTUNIQUE(Clusters)*COUNTIF(Clusters, A45))"),0.004629629629629629)</f>
        <v>0.00462962963</v>
      </c>
      <c r="H45" s="7">
        <f t="shared" si="1"/>
        <v>0.00462962963</v>
      </c>
      <c r="I45" s="4" t="s">
        <v>144</v>
      </c>
      <c r="J45" s="5">
        <f>IFERROR(__xludf.DUMMYFUNCTION("columns(split(B45, ""|""))"),1.0)</f>
        <v>1</v>
      </c>
      <c r="K45" s="8" t="str">
        <f>IFERROR(__xludf.DUMMYFUNCTION("join(char(10), ArrayFormula(SPLIT(B45, "" | "", false, true) &amp; ""_"" &amp; C45 &amp; ""~"" &amp; split(F45, "".,"")))"),"Game Room_Personal Reality~200")</f>
        <v>Game Room_Personal Reality~200</v>
      </c>
    </row>
    <row r="46">
      <c r="A46" s="5" t="s">
        <v>89</v>
      </c>
      <c r="B46" s="4" t="s">
        <v>145</v>
      </c>
      <c r="C46" s="5" t="s">
        <v>91</v>
      </c>
      <c r="D46" s="5">
        <f>IFERROR(__xludf.DUMMYFUNCTION("min(split(index(SPLIT(F46,"".""), 0), "",""))"),200.0)</f>
        <v>200</v>
      </c>
      <c r="E46" s="5">
        <f>IFERROR(__xludf.DUMMYFUNCTION("sum(SPLIT(F46, "".,""))"),200.0)</f>
        <v>200</v>
      </c>
      <c r="F46" s="6" t="s">
        <v>143</v>
      </c>
      <c r="G46" s="7">
        <f>IFERROR(__xludf.DUMMYFUNCTION("1/(COUNTUNIQUE(Clusters)*COUNTIF(Clusters, A46))"),0.004629629629629629)</f>
        <v>0.00462962963</v>
      </c>
      <c r="H46" s="7">
        <f t="shared" si="1"/>
        <v>0.00462962963</v>
      </c>
      <c r="I46" s="4" t="s">
        <v>146</v>
      </c>
      <c r="J46" s="5">
        <f>IFERROR(__xludf.DUMMYFUNCTION("columns(split(B46, ""|""))"),1.0)</f>
        <v>1</v>
      </c>
      <c r="K46" s="8" t="str">
        <f>IFERROR(__xludf.DUMMYFUNCTION("join(char(10), ArrayFormula(SPLIT(B46, "" | "", false, true) &amp; ""_"" &amp; C46 &amp; ""~"" &amp; split(F46, "".,"")))"),"Jump Recording_Personal Reality~200")</f>
        <v>Jump Recording_Personal Reality~200</v>
      </c>
    </row>
    <row r="47">
      <c r="A47" s="5" t="s">
        <v>89</v>
      </c>
      <c r="B47" s="4" t="s">
        <v>147</v>
      </c>
      <c r="C47" s="5" t="s">
        <v>91</v>
      </c>
      <c r="D47" s="5">
        <f>IFERROR(__xludf.DUMMYFUNCTION("min(split(index(SPLIT(F47,"".""), 0), "",""))"),200.0)</f>
        <v>200</v>
      </c>
      <c r="E47" s="5">
        <f>IFERROR(__xludf.DUMMYFUNCTION("sum(SPLIT(F47, "".,""))"),900.0)</f>
        <v>900</v>
      </c>
      <c r="F47" s="6" t="s">
        <v>148</v>
      </c>
      <c r="G47" s="7">
        <f>IFERROR(__xludf.DUMMYFUNCTION("1/(COUNTUNIQUE(Clusters)*COUNTIF(Clusters, A47))"),0.004629629629629629)</f>
        <v>0.00462962963</v>
      </c>
      <c r="H47" s="7">
        <f t="shared" si="1"/>
        <v>0.00462962963</v>
      </c>
      <c r="I47" s="4" t="s">
        <v>149</v>
      </c>
      <c r="J47" s="5">
        <f>IFERROR(__xludf.DUMMYFUNCTION("columns(split(B47, ""|""))"),6.0)</f>
        <v>6</v>
      </c>
      <c r="K47" s="8" t="str">
        <f>IFERROR(__xludf.DUMMYFUNCTION("join(char(10), ArrayFormula(SPLIT(B47, "" | "", false, true) &amp; ""_"" &amp; C47 &amp; ""~"" &amp; split(F47, "".,"")))"),"Medical Bay_Personal Reality~200
Counseling Bay_Personal Reality~200
Cybernetics Bay_Personal Reality~200
Nano-Medical Lab_Personal Reality~100
Bio-Synthesis Lab_Personal Reality~100
Body Mod Pod_Personal Reality~100")</f>
        <v>Medical Bay_Personal Reality~200
Counseling Bay_Personal Reality~200
Cybernetics Bay_Personal Reality~200
Nano-Medical Lab_Personal Reality~100
Bio-Synthesis Lab_Personal Reality~100
Body Mod Pod_Personal Reality~100</v>
      </c>
    </row>
    <row r="48">
      <c r="A48" s="5" t="s">
        <v>89</v>
      </c>
      <c r="B48" s="4" t="s">
        <v>150</v>
      </c>
      <c r="C48" s="5" t="s">
        <v>91</v>
      </c>
      <c r="D48" s="5">
        <f>IFERROR(__xludf.DUMMYFUNCTION("min(split(index(SPLIT(F48,"".""), 0), "",""))"),200.0)</f>
        <v>200</v>
      </c>
      <c r="E48" s="5">
        <f>IFERROR(__xludf.DUMMYFUNCTION("sum(SPLIT(F48, "".,""))"),200.0)</f>
        <v>200</v>
      </c>
      <c r="F48" s="6" t="s">
        <v>143</v>
      </c>
      <c r="G48" s="7">
        <f>IFERROR(__xludf.DUMMYFUNCTION("1/(COUNTUNIQUE(Clusters)*COUNTIF(Clusters, A48))"),0.004629629629629629)</f>
        <v>0.00462962963</v>
      </c>
      <c r="H48" s="7">
        <f t="shared" si="1"/>
        <v>0.00462962963</v>
      </c>
      <c r="I48" s="4" t="s">
        <v>151</v>
      </c>
      <c r="J48" s="5">
        <f>IFERROR(__xludf.DUMMYFUNCTION("columns(split(B48, ""|""))"),1.0)</f>
        <v>1</v>
      </c>
      <c r="K48" s="8" t="str">
        <f>IFERROR(__xludf.DUMMYFUNCTION("join(char(10), ArrayFormula(SPLIT(B48, "" | "", false, true) &amp; ""_"" &amp; C48 &amp; ""~"" &amp; split(F48, "".,"")))"),"Menagerie_Personal Reality~200")</f>
        <v>Menagerie_Personal Reality~200</v>
      </c>
    </row>
    <row r="49">
      <c r="A49" s="5" t="s">
        <v>89</v>
      </c>
      <c r="B49" s="4" t="s">
        <v>152</v>
      </c>
      <c r="C49" s="5" t="s">
        <v>91</v>
      </c>
      <c r="D49" s="5">
        <f>IFERROR(__xludf.DUMMYFUNCTION("min(split(index(SPLIT(F49,"".""), 0), "",""))"),100.0)</f>
        <v>100</v>
      </c>
      <c r="E49" s="5">
        <f>IFERROR(__xludf.DUMMYFUNCTION("sum(SPLIT(F49, "".,""))"),700.0)</f>
        <v>700</v>
      </c>
      <c r="F49" s="6" t="s">
        <v>153</v>
      </c>
      <c r="G49" s="7">
        <f>IFERROR(__xludf.DUMMYFUNCTION("1/(COUNTUNIQUE(Clusters)*COUNTIF(Clusters, A49))"),0.004629629629629629)</f>
        <v>0.00462962963</v>
      </c>
      <c r="H49" s="7">
        <f t="shared" si="1"/>
        <v>0.00462962963</v>
      </c>
      <c r="I49" s="9" t="s">
        <v>154</v>
      </c>
      <c r="J49" s="5">
        <f>IFERROR(__xludf.DUMMYFUNCTION("columns(split(B49, ""|""))"),4.0)</f>
        <v>4</v>
      </c>
      <c r="K49" s="8" t="str">
        <f>IFERROR(__xludf.DUMMYFUNCTION("join(char(10), ArrayFormula(SPLIT(B49, "" | "", false, true) &amp; ""_"" &amp; C49 &amp; ""~"" &amp; split(F49, "".,"")))"),"Portal Link_Personal Reality~300
Additional Portal_Personal Reality~100
Portal Control Rod_Personal Reality~200
Portal Apeture_Personal Reality~100")</f>
        <v>Portal Link_Personal Reality~300
Additional Portal_Personal Reality~100
Portal Control Rod_Personal Reality~200
Portal Apeture_Personal Reality~100</v>
      </c>
    </row>
    <row r="50">
      <c r="A50" s="5" t="s">
        <v>89</v>
      </c>
      <c r="B50" s="10" t="s">
        <v>155</v>
      </c>
      <c r="C50" s="5" t="s">
        <v>91</v>
      </c>
      <c r="D50" s="5">
        <f>IFERROR(__xludf.DUMMYFUNCTION("min(split(index(SPLIT(F50,"".""), 0), "",""))"),200.0)</f>
        <v>200</v>
      </c>
      <c r="E50" s="5">
        <f>IFERROR(__xludf.DUMMYFUNCTION("sum(SPLIT(F50, "".,""))"),400.0)</f>
        <v>400</v>
      </c>
      <c r="F50" s="6" t="s">
        <v>156</v>
      </c>
      <c r="G50" s="7">
        <f>IFERROR(__xludf.DUMMYFUNCTION("1/(COUNTUNIQUE(Clusters)*COUNTIF(Clusters, A50))"),0.004629629629629629)</f>
        <v>0.00462962963</v>
      </c>
      <c r="H50" s="7">
        <f t="shared" si="1"/>
        <v>0.00462962963</v>
      </c>
      <c r="I50" s="4" t="s">
        <v>157</v>
      </c>
      <c r="J50" s="5">
        <f>IFERROR(__xludf.DUMMYFUNCTION("columns(split(B50, ""|""))"),2.0)</f>
        <v>2</v>
      </c>
      <c r="K50" s="8" t="str">
        <f>IFERROR(__xludf.DUMMYFUNCTION("join(char(10), ArrayFormula(SPLIT(B50, "" | "", false, true) &amp; ""_"" &amp; C50 &amp; ""~"" &amp; split(F50, "".,"")))"),"Recyclotron_Personal Reality~200
Fabricator_Personal Reality~200")</f>
        <v>Recyclotron_Personal Reality~200
Fabricator_Personal Reality~200</v>
      </c>
    </row>
    <row r="51">
      <c r="A51" s="5" t="s">
        <v>89</v>
      </c>
      <c r="B51" s="4" t="s">
        <v>158</v>
      </c>
      <c r="C51" s="5" t="s">
        <v>91</v>
      </c>
      <c r="D51" s="5">
        <f>IFERROR(__xludf.DUMMYFUNCTION("min(split(index(SPLIT(F51,"".""), 0), "",""))"),200.0)</f>
        <v>200</v>
      </c>
      <c r="E51" s="5">
        <f>IFERROR(__xludf.DUMMYFUNCTION("sum(SPLIT(F51, "".,""))"),800.0)</f>
        <v>800</v>
      </c>
      <c r="F51" s="6" t="s">
        <v>159</v>
      </c>
      <c r="G51" s="7">
        <f>IFERROR(__xludf.DUMMYFUNCTION("1/(COUNTUNIQUE(Clusters)*COUNTIF(Clusters, A51))"),0.004629629629629629)</f>
        <v>0.00462962963</v>
      </c>
      <c r="H51" s="7">
        <f t="shared" si="1"/>
        <v>0.00462962963</v>
      </c>
      <c r="I51" s="4" t="s">
        <v>160</v>
      </c>
      <c r="J51" s="5">
        <f>IFERROR(__xludf.DUMMYFUNCTION("columns(split(B51, ""|""))"),4.0)</f>
        <v>4</v>
      </c>
      <c r="K51" s="8" t="str">
        <f>IFERROR(__xludf.DUMMYFUNCTION("join(char(10), ArrayFormula(SPLIT(B51, "" | "", false, true) &amp; ""_"" &amp; C51 &amp; ""~"" &amp; split(F51, "".,"")))"),"Stasis_Personal Reality~200
Sectional Time_Personal Reality~200
Eternalizer Level 1_Personal Reality~200
Eternalizer Level 2_Personal Reality~200")</f>
        <v>Stasis_Personal Reality~200
Sectional Time_Personal Reality~200
Eternalizer Level 1_Personal Reality~200
Eternalizer Level 2_Personal Reality~200</v>
      </c>
    </row>
    <row r="52">
      <c r="A52" s="5" t="s">
        <v>89</v>
      </c>
      <c r="B52" s="4" t="s">
        <v>161</v>
      </c>
      <c r="C52" s="5" t="s">
        <v>91</v>
      </c>
      <c r="D52" s="5">
        <f>IFERROR(__xludf.DUMMYFUNCTION("min(split(index(SPLIT(F52,"".""), 0), "",""))"),200.0)</f>
        <v>200</v>
      </c>
      <c r="E52" s="5">
        <f>IFERROR(__xludf.DUMMYFUNCTION("sum(SPLIT(F52, "".,""))"),200.0)</f>
        <v>200</v>
      </c>
      <c r="F52" s="6" t="s">
        <v>143</v>
      </c>
      <c r="G52" s="7">
        <f>IFERROR(__xludf.DUMMYFUNCTION("1/(COUNTUNIQUE(Clusters)*COUNTIF(Clusters, A52))"),0.004629629629629629)</f>
        <v>0.00462962963</v>
      </c>
      <c r="H52" s="7">
        <f t="shared" si="1"/>
        <v>0.00462962963</v>
      </c>
      <c r="I52" s="4" t="s">
        <v>162</v>
      </c>
      <c r="J52" s="5">
        <f>IFERROR(__xludf.DUMMYFUNCTION("columns(split(B52, ""|""))"),1.0)</f>
        <v>1</v>
      </c>
      <c r="K52" s="8" t="str">
        <f>IFERROR(__xludf.DUMMYFUNCTION("join(char(10), ArrayFormula(SPLIT(B52, "" | "", false, true) &amp; ""_"" &amp; C52 &amp; ""~"" &amp; split(F52, "".,"")))"),"Tashi Station_Personal Reality~200")</f>
        <v>Tashi Station_Personal Reality~200</v>
      </c>
    </row>
    <row r="53">
      <c r="A53" s="4" t="s">
        <v>163</v>
      </c>
      <c r="B53" s="4" t="s">
        <v>164</v>
      </c>
      <c r="C53" s="5" t="s">
        <v>165</v>
      </c>
      <c r="D53" s="5">
        <f>IFERROR(__xludf.DUMMYFUNCTION("min(split(index(SPLIT(F53,"".""), 0), "",""))"),800.0)</f>
        <v>800</v>
      </c>
      <c r="E53" s="5">
        <f>IFERROR(__xludf.DUMMYFUNCTION("sum(SPLIT(F53, "".,""))"),800.0)</f>
        <v>800</v>
      </c>
      <c r="F53" s="6" t="s">
        <v>20</v>
      </c>
      <c r="G53" s="7">
        <f>IFERROR(__xludf.DUMMYFUNCTION("1/(COUNTUNIQUE(Clusters)*COUNTIF(Clusters, A53))"),0.125)</f>
        <v>0.125</v>
      </c>
      <c r="H53" s="7">
        <f t="shared" si="1"/>
        <v>0.125</v>
      </c>
      <c r="I53" s="4" t="s">
        <v>166</v>
      </c>
      <c r="J53" s="5">
        <f>IFERROR(__xludf.DUMMYFUNCTION("columns(split(B53, ""|""))"),1.0)</f>
        <v>1</v>
      </c>
      <c r="K53" s="8" t="str">
        <f>IFERROR(__xludf.DUMMYFUNCTION("join(char(10), ArrayFormula(SPLIT(B53, "" | "", false, true) &amp; ""_"" &amp; C53 &amp; ""~"" &amp; split(F53, "".,"")))"),"Orb Design Plans_Swat Kats~800")</f>
        <v>Orb Design Plans_Swat Kats~800</v>
      </c>
    </row>
    <row r="54">
      <c r="A54" s="4" t="s">
        <v>167</v>
      </c>
      <c r="B54" s="4" t="s">
        <v>168</v>
      </c>
      <c r="C54" s="5" t="s">
        <v>169</v>
      </c>
      <c r="D54" s="5">
        <f>IFERROR(__xludf.DUMMYFUNCTION("min(split(index(SPLIT(F54,"".""), 0), "",""))"),600.0)</f>
        <v>600</v>
      </c>
      <c r="E54" s="5">
        <f>IFERROR(__xludf.DUMMYFUNCTION("sum(SPLIT(F54, "".,""))"),600.0)</f>
        <v>600</v>
      </c>
      <c r="F54" s="6" t="s">
        <v>13</v>
      </c>
      <c r="G54" s="7">
        <f>IFERROR(__xludf.DUMMYFUNCTION("1/(COUNTUNIQUE(Clusters)*COUNTIF(Clusters, A54))"),0.125)</f>
        <v>0.125</v>
      </c>
      <c r="H54" s="7">
        <f t="shared" si="1"/>
        <v>0.125</v>
      </c>
      <c r="I54" s="4" t="s">
        <v>170</v>
      </c>
      <c r="J54" s="5">
        <f>IFERROR(__xludf.DUMMYFUNCTION("columns(split(B54, ""|""))"),1.0)</f>
        <v>1</v>
      </c>
      <c r="K54" s="8" t="str">
        <f>IFERROR(__xludf.DUMMYFUNCTION("join(char(10), ArrayFormula(SPLIT(B54, "" | "", false, true) &amp; ""_"" &amp; C54 &amp; ""~"" &amp; split(F54, "".,"")))"),"The Good Doctor_Captain Harlock~600")</f>
        <v>The Good Doctor_Captain Harlock~600</v>
      </c>
    </row>
  </sheetData>
  <customSheetViews>
    <customSheetView guid="{EFE262D1-7655-48D3-94C0-8BAB3C2170F2}" filter="1" showAutoFilter="1">
      <autoFilter ref="$A$1:$I$54"/>
    </customSheetView>
  </customSheetView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0.25"/>
    <col customWidth="1" min="2" max="9" width="12.25"/>
    <col customWidth="1" min="11" max="11" width="12.5"/>
    <col customWidth="1" min="12" max="12" width="40.5"/>
    <col customWidth="1" min="13" max="13" width="12.25"/>
    <col customWidth="1" min="14" max="14" width="6.75"/>
  </cols>
  <sheetData>
    <row r="1">
      <c r="B1" s="11" t="s">
        <v>171</v>
      </c>
    </row>
    <row r="2">
      <c r="A2" s="12" t="s">
        <v>0</v>
      </c>
      <c r="B2" s="13">
        <f t="shared" ref="B2:I2" si="1">B27</f>
        <v>50</v>
      </c>
      <c r="C2" s="13">
        <f t="shared" si="1"/>
        <v>100</v>
      </c>
      <c r="D2" s="13">
        <f t="shared" si="1"/>
        <v>200</v>
      </c>
      <c r="E2" s="13">
        <f t="shared" si="1"/>
        <v>300</v>
      </c>
      <c r="F2" s="13">
        <f t="shared" si="1"/>
        <v>400</v>
      </c>
      <c r="G2" s="13">
        <f t="shared" si="1"/>
        <v>500</v>
      </c>
      <c r="H2" s="13">
        <f t="shared" si="1"/>
        <v>600</v>
      </c>
      <c r="I2" s="13">
        <f t="shared" si="1"/>
        <v>800</v>
      </c>
      <c r="J2" s="14" t="s">
        <v>172</v>
      </c>
      <c r="L2" s="15" t="s">
        <v>173</v>
      </c>
      <c r="M2" s="15" t="s">
        <v>174</v>
      </c>
      <c r="N2" s="14" t="s">
        <v>175</v>
      </c>
    </row>
    <row r="3">
      <c r="A3" s="16" t="str">
        <f t="array" ref="A3:A10">UNIQUE(Clusters)</f>
        <v>Alchemy Constellation</v>
      </c>
      <c r="B3" s="17">
        <f>IFERROR(__xludf.DUMMYFUNCTION("count(filter(MinCosts, ArrayFormula(regexmatch(ClusterCosts, concat(B$2, ""($|,|\.)""))), ARRAYFORMULA(regexmatch(Clusters, $A3))))"),0.0)</f>
        <v>0</v>
      </c>
      <c r="C3" s="17">
        <f>IFERROR(__xludf.DUMMYFUNCTION("count(filter(MinCosts, ArrayFormula(regexmatch(ClusterCosts, concat(C$2, ""($|,|\.)""))), ARRAYFORMULA(regexmatch(Clusters, $A3))))"),0.0)</f>
        <v>0</v>
      </c>
      <c r="D3" s="17">
        <f>IFERROR(__xludf.DUMMYFUNCTION("count(filter(MinCosts, ArrayFormula(regexmatch(ClusterCosts, concat(D$2, ""($|,|\.)""))), ARRAYFORMULA(regexmatch(Clusters, $A3))))"),0.0)</f>
        <v>0</v>
      </c>
      <c r="E3" s="17">
        <f>IFERROR(__xludf.DUMMYFUNCTION("count(filter(MinCosts, ArrayFormula(regexmatch(ClusterCosts, concat(E$2, ""($|,|\.)""))), ARRAYFORMULA(regexmatch(Clusters, $A3))))"),0.0)</f>
        <v>0</v>
      </c>
      <c r="F3" s="17">
        <f>IFERROR(__xludf.DUMMYFUNCTION("count(filter(MinCosts, ArrayFormula(regexmatch(ClusterCosts, concat(F$2, ""($|,|\.)""))), ARRAYFORMULA(regexmatch(Clusters, $A3))))"),0.0)</f>
        <v>0</v>
      </c>
      <c r="G3" s="17">
        <f>IFERROR(__xludf.DUMMYFUNCTION("count(filter(MinCosts, ArrayFormula(regexmatch(ClusterCosts, concat(G$2, ""($|,|\.)""))), ARRAYFORMULA(regexmatch(Clusters, $A3))))"),0.0)</f>
        <v>0</v>
      </c>
      <c r="H3" s="17">
        <f>IFERROR(__xludf.DUMMYFUNCTION("count(filter(MinCosts, ArrayFormula(regexmatch(ClusterCosts, concat(H$2, ""($|,|\.)""))), ARRAYFORMULA(regexmatch(Clusters, $A3))))"),2.0)</f>
        <v>2</v>
      </c>
      <c r="I3" s="17">
        <f>IFERROR(__xludf.DUMMYFUNCTION("count(filter(MinCosts, ArrayFormula(regexmatch(ClusterCosts, concat(I$2, ""($|,|\.)""))), ARRAYFORMULA(regexmatch(Clusters, $A3))))"),1.0)</f>
        <v>1</v>
      </c>
      <c r="J3" s="17">
        <f>countif(Clusters, A3)</f>
        <v>3</v>
      </c>
      <c r="L3" s="18" t="str">
        <f t="array" ref="L3:L26">sort(UNIQUE(ClusterCosts))</f>
        <v>100</v>
      </c>
      <c r="M3" s="19">
        <f>if(LEN(L3)&gt;0, sumif(ClusterCosts, L3, RollChances), "")</f>
        <v>0.01851851852</v>
      </c>
      <c r="N3" s="17">
        <f>if(LEN(L3)&gt;0, countif(ClusterCosts, L3), "")</f>
        <v>4</v>
      </c>
    </row>
    <row r="4">
      <c r="A4" s="16" t="s">
        <v>22</v>
      </c>
      <c r="B4" s="17">
        <f>IFERROR(__xludf.DUMMYFUNCTION("count(filter(MinCosts, ArrayFormula(regexmatch(ClusterCosts, concat(B$2, ""($|,|\.)""))), ARRAYFORMULA(regexmatch(Clusters, $A4))))"),0.0)</f>
        <v>0</v>
      </c>
      <c r="C4" s="17">
        <f>IFERROR(__xludf.DUMMYFUNCTION("count(filter(MinCosts, ArrayFormula(regexmatch(ClusterCosts, concat(C$2, ""($|,|\.)""))), ARRAYFORMULA(regexmatch(Clusters, $A4))))"),0.0)</f>
        <v>0</v>
      </c>
      <c r="D4" s="17">
        <f>IFERROR(__xludf.DUMMYFUNCTION("count(filter(MinCosts, ArrayFormula(regexmatch(ClusterCosts, concat(D$2, ""($|,|\.)""))), ARRAYFORMULA(regexmatch(Clusters, $A4))))"),0.0)</f>
        <v>0</v>
      </c>
      <c r="E4" s="17">
        <f>IFERROR(__xludf.DUMMYFUNCTION("count(filter(MinCosts, ArrayFormula(regexmatch(ClusterCosts, concat(E$2, ""($|,|\.)""))), ARRAYFORMULA(regexmatch(Clusters, $A4))))"),1.0)</f>
        <v>1</v>
      </c>
      <c r="F4" s="17">
        <f>IFERROR(__xludf.DUMMYFUNCTION("count(filter(MinCosts, ArrayFormula(regexmatch(ClusterCosts, concat(F$2, ""($|,|\.)""))), ARRAYFORMULA(regexmatch(Clusters, $A4))))"),0.0)</f>
        <v>0</v>
      </c>
      <c r="G4" s="17">
        <f>IFERROR(__xludf.DUMMYFUNCTION("count(filter(MinCosts, ArrayFormula(regexmatch(ClusterCosts, concat(G$2, ""($|,|\.)""))), ARRAYFORMULA(regexmatch(Clusters, $A4))))"),2.0)</f>
        <v>2</v>
      </c>
      <c r="H4" s="17">
        <f>IFERROR(__xludf.DUMMYFUNCTION("count(filter(MinCosts, ArrayFormula(regexmatch(ClusterCosts, concat(H$2, ""($|,|\.)""))), ARRAYFORMULA(regexmatch(Clusters, $A4))))"),0.0)</f>
        <v>0</v>
      </c>
      <c r="I4" s="17">
        <f>IFERROR(__xludf.DUMMYFUNCTION("count(filter(MinCosts, ArrayFormula(regexmatch(ClusterCosts, concat(I$2, ""($|,|\.)""))), ARRAYFORMULA(regexmatch(Clusters, $A4))))"),1.0)</f>
        <v>1</v>
      </c>
      <c r="J4" s="17">
        <f>countif(Clusters, A4)</f>
        <v>4</v>
      </c>
      <c r="L4" s="18" t="s">
        <v>132</v>
      </c>
      <c r="M4" s="19">
        <f>if(LEN(L4)&gt;0, sumif(ClusterCosts, L4, RollChances), "")</f>
        <v>0.00462962963</v>
      </c>
      <c r="N4" s="17">
        <f>if(LEN(L4)&gt;0, countif(ClusterCosts, L4), "")</f>
        <v>1</v>
      </c>
      <c r="P4" s="15" t="s">
        <v>176</v>
      </c>
      <c r="Q4" s="15" t="s">
        <v>177</v>
      </c>
    </row>
    <row r="5">
      <c r="A5" s="16" t="s">
        <v>37</v>
      </c>
      <c r="B5" s="17">
        <f>IFERROR(__xludf.DUMMYFUNCTION("count(filter(MinCosts, ArrayFormula(regexmatch(ClusterCosts, concat(B$2, ""($|,|\.)""))), ARRAYFORMULA(regexmatch(Clusters, $A5))))"),0.0)</f>
        <v>0</v>
      </c>
      <c r="C5" s="17">
        <f>IFERROR(__xludf.DUMMYFUNCTION("count(filter(MinCosts, ArrayFormula(regexmatch(ClusterCosts, concat(C$2, ""($|,|\.)""))), ARRAYFORMULA(regexmatch(Clusters, $A5))))"),0.0)</f>
        <v>0</v>
      </c>
      <c r="D5" s="17">
        <f>IFERROR(__xludf.DUMMYFUNCTION("count(filter(MinCosts, ArrayFormula(regexmatch(ClusterCosts, concat(D$2, ""($|,|\.)""))), ARRAYFORMULA(regexmatch(Clusters, $A5))))"),0.0)</f>
        <v>0</v>
      </c>
      <c r="E5" s="17">
        <f>IFERROR(__xludf.DUMMYFUNCTION("count(filter(MinCosts, ArrayFormula(regexmatch(ClusterCosts, concat(E$2, ""($|,|\.)""))), ARRAYFORMULA(regexmatch(Clusters, $A5))))"),0.0)</f>
        <v>0</v>
      </c>
      <c r="F5" s="17">
        <f>IFERROR(__xludf.DUMMYFUNCTION("count(filter(MinCosts, ArrayFormula(regexmatch(ClusterCosts, concat(F$2, ""($|,|\.)""))), ARRAYFORMULA(regexmatch(Clusters, $A5))))"),0.0)</f>
        <v>0</v>
      </c>
      <c r="G5" s="17">
        <f>IFERROR(__xludf.DUMMYFUNCTION("count(filter(MinCosts, ArrayFormula(regexmatch(ClusterCosts, concat(G$2, ""($|,|\.)""))), ARRAYFORMULA(regexmatch(Clusters, $A5))))"),1.0)</f>
        <v>1</v>
      </c>
      <c r="H5" s="17">
        <f>IFERROR(__xludf.DUMMYFUNCTION("count(filter(MinCosts, ArrayFormula(regexmatch(ClusterCosts, concat(H$2, ""($|,|\.)""))), ARRAYFORMULA(regexmatch(Clusters, $A5))))"),5.0)</f>
        <v>5</v>
      </c>
      <c r="I5" s="17">
        <f>IFERROR(__xludf.DUMMYFUNCTION("count(filter(MinCosts, ArrayFormula(regexmatch(ClusterCosts, concat(I$2, ""($|,|\.)""))), ARRAYFORMULA(regexmatch(Clusters, $A5))))"),2.0)</f>
        <v>2</v>
      </c>
      <c r="J5" s="17">
        <f>countif(Clusters, A5)</f>
        <v>8</v>
      </c>
      <c r="L5" s="18" t="s">
        <v>126</v>
      </c>
      <c r="M5" s="19">
        <f>if(LEN(L5)&gt;0, sumif(ClusterCosts, L5, RollChances), "")</f>
        <v>0.00462962963</v>
      </c>
      <c r="N5" s="17">
        <f>if(LEN(L5)&gt;0, countif(ClusterCosts, L5), "")</f>
        <v>1</v>
      </c>
      <c r="P5" s="20">
        <f>IFERROR(__xludf.DUMMYFUNCTION("sumif(ArrayFormula(value(regexextract(unique(split(join(char(10), QuickReference), char(10)), true), CostRegex))), ""&gt;0"")"),78100.0)</f>
        <v>78100</v>
      </c>
      <c r="Q5" s="20">
        <f>IFERROR(__xludf.DUMMYFUNCTION("sum(FILTER(RemainingCosts, ISNUMBER(RemainingCosts)))"),25150.0)</f>
        <v>25150</v>
      </c>
    </row>
    <row r="6">
      <c r="A6" s="16" t="s">
        <v>62</v>
      </c>
      <c r="B6" s="17">
        <f>IFERROR(__xludf.DUMMYFUNCTION("count(filter(MinCosts, ArrayFormula(regexmatch(ClusterCosts, concat(B$2, ""($|,|\.)""))), ARRAYFORMULA(regexmatch(Clusters, $A6))))"),0.0)</f>
        <v>0</v>
      </c>
      <c r="C6" s="17">
        <f>IFERROR(__xludf.DUMMYFUNCTION("count(filter(MinCosts, ArrayFormula(regexmatch(ClusterCosts, concat(C$2, ""($|,|\.)""))), ARRAYFORMULA(regexmatch(Clusters, $A6))))"),0.0)</f>
        <v>0</v>
      </c>
      <c r="D6" s="17">
        <f>IFERROR(__xludf.DUMMYFUNCTION("count(filter(MinCosts, ArrayFormula(regexmatch(ClusterCosts, concat(D$2, ""($|,|\.)""))), ARRAYFORMULA(regexmatch(Clusters, $A6))))"),0.0)</f>
        <v>0</v>
      </c>
      <c r="E6" s="17">
        <f>IFERROR(__xludf.DUMMYFUNCTION("count(filter(MinCosts, ArrayFormula(regexmatch(ClusterCosts, concat(E$2, ""($|,|\.)""))), ARRAYFORMULA(regexmatch(Clusters, $A6))))"),0.0)</f>
        <v>0</v>
      </c>
      <c r="F6" s="17">
        <f>IFERROR(__xludf.DUMMYFUNCTION("count(filter(MinCosts, ArrayFormula(regexmatch(ClusterCosts, concat(F$2, ""($|,|\.)""))), ARRAYFORMULA(regexmatch(Clusters, $A6))))"),0.0)</f>
        <v>0</v>
      </c>
      <c r="G6" s="17">
        <f>IFERROR(__xludf.DUMMYFUNCTION("count(filter(MinCosts, ArrayFormula(regexmatch(ClusterCosts, concat(G$2, ""($|,|\.)""))), ARRAYFORMULA(regexmatch(Clusters, $A6))))"),0.0)</f>
        <v>0</v>
      </c>
      <c r="H6" s="17">
        <f>IFERROR(__xludf.DUMMYFUNCTION("count(filter(MinCosts, ArrayFormula(regexmatch(ClusterCosts, concat(H$2, ""($|,|\.)""))), ARRAYFORMULA(regexmatch(Clusters, $A6))))"),2.0)</f>
        <v>2</v>
      </c>
      <c r="I6" s="17">
        <f>IFERROR(__xludf.DUMMYFUNCTION("count(filter(MinCosts, ArrayFormula(regexmatch(ClusterCosts, concat(I$2, ""($|,|\.)""))), ARRAYFORMULA(regexmatch(Clusters, $A6))))"),0.0)</f>
        <v>0</v>
      </c>
      <c r="J6" s="17">
        <f>countif(Clusters, A6)</f>
        <v>2</v>
      </c>
      <c r="L6" s="18" t="s">
        <v>121</v>
      </c>
      <c r="M6" s="19">
        <f>if(LEN(L6)&gt;0, sumif(ClusterCosts, L6, RollChances), "")</f>
        <v>0.00462962963</v>
      </c>
      <c r="N6" s="17">
        <f>if(LEN(L6)&gt;0, countif(ClusterCosts, L6), "")</f>
        <v>1</v>
      </c>
    </row>
    <row r="7">
      <c r="A7" s="16" t="s">
        <v>69</v>
      </c>
      <c r="B7" s="17">
        <f>IFERROR(__xludf.DUMMYFUNCTION("count(filter(MinCosts, ArrayFormula(regexmatch(ClusterCosts, concat(B$2, ""($|,|\.)""))), ARRAYFORMULA(regexmatch(Clusters, $A7))))"),0.0)</f>
        <v>0</v>
      </c>
      <c r="C7" s="17">
        <f>IFERROR(__xludf.DUMMYFUNCTION("count(filter(MinCosts, ArrayFormula(regexmatch(ClusterCosts, concat(C$2, ""($|,|\.)""))), ARRAYFORMULA(regexmatch(Clusters, $A7))))"),0.0)</f>
        <v>0</v>
      </c>
      <c r="D7" s="17">
        <f>IFERROR(__xludf.DUMMYFUNCTION("count(filter(MinCosts, ArrayFormula(regexmatch(ClusterCosts, concat(D$2, ""($|,|\.)""))), ARRAYFORMULA(regexmatch(Clusters, $A7))))"),0.0)</f>
        <v>0</v>
      </c>
      <c r="E7" s="17">
        <f>IFERROR(__xludf.DUMMYFUNCTION("count(filter(MinCosts, ArrayFormula(regexmatch(ClusterCosts, concat(E$2, ""($|,|\.)""))), ARRAYFORMULA(regexmatch(Clusters, $A7))))"),0.0)</f>
        <v>0</v>
      </c>
      <c r="F7" s="17">
        <f>IFERROR(__xludf.DUMMYFUNCTION("count(filter(MinCosts, ArrayFormula(regexmatch(ClusterCosts, concat(F$2, ""($|,|\.)""))), ARRAYFORMULA(regexmatch(Clusters, $A7))))"),1.0)</f>
        <v>1</v>
      </c>
      <c r="G7" s="17">
        <f>IFERROR(__xludf.DUMMYFUNCTION("count(filter(MinCosts, ArrayFormula(regexmatch(ClusterCosts, concat(G$2, ""($|,|\.)""))), ARRAYFORMULA(regexmatch(Clusters, $A7))))"),0.0)</f>
        <v>0</v>
      </c>
      <c r="H7" s="17">
        <f>IFERROR(__xludf.DUMMYFUNCTION("count(filter(MinCosts, ArrayFormula(regexmatch(ClusterCosts, concat(H$2, ""($|,|\.)""))), ARRAYFORMULA(regexmatch(Clusters, $A7))))"),6.0)</f>
        <v>6</v>
      </c>
      <c r="I7" s="17">
        <f>IFERROR(__xludf.DUMMYFUNCTION("count(filter(MinCosts, ArrayFormula(regexmatch(ClusterCosts, concat(I$2, ""($|,|\.)""))), ARRAYFORMULA(regexmatch(Clusters, $A7))))"),0.0)</f>
        <v>0</v>
      </c>
      <c r="J7" s="17">
        <f>countif(Clusters, A7)</f>
        <v>7</v>
      </c>
      <c r="L7" s="18" t="s">
        <v>143</v>
      </c>
      <c r="M7" s="19">
        <f>if(LEN(L7)&gt;0, sumif(ClusterCosts, L7, RollChances), "")</f>
        <v>0.01851851852</v>
      </c>
      <c r="N7" s="17">
        <f>if(LEN(L7)&gt;0, countif(ClusterCosts, L7), "")</f>
        <v>4</v>
      </c>
      <c r="P7" s="15" t="s">
        <v>178</v>
      </c>
      <c r="Q7" s="17">
        <f>COUNTA('Perks List Internals'!A:A)</f>
        <v>504</v>
      </c>
    </row>
    <row r="8">
      <c r="A8" s="16" t="s">
        <v>89</v>
      </c>
      <c r="B8" s="17">
        <f>IFERROR(__xludf.DUMMYFUNCTION("count(filter(MinCosts, ArrayFormula(regexmatch(ClusterCosts, concat(B$2, ""($|,|\.)""))), ARRAYFORMULA(regexmatch(Clusters, $A8))))"),12.0)</f>
        <v>12</v>
      </c>
      <c r="C8" s="17">
        <f>IFERROR(__xludf.DUMMYFUNCTION("count(filter(MinCosts, ArrayFormula(regexmatch(ClusterCosts, concat(C$2, ""($|,|\.)""))), ARRAYFORMULA(regexmatch(Clusters, $A8))))"),14.0)</f>
        <v>14</v>
      </c>
      <c r="D8" s="17">
        <f>IFERROR(__xludf.DUMMYFUNCTION("count(filter(MinCosts, ArrayFormula(regexmatch(ClusterCosts, concat(D$2, ""($|,|\.)""))), ARRAYFORMULA(regexmatch(Clusters, $A8))))"),13.0)</f>
        <v>13</v>
      </c>
      <c r="E8" s="17">
        <f>IFERROR(__xludf.DUMMYFUNCTION("count(filter(MinCosts, ArrayFormula(regexmatch(ClusterCosts, concat(E$2, ""($|,|\.)""))), ARRAYFORMULA(regexmatch(Clusters, $A8))))"),2.0)</f>
        <v>2</v>
      </c>
      <c r="F8" s="17">
        <f>IFERROR(__xludf.DUMMYFUNCTION("count(filter(MinCosts, ArrayFormula(regexmatch(ClusterCosts, concat(F$2, ""($|,|\.)""))), ARRAYFORMULA(regexmatch(Clusters, $A8))))"),1.0)</f>
        <v>1</v>
      </c>
      <c r="G8" s="17">
        <f>IFERROR(__xludf.DUMMYFUNCTION("count(filter(MinCosts, ArrayFormula(regexmatch(ClusterCosts, concat(G$2, ""($|,|\.)""))), ARRAYFORMULA(regexmatch(Clusters, $A8))))"),0.0)</f>
        <v>0</v>
      </c>
      <c r="H8" s="17">
        <f>IFERROR(__xludf.DUMMYFUNCTION("count(filter(MinCosts, ArrayFormula(regexmatch(ClusterCosts, concat(H$2, ""($|,|\.)""))), ARRAYFORMULA(regexmatch(Clusters, $A8))))"),0.0)</f>
        <v>0</v>
      </c>
      <c r="I8" s="17">
        <f>IFERROR(__xludf.DUMMYFUNCTION("count(filter(MinCosts, ArrayFormula(regexmatch(ClusterCosts, concat(I$2, ""($|,|\.)""))), ARRAYFORMULA(regexmatch(Clusters, $A8))))"),0.0)</f>
        <v>0</v>
      </c>
      <c r="J8" s="17">
        <f>countif(Clusters, A8)</f>
        <v>27</v>
      </c>
      <c r="L8" s="18" t="s">
        <v>137</v>
      </c>
      <c r="M8" s="19">
        <f>if(LEN(L8)&gt;0, sumif(ClusterCosts, L8, RollChances), "")</f>
        <v>0.00462962963</v>
      </c>
      <c r="N8" s="17">
        <f>if(LEN(L8)&gt;0, countif(ClusterCosts, L8), "")</f>
        <v>1</v>
      </c>
      <c r="P8" s="15" t="s">
        <v>179</v>
      </c>
      <c r="Q8" s="17">
        <f t="array" ref="Q8">COUNTIf(VALUE('Perks List Internals'!G:G), "&gt;0")</f>
        <v>334</v>
      </c>
    </row>
    <row r="9">
      <c r="A9" s="16" t="s">
        <v>163</v>
      </c>
      <c r="B9" s="17">
        <f>IFERROR(__xludf.DUMMYFUNCTION("count(filter(MinCosts, ArrayFormula(regexmatch(ClusterCosts, concat(B$2, ""($|,|\.)""))), ARRAYFORMULA(regexmatch(Clusters, $A9))))"),0.0)</f>
        <v>0</v>
      </c>
      <c r="C9" s="17">
        <f>IFERROR(__xludf.DUMMYFUNCTION("count(filter(MinCosts, ArrayFormula(regexmatch(ClusterCosts, concat(C$2, ""($|,|\.)""))), ARRAYFORMULA(regexmatch(Clusters, $A9))))"),0.0)</f>
        <v>0</v>
      </c>
      <c r="D9" s="17">
        <f>IFERROR(__xludf.DUMMYFUNCTION("count(filter(MinCosts, ArrayFormula(regexmatch(ClusterCosts, concat(D$2, ""($|,|\.)""))), ARRAYFORMULA(regexmatch(Clusters, $A9))))"),0.0)</f>
        <v>0</v>
      </c>
      <c r="E9" s="17">
        <f>IFERROR(__xludf.DUMMYFUNCTION("count(filter(MinCosts, ArrayFormula(regexmatch(ClusterCosts, concat(E$2, ""($|,|\.)""))), ARRAYFORMULA(regexmatch(Clusters, $A9))))"),0.0)</f>
        <v>0</v>
      </c>
      <c r="F9" s="17">
        <f>IFERROR(__xludf.DUMMYFUNCTION("count(filter(MinCosts, ArrayFormula(regexmatch(ClusterCosts, concat(F$2, ""($|,|\.)""))), ARRAYFORMULA(regexmatch(Clusters, $A9))))"),0.0)</f>
        <v>0</v>
      </c>
      <c r="G9" s="17">
        <f>IFERROR(__xludf.DUMMYFUNCTION("count(filter(MinCosts, ArrayFormula(regexmatch(ClusterCosts, concat(G$2, ""($|,|\.)""))), ARRAYFORMULA(regexmatch(Clusters, $A9))))"),0.0)</f>
        <v>0</v>
      </c>
      <c r="H9" s="17">
        <f>IFERROR(__xludf.DUMMYFUNCTION("count(filter(MinCosts, ArrayFormula(regexmatch(ClusterCosts, concat(H$2, ""($|,|\.)""))), ARRAYFORMULA(regexmatch(Clusters, $A9))))"),0.0)</f>
        <v>0</v>
      </c>
      <c r="I9" s="17">
        <f>IFERROR(__xludf.DUMMYFUNCTION("count(filter(MinCosts, ArrayFormula(regexmatch(ClusterCosts, concat(I$2, ""($|,|\.)""))), ARRAYFORMULA(regexmatch(Clusters, $A9))))"),1.0)</f>
        <v>1</v>
      </c>
      <c r="J9" s="17">
        <f>countif(Clusters, A9)</f>
        <v>1</v>
      </c>
      <c r="L9" s="18" t="s">
        <v>129</v>
      </c>
      <c r="M9" s="19">
        <f>if(LEN(L9)&gt;0, sumif(ClusterCosts, L9, RollChances), "")</f>
        <v>0.00462962963</v>
      </c>
      <c r="N9" s="17">
        <f>if(LEN(L9)&gt;0, countif(ClusterCosts, L9), "")</f>
        <v>1</v>
      </c>
      <c r="P9" s="15" t="s">
        <v>180</v>
      </c>
      <c r="Q9" s="17">
        <f>Q7-Q8</f>
        <v>170</v>
      </c>
    </row>
    <row r="10">
      <c r="A10" s="16" t="s">
        <v>167</v>
      </c>
      <c r="B10" s="17">
        <f>IFERROR(__xludf.DUMMYFUNCTION("count(filter(MinCosts, ArrayFormula(regexmatch(ClusterCosts, concat(B$2, ""($|,|\.)""))), ARRAYFORMULA(regexmatch(Clusters, $A10))))"),0.0)</f>
        <v>0</v>
      </c>
      <c r="C10" s="17">
        <f>IFERROR(__xludf.DUMMYFUNCTION("count(filter(MinCosts, ArrayFormula(regexmatch(ClusterCosts, concat(C$2, ""($|,|\.)""))), ARRAYFORMULA(regexmatch(Clusters, $A10))))"),0.0)</f>
        <v>0</v>
      </c>
      <c r="D10" s="17">
        <f>IFERROR(__xludf.DUMMYFUNCTION("count(filter(MinCosts, ArrayFormula(regexmatch(ClusterCosts, concat(D$2, ""($|,|\.)""))), ARRAYFORMULA(regexmatch(Clusters, $A10))))"),0.0)</f>
        <v>0</v>
      </c>
      <c r="E10" s="17">
        <f>IFERROR(__xludf.DUMMYFUNCTION("count(filter(MinCosts, ArrayFormula(regexmatch(ClusterCosts, concat(E$2, ""($|,|\.)""))), ARRAYFORMULA(regexmatch(Clusters, $A10))))"),0.0)</f>
        <v>0</v>
      </c>
      <c r="F10" s="17">
        <f>IFERROR(__xludf.DUMMYFUNCTION("count(filter(MinCosts, ArrayFormula(regexmatch(ClusterCosts, concat(F$2, ""($|,|\.)""))), ARRAYFORMULA(regexmatch(Clusters, $A10))))"),0.0)</f>
        <v>0</v>
      </c>
      <c r="G10" s="17">
        <f>IFERROR(__xludf.DUMMYFUNCTION("count(filter(MinCosts, ArrayFormula(regexmatch(ClusterCosts, concat(G$2, ""($|,|\.)""))), ARRAYFORMULA(regexmatch(Clusters, $A10))))"),0.0)</f>
        <v>0</v>
      </c>
      <c r="H10" s="17">
        <f>IFERROR(__xludf.DUMMYFUNCTION("count(filter(MinCosts, ArrayFormula(regexmatch(ClusterCosts, concat(H$2, ""($|,|\.)""))), ARRAYFORMULA(regexmatch(Clusters, $A10))))"),1.0)</f>
        <v>1</v>
      </c>
      <c r="I10" s="17">
        <f>IFERROR(__xludf.DUMMYFUNCTION("count(filter(MinCosts, ArrayFormula(regexmatch(ClusterCosts, concat(I$2, ""($|,|\.)""))), ARRAYFORMULA(regexmatch(Clusters, $A10))))"),0.0)</f>
        <v>0</v>
      </c>
      <c r="J10" s="17">
        <f>countif(Clusters, A10)</f>
        <v>1</v>
      </c>
      <c r="L10" s="18" t="s">
        <v>159</v>
      </c>
      <c r="M10" s="19">
        <f>if(LEN(L10)&gt;0, sumif(ClusterCosts, L10, RollChances), "")</f>
        <v>0.00462962963</v>
      </c>
      <c r="N10" s="17">
        <f>if(LEN(L10)&gt;0, countif(ClusterCosts, L10), "")</f>
        <v>1</v>
      </c>
      <c r="P10" s="15" t="s">
        <v>181</v>
      </c>
      <c r="Q10" s="17">
        <f>sum(Q12:Q19)</f>
        <v>89</v>
      </c>
    </row>
    <row r="11">
      <c r="A11" s="21" t="s">
        <v>182</v>
      </c>
      <c r="B11" s="22">
        <f t="shared" ref="B11:J11" si="2">SUM(B3:B10)</f>
        <v>12</v>
      </c>
      <c r="C11" s="22">
        <f t="shared" si="2"/>
        <v>14</v>
      </c>
      <c r="D11" s="22">
        <f t="shared" si="2"/>
        <v>13</v>
      </c>
      <c r="E11" s="22">
        <f t="shared" si="2"/>
        <v>3</v>
      </c>
      <c r="F11" s="22">
        <f t="shared" si="2"/>
        <v>2</v>
      </c>
      <c r="G11" s="22">
        <f t="shared" si="2"/>
        <v>3</v>
      </c>
      <c r="H11" s="22">
        <f t="shared" si="2"/>
        <v>16</v>
      </c>
      <c r="I11" s="22">
        <f t="shared" si="2"/>
        <v>5</v>
      </c>
      <c r="J11" s="22">
        <f t="shared" si="2"/>
        <v>53</v>
      </c>
      <c r="L11" s="18" t="s">
        <v>156</v>
      </c>
      <c r="M11" s="19">
        <f>if(LEN(L11)&gt;0, sumif(ClusterCosts, L11, RollChances), "")</f>
        <v>0.00462962963</v>
      </c>
      <c r="N11" s="17">
        <f>if(LEN(L11)&gt;0, countif(ClusterCosts, L11), "")</f>
        <v>1</v>
      </c>
    </row>
    <row r="12">
      <c r="L12" s="18" t="s">
        <v>148</v>
      </c>
      <c r="M12" s="19">
        <f>if(LEN(L12)&gt;0, sumif(ClusterCosts, L12, RollChances), "")</f>
        <v>0.00462962963</v>
      </c>
      <c r="N12" s="17">
        <f>if(LEN(L12)&gt;0, countif(ClusterCosts, L12), "")</f>
        <v>1</v>
      </c>
      <c r="P12" s="11">
        <v>50.0</v>
      </c>
      <c r="Q12" s="17">
        <f>IFERROR(__xludf.DUMMYFUNCTION("countif(UNIQUE(SPLIT(join(char(10), PerkAndCost), char(10)), true), CONCAT(""*~"", P12))"),17.0)</f>
        <v>17</v>
      </c>
    </row>
    <row r="13">
      <c r="A13" s="12" t="s">
        <v>0</v>
      </c>
      <c r="B13" s="13">
        <f t="shared" ref="B13:I13" si="3">B2</f>
        <v>50</v>
      </c>
      <c r="C13" s="13">
        <f t="shared" si="3"/>
        <v>100</v>
      </c>
      <c r="D13" s="13">
        <f t="shared" si="3"/>
        <v>200</v>
      </c>
      <c r="E13" s="13">
        <f t="shared" si="3"/>
        <v>300</v>
      </c>
      <c r="F13" s="13">
        <f t="shared" si="3"/>
        <v>400</v>
      </c>
      <c r="G13" s="13">
        <f t="shared" si="3"/>
        <v>500</v>
      </c>
      <c r="H13" s="13">
        <f t="shared" si="3"/>
        <v>600</v>
      </c>
      <c r="I13" s="13">
        <f t="shared" si="3"/>
        <v>800</v>
      </c>
      <c r="L13" s="18" t="s">
        <v>140</v>
      </c>
      <c r="M13" s="19">
        <f>if(LEN(L13)&gt;0, sumif(ClusterCosts, L13, RollChances), "")</f>
        <v>0.00462962963</v>
      </c>
      <c r="N13" s="17">
        <f>if(LEN(L13)&gt;0, countif(ClusterCosts, L13), "")</f>
        <v>1</v>
      </c>
      <c r="P13" s="11">
        <v>100.0</v>
      </c>
      <c r="Q13" s="17">
        <f>IFERROR(__xludf.DUMMYFUNCTION("countif(UNIQUE(SPLIT(join(char(10), PerkAndCost), char(10)), true), CONCAT(""*~"", P13))"),19.0)</f>
        <v>19</v>
      </c>
    </row>
    <row r="14">
      <c r="A14" s="16" t="str">
        <f t="array" ref="A14:A21">UNIQUE(Clusters)</f>
        <v>Alchemy Constellation</v>
      </c>
      <c r="B14" s="19">
        <f t="shared" ref="B14:I14" si="4">B3/$J3</f>
        <v>0</v>
      </c>
      <c r="C14" s="19">
        <f t="shared" si="4"/>
        <v>0</v>
      </c>
      <c r="D14" s="19">
        <f t="shared" si="4"/>
        <v>0</v>
      </c>
      <c r="E14" s="19">
        <f t="shared" si="4"/>
        <v>0</v>
      </c>
      <c r="F14" s="19">
        <f t="shared" si="4"/>
        <v>0</v>
      </c>
      <c r="G14" s="19">
        <f t="shared" si="4"/>
        <v>0</v>
      </c>
      <c r="H14" s="19">
        <f t="shared" si="4"/>
        <v>0.6666666667</v>
      </c>
      <c r="I14" s="19">
        <f t="shared" si="4"/>
        <v>0.3333333333</v>
      </c>
      <c r="L14" s="18" t="s">
        <v>25</v>
      </c>
      <c r="M14" s="19">
        <f>if(LEN(L14)&gt;0, sumif(ClusterCosts, L14, RollChances), "")</f>
        <v>0.03125</v>
      </c>
      <c r="N14" s="17">
        <f>if(LEN(L14)&gt;0, countif(ClusterCosts, L14), "")</f>
        <v>1</v>
      </c>
      <c r="P14" s="23">
        <v>200.0</v>
      </c>
      <c r="Q14" s="17">
        <f>IFERROR(__xludf.DUMMYFUNCTION("countif(UNIQUE(SPLIT(join(char(10), PerkAndCost), char(10)), true), CONCAT(""*~"", P14))"),24.0)</f>
        <v>24</v>
      </c>
    </row>
    <row r="15">
      <c r="A15" s="16" t="s">
        <v>22</v>
      </c>
      <c r="B15" s="19">
        <f t="shared" ref="B15:I15" si="5">B4/$J4</f>
        <v>0</v>
      </c>
      <c r="C15" s="19">
        <f t="shared" si="5"/>
        <v>0</v>
      </c>
      <c r="D15" s="19">
        <f t="shared" si="5"/>
        <v>0</v>
      </c>
      <c r="E15" s="19">
        <f t="shared" si="5"/>
        <v>0.25</v>
      </c>
      <c r="F15" s="19">
        <f t="shared" si="5"/>
        <v>0</v>
      </c>
      <c r="G15" s="19">
        <f t="shared" si="5"/>
        <v>0.5</v>
      </c>
      <c r="H15" s="19">
        <f t="shared" si="5"/>
        <v>0</v>
      </c>
      <c r="I15" s="19">
        <f t="shared" si="5"/>
        <v>0.25</v>
      </c>
      <c r="L15" s="18" t="s">
        <v>153</v>
      </c>
      <c r="M15" s="19">
        <f>if(LEN(L15)&gt;0, sumif(ClusterCosts, L15, RollChances), "")</f>
        <v>0.00462962963</v>
      </c>
      <c r="N15" s="17">
        <f>if(LEN(L15)&gt;0, countif(ClusterCosts, L15), "")</f>
        <v>1</v>
      </c>
      <c r="P15" s="23">
        <v>300.0</v>
      </c>
      <c r="Q15" s="17">
        <f>IFERROR(__xludf.DUMMYFUNCTION("countif(UNIQUE(SPLIT(join(char(10), PerkAndCost), char(10)), true), CONCAT(""*~"", P15))"),3.0)</f>
        <v>3</v>
      </c>
    </row>
    <row r="16">
      <c r="A16" s="16" t="s">
        <v>37</v>
      </c>
      <c r="B16" s="19">
        <f t="shared" ref="B16:I16" si="6">B5/$J5</f>
        <v>0</v>
      </c>
      <c r="C16" s="19">
        <f t="shared" si="6"/>
        <v>0</v>
      </c>
      <c r="D16" s="19">
        <f t="shared" si="6"/>
        <v>0</v>
      </c>
      <c r="E16" s="19">
        <f t="shared" si="6"/>
        <v>0</v>
      </c>
      <c r="F16" s="19">
        <f t="shared" si="6"/>
        <v>0</v>
      </c>
      <c r="G16" s="19">
        <f t="shared" si="6"/>
        <v>0.125</v>
      </c>
      <c r="H16" s="19">
        <f t="shared" si="6"/>
        <v>0.625</v>
      </c>
      <c r="I16" s="19">
        <f t="shared" si="6"/>
        <v>0.25</v>
      </c>
      <c r="L16" s="18" t="s">
        <v>72</v>
      </c>
      <c r="M16" s="19">
        <f>if(LEN(L16)&gt;0, sumif(ClusterCosts, L16, RollChances), "")</f>
        <v>0.01785714286</v>
      </c>
      <c r="N16" s="17">
        <f>if(LEN(L16)&gt;0, countif(ClusterCosts, L16), "")</f>
        <v>1</v>
      </c>
      <c r="P16" s="23">
        <v>400.0</v>
      </c>
      <c r="Q16" s="17">
        <f>IFERROR(__xludf.DUMMYFUNCTION("countif(UNIQUE(SPLIT(join(char(10), PerkAndCost), char(10)), true), CONCAT(""*~"", P16))"),2.0)</f>
        <v>2</v>
      </c>
    </row>
    <row r="17">
      <c r="A17" s="16" t="s">
        <v>62</v>
      </c>
      <c r="B17" s="19">
        <f t="shared" ref="B17:I17" si="7">B6/$J6</f>
        <v>0</v>
      </c>
      <c r="C17" s="19">
        <f t="shared" si="7"/>
        <v>0</v>
      </c>
      <c r="D17" s="19">
        <f t="shared" si="7"/>
        <v>0</v>
      </c>
      <c r="E17" s="19">
        <f t="shared" si="7"/>
        <v>0</v>
      </c>
      <c r="F17" s="19">
        <f t="shared" si="7"/>
        <v>0</v>
      </c>
      <c r="G17" s="19">
        <f t="shared" si="7"/>
        <v>0</v>
      </c>
      <c r="H17" s="19">
        <f t="shared" si="7"/>
        <v>1</v>
      </c>
      <c r="I17" s="19">
        <f t="shared" si="7"/>
        <v>0</v>
      </c>
      <c r="L17" s="18" t="s">
        <v>92</v>
      </c>
      <c r="M17" s="19">
        <f>if(LEN(L17)&gt;0, sumif(ClusterCosts, L17, RollChances), "")</f>
        <v>0.01851851852</v>
      </c>
      <c r="N17" s="17">
        <f>if(LEN(L17)&gt;0, countif(ClusterCosts, L17), "")</f>
        <v>4</v>
      </c>
      <c r="P17" s="23">
        <v>500.0</v>
      </c>
      <c r="Q17" s="17">
        <f>IFERROR(__xludf.DUMMYFUNCTION("countif(UNIQUE(SPLIT(join(char(10), PerkAndCost), char(10)), true), CONCAT(""*~"", P17))"),3.0)</f>
        <v>3</v>
      </c>
    </row>
    <row r="18">
      <c r="A18" s="16" t="s">
        <v>69</v>
      </c>
      <c r="B18" s="19">
        <f t="shared" ref="B18:I18" si="8">B7/$J7</f>
        <v>0</v>
      </c>
      <c r="C18" s="19">
        <f t="shared" si="8"/>
        <v>0</v>
      </c>
      <c r="D18" s="19">
        <f t="shared" si="8"/>
        <v>0</v>
      </c>
      <c r="E18" s="19">
        <f t="shared" si="8"/>
        <v>0</v>
      </c>
      <c r="F18" s="19">
        <f t="shared" si="8"/>
        <v>0.1428571429</v>
      </c>
      <c r="G18" s="19">
        <f t="shared" si="8"/>
        <v>0</v>
      </c>
      <c r="H18" s="19">
        <f t="shared" si="8"/>
        <v>0.8571428571</v>
      </c>
      <c r="I18" s="19">
        <f t="shared" si="8"/>
        <v>0</v>
      </c>
      <c r="L18" s="18" t="s">
        <v>97</v>
      </c>
      <c r="M18" s="19">
        <f>if(LEN(L18)&gt;0, sumif(ClusterCosts, L18, RollChances), "")</f>
        <v>0.00462962963</v>
      </c>
      <c r="N18" s="17">
        <f>if(LEN(L18)&gt;0, countif(ClusterCosts, L18), "")</f>
        <v>1</v>
      </c>
      <c r="P18" s="23">
        <v>600.0</v>
      </c>
      <c r="Q18" s="17">
        <f>IFERROR(__xludf.DUMMYFUNCTION("countif(UNIQUE(SPLIT(join(char(10), PerkAndCost), char(10)), true), CONCAT(""*~"", P18))"),15.0)</f>
        <v>15</v>
      </c>
    </row>
    <row r="19">
      <c r="A19" s="16" t="s">
        <v>89</v>
      </c>
      <c r="B19" s="19">
        <f t="shared" ref="B19:I19" si="9">B8/$J8</f>
        <v>0.4444444444</v>
      </c>
      <c r="C19" s="19">
        <f t="shared" si="9"/>
        <v>0.5185185185</v>
      </c>
      <c r="D19" s="19">
        <f t="shared" si="9"/>
        <v>0.4814814815</v>
      </c>
      <c r="E19" s="19">
        <f t="shared" si="9"/>
        <v>0.07407407407</v>
      </c>
      <c r="F19" s="19">
        <f t="shared" si="9"/>
        <v>0.03703703704</v>
      </c>
      <c r="G19" s="19">
        <f t="shared" si="9"/>
        <v>0</v>
      </c>
      <c r="H19" s="19">
        <f t="shared" si="9"/>
        <v>0</v>
      </c>
      <c r="I19" s="19">
        <f t="shared" si="9"/>
        <v>0</v>
      </c>
      <c r="L19" s="18" t="s">
        <v>105</v>
      </c>
      <c r="M19" s="19">
        <f>if(LEN(L19)&gt;0, sumif(ClusterCosts, L19, RollChances), "")</f>
        <v>0.00462962963</v>
      </c>
      <c r="N19" s="17">
        <f>if(LEN(L19)&gt;0, countif(ClusterCosts, L19), "")</f>
        <v>1</v>
      </c>
      <c r="P19" s="23">
        <v>800.0</v>
      </c>
      <c r="Q19" s="17">
        <f>IFERROR(__xludf.DUMMYFUNCTION("countif(UNIQUE(SPLIT(join(char(10), PerkAndCost), char(10)), true), CONCAT(""*~"", P19))"),6.0)</f>
        <v>6</v>
      </c>
    </row>
    <row r="20">
      <c r="A20" s="16" t="s">
        <v>163</v>
      </c>
      <c r="B20" s="19">
        <f t="shared" ref="B20:I20" si="10">B9/$J9</f>
        <v>0</v>
      </c>
      <c r="C20" s="19">
        <f t="shared" si="10"/>
        <v>0</v>
      </c>
      <c r="D20" s="19">
        <f t="shared" si="10"/>
        <v>0</v>
      </c>
      <c r="E20" s="19">
        <f t="shared" si="10"/>
        <v>0</v>
      </c>
      <c r="F20" s="19">
        <f t="shared" si="10"/>
        <v>0</v>
      </c>
      <c r="G20" s="19">
        <f t="shared" si="10"/>
        <v>0</v>
      </c>
      <c r="H20" s="19">
        <f t="shared" si="10"/>
        <v>0</v>
      </c>
      <c r="I20" s="19">
        <f t="shared" si="10"/>
        <v>1</v>
      </c>
      <c r="L20" s="18" t="s">
        <v>100</v>
      </c>
      <c r="M20" s="19">
        <f>if(LEN(L20)&gt;0, sumif(ClusterCosts, L20, RollChances), "")</f>
        <v>0.00462962963</v>
      </c>
      <c r="N20" s="17">
        <f>if(LEN(L20)&gt;0, countif(ClusterCosts, L20), "")</f>
        <v>1</v>
      </c>
    </row>
    <row r="21">
      <c r="A21" s="16" t="s">
        <v>167</v>
      </c>
      <c r="B21" s="19">
        <f t="shared" ref="B21:I21" si="11">B10/$J10</f>
        <v>0</v>
      </c>
      <c r="C21" s="19">
        <f t="shared" si="11"/>
        <v>0</v>
      </c>
      <c r="D21" s="19">
        <f t="shared" si="11"/>
        <v>0</v>
      </c>
      <c r="E21" s="19">
        <f t="shared" si="11"/>
        <v>0</v>
      </c>
      <c r="F21" s="19">
        <f t="shared" si="11"/>
        <v>0</v>
      </c>
      <c r="G21" s="19">
        <f t="shared" si="11"/>
        <v>0</v>
      </c>
      <c r="H21" s="19">
        <f t="shared" si="11"/>
        <v>1</v>
      </c>
      <c r="I21" s="19">
        <f t="shared" si="11"/>
        <v>0</v>
      </c>
      <c r="L21" s="18" t="s">
        <v>108</v>
      </c>
      <c r="M21" s="19">
        <f>if(LEN(L21)&gt;0, sumif(ClusterCosts, L21, RollChances), "")</f>
        <v>0.00462962963</v>
      </c>
      <c r="N21" s="17">
        <f>if(LEN(L21)&gt;0, countif(ClusterCosts, L21), "")</f>
        <v>1</v>
      </c>
    </row>
    <row r="22">
      <c r="A22" s="22" t="s">
        <v>183</v>
      </c>
      <c r="B22" s="24">
        <f t="shared" ref="B22:I22" si="12">average(B14:B21)</f>
        <v>0.05555555556</v>
      </c>
      <c r="C22" s="24">
        <f t="shared" si="12"/>
        <v>0.06481481481</v>
      </c>
      <c r="D22" s="24">
        <f t="shared" si="12"/>
        <v>0.06018518519</v>
      </c>
      <c r="E22" s="24">
        <f t="shared" si="12"/>
        <v>0.04050925926</v>
      </c>
      <c r="F22" s="24">
        <f t="shared" si="12"/>
        <v>0.02248677249</v>
      </c>
      <c r="G22" s="24">
        <f t="shared" si="12"/>
        <v>0.078125</v>
      </c>
      <c r="H22" s="24">
        <f t="shared" si="12"/>
        <v>0.5186011905</v>
      </c>
      <c r="I22" s="24">
        <f t="shared" si="12"/>
        <v>0.2291666667</v>
      </c>
      <c r="L22" s="18" t="s">
        <v>111</v>
      </c>
      <c r="M22" s="19">
        <f>if(LEN(L22)&gt;0, sumif(ClusterCosts, L22, RollChances), "")</f>
        <v>0.00462962963</v>
      </c>
      <c r="N22" s="17">
        <f>if(LEN(L22)&gt;0, countif(ClusterCosts, L22), "")</f>
        <v>1</v>
      </c>
    </row>
    <row r="23">
      <c r="L23" s="18" t="s">
        <v>29</v>
      </c>
      <c r="M23" s="19">
        <f>if(LEN(L23)&gt;0, sumif(ClusterCosts, L23, RollChances), "")</f>
        <v>0.078125</v>
      </c>
      <c r="N23" s="17">
        <f>if(LEN(L23)&gt;0, countif(ClusterCosts, L23), "")</f>
        <v>3</v>
      </c>
    </row>
    <row r="24">
      <c r="A24" s="13" t="s">
        <v>184</v>
      </c>
      <c r="B24" s="15" t="s">
        <v>185</v>
      </c>
      <c r="C24" s="15" t="s">
        <v>186</v>
      </c>
      <c r="D24" s="15" t="s">
        <v>187</v>
      </c>
      <c r="E24" s="15" t="s">
        <v>188</v>
      </c>
      <c r="F24" s="15" t="s">
        <v>189</v>
      </c>
      <c r="L24" s="18" t="s">
        <v>13</v>
      </c>
      <c r="M24" s="19">
        <f>if(LEN(L24)&gt;0, sumif(ClusterCosts, L24, RollChances), "")</f>
        <v>0.5186011905</v>
      </c>
      <c r="N24" s="17">
        <f>if(LEN(L24)&gt;0, countif(ClusterCosts, L24), "")</f>
        <v>16</v>
      </c>
    </row>
    <row r="25">
      <c r="A25" s="25">
        <v>3.0</v>
      </c>
      <c r="B25" s="25">
        <v>200.0</v>
      </c>
      <c r="C25" s="9">
        <v>200.0</v>
      </c>
      <c r="D25" s="11">
        <v>8000.0</v>
      </c>
      <c r="E25" s="11">
        <v>600.0</v>
      </c>
      <c r="F25" s="9">
        <v>0.5</v>
      </c>
      <c r="G25" s="9"/>
      <c r="H25" s="9"/>
      <c r="I25" s="9"/>
      <c r="L25" s="18" t="s">
        <v>20</v>
      </c>
      <c r="M25" s="19">
        <f>if(LEN(L25)&gt;0, sumif(ClusterCosts, L25, RollChances), "")</f>
        <v>0.1979166667</v>
      </c>
      <c r="N25" s="17">
        <f>if(LEN(L25)&gt;0, countif(ClusterCosts, L25), "")</f>
        <v>4</v>
      </c>
    </row>
    <row r="26">
      <c r="B26" s="9" t="s">
        <v>190</v>
      </c>
      <c r="I26" s="9"/>
      <c r="J26" s="9"/>
      <c r="L26" s="18" t="s">
        <v>35</v>
      </c>
      <c r="M26" s="19">
        <f>if(LEN(L26)&gt;0, sumif(ClusterCosts, L26, RollChances), "")</f>
        <v>0.03125</v>
      </c>
      <c r="N26" s="17">
        <f>if(LEN(L26)&gt;0, countif(ClusterCosts, L26), "")</f>
        <v>1</v>
      </c>
    </row>
    <row r="27">
      <c r="A27" s="12" t="s">
        <v>191</v>
      </c>
      <c r="B27" s="15">
        <v>50.0</v>
      </c>
      <c r="C27" s="13">
        <v>100.0</v>
      </c>
      <c r="D27" s="13">
        <v>200.0</v>
      </c>
      <c r="E27" s="13">
        <v>300.0</v>
      </c>
      <c r="F27" s="13">
        <v>400.0</v>
      </c>
      <c r="G27" s="13">
        <v>500.0</v>
      </c>
      <c r="H27" s="13">
        <v>600.0</v>
      </c>
      <c r="I27" s="15">
        <v>800.0</v>
      </c>
      <c r="M27" s="19" t="str">
        <f>if(LEN(L27)&gt;0, sumif(ClusterCosts, L27, RollChances), "")</f>
        <v/>
      </c>
      <c r="N27" s="17" t="str">
        <f>if(LEN(L27)&gt;0, countif(ClusterCosts, L27), "")</f>
        <v/>
      </c>
    </row>
    <row r="28">
      <c r="A28" s="26">
        <v>1.0</v>
      </c>
      <c r="B28" s="27">
        <f>getStats(StartingBalance, Increment, UniqueCosts, ClusterTypeStats, Rolls)</f>
        <v>0.04166666667</v>
      </c>
      <c r="C28" s="27">
        <v>0.05092592592592592</v>
      </c>
      <c r="D28" s="27">
        <v>0.05555555555555555</v>
      </c>
      <c r="E28" s="27">
        <v>0.04050925925925926</v>
      </c>
      <c r="F28" s="27">
        <v>0.017857142857142856</v>
      </c>
      <c r="G28" s="27">
        <v>0.0</v>
      </c>
      <c r="H28" s="27">
        <v>0.0</v>
      </c>
      <c r="I28" s="19">
        <v>0.0</v>
      </c>
      <c r="J28" s="19"/>
      <c r="M28" s="19" t="str">
        <f>if(LEN(L28)&gt;0, sumif(ClusterCosts, L28, RollChances), "")</f>
        <v/>
      </c>
      <c r="N28" s="17" t="str">
        <f>if(LEN(L28)&gt;0, countif(ClusterCosts, L28), "")</f>
        <v/>
      </c>
    </row>
    <row r="29">
      <c r="A29" s="26">
        <f t="shared" ref="A29:A47" si="13">A28+1</f>
        <v>2</v>
      </c>
      <c r="B29" s="27">
        <v>0.0896914192631785</v>
      </c>
      <c r="C29" s="27">
        <v>0.10322971781305111</v>
      </c>
      <c r="D29" s="27">
        <v>0.11204117063492063</v>
      </c>
      <c r="E29" s="27">
        <v>0.07734133873456789</v>
      </c>
      <c r="F29" s="27">
        <v>0.037834230914588055</v>
      </c>
      <c r="G29" s="27">
        <v>0.06777808779761904</v>
      </c>
      <c r="H29" s="27">
        <v>0.428309018920068</v>
      </c>
      <c r="I29" s="19">
        <v>0.0</v>
      </c>
      <c r="J29" s="19"/>
      <c r="M29" s="19" t="str">
        <f>if(LEN(L29)&gt;0, sumif(ClusterCosts, L29, RollChances), "")</f>
        <v/>
      </c>
      <c r="N29" s="17" t="str">
        <f>if(LEN(L29)&gt;0, countif(ClusterCosts, L29), "")</f>
        <v/>
      </c>
    </row>
    <row r="30">
      <c r="A30" s="26">
        <f t="shared" si="13"/>
        <v>3</v>
      </c>
      <c r="B30" s="27">
        <v>0.1325673190522792</v>
      </c>
      <c r="C30" s="27">
        <v>0.15004245754532522</v>
      </c>
      <c r="D30" s="27">
        <v>0.1629489642275377</v>
      </c>
      <c r="E30" s="27">
        <v>0.09633495510690854</v>
      </c>
      <c r="F30" s="27">
        <v>0.046883768859266955</v>
      </c>
      <c r="G30" s="27">
        <v>0.09722485954378855</v>
      </c>
      <c r="H30" s="27">
        <v>0.5911114635741448</v>
      </c>
      <c r="I30" s="19">
        <v>0.04337371341765872</v>
      </c>
      <c r="J30" s="19"/>
      <c r="M30" s="19"/>
    </row>
    <row r="31">
      <c r="A31" s="26">
        <f t="shared" si="13"/>
        <v>4</v>
      </c>
      <c r="B31" s="27">
        <v>0.17124438805087044</v>
      </c>
      <c r="C31" s="27">
        <v>0.19499238650853074</v>
      </c>
      <c r="D31" s="27">
        <v>0.21043205934864131</v>
      </c>
      <c r="E31" s="27">
        <v>0.1279837207318747</v>
      </c>
      <c r="F31" s="27">
        <v>0.061094854833038004</v>
      </c>
      <c r="G31" s="27">
        <v>0.1135244122913943</v>
      </c>
      <c r="H31" s="27">
        <v>0.6849467977749288</v>
      </c>
      <c r="I31" s="19">
        <v>0.05375943640832826</v>
      </c>
      <c r="J31" s="19"/>
    </row>
    <row r="32">
      <c r="A32" s="26">
        <f t="shared" si="13"/>
        <v>5</v>
      </c>
      <c r="B32" s="27">
        <v>0.21142280039597416</v>
      </c>
      <c r="C32" s="27">
        <v>0.23952735694162497</v>
      </c>
      <c r="D32" s="27">
        <v>0.25702356230600243</v>
      </c>
      <c r="E32" s="27">
        <v>0.15983434446132258</v>
      </c>
      <c r="F32" s="27">
        <v>0.07770917361460467</v>
      </c>
      <c r="G32" s="27">
        <v>0.1589818326546355</v>
      </c>
      <c r="H32" s="27">
        <v>0.771062344396373</v>
      </c>
      <c r="I32" s="19">
        <v>0.062397956038044516</v>
      </c>
      <c r="J32" s="19"/>
      <c r="K32" s="9"/>
    </row>
    <row r="33">
      <c r="A33" s="26">
        <f t="shared" si="13"/>
        <v>6</v>
      </c>
      <c r="B33" s="27">
        <v>0.2486536664991291</v>
      </c>
      <c r="C33" s="27">
        <v>0.2804973053508725</v>
      </c>
      <c r="D33" s="27">
        <v>0.29998864594030916</v>
      </c>
      <c r="E33" s="27">
        <v>0.18337895395364717</v>
      </c>
      <c r="F33" s="27">
        <v>0.0894430867745596</v>
      </c>
      <c r="G33" s="27">
        <v>0.19218497462888534</v>
      </c>
      <c r="H33" s="27">
        <v>0.8382633371473359</v>
      </c>
      <c r="I33" s="19">
        <v>0.09118357084279133</v>
      </c>
      <c r="J33" s="19"/>
      <c r="K33" s="11"/>
    </row>
    <row r="34">
      <c r="A34" s="26">
        <f t="shared" si="13"/>
        <v>7</v>
      </c>
      <c r="B34" s="27">
        <v>0.28322150998716744</v>
      </c>
      <c r="C34" s="27">
        <v>0.3194235138294713</v>
      </c>
      <c r="D34" s="27">
        <v>0.3401589714686508</v>
      </c>
      <c r="E34" s="27">
        <v>0.21107123118545423</v>
      </c>
      <c r="F34" s="27">
        <v>0.10259700782485259</v>
      </c>
      <c r="G34" s="27">
        <v>0.2162474232492614</v>
      </c>
      <c r="H34" s="27">
        <v>0.884809064552938</v>
      </c>
      <c r="I34" s="19">
        <v>0.10623440742372059</v>
      </c>
      <c r="J34" s="19"/>
      <c r="K34" s="28" t="s">
        <v>192</v>
      </c>
    </row>
    <row r="35">
      <c r="A35" s="26">
        <f t="shared" si="13"/>
        <v>8</v>
      </c>
      <c r="B35" s="27">
        <v>0.317455895855677</v>
      </c>
      <c r="C35" s="27">
        <v>0.357110754028253</v>
      </c>
      <c r="D35" s="27">
        <v>0.37880744016939044</v>
      </c>
      <c r="E35" s="27">
        <v>0.2389241120417355</v>
      </c>
      <c r="F35" s="27">
        <v>0.11714135886614022</v>
      </c>
      <c r="G35" s="27">
        <v>0.2512759295617892</v>
      </c>
      <c r="H35" s="27">
        <v>0.9157833445515609</v>
      </c>
      <c r="I35" s="19">
        <v>0.11905116428119987</v>
      </c>
      <c r="J35" s="19"/>
    </row>
    <row r="36">
      <c r="A36" s="26">
        <f t="shared" si="13"/>
        <v>9</v>
      </c>
      <c r="B36" s="27">
        <v>0.3496962504498747</v>
      </c>
      <c r="C36" s="27">
        <v>0.3922624129834223</v>
      </c>
      <c r="D36" s="27">
        <v>0.4148487616204</v>
      </c>
      <c r="E36" s="27">
        <v>0.2627356356911308</v>
      </c>
      <c r="F36" s="27">
        <v>0.12955711424439986</v>
      </c>
      <c r="G36" s="27">
        <v>0.28234039180643516</v>
      </c>
      <c r="H36" s="27">
        <v>0.9393616959507478</v>
      </c>
      <c r="I36" s="19">
        <v>0.14083909722712623</v>
      </c>
      <c r="J36" s="19"/>
      <c r="K36" s="12" t="s">
        <v>193</v>
      </c>
      <c r="L36" s="15" t="s">
        <v>194</v>
      </c>
    </row>
    <row r="37">
      <c r="A37" s="26">
        <f t="shared" si="13"/>
        <v>10</v>
      </c>
      <c r="B37" s="27">
        <v>0.3800442581794314</v>
      </c>
      <c r="C37" s="27">
        <v>0.42552394237159546</v>
      </c>
      <c r="D37" s="27">
        <v>0.4486289535336452</v>
      </c>
      <c r="E37" s="27">
        <v>0.2875934562322558</v>
      </c>
      <c r="F37" s="27">
        <v>0.14216869256566217</v>
      </c>
      <c r="G37" s="27">
        <v>0.308101078613426</v>
      </c>
      <c r="H37" s="27">
        <v>0.9564084293400554</v>
      </c>
      <c r="I37" s="19">
        <v>0.15682362787141363</v>
      </c>
      <c r="J37" s="19"/>
      <c r="K37" s="29" t="s">
        <v>195</v>
      </c>
      <c r="L37" s="11" t="s">
        <v>196</v>
      </c>
    </row>
    <row r="38">
      <c r="A38" s="26">
        <f t="shared" si="13"/>
        <v>11</v>
      </c>
      <c r="B38" s="27">
        <v>0.40946097343324983</v>
      </c>
      <c r="C38" s="27">
        <v>0.4573423939355298</v>
      </c>
      <c r="D38" s="27">
        <v>0.4807968460346474</v>
      </c>
      <c r="E38" s="27">
        <v>0.31226591956392846</v>
      </c>
      <c r="F38" s="27">
        <v>0.15542332428997122</v>
      </c>
      <c r="G38" s="27">
        <v>0.33737678920673947</v>
      </c>
      <c r="H38" s="27">
        <v>0.9687055273357398</v>
      </c>
      <c r="I38" s="19">
        <v>0.17118946236993315</v>
      </c>
      <c r="J38" s="19"/>
      <c r="K38" s="26" t="s">
        <v>197</v>
      </c>
      <c r="L38" s="11" t="s">
        <v>198</v>
      </c>
    </row>
    <row r="39">
      <c r="A39" s="26">
        <f t="shared" si="13"/>
        <v>12</v>
      </c>
      <c r="B39" s="27">
        <v>0.437354553961635</v>
      </c>
      <c r="C39" s="27">
        <v>0.48722080938320156</v>
      </c>
      <c r="D39" s="27">
        <v>0.5109561684840764</v>
      </c>
      <c r="E39" s="27">
        <v>0.3347779302833195</v>
      </c>
      <c r="F39" s="27">
        <v>0.16773072241933792</v>
      </c>
      <c r="G39" s="27">
        <v>0.3650796628482383</v>
      </c>
      <c r="H39" s="27">
        <v>0.9774107717389001</v>
      </c>
      <c r="I39" s="19">
        <v>0.18939292809440558</v>
      </c>
      <c r="J39" s="19"/>
      <c r="K39" s="29" t="s">
        <v>199</v>
      </c>
      <c r="L39" s="11" t="s">
        <v>200</v>
      </c>
    </row>
    <row r="40">
      <c r="A40" s="26">
        <f t="shared" si="13"/>
        <v>13</v>
      </c>
      <c r="B40" s="27">
        <v>0.46378248943203015</v>
      </c>
      <c r="C40" s="27">
        <v>0.5154517627892966</v>
      </c>
      <c r="D40" s="27">
        <v>0.5392760888743479</v>
      </c>
      <c r="E40" s="27">
        <v>0.3572268659368027</v>
      </c>
      <c r="F40" s="27">
        <v>0.17989124006747276</v>
      </c>
      <c r="G40" s="27">
        <v>0.38978096664182943</v>
      </c>
      <c r="H40" s="27">
        <v>0.9837251692617246</v>
      </c>
      <c r="I40" s="19">
        <v>0.20505125212745096</v>
      </c>
      <c r="J40" s="19"/>
      <c r="K40" s="29" t="s">
        <v>201</v>
      </c>
      <c r="L40" s="11" t="s">
        <v>202</v>
      </c>
    </row>
    <row r="41">
      <c r="A41" s="26">
        <f t="shared" si="13"/>
        <v>14</v>
      </c>
      <c r="B41" s="27">
        <v>0.48915447788253263</v>
      </c>
      <c r="C41" s="27">
        <v>0.5422902255604811</v>
      </c>
      <c r="D41" s="27">
        <v>0.566100619332909</v>
      </c>
      <c r="E41" s="27">
        <v>0.37926354989366007</v>
      </c>
      <c r="F41" s="27">
        <v>0.1922700207563515</v>
      </c>
      <c r="G41" s="27">
        <v>0.41514790771250965</v>
      </c>
      <c r="H41" s="27">
        <v>0.9882830773357946</v>
      </c>
      <c r="I41" s="19">
        <v>0.21966836893134997</v>
      </c>
      <c r="J41" s="19"/>
      <c r="K41" s="29" t="s">
        <v>203</v>
      </c>
      <c r="L41" s="11" t="s">
        <v>204</v>
      </c>
    </row>
    <row r="42">
      <c r="A42" s="26">
        <f t="shared" si="13"/>
        <v>15</v>
      </c>
      <c r="B42" s="27">
        <v>0.5132811293192904</v>
      </c>
      <c r="C42" s="27">
        <v>0.5675736732670024</v>
      </c>
      <c r="D42" s="27">
        <v>0.5913138641545097</v>
      </c>
      <c r="E42" s="27">
        <v>0.3999854605592394</v>
      </c>
      <c r="F42" s="27">
        <v>0.20418534979089362</v>
      </c>
      <c r="G42" s="27">
        <v>0.4395590471267855</v>
      </c>
      <c r="H42" s="27">
        <v>0.9915670805438684</v>
      </c>
      <c r="I42" s="19">
        <v>0.2358175124819896</v>
      </c>
      <c r="J42" s="19"/>
      <c r="K42" s="29" t="s">
        <v>205</v>
      </c>
      <c r="L42" s="11" t="s">
        <v>206</v>
      </c>
    </row>
    <row r="43">
      <c r="A43" s="26">
        <f t="shared" si="13"/>
        <v>16</v>
      </c>
      <c r="B43" s="27">
        <v>0.5362099900727705</v>
      </c>
      <c r="C43" s="27">
        <v>0.5914530625370034</v>
      </c>
      <c r="D43" s="27">
        <v>0.6150187627393021</v>
      </c>
      <c r="E43" s="27">
        <v>0.4202703935638731</v>
      </c>
      <c r="F43" s="27">
        <v>0.2158888063155234</v>
      </c>
      <c r="G43" s="27">
        <v>0.4621624250509115</v>
      </c>
      <c r="H43" s="27">
        <v>0.9939257995086506</v>
      </c>
      <c r="I43" s="19">
        <v>0.2507602148611242</v>
      </c>
      <c r="J43" s="19"/>
      <c r="K43" s="29" t="s">
        <v>207</v>
      </c>
      <c r="L43" s="11" t="s">
        <v>208</v>
      </c>
    </row>
    <row r="44">
      <c r="A44" s="26">
        <f t="shared" si="13"/>
        <v>17</v>
      </c>
      <c r="B44" s="27">
        <v>0.5581289782843363</v>
      </c>
      <c r="C44" s="27">
        <v>0.6140821268780592</v>
      </c>
      <c r="D44" s="27">
        <v>0.6374101622876348</v>
      </c>
      <c r="E44" s="27">
        <v>0.44004320038653505</v>
      </c>
      <c r="F44" s="27">
        <v>0.22759894605621656</v>
      </c>
      <c r="G44" s="27">
        <v>0.48443110695121183</v>
      </c>
      <c r="H44" s="27">
        <v>0.9956248176280637</v>
      </c>
      <c r="I44" s="19">
        <v>0.26503108384893004</v>
      </c>
      <c r="J44" s="19"/>
      <c r="K44" s="29" t="s">
        <v>209</v>
      </c>
      <c r="L44" s="11" t="s">
        <v>210</v>
      </c>
    </row>
    <row r="45">
      <c r="A45" s="26">
        <f t="shared" si="13"/>
        <v>18</v>
      </c>
      <c r="B45" s="27">
        <v>0.5789963012969368</v>
      </c>
      <c r="C45" s="27">
        <v>0.6354321524808416</v>
      </c>
      <c r="D45" s="27">
        <v>0.6584811483749193</v>
      </c>
      <c r="E45" s="27">
        <v>0.4589010366536695</v>
      </c>
      <c r="F45" s="27">
        <v>0.23903694865737551</v>
      </c>
      <c r="G45" s="27">
        <v>0.5058989253108053</v>
      </c>
      <c r="H45" s="27">
        <v>0.9968493870040032</v>
      </c>
      <c r="I45" s="19">
        <v>0.2798182230026042</v>
      </c>
      <c r="J45" s="19"/>
      <c r="K45" s="29" t="s">
        <v>211</v>
      </c>
      <c r="L45" s="11" t="s">
        <v>212</v>
      </c>
    </row>
    <row r="46">
      <c r="A46" s="26">
        <f t="shared" si="13"/>
        <v>19</v>
      </c>
      <c r="B46" s="27">
        <v>0.5988556238848391</v>
      </c>
      <c r="C46" s="27">
        <v>0.6555954131611451</v>
      </c>
      <c r="D46" s="27">
        <v>0.6783068889903909</v>
      </c>
      <c r="E46" s="27">
        <v>0.4772199246814403</v>
      </c>
      <c r="F46" s="27">
        <v>0.2502712781980163</v>
      </c>
      <c r="G46" s="27">
        <v>0.5261520531733216</v>
      </c>
      <c r="H46" s="27">
        <v>0.9977313320720664</v>
      </c>
      <c r="I46" s="19">
        <v>0.29395329097298345</v>
      </c>
      <c r="J46" s="19"/>
      <c r="K46" s="29" t="s">
        <v>213</v>
      </c>
      <c r="L46" s="11" t="s">
        <v>214</v>
      </c>
    </row>
    <row r="47">
      <c r="A47" s="26">
        <f t="shared" si="13"/>
        <v>20</v>
      </c>
      <c r="B47" s="27">
        <v>0.6178046112690487</v>
      </c>
      <c r="C47" s="27">
        <v>0.6746719703691246</v>
      </c>
      <c r="D47" s="27">
        <v>0.6970076559076465</v>
      </c>
      <c r="E47" s="27">
        <v>0.49500380156740803</v>
      </c>
      <c r="F47" s="27">
        <v>0.2614168133831127</v>
      </c>
      <c r="G47" s="27">
        <v>0.5457737504753973</v>
      </c>
      <c r="H47" s="27">
        <v>0.9983662445660892</v>
      </c>
      <c r="I47" s="19">
        <v>0.30762523894407245</v>
      </c>
      <c r="J47" s="19"/>
      <c r="K47" s="29" t="s">
        <v>215</v>
      </c>
      <c r="L47" s="11" t="s">
        <v>216</v>
      </c>
    </row>
    <row r="48">
      <c r="K48" s="30"/>
    </row>
    <row r="53">
      <c r="A53" s="30"/>
    </row>
    <row r="54">
      <c r="A54" s="30"/>
    </row>
    <row r="55">
      <c r="A55" s="30"/>
    </row>
    <row r="56">
      <c r="A56" s="30"/>
    </row>
    <row r="57">
      <c r="A57" s="30"/>
    </row>
    <row r="58">
      <c r="A58" s="30"/>
    </row>
    <row r="60">
      <c r="A60" s="11" t="s">
        <v>217</v>
      </c>
      <c r="B60" s="11" t="s">
        <v>218</v>
      </c>
    </row>
    <row r="61">
      <c r="A61" s="11" t="s">
        <v>219</v>
      </c>
      <c r="B61" s="11" t="s">
        <v>220</v>
      </c>
    </row>
    <row r="62">
      <c r="A62" s="11" t="s">
        <v>221</v>
      </c>
      <c r="B62" s="11" t="s">
        <v>222</v>
      </c>
    </row>
    <row r="63">
      <c r="A63" s="11" t="s">
        <v>223</v>
      </c>
      <c r="B63" s="11" t="s">
        <v>224</v>
      </c>
    </row>
    <row r="67">
      <c r="A67" s="11" t="s">
        <v>225</v>
      </c>
      <c r="C67" s="11" t="s">
        <v>226</v>
      </c>
    </row>
    <row r="68">
      <c r="A68" s="11">
        <v>4.0</v>
      </c>
      <c r="C68" s="17">
        <f t="array" ref="C68:C74">unique(MAKEARRAY(max(PerkChapters), 1, LAMBDA(r, c, if(and(isError(match(r, PerkChapters, 0)), isError(match(r, NoPerkChapters, 0))), r, 0))))</f>
        <v>0</v>
      </c>
    </row>
    <row r="69">
      <c r="A69" s="11">
        <v>8.0</v>
      </c>
      <c r="C69" s="17">
        <v>185.0</v>
      </c>
    </row>
    <row r="70">
      <c r="A70" s="11">
        <v>11.0</v>
      </c>
      <c r="C70" s="17">
        <v>187.0</v>
      </c>
    </row>
    <row r="71">
      <c r="A71" s="11">
        <v>16.0</v>
      </c>
      <c r="C71" s="17">
        <v>188.0</v>
      </c>
    </row>
    <row r="72">
      <c r="A72" s="11">
        <v>21.0</v>
      </c>
      <c r="C72" s="17">
        <v>189.0</v>
      </c>
    </row>
    <row r="73">
      <c r="A73" s="11">
        <v>27.0</v>
      </c>
      <c r="C73" s="17">
        <v>190.0</v>
      </c>
    </row>
    <row r="74">
      <c r="A74" s="11">
        <v>49.0</v>
      </c>
      <c r="C74" s="17">
        <v>191.0</v>
      </c>
    </row>
    <row r="75">
      <c r="A75" s="11">
        <v>50.0</v>
      </c>
    </row>
    <row r="76">
      <c r="A76" s="11">
        <v>51.0</v>
      </c>
    </row>
    <row r="77">
      <c r="A77" s="11">
        <v>53.0</v>
      </c>
    </row>
    <row r="78">
      <c r="A78" s="11">
        <v>58.0</v>
      </c>
    </row>
    <row r="79">
      <c r="A79" s="11">
        <v>61.0</v>
      </c>
    </row>
    <row r="80">
      <c r="A80" s="11">
        <v>74.0</v>
      </c>
    </row>
    <row r="81">
      <c r="A81" s="11">
        <v>76.0</v>
      </c>
    </row>
    <row r="82">
      <c r="A82" s="11">
        <v>83.0</v>
      </c>
    </row>
    <row r="83">
      <c r="A83" s="11">
        <v>84.0</v>
      </c>
    </row>
    <row r="84">
      <c r="A84" s="11">
        <v>86.0</v>
      </c>
    </row>
    <row r="85">
      <c r="A85" s="11">
        <v>87.0</v>
      </c>
    </row>
    <row r="86">
      <c r="A86" s="11">
        <v>88.0</v>
      </c>
    </row>
    <row r="87">
      <c r="A87" s="11">
        <v>89.0</v>
      </c>
      <c r="C87" s="9"/>
      <c r="D87" s="9"/>
      <c r="F87" s="9"/>
    </row>
    <row r="88">
      <c r="A88" s="11">
        <v>93.0</v>
      </c>
    </row>
    <row r="89">
      <c r="A89" s="11">
        <v>94.0</v>
      </c>
    </row>
    <row r="90">
      <c r="A90" s="11">
        <v>95.0</v>
      </c>
    </row>
    <row r="91">
      <c r="A91" s="11">
        <v>102.0</v>
      </c>
    </row>
    <row r="92">
      <c r="A92" s="11">
        <v>103.0</v>
      </c>
    </row>
    <row r="93">
      <c r="A93" s="11">
        <v>105.0</v>
      </c>
    </row>
    <row r="94">
      <c r="A94" s="11">
        <v>106.0</v>
      </c>
    </row>
    <row r="95">
      <c r="A95" s="11">
        <v>107.0</v>
      </c>
    </row>
    <row r="96">
      <c r="A96" s="11">
        <v>119.0</v>
      </c>
    </row>
    <row r="97">
      <c r="A97" s="11">
        <v>122.0</v>
      </c>
    </row>
    <row r="98">
      <c r="A98" s="11">
        <v>124.0</v>
      </c>
    </row>
    <row r="99">
      <c r="A99" s="11">
        <v>126.0</v>
      </c>
    </row>
    <row r="100">
      <c r="A100" s="11">
        <v>131.0</v>
      </c>
    </row>
    <row r="101">
      <c r="A101" s="11">
        <v>132.0</v>
      </c>
    </row>
    <row r="102">
      <c r="A102" s="11">
        <v>134.0</v>
      </c>
    </row>
    <row r="103">
      <c r="A103" s="11">
        <v>135.0</v>
      </c>
    </row>
    <row r="104">
      <c r="A104" s="11">
        <v>136.0</v>
      </c>
    </row>
    <row r="105">
      <c r="A105" s="11">
        <v>137.0</v>
      </c>
    </row>
    <row r="106">
      <c r="A106" s="11">
        <v>144.0</v>
      </c>
    </row>
    <row r="107">
      <c r="A107" s="11">
        <v>147.0</v>
      </c>
    </row>
    <row r="108">
      <c r="A108" s="11">
        <v>148.0</v>
      </c>
    </row>
    <row r="109">
      <c r="A109" s="11">
        <v>150.0</v>
      </c>
    </row>
    <row r="110">
      <c r="A110" s="25">
        <v>155.0</v>
      </c>
    </row>
    <row r="111">
      <c r="A111" s="25">
        <v>156.0</v>
      </c>
    </row>
    <row r="112">
      <c r="A112" s="25">
        <v>157.0</v>
      </c>
    </row>
    <row r="113">
      <c r="A113" s="25">
        <v>161.0</v>
      </c>
    </row>
    <row r="114">
      <c r="A114" s="25">
        <v>163.0</v>
      </c>
    </row>
    <row r="115">
      <c r="A115" s="25">
        <v>165.0</v>
      </c>
    </row>
    <row r="116">
      <c r="A116" s="25">
        <v>167.0</v>
      </c>
    </row>
    <row r="117">
      <c r="A117" s="25">
        <v>168.0</v>
      </c>
    </row>
    <row r="118">
      <c r="A118" s="25">
        <v>170.0</v>
      </c>
    </row>
    <row r="119">
      <c r="A119" s="25">
        <v>171.0</v>
      </c>
    </row>
    <row r="120">
      <c r="A120" s="25">
        <v>172.0</v>
      </c>
    </row>
    <row r="121">
      <c r="A121" s="25">
        <v>173.0</v>
      </c>
    </row>
    <row r="122">
      <c r="A122" s="11">
        <v>176.0</v>
      </c>
    </row>
    <row r="123">
      <c r="A123" s="11">
        <v>177.0</v>
      </c>
    </row>
    <row r="124">
      <c r="A124" s="11">
        <v>178.0</v>
      </c>
    </row>
    <row r="125">
      <c r="A125" s="11">
        <v>181.0</v>
      </c>
    </row>
    <row r="126">
      <c r="A126" s="11">
        <v>182.0</v>
      </c>
    </row>
  </sheetData>
  <mergeCells count="4">
    <mergeCell ref="B1:I1"/>
    <mergeCell ref="B26:H26"/>
    <mergeCell ref="K32:P32"/>
    <mergeCell ref="K33:P33"/>
  </mergeCells>
  <conditionalFormatting sqref="A28:A47">
    <cfRule type="expression" dxfId="0" priority="1">
      <formula>A28&lt;=A$25</formula>
    </cfRule>
  </conditionalFormatting>
  <hyperlinks>
    <hyperlink r:id="rId1" ref="K34"/>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88"/>
    <col customWidth="1" min="2" max="2" width="16.75"/>
    <col customWidth="1" min="3" max="3" width="16.25"/>
    <col customWidth="1" min="4" max="4" width="14.63"/>
    <col customWidth="1" min="5" max="5" width="17.5"/>
    <col customWidth="1" min="7" max="7" width="76.38"/>
  </cols>
  <sheetData>
    <row r="1">
      <c r="A1" s="11" t="s">
        <v>227</v>
      </c>
      <c r="B1" s="9" t="s">
        <v>228</v>
      </c>
      <c r="C1" s="9" t="s">
        <v>229</v>
      </c>
      <c r="D1" s="9" t="s">
        <v>193</v>
      </c>
      <c r="E1" s="9" t="s">
        <v>230</v>
      </c>
      <c r="F1" s="9" t="s">
        <v>231</v>
      </c>
      <c r="G1" s="9" t="s">
        <v>232</v>
      </c>
    </row>
    <row r="2">
      <c r="A2" s="17">
        <f t="array" ref="A2:G505">sort(UnsortedPerks, 1, true, 5, true, 6, true)</f>
        <v>1</v>
      </c>
      <c r="B2" s="31" t="s">
        <v>233</v>
      </c>
      <c r="C2" s="31" t="s">
        <v>234</v>
      </c>
      <c r="D2" s="31" t="s">
        <v>201</v>
      </c>
      <c r="E2" s="31" t="s">
        <v>91</v>
      </c>
      <c r="F2" s="31" t="s">
        <v>235</v>
      </c>
      <c r="G2" s="31" t="s">
        <v>236</v>
      </c>
    </row>
    <row r="3">
      <c r="A3" s="17">
        <v>1.0</v>
      </c>
      <c r="B3" s="31" t="s">
        <v>233</v>
      </c>
      <c r="C3" s="31" t="s">
        <v>237</v>
      </c>
      <c r="D3" s="31" t="s">
        <v>205</v>
      </c>
      <c r="E3" s="31" t="s">
        <v>91</v>
      </c>
      <c r="F3" s="31" t="s">
        <v>238</v>
      </c>
      <c r="G3" s="31" t="s">
        <v>239</v>
      </c>
    </row>
    <row r="4">
      <c r="A4" s="17">
        <v>1.0</v>
      </c>
      <c r="B4" s="31" t="s">
        <v>233</v>
      </c>
      <c r="C4" s="31" t="s">
        <v>240</v>
      </c>
      <c r="D4" s="31" t="s">
        <v>201</v>
      </c>
      <c r="E4" s="31" t="s">
        <v>91</v>
      </c>
      <c r="F4" s="31" t="s">
        <v>238</v>
      </c>
      <c r="G4" s="31" t="s">
        <v>241</v>
      </c>
    </row>
    <row r="5">
      <c r="A5" s="17">
        <v>2.0</v>
      </c>
      <c r="B5" s="31" t="s">
        <v>242</v>
      </c>
      <c r="C5" s="31" t="s">
        <v>243</v>
      </c>
      <c r="D5" s="31" t="s">
        <v>207</v>
      </c>
      <c r="E5" s="31" t="s">
        <v>244</v>
      </c>
      <c r="F5" s="31" t="s">
        <v>245</v>
      </c>
      <c r="G5" s="31" t="s">
        <v>246</v>
      </c>
    </row>
    <row r="6">
      <c r="A6" s="17">
        <v>2.0</v>
      </c>
      <c r="B6" s="31" t="s">
        <v>242</v>
      </c>
      <c r="C6" s="31" t="s">
        <v>247</v>
      </c>
      <c r="D6" s="31" t="s">
        <v>211</v>
      </c>
      <c r="E6" s="31" t="s">
        <v>248</v>
      </c>
      <c r="F6" s="31" t="s">
        <v>235</v>
      </c>
      <c r="G6" s="31" t="s">
        <v>249</v>
      </c>
    </row>
    <row r="7">
      <c r="A7" s="17">
        <v>2.0</v>
      </c>
      <c r="B7" s="31" t="s">
        <v>242</v>
      </c>
      <c r="C7" s="31" t="s">
        <v>250</v>
      </c>
      <c r="D7" s="31" t="s">
        <v>209</v>
      </c>
      <c r="E7" s="31" t="s">
        <v>251</v>
      </c>
      <c r="F7" s="31" t="s">
        <v>245</v>
      </c>
      <c r="G7" s="31" t="s">
        <v>252</v>
      </c>
    </row>
    <row r="8">
      <c r="A8" s="17">
        <v>3.0</v>
      </c>
      <c r="B8" s="31" t="s">
        <v>253</v>
      </c>
      <c r="C8" s="31" t="s">
        <v>254</v>
      </c>
      <c r="D8" s="31" t="s">
        <v>211</v>
      </c>
      <c r="E8" s="31" t="s">
        <v>255</v>
      </c>
      <c r="F8" s="31" t="s">
        <v>235</v>
      </c>
      <c r="G8" s="31" t="s">
        <v>256</v>
      </c>
    </row>
    <row r="9">
      <c r="A9" s="17">
        <v>3.0</v>
      </c>
      <c r="B9" s="31" t="s">
        <v>253</v>
      </c>
      <c r="C9" s="31" t="s">
        <v>257</v>
      </c>
      <c r="D9" s="31" t="s">
        <v>211</v>
      </c>
      <c r="E9" s="31" t="s">
        <v>258</v>
      </c>
      <c r="F9" s="31" t="s">
        <v>235</v>
      </c>
      <c r="G9" s="31" t="s">
        <v>259</v>
      </c>
    </row>
    <row r="10">
      <c r="A10" s="17">
        <v>5.0</v>
      </c>
      <c r="B10" s="31" t="s">
        <v>260</v>
      </c>
      <c r="C10" s="31" t="s">
        <v>261</v>
      </c>
      <c r="D10" s="31" t="s">
        <v>213</v>
      </c>
      <c r="E10" s="31" t="s">
        <v>262</v>
      </c>
      <c r="F10" s="31" t="s">
        <v>263</v>
      </c>
      <c r="G10" s="31" t="s">
        <v>264</v>
      </c>
    </row>
    <row r="11">
      <c r="A11" s="17">
        <v>5.0</v>
      </c>
      <c r="B11" s="31" t="s">
        <v>260</v>
      </c>
      <c r="C11" s="31" t="s">
        <v>265</v>
      </c>
      <c r="D11" s="31" t="s">
        <v>201</v>
      </c>
      <c r="E11" s="31" t="s">
        <v>266</v>
      </c>
      <c r="F11" s="31" t="s">
        <v>235</v>
      </c>
      <c r="G11" s="31" t="s">
        <v>267</v>
      </c>
    </row>
    <row r="12">
      <c r="A12" s="17">
        <v>5.0</v>
      </c>
      <c r="B12" s="31" t="s">
        <v>260</v>
      </c>
      <c r="C12" s="31" t="s">
        <v>268</v>
      </c>
      <c r="D12" s="31" t="s">
        <v>207</v>
      </c>
      <c r="E12" s="31" t="s">
        <v>24</v>
      </c>
      <c r="F12" s="31" t="s">
        <v>235</v>
      </c>
      <c r="G12" s="31" t="s">
        <v>269</v>
      </c>
    </row>
    <row r="13">
      <c r="A13" s="17">
        <v>6.0</v>
      </c>
      <c r="B13" s="31" t="s">
        <v>270</v>
      </c>
      <c r="C13" s="31" t="s">
        <v>271</v>
      </c>
      <c r="D13" s="31" t="s">
        <v>213</v>
      </c>
      <c r="E13" s="31" t="s">
        <v>272</v>
      </c>
      <c r="F13" s="31" t="s">
        <v>245</v>
      </c>
      <c r="G13" s="31" t="s">
        <v>273</v>
      </c>
    </row>
    <row r="14">
      <c r="A14" s="17">
        <v>7.0</v>
      </c>
      <c r="B14" s="31" t="s">
        <v>274</v>
      </c>
      <c r="C14" s="31" t="s">
        <v>275</v>
      </c>
      <c r="D14" s="31" t="s">
        <v>213</v>
      </c>
      <c r="E14" s="31" t="s">
        <v>276</v>
      </c>
      <c r="F14" s="31" t="s">
        <v>235</v>
      </c>
      <c r="G14" s="31" t="s">
        <v>277</v>
      </c>
    </row>
    <row r="15">
      <c r="A15" s="17">
        <v>7.0</v>
      </c>
      <c r="B15" s="31" t="s">
        <v>274</v>
      </c>
      <c r="C15" s="31" t="s">
        <v>278</v>
      </c>
      <c r="D15" s="31" t="s">
        <v>213</v>
      </c>
      <c r="E15" s="31" t="s">
        <v>279</v>
      </c>
      <c r="F15" s="31" t="s">
        <v>235</v>
      </c>
      <c r="G15" s="31" t="s">
        <v>280</v>
      </c>
    </row>
    <row r="16">
      <c r="A16" s="17">
        <v>7.0</v>
      </c>
      <c r="B16" s="31" t="s">
        <v>274</v>
      </c>
      <c r="C16" s="31" t="s">
        <v>281</v>
      </c>
      <c r="D16" s="31" t="s">
        <v>213</v>
      </c>
      <c r="E16" s="31" t="s">
        <v>282</v>
      </c>
      <c r="F16" s="31" t="s">
        <v>245</v>
      </c>
      <c r="G16" s="31" t="s">
        <v>283</v>
      </c>
    </row>
    <row r="17">
      <c r="A17" s="17">
        <v>9.0</v>
      </c>
      <c r="B17" s="31" t="s">
        <v>284</v>
      </c>
      <c r="C17" s="31" t="s">
        <v>285</v>
      </c>
      <c r="D17" s="31" t="s">
        <v>286</v>
      </c>
      <c r="E17" s="31" t="s">
        <v>287</v>
      </c>
      <c r="F17" s="31" t="s">
        <v>263</v>
      </c>
      <c r="G17" s="31" t="s">
        <v>288</v>
      </c>
    </row>
    <row r="18">
      <c r="A18" s="17">
        <v>9.0</v>
      </c>
      <c r="B18" s="31" t="s">
        <v>284</v>
      </c>
      <c r="C18" s="31" t="s">
        <v>289</v>
      </c>
      <c r="D18" s="31" t="s">
        <v>211</v>
      </c>
      <c r="E18" s="31" t="s">
        <v>290</v>
      </c>
      <c r="F18" s="31" t="s">
        <v>235</v>
      </c>
      <c r="G18" s="31" t="s">
        <v>291</v>
      </c>
    </row>
    <row r="19">
      <c r="A19" s="17">
        <v>10.0</v>
      </c>
      <c r="B19" s="31" t="s">
        <v>292</v>
      </c>
      <c r="C19" s="31" t="s">
        <v>293</v>
      </c>
      <c r="D19" s="31" t="s">
        <v>294</v>
      </c>
      <c r="E19" s="31" t="s">
        <v>295</v>
      </c>
      <c r="F19" s="31" t="s">
        <v>245</v>
      </c>
      <c r="G19" s="31" t="s">
        <v>296</v>
      </c>
    </row>
    <row r="20">
      <c r="A20" s="17">
        <v>10.0</v>
      </c>
      <c r="B20" s="31" t="s">
        <v>292</v>
      </c>
      <c r="C20" s="31" t="s">
        <v>297</v>
      </c>
      <c r="D20" s="31" t="s">
        <v>203</v>
      </c>
      <c r="E20" s="31" t="s">
        <v>258</v>
      </c>
      <c r="F20" s="31" t="s">
        <v>235</v>
      </c>
      <c r="G20" s="31" t="s">
        <v>298</v>
      </c>
    </row>
    <row r="21">
      <c r="A21" s="17">
        <v>12.0</v>
      </c>
      <c r="B21" s="31" t="s">
        <v>299</v>
      </c>
      <c r="C21" s="31" t="s">
        <v>300</v>
      </c>
      <c r="D21" s="31" t="s">
        <v>209</v>
      </c>
      <c r="E21" s="31" t="s">
        <v>81</v>
      </c>
      <c r="F21" s="31" t="s">
        <v>235</v>
      </c>
      <c r="G21" s="31" t="s">
        <v>301</v>
      </c>
    </row>
    <row r="22">
      <c r="A22" s="17">
        <v>12.0</v>
      </c>
      <c r="B22" s="31" t="s">
        <v>299</v>
      </c>
      <c r="C22" s="31" t="s">
        <v>302</v>
      </c>
      <c r="D22" s="31" t="s">
        <v>199</v>
      </c>
      <c r="E22" s="31" t="s">
        <v>303</v>
      </c>
      <c r="F22" s="31" t="s">
        <v>245</v>
      </c>
      <c r="G22" s="31" t="s">
        <v>304</v>
      </c>
    </row>
    <row r="23">
      <c r="A23" s="17">
        <v>12.0</v>
      </c>
      <c r="B23" s="31" t="s">
        <v>299</v>
      </c>
      <c r="C23" s="31" t="s">
        <v>305</v>
      </c>
      <c r="D23" s="31" t="s">
        <v>199</v>
      </c>
      <c r="E23" s="31" t="s">
        <v>306</v>
      </c>
      <c r="F23" s="31" t="s">
        <v>307</v>
      </c>
      <c r="G23" s="31" t="s">
        <v>308</v>
      </c>
    </row>
    <row r="24">
      <c r="A24" s="17">
        <v>13.0</v>
      </c>
      <c r="B24" s="31" t="s">
        <v>309</v>
      </c>
      <c r="C24" s="31" t="s">
        <v>310</v>
      </c>
      <c r="D24" s="31" t="s">
        <v>213</v>
      </c>
      <c r="E24" s="31" t="s">
        <v>64</v>
      </c>
      <c r="F24" s="31" t="s">
        <v>235</v>
      </c>
      <c r="G24" s="31" t="s">
        <v>311</v>
      </c>
    </row>
    <row r="25">
      <c r="A25" s="17">
        <v>13.0</v>
      </c>
      <c r="B25" s="31" t="s">
        <v>309</v>
      </c>
      <c r="C25" s="31" t="s">
        <v>312</v>
      </c>
      <c r="D25" s="31" t="s">
        <v>203</v>
      </c>
      <c r="E25" s="31" t="s">
        <v>313</v>
      </c>
      <c r="F25" s="31" t="s">
        <v>235</v>
      </c>
      <c r="G25" s="31" t="s">
        <v>314</v>
      </c>
    </row>
    <row r="26">
      <c r="A26" s="17">
        <v>13.0</v>
      </c>
      <c r="B26" s="31" t="s">
        <v>309</v>
      </c>
      <c r="C26" s="31" t="s">
        <v>315</v>
      </c>
      <c r="D26" s="31" t="s">
        <v>203</v>
      </c>
      <c r="E26" s="31" t="s">
        <v>316</v>
      </c>
      <c r="F26" s="31" t="s">
        <v>235</v>
      </c>
      <c r="G26" s="31" t="s">
        <v>317</v>
      </c>
    </row>
    <row r="27">
      <c r="A27" s="17">
        <v>14.0</v>
      </c>
      <c r="B27" s="31" t="s">
        <v>318</v>
      </c>
      <c r="C27" s="31" t="s">
        <v>319</v>
      </c>
      <c r="D27" s="31" t="s">
        <v>203</v>
      </c>
      <c r="E27" s="31" t="s">
        <v>320</v>
      </c>
      <c r="F27" s="31" t="s">
        <v>235</v>
      </c>
      <c r="G27" s="31" t="s">
        <v>321</v>
      </c>
    </row>
    <row r="28">
      <c r="A28" s="17">
        <v>14.0</v>
      </c>
      <c r="B28" s="31" t="s">
        <v>318</v>
      </c>
      <c r="C28" s="31" t="s">
        <v>322</v>
      </c>
      <c r="D28" s="31" t="s">
        <v>213</v>
      </c>
      <c r="E28" s="31" t="s">
        <v>28</v>
      </c>
      <c r="F28" s="31" t="s">
        <v>307</v>
      </c>
      <c r="G28" s="31" t="s">
        <v>323</v>
      </c>
    </row>
    <row r="29">
      <c r="A29" s="17">
        <v>14.0</v>
      </c>
      <c r="B29" s="31" t="s">
        <v>318</v>
      </c>
      <c r="C29" s="31" t="s">
        <v>324</v>
      </c>
      <c r="D29" s="31" t="s">
        <v>213</v>
      </c>
      <c r="E29" s="31" t="s">
        <v>325</v>
      </c>
      <c r="F29" s="31" t="s">
        <v>263</v>
      </c>
      <c r="G29" s="31" t="s">
        <v>326</v>
      </c>
    </row>
    <row r="30">
      <c r="A30" s="17">
        <v>15.0</v>
      </c>
      <c r="B30" s="31" t="s">
        <v>327</v>
      </c>
      <c r="C30" s="31" t="s">
        <v>328</v>
      </c>
      <c r="D30" s="31" t="s">
        <v>197</v>
      </c>
      <c r="E30" s="31" t="s">
        <v>276</v>
      </c>
      <c r="F30" s="31" t="s">
        <v>307</v>
      </c>
      <c r="G30" s="31" t="s">
        <v>329</v>
      </c>
    </row>
    <row r="31">
      <c r="A31" s="17">
        <v>17.0</v>
      </c>
      <c r="B31" s="31" t="s">
        <v>330</v>
      </c>
      <c r="C31" s="31" t="s">
        <v>331</v>
      </c>
      <c r="D31" s="31" t="s">
        <v>213</v>
      </c>
      <c r="E31" s="31" t="s">
        <v>28</v>
      </c>
      <c r="F31" s="31" t="s">
        <v>235</v>
      </c>
      <c r="G31" s="31" t="s">
        <v>332</v>
      </c>
    </row>
    <row r="32">
      <c r="A32" s="17">
        <v>17.0</v>
      </c>
      <c r="B32" s="31" t="s">
        <v>330</v>
      </c>
      <c r="C32" s="31" t="s">
        <v>333</v>
      </c>
      <c r="D32" s="31" t="s">
        <v>213</v>
      </c>
      <c r="E32" s="31" t="s">
        <v>28</v>
      </c>
      <c r="F32" s="31" t="s">
        <v>235</v>
      </c>
      <c r="G32" s="31" t="s">
        <v>332</v>
      </c>
    </row>
    <row r="33">
      <c r="A33" s="17">
        <v>17.0</v>
      </c>
      <c r="B33" s="31" t="s">
        <v>334</v>
      </c>
      <c r="C33" s="31" t="s">
        <v>335</v>
      </c>
      <c r="D33" s="31" t="s">
        <v>197</v>
      </c>
      <c r="E33" s="31" t="s">
        <v>336</v>
      </c>
      <c r="F33" s="31" t="s">
        <v>307</v>
      </c>
      <c r="G33" s="31" t="s">
        <v>337</v>
      </c>
    </row>
    <row r="34">
      <c r="A34" s="17">
        <v>18.0</v>
      </c>
      <c r="B34" s="31" t="s">
        <v>338</v>
      </c>
      <c r="C34" s="31" t="s">
        <v>339</v>
      </c>
      <c r="D34" s="31" t="s">
        <v>205</v>
      </c>
      <c r="E34" s="31" t="s">
        <v>340</v>
      </c>
      <c r="F34" s="31" t="s">
        <v>341</v>
      </c>
      <c r="G34" s="31" t="s">
        <v>342</v>
      </c>
    </row>
    <row r="35">
      <c r="A35" s="17">
        <v>18.0</v>
      </c>
      <c r="B35" s="31" t="s">
        <v>338</v>
      </c>
      <c r="C35" s="31" t="s">
        <v>343</v>
      </c>
      <c r="D35" s="31" t="s">
        <v>195</v>
      </c>
      <c r="E35" s="31" t="s">
        <v>248</v>
      </c>
      <c r="F35" s="31" t="s">
        <v>245</v>
      </c>
      <c r="G35" s="31" t="s">
        <v>344</v>
      </c>
    </row>
    <row r="36">
      <c r="A36" s="17">
        <v>18.0</v>
      </c>
      <c r="B36" s="31" t="s">
        <v>338</v>
      </c>
      <c r="C36" s="31" t="s">
        <v>345</v>
      </c>
      <c r="D36" s="31" t="s">
        <v>205</v>
      </c>
      <c r="E36" s="31" t="s">
        <v>316</v>
      </c>
      <c r="F36" s="31" t="s">
        <v>341</v>
      </c>
      <c r="G36" s="31" t="s">
        <v>346</v>
      </c>
    </row>
    <row r="37">
      <c r="A37" s="17">
        <v>18.0</v>
      </c>
      <c r="B37" s="31" t="s">
        <v>338</v>
      </c>
      <c r="C37" s="31" t="s">
        <v>347</v>
      </c>
      <c r="D37" s="31" t="s">
        <v>213</v>
      </c>
      <c r="E37" s="31" t="s">
        <v>348</v>
      </c>
      <c r="F37" s="31" t="s">
        <v>235</v>
      </c>
      <c r="G37" s="31" t="s">
        <v>349</v>
      </c>
    </row>
    <row r="38">
      <c r="A38" s="17">
        <v>19.0</v>
      </c>
      <c r="B38" s="31" t="s">
        <v>350</v>
      </c>
      <c r="C38" s="31" t="s">
        <v>351</v>
      </c>
      <c r="D38" s="31" t="s">
        <v>203</v>
      </c>
      <c r="E38" s="31" t="s">
        <v>352</v>
      </c>
      <c r="F38" s="31" t="s">
        <v>307</v>
      </c>
      <c r="G38" s="31" t="s">
        <v>353</v>
      </c>
    </row>
    <row r="39">
      <c r="A39" s="17">
        <v>19.0</v>
      </c>
      <c r="B39" s="31" t="s">
        <v>350</v>
      </c>
      <c r="C39" s="31" t="s">
        <v>354</v>
      </c>
      <c r="D39" s="31" t="s">
        <v>355</v>
      </c>
      <c r="E39" s="31" t="s">
        <v>24</v>
      </c>
      <c r="F39" s="31" t="s">
        <v>235</v>
      </c>
      <c r="G39" s="31" t="s">
        <v>356</v>
      </c>
    </row>
    <row r="40">
      <c r="A40" s="17">
        <v>19.0</v>
      </c>
      <c r="B40" s="31" t="s">
        <v>350</v>
      </c>
      <c r="C40" s="31" t="s">
        <v>357</v>
      </c>
      <c r="D40" s="31" t="s">
        <v>213</v>
      </c>
      <c r="E40" s="31" t="s">
        <v>358</v>
      </c>
      <c r="F40" s="31" t="s">
        <v>245</v>
      </c>
      <c r="G40" s="31" t="s">
        <v>359</v>
      </c>
    </row>
    <row r="41">
      <c r="A41" s="17">
        <v>19.0</v>
      </c>
      <c r="B41" s="31" t="s">
        <v>350</v>
      </c>
      <c r="C41" s="31" t="s">
        <v>360</v>
      </c>
      <c r="D41" s="31" t="s">
        <v>201</v>
      </c>
      <c r="E41" s="31" t="s">
        <v>358</v>
      </c>
      <c r="F41" s="31" t="s">
        <v>361</v>
      </c>
      <c r="G41" s="31" t="s">
        <v>362</v>
      </c>
    </row>
    <row r="42">
      <c r="A42" s="17">
        <v>20.0</v>
      </c>
      <c r="B42" s="31" t="s">
        <v>363</v>
      </c>
      <c r="C42" s="31" t="s">
        <v>364</v>
      </c>
      <c r="D42" s="31" t="s">
        <v>203</v>
      </c>
      <c r="E42" s="31" t="s">
        <v>365</v>
      </c>
      <c r="F42" s="31" t="s">
        <v>245</v>
      </c>
      <c r="G42" s="31" t="s">
        <v>366</v>
      </c>
    </row>
    <row r="43">
      <c r="A43" s="17">
        <v>22.0</v>
      </c>
      <c r="B43" s="31" t="s">
        <v>367</v>
      </c>
      <c r="C43" s="31" t="s">
        <v>368</v>
      </c>
      <c r="D43" s="31" t="s">
        <v>211</v>
      </c>
      <c r="E43" s="31" t="s">
        <v>369</v>
      </c>
      <c r="F43" s="31" t="s">
        <v>235</v>
      </c>
      <c r="G43" s="31" t="s">
        <v>370</v>
      </c>
    </row>
    <row r="44">
      <c r="A44" s="17">
        <v>22.0</v>
      </c>
      <c r="B44" s="31" t="s">
        <v>367</v>
      </c>
      <c r="C44" s="31" t="s">
        <v>371</v>
      </c>
      <c r="D44" s="31" t="s">
        <v>213</v>
      </c>
      <c r="E44" s="31" t="s">
        <v>372</v>
      </c>
      <c r="F44" s="31" t="s">
        <v>263</v>
      </c>
      <c r="G44" s="31" t="s">
        <v>373</v>
      </c>
    </row>
    <row r="45">
      <c r="A45" s="17">
        <v>22.0</v>
      </c>
      <c r="B45" s="31" t="s">
        <v>367</v>
      </c>
      <c r="C45" s="31" t="s">
        <v>300</v>
      </c>
      <c r="D45" s="31" t="s">
        <v>213</v>
      </c>
      <c r="E45" s="31" t="s">
        <v>282</v>
      </c>
      <c r="F45" s="31" t="s">
        <v>245</v>
      </c>
      <c r="G45" s="31" t="s">
        <v>374</v>
      </c>
    </row>
    <row r="46">
      <c r="A46" s="17">
        <v>23.0</v>
      </c>
      <c r="B46" s="31" t="s">
        <v>375</v>
      </c>
      <c r="C46" s="31" t="s">
        <v>376</v>
      </c>
      <c r="D46" s="31" t="s">
        <v>195</v>
      </c>
      <c r="E46" s="31" t="s">
        <v>377</v>
      </c>
      <c r="F46" s="31" t="s">
        <v>235</v>
      </c>
      <c r="G46" s="31" t="s">
        <v>378</v>
      </c>
    </row>
    <row r="47">
      <c r="A47" s="17">
        <v>23.0</v>
      </c>
      <c r="B47" s="31" t="s">
        <v>375</v>
      </c>
      <c r="C47" s="31" t="s">
        <v>379</v>
      </c>
      <c r="D47" s="31" t="s">
        <v>213</v>
      </c>
      <c r="E47" s="31" t="s">
        <v>34</v>
      </c>
      <c r="F47" s="31" t="s">
        <v>245</v>
      </c>
      <c r="G47" s="31" t="s">
        <v>380</v>
      </c>
    </row>
    <row r="48">
      <c r="A48" s="17">
        <v>23.0</v>
      </c>
      <c r="B48" s="31" t="s">
        <v>375</v>
      </c>
      <c r="C48" s="31" t="s">
        <v>381</v>
      </c>
      <c r="D48" s="31" t="s">
        <v>203</v>
      </c>
      <c r="E48" s="31" t="s">
        <v>382</v>
      </c>
      <c r="F48" s="31" t="s">
        <v>263</v>
      </c>
      <c r="G48" s="31" t="s">
        <v>383</v>
      </c>
    </row>
    <row r="49">
      <c r="A49" s="17">
        <v>24.0</v>
      </c>
      <c r="B49" s="31" t="s">
        <v>384</v>
      </c>
      <c r="C49" s="31" t="s">
        <v>385</v>
      </c>
      <c r="D49" s="31" t="s">
        <v>211</v>
      </c>
      <c r="E49" s="31" t="s">
        <v>386</v>
      </c>
      <c r="F49" s="31" t="s">
        <v>263</v>
      </c>
      <c r="G49" s="31" t="s">
        <v>387</v>
      </c>
    </row>
    <row r="50">
      <c r="A50" s="17">
        <v>24.0</v>
      </c>
      <c r="B50" s="31" t="s">
        <v>384</v>
      </c>
      <c r="C50" s="31" t="s">
        <v>388</v>
      </c>
      <c r="D50" s="31" t="s">
        <v>389</v>
      </c>
      <c r="E50" s="31" t="s">
        <v>390</v>
      </c>
      <c r="F50" s="31" t="s">
        <v>245</v>
      </c>
      <c r="G50" s="31" t="s">
        <v>391</v>
      </c>
    </row>
    <row r="51">
      <c r="A51" s="17">
        <v>24.0</v>
      </c>
      <c r="B51" s="31" t="s">
        <v>384</v>
      </c>
      <c r="C51" s="31" t="s">
        <v>392</v>
      </c>
      <c r="D51" s="31" t="s">
        <v>209</v>
      </c>
      <c r="E51" s="31" t="s">
        <v>393</v>
      </c>
      <c r="F51" s="31" t="s">
        <v>263</v>
      </c>
      <c r="G51" s="31" t="s">
        <v>394</v>
      </c>
    </row>
    <row r="52">
      <c r="A52" s="17">
        <v>24.0</v>
      </c>
      <c r="B52" s="31" t="s">
        <v>384</v>
      </c>
      <c r="C52" s="31" t="s">
        <v>395</v>
      </c>
      <c r="D52" s="31" t="s">
        <v>396</v>
      </c>
      <c r="E52" s="31" t="s">
        <v>397</v>
      </c>
      <c r="F52" s="31" t="s">
        <v>235</v>
      </c>
      <c r="G52" s="31" t="s">
        <v>398</v>
      </c>
    </row>
    <row r="53">
      <c r="A53" s="17">
        <v>25.0</v>
      </c>
      <c r="B53" s="31" t="s">
        <v>399</v>
      </c>
      <c r="C53" s="31" t="s">
        <v>400</v>
      </c>
      <c r="D53" s="31" t="s">
        <v>203</v>
      </c>
      <c r="E53" s="31" t="s">
        <v>401</v>
      </c>
      <c r="F53" s="31" t="s">
        <v>263</v>
      </c>
      <c r="G53" s="31" t="s">
        <v>402</v>
      </c>
    </row>
    <row r="54">
      <c r="A54" s="17">
        <v>25.0</v>
      </c>
      <c r="B54" s="31" t="s">
        <v>399</v>
      </c>
      <c r="C54" s="31" t="s">
        <v>403</v>
      </c>
      <c r="D54" s="31" t="s">
        <v>404</v>
      </c>
      <c r="E54" s="31" t="s">
        <v>405</v>
      </c>
      <c r="F54" s="31" t="s">
        <v>263</v>
      </c>
      <c r="G54" s="31" t="s">
        <v>406</v>
      </c>
    </row>
    <row r="55">
      <c r="A55" s="17">
        <v>26.0</v>
      </c>
      <c r="B55" s="31" t="s">
        <v>407</v>
      </c>
      <c r="C55" s="31" t="s">
        <v>408</v>
      </c>
      <c r="D55" s="31" t="s">
        <v>211</v>
      </c>
      <c r="E55" s="31" t="s">
        <v>409</v>
      </c>
      <c r="F55" s="31" t="s">
        <v>245</v>
      </c>
      <c r="G55" s="31" t="s">
        <v>410</v>
      </c>
    </row>
    <row r="56">
      <c r="A56" s="17">
        <v>26.0</v>
      </c>
      <c r="B56" s="31" t="s">
        <v>407</v>
      </c>
      <c r="C56" s="31" t="s">
        <v>411</v>
      </c>
      <c r="D56" s="31" t="s">
        <v>201</v>
      </c>
      <c r="E56" s="31" t="s">
        <v>412</v>
      </c>
      <c r="F56" s="31" t="s">
        <v>235</v>
      </c>
      <c r="G56" s="31" t="s">
        <v>413</v>
      </c>
    </row>
    <row r="57">
      <c r="A57" s="17">
        <v>26.0</v>
      </c>
      <c r="B57" s="31" t="s">
        <v>407</v>
      </c>
      <c r="C57" s="31" t="s">
        <v>414</v>
      </c>
      <c r="D57" s="31" t="s">
        <v>201</v>
      </c>
      <c r="E57" s="31" t="s">
        <v>412</v>
      </c>
      <c r="F57" s="31" t="s">
        <v>238</v>
      </c>
      <c r="G57" s="31" t="s">
        <v>415</v>
      </c>
    </row>
    <row r="58">
      <c r="A58" s="17">
        <v>26.0</v>
      </c>
      <c r="B58" s="31" t="s">
        <v>407</v>
      </c>
      <c r="C58" s="31" t="s">
        <v>416</v>
      </c>
      <c r="D58" s="31" t="s">
        <v>203</v>
      </c>
      <c r="E58" s="31" t="s">
        <v>417</v>
      </c>
      <c r="F58" s="31" t="s">
        <v>235</v>
      </c>
      <c r="G58" s="31" t="s">
        <v>418</v>
      </c>
    </row>
    <row r="59">
      <c r="A59" s="17">
        <v>26.0</v>
      </c>
      <c r="B59" s="31" t="s">
        <v>407</v>
      </c>
      <c r="C59" s="31" t="s">
        <v>419</v>
      </c>
      <c r="D59" s="31" t="s">
        <v>201</v>
      </c>
      <c r="E59" s="31" t="s">
        <v>420</v>
      </c>
      <c r="F59" s="31" t="s">
        <v>235</v>
      </c>
      <c r="G59" s="31" t="s">
        <v>421</v>
      </c>
    </row>
    <row r="60">
      <c r="A60" s="17">
        <v>26.0</v>
      </c>
      <c r="B60" s="31" t="s">
        <v>407</v>
      </c>
      <c r="C60" s="31" t="s">
        <v>422</v>
      </c>
      <c r="D60" s="31" t="s">
        <v>201</v>
      </c>
      <c r="E60" s="31" t="s">
        <v>420</v>
      </c>
      <c r="F60" s="31" t="s">
        <v>245</v>
      </c>
      <c r="G60" s="31" t="s">
        <v>423</v>
      </c>
    </row>
    <row r="61">
      <c r="A61" s="17">
        <v>26.0</v>
      </c>
      <c r="B61" s="31" t="s">
        <v>407</v>
      </c>
      <c r="C61" s="31" t="s">
        <v>424</v>
      </c>
      <c r="D61" s="31" t="s">
        <v>211</v>
      </c>
      <c r="E61" s="31" t="s">
        <v>420</v>
      </c>
      <c r="F61" s="31" t="s">
        <v>238</v>
      </c>
      <c r="G61" s="31" t="s">
        <v>425</v>
      </c>
    </row>
    <row r="62">
      <c r="A62" s="17">
        <v>26.0</v>
      </c>
      <c r="B62" s="31" t="s">
        <v>407</v>
      </c>
      <c r="C62" s="31" t="s">
        <v>426</v>
      </c>
      <c r="D62" s="31" t="s">
        <v>205</v>
      </c>
      <c r="E62" s="31" t="s">
        <v>420</v>
      </c>
      <c r="F62" s="31" t="s">
        <v>427</v>
      </c>
      <c r="G62" s="31" t="s">
        <v>428</v>
      </c>
    </row>
    <row r="63">
      <c r="A63" s="17">
        <v>26.0</v>
      </c>
      <c r="B63" s="31" t="s">
        <v>407</v>
      </c>
      <c r="C63" s="31" t="s">
        <v>429</v>
      </c>
      <c r="D63" s="31" t="s">
        <v>205</v>
      </c>
      <c r="E63" s="31" t="s">
        <v>420</v>
      </c>
      <c r="F63" s="31" t="s">
        <v>430</v>
      </c>
      <c r="G63" s="31" t="s">
        <v>431</v>
      </c>
    </row>
    <row r="64">
      <c r="A64" s="17">
        <v>26.0</v>
      </c>
      <c r="B64" s="31" t="s">
        <v>407</v>
      </c>
      <c r="C64" s="31" t="s">
        <v>432</v>
      </c>
      <c r="D64" s="31" t="s">
        <v>205</v>
      </c>
      <c r="E64" s="31" t="s">
        <v>420</v>
      </c>
      <c r="F64" s="31" t="s">
        <v>430</v>
      </c>
      <c r="G64" s="31" t="s">
        <v>433</v>
      </c>
    </row>
    <row r="65">
      <c r="A65" s="17">
        <v>28.0</v>
      </c>
      <c r="B65" s="31" t="s">
        <v>434</v>
      </c>
      <c r="C65" s="31" t="s">
        <v>435</v>
      </c>
      <c r="D65" s="31" t="s">
        <v>203</v>
      </c>
      <c r="E65" s="31" t="s">
        <v>436</v>
      </c>
      <c r="F65" s="31" t="s">
        <v>235</v>
      </c>
      <c r="G65" s="31" t="s">
        <v>437</v>
      </c>
    </row>
    <row r="66">
      <c r="A66" s="17">
        <v>28.0</v>
      </c>
      <c r="B66" s="31" t="s">
        <v>434</v>
      </c>
      <c r="C66" s="31" t="s">
        <v>438</v>
      </c>
      <c r="D66" s="31" t="s">
        <v>294</v>
      </c>
      <c r="E66" s="31" t="s">
        <v>320</v>
      </c>
      <c r="F66" s="31" t="s">
        <v>307</v>
      </c>
      <c r="G66" s="31" t="s">
        <v>439</v>
      </c>
    </row>
    <row r="67">
      <c r="A67" s="17">
        <v>29.0</v>
      </c>
      <c r="B67" s="31" t="s">
        <v>440</v>
      </c>
      <c r="C67" s="31" t="s">
        <v>441</v>
      </c>
      <c r="D67" s="31" t="s">
        <v>213</v>
      </c>
      <c r="E67" s="31" t="s">
        <v>442</v>
      </c>
      <c r="F67" s="31" t="s">
        <v>235</v>
      </c>
      <c r="G67" s="31" t="s">
        <v>443</v>
      </c>
    </row>
    <row r="68">
      <c r="A68" s="17">
        <v>29.0</v>
      </c>
      <c r="B68" s="31" t="s">
        <v>440</v>
      </c>
      <c r="C68" s="31" t="s">
        <v>444</v>
      </c>
      <c r="D68" s="31" t="s">
        <v>203</v>
      </c>
      <c r="E68" s="31" t="s">
        <v>442</v>
      </c>
      <c r="F68" s="31" t="s">
        <v>238</v>
      </c>
      <c r="G68" s="31" t="s">
        <v>445</v>
      </c>
    </row>
    <row r="69">
      <c r="A69" s="17">
        <v>29.0</v>
      </c>
      <c r="B69" s="31" t="s">
        <v>440</v>
      </c>
      <c r="C69" s="31" t="s">
        <v>446</v>
      </c>
      <c r="D69" s="31" t="s">
        <v>203</v>
      </c>
      <c r="E69" s="31" t="s">
        <v>279</v>
      </c>
      <c r="F69" s="31" t="s">
        <v>245</v>
      </c>
      <c r="G69" s="31" t="s">
        <v>447</v>
      </c>
    </row>
    <row r="70">
      <c r="A70" s="17">
        <v>29.0</v>
      </c>
      <c r="B70" s="31" t="s">
        <v>440</v>
      </c>
      <c r="C70" s="31" t="s">
        <v>448</v>
      </c>
      <c r="D70" s="31" t="s">
        <v>203</v>
      </c>
      <c r="E70" s="31" t="s">
        <v>449</v>
      </c>
      <c r="F70" s="31" t="s">
        <v>245</v>
      </c>
      <c r="G70" s="31" t="s">
        <v>450</v>
      </c>
    </row>
    <row r="71">
      <c r="A71" s="17">
        <v>29.0</v>
      </c>
      <c r="B71" s="31" t="s">
        <v>451</v>
      </c>
      <c r="C71" s="31" t="s">
        <v>452</v>
      </c>
      <c r="D71" s="31" t="s">
        <v>201</v>
      </c>
      <c r="E71" s="31" t="s">
        <v>453</v>
      </c>
      <c r="F71" s="31" t="s">
        <v>245</v>
      </c>
      <c r="G71" s="31" t="s">
        <v>454</v>
      </c>
    </row>
    <row r="72">
      <c r="A72" s="17">
        <v>29.0</v>
      </c>
      <c r="B72" s="31" t="s">
        <v>440</v>
      </c>
      <c r="C72" s="31" t="s">
        <v>455</v>
      </c>
      <c r="D72" s="31" t="s">
        <v>207</v>
      </c>
      <c r="E72" s="31" t="s">
        <v>453</v>
      </c>
      <c r="F72" s="31" t="s">
        <v>238</v>
      </c>
      <c r="G72" s="31" t="s">
        <v>456</v>
      </c>
    </row>
    <row r="73">
      <c r="A73" s="17">
        <v>30.0</v>
      </c>
      <c r="B73" s="31" t="s">
        <v>457</v>
      </c>
      <c r="C73" s="31" t="s">
        <v>458</v>
      </c>
      <c r="D73" s="31" t="s">
        <v>201</v>
      </c>
      <c r="E73" s="31" t="s">
        <v>320</v>
      </c>
      <c r="F73" s="31" t="s">
        <v>235</v>
      </c>
      <c r="G73" s="31" t="s">
        <v>459</v>
      </c>
    </row>
    <row r="74">
      <c r="A74" s="17">
        <v>30.0</v>
      </c>
      <c r="B74" s="31" t="s">
        <v>457</v>
      </c>
      <c r="C74" s="31" t="s">
        <v>460</v>
      </c>
      <c r="D74" s="31" t="s">
        <v>215</v>
      </c>
      <c r="E74" s="31" t="s">
        <v>320</v>
      </c>
      <c r="F74" s="31" t="s">
        <v>238</v>
      </c>
      <c r="G74" s="31" t="s">
        <v>461</v>
      </c>
    </row>
    <row r="75">
      <c r="A75" s="17">
        <v>30.0</v>
      </c>
      <c r="B75" s="31" t="s">
        <v>457</v>
      </c>
      <c r="C75" s="31" t="s">
        <v>462</v>
      </c>
      <c r="D75" s="31" t="s">
        <v>195</v>
      </c>
      <c r="E75" s="31" t="s">
        <v>463</v>
      </c>
      <c r="F75" s="31" t="s">
        <v>245</v>
      </c>
      <c r="G75" s="31" t="s">
        <v>464</v>
      </c>
    </row>
    <row r="76">
      <c r="A76" s="17">
        <v>30.0</v>
      </c>
      <c r="B76" s="31" t="s">
        <v>457</v>
      </c>
      <c r="C76" s="31" t="s">
        <v>465</v>
      </c>
      <c r="D76" s="31" t="s">
        <v>201</v>
      </c>
      <c r="E76" s="31" t="s">
        <v>466</v>
      </c>
      <c r="F76" s="31" t="s">
        <v>245</v>
      </c>
      <c r="G76" s="31" t="s">
        <v>467</v>
      </c>
    </row>
    <row r="77">
      <c r="A77" s="17">
        <v>30.0</v>
      </c>
      <c r="B77" s="31" t="s">
        <v>457</v>
      </c>
      <c r="C77" s="31" t="s">
        <v>468</v>
      </c>
      <c r="D77" s="31" t="s">
        <v>205</v>
      </c>
      <c r="E77" s="31" t="s">
        <v>466</v>
      </c>
      <c r="F77" s="31" t="s">
        <v>238</v>
      </c>
      <c r="G77" s="31" t="s">
        <v>469</v>
      </c>
    </row>
    <row r="78">
      <c r="A78" s="17">
        <v>30.0</v>
      </c>
      <c r="B78" s="31" t="s">
        <v>457</v>
      </c>
      <c r="C78" s="31" t="s">
        <v>470</v>
      </c>
      <c r="D78" s="31" t="s">
        <v>195</v>
      </c>
      <c r="E78" s="31" t="s">
        <v>471</v>
      </c>
      <c r="F78" s="31" t="s">
        <v>245</v>
      </c>
      <c r="G78" s="31" t="s">
        <v>472</v>
      </c>
    </row>
    <row r="79">
      <c r="A79" s="17">
        <v>31.0</v>
      </c>
      <c r="B79" s="31" t="s">
        <v>473</v>
      </c>
      <c r="C79" s="31" t="s">
        <v>474</v>
      </c>
      <c r="D79" s="31" t="s">
        <v>203</v>
      </c>
      <c r="E79" s="31" t="s">
        <v>248</v>
      </c>
      <c r="F79" s="31" t="s">
        <v>307</v>
      </c>
      <c r="G79" s="31" t="s">
        <v>475</v>
      </c>
    </row>
    <row r="80">
      <c r="A80" s="17">
        <v>31.0</v>
      </c>
      <c r="B80" s="31" t="s">
        <v>476</v>
      </c>
      <c r="C80" s="31" t="s">
        <v>477</v>
      </c>
      <c r="D80" s="31" t="s">
        <v>213</v>
      </c>
      <c r="E80" s="31" t="s">
        <v>478</v>
      </c>
      <c r="F80" s="31" t="s">
        <v>263</v>
      </c>
      <c r="G80" s="31" t="s">
        <v>479</v>
      </c>
    </row>
    <row r="81">
      <c r="A81" s="17">
        <v>31.0</v>
      </c>
      <c r="B81" s="31" t="s">
        <v>473</v>
      </c>
      <c r="C81" s="31" t="s">
        <v>480</v>
      </c>
      <c r="D81" s="31" t="s">
        <v>205</v>
      </c>
      <c r="E81" s="31" t="s">
        <v>478</v>
      </c>
      <c r="F81" s="31" t="s">
        <v>238</v>
      </c>
      <c r="G81" s="31" t="s">
        <v>481</v>
      </c>
    </row>
    <row r="82">
      <c r="A82" s="17">
        <v>31.0</v>
      </c>
      <c r="B82" s="31" t="s">
        <v>476</v>
      </c>
      <c r="C82" s="31" t="s">
        <v>482</v>
      </c>
      <c r="D82" s="31" t="s">
        <v>207</v>
      </c>
      <c r="E82" s="31" t="s">
        <v>478</v>
      </c>
      <c r="F82" s="31" t="s">
        <v>238</v>
      </c>
      <c r="G82" s="31" t="s">
        <v>483</v>
      </c>
    </row>
    <row r="83">
      <c r="A83" s="17">
        <v>31.0</v>
      </c>
      <c r="B83" s="31" t="s">
        <v>476</v>
      </c>
      <c r="C83" s="31" t="s">
        <v>484</v>
      </c>
      <c r="D83" s="31" t="s">
        <v>201</v>
      </c>
      <c r="E83" s="31" t="s">
        <v>478</v>
      </c>
      <c r="F83" s="31" t="s">
        <v>238</v>
      </c>
      <c r="G83" s="31" t="s">
        <v>485</v>
      </c>
    </row>
    <row r="84">
      <c r="A84" s="17">
        <v>31.0</v>
      </c>
      <c r="B84" s="31" t="s">
        <v>476</v>
      </c>
      <c r="C84" s="31" t="s">
        <v>486</v>
      </c>
      <c r="D84" s="31" t="s">
        <v>205</v>
      </c>
      <c r="E84" s="31" t="s">
        <v>478</v>
      </c>
      <c r="F84" s="31" t="s">
        <v>238</v>
      </c>
      <c r="G84" s="31" t="s">
        <v>487</v>
      </c>
    </row>
    <row r="85">
      <c r="A85" s="17">
        <v>32.0</v>
      </c>
      <c r="B85" s="31" t="s">
        <v>488</v>
      </c>
      <c r="C85" s="31" t="s">
        <v>489</v>
      </c>
      <c r="D85" s="31" t="s">
        <v>213</v>
      </c>
      <c r="E85" s="31" t="s">
        <v>386</v>
      </c>
      <c r="F85" s="31" t="s">
        <v>263</v>
      </c>
      <c r="G85" s="31" t="s">
        <v>387</v>
      </c>
    </row>
    <row r="86">
      <c r="A86" s="17">
        <v>32.0</v>
      </c>
      <c r="B86" s="31" t="s">
        <v>488</v>
      </c>
      <c r="C86" s="31" t="s">
        <v>490</v>
      </c>
      <c r="D86" s="31" t="s">
        <v>203</v>
      </c>
      <c r="E86" s="31" t="s">
        <v>491</v>
      </c>
      <c r="F86" s="31" t="s">
        <v>263</v>
      </c>
      <c r="G86" s="31" t="s">
        <v>492</v>
      </c>
    </row>
    <row r="87">
      <c r="A87" s="17">
        <v>32.0</v>
      </c>
      <c r="B87" s="31" t="s">
        <v>493</v>
      </c>
      <c r="C87" s="31" t="s">
        <v>494</v>
      </c>
      <c r="D87" s="31" t="s">
        <v>213</v>
      </c>
      <c r="E87" s="31" t="s">
        <v>57</v>
      </c>
      <c r="F87" s="31" t="s">
        <v>235</v>
      </c>
      <c r="G87" s="31" t="s">
        <v>495</v>
      </c>
    </row>
    <row r="88">
      <c r="A88" s="17">
        <v>33.0</v>
      </c>
      <c r="B88" s="31" t="s">
        <v>496</v>
      </c>
      <c r="C88" s="31" t="s">
        <v>497</v>
      </c>
      <c r="D88" s="31" t="s">
        <v>195</v>
      </c>
      <c r="E88" s="31" t="s">
        <v>498</v>
      </c>
      <c r="F88" s="31" t="s">
        <v>245</v>
      </c>
      <c r="G88" s="31" t="s">
        <v>499</v>
      </c>
    </row>
    <row r="89">
      <c r="A89" s="17">
        <v>33.0</v>
      </c>
      <c r="B89" s="31" t="s">
        <v>496</v>
      </c>
      <c r="C89" s="31" t="s">
        <v>500</v>
      </c>
      <c r="D89" s="31" t="s">
        <v>205</v>
      </c>
      <c r="E89" s="31" t="s">
        <v>498</v>
      </c>
      <c r="F89" s="31" t="s">
        <v>238</v>
      </c>
      <c r="G89" s="31" t="s">
        <v>501</v>
      </c>
    </row>
    <row r="90">
      <c r="A90" s="17">
        <v>33.0</v>
      </c>
      <c r="B90" s="31" t="s">
        <v>496</v>
      </c>
      <c r="C90" s="31" t="s">
        <v>502</v>
      </c>
      <c r="D90" s="31" t="s">
        <v>205</v>
      </c>
      <c r="E90" s="31" t="s">
        <v>498</v>
      </c>
      <c r="F90" s="31" t="s">
        <v>238</v>
      </c>
      <c r="G90" s="31" t="s">
        <v>503</v>
      </c>
    </row>
    <row r="91">
      <c r="A91" s="17">
        <v>33.0</v>
      </c>
      <c r="B91" s="31" t="s">
        <v>496</v>
      </c>
      <c r="C91" s="31" t="s">
        <v>504</v>
      </c>
      <c r="D91" s="31" t="s">
        <v>205</v>
      </c>
      <c r="E91" s="31" t="s">
        <v>498</v>
      </c>
      <c r="F91" s="31" t="s">
        <v>238</v>
      </c>
      <c r="G91" s="31" t="s">
        <v>505</v>
      </c>
    </row>
    <row r="92">
      <c r="A92" s="17">
        <v>33.0</v>
      </c>
      <c r="B92" s="31" t="s">
        <v>496</v>
      </c>
      <c r="C92" s="31" t="s">
        <v>506</v>
      </c>
      <c r="D92" s="31" t="s">
        <v>201</v>
      </c>
      <c r="E92" s="31" t="s">
        <v>498</v>
      </c>
      <c r="F92" s="31" t="s">
        <v>238</v>
      </c>
      <c r="G92" s="31" t="s">
        <v>507</v>
      </c>
    </row>
    <row r="93">
      <c r="A93" s="17">
        <v>33.0</v>
      </c>
      <c r="B93" s="31" t="s">
        <v>496</v>
      </c>
      <c r="C93" s="31" t="s">
        <v>508</v>
      </c>
      <c r="D93" s="31" t="s">
        <v>205</v>
      </c>
      <c r="E93" s="31" t="s">
        <v>498</v>
      </c>
      <c r="F93" s="31" t="s">
        <v>238</v>
      </c>
      <c r="G93" s="31" t="s">
        <v>509</v>
      </c>
    </row>
    <row r="94">
      <c r="A94" s="17">
        <v>33.0</v>
      </c>
      <c r="B94" s="31" t="s">
        <v>496</v>
      </c>
      <c r="C94" s="31" t="s">
        <v>510</v>
      </c>
      <c r="D94" s="31" t="s">
        <v>205</v>
      </c>
      <c r="E94" s="31" t="s">
        <v>498</v>
      </c>
      <c r="F94" s="31" t="s">
        <v>238</v>
      </c>
      <c r="G94" s="31" t="s">
        <v>511</v>
      </c>
    </row>
    <row r="95">
      <c r="A95" s="17">
        <v>33.0</v>
      </c>
      <c r="B95" s="31" t="s">
        <v>496</v>
      </c>
      <c r="C95" s="31" t="s">
        <v>512</v>
      </c>
      <c r="D95" s="31" t="s">
        <v>201</v>
      </c>
      <c r="E95" s="31" t="s">
        <v>498</v>
      </c>
      <c r="F95" s="31" t="s">
        <v>238</v>
      </c>
      <c r="G95" s="31" t="s">
        <v>513</v>
      </c>
    </row>
    <row r="96">
      <c r="A96" s="17">
        <v>33.0</v>
      </c>
      <c r="B96" s="31" t="s">
        <v>496</v>
      </c>
      <c r="C96" s="31" t="s">
        <v>514</v>
      </c>
      <c r="D96" s="31" t="s">
        <v>213</v>
      </c>
      <c r="E96" s="31" t="s">
        <v>515</v>
      </c>
      <c r="F96" s="31" t="s">
        <v>263</v>
      </c>
      <c r="G96" s="31" t="s">
        <v>516</v>
      </c>
    </row>
    <row r="97">
      <c r="A97" s="17">
        <v>33.0</v>
      </c>
      <c r="B97" s="31" t="s">
        <v>496</v>
      </c>
      <c r="C97" s="31" t="s">
        <v>517</v>
      </c>
      <c r="D97" s="31" t="s">
        <v>518</v>
      </c>
      <c r="E97" s="31" t="s">
        <v>519</v>
      </c>
      <c r="F97" s="31" t="s">
        <v>307</v>
      </c>
      <c r="G97" s="31" t="s">
        <v>520</v>
      </c>
    </row>
    <row r="98">
      <c r="A98" s="17">
        <v>33.0</v>
      </c>
      <c r="B98" s="31" t="s">
        <v>521</v>
      </c>
      <c r="C98" s="31" t="s">
        <v>522</v>
      </c>
      <c r="D98" s="31" t="s">
        <v>213</v>
      </c>
      <c r="E98" s="31" t="s">
        <v>523</v>
      </c>
      <c r="F98" s="31" t="s">
        <v>235</v>
      </c>
      <c r="G98" s="31" t="s">
        <v>524</v>
      </c>
    </row>
    <row r="99">
      <c r="A99" s="17">
        <v>34.0</v>
      </c>
      <c r="B99" s="31" t="s">
        <v>525</v>
      </c>
      <c r="C99" s="31" t="s">
        <v>403</v>
      </c>
      <c r="D99" s="31" t="s">
        <v>213</v>
      </c>
      <c r="E99" s="31" t="s">
        <v>526</v>
      </c>
      <c r="F99" s="31" t="s">
        <v>245</v>
      </c>
      <c r="G99" s="31" t="s">
        <v>527</v>
      </c>
    </row>
    <row r="100">
      <c r="A100" s="17">
        <v>34.0</v>
      </c>
      <c r="B100" s="31" t="s">
        <v>525</v>
      </c>
      <c r="C100" s="31" t="s">
        <v>528</v>
      </c>
      <c r="D100" s="31" t="s">
        <v>215</v>
      </c>
      <c r="E100" s="31" t="s">
        <v>526</v>
      </c>
      <c r="F100" s="31" t="s">
        <v>238</v>
      </c>
      <c r="G100" s="31" t="s">
        <v>529</v>
      </c>
    </row>
    <row r="101">
      <c r="A101" s="17">
        <v>34.0</v>
      </c>
      <c r="B101" s="31" t="s">
        <v>525</v>
      </c>
      <c r="C101" s="31" t="s">
        <v>530</v>
      </c>
      <c r="D101" s="31" t="s">
        <v>205</v>
      </c>
      <c r="E101" s="31" t="s">
        <v>526</v>
      </c>
      <c r="F101" s="31" t="s">
        <v>238</v>
      </c>
      <c r="G101" s="31" t="s">
        <v>531</v>
      </c>
    </row>
    <row r="102">
      <c r="A102" s="17">
        <v>34.0</v>
      </c>
      <c r="B102" s="31" t="s">
        <v>525</v>
      </c>
      <c r="C102" s="31" t="s">
        <v>532</v>
      </c>
      <c r="D102" s="31" t="s">
        <v>205</v>
      </c>
      <c r="E102" s="31" t="s">
        <v>526</v>
      </c>
      <c r="F102" s="31" t="s">
        <v>238</v>
      </c>
      <c r="G102" s="31" t="s">
        <v>533</v>
      </c>
    </row>
    <row r="103">
      <c r="A103" s="17">
        <v>34.0</v>
      </c>
      <c r="B103" s="31" t="s">
        <v>525</v>
      </c>
      <c r="C103" s="31" t="s">
        <v>534</v>
      </c>
      <c r="D103" s="31" t="s">
        <v>207</v>
      </c>
      <c r="E103" s="31" t="s">
        <v>526</v>
      </c>
      <c r="F103" s="31" t="s">
        <v>238</v>
      </c>
      <c r="G103" s="31" t="s">
        <v>535</v>
      </c>
    </row>
    <row r="104">
      <c r="A104" s="17">
        <v>34.0</v>
      </c>
      <c r="B104" s="31" t="s">
        <v>525</v>
      </c>
      <c r="C104" s="31" t="s">
        <v>536</v>
      </c>
      <c r="D104" s="31" t="s">
        <v>205</v>
      </c>
      <c r="E104" s="31" t="s">
        <v>526</v>
      </c>
      <c r="F104" s="31" t="s">
        <v>238</v>
      </c>
      <c r="G104" s="31" t="s">
        <v>537</v>
      </c>
    </row>
    <row r="105">
      <c r="A105" s="17">
        <v>34.0</v>
      </c>
      <c r="B105" s="31" t="s">
        <v>525</v>
      </c>
      <c r="C105" s="31" t="s">
        <v>538</v>
      </c>
      <c r="D105" s="31" t="s">
        <v>213</v>
      </c>
      <c r="E105" s="31" t="s">
        <v>519</v>
      </c>
      <c r="F105" s="31" t="s">
        <v>539</v>
      </c>
      <c r="G105" s="31" t="s">
        <v>540</v>
      </c>
    </row>
    <row r="106">
      <c r="A106" s="17">
        <v>35.0</v>
      </c>
      <c r="B106" s="31" t="s">
        <v>541</v>
      </c>
      <c r="C106" s="31" t="s">
        <v>542</v>
      </c>
      <c r="D106" s="31" t="s">
        <v>201</v>
      </c>
      <c r="E106" s="31" t="s">
        <v>436</v>
      </c>
      <c r="F106" s="31" t="s">
        <v>235</v>
      </c>
      <c r="G106" s="31" t="s">
        <v>543</v>
      </c>
    </row>
    <row r="107">
      <c r="A107" s="17">
        <v>35.0</v>
      </c>
      <c r="B107" s="31" t="s">
        <v>541</v>
      </c>
      <c r="C107" s="31" t="s">
        <v>544</v>
      </c>
      <c r="D107" s="31" t="s">
        <v>215</v>
      </c>
      <c r="E107" s="31" t="s">
        <v>436</v>
      </c>
      <c r="F107" s="31" t="s">
        <v>238</v>
      </c>
      <c r="G107" s="31" t="s">
        <v>545</v>
      </c>
    </row>
    <row r="108">
      <c r="A108" s="17">
        <v>35.0</v>
      </c>
      <c r="B108" s="31" t="s">
        <v>541</v>
      </c>
      <c r="C108" s="31" t="s">
        <v>546</v>
      </c>
      <c r="D108" s="31" t="s">
        <v>211</v>
      </c>
      <c r="E108" s="31" t="s">
        <v>436</v>
      </c>
      <c r="F108" s="31" t="s">
        <v>238</v>
      </c>
      <c r="G108" s="31" t="s">
        <v>547</v>
      </c>
    </row>
    <row r="109">
      <c r="A109" s="17">
        <v>35.0</v>
      </c>
      <c r="B109" s="31" t="s">
        <v>541</v>
      </c>
      <c r="C109" s="31" t="s">
        <v>548</v>
      </c>
      <c r="D109" s="31" t="s">
        <v>197</v>
      </c>
      <c r="E109" s="31" t="s">
        <v>436</v>
      </c>
      <c r="F109" s="31" t="s">
        <v>238</v>
      </c>
      <c r="G109" s="31" t="s">
        <v>549</v>
      </c>
    </row>
    <row r="110">
      <c r="A110" s="17">
        <v>35.0</v>
      </c>
      <c r="B110" s="31" t="s">
        <v>541</v>
      </c>
      <c r="C110" s="31" t="s">
        <v>550</v>
      </c>
      <c r="D110" s="31" t="s">
        <v>205</v>
      </c>
      <c r="E110" s="31" t="s">
        <v>436</v>
      </c>
      <c r="F110" s="31" t="s">
        <v>238</v>
      </c>
      <c r="G110" s="31" t="s">
        <v>551</v>
      </c>
    </row>
    <row r="111">
      <c r="A111" s="17">
        <v>35.0</v>
      </c>
      <c r="B111" s="31" t="s">
        <v>541</v>
      </c>
      <c r="C111" s="31" t="s">
        <v>552</v>
      </c>
      <c r="D111" s="31" t="s">
        <v>203</v>
      </c>
      <c r="E111" s="31" t="s">
        <v>436</v>
      </c>
      <c r="F111" s="31" t="s">
        <v>238</v>
      </c>
      <c r="G111" s="31" t="s">
        <v>553</v>
      </c>
    </row>
    <row r="112">
      <c r="A112" s="17">
        <v>35.0</v>
      </c>
      <c r="B112" s="31" t="s">
        <v>541</v>
      </c>
      <c r="C112" s="31" t="s">
        <v>554</v>
      </c>
      <c r="D112" s="31" t="s">
        <v>195</v>
      </c>
      <c r="E112" s="31" t="s">
        <v>248</v>
      </c>
      <c r="F112" s="31" t="s">
        <v>307</v>
      </c>
      <c r="G112" s="31" t="s">
        <v>555</v>
      </c>
    </row>
    <row r="113">
      <c r="A113" s="17">
        <v>35.0</v>
      </c>
      <c r="B113" s="31" t="s">
        <v>556</v>
      </c>
      <c r="C113" s="31" t="s">
        <v>557</v>
      </c>
      <c r="D113" s="31" t="s">
        <v>213</v>
      </c>
      <c r="E113" s="31" t="s">
        <v>558</v>
      </c>
      <c r="F113" s="31" t="s">
        <v>263</v>
      </c>
      <c r="G113" s="31" t="s">
        <v>559</v>
      </c>
    </row>
    <row r="114">
      <c r="A114" s="17">
        <v>36.0</v>
      </c>
      <c r="B114" s="31" t="s">
        <v>560</v>
      </c>
      <c r="C114" s="31" t="s">
        <v>561</v>
      </c>
      <c r="D114" s="31" t="s">
        <v>213</v>
      </c>
      <c r="E114" s="31" t="s">
        <v>562</v>
      </c>
      <c r="F114" s="31" t="s">
        <v>235</v>
      </c>
      <c r="G114" s="31" t="s">
        <v>563</v>
      </c>
    </row>
    <row r="115">
      <c r="A115" s="17">
        <v>36.0</v>
      </c>
      <c r="B115" s="31" t="s">
        <v>560</v>
      </c>
      <c r="C115" s="31" t="s">
        <v>564</v>
      </c>
      <c r="D115" s="31" t="s">
        <v>205</v>
      </c>
      <c r="E115" s="31" t="s">
        <v>562</v>
      </c>
      <c r="F115" s="31" t="s">
        <v>238</v>
      </c>
      <c r="G115" s="31" t="s">
        <v>565</v>
      </c>
    </row>
    <row r="116">
      <c r="A116" s="17">
        <v>36.0</v>
      </c>
      <c r="B116" s="31" t="s">
        <v>560</v>
      </c>
      <c r="C116" s="31" t="s">
        <v>566</v>
      </c>
      <c r="D116" s="31" t="s">
        <v>203</v>
      </c>
      <c r="E116" s="31" t="s">
        <v>409</v>
      </c>
      <c r="F116" s="31" t="s">
        <v>235</v>
      </c>
      <c r="G116" s="31" t="s">
        <v>567</v>
      </c>
    </row>
    <row r="117">
      <c r="A117" s="17">
        <v>36.0</v>
      </c>
      <c r="B117" s="31" t="s">
        <v>560</v>
      </c>
      <c r="C117" s="31" t="s">
        <v>568</v>
      </c>
      <c r="D117" s="31" t="s">
        <v>213</v>
      </c>
      <c r="E117" s="31" t="s">
        <v>442</v>
      </c>
      <c r="F117" s="31" t="s">
        <v>263</v>
      </c>
      <c r="G117" s="31" t="s">
        <v>569</v>
      </c>
    </row>
    <row r="118">
      <c r="A118" s="17">
        <v>36.0</v>
      </c>
      <c r="B118" s="31" t="s">
        <v>570</v>
      </c>
      <c r="C118" s="31" t="s">
        <v>571</v>
      </c>
      <c r="D118" s="31" t="s">
        <v>201</v>
      </c>
      <c r="E118" s="31" t="s">
        <v>365</v>
      </c>
      <c r="F118" s="31" t="s">
        <v>263</v>
      </c>
      <c r="G118" s="31" t="s">
        <v>572</v>
      </c>
    </row>
    <row r="119">
      <c r="A119" s="17">
        <v>36.0</v>
      </c>
      <c r="B119" s="31" t="s">
        <v>570</v>
      </c>
      <c r="C119" s="31" t="s">
        <v>573</v>
      </c>
      <c r="D119" s="31" t="s">
        <v>205</v>
      </c>
      <c r="E119" s="31" t="s">
        <v>574</v>
      </c>
      <c r="F119" s="31" t="s">
        <v>263</v>
      </c>
      <c r="G119" s="31" t="s">
        <v>575</v>
      </c>
    </row>
    <row r="120">
      <c r="A120" s="17">
        <v>36.0</v>
      </c>
      <c r="B120" s="31" t="s">
        <v>560</v>
      </c>
      <c r="C120" s="31" t="s">
        <v>576</v>
      </c>
      <c r="D120" s="31" t="s">
        <v>201</v>
      </c>
      <c r="E120" s="31" t="s">
        <v>282</v>
      </c>
      <c r="F120" s="31" t="s">
        <v>245</v>
      </c>
      <c r="G120" s="31" t="s">
        <v>577</v>
      </c>
    </row>
    <row r="121">
      <c r="A121" s="17">
        <v>36.0</v>
      </c>
      <c r="B121" s="31" t="s">
        <v>560</v>
      </c>
      <c r="C121" s="31" t="s">
        <v>578</v>
      </c>
      <c r="D121" s="31" t="s">
        <v>207</v>
      </c>
      <c r="E121" s="31" t="s">
        <v>579</v>
      </c>
      <c r="F121" s="31" t="s">
        <v>245</v>
      </c>
      <c r="G121" s="31" t="s">
        <v>580</v>
      </c>
    </row>
    <row r="122">
      <c r="A122" s="17">
        <v>37.0</v>
      </c>
      <c r="B122" s="31" t="s">
        <v>581</v>
      </c>
      <c r="C122" s="31" t="s">
        <v>582</v>
      </c>
      <c r="D122" s="31" t="s">
        <v>583</v>
      </c>
      <c r="E122" s="31" t="s">
        <v>584</v>
      </c>
      <c r="F122" s="31" t="s">
        <v>307</v>
      </c>
      <c r="G122" s="31" t="s">
        <v>585</v>
      </c>
    </row>
    <row r="123">
      <c r="A123" s="17">
        <v>37.0</v>
      </c>
      <c r="B123" s="31" t="s">
        <v>581</v>
      </c>
      <c r="C123" s="31" t="s">
        <v>586</v>
      </c>
      <c r="D123" s="31" t="s">
        <v>213</v>
      </c>
      <c r="E123" s="31" t="s">
        <v>587</v>
      </c>
      <c r="F123" s="31" t="s">
        <v>245</v>
      </c>
      <c r="G123" s="31" t="s">
        <v>588</v>
      </c>
    </row>
    <row r="124">
      <c r="A124" s="17">
        <v>37.0</v>
      </c>
      <c r="B124" s="31" t="s">
        <v>581</v>
      </c>
      <c r="C124" s="31" t="s">
        <v>589</v>
      </c>
      <c r="D124" s="31" t="s">
        <v>205</v>
      </c>
      <c r="E124" s="31" t="s">
        <v>587</v>
      </c>
      <c r="F124" s="31" t="s">
        <v>238</v>
      </c>
      <c r="G124" s="31" t="s">
        <v>590</v>
      </c>
    </row>
    <row r="125">
      <c r="A125" s="17">
        <v>37.0</v>
      </c>
      <c r="B125" s="31" t="s">
        <v>581</v>
      </c>
      <c r="C125" s="31" t="s">
        <v>591</v>
      </c>
      <c r="D125" s="31" t="s">
        <v>592</v>
      </c>
      <c r="E125" s="31" t="s">
        <v>34</v>
      </c>
      <c r="F125" s="31" t="s">
        <v>307</v>
      </c>
      <c r="G125" s="31" t="s">
        <v>593</v>
      </c>
    </row>
    <row r="126">
      <c r="A126" s="17">
        <v>37.0</v>
      </c>
      <c r="B126" s="31" t="s">
        <v>581</v>
      </c>
      <c r="C126" s="31" t="s">
        <v>594</v>
      </c>
      <c r="D126" s="31" t="s">
        <v>211</v>
      </c>
      <c r="E126" s="31" t="s">
        <v>34</v>
      </c>
      <c r="F126" s="31" t="s">
        <v>238</v>
      </c>
      <c r="G126" s="31" t="s">
        <v>595</v>
      </c>
    </row>
    <row r="127">
      <c r="A127" s="17">
        <v>37.0</v>
      </c>
      <c r="B127" s="31" t="s">
        <v>581</v>
      </c>
      <c r="C127" s="31" t="s">
        <v>596</v>
      </c>
      <c r="D127" s="31" t="s">
        <v>195</v>
      </c>
      <c r="E127" s="31" t="s">
        <v>597</v>
      </c>
      <c r="F127" s="31" t="s">
        <v>235</v>
      </c>
      <c r="G127" s="31" t="s">
        <v>598</v>
      </c>
    </row>
    <row r="128">
      <c r="A128" s="17">
        <v>38.0</v>
      </c>
      <c r="B128" s="31" t="s">
        <v>599</v>
      </c>
      <c r="C128" s="31" t="s">
        <v>596</v>
      </c>
      <c r="D128" s="31" t="s">
        <v>209</v>
      </c>
      <c r="E128" s="31" t="s">
        <v>600</v>
      </c>
      <c r="F128" s="31" t="s">
        <v>263</v>
      </c>
      <c r="G128" s="31" t="s">
        <v>601</v>
      </c>
    </row>
    <row r="129">
      <c r="A129" s="17">
        <v>38.0</v>
      </c>
      <c r="B129" s="31" t="s">
        <v>599</v>
      </c>
      <c r="C129" s="31" t="s">
        <v>602</v>
      </c>
      <c r="D129" s="31" t="s">
        <v>203</v>
      </c>
      <c r="E129" s="31" t="s">
        <v>365</v>
      </c>
      <c r="F129" s="31" t="s">
        <v>307</v>
      </c>
      <c r="G129" s="31" t="s">
        <v>603</v>
      </c>
    </row>
    <row r="130">
      <c r="A130" s="17">
        <v>38.0</v>
      </c>
      <c r="B130" s="31" t="s">
        <v>599</v>
      </c>
      <c r="C130" s="31" t="s">
        <v>604</v>
      </c>
      <c r="D130" s="31" t="s">
        <v>211</v>
      </c>
      <c r="E130" s="31" t="s">
        <v>348</v>
      </c>
      <c r="F130" s="31" t="s">
        <v>235</v>
      </c>
      <c r="G130" s="31" t="s">
        <v>605</v>
      </c>
    </row>
    <row r="131">
      <c r="A131" s="17">
        <v>38.0</v>
      </c>
      <c r="B131" s="31" t="s">
        <v>599</v>
      </c>
      <c r="C131" s="31" t="s">
        <v>606</v>
      </c>
      <c r="D131" s="31" t="s">
        <v>211</v>
      </c>
      <c r="E131" s="31" t="s">
        <v>348</v>
      </c>
      <c r="F131" s="31" t="s">
        <v>235</v>
      </c>
      <c r="G131" s="31" t="s">
        <v>607</v>
      </c>
    </row>
    <row r="132">
      <c r="A132" s="17">
        <v>39.0</v>
      </c>
      <c r="B132" s="31" t="s">
        <v>608</v>
      </c>
      <c r="C132" s="31" t="s">
        <v>609</v>
      </c>
      <c r="D132" s="31" t="s">
        <v>213</v>
      </c>
      <c r="E132" s="31" t="s">
        <v>84</v>
      </c>
      <c r="F132" s="31" t="s">
        <v>307</v>
      </c>
      <c r="G132" s="31" t="s">
        <v>610</v>
      </c>
    </row>
    <row r="133">
      <c r="A133" s="17">
        <v>39.0</v>
      </c>
      <c r="B133" s="31" t="s">
        <v>608</v>
      </c>
      <c r="C133" s="31" t="s">
        <v>611</v>
      </c>
      <c r="D133" s="31" t="s">
        <v>205</v>
      </c>
      <c r="E133" s="31" t="s">
        <v>248</v>
      </c>
      <c r="F133" s="31" t="s">
        <v>235</v>
      </c>
      <c r="G133" s="31" t="s">
        <v>612</v>
      </c>
    </row>
    <row r="134">
      <c r="A134" s="17">
        <v>39.0</v>
      </c>
      <c r="B134" s="31" t="s">
        <v>608</v>
      </c>
      <c r="C134" s="31" t="s">
        <v>613</v>
      </c>
      <c r="D134" s="31" t="s">
        <v>211</v>
      </c>
      <c r="E134" s="31" t="s">
        <v>248</v>
      </c>
      <c r="F134" s="31" t="s">
        <v>238</v>
      </c>
      <c r="G134" s="31" t="s">
        <v>614</v>
      </c>
    </row>
    <row r="135">
      <c r="A135" s="17">
        <v>39.0</v>
      </c>
      <c r="B135" s="31" t="s">
        <v>608</v>
      </c>
      <c r="C135" s="31" t="s">
        <v>615</v>
      </c>
      <c r="D135" s="31" t="s">
        <v>616</v>
      </c>
      <c r="E135" s="31" t="s">
        <v>248</v>
      </c>
      <c r="F135" s="31" t="s">
        <v>238</v>
      </c>
      <c r="G135" s="31" t="s">
        <v>617</v>
      </c>
    </row>
    <row r="136">
      <c r="A136" s="17">
        <v>39.0</v>
      </c>
      <c r="B136" s="31" t="s">
        <v>608</v>
      </c>
      <c r="C136" s="31" t="s">
        <v>618</v>
      </c>
      <c r="D136" s="31" t="s">
        <v>211</v>
      </c>
      <c r="E136" s="31" t="s">
        <v>248</v>
      </c>
      <c r="F136" s="31" t="s">
        <v>238</v>
      </c>
      <c r="G136" s="31" t="s">
        <v>619</v>
      </c>
    </row>
    <row r="137">
      <c r="A137" s="17">
        <v>39.0</v>
      </c>
      <c r="B137" s="31" t="s">
        <v>608</v>
      </c>
      <c r="C137" s="31" t="s">
        <v>620</v>
      </c>
      <c r="D137" s="31" t="s">
        <v>205</v>
      </c>
      <c r="E137" s="31" t="s">
        <v>248</v>
      </c>
      <c r="F137" s="31" t="s">
        <v>238</v>
      </c>
      <c r="G137" s="31" t="s">
        <v>621</v>
      </c>
    </row>
    <row r="138">
      <c r="A138" s="17">
        <v>40.0</v>
      </c>
      <c r="B138" s="31" t="s">
        <v>622</v>
      </c>
      <c r="C138" s="31" t="s">
        <v>623</v>
      </c>
      <c r="D138" s="31" t="s">
        <v>205</v>
      </c>
      <c r="E138" s="31" t="s">
        <v>624</v>
      </c>
      <c r="F138" s="31" t="s">
        <v>625</v>
      </c>
      <c r="G138" s="31" t="s">
        <v>626</v>
      </c>
    </row>
    <row r="139">
      <c r="A139" s="17">
        <v>40.0</v>
      </c>
      <c r="B139" s="31" t="s">
        <v>622</v>
      </c>
      <c r="C139" s="31" t="s">
        <v>627</v>
      </c>
      <c r="D139" s="31" t="s">
        <v>195</v>
      </c>
      <c r="E139" s="31" t="s">
        <v>624</v>
      </c>
      <c r="F139" s="31" t="s">
        <v>263</v>
      </c>
      <c r="G139" s="31" t="s">
        <v>628</v>
      </c>
    </row>
    <row r="140">
      <c r="A140" s="17">
        <v>40.0</v>
      </c>
      <c r="B140" s="31" t="s">
        <v>622</v>
      </c>
      <c r="C140" s="31" t="s">
        <v>629</v>
      </c>
      <c r="D140" s="31" t="s">
        <v>213</v>
      </c>
      <c r="E140" s="31" t="s">
        <v>442</v>
      </c>
      <c r="F140" s="31" t="s">
        <v>235</v>
      </c>
      <c r="G140" s="31" t="s">
        <v>630</v>
      </c>
    </row>
    <row r="141">
      <c r="A141" s="17">
        <v>41.0</v>
      </c>
      <c r="B141" s="31" t="s">
        <v>631</v>
      </c>
      <c r="C141" s="31" t="s">
        <v>632</v>
      </c>
      <c r="D141" s="31" t="s">
        <v>203</v>
      </c>
      <c r="E141" s="31" t="s">
        <v>290</v>
      </c>
      <c r="F141" s="31" t="s">
        <v>263</v>
      </c>
      <c r="G141" s="31" t="s">
        <v>633</v>
      </c>
    </row>
    <row r="142">
      <c r="A142" s="17">
        <v>41.0</v>
      </c>
      <c r="B142" s="31" t="s">
        <v>631</v>
      </c>
      <c r="C142" s="31" t="s">
        <v>400</v>
      </c>
      <c r="D142" s="31" t="s">
        <v>634</v>
      </c>
      <c r="E142" s="31" t="s">
        <v>635</v>
      </c>
      <c r="F142" s="31" t="s">
        <v>636</v>
      </c>
      <c r="G142" s="31" t="s">
        <v>637</v>
      </c>
    </row>
    <row r="143">
      <c r="A143" s="17">
        <v>41.0</v>
      </c>
      <c r="B143" s="31" t="s">
        <v>631</v>
      </c>
      <c r="C143" s="31" t="s">
        <v>638</v>
      </c>
      <c r="D143" s="31" t="s">
        <v>211</v>
      </c>
      <c r="E143" s="31" t="s">
        <v>639</v>
      </c>
      <c r="F143" s="31" t="s">
        <v>245</v>
      </c>
      <c r="G143" s="31" t="s">
        <v>640</v>
      </c>
    </row>
    <row r="144">
      <c r="A144" s="17">
        <v>42.0</v>
      </c>
      <c r="B144" s="31" t="s">
        <v>641</v>
      </c>
      <c r="C144" s="31" t="s">
        <v>642</v>
      </c>
      <c r="D144" s="31" t="s">
        <v>209</v>
      </c>
      <c r="E144" s="31" t="s">
        <v>393</v>
      </c>
      <c r="F144" s="31" t="s">
        <v>263</v>
      </c>
      <c r="G144" s="31" t="s">
        <v>643</v>
      </c>
    </row>
    <row r="145">
      <c r="A145" s="17">
        <v>42.0</v>
      </c>
      <c r="B145" s="31" t="s">
        <v>641</v>
      </c>
      <c r="C145" s="31" t="s">
        <v>644</v>
      </c>
      <c r="D145" s="31" t="s">
        <v>213</v>
      </c>
      <c r="E145" s="31" t="s">
        <v>51</v>
      </c>
      <c r="F145" s="31" t="s">
        <v>307</v>
      </c>
      <c r="G145" s="31" t="s">
        <v>645</v>
      </c>
    </row>
    <row r="146">
      <c r="A146" s="17">
        <v>43.0</v>
      </c>
      <c r="B146" s="31" t="s">
        <v>646</v>
      </c>
      <c r="C146" s="31" t="s">
        <v>647</v>
      </c>
      <c r="D146" s="31" t="s">
        <v>203</v>
      </c>
      <c r="E146" s="31" t="s">
        <v>648</v>
      </c>
      <c r="F146" s="31" t="s">
        <v>263</v>
      </c>
      <c r="G146" s="31" t="s">
        <v>649</v>
      </c>
    </row>
    <row r="147">
      <c r="A147" s="17">
        <v>43.0</v>
      </c>
      <c r="B147" s="31" t="s">
        <v>646</v>
      </c>
      <c r="C147" s="31" t="s">
        <v>650</v>
      </c>
      <c r="D147" s="31" t="s">
        <v>205</v>
      </c>
      <c r="E147" s="31" t="s">
        <v>648</v>
      </c>
      <c r="F147" s="31" t="s">
        <v>238</v>
      </c>
      <c r="G147" s="31" t="s">
        <v>651</v>
      </c>
    </row>
    <row r="148">
      <c r="A148" s="17">
        <v>43.0</v>
      </c>
      <c r="B148" s="31" t="s">
        <v>646</v>
      </c>
      <c r="C148" s="31" t="s">
        <v>652</v>
      </c>
      <c r="D148" s="31" t="s">
        <v>211</v>
      </c>
      <c r="E148" s="31" t="s">
        <v>34</v>
      </c>
      <c r="F148" s="31" t="s">
        <v>235</v>
      </c>
      <c r="G148" s="31" t="s">
        <v>653</v>
      </c>
    </row>
    <row r="149">
      <c r="A149" s="17">
        <v>43.0</v>
      </c>
      <c r="B149" s="31" t="s">
        <v>646</v>
      </c>
      <c r="C149" s="31" t="s">
        <v>654</v>
      </c>
      <c r="D149" s="31" t="s">
        <v>207</v>
      </c>
      <c r="E149" s="31" t="s">
        <v>34</v>
      </c>
      <c r="F149" s="31" t="s">
        <v>263</v>
      </c>
      <c r="G149" s="31" t="s">
        <v>655</v>
      </c>
    </row>
    <row r="150">
      <c r="A150" s="17">
        <v>44.0</v>
      </c>
      <c r="B150" s="31" t="s">
        <v>656</v>
      </c>
      <c r="C150" s="31" t="s">
        <v>300</v>
      </c>
      <c r="D150" s="31" t="s">
        <v>213</v>
      </c>
      <c r="E150" s="31" t="s">
        <v>657</v>
      </c>
      <c r="F150" s="31" t="s">
        <v>263</v>
      </c>
      <c r="G150" s="31" t="s">
        <v>658</v>
      </c>
    </row>
    <row r="151">
      <c r="A151" s="17">
        <v>44.0</v>
      </c>
      <c r="B151" s="31" t="s">
        <v>656</v>
      </c>
      <c r="C151" s="31" t="s">
        <v>659</v>
      </c>
      <c r="D151" s="31" t="s">
        <v>203</v>
      </c>
      <c r="E151" s="31" t="s">
        <v>466</v>
      </c>
      <c r="F151" s="31" t="s">
        <v>307</v>
      </c>
      <c r="G151" s="31" t="s">
        <v>660</v>
      </c>
    </row>
    <row r="152">
      <c r="A152" s="17">
        <v>45.0</v>
      </c>
      <c r="B152" s="31" t="s">
        <v>661</v>
      </c>
      <c r="C152" s="31" t="s">
        <v>662</v>
      </c>
      <c r="D152" s="31" t="s">
        <v>663</v>
      </c>
      <c r="E152" s="31" t="s">
        <v>664</v>
      </c>
      <c r="F152" s="31" t="s">
        <v>235</v>
      </c>
      <c r="G152" s="31" t="s">
        <v>665</v>
      </c>
    </row>
    <row r="153">
      <c r="A153" s="17">
        <v>45.0</v>
      </c>
      <c r="B153" s="31" t="s">
        <v>661</v>
      </c>
      <c r="C153" s="31" t="s">
        <v>666</v>
      </c>
      <c r="D153" s="31" t="s">
        <v>197</v>
      </c>
      <c r="E153" s="31" t="s">
        <v>664</v>
      </c>
      <c r="F153" s="31" t="s">
        <v>238</v>
      </c>
      <c r="G153" s="31" t="s">
        <v>667</v>
      </c>
    </row>
    <row r="154">
      <c r="A154" s="17">
        <v>45.0</v>
      </c>
      <c r="B154" s="31" t="s">
        <v>661</v>
      </c>
      <c r="C154" s="31" t="s">
        <v>668</v>
      </c>
      <c r="D154" s="31" t="s">
        <v>197</v>
      </c>
      <c r="E154" s="31" t="s">
        <v>664</v>
      </c>
      <c r="F154" s="31" t="s">
        <v>238</v>
      </c>
      <c r="G154" s="31" t="s">
        <v>669</v>
      </c>
    </row>
    <row r="155">
      <c r="A155" s="17">
        <v>45.0</v>
      </c>
      <c r="B155" s="31" t="s">
        <v>661</v>
      </c>
      <c r="C155" s="31" t="s">
        <v>670</v>
      </c>
      <c r="D155" s="31" t="s">
        <v>211</v>
      </c>
      <c r="E155" s="31" t="s">
        <v>671</v>
      </c>
      <c r="F155" s="31" t="s">
        <v>245</v>
      </c>
      <c r="G155" s="31" t="s">
        <v>672</v>
      </c>
    </row>
    <row r="156">
      <c r="A156" s="17">
        <v>45.0</v>
      </c>
      <c r="B156" s="31" t="s">
        <v>661</v>
      </c>
      <c r="C156" s="31" t="s">
        <v>673</v>
      </c>
      <c r="D156" s="31" t="s">
        <v>213</v>
      </c>
      <c r="E156" s="31" t="s">
        <v>48</v>
      </c>
      <c r="F156" s="31" t="s">
        <v>245</v>
      </c>
      <c r="G156" s="31" t="s">
        <v>674</v>
      </c>
    </row>
    <row r="157">
      <c r="A157" s="17">
        <v>45.0</v>
      </c>
      <c r="B157" s="31" t="s">
        <v>661</v>
      </c>
      <c r="C157" s="31" t="s">
        <v>675</v>
      </c>
      <c r="D157" s="31" t="s">
        <v>197</v>
      </c>
      <c r="E157" s="31" t="s">
        <v>48</v>
      </c>
      <c r="F157" s="31" t="s">
        <v>238</v>
      </c>
      <c r="G157" s="31" t="s">
        <v>676</v>
      </c>
    </row>
    <row r="158">
      <c r="A158" s="17">
        <v>45.0</v>
      </c>
      <c r="B158" s="31" t="s">
        <v>661</v>
      </c>
      <c r="C158" s="31" t="s">
        <v>677</v>
      </c>
      <c r="D158" s="31" t="s">
        <v>203</v>
      </c>
      <c r="E158" s="31" t="s">
        <v>165</v>
      </c>
      <c r="F158" s="31" t="s">
        <v>263</v>
      </c>
      <c r="G158" s="31" t="s">
        <v>678</v>
      </c>
    </row>
    <row r="159">
      <c r="A159" s="17">
        <v>45.0</v>
      </c>
      <c r="B159" s="31" t="s">
        <v>661</v>
      </c>
      <c r="C159" s="31" t="s">
        <v>679</v>
      </c>
      <c r="D159" s="31" t="s">
        <v>197</v>
      </c>
      <c r="E159" s="31" t="s">
        <v>165</v>
      </c>
      <c r="F159" s="31" t="s">
        <v>238</v>
      </c>
      <c r="G159" s="31" t="s">
        <v>680</v>
      </c>
    </row>
    <row r="160">
      <c r="A160" s="17">
        <v>45.0</v>
      </c>
      <c r="B160" s="31" t="s">
        <v>661</v>
      </c>
      <c r="C160" s="31" t="s">
        <v>681</v>
      </c>
      <c r="D160" s="31" t="s">
        <v>213</v>
      </c>
      <c r="E160" s="31" t="s">
        <v>466</v>
      </c>
      <c r="F160" s="31" t="s">
        <v>263</v>
      </c>
      <c r="G160" s="31" t="s">
        <v>682</v>
      </c>
    </row>
    <row r="161">
      <c r="A161" s="17">
        <v>46.0</v>
      </c>
      <c r="B161" s="31" t="s">
        <v>683</v>
      </c>
      <c r="C161" s="31" t="s">
        <v>684</v>
      </c>
      <c r="D161" s="31" t="s">
        <v>213</v>
      </c>
      <c r="E161" s="31" t="s">
        <v>386</v>
      </c>
      <c r="F161" s="31" t="s">
        <v>263</v>
      </c>
      <c r="G161" s="31" t="s">
        <v>387</v>
      </c>
    </row>
    <row r="162">
      <c r="A162" s="17">
        <v>46.0</v>
      </c>
      <c r="B162" s="31" t="s">
        <v>683</v>
      </c>
      <c r="C162" s="31" t="s">
        <v>685</v>
      </c>
      <c r="D162" s="31" t="s">
        <v>195</v>
      </c>
      <c r="E162" s="31" t="s">
        <v>686</v>
      </c>
      <c r="F162" s="31" t="s">
        <v>307</v>
      </c>
      <c r="G162" s="31" t="s">
        <v>687</v>
      </c>
    </row>
    <row r="163">
      <c r="A163" s="17">
        <v>46.0</v>
      </c>
      <c r="B163" s="31" t="s">
        <v>683</v>
      </c>
      <c r="C163" s="31" t="s">
        <v>688</v>
      </c>
      <c r="D163" s="31" t="s">
        <v>213</v>
      </c>
      <c r="E163" s="31" t="s">
        <v>295</v>
      </c>
      <c r="F163" s="31" t="s">
        <v>307</v>
      </c>
      <c r="G163" s="31" t="s">
        <v>689</v>
      </c>
    </row>
    <row r="164">
      <c r="A164" s="17">
        <v>46.0</v>
      </c>
      <c r="B164" s="31" t="s">
        <v>683</v>
      </c>
      <c r="C164" s="31" t="s">
        <v>690</v>
      </c>
      <c r="D164" s="31" t="s">
        <v>213</v>
      </c>
      <c r="E164" s="31" t="s">
        <v>306</v>
      </c>
      <c r="F164" s="31" t="s">
        <v>263</v>
      </c>
      <c r="G164" s="31" t="s">
        <v>691</v>
      </c>
    </row>
    <row r="165">
      <c r="A165" s="17">
        <v>47.0</v>
      </c>
      <c r="B165" s="31" t="s">
        <v>692</v>
      </c>
      <c r="C165" s="31" t="s">
        <v>693</v>
      </c>
      <c r="D165" s="31" t="s">
        <v>213</v>
      </c>
      <c r="E165" s="31" t="s">
        <v>694</v>
      </c>
      <c r="F165" s="31" t="s">
        <v>245</v>
      </c>
      <c r="G165" s="31" t="s">
        <v>695</v>
      </c>
    </row>
    <row r="166">
      <c r="A166" s="17">
        <v>47.0</v>
      </c>
      <c r="B166" s="31" t="s">
        <v>692</v>
      </c>
      <c r="C166" s="31" t="s">
        <v>542</v>
      </c>
      <c r="D166" s="31" t="s">
        <v>201</v>
      </c>
      <c r="E166" s="31" t="s">
        <v>694</v>
      </c>
      <c r="F166" s="31" t="s">
        <v>238</v>
      </c>
      <c r="G166" s="31" t="s">
        <v>696</v>
      </c>
    </row>
    <row r="167">
      <c r="A167" s="17">
        <v>47.0</v>
      </c>
      <c r="B167" s="31" t="s">
        <v>692</v>
      </c>
      <c r="C167" s="31" t="s">
        <v>697</v>
      </c>
      <c r="D167" s="31" t="s">
        <v>215</v>
      </c>
      <c r="E167" s="31" t="s">
        <v>694</v>
      </c>
      <c r="F167" s="31" t="s">
        <v>238</v>
      </c>
      <c r="G167" s="31" t="s">
        <v>698</v>
      </c>
    </row>
    <row r="168">
      <c r="A168" s="17">
        <v>47.0</v>
      </c>
      <c r="B168" s="31" t="s">
        <v>692</v>
      </c>
      <c r="C168" s="31" t="s">
        <v>699</v>
      </c>
      <c r="D168" s="31" t="s">
        <v>197</v>
      </c>
      <c r="E168" s="31" t="s">
        <v>700</v>
      </c>
      <c r="F168" s="31" t="s">
        <v>307</v>
      </c>
      <c r="G168" s="31" t="s">
        <v>701</v>
      </c>
    </row>
    <row r="169">
      <c r="A169" s="17">
        <v>47.0</v>
      </c>
      <c r="B169" s="31" t="s">
        <v>692</v>
      </c>
      <c r="C169" s="31" t="s">
        <v>702</v>
      </c>
      <c r="D169" s="31" t="s">
        <v>215</v>
      </c>
      <c r="E169" s="31" t="s">
        <v>700</v>
      </c>
      <c r="F169" s="31" t="s">
        <v>238</v>
      </c>
      <c r="G169" s="31" t="s">
        <v>703</v>
      </c>
    </row>
    <row r="170">
      <c r="A170" s="17">
        <v>47.0</v>
      </c>
      <c r="B170" s="31" t="s">
        <v>692</v>
      </c>
      <c r="C170" s="31" t="s">
        <v>704</v>
      </c>
      <c r="D170" s="31" t="s">
        <v>211</v>
      </c>
      <c r="E170" s="31" t="s">
        <v>705</v>
      </c>
      <c r="F170" s="31" t="s">
        <v>235</v>
      </c>
      <c r="G170" s="31" t="s">
        <v>706</v>
      </c>
    </row>
    <row r="171">
      <c r="A171" s="17">
        <v>48.0</v>
      </c>
      <c r="B171" s="31" t="s">
        <v>707</v>
      </c>
      <c r="C171" s="31" t="s">
        <v>708</v>
      </c>
      <c r="D171" s="31" t="s">
        <v>213</v>
      </c>
      <c r="E171" s="31" t="s">
        <v>386</v>
      </c>
      <c r="F171" s="31" t="s">
        <v>263</v>
      </c>
      <c r="G171" s="31" t="s">
        <v>387</v>
      </c>
    </row>
    <row r="172">
      <c r="A172" s="17">
        <v>48.0</v>
      </c>
      <c r="B172" s="31" t="s">
        <v>707</v>
      </c>
      <c r="C172" s="31" t="s">
        <v>709</v>
      </c>
      <c r="D172" s="31" t="s">
        <v>205</v>
      </c>
      <c r="E172" s="31" t="s">
        <v>710</v>
      </c>
      <c r="F172" s="31" t="s">
        <v>235</v>
      </c>
      <c r="G172" s="31" t="s">
        <v>711</v>
      </c>
    </row>
    <row r="173">
      <c r="A173" s="17">
        <v>48.0</v>
      </c>
      <c r="B173" s="31" t="s">
        <v>707</v>
      </c>
      <c r="C173" s="31" t="s">
        <v>712</v>
      </c>
      <c r="D173" s="31" t="s">
        <v>197</v>
      </c>
      <c r="E173" s="31" t="s">
        <v>710</v>
      </c>
      <c r="F173" s="31" t="s">
        <v>238</v>
      </c>
      <c r="G173" s="31" t="s">
        <v>713</v>
      </c>
    </row>
    <row r="174">
      <c r="A174" s="17">
        <v>48.0</v>
      </c>
      <c r="B174" s="31" t="s">
        <v>707</v>
      </c>
      <c r="C174" s="31" t="s">
        <v>714</v>
      </c>
      <c r="D174" s="31" t="s">
        <v>211</v>
      </c>
      <c r="E174" s="31" t="s">
        <v>710</v>
      </c>
      <c r="F174" s="31" t="s">
        <v>238</v>
      </c>
      <c r="G174" s="31" t="s">
        <v>715</v>
      </c>
    </row>
    <row r="175">
      <c r="A175" s="17">
        <v>48.0</v>
      </c>
      <c r="B175" s="31" t="s">
        <v>707</v>
      </c>
      <c r="C175" s="31" t="s">
        <v>716</v>
      </c>
      <c r="D175" s="31" t="s">
        <v>201</v>
      </c>
      <c r="E175" s="31" t="s">
        <v>717</v>
      </c>
      <c r="F175" s="31" t="s">
        <v>307</v>
      </c>
      <c r="G175" s="31" t="s">
        <v>718</v>
      </c>
    </row>
    <row r="176">
      <c r="A176" s="17">
        <v>48.0</v>
      </c>
      <c r="B176" s="31" t="s">
        <v>707</v>
      </c>
      <c r="C176" s="31" t="s">
        <v>719</v>
      </c>
      <c r="D176" s="31" t="s">
        <v>205</v>
      </c>
      <c r="E176" s="31" t="s">
        <v>717</v>
      </c>
      <c r="F176" s="31" t="s">
        <v>238</v>
      </c>
      <c r="G176" s="31" t="s">
        <v>720</v>
      </c>
    </row>
    <row r="177">
      <c r="A177" s="17">
        <v>48.0</v>
      </c>
      <c r="B177" s="31" t="s">
        <v>707</v>
      </c>
      <c r="C177" s="31" t="s">
        <v>721</v>
      </c>
      <c r="D177" s="31" t="s">
        <v>205</v>
      </c>
      <c r="E177" s="31" t="s">
        <v>717</v>
      </c>
      <c r="F177" s="31" t="s">
        <v>238</v>
      </c>
      <c r="G177" s="31" t="s">
        <v>722</v>
      </c>
    </row>
    <row r="178">
      <c r="A178" s="17">
        <v>48.0</v>
      </c>
      <c r="B178" s="31" t="s">
        <v>707</v>
      </c>
      <c r="C178" s="31" t="s">
        <v>723</v>
      </c>
      <c r="D178" s="31" t="s">
        <v>205</v>
      </c>
      <c r="E178" s="31" t="s">
        <v>717</v>
      </c>
      <c r="F178" s="31" t="s">
        <v>238</v>
      </c>
      <c r="G178" s="31" t="s">
        <v>724</v>
      </c>
    </row>
    <row r="179">
      <c r="A179" s="17">
        <v>48.0</v>
      </c>
      <c r="B179" s="31" t="s">
        <v>707</v>
      </c>
      <c r="C179" s="31" t="s">
        <v>725</v>
      </c>
      <c r="D179" s="31" t="s">
        <v>389</v>
      </c>
      <c r="E179" s="31" t="s">
        <v>726</v>
      </c>
      <c r="F179" s="31" t="s">
        <v>307</v>
      </c>
      <c r="G179" s="31" t="s">
        <v>727</v>
      </c>
    </row>
    <row r="180">
      <c r="A180" s="17">
        <v>48.0</v>
      </c>
      <c r="B180" s="31" t="s">
        <v>707</v>
      </c>
      <c r="C180" s="31" t="s">
        <v>728</v>
      </c>
      <c r="D180" s="31" t="s">
        <v>729</v>
      </c>
      <c r="E180" s="31" t="s">
        <v>726</v>
      </c>
      <c r="F180" s="31" t="s">
        <v>238</v>
      </c>
      <c r="G180" s="31" t="s">
        <v>730</v>
      </c>
    </row>
    <row r="181">
      <c r="A181" s="17">
        <v>48.0</v>
      </c>
      <c r="B181" s="31" t="s">
        <v>707</v>
      </c>
      <c r="C181" s="31" t="s">
        <v>731</v>
      </c>
      <c r="D181" s="31" t="s">
        <v>732</v>
      </c>
      <c r="E181" s="31" t="s">
        <v>726</v>
      </c>
      <c r="F181" s="31" t="s">
        <v>238</v>
      </c>
      <c r="G181" s="31" t="s">
        <v>733</v>
      </c>
    </row>
    <row r="182">
      <c r="A182" s="17">
        <v>48.0</v>
      </c>
      <c r="B182" s="31" t="s">
        <v>707</v>
      </c>
      <c r="C182" s="31" t="s">
        <v>734</v>
      </c>
      <c r="D182" s="31" t="s">
        <v>211</v>
      </c>
      <c r="E182" s="31" t="s">
        <v>726</v>
      </c>
      <c r="F182" s="31" t="s">
        <v>238</v>
      </c>
      <c r="G182" s="31" t="s">
        <v>735</v>
      </c>
    </row>
    <row r="183">
      <c r="A183" s="17">
        <v>48.0</v>
      </c>
      <c r="B183" s="31" t="s">
        <v>707</v>
      </c>
      <c r="C183" s="31" t="s">
        <v>736</v>
      </c>
      <c r="D183" s="31" t="s">
        <v>211</v>
      </c>
      <c r="E183" s="31" t="s">
        <v>726</v>
      </c>
      <c r="F183" s="31" t="s">
        <v>238</v>
      </c>
      <c r="G183" s="31" t="s">
        <v>737</v>
      </c>
    </row>
    <row r="184">
      <c r="A184" s="17">
        <v>48.0</v>
      </c>
      <c r="B184" s="31" t="s">
        <v>707</v>
      </c>
      <c r="C184" s="31" t="s">
        <v>738</v>
      </c>
      <c r="D184" s="31" t="s">
        <v>211</v>
      </c>
      <c r="E184" s="31" t="s">
        <v>726</v>
      </c>
      <c r="F184" s="31" t="s">
        <v>238</v>
      </c>
      <c r="G184" s="31" t="s">
        <v>739</v>
      </c>
    </row>
    <row r="185">
      <c r="A185" s="17">
        <v>48.0</v>
      </c>
      <c r="B185" s="31" t="s">
        <v>707</v>
      </c>
      <c r="C185" s="31" t="s">
        <v>740</v>
      </c>
      <c r="D185" s="31" t="s">
        <v>207</v>
      </c>
      <c r="E185" s="31" t="s">
        <v>726</v>
      </c>
      <c r="F185" s="31" t="s">
        <v>741</v>
      </c>
      <c r="G185" s="31" t="s">
        <v>742</v>
      </c>
    </row>
    <row r="186">
      <c r="A186" s="17">
        <v>48.0</v>
      </c>
      <c r="B186" s="31" t="s">
        <v>707</v>
      </c>
      <c r="C186" s="31" t="s">
        <v>743</v>
      </c>
      <c r="D186" s="31" t="s">
        <v>201</v>
      </c>
      <c r="E186" s="31" t="s">
        <v>91</v>
      </c>
      <c r="F186" s="31" t="s">
        <v>235</v>
      </c>
      <c r="G186" s="31" t="s">
        <v>236</v>
      </c>
    </row>
    <row r="187">
      <c r="A187" s="17">
        <v>48.0</v>
      </c>
      <c r="B187" s="31" t="s">
        <v>707</v>
      </c>
      <c r="C187" s="31" t="s">
        <v>744</v>
      </c>
      <c r="D187" s="31" t="s">
        <v>199</v>
      </c>
      <c r="E187" s="31" t="s">
        <v>745</v>
      </c>
      <c r="F187" s="31" t="s">
        <v>263</v>
      </c>
      <c r="G187" s="31" t="s">
        <v>746</v>
      </c>
    </row>
    <row r="188">
      <c r="A188" s="17">
        <v>48.0</v>
      </c>
      <c r="B188" s="31" t="s">
        <v>707</v>
      </c>
      <c r="C188" s="31" t="s">
        <v>747</v>
      </c>
      <c r="D188" s="31" t="s">
        <v>213</v>
      </c>
      <c r="E188" s="31" t="s">
        <v>748</v>
      </c>
      <c r="F188" s="31" t="s">
        <v>263</v>
      </c>
      <c r="G188" s="31" t="s">
        <v>749</v>
      </c>
    </row>
    <row r="189">
      <c r="A189" s="17">
        <v>48.0</v>
      </c>
      <c r="B189" s="31" t="s">
        <v>707</v>
      </c>
      <c r="C189" s="31" t="s">
        <v>750</v>
      </c>
      <c r="D189" s="31" t="s">
        <v>205</v>
      </c>
      <c r="E189" s="31" t="s">
        <v>748</v>
      </c>
      <c r="F189" s="31" t="s">
        <v>238</v>
      </c>
      <c r="G189" s="31" t="s">
        <v>751</v>
      </c>
    </row>
    <row r="190">
      <c r="A190" s="17">
        <v>48.0</v>
      </c>
      <c r="B190" s="31" t="s">
        <v>707</v>
      </c>
      <c r="C190" s="31" t="s">
        <v>752</v>
      </c>
      <c r="D190" s="31" t="s">
        <v>205</v>
      </c>
      <c r="E190" s="31" t="s">
        <v>748</v>
      </c>
      <c r="F190" s="31" t="s">
        <v>238</v>
      </c>
      <c r="G190" s="31" t="s">
        <v>753</v>
      </c>
    </row>
    <row r="191">
      <c r="A191" s="17">
        <v>52.0</v>
      </c>
      <c r="B191" s="31" t="s">
        <v>754</v>
      </c>
      <c r="C191" s="31" t="s">
        <v>755</v>
      </c>
      <c r="D191" s="31" t="s">
        <v>213</v>
      </c>
      <c r="E191" s="31" t="s">
        <v>34</v>
      </c>
      <c r="F191" s="31" t="s">
        <v>235</v>
      </c>
      <c r="G191" s="31" t="s">
        <v>756</v>
      </c>
    </row>
    <row r="192">
      <c r="A192" s="17">
        <v>52.0</v>
      </c>
      <c r="B192" s="31" t="s">
        <v>754</v>
      </c>
      <c r="C192" s="31" t="s">
        <v>757</v>
      </c>
      <c r="D192" s="31" t="s">
        <v>213</v>
      </c>
      <c r="E192" s="31" t="s">
        <v>34</v>
      </c>
      <c r="F192" s="31" t="s">
        <v>245</v>
      </c>
      <c r="G192" s="31" t="s">
        <v>758</v>
      </c>
    </row>
    <row r="193">
      <c r="A193" s="17">
        <v>52.0</v>
      </c>
      <c r="B193" s="31" t="s">
        <v>754</v>
      </c>
      <c r="C193" s="31" t="s">
        <v>759</v>
      </c>
      <c r="D193" s="31" t="s">
        <v>205</v>
      </c>
      <c r="E193" s="31" t="s">
        <v>760</v>
      </c>
      <c r="F193" s="31" t="s">
        <v>235</v>
      </c>
      <c r="G193" s="31" t="s">
        <v>761</v>
      </c>
    </row>
    <row r="194">
      <c r="A194" s="17">
        <v>52.0</v>
      </c>
      <c r="B194" s="31" t="s">
        <v>754</v>
      </c>
      <c r="C194" s="31" t="s">
        <v>762</v>
      </c>
      <c r="D194" s="31" t="s">
        <v>634</v>
      </c>
      <c r="E194" s="31" t="s">
        <v>760</v>
      </c>
      <c r="F194" s="31" t="s">
        <v>238</v>
      </c>
      <c r="G194" s="31" t="s">
        <v>763</v>
      </c>
    </row>
    <row r="195">
      <c r="A195" s="17">
        <v>52.0</v>
      </c>
      <c r="B195" s="31" t="s">
        <v>754</v>
      </c>
      <c r="C195" s="31" t="s">
        <v>764</v>
      </c>
      <c r="D195" s="31" t="s">
        <v>215</v>
      </c>
      <c r="E195" s="31" t="s">
        <v>760</v>
      </c>
      <c r="F195" s="31" t="s">
        <v>238</v>
      </c>
      <c r="G195" s="31" t="s">
        <v>765</v>
      </c>
    </row>
    <row r="196">
      <c r="A196" s="17">
        <v>54.0</v>
      </c>
      <c r="B196" s="31" t="s">
        <v>766</v>
      </c>
      <c r="C196" s="31" t="s">
        <v>767</v>
      </c>
      <c r="D196" s="31" t="s">
        <v>294</v>
      </c>
      <c r="E196" s="31" t="s">
        <v>700</v>
      </c>
      <c r="F196" s="31" t="s">
        <v>636</v>
      </c>
      <c r="G196" s="31" t="s">
        <v>768</v>
      </c>
    </row>
    <row r="197">
      <c r="A197" s="17">
        <v>54.0</v>
      </c>
      <c r="B197" s="31" t="s">
        <v>766</v>
      </c>
      <c r="C197" s="31" t="s">
        <v>769</v>
      </c>
      <c r="D197" s="31" t="s">
        <v>213</v>
      </c>
      <c r="E197" s="31" t="s">
        <v>705</v>
      </c>
      <c r="F197" s="31" t="s">
        <v>235</v>
      </c>
      <c r="G197" s="31" t="s">
        <v>770</v>
      </c>
    </row>
    <row r="198">
      <c r="A198" s="17">
        <v>54.0</v>
      </c>
      <c r="B198" s="31" t="s">
        <v>766</v>
      </c>
      <c r="C198" s="31" t="s">
        <v>771</v>
      </c>
      <c r="D198" s="31" t="s">
        <v>213</v>
      </c>
      <c r="E198" s="31" t="s">
        <v>705</v>
      </c>
      <c r="F198" s="31" t="s">
        <v>245</v>
      </c>
      <c r="G198" s="31" t="s">
        <v>772</v>
      </c>
    </row>
    <row r="199">
      <c r="A199" s="17">
        <v>55.0</v>
      </c>
      <c r="B199" s="31" t="s">
        <v>773</v>
      </c>
      <c r="C199" s="31" t="s">
        <v>774</v>
      </c>
      <c r="D199" s="31" t="s">
        <v>213</v>
      </c>
      <c r="E199" s="31" t="s">
        <v>700</v>
      </c>
      <c r="F199" s="31" t="s">
        <v>245</v>
      </c>
      <c r="G199" s="31" t="s">
        <v>775</v>
      </c>
    </row>
    <row r="200">
      <c r="A200" s="17">
        <v>56.0</v>
      </c>
      <c r="B200" s="31" t="s">
        <v>776</v>
      </c>
      <c r="C200" s="31" t="s">
        <v>777</v>
      </c>
      <c r="D200" s="31" t="s">
        <v>213</v>
      </c>
      <c r="E200" s="31" t="s">
        <v>778</v>
      </c>
      <c r="F200" s="31" t="s">
        <v>307</v>
      </c>
      <c r="G200" s="31" t="s">
        <v>779</v>
      </c>
    </row>
    <row r="201">
      <c r="A201" s="17">
        <v>56.0</v>
      </c>
      <c r="B201" s="31" t="s">
        <v>776</v>
      </c>
      <c r="C201" s="31" t="s">
        <v>780</v>
      </c>
      <c r="D201" s="31" t="s">
        <v>207</v>
      </c>
      <c r="E201" s="31" t="s">
        <v>778</v>
      </c>
      <c r="F201" s="31" t="s">
        <v>238</v>
      </c>
      <c r="G201" s="31" t="s">
        <v>781</v>
      </c>
    </row>
    <row r="202">
      <c r="A202" s="17">
        <v>56.0</v>
      </c>
      <c r="B202" s="31" t="s">
        <v>776</v>
      </c>
      <c r="C202" s="31" t="s">
        <v>782</v>
      </c>
      <c r="D202" s="31" t="s">
        <v>209</v>
      </c>
      <c r="E202" s="31" t="s">
        <v>393</v>
      </c>
      <c r="F202" s="31" t="s">
        <v>263</v>
      </c>
      <c r="G202" s="31" t="s">
        <v>783</v>
      </c>
    </row>
    <row r="203">
      <c r="A203" s="17">
        <v>57.0</v>
      </c>
      <c r="B203" s="31" t="s">
        <v>784</v>
      </c>
      <c r="C203" s="31" t="s">
        <v>785</v>
      </c>
      <c r="D203" s="31" t="s">
        <v>203</v>
      </c>
      <c r="E203" s="31" t="s">
        <v>313</v>
      </c>
      <c r="F203" s="31" t="s">
        <v>636</v>
      </c>
      <c r="G203" s="31" t="s">
        <v>786</v>
      </c>
    </row>
    <row r="204">
      <c r="A204" s="17">
        <v>57.0</v>
      </c>
      <c r="B204" s="31" t="s">
        <v>784</v>
      </c>
      <c r="C204" s="31" t="s">
        <v>787</v>
      </c>
      <c r="D204" s="31" t="s">
        <v>213</v>
      </c>
      <c r="E204" s="31" t="s">
        <v>313</v>
      </c>
      <c r="F204" s="31" t="s">
        <v>238</v>
      </c>
      <c r="G204" s="31" t="s">
        <v>788</v>
      </c>
    </row>
    <row r="205">
      <c r="A205" s="17">
        <v>57.0</v>
      </c>
      <c r="B205" s="31" t="s">
        <v>784</v>
      </c>
      <c r="C205" s="31" t="s">
        <v>789</v>
      </c>
      <c r="D205" s="31" t="s">
        <v>203</v>
      </c>
      <c r="E205" s="31" t="s">
        <v>523</v>
      </c>
      <c r="F205" s="31" t="s">
        <v>263</v>
      </c>
      <c r="G205" s="31" t="s">
        <v>790</v>
      </c>
    </row>
    <row r="206">
      <c r="A206" s="17">
        <v>59.0</v>
      </c>
      <c r="B206" s="31" t="s">
        <v>791</v>
      </c>
      <c r="C206" s="31" t="s">
        <v>792</v>
      </c>
      <c r="D206" s="31" t="s">
        <v>203</v>
      </c>
      <c r="E206" s="31" t="s">
        <v>793</v>
      </c>
      <c r="F206" s="31" t="s">
        <v>307</v>
      </c>
      <c r="G206" s="31" t="s">
        <v>794</v>
      </c>
    </row>
    <row r="207">
      <c r="A207" s="17">
        <v>59.0</v>
      </c>
      <c r="B207" s="31" t="s">
        <v>791</v>
      </c>
      <c r="C207" s="31" t="s">
        <v>795</v>
      </c>
      <c r="D207" s="31" t="s">
        <v>213</v>
      </c>
      <c r="E207" s="31" t="s">
        <v>796</v>
      </c>
      <c r="F207" s="31" t="s">
        <v>263</v>
      </c>
      <c r="G207" s="31" t="s">
        <v>797</v>
      </c>
    </row>
    <row r="208">
      <c r="A208" s="17">
        <v>59.0</v>
      </c>
      <c r="B208" s="31" t="s">
        <v>791</v>
      </c>
      <c r="C208" s="31" t="s">
        <v>798</v>
      </c>
      <c r="D208" s="31" t="s">
        <v>209</v>
      </c>
      <c r="E208" s="31" t="s">
        <v>799</v>
      </c>
      <c r="F208" s="31" t="s">
        <v>235</v>
      </c>
      <c r="G208" s="31" t="s">
        <v>800</v>
      </c>
    </row>
    <row r="209">
      <c r="A209" s="17">
        <v>59.0</v>
      </c>
      <c r="B209" s="31" t="s">
        <v>791</v>
      </c>
      <c r="C209" s="31" t="s">
        <v>801</v>
      </c>
      <c r="D209" s="31" t="s">
        <v>211</v>
      </c>
      <c r="E209" s="31" t="s">
        <v>799</v>
      </c>
      <c r="F209" s="31" t="s">
        <v>341</v>
      </c>
      <c r="G209" s="31" t="s">
        <v>802</v>
      </c>
    </row>
    <row r="210">
      <c r="A210" s="17">
        <v>59.0</v>
      </c>
      <c r="B210" s="31" t="s">
        <v>791</v>
      </c>
      <c r="C210" s="31" t="s">
        <v>803</v>
      </c>
      <c r="D210" s="31" t="s">
        <v>197</v>
      </c>
      <c r="E210" s="31" t="s">
        <v>799</v>
      </c>
      <c r="F210" s="31" t="s">
        <v>238</v>
      </c>
      <c r="G210" s="31" t="s">
        <v>804</v>
      </c>
    </row>
    <row r="211">
      <c r="A211" s="17">
        <v>59.0</v>
      </c>
      <c r="B211" s="31" t="s">
        <v>791</v>
      </c>
      <c r="C211" s="31" t="s">
        <v>805</v>
      </c>
      <c r="D211" s="31" t="s">
        <v>205</v>
      </c>
      <c r="E211" s="31" t="s">
        <v>799</v>
      </c>
      <c r="F211" s="31" t="s">
        <v>238</v>
      </c>
      <c r="G211" s="31" t="s">
        <v>806</v>
      </c>
    </row>
    <row r="212">
      <c r="A212" s="17">
        <v>60.0</v>
      </c>
      <c r="B212" s="31" t="s">
        <v>807</v>
      </c>
      <c r="C212" s="31" t="s">
        <v>808</v>
      </c>
      <c r="D212" s="31" t="s">
        <v>213</v>
      </c>
      <c r="E212" s="31" t="s">
        <v>436</v>
      </c>
      <c r="F212" s="31" t="s">
        <v>307</v>
      </c>
      <c r="G212" s="31" t="s">
        <v>809</v>
      </c>
    </row>
    <row r="213">
      <c r="A213" s="17">
        <v>60.0</v>
      </c>
      <c r="B213" s="31" t="s">
        <v>807</v>
      </c>
      <c r="C213" s="31" t="s">
        <v>810</v>
      </c>
      <c r="D213" s="31" t="s">
        <v>203</v>
      </c>
      <c r="E213" s="31" t="s">
        <v>811</v>
      </c>
      <c r="F213" s="31" t="s">
        <v>307</v>
      </c>
      <c r="G213" s="31" t="s">
        <v>812</v>
      </c>
    </row>
    <row r="214">
      <c r="A214" s="17">
        <v>60.0</v>
      </c>
      <c r="B214" s="31" t="s">
        <v>807</v>
      </c>
      <c r="C214" s="31" t="s">
        <v>813</v>
      </c>
      <c r="D214" s="31" t="s">
        <v>205</v>
      </c>
      <c r="E214" s="31" t="s">
        <v>814</v>
      </c>
      <c r="F214" s="31" t="s">
        <v>307</v>
      </c>
      <c r="G214" s="31" t="s">
        <v>815</v>
      </c>
    </row>
    <row r="215">
      <c r="A215" s="17">
        <v>62.0</v>
      </c>
      <c r="B215" s="31" t="s">
        <v>816</v>
      </c>
      <c r="C215" s="31" t="s">
        <v>817</v>
      </c>
      <c r="D215" s="31" t="s">
        <v>211</v>
      </c>
      <c r="E215" s="31" t="s">
        <v>348</v>
      </c>
      <c r="F215" s="31" t="s">
        <v>235</v>
      </c>
      <c r="G215" s="31" t="s">
        <v>818</v>
      </c>
    </row>
    <row r="216">
      <c r="A216" s="17">
        <v>62.0</v>
      </c>
      <c r="B216" s="31" t="s">
        <v>816</v>
      </c>
      <c r="C216" s="31" t="s">
        <v>819</v>
      </c>
      <c r="D216" s="31" t="s">
        <v>211</v>
      </c>
      <c r="E216" s="31" t="s">
        <v>348</v>
      </c>
      <c r="F216" s="31" t="s">
        <v>235</v>
      </c>
      <c r="G216" s="31" t="s">
        <v>820</v>
      </c>
    </row>
    <row r="217">
      <c r="A217" s="17">
        <v>62.0</v>
      </c>
      <c r="B217" s="31" t="s">
        <v>816</v>
      </c>
      <c r="C217" s="31" t="s">
        <v>821</v>
      </c>
      <c r="D217" s="31" t="s">
        <v>211</v>
      </c>
      <c r="E217" s="31" t="s">
        <v>348</v>
      </c>
      <c r="F217" s="31" t="s">
        <v>235</v>
      </c>
      <c r="G217" s="31" t="s">
        <v>822</v>
      </c>
    </row>
    <row r="218">
      <c r="A218" s="17">
        <v>62.0</v>
      </c>
      <c r="B218" s="31" t="s">
        <v>816</v>
      </c>
      <c r="C218" s="31" t="s">
        <v>823</v>
      </c>
      <c r="D218" s="31" t="s">
        <v>213</v>
      </c>
      <c r="E218" s="31" t="s">
        <v>760</v>
      </c>
      <c r="F218" s="31" t="s">
        <v>245</v>
      </c>
      <c r="G218" s="31" t="s">
        <v>824</v>
      </c>
    </row>
    <row r="219">
      <c r="A219" s="17">
        <v>62.0</v>
      </c>
      <c r="B219" s="31" t="s">
        <v>816</v>
      </c>
      <c r="C219" s="31" t="s">
        <v>825</v>
      </c>
      <c r="D219" s="31" t="s">
        <v>205</v>
      </c>
      <c r="E219" s="31" t="s">
        <v>760</v>
      </c>
      <c r="F219" s="31" t="s">
        <v>238</v>
      </c>
      <c r="G219" s="31" t="s">
        <v>826</v>
      </c>
    </row>
    <row r="220">
      <c r="A220" s="17">
        <v>62.0</v>
      </c>
      <c r="B220" s="31" t="s">
        <v>816</v>
      </c>
      <c r="C220" s="31" t="s">
        <v>827</v>
      </c>
      <c r="D220" s="31" t="s">
        <v>207</v>
      </c>
      <c r="E220" s="31" t="s">
        <v>760</v>
      </c>
      <c r="F220" s="31" t="s">
        <v>238</v>
      </c>
      <c r="G220" s="31" t="s">
        <v>828</v>
      </c>
    </row>
    <row r="221">
      <c r="A221" s="17">
        <v>63.0</v>
      </c>
      <c r="B221" s="31" t="s">
        <v>829</v>
      </c>
      <c r="C221" s="31" t="s">
        <v>830</v>
      </c>
      <c r="D221" s="31" t="s">
        <v>195</v>
      </c>
      <c r="E221" s="31" t="s">
        <v>831</v>
      </c>
      <c r="F221" s="31" t="s">
        <v>263</v>
      </c>
      <c r="G221" s="31" t="s">
        <v>832</v>
      </c>
    </row>
    <row r="222">
      <c r="A222" s="17">
        <v>63.0</v>
      </c>
      <c r="B222" s="31" t="s">
        <v>829</v>
      </c>
      <c r="C222" s="31" t="s">
        <v>833</v>
      </c>
      <c r="D222" s="31" t="s">
        <v>211</v>
      </c>
      <c r="E222" s="31" t="s">
        <v>34</v>
      </c>
      <c r="F222" s="31" t="s">
        <v>235</v>
      </c>
      <c r="G222" s="31" t="s">
        <v>756</v>
      </c>
    </row>
    <row r="223">
      <c r="A223" s="17">
        <v>63.0</v>
      </c>
      <c r="B223" s="31" t="s">
        <v>829</v>
      </c>
      <c r="C223" s="31" t="s">
        <v>834</v>
      </c>
      <c r="D223" s="31" t="s">
        <v>213</v>
      </c>
      <c r="E223" s="31" t="s">
        <v>34</v>
      </c>
      <c r="F223" s="31" t="s">
        <v>245</v>
      </c>
      <c r="G223" s="31" t="s">
        <v>758</v>
      </c>
    </row>
    <row r="224">
      <c r="A224" s="17">
        <v>63.0</v>
      </c>
      <c r="B224" s="31" t="s">
        <v>829</v>
      </c>
      <c r="C224" s="31" t="s">
        <v>835</v>
      </c>
      <c r="D224" s="31" t="s">
        <v>201</v>
      </c>
      <c r="E224" s="31" t="s">
        <v>282</v>
      </c>
      <c r="F224" s="31" t="s">
        <v>245</v>
      </c>
      <c r="G224" s="31" t="s">
        <v>577</v>
      </c>
    </row>
    <row r="225">
      <c r="A225" s="17">
        <v>64.0</v>
      </c>
      <c r="B225" s="31" t="s">
        <v>836</v>
      </c>
      <c r="C225" s="31" t="s">
        <v>837</v>
      </c>
      <c r="D225" s="31" t="s">
        <v>213</v>
      </c>
      <c r="E225" s="31" t="s">
        <v>838</v>
      </c>
      <c r="F225" s="31" t="s">
        <v>263</v>
      </c>
      <c r="G225" s="31" t="s">
        <v>839</v>
      </c>
    </row>
    <row r="226">
      <c r="A226" s="17">
        <v>64.0</v>
      </c>
      <c r="B226" s="31" t="s">
        <v>836</v>
      </c>
      <c r="C226" s="31" t="s">
        <v>840</v>
      </c>
      <c r="D226" s="31" t="s">
        <v>205</v>
      </c>
      <c r="E226" s="31" t="s">
        <v>838</v>
      </c>
      <c r="F226" s="31" t="s">
        <v>238</v>
      </c>
      <c r="G226" s="31" t="s">
        <v>841</v>
      </c>
    </row>
    <row r="227">
      <c r="A227" s="17">
        <v>64.0</v>
      </c>
      <c r="B227" s="31" t="s">
        <v>836</v>
      </c>
      <c r="C227" s="31" t="s">
        <v>842</v>
      </c>
      <c r="D227" s="31" t="s">
        <v>203</v>
      </c>
      <c r="E227" s="31" t="s">
        <v>648</v>
      </c>
      <c r="F227" s="31" t="s">
        <v>307</v>
      </c>
      <c r="G227" s="31" t="s">
        <v>843</v>
      </c>
    </row>
    <row r="228">
      <c r="A228" s="17">
        <v>64.0</v>
      </c>
      <c r="B228" s="31" t="s">
        <v>836</v>
      </c>
      <c r="C228" s="31" t="s">
        <v>844</v>
      </c>
      <c r="D228" s="31" t="s">
        <v>205</v>
      </c>
      <c r="E228" s="31" t="s">
        <v>648</v>
      </c>
      <c r="F228" s="31" t="s">
        <v>238</v>
      </c>
      <c r="G228" s="31" t="s">
        <v>845</v>
      </c>
    </row>
    <row r="229">
      <c r="A229" s="17">
        <v>64.0</v>
      </c>
      <c r="B229" s="31" t="s">
        <v>836</v>
      </c>
      <c r="C229" s="31" t="s">
        <v>846</v>
      </c>
      <c r="D229" s="31" t="s">
        <v>205</v>
      </c>
      <c r="E229" s="31" t="s">
        <v>648</v>
      </c>
      <c r="F229" s="31" t="s">
        <v>238</v>
      </c>
      <c r="G229" s="31" t="s">
        <v>847</v>
      </c>
    </row>
    <row r="230">
      <c r="A230" s="17">
        <v>65.0</v>
      </c>
      <c r="B230" s="31" t="s">
        <v>848</v>
      </c>
      <c r="C230" s="31" t="s">
        <v>849</v>
      </c>
      <c r="D230" s="31" t="s">
        <v>850</v>
      </c>
      <c r="E230" s="31" t="s">
        <v>851</v>
      </c>
      <c r="F230" s="31" t="s">
        <v>307</v>
      </c>
      <c r="G230" s="31" t="s">
        <v>852</v>
      </c>
    </row>
    <row r="231">
      <c r="A231" s="17">
        <v>65.0</v>
      </c>
      <c r="B231" s="31" t="s">
        <v>848</v>
      </c>
      <c r="C231" s="31" t="s">
        <v>853</v>
      </c>
      <c r="D231" s="31" t="s">
        <v>205</v>
      </c>
      <c r="E231" s="31" t="s">
        <v>851</v>
      </c>
      <c r="F231" s="31" t="s">
        <v>238</v>
      </c>
      <c r="G231" s="31" t="s">
        <v>854</v>
      </c>
    </row>
    <row r="232">
      <c r="A232" s="17">
        <v>65.0</v>
      </c>
      <c r="B232" s="31" t="s">
        <v>848</v>
      </c>
      <c r="C232" s="31" t="s">
        <v>855</v>
      </c>
      <c r="D232" s="31" t="s">
        <v>205</v>
      </c>
      <c r="E232" s="31" t="s">
        <v>851</v>
      </c>
      <c r="F232" s="31" t="s">
        <v>238</v>
      </c>
      <c r="G232" s="31" t="s">
        <v>856</v>
      </c>
    </row>
    <row r="233">
      <c r="A233" s="17">
        <v>65.0</v>
      </c>
      <c r="B233" s="31" t="s">
        <v>848</v>
      </c>
      <c r="C233" s="31" t="s">
        <v>857</v>
      </c>
      <c r="D233" s="31" t="s">
        <v>211</v>
      </c>
      <c r="E233" s="31" t="s">
        <v>34</v>
      </c>
      <c r="F233" s="31" t="s">
        <v>235</v>
      </c>
      <c r="G233" s="31" t="s">
        <v>756</v>
      </c>
    </row>
    <row r="234">
      <c r="A234" s="17">
        <v>65.0</v>
      </c>
      <c r="B234" s="31" t="s">
        <v>848</v>
      </c>
      <c r="C234" s="31" t="s">
        <v>858</v>
      </c>
      <c r="D234" s="31" t="s">
        <v>213</v>
      </c>
      <c r="E234" s="31" t="s">
        <v>34</v>
      </c>
      <c r="F234" s="31" t="s">
        <v>245</v>
      </c>
      <c r="G234" s="31" t="s">
        <v>758</v>
      </c>
    </row>
    <row r="235">
      <c r="A235" s="17">
        <v>66.0</v>
      </c>
      <c r="B235" s="31" t="s">
        <v>859</v>
      </c>
      <c r="C235" s="31" t="s">
        <v>860</v>
      </c>
      <c r="D235" s="31" t="s">
        <v>199</v>
      </c>
      <c r="E235" s="31" t="s">
        <v>717</v>
      </c>
      <c r="F235" s="31" t="s">
        <v>235</v>
      </c>
      <c r="G235" s="31" t="s">
        <v>861</v>
      </c>
    </row>
    <row r="236">
      <c r="A236" s="17">
        <v>66.0</v>
      </c>
      <c r="B236" s="31" t="s">
        <v>859</v>
      </c>
      <c r="C236" s="31" t="s">
        <v>862</v>
      </c>
      <c r="D236" s="31" t="s">
        <v>207</v>
      </c>
      <c r="E236" s="31" t="s">
        <v>717</v>
      </c>
      <c r="F236" s="31" t="s">
        <v>238</v>
      </c>
      <c r="G236" s="31" t="s">
        <v>863</v>
      </c>
    </row>
    <row r="237">
      <c r="A237" s="17">
        <v>66.0</v>
      </c>
      <c r="B237" s="31" t="s">
        <v>859</v>
      </c>
      <c r="C237" s="31" t="s">
        <v>864</v>
      </c>
      <c r="D237" s="31" t="s">
        <v>211</v>
      </c>
      <c r="E237" s="31" t="s">
        <v>717</v>
      </c>
      <c r="F237" s="31" t="s">
        <v>238</v>
      </c>
      <c r="G237" s="31" t="s">
        <v>865</v>
      </c>
    </row>
    <row r="238">
      <c r="A238" s="17">
        <v>66.0</v>
      </c>
      <c r="B238" s="31" t="s">
        <v>859</v>
      </c>
      <c r="C238" s="31" t="s">
        <v>866</v>
      </c>
      <c r="D238" s="31" t="s">
        <v>211</v>
      </c>
      <c r="E238" s="31" t="s">
        <v>717</v>
      </c>
      <c r="F238" s="31" t="s">
        <v>238</v>
      </c>
      <c r="G238" s="31" t="s">
        <v>867</v>
      </c>
    </row>
    <row r="239">
      <c r="A239" s="17">
        <v>66.0</v>
      </c>
      <c r="B239" s="31" t="s">
        <v>859</v>
      </c>
      <c r="C239" s="31" t="s">
        <v>868</v>
      </c>
      <c r="D239" s="31" t="s">
        <v>201</v>
      </c>
      <c r="E239" s="31" t="s">
        <v>869</v>
      </c>
      <c r="F239" s="31" t="s">
        <v>539</v>
      </c>
      <c r="G239" s="31" t="s">
        <v>870</v>
      </c>
    </row>
    <row r="240">
      <c r="A240" s="17">
        <v>66.0</v>
      </c>
      <c r="B240" s="31" t="s">
        <v>859</v>
      </c>
      <c r="C240" s="31" t="s">
        <v>871</v>
      </c>
      <c r="D240" s="31" t="s">
        <v>213</v>
      </c>
      <c r="E240" s="31" t="s">
        <v>471</v>
      </c>
      <c r="F240" s="31" t="s">
        <v>245</v>
      </c>
      <c r="G240" s="31" t="s">
        <v>872</v>
      </c>
    </row>
    <row r="241">
      <c r="A241" s="17">
        <v>66.0</v>
      </c>
      <c r="B241" s="31" t="s">
        <v>859</v>
      </c>
      <c r="C241" s="31" t="s">
        <v>873</v>
      </c>
      <c r="D241" s="31" t="s">
        <v>205</v>
      </c>
      <c r="E241" s="31" t="s">
        <v>471</v>
      </c>
      <c r="F241" s="31" t="s">
        <v>238</v>
      </c>
      <c r="G241" s="31" t="s">
        <v>874</v>
      </c>
    </row>
    <row r="242">
      <c r="A242" s="17">
        <v>67.0</v>
      </c>
      <c r="B242" s="31" t="s">
        <v>875</v>
      </c>
      <c r="C242" s="31" t="s">
        <v>876</v>
      </c>
      <c r="D242" s="31" t="s">
        <v>205</v>
      </c>
      <c r="E242" s="31" t="s">
        <v>877</v>
      </c>
      <c r="F242" s="31" t="s">
        <v>307</v>
      </c>
      <c r="G242" s="31" t="s">
        <v>878</v>
      </c>
    </row>
    <row r="243">
      <c r="A243" s="17">
        <v>67.0</v>
      </c>
      <c r="B243" s="31" t="s">
        <v>875</v>
      </c>
      <c r="C243" s="31" t="s">
        <v>879</v>
      </c>
      <c r="D243" s="31" t="s">
        <v>201</v>
      </c>
      <c r="E243" s="31" t="s">
        <v>91</v>
      </c>
      <c r="F243" s="31" t="s">
        <v>235</v>
      </c>
      <c r="G243" s="31" t="s">
        <v>236</v>
      </c>
    </row>
    <row r="244">
      <c r="A244" s="17">
        <v>68.0</v>
      </c>
      <c r="B244" s="31" t="s">
        <v>880</v>
      </c>
      <c r="C244" s="31" t="s">
        <v>881</v>
      </c>
      <c r="D244" s="31" t="s">
        <v>213</v>
      </c>
      <c r="E244" s="31" t="s">
        <v>882</v>
      </c>
      <c r="F244" s="31" t="s">
        <v>307</v>
      </c>
      <c r="G244" s="31" t="s">
        <v>779</v>
      </c>
    </row>
    <row r="245">
      <c r="A245" s="17">
        <v>68.0</v>
      </c>
      <c r="B245" s="31" t="s">
        <v>880</v>
      </c>
      <c r="C245" s="31" t="s">
        <v>883</v>
      </c>
      <c r="D245" s="31" t="s">
        <v>205</v>
      </c>
      <c r="E245" s="31" t="s">
        <v>882</v>
      </c>
      <c r="F245" s="31" t="s">
        <v>238</v>
      </c>
      <c r="G245" s="31" t="s">
        <v>884</v>
      </c>
    </row>
    <row r="246">
      <c r="A246" s="17">
        <v>68.0</v>
      </c>
      <c r="B246" s="31" t="s">
        <v>880</v>
      </c>
      <c r="C246" s="31" t="s">
        <v>885</v>
      </c>
      <c r="D246" s="31" t="s">
        <v>197</v>
      </c>
      <c r="E246" s="31" t="s">
        <v>882</v>
      </c>
      <c r="F246" s="31" t="s">
        <v>238</v>
      </c>
      <c r="G246" s="31" t="s">
        <v>886</v>
      </c>
    </row>
    <row r="247">
      <c r="A247" s="17">
        <v>68.0</v>
      </c>
      <c r="B247" s="31" t="s">
        <v>880</v>
      </c>
      <c r="C247" s="31" t="s">
        <v>887</v>
      </c>
      <c r="D247" s="31" t="s">
        <v>203</v>
      </c>
      <c r="E247" s="31" t="s">
        <v>888</v>
      </c>
      <c r="F247" s="31" t="s">
        <v>263</v>
      </c>
      <c r="G247" s="31" t="s">
        <v>889</v>
      </c>
    </row>
    <row r="248">
      <c r="A248" s="17">
        <v>69.0</v>
      </c>
      <c r="B248" s="31" t="s">
        <v>890</v>
      </c>
      <c r="C248" s="31" t="s">
        <v>891</v>
      </c>
      <c r="D248" s="31" t="s">
        <v>892</v>
      </c>
      <c r="E248" s="31" t="s">
        <v>34</v>
      </c>
      <c r="F248" s="31" t="s">
        <v>235</v>
      </c>
      <c r="G248" s="31" t="s">
        <v>756</v>
      </c>
    </row>
    <row r="249">
      <c r="A249" s="17">
        <v>69.0</v>
      </c>
      <c r="B249" s="31" t="s">
        <v>890</v>
      </c>
      <c r="C249" s="31" t="s">
        <v>893</v>
      </c>
      <c r="D249" s="31" t="s">
        <v>213</v>
      </c>
      <c r="E249" s="31" t="s">
        <v>34</v>
      </c>
      <c r="F249" s="31" t="s">
        <v>245</v>
      </c>
      <c r="G249" s="31" t="s">
        <v>894</v>
      </c>
    </row>
    <row r="250">
      <c r="A250" s="17">
        <v>69.0</v>
      </c>
      <c r="B250" s="31" t="s">
        <v>890</v>
      </c>
      <c r="C250" s="31" t="s">
        <v>895</v>
      </c>
      <c r="D250" s="31" t="s">
        <v>203</v>
      </c>
      <c r="E250" s="31" t="s">
        <v>466</v>
      </c>
      <c r="F250" s="31" t="s">
        <v>307</v>
      </c>
      <c r="G250" s="31" t="s">
        <v>660</v>
      </c>
    </row>
    <row r="251">
      <c r="A251" s="17">
        <v>70.0</v>
      </c>
      <c r="B251" s="31" t="s">
        <v>896</v>
      </c>
      <c r="C251" s="31" t="s">
        <v>897</v>
      </c>
      <c r="D251" s="31" t="s">
        <v>207</v>
      </c>
      <c r="E251" s="31" t="s">
        <v>898</v>
      </c>
      <c r="F251" s="31" t="s">
        <v>341</v>
      </c>
      <c r="G251" s="31" t="s">
        <v>899</v>
      </c>
    </row>
    <row r="252">
      <c r="A252" s="17">
        <v>70.0</v>
      </c>
      <c r="B252" s="31" t="s">
        <v>896</v>
      </c>
      <c r="C252" s="31" t="s">
        <v>900</v>
      </c>
      <c r="D252" s="31" t="s">
        <v>213</v>
      </c>
      <c r="E252" s="31" t="s">
        <v>898</v>
      </c>
      <c r="F252" s="31" t="s">
        <v>901</v>
      </c>
      <c r="G252" s="31" t="s">
        <v>902</v>
      </c>
    </row>
    <row r="253">
      <c r="A253" s="17">
        <v>70.0</v>
      </c>
      <c r="B253" s="31" t="s">
        <v>896</v>
      </c>
      <c r="C253" s="31" t="s">
        <v>903</v>
      </c>
      <c r="D253" s="31" t="s">
        <v>213</v>
      </c>
      <c r="E253" s="31" t="s">
        <v>898</v>
      </c>
      <c r="F253" s="31" t="s">
        <v>238</v>
      </c>
      <c r="G253" s="31" t="s">
        <v>904</v>
      </c>
    </row>
    <row r="254">
      <c r="A254" s="17">
        <v>70.0</v>
      </c>
      <c r="B254" s="31" t="s">
        <v>896</v>
      </c>
      <c r="C254" s="31" t="s">
        <v>905</v>
      </c>
      <c r="D254" s="31" t="s">
        <v>197</v>
      </c>
      <c r="E254" s="31" t="s">
        <v>898</v>
      </c>
      <c r="F254" s="31" t="s">
        <v>238</v>
      </c>
      <c r="G254" s="31" t="s">
        <v>906</v>
      </c>
    </row>
    <row r="255">
      <c r="A255" s="17">
        <v>70.0</v>
      </c>
      <c r="B255" s="31" t="s">
        <v>896</v>
      </c>
      <c r="C255" s="31" t="s">
        <v>907</v>
      </c>
      <c r="D255" s="31" t="s">
        <v>211</v>
      </c>
      <c r="E255" s="31" t="s">
        <v>898</v>
      </c>
      <c r="F255" s="31" t="s">
        <v>238</v>
      </c>
      <c r="G255" s="31" t="s">
        <v>908</v>
      </c>
    </row>
    <row r="256">
      <c r="A256" s="17">
        <v>71.0</v>
      </c>
      <c r="B256" s="31" t="s">
        <v>909</v>
      </c>
      <c r="C256" s="31" t="s">
        <v>910</v>
      </c>
      <c r="D256" s="31" t="s">
        <v>213</v>
      </c>
      <c r="E256" s="31" t="s">
        <v>911</v>
      </c>
      <c r="F256" s="31" t="s">
        <v>307</v>
      </c>
      <c r="G256" s="31" t="s">
        <v>912</v>
      </c>
    </row>
    <row r="257">
      <c r="A257" s="17">
        <v>71.0</v>
      </c>
      <c r="B257" s="31" t="s">
        <v>913</v>
      </c>
      <c r="C257" s="31" t="s">
        <v>914</v>
      </c>
      <c r="D257" s="31" t="s">
        <v>199</v>
      </c>
      <c r="E257" s="31" t="s">
        <v>911</v>
      </c>
      <c r="F257" s="31" t="s">
        <v>238</v>
      </c>
      <c r="G257" s="31" t="s">
        <v>915</v>
      </c>
    </row>
    <row r="258">
      <c r="A258" s="17">
        <v>71.0</v>
      </c>
      <c r="B258" s="31" t="s">
        <v>909</v>
      </c>
      <c r="C258" s="31" t="s">
        <v>916</v>
      </c>
      <c r="D258" s="31" t="s">
        <v>197</v>
      </c>
      <c r="E258" s="31" t="s">
        <v>911</v>
      </c>
      <c r="F258" s="31" t="s">
        <v>238</v>
      </c>
      <c r="G258" s="31" t="s">
        <v>917</v>
      </c>
    </row>
    <row r="259">
      <c r="A259" s="17">
        <v>71.0</v>
      </c>
      <c r="B259" s="31" t="s">
        <v>909</v>
      </c>
      <c r="C259" s="31" t="s">
        <v>918</v>
      </c>
      <c r="D259" s="31" t="s">
        <v>197</v>
      </c>
      <c r="E259" s="31" t="s">
        <v>911</v>
      </c>
      <c r="F259" s="31" t="s">
        <v>238</v>
      </c>
      <c r="G259" s="31" t="s">
        <v>919</v>
      </c>
    </row>
    <row r="260">
      <c r="A260" s="17">
        <v>71.0</v>
      </c>
      <c r="B260" s="31" t="s">
        <v>909</v>
      </c>
      <c r="C260" s="31" t="s">
        <v>920</v>
      </c>
      <c r="D260" s="31" t="s">
        <v>205</v>
      </c>
      <c r="E260" s="31" t="s">
        <v>911</v>
      </c>
      <c r="F260" s="31" t="s">
        <v>238</v>
      </c>
      <c r="G260" s="31" t="s">
        <v>921</v>
      </c>
    </row>
    <row r="261">
      <c r="A261" s="17">
        <v>71.0</v>
      </c>
      <c r="B261" s="31" t="s">
        <v>913</v>
      </c>
      <c r="C261" s="31" t="s">
        <v>922</v>
      </c>
      <c r="D261" s="31" t="s">
        <v>213</v>
      </c>
      <c r="E261" s="31" t="s">
        <v>923</v>
      </c>
      <c r="F261" s="31" t="s">
        <v>245</v>
      </c>
      <c r="G261" s="31" t="s">
        <v>924</v>
      </c>
    </row>
    <row r="262">
      <c r="A262" s="17">
        <v>71.0</v>
      </c>
      <c r="B262" s="31" t="s">
        <v>913</v>
      </c>
      <c r="C262" s="31" t="s">
        <v>925</v>
      </c>
      <c r="D262" s="31" t="s">
        <v>205</v>
      </c>
      <c r="E262" s="31" t="s">
        <v>923</v>
      </c>
      <c r="F262" s="31" t="s">
        <v>238</v>
      </c>
      <c r="G262" s="31" t="s">
        <v>926</v>
      </c>
    </row>
    <row r="263">
      <c r="A263" s="17">
        <v>71.0</v>
      </c>
      <c r="B263" s="31" t="s">
        <v>913</v>
      </c>
      <c r="C263" s="31" t="s">
        <v>927</v>
      </c>
      <c r="D263" s="31" t="s">
        <v>197</v>
      </c>
      <c r="E263" s="31" t="s">
        <v>923</v>
      </c>
      <c r="F263" s="31" t="s">
        <v>238</v>
      </c>
      <c r="G263" s="31" t="s">
        <v>928</v>
      </c>
    </row>
    <row r="264">
      <c r="A264" s="17">
        <v>71.0</v>
      </c>
      <c r="B264" s="31" t="s">
        <v>913</v>
      </c>
      <c r="C264" s="31" t="s">
        <v>929</v>
      </c>
      <c r="D264" s="31" t="s">
        <v>205</v>
      </c>
      <c r="E264" s="31" t="s">
        <v>336</v>
      </c>
      <c r="F264" s="31" t="s">
        <v>930</v>
      </c>
      <c r="G264" s="31" t="s">
        <v>931</v>
      </c>
    </row>
    <row r="265">
      <c r="A265" s="17">
        <v>71.0</v>
      </c>
      <c r="B265" s="31" t="s">
        <v>913</v>
      </c>
      <c r="C265" s="31" t="s">
        <v>932</v>
      </c>
      <c r="D265" s="31" t="s">
        <v>205</v>
      </c>
      <c r="E265" s="31" t="s">
        <v>336</v>
      </c>
      <c r="F265" s="31" t="s">
        <v>933</v>
      </c>
      <c r="G265" s="31" t="s">
        <v>934</v>
      </c>
    </row>
    <row r="266">
      <c r="A266" s="17">
        <v>71.0</v>
      </c>
      <c r="B266" s="31" t="s">
        <v>913</v>
      </c>
      <c r="C266" s="31" t="s">
        <v>935</v>
      </c>
      <c r="D266" s="31" t="s">
        <v>205</v>
      </c>
      <c r="E266" s="31" t="s">
        <v>336</v>
      </c>
      <c r="F266" s="31" t="s">
        <v>936</v>
      </c>
      <c r="G266" s="31" t="s">
        <v>937</v>
      </c>
    </row>
    <row r="267">
      <c r="A267" s="17">
        <v>71.0</v>
      </c>
      <c r="B267" s="31" t="s">
        <v>913</v>
      </c>
      <c r="C267" s="31" t="s">
        <v>938</v>
      </c>
      <c r="D267" s="31" t="s">
        <v>205</v>
      </c>
      <c r="E267" s="31" t="s">
        <v>336</v>
      </c>
      <c r="F267" s="31" t="s">
        <v>238</v>
      </c>
      <c r="G267" s="31" t="s">
        <v>939</v>
      </c>
    </row>
    <row r="268">
      <c r="A268" s="17">
        <v>72.0</v>
      </c>
      <c r="B268" s="31" t="s">
        <v>940</v>
      </c>
      <c r="C268" s="31" t="s">
        <v>941</v>
      </c>
      <c r="D268" s="31" t="s">
        <v>213</v>
      </c>
      <c r="E268" s="31" t="s">
        <v>942</v>
      </c>
      <c r="F268" s="31" t="s">
        <v>245</v>
      </c>
      <c r="G268" s="31" t="s">
        <v>943</v>
      </c>
    </row>
    <row r="269">
      <c r="A269" s="17">
        <v>72.0</v>
      </c>
      <c r="B269" s="31" t="s">
        <v>940</v>
      </c>
      <c r="C269" s="31" t="s">
        <v>944</v>
      </c>
      <c r="D269" s="31" t="s">
        <v>213</v>
      </c>
      <c r="E269" s="31" t="s">
        <v>942</v>
      </c>
      <c r="F269" s="31" t="s">
        <v>238</v>
      </c>
      <c r="G269" s="31" t="s">
        <v>945</v>
      </c>
    </row>
    <row r="270">
      <c r="A270" s="17">
        <v>72.0</v>
      </c>
      <c r="B270" s="31" t="s">
        <v>940</v>
      </c>
      <c r="C270" s="31" t="s">
        <v>946</v>
      </c>
      <c r="D270" s="31" t="s">
        <v>213</v>
      </c>
      <c r="E270" s="31" t="s">
        <v>942</v>
      </c>
      <c r="F270" s="31" t="s">
        <v>238</v>
      </c>
      <c r="G270" s="31" t="s">
        <v>947</v>
      </c>
    </row>
    <row r="271">
      <c r="A271" s="17">
        <v>72.0</v>
      </c>
      <c r="B271" s="31" t="s">
        <v>940</v>
      </c>
      <c r="C271" s="31" t="s">
        <v>948</v>
      </c>
      <c r="D271" s="31" t="s">
        <v>197</v>
      </c>
      <c r="E271" s="31" t="s">
        <v>942</v>
      </c>
      <c r="F271" s="31" t="s">
        <v>238</v>
      </c>
      <c r="G271" s="31" t="s">
        <v>949</v>
      </c>
    </row>
    <row r="272">
      <c r="A272" s="17">
        <v>72.0</v>
      </c>
      <c r="B272" s="31" t="s">
        <v>940</v>
      </c>
      <c r="C272" s="31" t="s">
        <v>950</v>
      </c>
      <c r="D272" s="31" t="s">
        <v>197</v>
      </c>
      <c r="E272" s="31" t="s">
        <v>942</v>
      </c>
      <c r="F272" s="31" t="s">
        <v>238</v>
      </c>
      <c r="G272" s="31" t="s">
        <v>951</v>
      </c>
    </row>
    <row r="273">
      <c r="A273" s="17">
        <v>72.0</v>
      </c>
      <c r="B273" s="31" t="s">
        <v>940</v>
      </c>
      <c r="C273" s="31" t="s">
        <v>952</v>
      </c>
      <c r="D273" s="31" t="s">
        <v>197</v>
      </c>
      <c r="E273" s="31" t="s">
        <v>942</v>
      </c>
      <c r="F273" s="31" t="s">
        <v>238</v>
      </c>
      <c r="G273" s="31" t="s">
        <v>953</v>
      </c>
    </row>
    <row r="274">
      <c r="A274" s="17">
        <v>72.0</v>
      </c>
      <c r="B274" s="31" t="s">
        <v>940</v>
      </c>
      <c r="C274" s="31" t="s">
        <v>954</v>
      </c>
      <c r="D274" s="31" t="s">
        <v>213</v>
      </c>
      <c r="E274" s="31" t="s">
        <v>648</v>
      </c>
      <c r="F274" s="31" t="s">
        <v>636</v>
      </c>
      <c r="G274" s="31" t="s">
        <v>955</v>
      </c>
    </row>
    <row r="275">
      <c r="A275" s="17">
        <v>72.0</v>
      </c>
      <c r="B275" s="31" t="s">
        <v>940</v>
      </c>
      <c r="C275" s="31" t="s">
        <v>956</v>
      </c>
      <c r="D275" s="31" t="s">
        <v>199</v>
      </c>
      <c r="E275" s="31" t="s">
        <v>648</v>
      </c>
      <c r="F275" s="31" t="s">
        <v>238</v>
      </c>
      <c r="G275" s="31" t="s">
        <v>957</v>
      </c>
    </row>
    <row r="276">
      <c r="A276" s="17">
        <v>73.0</v>
      </c>
      <c r="B276" s="31" t="s">
        <v>958</v>
      </c>
      <c r="C276" s="31" t="s">
        <v>959</v>
      </c>
      <c r="D276" s="31" t="s">
        <v>213</v>
      </c>
      <c r="E276" s="31" t="s">
        <v>409</v>
      </c>
      <c r="F276" s="31" t="s">
        <v>307</v>
      </c>
      <c r="G276" s="31" t="s">
        <v>960</v>
      </c>
    </row>
    <row r="277">
      <c r="A277" s="17">
        <v>73.0</v>
      </c>
      <c r="B277" s="31" t="s">
        <v>958</v>
      </c>
      <c r="C277" s="31" t="s">
        <v>961</v>
      </c>
      <c r="D277" s="31" t="s">
        <v>205</v>
      </c>
      <c r="E277" s="31" t="s">
        <v>409</v>
      </c>
      <c r="F277" s="31" t="s">
        <v>238</v>
      </c>
      <c r="G277" s="31" t="s">
        <v>962</v>
      </c>
    </row>
    <row r="278">
      <c r="A278" s="17">
        <v>73.0</v>
      </c>
      <c r="B278" s="31" t="s">
        <v>958</v>
      </c>
      <c r="C278" s="31" t="s">
        <v>963</v>
      </c>
      <c r="D278" s="31" t="s">
        <v>205</v>
      </c>
      <c r="E278" s="31" t="s">
        <v>409</v>
      </c>
      <c r="F278" s="31" t="s">
        <v>238</v>
      </c>
      <c r="G278" s="31" t="s">
        <v>964</v>
      </c>
    </row>
    <row r="279">
      <c r="A279" s="17">
        <v>73.0</v>
      </c>
      <c r="B279" s="31" t="s">
        <v>958</v>
      </c>
      <c r="C279" s="31" t="s">
        <v>965</v>
      </c>
      <c r="D279" s="31" t="s">
        <v>195</v>
      </c>
      <c r="E279" s="31" t="s">
        <v>811</v>
      </c>
      <c r="F279" s="31" t="s">
        <v>636</v>
      </c>
      <c r="G279" s="31" t="s">
        <v>966</v>
      </c>
    </row>
    <row r="280">
      <c r="A280" s="17">
        <v>73.0</v>
      </c>
      <c r="B280" s="31" t="s">
        <v>958</v>
      </c>
      <c r="C280" s="31" t="s">
        <v>967</v>
      </c>
      <c r="D280" s="31" t="s">
        <v>207</v>
      </c>
      <c r="E280" s="31" t="s">
        <v>811</v>
      </c>
      <c r="F280" s="31" t="s">
        <v>238</v>
      </c>
      <c r="G280" s="31" t="s">
        <v>968</v>
      </c>
    </row>
    <row r="281">
      <c r="A281" s="17">
        <v>73.0</v>
      </c>
      <c r="B281" s="31" t="s">
        <v>958</v>
      </c>
      <c r="C281" s="31" t="s">
        <v>969</v>
      </c>
      <c r="D281" s="31" t="s">
        <v>213</v>
      </c>
      <c r="E281" s="31" t="s">
        <v>365</v>
      </c>
      <c r="F281" s="31" t="s">
        <v>636</v>
      </c>
      <c r="G281" s="31" t="s">
        <v>970</v>
      </c>
    </row>
    <row r="282">
      <c r="A282" s="17">
        <v>73.0</v>
      </c>
      <c r="B282" s="31" t="s">
        <v>958</v>
      </c>
      <c r="C282" s="31" t="s">
        <v>971</v>
      </c>
      <c r="D282" s="31" t="s">
        <v>205</v>
      </c>
      <c r="E282" s="31" t="s">
        <v>365</v>
      </c>
      <c r="F282" s="31" t="s">
        <v>238</v>
      </c>
      <c r="G282" s="31" t="s">
        <v>972</v>
      </c>
    </row>
    <row r="283">
      <c r="A283" s="17">
        <v>73.0</v>
      </c>
      <c r="B283" s="31" t="s">
        <v>958</v>
      </c>
      <c r="C283" s="31" t="s">
        <v>973</v>
      </c>
      <c r="D283" s="31" t="s">
        <v>207</v>
      </c>
      <c r="E283" s="31" t="s">
        <v>365</v>
      </c>
      <c r="F283" s="31" t="s">
        <v>238</v>
      </c>
      <c r="G283" s="31" t="s">
        <v>974</v>
      </c>
    </row>
    <row r="284">
      <c r="A284" s="17">
        <v>75.0</v>
      </c>
      <c r="B284" s="31" t="s">
        <v>975</v>
      </c>
      <c r="C284" s="31" t="s">
        <v>976</v>
      </c>
      <c r="D284" s="31" t="s">
        <v>213</v>
      </c>
      <c r="E284" s="31" t="s">
        <v>977</v>
      </c>
      <c r="F284" s="31" t="s">
        <v>636</v>
      </c>
      <c r="G284" s="31" t="s">
        <v>978</v>
      </c>
    </row>
    <row r="285">
      <c r="A285" s="17">
        <v>75.0</v>
      </c>
      <c r="B285" s="31" t="s">
        <v>975</v>
      </c>
      <c r="C285" s="31" t="s">
        <v>979</v>
      </c>
      <c r="D285" s="31" t="s">
        <v>201</v>
      </c>
      <c r="E285" s="31" t="s">
        <v>977</v>
      </c>
      <c r="F285" s="31" t="s">
        <v>238</v>
      </c>
      <c r="G285" s="31" t="s">
        <v>980</v>
      </c>
    </row>
    <row r="286">
      <c r="A286" s="17">
        <v>75.0</v>
      </c>
      <c r="B286" s="31" t="s">
        <v>975</v>
      </c>
      <c r="C286" s="31" t="s">
        <v>981</v>
      </c>
      <c r="D286" s="31" t="s">
        <v>205</v>
      </c>
      <c r="E286" s="31" t="s">
        <v>977</v>
      </c>
      <c r="F286" s="31" t="s">
        <v>238</v>
      </c>
      <c r="G286" s="31" t="s">
        <v>982</v>
      </c>
    </row>
    <row r="287">
      <c r="A287" s="17">
        <v>77.0</v>
      </c>
      <c r="B287" s="31" t="s">
        <v>983</v>
      </c>
      <c r="C287" s="31" t="s">
        <v>984</v>
      </c>
      <c r="D287" s="31" t="s">
        <v>213</v>
      </c>
      <c r="E287" s="31" t="s">
        <v>985</v>
      </c>
      <c r="F287" s="31" t="s">
        <v>307</v>
      </c>
      <c r="G287" s="31" t="s">
        <v>986</v>
      </c>
    </row>
    <row r="288">
      <c r="A288" s="17">
        <v>77.0</v>
      </c>
      <c r="B288" s="31" t="s">
        <v>983</v>
      </c>
      <c r="C288" s="31" t="s">
        <v>987</v>
      </c>
      <c r="D288" s="31" t="s">
        <v>207</v>
      </c>
      <c r="E288" s="31" t="s">
        <v>985</v>
      </c>
      <c r="F288" s="31" t="s">
        <v>238</v>
      </c>
      <c r="G288" s="31" t="s">
        <v>988</v>
      </c>
    </row>
    <row r="289">
      <c r="A289" s="17">
        <v>77.0</v>
      </c>
      <c r="B289" s="31" t="s">
        <v>983</v>
      </c>
      <c r="C289" s="31" t="s">
        <v>989</v>
      </c>
      <c r="D289" s="31" t="s">
        <v>201</v>
      </c>
      <c r="E289" s="31" t="s">
        <v>985</v>
      </c>
      <c r="F289" s="31" t="s">
        <v>238</v>
      </c>
      <c r="G289" s="31" t="s">
        <v>990</v>
      </c>
    </row>
    <row r="290">
      <c r="A290" s="17">
        <v>78.0</v>
      </c>
      <c r="B290" s="31" t="s">
        <v>991</v>
      </c>
      <c r="C290" s="31" t="s">
        <v>992</v>
      </c>
      <c r="D290" s="31" t="s">
        <v>213</v>
      </c>
      <c r="E290" s="31" t="s">
        <v>993</v>
      </c>
      <c r="F290" s="31" t="s">
        <v>307</v>
      </c>
      <c r="G290" s="31" t="s">
        <v>994</v>
      </c>
    </row>
    <row r="291">
      <c r="A291" s="17">
        <v>78.0</v>
      </c>
      <c r="B291" s="31" t="s">
        <v>991</v>
      </c>
      <c r="C291" s="31" t="s">
        <v>995</v>
      </c>
      <c r="D291" s="31" t="s">
        <v>207</v>
      </c>
      <c r="E291" s="31" t="s">
        <v>993</v>
      </c>
      <c r="F291" s="31" t="s">
        <v>238</v>
      </c>
      <c r="G291" s="31" t="s">
        <v>996</v>
      </c>
    </row>
    <row r="292">
      <c r="A292" s="17">
        <v>78.0</v>
      </c>
      <c r="B292" s="31" t="s">
        <v>991</v>
      </c>
      <c r="C292" s="31" t="s">
        <v>997</v>
      </c>
      <c r="D292" s="31" t="s">
        <v>213</v>
      </c>
      <c r="E292" s="31" t="s">
        <v>993</v>
      </c>
      <c r="F292" s="31" t="s">
        <v>238</v>
      </c>
      <c r="G292" s="31" t="s">
        <v>998</v>
      </c>
    </row>
    <row r="293">
      <c r="A293" s="17">
        <v>78.0</v>
      </c>
      <c r="B293" s="31" t="s">
        <v>991</v>
      </c>
      <c r="C293" s="31" t="s">
        <v>999</v>
      </c>
      <c r="D293" s="31" t="s">
        <v>211</v>
      </c>
      <c r="E293" s="31" t="s">
        <v>34</v>
      </c>
      <c r="F293" s="31" t="s">
        <v>235</v>
      </c>
      <c r="G293" s="31" t="s">
        <v>756</v>
      </c>
    </row>
    <row r="294">
      <c r="A294" s="17">
        <v>78.0</v>
      </c>
      <c r="B294" s="31" t="s">
        <v>991</v>
      </c>
      <c r="C294" s="31" t="s">
        <v>1000</v>
      </c>
      <c r="D294" s="31" t="s">
        <v>213</v>
      </c>
      <c r="E294" s="31" t="s">
        <v>34</v>
      </c>
      <c r="F294" s="31" t="s">
        <v>245</v>
      </c>
      <c r="G294" s="31" t="s">
        <v>758</v>
      </c>
    </row>
    <row r="295">
      <c r="A295" s="17">
        <v>79.0</v>
      </c>
      <c r="B295" s="31" t="s">
        <v>1001</v>
      </c>
      <c r="C295" s="31" t="s">
        <v>1002</v>
      </c>
      <c r="D295" s="31" t="s">
        <v>195</v>
      </c>
      <c r="E295" s="31" t="s">
        <v>1003</v>
      </c>
      <c r="F295" s="31" t="s">
        <v>307</v>
      </c>
      <c r="G295" s="31" t="s">
        <v>1004</v>
      </c>
    </row>
    <row r="296">
      <c r="A296" s="17">
        <v>79.0</v>
      </c>
      <c r="B296" s="31" t="s">
        <v>1001</v>
      </c>
      <c r="C296" s="31" t="s">
        <v>1005</v>
      </c>
      <c r="D296" s="31" t="s">
        <v>205</v>
      </c>
      <c r="E296" s="31" t="s">
        <v>1003</v>
      </c>
      <c r="F296" s="31" t="s">
        <v>238</v>
      </c>
      <c r="G296" s="31" t="s">
        <v>1006</v>
      </c>
    </row>
    <row r="297">
      <c r="A297" s="17">
        <v>79.0</v>
      </c>
      <c r="B297" s="31" t="s">
        <v>1001</v>
      </c>
      <c r="C297" s="31" t="s">
        <v>1007</v>
      </c>
      <c r="D297" s="31" t="s">
        <v>197</v>
      </c>
      <c r="E297" s="31" t="s">
        <v>1003</v>
      </c>
      <c r="F297" s="31" t="s">
        <v>238</v>
      </c>
      <c r="G297" s="31" t="s">
        <v>1008</v>
      </c>
    </row>
    <row r="298">
      <c r="A298" s="17">
        <v>80.0</v>
      </c>
      <c r="B298" s="31" t="s">
        <v>1009</v>
      </c>
      <c r="C298" s="31" t="s">
        <v>1010</v>
      </c>
      <c r="D298" s="31" t="s">
        <v>205</v>
      </c>
      <c r="E298" s="31" t="s">
        <v>814</v>
      </c>
      <c r="F298" s="31" t="s">
        <v>307</v>
      </c>
      <c r="G298" s="31" t="s">
        <v>1011</v>
      </c>
    </row>
    <row r="299">
      <c r="A299" s="17">
        <v>80.0</v>
      </c>
      <c r="B299" s="31" t="s">
        <v>1012</v>
      </c>
      <c r="C299" s="31" t="s">
        <v>1013</v>
      </c>
      <c r="D299" s="31" t="s">
        <v>203</v>
      </c>
      <c r="E299" s="31" t="s">
        <v>799</v>
      </c>
      <c r="F299" s="31" t="s">
        <v>245</v>
      </c>
      <c r="G299" s="31" t="s">
        <v>1014</v>
      </c>
    </row>
    <row r="300">
      <c r="A300" s="17">
        <v>80.0</v>
      </c>
      <c r="B300" s="31" t="s">
        <v>1012</v>
      </c>
      <c r="C300" s="31" t="s">
        <v>1015</v>
      </c>
      <c r="D300" s="31" t="s">
        <v>207</v>
      </c>
      <c r="E300" s="31" t="s">
        <v>799</v>
      </c>
      <c r="F300" s="31" t="s">
        <v>1016</v>
      </c>
      <c r="G300" s="31" t="s">
        <v>1017</v>
      </c>
    </row>
    <row r="301">
      <c r="A301" s="17">
        <v>81.0</v>
      </c>
      <c r="B301" s="31" t="s">
        <v>1018</v>
      </c>
      <c r="C301" s="31" t="s">
        <v>1019</v>
      </c>
      <c r="D301" s="31" t="s">
        <v>201</v>
      </c>
      <c r="E301" s="31" t="s">
        <v>91</v>
      </c>
      <c r="F301" s="31" t="s">
        <v>245</v>
      </c>
      <c r="G301" s="31" t="s">
        <v>1020</v>
      </c>
    </row>
    <row r="302">
      <c r="A302" s="17">
        <v>81.0</v>
      </c>
      <c r="B302" s="31" t="s">
        <v>1018</v>
      </c>
      <c r="C302" s="31" t="s">
        <v>1021</v>
      </c>
      <c r="D302" s="31" t="s">
        <v>205</v>
      </c>
      <c r="E302" s="31" t="s">
        <v>91</v>
      </c>
      <c r="F302" s="31" t="s">
        <v>238</v>
      </c>
      <c r="G302" s="31" t="s">
        <v>1022</v>
      </c>
    </row>
    <row r="303">
      <c r="A303" s="17">
        <v>81.0</v>
      </c>
      <c r="B303" s="31" t="s">
        <v>1018</v>
      </c>
      <c r="C303" s="31" t="s">
        <v>1023</v>
      </c>
      <c r="D303" s="31" t="s">
        <v>201</v>
      </c>
      <c r="E303" s="31" t="s">
        <v>91</v>
      </c>
      <c r="F303" s="31" t="s">
        <v>238</v>
      </c>
      <c r="G303" s="31" t="s">
        <v>1024</v>
      </c>
    </row>
    <row r="304">
      <c r="A304" s="17">
        <v>82.0</v>
      </c>
      <c r="B304" s="31" t="s">
        <v>1025</v>
      </c>
      <c r="C304" s="31" t="s">
        <v>1026</v>
      </c>
      <c r="D304" s="31" t="s">
        <v>207</v>
      </c>
      <c r="E304" s="31" t="s">
        <v>993</v>
      </c>
      <c r="F304" s="31" t="s">
        <v>235</v>
      </c>
      <c r="G304" s="31" t="s">
        <v>1027</v>
      </c>
    </row>
    <row r="305">
      <c r="A305" s="17">
        <v>82.0</v>
      </c>
      <c r="B305" s="31" t="s">
        <v>1025</v>
      </c>
      <c r="C305" s="31" t="s">
        <v>1028</v>
      </c>
      <c r="D305" s="31" t="s">
        <v>211</v>
      </c>
      <c r="E305" s="31" t="s">
        <v>993</v>
      </c>
      <c r="F305" s="31" t="s">
        <v>245</v>
      </c>
      <c r="G305" s="31" t="s">
        <v>1029</v>
      </c>
    </row>
    <row r="306">
      <c r="A306" s="17">
        <v>82.0</v>
      </c>
      <c r="B306" s="31" t="s">
        <v>1025</v>
      </c>
      <c r="C306" s="31" t="s">
        <v>1030</v>
      </c>
      <c r="D306" s="31" t="s">
        <v>201</v>
      </c>
      <c r="E306" s="31" t="s">
        <v>993</v>
      </c>
      <c r="F306" s="31" t="s">
        <v>341</v>
      </c>
      <c r="G306" s="31" t="s">
        <v>1031</v>
      </c>
    </row>
    <row r="307">
      <c r="A307" s="17">
        <v>82.0</v>
      </c>
      <c r="B307" s="31" t="s">
        <v>1025</v>
      </c>
      <c r="C307" s="31" t="s">
        <v>1032</v>
      </c>
      <c r="D307" s="31" t="s">
        <v>211</v>
      </c>
      <c r="E307" s="31" t="s">
        <v>993</v>
      </c>
      <c r="F307" s="31" t="s">
        <v>341</v>
      </c>
      <c r="G307" s="31" t="s">
        <v>1033</v>
      </c>
    </row>
    <row r="308">
      <c r="A308" s="17">
        <v>82.0</v>
      </c>
      <c r="B308" s="31" t="s">
        <v>1025</v>
      </c>
      <c r="C308" s="31" t="s">
        <v>1034</v>
      </c>
      <c r="D308" s="31" t="s">
        <v>195</v>
      </c>
      <c r="E308" s="31" t="s">
        <v>977</v>
      </c>
      <c r="F308" s="31" t="s">
        <v>307</v>
      </c>
      <c r="G308" s="31" t="s">
        <v>1035</v>
      </c>
    </row>
    <row r="309">
      <c r="A309" s="17">
        <v>85.0</v>
      </c>
      <c r="B309" s="31" t="s">
        <v>1036</v>
      </c>
      <c r="C309" s="31" t="s">
        <v>1037</v>
      </c>
      <c r="D309" s="31" t="s">
        <v>201</v>
      </c>
      <c r="E309" s="31" t="s">
        <v>91</v>
      </c>
      <c r="F309" s="31" t="s">
        <v>235</v>
      </c>
      <c r="G309" s="31" t="s">
        <v>236</v>
      </c>
    </row>
    <row r="310">
      <c r="A310" s="17">
        <v>85.0</v>
      </c>
      <c r="B310" s="31" t="s">
        <v>1036</v>
      </c>
      <c r="C310" s="31" t="s">
        <v>1038</v>
      </c>
      <c r="D310" s="31" t="s">
        <v>201</v>
      </c>
      <c r="E310" s="31" t="s">
        <v>91</v>
      </c>
      <c r="F310" s="31" t="s">
        <v>245</v>
      </c>
      <c r="G310" s="31" t="s">
        <v>1039</v>
      </c>
    </row>
    <row r="311">
      <c r="A311" s="17">
        <v>85.0</v>
      </c>
      <c r="B311" s="31" t="s">
        <v>1036</v>
      </c>
      <c r="C311" s="31" t="s">
        <v>458</v>
      </c>
      <c r="D311" s="31" t="s">
        <v>201</v>
      </c>
      <c r="E311" s="31" t="s">
        <v>91</v>
      </c>
      <c r="F311" s="31" t="s">
        <v>245</v>
      </c>
      <c r="G311" s="31" t="s">
        <v>1040</v>
      </c>
    </row>
    <row r="312">
      <c r="A312" s="17">
        <v>90.0</v>
      </c>
      <c r="B312" s="31" t="s">
        <v>1041</v>
      </c>
      <c r="C312" s="31" t="s">
        <v>1042</v>
      </c>
      <c r="D312" s="31" t="s">
        <v>207</v>
      </c>
      <c r="E312" s="31" t="s">
        <v>1043</v>
      </c>
      <c r="F312" s="31" t="s">
        <v>307</v>
      </c>
      <c r="G312" s="31" t="s">
        <v>1044</v>
      </c>
    </row>
    <row r="313">
      <c r="A313" s="17">
        <v>90.0</v>
      </c>
      <c r="B313" s="31" t="s">
        <v>1041</v>
      </c>
      <c r="C313" s="31" t="s">
        <v>1045</v>
      </c>
      <c r="D313" s="31" t="s">
        <v>213</v>
      </c>
      <c r="E313" s="31" t="s">
        <v>1046</v>
      </c>
      <c r="F313" s="31" t="s">
        <v>235</v>
      </c>
      <c r="G313" s="31" t="s">
        <v>1047</v>
      </c>
    </row>
    <row r="314">
      <c r="A314" s="17">
        <v>90.0</v>
      </c>
      <c r="B314" s="31" t="s">
        <v>1041</v>
      </c>
      <c r="C314" s="31" t="s">
        <v>1048</v>
      </c>
      <c r="D314" s="31" t="s">
        <v>215</v>
      </c>
      <c r="E314" s="31" t="s">
        <v>1046</v>
      </c>
      <c r="F314" s="31" t="s">
        <v>238</v>
      </c>
      <c r="G314" s="31" t="s">
        <v>1049</v>
      </c>
    </row>
    <row r="315">
      <c r="A315" s="17">
        <v>90.0</v>
      </c>
      <c r="B315" s="31" t="s">
        <v>1041</v>
      </c>
      <c r="C315" s="31" t="s">
        <v>1050</v>
      </c>
      <c r="D315" s="31" t="s">
        <v>201</v>
      </c>
      <c r="E315" s="31" t="s">
        <v>1046</v>
      </c>
      <c r="F315" s="31" t="s">
        <v>238</v>
      </c>
      <c r="G315" s="31" t="s">
        <v>1051</v>
      </c>
    </row>
    <row r="316">
      <c r="A316" s="17">
        <v>91.0</v>
      </c>
      <c r="B316" s="31" t="s">
        <v>1052</v>
      </c>
      <c r="C316" s="31" t="s">
        <v>1053</v>
      </c>
      <c r="D316" s="31" t="s">
        <v>201</v>
      </c>
      <c r="E316" s="31" t="s">
        <v>91</v>
      </c>
      <c r="F316" s="31" t="s">
        <v>235</v>
      </c>
      <c r="G316" s="31" t="s">
        <v>1054</v>
      </c>
    </row>
    <row r="317">
      <c r="A317" s="17">
        <v>91.0</v>
      </c>
      <c r="B317" s="31" t="s">
        <v>1052</v>
      </c>
      <c r="C317" s="31" t="s">
        <v>1055</v>
      </c>
      <c r="D317" s="31" t="s">
        <v>201</v>
      </c>
      <c r="E317" s="31" t="s">
        <v>91</v>
      </c>
      <c r="F317" s="31" t="s">
        <v>235</v>
      </c>
      <c r="G317" s="31" t="s">
        <v>1056</v>
      </c>
    </row>
    <row r="318">
      <c r="A318" s="17">
        <v>91.0</v>
      </c>
      <c r="B318" s="31" t="s">
        <v>1052</v>
      </c>
      <c r="C318" s="31" t="s">
        <v>1057</v>
      </c>
      <c r="D318" s="31" t="s">
        <v>201</v>
      </c>
      <c r="E318" s="31" t="s">
        <v>91</v>
      </c>
      <c r="F318" s="31" t="s">
        <v>245</v>
      </c>
      <c r="G318" s="31" t="s">
        <v>1058</v>
      </c>
    </row>
    <row r="319">
      <c r="A319" s="17">
        <v>91.0</v>
      </c>
      <c r="B319" s="31" t="s">
        <v>1052</v>
      </c>
      <c r="C319" s="31" t="s">
        <v>1059</v>
      </c>
      <c r="D319" s="31" t="s">
        <v>201</v>
      </c>
      <c r="E319" s="31" t="s">
        <v>91</v>
      </c>
      <c r="F319" s="31" t="s">
        <v>341</v>
      </c>
      <c r="G319" s="31" t="s">
        <v>1060</v>
      </c>
    </row>
    <row r="320">
      <c r="A320" s="17">
        <v>91.0</v>
      </c>
      <c r="B320" s="31" t="s">
        <v>1052</v>
      </c>
      <c r="C320" s="31" t="s">
        <v>1061</v>
      </c>
      <c r="D320" s="31" t="s">
        <v>201</v>
      </c>
      <c r="E320" s="31" t="s">
        <v>91</v>
      </c>
      <c r="F320" s="31" t="s">
        <v>341</v>
      </c>
      <c r="G320" s="31" t="s">
        <v>1062</v>
      </c>
    </row>
    <row r="321">
      <c r="A321" s="17">
        <v>91.0</v>
      </c>
      <c r="B321" s="31" t="s">
        <v>1052</v>
      </c>
      <c r="C321" s="31" t="s">
        <v>1063</v>
      </c>
      <c r="D321" s="31" t="s">
        <v>201</v>
      </c>
      <c r="E321" s="31" t="s">
        <v>91</v>
      </c>
      <c r="F321" s="31" t="s">
        <v>238</v>
      </c>
      <c r="G321" s="31" t="s">
        <v>1064</v>
      </c>
    </row>
    <row r="322">
      <c r="A322" s="17">
        <v>92.0</v>
      </c>
      <c r="B322" s="31" t="s">
        <v>1065</v>
      </c>
      <c r="C322" s="31" t="s">
        <v>1066</v>
      </c>
      <c r="D322" s="31" t="s">
        <v>213</v>
      </c>
      <c r="E322" s="31" t="s">
        <v>248</v>
      </c>
      <c r="F322" s="31" t="s">
        <v>539</v>
      </c>
      <c r="G322" s="31" t="s">
        <v>1067</v>
      </c>
    </row>
    <row r="323">
      <c r="A323" s="17">
        <v>96.0</v>
      </c>
      <c r="B323" s="31" t="s">
        <v>1068</v>
      </c>
      <c r="C323" s="31" t="s">
        <v>1069</v>
      </c>
      <c r="D323" s="31" t="s">
        <v>201</v>
      </c>
      <c r="E323" s="31" t="s">
        <v>91</v>
      </c>
      <c r="F323" s="31" t="s">
        <v>245</v>
      </c>
      <c r="G323" s="31" t="s">
        <v>1070</v>
      </c>
    </row>
    <row r="324">
      <c r="A324" s="17">
        <v>96.0</v>
      </c>
      <c r="B324" s="31" t="s">
        <v>1068</v>
      </c>
      <c r="C324" s="31" t="s">
        <v>1071</v>
      </c>
      <c r="D324" s="31" t="s">
        <v>201</v>
      </c>
      <c r="E324" s="31" t="s">
        <v>91</v>
      </c>
      <c r="F324" s="31" t="s">
        <v>245</v>
      </c>
      <c r="G324" s="31" t="s">
        <v>1072</v>
      </c>
    </row>
    <row r="325">
      <c r="A325" s="17">
        <v>96.0</v>
      </c>
      <c r="B325" s="31" t="s">
        <v>1073</v>
      </c>
      <c r="C325" s="31" t="s">
        <v>1074</v>
      </c>
      <c r="D325" s="31" t="s">
        <v>213</v>
      </c>
      <c r="E325" s="31" t="s">
        <v>478</v>
      </c>
      <c r="F325" s="31" t="s">
        <v>235</v>
      </c>
      <c r="G325" s="31" t="s">
        <v>1075</v>
      </c>
    </row>
    <row r="326">
      <c r="A326" s="17">
        <v>97.0</v>
      </c>
      <c r="B326" s="31" t="s">
        <v>1076</v>
      </c>
      <c r="C326" s="31" t="s">
        <v>1077</v>
      </c>
      <c r="D326" s="31" t="s">
        <v>201</v>
      </c>
      <c r="E326" s="31" t="s">
        <v>91</v>
      </c>
      <c r="F326" s="31" t="s">
        <v>341</v>
      </c>
      <c r="G326" s="31" t="s">
        <v>1078</v>
      </c>
    </row>
    <row r="327">
      <c r="A327" s="17">
        <v>97.0</v>
      </c>
      <c r="B327" s="31" t="s">
        <v>1076</v>
      </c>
      <c r="C327" s="31" t="s">
        <v>1079</v>
      </c>
      <c r="D327" s="31" t="s">
        <v>201</v>
      </c>
      <c r="E327" s="31" t="s">
        <v>91</v>
      </c>
      <c r="F327" s="31" t="s">
        <v>341</v>
      </c>
      <c r="G327" s="31" t="s">
        <v>1080</v>
      </c>
    </row>
    <row r="328">
      <c r="A328" s="17">
        <v>98.0</v>
      </c>
      <c r="B328" s="31" t="s">
        <v>1081</v>
      </c>
      <c r="C328" s="31" t="s">
        <v>1082</v>
      </c>
      <c r="D328" s="31" t="s">
        <v>213</v>
      </c>
      <c r="E328" s="31" t="s">
        <v>39</v>
      </c>
      <c r="F328" s="31" t="s">
        <v>235</v>
      </c>
      <c r="G328" s="31" t="s">
        <v>1083</v>
      </c>
    </row>
    <row r="329">
      <c r="A329" s="17">
        <v>98.0</v>
      </c>
      <c r="B329" s="31" t="s">
        <v>1081</v>
      </c>
      <c r="C329" s="31" t="s">
        <v>1084</v>
      </c>
      <c r="D329" s="31" t="s">
        <v>207</v>
      </c>
      <c r="E329" s="31" t="s">
        <v>993</v>
      </c>
      <c r="F329" s="31" t="s">
        <v>307</v>
      </c>
      <c r="G329" s="31" t="s">
        <v>1085</v>
      </c>
    </row>
    <row r="330">
      <c r="A330" s="17">
        <v>98.0</v>
      </c>
      <c r="B330" s="31" t="s">
        <v>1086</v>
      </c>
      <c r="C330" s="31" t="s">
        <v>1087</v>
      </c>
      <c r="D330" s="31" t="s">
        <v>201</v>
      </c>
      <c r="E330" s="31" t="s">
        <v>91</v>
      </c>
      <c r="F330" s="31" t="s">
        <v>341</v>
      </c>
      <c r="G330" s="31" t="s">
        <v>1088</v>
      </c>
    </row>
    <row r="331">
      <c r="A331" s="17">
        <v>98.0</v>
      </c>
      <c r="B331" s="31" t="s">
        <v>1086</v>
      </c>
      <c r="C331" s="31" t="s">
        <v>1089</v>
      </c>
      <c r="D331" s="31" t="s">
        <v>201</v>
      </c>
      <c r="E331" s="31" t="s">
        <v>91</v>
      </c>
      <c r="F331" s="31" t="s">
        <v>341</v>
      </c>
      <c r="G331" s="31" t="s">
        <v>1090</v>
      </c>
    </row>
    <row r="332">
      <c r="A332" s="17">
        <v>99.0</v>
      </c>
      <c r="B332" s="31" t="s">
        <v>1091</v>
      </c>
      <c r="C332" s="31" t="s">
        <v>1092</v>
      </c>
      <c r="D332" s="31" t="s">
        <v>201</v>
      </c>
      <c r="E332" s="31" t="s">
        <v>91</v>
      </c>
      <c r="F332" s="31" t="s">
        <v>235</v>
      </c>
      <c r="G332" s="31" t="s">
        <v>1093</v>
      </c>
    </row>
    <row r="333">
      <c r="A333" s="17">
        <v>99.0</v>
      </c>
      <c r="B333" s="31" t="s">
        <v>1091</v>
      </c>
      <c r="C333" s="31" t="s">
        <v>1094</v>
      </c>
      <c r="D333" s="31" t="s">
        <v>201</v>
      </c>
      <c r="E333" s="31" t="s">
        <v>91</v>
      </c>
      <c r="F333" s="31" t="s">
        <v>235</v>
      </c>
      <c r="G333" s="31" t="s">
        <v>1095</v>
      </c>
    </row>
    <row r="334">
      <c r="A334" s="17">
        <v>100.0</v>
      </c>
      <c r="B334" s="31" t="s">
        <v>1096</v>
      </c>
      <c r="C334" s="31" t="s">
        <v>1097</v>
      </c>
      <c r="D334" s="31" t="s">
        <v>213</v>
      </c>
      <c r="E334" s="31" t="s">
        <v>84</v>
      </c>
      <c r="F334" s="31" t="s">
        <v>636</v>
      </c>
      <c r="G334" s="31" t="s">
        <v>1098</v>
      </c>
    </row>
    <row r="335">
      <c r="A335" s="17">
        <v>100.0</v>
      </c>
      <c r="B335" s="31" t="s">
        <v>1096</v>
      </c>
      <c r="C335" s="31" t="s">
        <v>1099</v>
      </c>
      <c r="D335" s="31" t="s">
        <v>211</v>
      </c>
      <c r="E335" s="31" t="s">
        <v>84</v>
      </c>
      <c r="F335" s="31" t="s">
        <v>238</v>
      </c>
      <c r="G335" s="31" t="s">
        <v>1100</v>
      </c>
    </row>
    <row r="336">
      <c r="A336" s="17">
        <v>100.0</v>
      </c>
      <c r="B336" s="31" t="s">
        <v>1096</v>
      </c>
      <c r="C336" s="31" t="s">
        <v>1101</v>
      </c>
      <c r="D336" s="31" t="s">
        <v>211</v>
      </c>
      <c r="E336" s="31" t="s">
        <v>84</v>
      </c>
      <c r="F336" s="31" t="s">
        <v>238</v>
      </c>
      <c r="G336" s="31" t="s">
        <v>1102</v>
      </c>
    </row>
    <row r="337">
      <c r="A337" s="17">
        <v>100.0</v>
      </c>
      <c r="B337" s="31" t="s">
        <v>1096</v>
      </c>
      <c r="C337" s="31" t="s">
        <v>1103</v>
      </c>
      <c r="D337" s="31" t="s">
        <v>201</v>
      </c>
      <c r="E337" s="31" t="s">
        <v>91</v>
      </c>
      <c r="F337" s="31" t="s">
        <v>235</v>
      </c>
      <c r="G337" s="31" t="s">
        <v>1104</v>
      </c>
    </row>
    <row r="338">
      <c r="A338" s="17">
        <v>100.0</v>
      </c>
      <c r="B338" s="31" t="s">
        <v>1096</v>
      </c>
      <c r="C338" s="31" t="s">
        <v>1105</v>
      </c>
      <c r="D338" s="31" t="s">
        <v>201</v>
      </c>
      <c r="E338" s="31" t="s">
        <v>91</v>
      </c>
      <c r="F338" s="31" t="s">
        <v>235</v>
      </c>
      <c r="G338" s="31" t="s">
        <v>1106</v>
      </c>
    </row>
    <row r="339">
      <c r="A339" s="17">
        <v>100.0</v>
      </c>
      <c r="B339" s="31" t="s">
        <v>1096</v>
      </c>
      <c r="C339" s="31" t="s">
        <v>1107</v>
      </c>
      <c r="D339" s="31" t="s">
        <v>201</v>
      </c>
      <c r="E339" s="31" t="s">
        <v>91</v>
      </c>
      <c r="F339" s="31" t="s">
        <v>235</v>
      </c>
      <c r="G339" s="31" t="s">
        <v>1108</v>
      </c>
    </row>
    <row r="340">
      <c r="A340" s="17">
        <v>100.0</v>
      </c>
      <c r="B340" s="31" t="s">
        <v>1096</v>
      </c>
      <c r="C340" s="31" t="s">
        <v>1109</v>
      </c>
      <c r="D340" s="31" t="s">
        <v>201</v>
      </c>
      <c r="E340" s="31" t="s">
        <v>91</v>
      </c>
      <c r="F340" s="31" t="s">
        <v>245</v>
      </c>
      <c r="G340" s="31" t="s">
        <v>1110</v>
      </c>
    </row>
    <row r="341">
      <c r="A341" s="17">
        <v>101.0</v>
      </c>
      <c r="B341" s="31" t="s">
        <v>1111</v>
      </c>
      <c r="C341" s="31" t="s">
        <v>1112</v>
      </c>
      <c r="D341" s="31" t="s">
        <v>201</v>
      </c>
      <c r="E341" s="31" t="s">
        <v>91</v>
      </c>
      <c r="F341" s="31" t="s">
        <v>245</v>
      </c>
      <c r="G341" s="31" t="s">
        <v>1113</v>
      </c>
    </row>
    <row r="342">
      <c r="A342" s="17">
        <v>101.0</v>
      </c>
      <c r="B342" s="31" t="s">
        <v>1111</v>
      </c>
      <c r="C342" s="31" t="s">
        <v>1114</v>
      </c>
      <c r="D342" s="31" t="s">
        <v>201</v>
      </c>
      <c r="E342" s="31" t="s">
        <v>91</v>
      </c>
      <c r="F342" s="31" t="s">
        <v>263</v>
      </c>
      <c r="G342" s="31" t="s">
        <v>1115</v>
      </c>
    </row>
    <row r="343">
      <c r="A343" s="17">
        <v>101.0</v>
      </c>
      <c r="B343" s="31" t="s">
        <v>1111</v>
      </c>
      <c r="C343" s="31" t="s">
        <v>1116</v>
      </c>
      <c r="D343" s="31" t="s">
        <v>201</v>
      </c>
      <c r="E343" s="31" t="s">
        <v>91</v>
      </c>
      <c r="F343" s="31" t="s">
        <v>238</v>
      </c>
      <c r="G343" s="31" t="s">
        <v>1117</v>
      </c>
    </row>
    <row r="344">
      <c r="A344" s="17">
        <v>101.0</v>
      </c>
      <c r="B344" s="31" t="s">
        <v>1111</v>
      </c>
      <c r="C344" s="31" t="s">
        <v>1118</v>
      </c>
      <c r="D344" s="31" t="s">
        <v>213</v>
      </c>
      <c r="E344" s="31" t="s">
        <v>348</v>
      </c>
      <c r="F344" s="31" t="s">
        <v>235</v>
      </c>
      <c r="G344" s="31" t="s">
        <v>1119</v>
      </c>
    </row>
    <row r="345">
      <c r="A345" s="17">
        <v>101.0</v>
      </c>
      <c r="B345" s="31" t="s">
        <v>1111</v>
      </c>
      <c r="C345" s="31" t="s">
        <v>1120</v>
      </c>
      <c r="D345" s="31" t="s">
        <v>213</v>
      </c>
      <c r="E345" s="31" t="s">
        <v>348</v>
      </c>
      <c r="F345" s="31" t="s">
        <v>235</v>
      </c>
      <c r="G345" s="31" t="s">
        <v>1121</v>
      </c>
    </row>
    <row r="346">
      <c r="A346" s="17">
        <v>101.0</v>
      </c>
      <c r="B346" s="31" t="s">
        <v>1111</v>
      </c>
      <c r="C346" s="31" t="s">
        <v>1122</v>
      </c>
      <c r="D346" s="31" t="s">
        <v>1123</v>
      </c>
      <c r="E346" s="31" t="s">
        <v>799</v>
      </c>
      <c r="F346" s="31" t="s">
        <v>1124</v>
      </c>
      <c r="G346" s="31" t="s">
        <v>1125</v>
      </c>
    </row>
    <row r="347">
      <c r="A347" s="17">
        <v>104.0</v>
      </c>
      <c r="B347" s="31" t="s">
        <v>1126</v>
      </c>
      <c r="C347" s="31" t="s">
        <v>1127</v>
      </c>
      <c r="D347" s="31" t="s">
        <v>213</v>
      </c>
      <c r="E347" s="31" t="s">
        <v>1128</v>
      </c>
      <c r="F347" s="31" t="s">
        <v>636</v>
      </c>
      <c r="G347" s="31" t="s">
        <v>1129</v>
      </c>
    </row>
    <row r="348">
      <c r="A348" s="17">
        <v>104.0</v>
      </c>
      <c r="B348" s="31" t="s">
        <v>1126</v>
      </c>
      <c r="C348" s="31" t="s">
        <v>1130</v>
      </c>
      <c r="D348" s="31" t="s">
        <v>207</v>
      </c>
      <c r="E348" s="31" t="s">
        <v>1128</v>
      </c>
      <c r="F348" s="31" t="s">
        <v>238</v>
      </c>
      <c r="G348" s="31" t="s">
        <v>1131</v>
      </c>
    </row>
    <row r="349">
      <c r="A349" s="17">
        <v>104.0</v>
      </c>
      <c r="B349" s="31" t="s">
        <v>1126</v>
      </c>
      <c r="C349" s="31" t="s">
        <v>1132</v>
      </c>
      <c r="D349" s="31" t="s">
        <v>205</v>
      </c>
      <c r="E349" s="31" t="s">
        <v>1128</v>
      </c>
      <c r="F349" s="31" t="s">
        <v>238</v>
      </c>
      <c r="G349" s="31" t="s">
        <v>1133</v>
      </c>
    </row>
    <row r="350">
      <c r="A350" s="17">
        <v>104.0</v>
      </c>
      <c r="B350" s="31" t="s">
        <v>1126</v>
      </c>
      <c r="C350" s="31" t="s">
        <v>1134</v>
      </c>
      <c r="D350" s="31" t="s">
        <v>207</v>
      </c>
      <c r="E350" s="31" t="s">
        <v>1128</v>
      </c>
      <c r="F350" s="31" t="s">
        <v>238</v>
      </c>
      <c r="G350" s="31" t="s">
        <v>1135</v>
      </c>
    </row>
    <row r="351">
      <c r="A351" s="17">
        <v>104.0</v>
      </c>
      <c r="B351" s="31" t="s">
        <v>1126</v>
      </c>
      <c r="C351" s="31" t="s">
        <v>1136</v>
      </c>
      <c r="D351" s="31" t="s">
        <v>205</v>
      </c>
      <c r="E351" s="31" t="s">
        <v>1128</v>
      </c>
      <c r="F351" s="31" t="s">
        <v>238</v>
      </c>
      <c r="G351" s="31" t="s">
        <v>1137</v>
      </c>
    </row>
    <row r="352">
      <c r="A352" s="17">
        <v>104.0</v>
      </c>
      <c r="B352" s="31" t="s">
        <v>1126</v>
      </c>
      <c r="C352" s="31" t="s">
        <v>1138</v>
      </c>
      <c r="D352" s="31" t="s">
        <v>201</v>
      </c>
      <c r="E352" s="31" t="s">
        <v>91</v>
      </c>
      <c r="F352" s="31" t="s">
        <v>235</v>
      </c>
      <c r="G352" s="31" t="s">
        <v>1139</v>
      </c>
    </row>
    <row r="353">
      <c r="A353" s="17">
        <v>104.0</v>
      </c>
      <c r="B353" s="31" t="s">
        <v>1126</v>
      </c>
      <c r="C353" s="31" t="s">
        <v>1140</v>
      </c>
      <c r="D353" s="31" t="s">
        <v>201</v>
      </c>
      <c r="E353" s="31" t="s">
        <v>91</v>
      </c>
      <c r="F353" s="31" t="s">
        <v>307</v>
      </c>
      <c r="G353" s="31" t="s">
        <v>1141</v>
      </c>
    </row>
    <row r="354">
      <c r="A354" s="17">
        <v>108.0</v>
      </c>
      <c r="B354" s="31" t="s">
        <v>1142</v>
      </c>
      <c r="C354" s="31" t="s">
        <v>1143</v>
      </c>
      <c r="D354" s="31" t="s">
        <v>213</v>
      </c>
      <c r="E354" s="31" t="s">
        <v>1144</v>
      </c>
      <c r="F354" s="31" t="s">
        <v>636</v>
      </c>
      <c r="G354" s="31" t="s">
        <v>1145</v>
      </c>
    </row>
    <row r="355">
      <c r="A355" s="17">
        <v>108.0</v>
      </c>
      <c r="B355" s="31" t="s">
        <v>1142</v>
      </c>
      <c r="C355" s="31" t="s">
        <v>1146</v>
      </c>
      <c r="D355" s="31" t="s">
        <v>205</v>
      </c>
      <c r="E355" s="31" t="s">
        <v>1144</v>
      </c>
      <c r="F355" s="31" t="s">
        <v>238</v>
      </c>
      <c r="G355" s="31" t="s">
        <v>1147</v>
      </c>
    </row>
    <row r="356">
      <c r="A356" s="17">
        <v>109.0</v>
      </c>
      <c r="B356" s="31" t="s">
        <v>1148</v>
      </c>
      <c r="C356" s="31" t="s">
        <v>1149</v>
      </c>
      <c r="D356" s="31" t="s">
        <v>201</v>
      </c>
      <c r="E356" s="31" t="s">
        <v>91</v>
      </c>
      <c r="F356" s="31" t="s">
        <v>235</v>
      </c>
      <c r="G356" s="31" t="s">
        <v>135</v>
      </c>
    </row>
    <row r="357">
      <c r="A357" s="17">
        <v>109.0</v>
      </c>
      <c r="B357" s="31" t="s">
        <v>1148</v>
      </c>
      <c r="C357" s="31" t="s">
        <v>1069</v>
      </c>
      <c r="D357" s="31" t="s">
        <v>201</v>
      </c>
      <c r="E357" s="31" t="s">
        <v>91</v>
      </c>
      <c r="F357" s="31" t="s">
        <v>245</v>
      </c>
      <c r="G357" s="31" t="s">
        <v>1150</v>
      </c>
    </row>
    <row r="358">
      <c r="A358" s="17">
        <v>110.0</v>
      </c>
      <c r="B358" s="31" t="s">
        <v>1151</v>
      </c>
      <c r="C358" s="31" t="s">
        <v>1152</v>
      </c>
      <c r="D358" s="31" t="s">
        <v>201</v>
      </c>
      <c r="E358" s="31" t="s">
        <v>91</v>
      </c>
      <c r="F358" s="31" t="s">
        <v>235</v>
      </c>
      <c r="G358" s="31" t="s">
        <v>1153</v>
      </c>
    </row>
    <row r="359">
      <c r="A359" s="17">
        <v>110.0</v>
      </c>
      <c r="B359" s="31" t="s">
        <v>1151</v>
      </c>
      <c r="C359" s="31" t="s">
        <v>1154</v>
      </c>
      <c r="D359" s="31" t="s">
        <v>201</v>
      </c>
      <c r="E359" s="31" t="s">
        <v>91</v>
      </c>
      <c r="F359" s="31" t="s">
        <v>245</v>
      </c>
      <c r="G359" s="31" t="s">
        <v>1155</v>
      </c>
    </row>
    <row r="360">
      <c r="A360" s="17">
        <v>110.0</v>
      </c>
      <c r="B360" s="31" t="s">
        <v>1151</v>
      </c>
      <c r="C360" s="31" t="s">
        <v>1156</v>
      </c>
      <c r="D360" s="31" t="s">
        <v>201</v>
      </c>
      <c r="E360" s="31" t="s">
        <v>91</v>
      </c>
      <c r="F360" s="31" t="s">
        <v>238</v>
      </c>
      <c r="G360" s="31" t="s">
        <v>1157</v>
      </c>
    </row>
    <row r="361">
      <c r="A361" s="17">
        <v>110.0</v>
      </c>
      <c r="B361" s="31" t="s">
        <v>1151</v>
      </c>
      <c r="C361" s="31" t="s">
        <v>1158</v>
      </c>
      <c r="D361" s="31" t="s">
        <v>195</v>
      </c>
      <c r="E361" s="31" t="s">
        <v>1046</v>
      </c>
      <c r="F361" s="31" t="s">
        <v>245</v>
      </c>
      <c r="G361" s="31" t="s">
        <v>1159</v>
      </c>
    </row>
    <row r="362">
      <c r="A362" s="17">
        <v>110.0</v>
      </c>
      <c r="B362" s="31" t="s">
        <v>1151</v>
      </c>
      <c r="C362" s="31" t="s">
        <v>1160</v>
      </c>
      <c r="D362" s="31" t="s">
        <v>215</v>
      </c>
      <c r="E362" s="31" t="s">
        <v>1046</v>
      </c>
      <c r="F362" s="31" t="s">
        <v>238</v>
      </c>
      <c r="G362" s="31" t="s">
        <v>1161</v>
      </c>
    </row>
    <row r="363">
      <c r="A363" s="17">
        <v>110.0</v>
      </c>
      <c r="B363" s="31" t="s">
        <v>1151</v>
      </c>
      <c r="C363" s="31" t="s">
        <v>1162</v>
      </c>
      <c r="D363" s="31" t="s">
        <v>197</v>
      </c>
      <c r="E363" s="31" t="s">
        <v>1046</v>
      </c>
      <c r="F363" s="31" t="s">
        <v>238</v>
      </c>
      <c r="G363" s="31" t="s">
        <v>1163</v>
      </c>
    </row>
    <row r="364">
      <c r="A364" s="17">
        <v>111.0</v>
      </c>
      <c r="B364" s="31" t="s">
        <v>1164</v>
      </c>
      <c r="C364" s="31" t="s">
        <v>1165</v>
      </c>
      <c r="D364" s="31" t="s">
        <v>205</v>
      </c>
      <c r="E364" s="31" t="s">
        <v>1166</v>
      </c>
      <c r="F364" s="31" t="s">
        <v>263</v>
      </c>
      <c r="G364" s="31" t="s">
        <v>1167</v>
      </c>
    </row>
    <row r="365">
      <c r="A365" s="17">
        <v>111.0</v>
      </c>
      <c r="B365" s="31" t="s">
        <v>1168</v>
      </c>
      <c r="C365" s="31" t="s">
        <v>1169</v>
      </c>
      <c r="D365" s="31" t="s">
        <v>197</v>
      </c>
      <c r="E365" s="31" t="s">
        <v>1166</v>
      </c>
      <c r="F365" s="31" t="s">
        <v>263</v>
      </c>
      <c r="G365" s="31" t="s">
        <v>1170</v>
      </c>
    </row>
    <row r="366">
      <c r="A366" s="17">
        <v>111.0</v>
      </c>
      <c r="B366" s="31" t="s">
        <v>1164</v>
      </c>
      <c r="C366" s="31" t="s">
        <v>1171</v>
      </c>
      <c r="D366" s="31" t="s">
        <v>197</v>
      </c>
      <c r="E366" s="31" t="s">
        <v>1166</v>
      </c>
      <c r="F366" s="31" t="s">
        <v>238</v>
      </c>
      <c r="G366" s="31" t="s">
        <v>1172</v>
      </c>
    </row>
    <row r="367">
      <c r="A367" s="17">
        <v>112.0</v>
      </c>
      <c r="B367" s="31" t="s">
        <v>1173</v>
      </c>
      <c r="C367" s="31" t="s">
        <v>1174</v>
      </c>
      <c r="D367" s="31" t="s">
        <v>201</v>
      </c>
      <c r="E367" s="31" t="s">
        <v>91</v>
      </c>
      <c r="F367" s="31" t="s">
        <v>245</v>
      </c>
      <c r="G367" s="31" t="s">
        <v>1175</v>
      </c>
    </row>
    <row r="368">
      <c r="A368" s="17">
        <v>112.0</v>
      </c>
      <c r="B368" s="31" t="s">
        <v>1173</v>
      </c>
      <c r="C368" s="31" t="s">
        <v>1176</v>
      </c>
      <c r="D368" s="31" t="s">
        <v>201</v>
      </c>
      <c r="E368" s="31" t="s">
        <v>91</v>
      </c>
      <c r="F368" s="31" t="s">
        <v>341</v>
      </c>
      <c r="G368" s="31" t="s">
        <v>1177</v>
      </c>
    </row>
    <row r="369">
      <c r="A369" s="17">
        <v>112.0</v>
      </c>
      <c r="B369" s="31" t="s">
        <v>1173</v>
      </c>
      <c r="C369" s="31" t="s">
        <v>1178</v>
      </c>
      <c r="D369" s="31" t="s">
        <v>201</v>
      </c>
      <c r="E369" s="31" t="s">
        <v>91</v>
      </c>
      <c r="F369" s="31" t="s">
        <v>341</v>
      </c>
      <c r="G369" s="31" t="s">
        <v>1179</v>
      </c>
    </row>
    <row r="370">
      <c r="A370" s="17">
        <v>112.0</v>
      </c>
      <c r="B370" s="31" t="s">
        <v>1173</v>
      </c>
      <c r="C370" s="31" t="s">
        <v>1180</v>
      </c>
      <c r="D370" s="31" t="s">
        <v>201</v>
      </c>
      <c r="E370" s="31" t="s">
        <v>91</v>
      </c>
      <c r="F370" s="31" t="s">
        <v>341</v>
      </c>
      <c r="G370" s="31" t="s">
        <v>1181</v>
      </c>
    </row>
    <row r="371">
      <c r="A371" s="17">
        <v>112.0</v>
      </c>
      <c r="B371" s="31" t="s">
        <v>1173</v>
      </c>
      <c r="C371" s="31" t="s">
        <v>1182</v>
      </c>
      <c r="D371" s="31" t="s">
        <v>201</v>
      </c>
      <c r="E371" s="31" t="s">
        <v>91</v>
      </c>
      <c r="F371" s="31" t="s">
        <v>341</v>
      </c>
      <c r="G371" s="31" t="s">
        <v>1183</v>
      </c>
    </row>
    <row r="372">
      <c r="A372" s="17">
        <v>113.0</v>
      </c>
      <c r="B372" s="31" t="s">
        <v>1184</v>
      </c>
      <c r="C372" s="31" t="s">
        <v>1185</v>
      </c>
      <c r="D372" s="31" t="s">
        <v>213</v>
      </c>
      <c r="E372" s="31" t="s">
        <v>1186</v>
      </c>
      <c r="F372" s="31" t="s">
        <v>636</v>
      </c>
      <c r="G372" s="31" t="s">
        <v>1187</v>
      </c>
    </row>
    <row r="373">
      <c r="A373" s="17">
        <v>113.0</v>
      </c>
      <c r="B373" s="31" t="s">
        <v>1184</v>
      </c>
      <c r="C373" s="31" t="s">
        <v>1188</v>
      </c>
      <c r="D373" s="31" t="s">
        <v>215</v>
      </c>
      <c r="E373" s="31" t="s">
        <v>1186</v>
      </c>
      <c r="F373" s="31" t="s">
        <v>238</v>
      </c>
      <c r="G373" s="31" t="s">
        <v>1189</v>
      </c>
    </row>
    <row r="374">
      <c r="A374" s="17">
        <v>113.0</v>
      </c>
      <c r="B374" s="31" t="s">
        <v>1184</v>
      </c>
      <c r="C374" s="31" t="s">
        <v>1190</v>
      </c>
      <c r="D374" s="31" t="s">
        <v>201</v>
      </c>
      <c r="E374" s="31" t="s">
        <v>91</v>
      </c>
      <c r="F374" s="31" t="s">
        <v>235</v>
      </c>
      <c r="G374" s="31" t="s">
        <v>1191</v>
      </c>
    </row>
    <row r="375">
      <c r="A375" s="17">
        <v>113.0</v>
      </c>
      <c r="B375" s="31" t="s">
        <v>1184</v>
      </c>
      <c r="C375" s="31" t="s">
        <v>1192</v>
      </c>
      <c r="D375" s="31" t="s">
        <v>201</v>
      </c>
      <c r="E375" s="31" t="s">
        <v>91</v>
      </c>
      <c r="F375" s="31" t="s">
        <v>235</v>
      </c>
      <c r="G375" s="31" t="s">
        <v>1193</v>
      </c>
    </row>
    <row r="376">
      <c r="A376" s="17">
        <v>113.0</v>
      </c>
      <c r="B376" s="31" t="s">
        <v>1184</v>
      </c>
      <c r="C376" s="31" t="s">
        <v>1194</v>
      </c>
      <c r="D376" s="31" t="s">
        <v>201</v>
      </c>
      <c r="E376" s="31" t="s">
        <v>91</v>
      </c>
      <c r="F376" s="31" t="s">
        <v>341</v>
      </c>
      <c r="G376" s="31" t="s">
        <v>1195</v>
      </c>
    </row>
    <row r="377">
      <c r="A377" s="17">
        <v>113.0</v>
      </c>
      <c r="B377" s="31" t="s">
        <v>1196</v>
      </c>
      <c r="C377" s="31" t="s">
        <v>1197</v>
      </c>
      <c r="D377" s="31" t="s">
        <v>201</v>
      </c>
      <c r="E377" s="31" t="s">
        <v>91</v>
      </c>
      <c r="F377" s="31" t="s">
        <v>341</v>
      </c>
      <c r="G377" s="31" t="s">
        <v>1198</v>
      </c>
    </row>
    <row r="378">
      <c r="A378" s="17">
        <v>113.0</v>
      </c>
      <c r="B378" s="31" t="s">
        <v>1184</v>
      </c>
      <c r="C378" s="31" t="s">
        <v>1199</v>
      </c>
      <c r="D378" s="31" t="s">
        <v>213</v>
      </c>
      <c r="E378" s="31" t="s">
        <v>1200</v>
      </c>
      <c r="F378" s="31" t="s">
        <v>636</v>
      </c>
      <c r="G378" s="31" t="s">
        <v>1201</v>
      </c>
    </row>
    <row r="379">
      <c r="A379" s="17">
        <v>113.0</v>
      </c>
      <c r="B379" s="31" t="s">
        <v>1184</v>
      </c>
      <c r="C379" s="31" t="s">
        <v>1202</v>
      </c>
      <c r="D379" s="31" t="s">
        <v>205</v>
      </c>
      <c r="E379" s="31" t="s">
        <v>1200</v>
      </c>
      <c r="F379" s="31" t="s">
        <v>238</v>
      </c>
      <c r="G379" s="31" t="s">
        <v>1203</v>
      </c>
    </row>
    <row r="380">
      <c r="A380" s="17">
        <v>114.0</v>
      </c>
      <c r="B380" s="31" t="s">
        <v>1204</v>
      </c>
      <c r="C380" s="31" t="s">
        <v>1205</v>
      </c>
      <c r="D380" s="31" t="s">
        <v>205</v>
      </c>
      <c r="E380" s="31" t="s">
        <v>1206</v>
      </c>
      <c r="F380" s="31" t="s">
        <v>263</v>
      </c>
      <c r="G380" s="31" t="s">
        <v>1207</v>
      </c>
    </row>
    <row r="381">
      <c r="A381" s="17">
        <v>114.0</v>
      </c>
      <c r="B381" s="31" t="s">
        <v>1208</v>
      </c>
      <c r="C381" s="31" t="s">
        <v>1209</v>
      </c>
      <c r="D381" s="31" t="s">
        <v>201</v>
      </c>
      <c r="E381" s="31" t="s">
        <v>91</v>
      </c>
      <c r="F381" s="31" t="s">
        <v>235</v>
      </c>
      <c r="G381" s="31" t="s">
        <v>1210</v>
      </c>
    </row>
    <row r="382">
      <c r="A382" s="17">
        <v>114.0</v>
      </c>
      <c r="B382" s="31" t="s">
        <v>1208</v>
      </c>
      <c r="C382" s="31" t="s">
        <v>1211</v>
      </c>
      <c r="D382" s="31" t="s">
        <v>201</v>
      </c>
      <c r="E382" s="31" t="s">
        <v>91</v>
      </c>
      <c r="F382" s="31" t="s">
        <v>235</v>
      </c>
      <c r="G382" s="31" t="s">
        <v>1212</v>
      </c>
    </row>
    <row r="383">
      <c r="A383" s="17">
        <v>114.0</v>
      </c>
      <c r="B383" s="31" t="s">
        <v>1208</v>
      </c>
      <c r="C383" s="31" t="s">
        <v>1213</v>
      </c>
      <c r="D383" s="31" t="s">
        <v>201</v>
      </c>
      <c r="E383" s="31" t="s">
        <v>91</v>
      </c>
      <c r="F383" s="31" t="s">
        <v>263</v>
      </c>
      <c r="G383" s="31" t="s">
        <v>1214</v>
      </c>
    </row>
    <row r="384">
      <c r="A384" s="17">
        <v>115.0</v>
      </c>
      <c r="B384" s="31" t="s">
        <v>1215</v>
      </c>
      <c r="C384" s="31" t="s">
        <v>1216</v>
      </c>
      <c r="D384" s="31" t="s">
        <v>205</v>
      </c>
      <c r="E384" s="31" t="s">
        <v>91</v>
      </c>
      <c r="F384" s="31" t="s">
        <v>341</v>
      </c>
      <c r="G384" s="31" t="s">
        <v>1217</v>
      </c>
    </row>
    <row r="385">
      <c r="A385" s="17">
        <v>115.0</v>
      </c>
      <c r="B385" s="31" t="s">
        <v>1215</v>
      </c>
      <c r="C385" s="31" t="s">
        <v>1218</v>
      </c>
      <c r="D385" s="31" t="s">
        <v>201</v>
      </c>
      <c r="E385" s="31" t="s">
        <v>91</v>
      </c>
      <c r="F385" s="31" t="s">
        <v>341</v>
      </c>
      <c r="G385" s="31" t="s">
        <v>1219</v>
      </c>
    </row>
    <row r="386">
      <c r="A386" s="17">
        <v>116.0</v>
      </c>
      <c r="B386" s="31" t="s">
        <v>1220</v>
      </c>
      <c r="C386" s="31" t="s">
        <v>1221</v>
      </c>
      <c r="D386" s="31" t="s">
        <v>203</v>
      </c>
      <c r="E386" s="31" t="s">
        <v>1222</v>
      </c>
      <c r="F386" s="31" t="s">
        <v>307</v>
      </c>
      <c r="G386" s="31" t="s">
        <v>1223</v>
      </c>
    </row>
    <row r="387">
      <c r="A387" s="17">
        <v>117.0</v>
      </c>
      <c r="B387" s="31" t="s">
        <v>1224</v>
      </c>
      <c r="C387" s="31" t="s">
        <v>1225</v>
      </c>
      <c r="D387" s="31" t="s">
        <v>203</v>
      </c>
      <c r="E387" s="31" t="s">
        <v>523</v>
      </c>
      <c r="F387" s="31" t="s">
        <v>636</v>
      </c>
      <c r="G387" s="31" t="s">
        <v>1226</v>
      </c>
    </row>
    <row r="388">
      <c r="A388" s="17">
        <v>118.0</v>
      </c>
      <c r="B388" s="31" t="s">
        <v>1227</v>
      </c>
      <c r="C388" s="31" t="s">
        <v>1228</v>
      </c>
      <c r="D388" s="31" t="s">
        <v>201</v>
      </c>
      <c r="E388" s="31" t="s">
        <v>91</v>
      </c>
      <c r="F388" s="31" t="s">
        <v>245</v>
      </c>
      <c r="G388" s="31" t="s">
        <v>1150</v>
      </c>
    </row>
    <row r="389">
      <c r="A389" s="17">
        <v>118.0</v>
      </c>
      <c r="B389" s="31" t="s">
        <v>1227</v>
      </c>
      <c r="C389" s="31" t="s">
        <v>1229</v>
      </c>
      <c r="D389" s="31" t="s">
        <v>201</v>
      </c>
      <c r="E389" s="31" t="s">
        <v>91</v>
      </c>
      <c r="F389" s="31" t="s">
        <v>245</v>
      </c>
      <c r="G389" s="31" t="s">
        <v>1150</v>
      </c>
    </row>
    <row r="390">
      <c r="A390" s="17">
        <v>120.0</v>
      </c>
      <c r="B390" s="31" t="s">
        <v>1230</v>
      </c>
      <c r="C390" s="31" t="s">
        <v>1231</v>
      </c>
      <c r="D390" s="31" t="s">
        <v>213</v>
      </c>
      <c r="E390" s="31" t="s">
        <v>34</v>
      </c>
      <c r="F390" s="31" t="s">
        <v>235</v>
      </c>
      <c r="G390" s="31" t="s">
        <v>756</v>
      </c>
    </row>
    <row r="391">
      <c r="A391" s="17">
        <v>120.0</v>
      </c>
      <c r="B391" s="31" t="s">
        <v>1230</v>
      </c>
      <c r="C391" s="31" t="s">
        <v>1232</v>
      </c>
      <c r="D391" s="31" t="s">
        <v>213</v>
      </c>
      <c r="E391" s="31" t="s">
        <v>34</v>
      </c>
      <c r="F391" s="31" t="s">
        <v>245</v>
      </c>
      <c r="G391" s="31" t="s">
        <v>758</v>
      </c>
    </row>
    <row r="392">
      <c r="A392" s="17">
        <v>121.0</v>
      </c>
      <c r="B392" s="31" t="s">
        <v>1233</v>
      </c>
      <c r="C392" s="31" t="s">
        <v>1234</v>
      </c>
      <c r="D392" s="31" t="s">
        <v>201</v>
      </c>
      <c r="E392" s="31" t="s">
        <v>91</v>
      </c>
      <c r="F392" s="31" t="s">
        <v>235</v>
      </c>
      <c r="G392" s="31" t="s">
        <v>1235</v>
      </c>
    </row>
    <row r="393">
      <c r="A393" s="17">
        <v>123.0</v>
      </c>
      <c r="B393" s="31" t="s">
        <v>1236</v>
      </c>
      <c r="C393" s="31" t="s">
        <v>1237</v>
      </c>
      <c r="D393" s="31" t="s">
        <v>213</v>
      </c>
      <c r="E393" s="31" t="s">
        <v>811</v>
      </c>
      <c r="F393" s="31" t="s">
        <v>263</v>
      </c>
      <c r="G393" s="31" t="s">
        <v>1238</v>
      </c>
    </row>
    <row r="394">
      <c r="A394" s="17">
        <v>123.0</v>
      </c>
      <c r="B394" s="31" t="s">
        <v>1236</v>
      </c>
      <c r="C394" s="31" t="s">
        <v>1239</v>
      </c>
      <c r="D394" s="31" t="s">
        <v>207</v>
      </c>
      <c r="E394" s="31" t="s">
        <v>34</v>
      </c>
      <c r="F394" s="31" t="s">
        <v>235</v>
      </c>
      <c r="G394" s="31" t="s">
        <v>1240</v>
      </c>
    </row>
    <row r="395">
      <c r="A395" s="17">
        <v>123.0</v>
      </c>
      <c r="B395" s="31" t="s">
        <v>1241</v>
      </c>
      <c r="C395" s="31" t="s">
        <v>1242</v>
      </c>
      <c r="D395" s="31" t="s">
        <v>197</v>
      </c>
      <c r="E395" s="31" t="s">
        <v>91</v>
      </c>
      <c r="F395" s="31" t="s">
        <v>235</v>
      </c>
      <c r="G395" s="31" t="s">
        <v>1243</v>
      </c>
    </row>
    <row r="396">
      <c r="A396" s="17">
        <v>123.0</v>
      </c>
      <c r="B396" s="31" t="s">
        <v>1241</v>
      </c>
      <c r="C396" s="31" t="s">
        <v>1244</v>
      </c>
      <c r="D396" s="31" t="s">
        <v>197</v>
      </c>
      <c r="E396" s="31" t="s">
        <v>91</v>
      </c>
      <c r="F396" s="31" t="s">
        <v>263</v>
      </c>
      <c r="G396" s="31" t="s">
        <v>1245</v>
      </c>
    </row>
    <row r="397">
      <c r="A397" s="17">
        <v>123.0</v>
      </c>
      <c r="B397" s="31" t="s">
        <v>1236</v>
      </c>
      <c r="C397" s="31" t="s">
        <v>1246</v>
      </c>
      <c r="D397" s="31" t="s">
        <v>213</v>
      </c>
      <c r="E397" s="31" t="s">
        <v>1247</v>
      </c>
      <c r="F397" s="31" t="s">
        <v>636</v>
      </c>
      <c r="G397" s="31" t="s">
        <v>1248</v>
      </c>
    </row>
    <row r="398">
      <c r="A398" s="17">
        <v>125.0</v>
      </c>
      <c r="B398" s="31" t="s">
        <v>1249</v>
      </c>
      <c r="C398" s="31" t="s">
        <v>1250</v>
      </c>
      <c r="D398" s="31" t="s">
        <v>207</v>
      </c>
      <c r="E398" s="31" t="s">
        <v>365</v>
      </c>
      <c r="F398" s="31" t="s">
        <v>539</v>
      </c>
      <c r="G398" s="31" t="s">
        <v>1251</v>
      </c>
    </row>
    <row r="399">
      <c r="A399" s="17">
        <v>125.0</v>
      </c>
      <c r="B399" s="31" t="s">
        <v>1249</v>
      </c>
      <c r="C399" s="31" t="s">
        <v>1252</v>
      </c>
      <c r="D399" s="31" t="s">
        <v>201</v>
      </c>
      <c r="E399" s="31" t="s">
        <v>91</v>
      </c>
      <c r="F399" s="31" t="s">
        <v>307</v>
      </c>
      <c r="G399" s="31" t="s">
        <v>1253</v>
      </c>
    </row>
    <row r="400">
      <c r="A400" s="17">
        <v>127.0</v>
      </c>
      <c r="B400" s="31" t="s">
        <v>1254</v>
      </c>
      <c r="C400" s="31" t="s">
        <v>1255</v>
      </c>
      <c r="D400" s="31" t="s">
        <v>201</v>
      </c>
      <c r="E400" s="31" t="s">
        <v>91</v>
      </c>
      <c r="F400" s="31" t="s">
        <v>245</v>
      </c>
      <c r="G400" s="31" t="s">
        <v>1256</v>
      </c>
    </row>
    <row r="401">
      <c r="A401" s="17">
        <v>127.0</v>
      </c>
      <c r="B401" s="31" t="s">
        <v>1254</v>
      </c>
      <c r="C401" s="31" t="s">
        <v>1257</v>
      </c>
      <c r="D401" s="31" t="s">
        <v>201</v>
      </c>
      <c r="E401" s="31" t="s">
        <v>91</v>
      </c>
      <c r="F401" s="31" t="s">
        <v>263</v>
      </c>
      <c r="G401" s="31" t="s">
        <v>1258</v>
      </c>
    </row>
    <row r="402">
      <c r="A402" s="17">
        <v>128.0</v>
      </c>
      <c r="B402" s="31" t="s">
        <v>1259</v>
      </c>
      <c r="C402" s="31" t="s">
        <v>1260</v>
      </c>
      <c r="D402" s="31" t="s">
        <v>205</v>
      </c>
      <c r="E402" s="31" t="s">
        <v>888</v>
      </c>
      <c r="F402" s="31" t="s">
        <v>235</v>
      </c>
      <c r="G402" s="31" t="s">
        <v>1261</v>
      </c>
    </row>
    <row r="403">
      <c r="A403" s="17">
        <v>128.0</v>
      </c>
      <c r="B403" s="31" t="s">
        <v>1259</v>
      </c>
      <c r="C403" s="31" t="s">
        <v>1262</v>
      </c>
      <c r="D403" s="31" t="s">
        <v>205</v>
      </c>
      <c r="E403" s="31" t="s">
        <v>888</v>
      </c>
      <c r="F403" s="31" t="s">
        <v>238</v>
      </c>
      <c r="G403" s="31" t="s">
        <v>1263</v>
      </c>
    </row>
    <row r="404">
      <c r="A404" s="17">
        <v>129.0</v>
      </c>
      <c r="B404" s="31" t="s">
        <v>1264</v>
      </c>
      <c r="C404" s="31" t="s">
        <v>1265</v>
      </c>
      <c r="D404" s="31" t="s">
        <v>1266</v>
      </c>
      <c r="E404" s="31" t="s">
        <v>28</v>
      </c>
      <c r="F404" s="31" t="s">
        <v>636</v>
      </c>
      <c r="G404" s="31" t="s">
        <v>1267</v>
      </c>
    </row>
    <row r="405">
      <c r="A405" s="17">
        <v>129.0</v>
      </c>
      <c r="B405" s="31" t="s">
        <v>1264</v>
      </c>
      <c r="C405" s="31" t="s">
        <v>1268</v>
      </c>
      <c r="D405" s="31" t="s">
        <v>1269</v>
      </c>
      <c r="E405" s="31" t="s">
        <v>28</v>
      </c>
      <c r="F405" s="31" t="s">
        <v>238</v>
      </c>
      <c r="G405" s="31" t="s">
        <v>1270</v>
      </c>
    </row>
    <row r="406">
      <c r="A406" s="17">
        <v>129.0</v>
      </c>
      <c r="B406" s="31" t="s">
        <v>1264</v>
      </c>
      <c r="C406" s="31" t="s">
        <v>1271</v>
      </c>
      <c r="D406" s="31" t="s">
        <v>197</v>
      </c>
      <c r="E406" s="31" t="s">
        <v>28</v>
      </c>
      <c r="F406" s="31" t="s">
        <v>238</v>
      </c>
      <c r="G406" s="31" t="s">
        <v>1272</v>
      </c>
    </row>
    <row r="407">
      <c r="A407" s="17">
        <v>129.0</v>
      </c>
      <c r="B407" s="31" t="s">
        <v>1264</v>
      </c>
      <c r="C407" s="31" t="s">
        <v>1273</v>
      </c>
      <c r="D407" s="31" t="s">
        <v>1274</v>
      </c>
      <c r="E407" s="31" t="s">
        <v>28</v>
      </c>
      <c r="F407" s="31" t="s">
        <v>238</v>
      </c>
      <c r="G407" s="31" t="s">
        <v>1275</v>
      </c>
    </row>
    <row r="408">
      <c r="A408" s="17">
        <v>129.0</v>
      </c>
      <c r="B408" s="31" t="s">
        <v>1264</v>
      </c>
      <c r="C408" s="31" t="s">
        <v>1276</v>
      </c>
      <c r="D408" s="31" t="s">
        <v>1274</v>
      </c>
      <c r="E408" s="31" t="s">
        <v>28</v>
      </c>
      <c r="F408" s="31" t="s">
        <v>238</v>
      </c>
      <c r="G408" s="31" t="s">
        <v>1277</v>
      </c>
    </row>
    <row r="409">
      <c r="A409" s="17">
        <v>129.0</v>
      </c>
      <c r="B409" s="31" t="s">
        <v>1264</v>
      </c>
      <c r="C409" s="31" t="s">
        <v>1278</v>
      </c>
      <c r="D409" s="31" t="s">
        <v>1274</v>
      </c>
      <c r="E409" s="31" t="s">
        <v>28</v>
      </c>
      <c r="F409" s="31" t="s">
        <v>238</v>
      </c>
      <c r="G409" s="31" t="s">
        <v>1279</v>
      </c>
    </row>
    <row r="410">
      <c r="A410" s="17">
        <v>129.0</v>
      </c>
      <c r="B410" s="31" t="s">
        <v>1264</v>
      </c>
      <c r="C410" s="31" t="s">
        <v>1280</v>
      </c>
      <c r="D410" s="31" t="s">
        <v>1274</v>
      </c>
      <c r="E410" s="31" t="s">
        <v>28</v>
      </c>
      <c r="F410" s="31" t="s">
        <v>238</v>
      </c>
      <c r="G410" s="31" t="s">
        <v>1281</v>
      </c>
    </row>
    <row r="411">
      <c r="A411" s="17">
        <v>130.0</v>
      </c>
      <c r="B411" s="31" t="s">
        <v>1282</v>
      </c>
      <c r="C411" s="31" t="s">
        <v>1283</v>
      </c>
      <c r="D411" s="31" t="s">
        <v>211</v>
      </c>
      <c r="E411" s="31" t="s">
        <v>34</v>
      </c>
      <c r="F411" s="31" t="s">
        <v>235</v>
      </c>
      <c r="G411" s="31" t="s">
        <v>756</v>
      </c>
    </row>
    <row r="412">
      <c r="A412" s="17">
        <v>130.0</v>
      </c>
      <c r="B412" s="31" t="s">
        <v>1282</v>
      </c>
      <c r="C412" s="31" t="s">
        <v>1284</v>
      </c>
      <c r="D412" s="31" t="s">
        <v>213</v>
      </c>
      <c r="E412" s="31" t="s">
        <v>34</v>
      </c>
      <c r="F412" s="31" t="s">
        <v>245</v>
      </c>
      <c r="G412" s="31" t="s">
        <v>758</v>
      </c>
    </row>
    <row r="413">
      <c r="A413" s="17">
        <v>130.0</v>
      </c>
      <c r="B413" s="31" t="s">
        <v>1282</v>
      </c>
      <c r="C413" s="31" t="s">
        <v>1285</v>
      </c>
      <c r="D413" s="31" t="s">
        <v>201</v>
      </c>
      <c r="E413" s="31" t="s">
        <v>91</v>
      </c>
      <c r="F413" s="31" t="s">
        <v>235</v>
      </c>
      <c r="G413" s="31" t="s">
        <v>1286</v>
      </c>
    </row>
    <row r="414">
      <c r="A414" s="17">
        <v>130.0</v>
      </c>
      <c r="B414" s="31" t="s">
        <v>1282</v>
      </c>
      <c r="C414" s="31" t="s">
        <v>1287</v>
      </c>
      <c r="D414" s="31" t="s">
        <v>201</v>
      </c>
      <c r="E414" s="31" t="s">
        <v>91</v>
      </c>
      <c r="F414" s="31" t="s">
        <v>245</v>
      </c>
      <c r="G414" s="31" t="s">
        <v>1288</v>
      </c>
    </row>
    <row r="415">
      <c r="A415" s="17">
        <v>130.0</v>
      </c>
      <c r="B415" s="31" t="s">
        <v>1282</v>
      </c>
      <c r="C415" s="31" t="s">
        <v>1289</v>
      </c>
      <c r="D415" s="31" t="s">
        <v>201</v>
      </c>
      <c r="E415" s="31" t="s">
        <v>91</v>
      </c>
      <c r="F415" s="31" t="s">
        <v>1290</v>
      </c>
      <c r="G415" s="31" t="s">
        <v>1291</v>
      </c>
    </row>
    <row r="416">
      <c r="A416" s="17">
        <v>133.0</v>
      </c>
      <c r="B416" s="31" t="s">
        <v>1292</v>
      </c>
      <c r="C416" s="31" t="s">
        <v>1293</v>
      </c>
      <c r="D416" s="31" t="s">
        <v>213</v>
      </c>
      <c r="E416" s="31" t="s">
        <v>1294</v>
      </c>
      <c r="F416" s="31" t="s">
        <v>636</v>
      </c>
      <c r="G416" s="31" t="s">
        <v>1295</v>
      </c>
    </row>
    <row r="417">
      <c r="A417" s="17">
        <v>133.0</v>
      </c>
      <c r="B417" s="31" t="s">
        <v>1292</v>
      </c>
      <c r="C417" s="31" t="s">
        <v>1296</v>
      </c>
      <c r="D417" s="31" t="s">
        <v>215</v>
      </c>
      <c r="E417" s="31" t="s">
        <v>1294</v>
      </c>
      <c r="F417" s="31" t="s">
        <v>238</v>
      </c>
      <c r="G417" s="31" t="s">
        <v>1297</v>
      </c>
    </row>
    <row r="418">
      <c r="A418" s="17">
        <v>138.0</v>
      </c>
      <c r="B418" s="31" t="s">
        <v>1298</v>
      </c>
      <c r="C418" s="31" t="s">
        <v>1299</v>
      </c>
      <c r="D418" s="31" t="s">
        <v>213</v>
      </c>
      <c r="E418" s="31" t="s">
        <v>34</v>
      </c>
      <c r="F418" s="31" t="s">
        <v>235</v>
      </c>
      <c r="G418" s="31" t="s">
        <v>756</v>
      </c>
    </row>
    <row r="419">
      <c r="A419" s="17">
        <v>138.0</v>
      </c>
      <c r="B419" s="31" t="s">
        <v>1298</v>
      </c>
      <c r="C419" s="31" t="s">
        <v>1300</v>
      </c>
      <c r="D419" s="31" t="s">
        <v>213</v>
      </c>
      <c r="E419" s="31" t="s">
        <v>34</v>
      </c>
      <c r="F419" s="31" t="s">
        <v>245</v>
      </c>
      <c r="G419" s="31" t="s">
        <v>758</v>
      </c>
    </row>
    <row r="420">
      <c r="A420" s="17">
        <v>138.0</v>
      </c>
      <c r="B420" s="31" t="s">
        <v>1301</v>
      </c>
      <c r="C420" s="31" t="s">
        <v>1302</v>
      </c>
      <c r="D420" s="31" t="s">
        <v>201</v>
      </c>
      <c r="E420" s="31" t="s">
        <v>91</v>
      </c>
      <c r="F420" s="31" t="s">
        <v>235</v>
      </c>
      <c r="G420" s="31" t="s">
        <v>1303</v>
      </c>
    </row>
    <row r="421">
      <c r="A421" s="17">
        <v>138.0</v>
      </c>
      <c r="B421" s="31" t="s">
        <v>1301</v>
      </c>
      <c r="C421" s="31" t="s">
        <v>1304</v>
      </c>
      <c r="D421" s="31" t="s">
        <v>201</v>
      </c>
      <c r="E421" s="31" t="s">
        <v>91</v>
      </c>
      <c r="F421" s="31" t="s">
        <v>235</v>
      </c>
      <c r="G421" s="31" t="s">
        <v>1305</v>
      </c>
    </row>
    <row r="422">
      <c r="A422" s="17">
        <v>138.0</v>
      </c>
      <c r="B422" s="31" t="s">
        <v>1301</v>
      </c>
      <c r="C422" s="31" t="s">
        <v>1306</v>
      </c>
      <c r="D422" s="31" t="s">
        <v>201</v>
      </c>
      <c r="E422" s="31" t="s">
        <v>91</v>
      </c>
      <c r="F422" s="31" t="s">
        <v>245</v>
      </c>
      <c r="G422" s="31" t="s">
        <v>1307</v>
      </c>
    </row>
    <row r="423">
      <c r="A423" s="17">
        <v>138.0</v>
      </c>
      <c r="B423" s="31" t="s">
        <v>1301</v>
      </c>
      <c r="C423" s="31" t="s">
        <v>1308</v>
      </c>
      <c r="D423" s="31" t="s">
        <v>201</v>
      </c>
      <c r="E423" s="31" t="s">
        <v>91</v>
      </c>
      <c r="F423" s="31" t="s">
        <v>245</v>
      </c>
      <c r="G423" s="31" t="s">
        <v>1309</v>
      </c>
    </row>
    <row r="424">
      <c r="A424" s="17">
        <v>139.0</v>
      </c>
      <c r="B424" s="31" t="s">
        <v>1310</v>
      </c>
      <c r="C424" s="31" t="s">
        <v>1311</v>
      </c>
      <c r="D424" s="31" t="s">
        <v>197</v>
      </c>
      <c r="E424" s="31" t="s">
        <v>279</v>
      </c>
      <c r="F424" s="31" t="s">
        <v>307</v>
      </c>
      <c r="G424" s="31" t="s">
        <v>1312</v>
      </c>
    </row>
    <row r="425">
      <c r="A425" s="17">
        <v>139.0</v>
      </c>
      <c r="B425" s="31" t="s">
        <v>1310</v>
      </c>
      <c r="C425" s="31" t="s">
        <v>1313</v>
      </c>
      <c r="D425" s="31" t="s">
        <v>197</v>
      </c>
      <c r="E425" s="31" t="s">
        <v>279</v>
      </c>
      <c r="F425" s="31" t="s">
        <v>238</v>
      </c>
      <c r="G425" s="31" t="s">
        <v>1314</v>
      </c>
    </row>
    <row r="426">
      <c r="A426" s="17">
        <v>139.0</v>
      </c>
      <c r="B426" s="31" t="s">
        <v>1310</v>
      </c>
      <c r="C426" s="31" t="s">
        <v>1315</v>
      </c>
      <c r="D426" s="31" t="s">
        <v>199</v>
      </c>
      <c r="E426" s="31" t="s">
        <v>279</v>
      </c>
      <c r="F426" s="31" t="s">
        <v>238</v>
      </c>
      <c r="G426" s="31" t="s">
        <v>1316</v>
      </c>
    </row>
    <row r="427">
      <c r="A427" s="17">
        <v>139.0</v>
      </c>
      <c r="B427" s="31" t="s">
        <v>1310</v>
      </c>
      <c r="C427" s="31" t="s">
        <v>1317</v>
      </c>
      <c r="D427" s="31" t="s">
        <v>199</v>
      </c>
      <c r="E427" s="31" t="s">
        <v>279</v>
      </c>
      <c r="F427" s="31" t="s">
        <v>238</v>
      </c>
      <c r="G427" s="31" t="s">
        <v>1318</v>
      </c>
    </row>
    <row r="428">
      <c r="A428" s="17">
        <v>139.0</v>
      </c>
      <c r="B428" s="31" t="s">
        <v>1310</v>
      </c>
      <c r="C428" s="31" t="s">
        <v>1319</v>
      </c>
      <c r="D428" s="31" t="s">
        <v>197</v>
      </c>
      <c r="E428" s="31" t="s">
        <v>279</v>
      </c>
      <c r="F428" s="31" t="s">
        <v>238</v>
      </c>
      <c r="G428" s="31" t="s">
        <v>1320</v>
      </c>
    </row>
    <row r="429">
      <c r="A429" s="17">
        <v>139.0</v>
      </c>
      <c r="B429" s="31" t="s">
        <v>1310</v>
      </c>
      <c r="C429" s="31" t="s">
        <v>1321</v>
      </c>
      <c r="D429" s="31" t="s">
        <v>211</v>
      </c>
      <c r="E429" s="31" t="s">
        <v>279</v>
      </c>
      <c r="F429" s="31" t="s">
        <v>238</v>
      </c>
      <c r="G429" s="31" t="s">
        <v>1322</v>
      </c>
    </row>
    <row r="430">
      <c r="A430" s="17">
        <v>140.0</v>
      </c>
      <c r="B430" s="31" t="s">
        <v>1323</v>
      </c>
      <c r="C430" s="31" t="s">
        <v>1324</v>
      </c>
      <c r="D430" s="31" t="s">
        <v>213</v>
      </c>
      <c r="E430" s="31" t="s">
        <v>1325</v>
      </c>
      <c r="F430" s="31" t="s">
        <v>636</v>
      </c>
      <c r="G430" s="31" t="s">
        <v>1326</v>
      </c>
    </row>
    <row r="431">
      <c r="A431" s="17">
        <v>140.0</v>
      </c>
      <c r="B431" s="31" t="s">
        <v>1327</v>
      </c>
      <c r="C431" s="31" t="s">
        <v>1328</v>
      </c>
      <c r="D431" s="31" t="s">
        <v>213</v>
      </c>
      <c r="E431" s="31" t="s">
        <v>34</v>
      </c>
      <c r="F431" s="31" t="s">
        <v>235</v>
      </c>
      <c r="G431" s="31" t="s">
        <v>756</v>
      </c>
    </row>
    <row r="432">
      <c r="A432" s="17">
        <v>140.0</v>
      </c>
      <c r="B432" s="31" t="s">
        <v>1327</v>
      </c>
      <c r="C432" s="31" t="s">
        <v>1329</v>
      </c>
      <c r="D432" s="31" t="s">
        <v>213</v>
      </c>
      <c r="E432" s="31" t="s">
        <v>34</v>
      </c>
      <c r="F432" s="31" t="s">
        <v>245</v>
      </c>
      <c r="G432" s="31" t="s">
        <v>758</v>
      </c>
    </row>
    <row r="433">
      <c r="A433" s="17">
        <v>140.0</v>
      </c>
      <c r="B433" s="31" t="s">
        <v>1323</v>
      </c>
      <c r="C433" s="31" t="s">
        <v>1330</v>
      </c>
      <c r="D433" s="31" t="s">
        <v>201</v>
      </c>
      <c r="E433" s="31" t="s">
        <v>91</v>
      </c>
      <c r="F433" s="31" t="s">
        <v>245</v>
      </c>
      <c r="G433" s="31" t="s">
        <v>1331</v>
      </c>
    </row>
    <row r="434">
      <c r="A434" s="17">
        <v>140.0</v>
      </c>
      <c r="B434" s="31" t="s">
        <v>1323</v>
      </c>
      <c r="C434" s="31" t="s">
        <v>1332</v>
      </c>
      <c r="D434" s="31" t="s">
        <v>201</v>
      </c>
      <c r="E434" s="31" t="s">
        <v>91</v>
      </c>
      <c r="F434" s="31" t="s">
        <v>341</v>
      </c>
      <c r="G434" s="31" t="s">
        <v>1333</v>
      </c>
    </row>
    <row r="435">
      <c r="A435" s="17">
        <v>140.0</v>
      </c>
      <c r="B435" s="31" t="s">
        <v>1323</v>
      </c>
      <c r="C435" s="31" t="s">
        <v>1334</v>
      </c>
      <c r="D435" s="31" t="s">
        <v>201</v>
      </c>
      <c r="E435" s="31" t="s">
        <v>91</v>
      </c>
      <c r="F435" s="31" t="s">
        <v>341</v>
      </c>
      <c r="G435" s="31" t="s">
        <v>1335</v>
      </c>
    </row>
    <row r="436">
      <c r="A436" s="17">
        <v>141.0</v>
      </c>
      <c r="B436" s="31" t="s">
        <v>1336</v>
      </c>
      <c r="C436" s="31" t="s">
        <v>1337</v>
      </c>
      <c r="D436" s="31" t="s">
        <v>213</v>
      </c>
      <c r="E436" s="31" t="s">
        <v>1338</v>
      </c>
      <c r="F436" s="31" t="s">
        <v>263</v>
      </c>
      <c r="G436" s="31" t="s">
        <v>1339</v>
      </c>
    </row>
    <row r="437">
      <c r="A437" s="17">
        <v>141.0</v>
      </c>
      <c r="B437" s="31" t="s">
        <v>1336</v>
      </c>
      <c r="C437" s="31" t="s">
        <v>1340</v>
      </c>
      <c r="D437" s="31" t="s">
        <v>205</v>
      </c>
      <c r="E437" s="31" t="s">
        <v>1338</v>
      </c>
      <c r="F437" s="31" t="s">
        <v>238</v>
      </c>
      <c r="G437" s="31" t="s">
        <v>1341</v>
      </c>
    </row>
    <row r="438">
      <c r="A438" s="17">
        <v>141.0</v>
      </c>
      <c r="B438" s="31" t="s">
        <v>1336</v>
      </c>
      <c r="C438" s="31" t="s">
        <v>1342</v>
      </c>
      <c r="D438" s="31" t="s">
        <v>205</v>
      </c>
      <c r="E438" s="31" t="s">
        <v>1338</v>
      </c>
      <c r="F438" s="31" t="s">
        <v>238</v>
      </c>
      <c r="G438" s="31" t="s">
        <v>1343</v>
      </c>
    </row>
    <row r="439">
      <c r="A439" s="17">
        <v>141.0</v>
      </c>
      <c r="B439" s="31" t="s">
        <v>1336</v>
      </c>
      <c r="C439" s="31" t="s">
        <v>1344</v>
      </c>
      <c r="D439" s="31" t="s">
        <v>197</v>
      </c>
      <c r="E439" s="31" t="s">
        <v>1338</v>
      </c>
      <c r="F439" s="31" t="s">
        <v>238</v>
      </c>
      <c r="G439" s="31" t="s">
        <v>1345</v>
      </c>
    </row>
    <row r="440">
      <c r="A440" s="17">
        <v>141.0</v>
      </c>
      <c r="B440" s="31" t="s">
        <v>1336</v>
      </c>
      <c r="C440" s="31" t="s">
        <v>1346</v>
      </c>
      <c r="D440" s="31" t="s">
        <v>205</v>
      </c>
      <c r="E440" s="31" t="s">
        <v>1338</v>
      </c>
      <c r="F440" s="31" t="s">
        <v>238</v>
      </c>
      <c r="G440" s="31" t="s">
        <v>1347</v>
      </c>
    </row>
    <row r="441">
      <c r="A441" s="17">
        <v>141.0</v>
      </c>
      <c r="B441" s="31" t="s">
        <v>1336</v>
      </c>
      <c r="C441" s="31" t="s">
        <v>1348</v>
      </c>
      <c r="D441" s="31" t="s">
        <v>207</v>
      </c>
      <c r="E441" s="31" t="s">
        <v>1338</v>
      </c>
      <c r="F441" s="31" t="s">
        <v>238</v>
      </c>
      <c r="G441" s="31" t="s">
        <v>1349</v>
      </c>
    </row>
    <row r="442">
      <c r="A442" s="17">
        <v>141.0</v>
      </c>
      <c r="B442" s="31" t="s">
        <v>1336</v>
      </c>
      <c r="C442" s="31" t="s">
        <v>1350</v>
      </c>
      <c r="D442" s="31" t="s">
        <v>207</v>
      </c>
      <c r="E442" s="31" t="s">
        <v>1338</v>
      </c>
      <c r="F442" s="31" t="s">
        <v>238</v>
      </c>
      <c r="G442" s="31" t="s">
        <v>1351</v>
      </c>
    </row>
    <row r="443">
      <c r="A443" s="17">
        <v>142.0</v>
      </c>
      <c r="B443" s="31" t="s">
        <v>1352</v>
      </c>
      <c r="C443" s="31" t="s">
        <v>1228</v>
      </c>
      <c r="D443" s="31" t="s">
        <v>201</v>
      </c>
      <c r="E443" s="31" t="s">
        <v>91</v>
      </c>
      <c r="F443" s="31" t="s">
        <v>245</v>
      </c>
      <c r="G443" s="31" t="s">
        <v>1150</v>
      </c>
    </row>
    <row r="444">
      <c r="A444" s="17">
        <v>142.0</v>
      </c>
      <c r="B444" s="31" t="s">
        <v>1352</v>
      </c>
      <c r="C444" s="31" t="s">
        <v>1229</v>
      </c>
      <c r="D444" s="31" t="s">
        <v>201</v>
      </c>
      <c r="E444" s="31" t="s">
        <v>91</v>
      </c>
      <c r="F444" s="31" t="s">
        <v>245</v>
      </c>
      <c r="G444" s="31" t="s">
        <v>1150</v>
      </c>
    </row>
    <row r="445">
      <c r="A445" s="17">
        <v>142.0</v>
      </c>
      <c r="B445" s="31" t="s">
        <v>1353</v>
      </c>
      <c r="C445" s="31" t="s">
        <v>1354</v>
      </c>
      <c r="D445" s="31" t="s">
        <v>205</v>
      </c>
      <c r="E445" s="31" t="s">
        <v>977</v>
      </c>
      <c r="F445" s="31" t="s">
        <v>636</v>
      </c>
      <c r="G445" s="31" t="s">
        <v>1355</v>
      </c>
    </row>
    <row r="446">
      <c r="A446" s="17">
        <v>143.0</v>
      </c>
      <c r="B446" s="31" t="s">
        <v>1356</v>
      </c>
      <c r="C446" s="31" t="s">
        <v>1357</v>
      </c>
      <c r="D446" s="31" t="s">
        <v>213</v>
      </c>
      <c r="E446" s="31" t="s">
        <v>869</v>
      </c>
      <c r="F446" s="31" t="s">
        <v>636</v>
      </c>
      <c r="G446" s="31" t="s">
        <v>1358</v>
      </c>
    </row>
    <row r="447">
      <c r="A447" s="17">
        <v>145.0</v>
      </c>
      <c r="B447" s="31" t="s">
        <v>1359</v>
      </c>
      <c r="C447" s="31" t="s">
        <v>1360</v>
      </c>
      <c r="D447" s="31" t="s">
        <v>201</v>
      </c>
      <c r="E447" s="31" t="s">
        <v>91</v>
      </c>
      <c r="F447" s="31" t="s">
        <v>245</v>
      </c>
      <c r="G447" s="31" t="s">
        <v>1361</v>
      </c>
    </row>
    <row r="448">
      <c r="A448" s="17">
        <v>146.0</v>
      </c>
      <c r="B448" s="31" t="s">
        <v>1362</v>
      </c>
      <c r="C448" s="31" t="s">
        <v>1363</v>
      </c>
      <c r="D448" s="31" t="s">
        <v>201</v>
      </c>
      <c r="E448" s="31" t="s">
        <v>1338</v>
      </c>
      <c r="F448" s="31" t="s">
        <v>263</v>
      </c>
      <c r="G448" s="31" t="s">
        <v>1364</v>
      </c>
    </row>
    <row r="449">
      <c r="A449" s="17">
        <v>146.0</v>
      </c>
      <c r="B449" s="31" t="s">
        <v>1362</v>
      </c>
      <c r="C449" s="31" t="s">
        <v>1365</v>
      </c>
      <c r="D449" s="31" t="s">
        <v>205</v>
      </c>
      <c r="E449" s="31" t="s">
        <v>1338</v>
      </c>
      <c r="F449" s="31" t="s">
        <v>238</v>
      </c>
      <c r="G449" s="31" t="s">
        <v>1366</v>
      </c>
    </row>
    <row r="450">
      <c r="A450" s="17">
        <v>149.0</v>
      </c>
      <c r="B450" s="31" t="s">
        <v>1367</v>
      </c>
      <c r="C450" s="31" t="s">
        <v>1368</v>
      </c>
      <c r="D450" s="31" t="s">
        <v>211</v>
      </c>
      <c r="E450" s="31" t="s">
        <v>348</v>
      </c>
      <c r="F450" s="31" t="s">
        <v>235</v>
      </c>
      <c r="G450" s="31" t="s">
        <v>1369</v>
      </c>
    </row>
    <row r="451">
      <c r="A451" s="17">
        <v>149.0</v>
      </c>
      <c r="B451" s="31" t="s">
        <v>1367</v>
      </c>
      <c r="C451" s="31" t="s">
        <v>1370</v>
      </c>
      <c r="D451" s="31" t="s">
        <v>211</v>
      </c>
      <c r="E451" s="31" t="s">
        <v>348</v>
      </c>
      <c r="F451" s="31" t="s">
        <v>235</v>
      </c>
      <c r="G451" s="31" t="s">
        <v>1371</v>
      </c>
    </row>
    <row r="452">
      <c r="A452" s="17">
        <v>149.0</v>
      </c>
      <c r="B452" s="31" t="s">
        <v>1367</v>
      </c>
      <c r="C452" s="31" t="s">
        <v>1372</v>
      </c>
      <c r="D452" s="31" t="s">
        <v>211</v>
      </c>
      <c r="E452" s="31" t="s">
        <v>348</v>
      </c>
      <c r="F452" s="31" t="s">
        <v>235</v>
      </c>
      <c r="G452" s="31" t="s">
        <v>1373</v>
      </c>
    </row>
    <row r="453">
      <c r="A453" s="17">
        <v>149.0</v>
      </c>
      <c r="B453" s="31" t="s">
        <v>1367</v>
      </c>
      <c r="C453" s="31" t="s">
        <v>1374</v>
      </c>
      <c r="D453" s="31" t="s">
        <v>211</v>
      </c>
      <c r="E453" s="31" t="s">
        <v>348</v>
      </c>
      <c r="F453" s="31" t="s">
        <v>235</v>
      </c>
      <c r="G453" s="31" t="s">
        <v>1375</v>
      </c>
    </row>
    <row r="454">
      <c r="A454" s="17">
        <v>151.0</v>
      </c>
      <c r="B454" s="31" t="s">
        <v>1376</v>
      </c>
      <c r="C454" s="31" t="s">
        <v>1377</v>
      </c>
      <c r="D454" s="31" t="s">
        <v>201</v>
      </c>
      <c r="E454" s="31" t="s">
        <v>91</v>
      </c>
      <c r="F454" s="31" t="s">
        <v>245</v>
      </c>
      <c r="G454" s="31" t="s">
        <v>1378</v>
      </c>
    </row>
    <row r="455">
      <c r="A455" s="17">
        <v>152.0</v>
      </c>
      <c r="B455" s="31" t="s">
        <v>1379</v>
      </c>
      <c r="C455" s="31" t="s">
        <v>1380</v>
      </c>
      <c r="D455" s="31" t="s">
        <v>213</v>
      </c>
      <c r="E455" s="31" t="s">
        <v>838</v>
      </c>
      <c r="F455" s="31" t="s">
        <v>636</v>
      </c>
      <c r="G455" s="31" t="s">
        <v>1381</v>
      </c>
    </row>
    <row r="456">
      <c r="A456" s="17">
        <v>152.0</v>
      </c>
      <c r="B456" s="31" t="s">
        <v>1379</v>
      </c>
      <c r="C456" s="31" t="s">
        <v>1382</v>
      </c>
      <c r="D456" s="31" t="s">
        <v>213</v>
      </c>
      <c r="E456" s="31" t="s">
        <v>838</v>
      </c>
      <c r="F456" s="31" t="s">
        <v>238</v>
      </c>
      <c r="G456" s="31" t="s">
        <v>1383</v>
      </c>
    </row>
    <row r="457">
      <c r="A457" s="17">
        <v>152.0</v>
      </c>
      <c r="B457" s="31" t="s">
        <v>1379</v>
      </c>
      <c r="C457" s="31" t="s">
        <v>1384</v>
      </c>
      <c r="D457" s="31" t="s">
        <v>197</v>
      </c>
      <c r="E457" s="31" t="s">
        <v>838</v>
      </c>
      <c r="F457" s="31" t="s">
        <v>238</v>
      </c>
      <c r="G457" s="31" t="s">
        <v>1385</v>
      </c>
    </row>
    <row r="458">
      <c r="A458" s="17">
        <v>152.0</v>
      </c>
      <c r="B458" s="31" t="s">
        <v>1379</v>
      </c>
      <c r="C458" s="31" t="s">
        <v>1386</v>
      </c>
      <c r="D458" s="31" t="s">
        <v>207</v>
      </c>
      <c r="E458" s="31" t="s">
        <v>838</v>
      </c>
      <c r="F458" s="31" t="s">
        <v>238</v>
      </c>
      <c r="G458" s="31" t="s">
        <v>1387</v>
      </c>
    </row>
    <row r="459">
      <c r="A459" s="17">
        <v>152.0</v>
      </c>
      <c r="B459" s="31" t="s">
        <v>1379</v>
      </c>
      <c r="C459" s="31" t="s">
        <v>1388</v>
      </c>
      <c r="D459" s="31" t="s">
        <v>207</v>
      </c>
      <c r="E459" s="31" t="s">
        <v>838</v>
      </c>
      <c r="F459" s="31" t="s">
        <v>238</v>
      </c>
      <c r="G459" s="31" t="s">
        <v>1389</v>
      </c>
    </row>
    <row r="460">
      <c r="A460" s="17">
        <v>152.0</v>
      </c>
      <c r="B460" s="31" t="s">
        <v>1379</v>
      </c>
      <c r="C460" s="31" t="s">
        <v>1390</v>
      </c>
      <c r="D460" s="31" t="s">
        <v>201</v>
      </c>
      <c r="E460" s="31" t="s">
        <v>838</v>
      </c>
      <c r="F460" s="31" t="s">
        <v>238</v>
      </c>
      <c r="G460" s="31" t="s">
        <v>1391</v>
      </c>
    </row>
    <row r="461">
      <c r="A461" s="17">
        <v>152.0</v>
      </c>
      <c r="B461" s="31" t="s">
        <v>1379</v>
      </c>
      <c r="C461" s="31" t="s">
        <v>1392</v>
      </c>
      <c r="D461" s="31" t="s">
        <v>205</v>
      </c>
      <c r="E461" s="31" t="s">
        <v>838</v>
      </c>
      <c r="F461" s="31" t="s">
        <v>238</v>
      </c>
      <c r="G461" s="31" t="s">
        <v>1393</v>
      </c>
    </row>
    <row r="462">
      <c r="A462" s="17">
        <v>153.0</v>
      </c>
      <c r="B462" s="31" t="s">
        <v>1394</v>
      </c>
      <c r="C462" s="31" t="s">
        <v>1395</v>
      </c>
      <c r="D462" s="31" t="s">
        <v>213</v>
      </c>
      <c r="E462" s="31" t="s">
        <v>34</v>
      </c>
      <c r="F462" s="31" t="s">
        <v>235</v>
      </c>
      <c r="G462" s="31" t="s">
        <v>756</v>
      </c>
    </row>
    <row r="463">
      <c r="A463" s="17">
        <v>153.0</v>
      </c>
      <c r="B463" s="31" t="s">
        <v>1394</v>
      </c>
      <c r="C463" s="31" t="s">
        <v>1396</v>
      </c>
      <c r="D463" s="31" t="s">
        <v>213</v>
      </c>
      <c r="E463" s="31" t="s">
        <v>34</v>
      </c>
      <c r="F463" s="31" t="s">
        <v>245</v>
      </c>
      <c r="G463" s="31" t="s">
        <v>758</v>
      </c>
    </row>
    <row r="464">
      <c r="A464" s="17">
        <v>154.0</v>
      </c>
      <c r="B464" s="31" t="s">
        <v>1397</v>
      </c>
      <c r="C464" s="31" t="s">
        <v>1398</v>
      </c>
      <c r="D464" s="31" t="s">
        <v>1266</v>
      </c>
      <c r="E464" s="31" t="s">
        <v>91</v>
      </c>
      <c r="F464" s="31" t="s">
        <v>341</v>
      </c>
      <c r="G464" s="31" t="s">
        <v>1219</v>
      </c>
    </row>
    <row r="465">
      <c r="A465" s="17">
        <v>154.0</v>
      </c>
      <c r="B465" s="31" t="s">
        <v>1397</v>
      </c>
      <c r="C465" s="31" t="s">
        <v>1399</v>
      </c>
      <c r="D465" s="31" t="s">
        <v>1266</v>
      </c>
      <c r="E465" s="31" t="s">
        <v>91</v>
      </c>
      <c r="F465" s="31" t="s">
        <v>341</v>
      </c>
      <c r="G465" s="31" t="s">
        <v>1219</v>
      </c>
    </row>
    <row r="466">
      <c r="A466" s="17">
        <v>154.0</v>
      </c>
      <c r="B466" s="31" t="s">
        <v>1397</v>
      </c>
      <c r="C466" s="31" t="s">
        <v>1400</v>
      </c>
      <c r="D466" s="31" t="s">
        <v>201</v>
      </c>
      <c r="E466" s="31" t="s">
        <v>91</v>
      </c>
      <c r="F466" s="31" t="s">
        <v>341</v>
      </c>
      <c r="G466" s="31" t="s">
        <v>1219</v>
      </c>
    </row>
    <row r="467">
      <c r="A467" s="17">
        <v>154.0</v>
      </c>
      <c r="B467" s="31" t="s">
        <v>1397</v>
      </c>
      <c r="C467" s="31" t="s">
        <v>1401</v>
      </c>
      <c r="D467" s="31" t="s">
        <v>1266</v>
      </c>
      <c r="E467" s="31" t="s">
        <v>91</v>
      </c>
      <c r="F467" s="31" t="s">
        <v>341</v>
      </c>
      <c r="G467" s="31" t="s">
        <v>1219</v>
      </c>
    </row>
    <row r="468">
      <c r="A468" s="17">
        <v>154.0</v>
      </c>
      <c r="B468" s="31" t="s">
        <v>1397</v>
      </c>
      <c r="C468" s="31" t="s">
        <v>1402</v>
      </c>
      <c r="D468" s="31" t="s">
        <v>1266</v>
      </c>
      <c r="E468" s="31" t="s">
        <v>91</v>
      </c>
      <c r="F468" s="31" t="s">
        <v>341</v>
      </c>
      <c r="G468" s="31" t="s">
        <v>1219</v>
      </c>
    </row>
    <row r="469">
      <c r="A469" s="17">
        <v>154.0</v>
      </c>
      <c r="B469" s="31" t="s">
        <v>1397</v>
      </c>
      <c r="C469" s="31" t="s">
        <v>1403</v>
      </c>
      <c r="D469" s="31" t="s">
        <v>1266</v>
      </c>
      <c r="E469" s="31" t="s">
        <v>91</v>
      </c>
      <c r="F469" s="31" t="s">
        <v>341</v>
      </c>
      <c r="G469" s="31" t="s">
        <v>1219</v>
      </c>
    </row>
    <row r="470">
      <c r="A470" s="17">
        <v>154.0</v>
      </c>
      <c r="B470" s="31" t="s">
        <v>1397</v>
      </c>
      <c r="C470" s="31" t="s">
        <v>1404</v>
      </c>
      <c r="D470" s="31" t="s">
        <v>1266</v>
      </c>
      <c r="E470" s="31" t="s">
        <v>91</v>
      </c>
      <c r="F470" s="31" t="s">
        <v>341</v>
      </c>
      <c r="G470" s="31" t="s">
        <v>1219</v>
      </c>
    </row>
    <row r="471">
      <c r="A471" s="17">
        <v>154.0</v>
      </c>
      <c r="B471" s="31" t="s">
        <v>1397</v>
      </c>
      <c r="C471" s="31" t="s">
        <v>1405</v>
      </c>
      <c r="D471" s="31" t="s">
        <v>1266</v>
      </c>
      <c r="E471" s="31" t="s">
        <v>91</v>
      </c>
      <c r="F471" s="31" t="s">
        <v>341</v>
      </c>
      <c r="G471" s="31" t="s">
        <v>1219</v>
      </c>
    </row>
    <row r="472">
      <c r="A472" s="17">
        <v>154.0</v>
      </c>
      <c r="B472" s="31" t="s">
        <v>1397</v>
      </c>
      <c r="C472" s="31" t="s">
        <v>1406</v>
      </c>
      <c r="D472" s="31" t="s">
        <v>203</v>
      </c>
      <c r="E472" s="31" t="s">
        <v>888</v>
      </c>
      <c r="F472" s="31" t="s">
        <v>636</v>
      </c>
      <c r="G472" s="31" t="s">
        <v>1407</v>
      </c>
    </row>
    <row r="473">
      <c r="A473" s="17">
        <v>158.0</v>
      </c>
      <c r="B473" s="31" t="s">
        <v>1408</v>
      </c>
      <c r="C473" s="31" t="s">
        <v>1409</v>
      </c>
      <c r="D473" s="31" t="s">
        <v>213</v>
      </c>
      <c r="E473" s="31" t="s">
        <v>34</v>
      </c>
      <c r="F473" s="31" t="s">
        <v>235</v>
      </c>
      <c r="G473" s="31" t="s">
        <v>756</v>
      </c>
    </row>
    <row r="474">
      <c r="A474" s="17">
        <v>158.0</v>
      </c>
      <c r="B474" s="31" t="s">
        <v>1408</v>
      </c>
      <c r="C474" s="31" t="s">
        <v>1410</v>
      </c>
      <c r="D474" s="31" t="s">
        <v>213</v>
      </c>
      <c r="E474" s="31" t="s">
        <v>34</v>
      </c>
      <c r="F474" s="31" t="s">
        <v>245</v>
      </c>
      <c r="G474" s="31" t="s">
        <v>758</v>
      </c>
    </row>
    <row r="475">
      <c r="A475" s="17">
        <v>159.0</v>
      </c>
      <c r="B475" s="31" t="s">
        <v>1411</v>
      </c>
      <c r="C475" s="31" t="s">
        <v>1412</v>
      </c>
      <c r="D475" s="31" t="s">
        <v>197</v>
      </c>
      <c r="E475" s="31" t="s">
        <v>1338</v>
      </c>
      <c r="F475" s="31" t="s">
        <v>307</v>
      </c>
      <c r="G475" s="31" t="s">
        <v>1413</v>
      </c>
    </row>
    <row r="476">
      <c r="A476" s="17">
        <v>159.0</v>
      </c>
      <c r="B476" s="31" t="s">
        <v>1411</v>
      </c>
      <c r="C476" s="31" t="s">
        <v>1414</v>
      </c>
      <c r="D476" s="31" t="s">
        <v>207</v>
      </c>
      <c r="E476" s="31" t="s">
        <v>1338</v>
      </c>
      <c r="F476" s="31" t="s">
        <v>238</v>
      </c>
      <c r="G476" s="31" t="s">
        <v>1415</v>
      </c>
    </row>
    <row r="477">
      <c r="A477" s="17">
        <v>160.0</v>
      </c>
      <c r="B477" s="31" t="s">
        <v>1416</v>
      </c>
      <c r="C477" s="31" t="s">
        <v>1417</v>
      </c>
      <c r="D477" s="31" t="s">
        <v>201</v>
      </c>
      <c r="E477" s="31" t="s">
        <v>91</v>
      </c>
      <c r="F477" s="31" t="s">
        <v>235</v>
      </c>
      <c r="G477" s="31" t="s">
        <v>1418</v>
      </c>
    </row>
    <row r="478">
      <c r="A478" s="17">
        <v>162.0</v>
      </c>
      <c r="B478" s="31" t="s">
        <v>1419</v>
      </c>
      <c r="C478" s="31" t="s">
        <v>1420</v>
      </c>
      <c r="D478" s="31" t="s">
        <v>213</v>
      </c>
      <c r="E478" s="31" t="s">
        <v>1421</v>
      </c>
      <c r="F478" s="31" t="s">
        <v>636</v>
      </c>
      <c r="G478" s="31" t="s">
        <v>1422</v>
      </c>
    </row>
    <row r="479">
      <c r="A479" s="17">
        <v>162.0</v>
      </c>
      <c r="B479" s="31" t="s">
        <v>1419</v>
      </c>
      <c r="C479" s="31" t="s">
        <v>1423</v>
      </c>
      <c r="D479" s="31" t="s">
        <v>207</v>
      </c>
      <c r="E479" s="31" t="s">
        <v>1421</v>
      </c>
      <c r="F479" s="31" t="s">
        <v>238</v>
      </c>
      <c r="G479" s="31" t="s">
        <v>1424</v>
      </c>
    </row>
    <row r="480">
      <c r="A480" s="17">
        <v>164.0</v>
      </c>
      <c r="B480" s="31" t="s">
        <v>1425</v>
      </c>
      <c r="C480" s="31" t="s">
        <v>1426</v>
      </c>
      <c r="D480" s="31" t="s">
        <v>201</v>
      </c>
      <c r="E480" s="31" t="s">
        <v>91</v>
      </c>
      <c r="F480" s="31" t="s">
        <v>235</v>
      </c>
      <c r="G480" s="31" t="s">
        <v>1427</v>
      </c>
    </row>
    <row r="481">
      <c r="A481" s="17">
        <v>164.0</v>
      </c>
      <c r="B481" s="31" t="s">
        <v>1425</v>
      </c>
      <c r="C481" s="31" t="s">
        <v>1428</v>
      </c>
      <c r="D481" s="31" t="s">
        <v>201</v>
      </c>
      <c r="E481" s="31" t="s">
        <v>91</v>
      </c>
      <c r="F481" s="31" t="s">
        <v>245</v>
      </c>
      <c r="G481" s="31" t="s">
        <v>1429</v>
      </c>
    </row>
    <row r="482">
      <c r="A482" s="17">
        <v>164.0</v>
      </c>
      <c r="B482" s="31" t="s">
        <v>1425</v>
      </c>
      <c r="C482" s="31" t="s">
        <v>1430</v>
      </c>
      <c r="D482" s="31" t="s">
        <v>201</v>
      </c>
      <c r="E482" s="31" t="s">
        <v>91</v>
      </c>
      <c r="F482" s="31" t="s">
        <v>245</v>
      </c>
      <c r="G482" s="31" t="s">
        <v>1431</v>
      </c>
    </row>
    <row r="483">
      <c r="A483" s="17">
        <v>166.0</v>
      </c>
      <c r="B483" s="31" t="s">
        <v>1432</v>
      </c>
      <c r="C483" s="31" t="s">
        <v>1433</v>
      </c>
      <c r="D483" s="31" t="s">
        <v>213</v>
      </c>
      <c r="E483" s="31" t="s">
        <v>1434</v>
      </c>
      <c r="F483" s="31" t="s">
        <v>636</v>
      </c>
      <c r="G483" s="31" t="s">
        <v>1435</v>
      </c>
    </row>
    <row r="484">
      <c r="A484" s="17">
        <v>166.0</v>
      </c>
      <c r="B484" s="31" t="s">
        <v>1432</v>
      </c>
      <c r="C484" s="31" t="s">
        <v>1436</v>
      </c>
      <c r="D484" s="31" t="s">
        <v>211</v>
      </c>
      <c r="E484" s="31" t="s">
        <v>1434</v>
      </c>
      <c r="F484" s="31" t="s">
        <v>238</v>
      </c>
      <c r="G484" s="31" t="s">
        <v>1437</v>
      </c>
    </row>
    <row r="485">
      <c r="A485" s="17">
        <v>166.0</v>
      </c>
      <c r="B485" s="31" t="s">
        <v>1432</v>
      </c>
      <c r="C485" s="31" t="s">
        <v>1438</v>
      </c>
      <c r="D485" s="31" t="s">
        <v>207</v>
      </c>
      <c r="E485" s="31" t="s">
        <v>1434</v>
      </c>
      <c r="F485" s="31" t="s">
        <v>238</v>
      </c>
      <c r="G485" s="31" t="s">
        <v>1439</v>
      </c>
    </row>
    <row r="486">
      <c r="A486" s="17">
        <v>166.0</v>
      </c>
      <c r="B486" s="31" t="s">
        <v>1432</v>
      </c>
      <c r="C486" s="31" t="s">
        <v>1440</v>
      </c>
      <c r="D486" s="31" t="s">
        <v>211</v>
      </c>
      <c r="E486" s="31" t="s">
        <v>1434</v>
      </c>
      <c r="F486" s="31" t="s">
        <v>238</v>
      </c>
      <c r="G486" s="31" t="s">
        <v>1441</v>
      </c>
    </row>
    <row r="487">
      <c r="A487" s="17">
        <v>169.0</v>
      </c>
      <c r="B487" s="31" t="s">
        <v>1442</v>
      </c>
      <c r="C487" s="31" t="s">
        <v>1443</v>
      </c>
      <c r="D487" s="31" t="s">
        <v>213</v>
      </c>
      <c r="E487" s="31" t="s">
        <v>1444</v>
      </c>
      <c r="F487" s="31" t="s">
        <v>539</v>
      </c>
      <c r="G487" s="31" t="s">
        <v>1445</v>
      </c>
    </row>
    <row r="488">
      <c r="A488" s="17">
        <v>174.0</v>
      </c>
      <c r="B488" s="31" t="s">
        <v>1446</v>
      </c>
      <c r="C488" s="31" t="s">
        <v>1447</v>
      </c>
      <c r="D488" s="31" t="s">
        <v>213</v>
      </c>
      <c r="E488" s="31" t="s">
        <v>34</v>
      </c>
      <c r="F488" s="31" t="s">
        <v>235</v>
      </c>
      <c r="G488" s="31" t="s">
        <v>756</v>
      </c>
    </row>
    <row r="489">
      <c r="A489" s="17">
        <v>174.0</v>
      </c>
      <c r="B489" s="31" t="s">
        <v>1446</v>
      </c>
      <c r="C489" s="31" t="s">
        <v>1448</v>
      </c>
      <c r="D489" s="31" t="s">
        <v>213</v>
      </c>
      <c r="E489" s="31" t="s">
        <v>34</v>
      </c>
      <c r="F489" s="31" t="s">
        <v>245</v>
      </c>
      <c r="G489" s="31" t="s">
        <v>758</v>
      </c>
    </row>
    <row r="490">
      <c r="A490" s="17">
        <v>175.0</v>
      </c>
      <c r="B490" s="31" t="s">
        <v>1449</v>
      </c>
      <c r="C490" s="31" t="s">
        <v>1450</v>
      </c>
      <c r="D490" s="31" t="s">
        <v>209</v>
      </c>
      <c r="E490" s="31" t="s">
        <v>81</v>
      </c>
      <c r="F490" s="31" t="s">
        <v>245</v>
      </c>
      <c r="G490" s="31" t="s">
        <v>1451</v>
      </c>
    </row>
    <row r="491">
      <c r="A491" s="17">
        <v>175.0</v>
      </c>
      <c r="B491" s="31" t="s">
        <v>1449</v>
      </c>
      <c r="C491" s="31" t="s">
        <v>1452</v>
      </c>
      <c r="D491" s="31" t="s">
        <v>213</v>
      </c>
      <c r="E491" s="31" t="s">
        <v>255</v>
      </c>
      <c r="F491" s="31" t="s">
        <v>636</v>
      </c>
      <c r="G491" s="31" t="s">
        <v>1453</v>
      </c>
    </row>
    <row r="492">
      <c r="A492" s="17">
        <v>179.0</v>
      </c>
      <c r="B492" s="31" t="s">
        <v>1454</v>
      </c>
      <c r="C492" s="31" t="s">
        <v>1455</v>
      </c>
      <c r="D492" s="31" t="s">
        <v>201</v>
      </c>
      <c r="E492" s="31" t="s">
        <v>91</v>
      </c>
      <c r="F492" s="31" t="s">
        <v>235</v>
      </c>
      <c r="G492" s="31" t="s">
        <v>1456</v>
      </c>
    </row>
    <row r="493">
      <c r="A493" s="17">
        <v>179.0</v>
      </c>
      <c r="B493" s="31" t="s">
        <v>1454</v>
      </c>
      <c r="C493" s="31" t="s">
        <v>1457</v>
      </c>
      <c r="D493" s="31" t="s">
        <v>201</v>
      </c>
      <c r="E493" s="31" t="s">
        <v>91</v>
      </c>
      <c r="F493" s="31" t="s">
        <v>341</v>
      </c>
      <c r="G493" s="31" t="s">
        <v>1458</v>
      </c>
    </row>
    <row r="494">
      <c r="A494" s="17">
        <v>179.0</v>
      </c>
      <c r="B494" s="31" t="s">
        <v>1454</v>
      </c>
      <c r="C494" s="31" t="s">
        <v>1107</v>
      </c>
      <c r="D494" s="31" t="s">
        <v>201</v>
      </c>
      <c r="E494" s="31" t="s">
        <v>91</v>
      </c>
      <c r="F494" s="31" t="s">
        <v>341</v>
      </c>
      <c r="G494" s="31" t="s">
        <v>1108</v>
      </c>
    </row>
    <row r="495">
      <c r="A495" s="17">
        <v>180.0</v>
      </c>
      <c r="B495" s="31" t="s">
        <v>1459</v>
      </c>
      <c r="C495" s="31" t="s">
        <v>1460</v>
      </c>
      <c r="D495" s="31" t="s">
        <v>213</v>
      </c>
      <c r="E495" s="31" t="s">
        <v>272</v>
      </c>
      <c r="F495" s="31" t="s">
        <v>636</v>
      </c>
      <c r="G495" s="31" t="s">
        <v>1461</v>
      </c>
    </row>
    <row r="496">
      <c r="A496" s="17">
        <v>180.0</v>
      </c>
      <c r="B496" s="31" t="s">
        <v>1459</v>
      </c>
      <c r="C496" s="31" t="s">
        <v>1462</v>
      </c>
      <c r="D496" s="31" t="s">
        <v>205</v>
      </c>
      <c r="E496" s="31" t="s">
        <v>272</v>
      </c>
      <c r="F496" s="31" t="s">
        <v>238</v>
      </c>
      <c r="G496" s="31" t="s">
        <v>1463</v>
      </c>
    </row>
    <row r="497">
      <c r="A497" s="17">
        <v>183.0</v>
      </c>
      <c r="B497" s="31" t="s">
        <v>1464</v>
      </c>
      <c r="C497" s="31" t="s">
        <v>1465</v>
      </c>
      <c r="D497" s="31" t="s">
        <v>201</v>
      </c>
      <c r="E497" s="31" t="s">
        <v>91</v>
      </c>
      <c r="F497" s="31" t="s">
        <v>341</v>
      </c>
      <c r="G497" s="31" t="s">
        <v>1466</v>
      </c>
    </row>
    <row r="498">
      <c r="A498" s="17">
        <v>183.0</v>
      </c>
      <c r="B498" s="31" t="s">
        <v>1464</v>
      </c>
      <c r="C498" s="31" t="s">
        <v>1182</v>
      </c>
      <c r="D498" s="31" t="s">
        <v>201</v>
      </c>
      <c r="E498" s="31" t="s">
        <v>91</v>
      </c>
      <c r="F498" s="31" t="s">
        <v>341</v>
      </c>
      <c r="G498" s="31" t="s">
        <v>1467</v>
      </c>
    </row>
    <row r="499">
      <c r="A499" s="17">
        <v>184.0</v>
      </c>
      <c r="B499" s="31" t="s">
        <v>1468</v>
      </c>
      <c r="C499" s="31" t="s">
        <v>1469</v>
      </c>
      <c r="D499" s="31" t="s">
        <v>213</v>
      </c>
      <c r="E499" s="31" t="s">
        <v>1470</v>
      </c>
      <c r="F499" s="31" t="s">
        <v>636</v>
      </c>
      <c r="G499" s="31" t="s">
        <v>1471</v>
      </c>
    </row>
    <row r="500">
      <c r="A500" s="17">
        <v>184.0</v>
      </c>
      <c r="B500" s="31" t="s">
        <v>1468</v>
      </c>
      <c r="C500" s="31" t="s">
        <v>1472</v>
      </c>
      <c r="D500" s="31" t="s">
        <v>211</v>
      </c>
      <c r="E500" s="31" t="s">
        <v>1470</v>
      </c>
      <c r="F500" s="31" t="s">
        <v>238</v>
      </c>
      <c r="G500" s="31" t="s">
        <v>1473</v>
      </c>
    </row>
    <row r="501">
      <c r="A501" s="17">
        <v>184.0</v>
      </c>
      <c r="B501" s="31" t="s">
        <v>1468</v>
      </c>
      <c r="C501" s="31" t="s">
        <v>1474</v>
      </c>
      <c r="D501" s="31" t="s">
        <v>205</v>
      </c>
      <c r="E501" s="31" t="s">
        <v>1470</v>
      </c>
      <c r="F501" s="31" t="s">
        <v>238</v>
      </c>
      <c r="G501" s="31" t="s">
        <v>1475</v>
      </c>
    </row>
    <row r="502">
      <c r="A502" s="17">
        <v>186.0</v>
      </c>
      <c r="B502" s="31" t="s">
        <v>1476</v>
      </c>
      <c r="C502" s="31" t="s">
        <v>1477</v>
      </c>
      <c r="D502" s="31" t="s">
        <v>213</v>
      </c>
      <c r="E502" s="31" t="s">
        <v>1338</v>
      </c>
      <c r="F502" s="31" t="s">
        <v>636</v>
      </c>
      <c r="G502" s="31" t="s">
        <v>1478</v>
      </c>
    </row>
    <row r="503">
      <c r="A503" s="17">
        <v>186.0</v>
      </c>
      <c r="B503" s="31" t="s">
        <v>1476</v>
      </c>
      <c r="C503" s="31" t="s">
        <v>1479</v>
      </c>
      <c r="D503" s="31" t="s">
        <v>213</v>
      </c>
      <c r="E503" s="31" t="s">
        <v>1338</v>
      </c>
      <c r="F503" s="31" t="s">
        <v>238</v>
      </c>
      <c r="G503" s="31" t="s">
        <v>1480</v>
      </c>
    </row>
    <row r="504">
      <c r="A504" s="17">
        <v>192.0</v>
      </c>
      <c r="B504" s="31" t="s">
        <v>1481</v>
      </c>
      <c r="C504" s="31" t="s">
        <v>1482</v>
      </c>
      <c r="D504" s="31" t="s">
        <v>213</v>
      </c>
      <c r="E504" s="31" t="s">
        <v>1483</v>
      </c>
      <c r="F504" s="31" t="s">
        <v>307</v>
      </c>
      <c r="G504" s="31" t="s">
        <v>1484</v>
      </c>
    </row>
    <row r="505">
      <c r="A505" s="17">
        <v>192.0</v>
      </c>
      <c r="B505" s="31" t="s">
        <v>1481</v>
      </c>
      <c r="C505" s="31" t="s">
        <v>1485</v>
      </c>
      <c r="D505" s="31" t="s">
        <v>213</v>
      </c>
      <c r="E505" s="31" t="s">
        <v>1486</v>
      </c>
      <c r="F505" s="31" t="s">
        <v>636</v>
      </c>
      <c r="G505" s="31" t="s">
        <v>1487</v>
      </c>
    </row>
    <row r="506">
      <c r="B506" s="31"/>
      <c r="C506" s="31"/>
      <c r="D506" s="31"/>
      <c r="E506" s="31"/>
      <c r="F506" s="31"/>
      <c r="G506" s="31"/>
    </row>
    <row r="507">
      <c r="B507" s="31"/>
      <c r="C507" s="31"/>
      <c r="D507" s="31"/>
      <c r="E507" s="31"/>
      <c r="F507" s="31"/>
      <c r="G507" s="31"/>
    </row>
    <row r="508">
      <c r="B508" s="31"/>
      <c r="C508" s="31"/>
      <c r="D508" s="31"/>
      <c r="E508" s="31"/>
      <c r="F508" s="31"/>
      <c r="G508" s="31"/>
    </row>
    <row r="509">
      <c r="B509" s="31"/>
      <c r="C509" s="31"/>
      <c r="D509" s="31"/>
      <c r="E509" s="31"/>
      <c r="F509" s="31"/>
      <c r="G509" s="31"/>
    </row>
    <row r="510">
      <c r="B510" s="31"/>
      <c r="C510" s="31"/>
      <c r="D510" s="31"/>
      <c r="E510" s="31"/>
      <c r="F510" s="31"/>
      <c r="G510" s="31"/>
    </row>
    <row r="511">
      <c r="B511" s="31"/>
      <c r="C511" s="31"/>
      <c r="D511" s="31"/>
      <c r="E511" s="31"/>
      <c r="F511" s="31"/>
      <c r="G511" s="31"/>
    </row>
    <row r="512">
      <c r="B512" s="31"/>
      <c r="C512" s="31"/>
      <c r="D512" s="31"/>
      <c r="E512" s="31"/>
      <c r="F512" s="31"/>
      <c r="G512" s="31"/>
    </row>
    <row r="513">
      <c r="B513" s="31"/>
      <c r="C513" s="31"/>
      <c r="D513" s="31"/>
      <c r="E513" s="31"/>
      <c r="F513" s="31"/>
      <c r="G513" s="31"/>
    </row>
    <row r="514">
      <c r="B514" s="31"/>
      <c r="C514" s="31"/>
      <c r="D514" s="31"/>
      <c r="E514" s="31"/>
      <c r="F514" s="31"/>
      <c r="G514" s="31"/>
    </row>
    <row r="515">
      <c r="B515" s="31"/>
      <c r="C515" s="31"/>
      <c r="D515" s="31"/>
      <c r="E515" s="31"/>
      <c r="F515" s="31"/>
      <c r="G515" s="31"/>
    </row>
    <row r="516">
      <c r="B516" s="31"/>
      <c r="C516" s="31"/>
      <c r="D516" s="31"/>
      <c r="E516" s="31"/>
      <c r="F516" s="31"/>
      <c r="G516" s="31"/>
    </row>
    <row r="517">
      <c r="B517" s="31"/>
      <c r="C517" s="31"/>
      <c r="D517" s="31"/>
      <c r="E517" s="31"/>
      <c r="F517" s="31"/>
      <c r="G517" s="31"/>
    </row>
    <row r="518">
      <c r="B518" s="31"/>
      <c r="C518" s="31"/>
      <c r="D518" s="31"/>
      <c r="E518" s="31"/>
      <c r="F518" s="31"/>
      <c r="G518" s="31"/>
    </row>
    <row r="519">
      <c r="B519" s="31"/>
      <c r="C519" s="31"/>
      <c r="D519" s="31"/>
      <c r="E519" s="31"/>
      <c r="F519" s="31"/>
      <c r="G519" s="31"/>
    </row>
    <row r="520">
      <c r="B520" s="31"/>
      <c r="C520" s="31"/>
      <c r="D520" s="31"/>
      <c r="E520" s="31"/>
      <c r="F520" s="31"/>
      <c r="G520" s="31"/>
    </row>
    <row r="521">
      <c r="B521" s="31"/>
      <c r="C521" s="31"/>
      <c r="D521" s="31"/>
      <c r="E521" s="31"/>
      <c r="F521" s="31"/>
      <c r="G521" s="31"/>
    </row>
    <row r="522">
      <c r="B522" s="31"/>
      <c r="C522" s="31"/>
      <c r="D522" s="31"/>
      <c r="E522" s="31"/>
      <c r="F522" s="31"/>
      <c r="G522" s="31"/>
    </row>
    <row r="523">
      <c r="B523" s="31"/>
      <c r="C523" s="31"/>
      <c r="D523" s="31"/>
      <c r="E523" s="31"/>
      <c r="F523" s="31"/>
      <c r="G523" s="31"/>
    </row>
    <row r="524">
      <c r="B524" s="31"/>
      <c r="C524" s="31"/>
      <c r="D524" s="31"/>
      <c r="E524" s="31"/>
      <c r="F524" s="31"/>
      <c r="G524" s="31"/>
    </row>
    <row r="525">
      <c r="B525" s="31"/>
      <c r="C525" s="31"/>
      <c r="D525" s="31"/>
      <c r="E525" s="31"/>
      <c r="F525" s="31"/>
      <c r="G525" s="31"/>
    </row>
    <row r="526">
      <c r="B526" s="31"/>
      <c r="C526" s="31"/>
      <c r="D526" s="31"/>
      <c r="E526" s="31"/>
      <c r="F526" s="31"/>
      <c r="G526" s="31"/>
    </row>
    <row r="527">
      <c r="B527" s="31"/>
      <c r="C527" s="31"/>
      <c r="D527" s="31"/>
      <c r="E527" s="31"/>
      <c r="F527" s="31"/>
      <c r="G527" s="31"/>
    </row>
    <row r="528">
      <c r="B528" s="31"/>
      <c r="C528" s="31"/>
      <c r="D528" s="31"/>
      <c r="E528" s="31"/>
      <c r="F528" s="31"/>
      <c r="G528" s="31"/>
    </row>
    <row r="529">
      <c r="B529" s="31"/>
      <c r="C529" s="31"/>
      <c r="D529" s="31"/>
      <c r="E529" s="31"/>
      <c r="F529" s="31"/>
      <c r="G529" s="31"/>
    </row>
    <row r="530">
      <c r="B530" s="31"/>
      <c r="C530" s="31"/>
      <c r="D530" s="31"/>
      <c r="E530" s="31"/>
      <c r="F530" s="31"/>
      <c r="G530" s="31"/>
    </row>
    <row r="531">
      <c r="B531" s="31"/>
      <c r="C531" s="31"/>
      <c r="D531" s="31"/>
      <c r="E531" s="31"/>
      <c r="F531" s="31"/>
      <c r="G531" s="31"/>
    </row>
    <row r="532">
      <c r="B532" s="31"/>
      <c r="C532" s="31"/>
      <c r="D532" s="31"/>
      <c r="E532" s="31"/>
      <c r="F532" s="31"/>
      <c r="G532" s="31"/>
    </row>
    <row r="533">
      <c r="B533" s="31"/>
      <c r="C533" s="31"/>
      <c r="D533" s="31"/>
      <c r="E533" s="31"/>
      <c r="F533" s="31"/>
      <c r="G533" s="31"/>
    </row>
    <row r="534">
      <c r="B534" s="31"/>
      <c r="C534" s="31"/>
      <c r="D534" s="31"/>
      <c r="E534" s="31"/>
      <c r="F534" s="31"/>
      <c r="G534" s="31"/>
    </row>
    <row r="535">
      <c r="B535" s="31"/>
      <c r="C535" s="31"/>
      <c r="D535" s="31"/>
      <c r="E535" s="31"/>
      <c r="F535" s="31"/>
      <c r="G535" s="31"/>
    </row>
    <row r="536">
      <c r="B536" s="31"/>
      <c r="C536" s="31"/>
      <c r="D536" s="31"/>
      <c r="E536" s="31"/>
      <c r="F536" s="31"/>
      <c r="G536" s="31"/>
    </row>
    <row r="537">
      <c r="B537" s="31"/>
      <c r="C537" s="31"/>
      <c r="D537" s="31"/>
      <c r="E537" s="31"/>
      <c r="F537" s="31"/>
      <c r="G537" s="31"/>
    </row>
    <row r="538">
      <c r="B538" s="31"/>
      <c r="C538" s="31"/>
      <c r="D538" s="31"/>
      <c r="E538" s="31"/>
      <c r="F538" s="31"/>
      <c r="G538" s="31"/>
    </row>
    <row r="539">
      <c r="B539" s="31"/>
      <c r="C539" s="31"/>
      <c r="D539" s="31"/>
      <c r="E539" s="31"/>
      <c r="F539" s="31"/>
      <c r="G539" s="31"/>
    </row>
    <row r="540">
      <c r="B540" s="31"/>
      <c r="C540" s="31"/>
      <c r="D540" s="31"/>
      <c r="E540" s="31"/>
      <c r="F540" s="31"/>
      <c r="G540" s="31"/>
    </row>
    <row r="541">
      <c r="B541" s="31"/>
      <c r="C541" s="31"/>
      <c r="D541" s="31"/>
      <c r="E541" s="31"/>
      <c r="F541" s="31"/>
      <c r="G541" s="31"/>
    </row>
    <row r="542">
      <c r="B542" s="31"/>
      <c r="C542" s="31"/>
      <c r="D542" s="31"/>
      <c r="E542" s="31"/>
      <c r="F542" s="31"/>
      <c r="G542" s="31"/>
    </row>
    <row r="543">
      <c r="B543" s="31"/>
      <c r="C543" s="31"/>
      <c r="D543" s="31"/>
      <c r="E543" s="31"/>
      <c r="F543" s="31"/>
      <c r="G543" s="31"/>
    </row>
    <row r="544">
      <c r="B544" s="31"/>
      <c r="C544" s="31"/>
      <c r="D544" s="31"/>
      <c r="E544" s="31"/>
      <c r="F544" s="31"/>
      <c r="G544" s="31"/>
    </row>
    <row r="545">
      <c r="B545" s="31"/>
      <c r="C545" s="31"/>
      <c r="D545" s="31"/>
      <c r="E545" s="31"/>
      <c r="F545" s="31"/>
      <c r="G545" s="31"/>
    </row>
    <row r="546">
      <c r="B546" s="31"/>
      <c r="C546" s="31"/>
      <c r="D546" s="31"/>
      <c r="E546" s="31"/>
      <c r="F546" s="31"/>
      <c r="G546" s="31"/>
    </row>
    <row r="547">
      <c r="B547" s="31"/>
      <c r="C547" s="31"/>
      <c r="D547" s="31"/>
      <c r="E547" s="31"/>
      <c r="F547" s="31"/>
      <c r="G547" s="31"/>
    </row>
    <row r="548">
      <c r="B548" s="31"/>
      <c r="C548" s="31"/>
      <c r="D548" s="31"/>
      <c r="E548" s="31"/>
      <c r="F548" s="31"/>
      <c r="G548" s="31"/>
    </row>
    <row r="549">
      <c r="B549" s="31"/>
      <c r="C549" s="31"/>
      <c r="D549" s="31"/>
      <c r="E549" s="31"/>
      <c r="F549" s="31"/>
      <c r="G549" s="31"/>
    </row>
    <row r="550">
      <c r="B550" s="31"/>
      <c r="C550" s="31"/>
      <c r="D550" s="31"/>
      <c r="E550" s="31"/>
      <c r="F550" s="31"/>
      <c r="G550" s="31"/>
    </row>
    <row r="551">
      <c r="B551" s="31"/>
      <c r="C551" s="31"/>
      <c r="D551" s="31"/>
      <c r="E551" s="31"/>
      <c r="F551" s="31"/>
      <c r="G551" s="31"/>
    </row>
    <row r="552">
      <c r="B552" s="31"/>
      <c r="C552" s="31"/>
      <c r="D552" s="31"/>
      <c r="E552" s="31"/>
      <c r="F552" s="31"/>
      <c r="G552" s="31"/>
    </row>
    <row r="553">
      <c r="B553" s="31"/>
      <c r="C553" s="31"/>
      <c r="D553" s="31"/>
      <c r="E553" s="31"/>
      <c r="F553" s="31"/>
      <c r="G553" s="31"/>
    </row>
    <row r="554">
      <c r="B554" s="31"/>
      <c r="C554" s="31"/>
      <c r="D554" s="31"/>
      <c r="E554" s="31"/>
      <c r="F554" s="31"/>
      <c r="G554" s="31"/>
    </row>
    <row r="555">
      <c r="B555" s="31"/>
      <c r="C555" s="31"/>
      <c r="D555" s="31"/>
      <c r="E555" s="31"/>
      <c r="F555" s="31"/>
      <c r="G555" s="31"/>
    </row>
    <row r="556">
      <c r="B556" s="31"/>
      <c r="C556" s="31"/>
      <c r="D556" s="31"/>
      <c r="E556" s="31"/>
      <c r="F556" s="31"/>
      <c r="G556" s="31"/>
    </row>
    <row r="557">
      <c r="B557" s="31"/>
      <c r="C557" s="31"/>
      <c r="D557" s="31"/>
      <c r="E557" s="31"/>
      <c r="F557" s="31"/>
      <c r="G557" s="31"/>
    </row>
    <row r="558">
      <c r="B558" s="31"/>
      <c r="C558" s="31"/>
      <c r="D558" s="31"/>
      <c r="E558" s="31"/>
      <c r="F558" s="31"/>
      <c r="G558" s="31"/>
    </row>
    <row r="559">
      <c r="B559" s="31"/>
      <c r="C559" s="31"/>
      <c r="D559" s="31"/>
      <c r="E559" s="31"/>
      <c r="F559" s="31"/>
      <c r="G559" s="31"/>
    </row>
    <row r="560">
      <c r="B560" s="31"/>
      <c r="C560" s="31"/>
      <c r="D560" s="31"/>
      <c r="E560" s="31"/>
      <c r="F560" s="31"/>
      <c r="G560" s="31"/>
    </row>
    <row r="561">
      <c r="B561" s="31"/>
      <c r="C561" s="31"/>
      <c r="D561" s="31"/>
      <c r="E561" s="31"/>
      <c r="F561" s="31"/>
      <c r="G561" s="31"/>
    </row>
    <row r="562">
      <c r="B562" s="31"/>
      <c r="C562" s="31"/>
      <c r="D562" s="31"/>
      <c r="E562" s="31"/>
      <c r="F562" s="31"/>
      <c r="G562" s="31"/>
    </row>
    <row r="563">
      <c r="B563" s="31"/>
      <c r="C563" s="31"/>
      <c r="D563" s="31"/>
      <c r="E563" s="31"/>
      <c r="F563" s="31"/>
      <c r="G563" s="31"/>
    </row>
    <row r="564">
      <c r="B564" s="31"/>
      <c r="C564" s="31"/>
      <c r="D564" s="31"/>
      <c r="E564" s="31"/>
      <c r="F564" s="31"/>
      <c r="G564" s="31"/>
    </row>
    <row r="565">
      <c r="B565" s="31"/>
      <c r="C565" s="31"/>
      <c r="D565" s="31"/>
      <c r="E565" s="31"/>
      <c r="F565" s="31"/>
      <c r="G565" s="31"/>
    </row>
    <row r="566">
      <c r="B566" s="31"/>
      <c r="C566" s="31"/>
      <c r="D566" s="31"/>
      <c r="E566" s="31"/>
      <c r="F566" s="31"/>
      <c r="G566" s="31"/>
    </row>
    <row r="567">
      <c r="B567" s="31"/>
      <c r="C567" s="31"/>
      <c r="D567" s="31"/>
      <c r="E567" s="31"/>
      <c r="F567" s="31"/>
      <c r="G567" s="31"/>
    </row>
    <row r="568">
      <c r="B568" s="31"/>
      <c r="C568" s="31"/>
      <c r="D568" s="31"/>
      <c r="E568" s="31"/>
      <c r="F568" s="31"/>
      <c r="G568" s="31"/>
    </row>
    <row r="569">
      <c r="B569" s="31"/>
      <c r="C569" s="31"/>
      <c r="D569" s="31"/>
      <c r="E569" s="31"/>
      <c r="F569" s="31"/>
      <c r="G569" s="31"/>
    </row>
    <row r="570">
      <c r="B570" s="31"/>
      <c r="C570" s="31"/>
      <c r="D570" s="31"/>
      <c r="E570" s="31"/>
      <c r="F570" s="31"/>
      <c r="G570" s="31"/>
    </row>
    <row r="571">
      <c r="B571" s="31"/>
      <c r="C571" s="31"/>
      <c r="D571" s="31"/>
      <c r="E571" s="31"/>
      <c r="F571" s="31"/>
      <c r="G571" s="31"/>
    </row>
    <row r="572">
      <c r="B572" s="31"/>
      <c r="C572" s="31"/>
      <c r="D572" s="31"/>
      <c r="E572" s="31"/>
      <c r="F572" s="31"/>
      <c r="G572" s="31"/>
    </row>
    <row r="573">
      <c r="B573" s="31"/>
      <c r="C573" s="31"/>
      <c r="D573" s="31"/>
      <c r="E573" s="31"/>
      <c r="F573" s="31"/>
      <c r="G573" s="31"/>
    </row>
    <row r="574">
      <c r="B574" s="31"/>
      <c r="C574" s="31"/>
      <c r="D574" s="31"/>
      <c r="E574" s="31"/>
      <c r="F574" s="31"/>
      <c r="G574" s="31"/>
    </row>
    <row r="575">
      <c r="B575" s="31"/>
      <c r="C575" s="31"/>
      <c r="D575" s="31"/>
      <c r="E575" s="31"/>
      <c r="F575" s="31"/>
      <c r="G575" s="31"/>
    </row>
    <row r="576">
      <c r="B576" s="31"/>
      <c r="C576" s="31"/>
      <c r="D576" s="31"/>
      <c r="E576" s="31"/>
      <c r="F576" s="31"/>
      <c r="G576" s="31"/>
    </row>
    <row r="577">
      <c r="B577" s="31"/>
      <c r="C577" s="31"/>
      <c r="D577" s="31"/>
      <c r="E577" s="31"/>
      <c r="F577" s="31"/>
      <c r="G577" s="31"/>
    </row>
    <row r="578">
      <c r="B578" s="31"/>
      <c r="C578" s="31"/>
      <c r="D578" s="31"/>
      <c r="E578" s="31"/>
      <c r="F578" s="31"/>
      <c r="G578" s="31"/>
    </row>
    <row r="579">
      <c r="B579" s="31"/>
      <c r="C579" s="31"/>
      <c r="D579" s="31"/>
      <c r="E579" s="31"/>
      <c r="F579" s="31"/>
      <c r="G579" s="31"/>
    </row>
    <row r="580">
      <c r="B580" s="31"/>
      <c r="C580" s="31"/>
      <c r="D580" s="31"/>
      <c r="E580" s="31"/>
      <c r="F580" s="31"/>
      <c r="G580" s="31"/>
    </row>
    <row r="581">
      <c r="B581" s="31"/>
      <c r="C581" s="31"/>
      <c r="D581" s="31"/>
      <c r="E581" s="31"/>
      <c r="F581" s="31"/>
      <c r="G581" s="31"/>
    </row>
    <row r="582">
      <c r="B582" s="31"/>
      <c r="C582" s="31"/>
      <c r="D582" s="31"/>
      <c r="E582" s="31"/>
      <c r="F582" s="31"/>
      <c r="G582" s="31"/>
    </row>
    <row r="583">
      <c r="B583" s="31"/>
      <c r="C583" s="31"/>
      <c r="D583" s="31"/>
      <c r="E583" s="31"/>
      <c r="F583" s="31"/>
      <c r="G583" s="31"/>
    </row>
    <row r="584">
      <c r="B584" s="31"/>
      <c r="C584" s="31"/>
      <c r="D584" s="31"/>
      <c r="E584" s="31"/>
      <c r="F584" s="31"/>
      <c r="G584" s="31"/>
    </row>
    <row r="585">
      <c r="B585" s="31"/>
      <c r="C585" s="31"/>
      <c r="D585" s="31"/>
      <c r="E585" s="31"/>
      <c r="F585" s="31"/>
      <c r="G585" s="31"/>
    </row>
    <row r="586">
      <c r="B586" s="31"/>
      <c r="C586" s="31"/>
      <c r="D586" s="31"/>
      <c r="E586" s="31"/>
      <c r="F586" s="31"/>
      <c r="G586" s="31"/>
    </row>
    <row r="587">
      <c r="B587" s="31"/>
      <c r="C587" s="31"/>
      <c r="D587" s="31"/>
      <c r="E587" s="31"/>
      <c r="F587" s="31"/>
      <c r="G587" s="31"/>
    </row>
    <row r="588">
      <c r="B588" s="31"/>
      <c r="C588" s="31"/>
      <c r="D588" s="31"/>
      <c r="E588" s="31"/>
      <c r="F588" s="31"/>
      <c r="G588" s="31"/>
    </row>
    <row r="589">
      <c r="B589" s="31"/>
      <c r="C589" s="31"/>
      <c r="D589" s="31"/>
      <c r="E589" s="31"/>
      <c r="F589" s="31"/>
      <c r="G589" s="31"/>
    </row>
    <row r="590">
      <c r="B590" s="31"/>
      <c r="C590" s="31"/>
      <c r="D590" s="31"/>
      <c r="E590" s="31"/>
      <c r="F590" s="31"/>
      <c r="G590" s="31"/>
    </row>
    <row r="591">
      <c r="B591" s="31"/>
      <c r="C591" s="31"/>
      <c r="D591" s="31"/>
      <c r="E591" s="31"/>
      <c r="F591" s="31"/>
      <c r="G591" s="31"/>
    </row>
    <row r="592">
      <c r="B592" s="31"/>
      <c r="C592" s="31"/>
      <c r="D592" s="31"/>
      <c r="E592" s="31"/>
      <c r="F592" s="31"/>
      <c r="G592" s="31"/>
    </row>
    <row r="593">
      <c r="B593" s="31"/>
      <c r="C593" s="31"/>
      <c r="D593" s="31"/>
      <c r="E593" s="31"/>
      <c r="F593" s="31"/>
      <c r="G593" s="31"/>
    </row>
    <row r="594">
      <c r="B594" s="31"/>
      <c r="C594" s="31"/>
      <c r="D594" s="31"/>
      <c r="E594" s="31"/>
      <c r="F594" s="31"/>
      <c r="G594" s="31"/>
    </row>
    <row r="595">
      <c r="B595" s="31"/>
      <c r="C595" s="31"/>
      <c r="D595" s="31"/>
      <c r="E595" s="31"/>
      <c r="F595" s="31"/>
      <c r="G595" s="31"/>
    </row>
    <row r="596">
      <c r="B596" s="31"/>
      <c r="C596" s="31"/>
      <c r="D596" s="31"/>
      <c r="E596" s="31"/>
      <c r="F596" s="31"/>
      <c r="G596" s="31"/>
    </row>
    <row r="597">
      <c r="B597" s="31"/>
      <c r="C597" s="31"/>
      <c r="D597" s="31"/>
      <c r="E597" s="31"/>
      <c r="F597" s="31"/>
      <c r="G597" s="31"/>
    </row>
    <row r="598">
      <c r="B598" s="31"/>
      <c r="C598" s="31"/>
      <c r="D598" s="31"/>
      <c r="E598" s="31"/>
      <c r="F598" s="31"/>
      <c r="G598" s="31"/>
    </row>
    <row r="599">
      <c r="B599" s="31"/>
      <c r="C599" s="31"/>
      <c r="D599" s="31"/>
      <c r="E599" s="31"/>
      <c r="F599" s="31"/>
      <c r="G599" s="31"/>
    </row>
    <row r="600">
      <c r="B600" s="31"/>
      <c r="C600" s="31"/>
      <c r="D600" s="31"/>
      <c r="E600" s="31"/>
      <c r="F600" s="31"/>
      <c r="G600" s="31"/>
    </row>
    <row r="601">
      <c r="B601" s="31"/>
      <c r="C601" s="31"/>
      <c r="D601" s="31"/>
      <c r="E601" s="31"/>
      <c r="F601" s="31"/>
      <c r="G601" s="31"/>
    </row>
    <row r="602">
      <c r="B602" s="31"/>
      <c r="C602" s="31"/>
      <c r="D602" s="31"/>
      <c r="E602" s="31"/>
      <c r="F602" s="31"/>
      <c r="G602" s="31"/>
    </row>
    <row r="603">
      <c r="B603" s="31"/>
      <c r="C603" s="31"/>
      <c r="D603" s="31"/>
      <c r="E603" s="31"/>
      <c r="F603" s="31"/>
      <c r="G603" s="31"/>
    </row>
    <row r="604">
      <c r="B604" s="31"/>
      <c r="C604" s="31"/>
      <c r="D604" s="31"/>
      <c r="E604" s="31"/>
      <c r="F604" s="31"/>
      <c r="G604" s="31"/>
    </row>
    <row r="605">
      <c r="B605" s="31"/>
      <c r="C605" s="31"/>
      <c r="D605" s="31"/>
      <c r="E605" s="31"/>
      <c r="F605" s="31"/>
      <c r="G605" s="31"/>
    </row>
    <row r="606">
      <c r="B606" s="31"/>
      <c r="C606" s="31"/>
      <c r="D606" s="31"/>
      <c r="E606" s="31"/>
      <c r="F606" s="31"/>
      <c r="G606" s="31"/>
    </row>
    <row r="607">
      <c r="B607" s="31"/>
      <c r="C607" s="31"/>
      <c r="D607" s="31"/>
      <c r="E607" s="31"/>
      <c r="F607" s="31"/>
      <c r="G607" s="31"/>
    </row>
    <row r="608">
      <c r="B608" s="31"/>
      <c r="C608" s="31"/>
      <c r="D608" s="31"/>
      <c r="E608" s="31"/>
      <c r="F608" s="31"/>
      <c r="G608" s="31"/>
    </row>
    <row r="609">
      <c r="B609" s="31"/>
      <c r="C609" s="31"/>
      <c r="D609" s="31"/>
      <c r="E609" s="31"/>
      <c r="F609" s="31"/>
      <c r="G609" s="31"/>
    </row>
    <row r="610">
      <c r="B610" s="31"/>
      <c r="C610" s="31"/>
      <c r="D610" s="31"/>
      <c r="E610" s="31"/>
      <c r="F610" s="31"/>
      <c r="G610" s="31"/>
    </row>
    <row r="611">
      <c r="B611" s="31"/>
      <c r="C611" s="31"/>
      <c r="D611" s="31"/>
      <c r="E611" s="31"/>
      <c r="F611" s="31"/>
      <c r="G611" s="31"/>
    </row>
    <row r="612">
      <c r="B612" s="31"/>
      <c r="C612" s="31"/>
      <c r="D612" s="31"/>
      <c r="E612" s="31"/>
      <c r="F612" s="31"/>
      <c r="G612" s="31"/>
    </row>
    <row r="613">
      <c r="B613" s="31"/>
      <c r="C613" s="31"/>
      <c r="D613" s="31"/>
      <c r="E613" s="31"/>
      <c r="F613" s="31"/>
      <c r="G613" s="31"/>
    </row>
    <row r="614">
      <c r="B614" s="31"/>
      <c r="C614" s="31"/>
      <c r="D614" s="31"/>
      <c r="E614" s="31"/>
      <c r="F614" s="31"/>
      <c r="G614" s="31"/>
    </row>
    <row r="615">
      <c r="B615" s="31"/>
      <c r="C615" s="31"/>
      <c r="D615" s="31"/>
      <c r="E615" s="31"/>
      <c r="F615" s="31"/>
      <c r="G615" s="31"/>
    </row>
    <row r="616">
      <c r="B616" s="31"/>
      <c r="C616" s="31"/>
      <c r="D616" s="31"/>
      <c r="E616" s="31"/>
      <c r="F616" s="31"/>
      <c r="G616" s="31"/>
    </row>
    <row r="617">
      <c r="B617" s="31"/>
      <c r="C617" s="31"/>
      <c r="D617" s="31"/>
      <c r="E617" s="31"/>
      <c r="F617" s="31"/>
      <c r="G617" s="31"/>
    </row>
    <row r="618">
      <c r="B618" s="31"/>
      <c r="C618" s="31"/>
      <c r="D618" s="31"/>
      <c r="E618" s="31"/>
      <c r="F618" s="31"/>
      <c r="G618" s="31"/>
    </row>
    <row r="619">
      <c r="B619" s="31"/>
      <c r="C619" s="31"/>
      <c r="D619" s="31"/>
      <c r="E619" s="31"/>
      <c r="F619" s="31"/>
      <c r="G619" s="31"/>
    </row>
    <row r="620">
      <c r="B620" s="31"/>
      <c r="C620" s="31"/>
      <c r="D620" s="31"/>
      <c r="E620" s="31"/>
      <c r="F620" s="31"/>
      <c r="G620" s="31"/>
    </row>
    <row r="621">
      <c r="B621" s="31"/>
      <c r="C621" s="31"/>
      <c r="D621" s="31"/>
      <c r="E621" s="31"/>
      <c r="F621" s="31"/>
      <c r="G621" s="31"/>
    </row>
    <row r="622">
      <c r="B622" s="31"/>
      <c r="C622" s="31"/>
      <c r="D622" s="31"/>
      <c r="E622" s="31"/>
      <c r="F622" s="31"/>
      <c r="G622" s="31"/>
    </row>
    <row r="623">
      <c r="B623" s="31"/>
      <c r="C623" s="31"/>
      <c r="D623" s="31"/>
      <c r="E623" s="31"/>
      <c r="F623" s="31"/>
      <c r="G623" s="31"/>
    </row>
    <row r="624">
      <c r="B624" s="31"/>
      <c r="C624" s="31"/>
      <c r="D624" s="31"/>
      <c r="E624" s="31"/>
      <c r="F624" s="31"/>
      <c r="G624" s="31"/>
    </row>
    <row r="625">
      <c r="B625" s="31"/>
      <c r="C625" s="31"/>
      <c r="D625" s="31"/>
      <c r="E625" s="31"/>
      <c r="F625" s="31"/>
      <c r="G625" s="31"/>
    </row>
    <row r="626">
      <c r="B626" s="31"/>
      <c r="C626" s="31"/>
      <c r="D626" s="31"/>
      <c r="E626" s="31"/>
      <c r="F626" s="31"/>
      <c r="G626" s="31"/>
    </row>
    <row r="627">
      <c r="B627" s="31"/>
      <c r="C627" s="31"/>
      <c r="D627" s="31"/>
      <c r="E627" s="31"/>
      <c r="F627" s="31"/>
      <c r="G627" s="31"/>
    </row>
    <row r="628">
      <c r="B628" s="31"/>
      <c r="C628" s="31"/>
      <c r="D628" s="31"/>
      <c r="E628" s="31"/>
      <c r="F628" s="31"/>
      <c r="G628" s="31"/>
    </row>
    <row r="629">
      <c r="B629" s="31"/>
      <c r="C629" s="31"/>
      <c r="D629" s="31"/>
      <c r="E629" s="31"/>
      <c r="F629" s="31"/>
      <c r="G629" s="31"/>
    </row>
    <row r="630">
      <c r="B630" s="31"/>
      <c r="C630" s="31"/>
      <c r="D630" s="31"/>
      <c r="E630" s="31"/>
      <c r="F630" s="31"/>
      <c r="G630" s="31"/>
    </row>
    <row r="631">
      <c r="B631" s="31"/>
      <c r="C631" s="31"/>
      <c r="D631" s="31"/>
      <c r="E631" s="31"/>
      <c r="F631" s="31"/>
      <c r="G631" s="31"/>
    </row>
    <row r="632">
      <c r="B632" s="31"/>
      <c r="C632" s="31"/>
      <c r="D632" s="31"/>
      <c r="E632" s="31"/>
      <c r="F632" s="31"/>
      <c r="G632" s="31"/>
    </row>
    <row r="633">
      <c r="B633" s="31"/>
      <c r="C633" s="31"/>
      <c r="D633" s="31"/>
      <c r="E633" s="31"/>
      <c r="F633" s="31"/>
      <c r="G633" s="31"/>
    </row>
    <row r="634">
      <c r="B634" s="31"/>
      <c r="C634" s="31"/>
      <c r="D634" s="31"/>
      <c r="E634" s="31"/>
      <c r="F634" s="31"/>
      <c r="G634" s="31"/>
    </row>
    <row r="635">
      <c r="B635" s="31"/>
      <c r="C635" s="31"/>
      <c r="D635" s="31"/>
      <c r="E635" s="31"/>
      <c r="F635" s="31"/>
      <c r="G635" s="31"/>
    </row>
    <row r="636">
      <c r="B636" s="31"/>
      <c r="C636" s="31"/>
      <c r="D636" s="31"/>
      <c r="E636" s="31"/>
      <c r="F636" s="31"/>
      <c r="G636" s="31"/>
    </row>
    <row r="637">
      <c r="B637" s="31"/>
      <c r="C637" s="31"/>
      <c r="D637" s="31"/>
      <c r="E637" s="31"/>
      <c r="F637" s="31"/>
      <c r="G637" s="31"/>
    </row>
    <row r="638">
      <c r="B638" s="31"/>
      <c r="C638" s="31"/>
      <c r="D638" s="31"/>
      <c r="E638" s="31"/>
      <c r="F638" s="31"/>
      <c r="G638" s="31"/>
    </row>
    <row r="639">
      <c r="B639" s="31"/>
      <c r="C639" s="31"/>
      <c r="D639" s="31"/>
      <c r="E639" s="31"/>
      <c r="F639" s="31"/>
      <c r="G639" s="31"/>
    </row>
    <row r="640">
      <c r="B640" s="31"/>
      <c r="C640" s="31"/>
      <c r="D640" s="31"/>
      <c r="E640" s="31"/>
      <c r="F640" s="31"/>
      <c r="G640" s="31"/>
    </row>
    <row r="641">
      <c r="B641" s="31"/>
      <c r="C641" s="31"/>
      <c r="D641" s="31"/>
      <c r="E641" s="31"/>
      <c r="F641" s="31"/>
      <c r="G641" s="31"/>
    </row>
    <row r="642">
      <c r="B642" s="31"/>
      <c r="C642" s="31"/>
      <c r="D642" s="31"/>
      <c r="E642" s="31"/>
      <c r="F642" s="31"/>
      <c r="G642" s="31"/>
    </row>
    <row r="643">
      <c r="B643" s="31"/>
      <c r="C643" s="31"/>
      <c r="D643" s="31"/>
      <c r="E643" s="31"/>
      <c r="F643" s="31"/>
      <c r="G643" s="31"/>
    </row>
    <row r="644">
      <c r="B644" s="31"/>
      <c r="C644" s="31"/>
      <c r="D644" s="31"/>
      <c r="E644" s="31"/>
      <c r="F644" s="31"/>
      <c r="G644" s="31"/>
    </row>
    <row r="645">
      <c r="B645" s="31"/>
      <c r="C645" s="31"/>
      <c r="D645" s="31"/>
      <c r="E645" s="31"/>
      <c r="F645" s="31"/>
      <c r="G645" s="31"/>
    </row>
    <row r="646">
      <c r="B646" s="31"/>
      <c r="C646" s="31"/>
      <c r="D646" s="31"/>
      <c r="E646" s="31"/>
      <c r="F646" s="31"/>
      <c r="G646" s="31"/>
    </row>
    <row r="647">
      <c r="B647" s="31"/>
      <c r="C647" s="31"/>
      <c r="D647" s="31"/>
      <c r="E647" s="31"/>
      <c r="F647" s="31"/>
      <c r="G647" s="31"/>
    </row>
    <row r="648">
      <c r="B648" s="31"/>
      <c r="C648" s="31"/>
      <c r="D648" s="31"/>
      <c r="E648" s="31"/>
      <c r="F648" s="31"/>
      <c r="G648" s="31"/>
    </row>
    <row r="649">
      <c r="B649" s="31"/>
      <c r="C649" s="31"/>
      <c r="D649" s="31"/>
      <c r="E649" s="31"/>
      <c r="F649" s="31"/>
      <c r="G649" s="31"/>
    </row>
    <row r="650">
      <c r="B650" s="31"/>
      <c r="C650" s="31"/>
      <c r="D650" s="31"/>
      <c r="E650" s="31"/>
      <c r="F650" s="31"/>
      <c r="G650" s="31"/>
    </row>
    <row r="651">
      <c r="B651" s="31"/>
      <c r="C651" s="31"/>
      <c r="D651" s="31"/>
      <c r="E651" s="31"/>
      <c r="F651" s="31"/>
      <c r="G651" s="31"/>
    </row>
    <row r="652">
      <c r="B652" s="31"/>
      <c r="C652" s="31"/>
      <c r="D652" s="31"/>
      <c r="E652" s="31"/>
      <c r="F652" s="31"/>
      <c r="G652" s="31"/>
    </row>
    <row r="653">
      <c r="B653" s="31"/>
      <c r="C653" s="31"/>
      <c r="D653" s="31"/>
      <c r="E653" s="31"/>
      <c r="F653" s="31"/>
      <c r="G653" s="31"/>
    </row>
    <row r="654">
      <c r="B654" s="31"/>
      <c r="C654" s="31"/>
      <c r="D654" s="31"/>
      <c r="E654" s="31"/>
      <c r="F654" s="31"/>
      <c r="G654" s="31"/>
    </row>
    <row r="655">
      <c r="B655" s="31"/>
      <c r="C655" s="31"/>
      <c r="D655" s="31"/>
      <c r="E655" s="31"/>
      <c r="F655" s="31"/>
      <c r="G655" s="31"/>
    </row>
    <row r="656">
      <c r="B656" s="31"/>
      <c r="C656" s="31"/>
      <c r="D656" s="31"/>
      <c r="E656" s="31"/>
      <c r="F656" s="31"/>
      <c r="G656" s="31"/>
    </row>
    <row r="657">
      <c r="B657" s="31"/>
      <c r="C657" s="31"/>
      <c r="D657" s="31"/>
      <c r="E657" s="31"/>
      <c r="F657" s="31"/>
      <c r="G657" s="31"/>
    </row>
    <row r="658">
      <c r="B658" s="31"/>
      <c r="C658" s="31"/>
      <c r="D658" s="31"/>
      <c r="E658" s="31"/>
      <c r="F658" s="31"/>
      <c r="G658" s="31"/>
    </row>
    <row r="659">
      <c r="B659" s="31"/>
      <c r="C659" s="31"/>
      <c r="D659" s="31"/>
      <c r="E659" s="31"/>
      <c r="F659" s="31"/>
      <c r="G659" s="31"/>
    </row>
    <row r="660">
      <c r="B660" s="31"/>
      <c r="C660" s="31"/>
      <c r="D660" s="31"/>
      <c r="E660" s="31"/>
      <c r="F660" s="31"/>
      <c r="G660" s="31"/>
    </row>
    <row r="661">
      <c r="B661" s="31"/>
      <c r="C661" s="31"/>
      <c r="D661" s="31"/>
      <c r="E661" s="31"/>
      <c r="F661" s="31"/>
      <c r="G661" s="31"/>
    </row>
    <row r="662">
      <c r="B662" s="31"/>
      <c r="C662" s="31"/>
      <c r="D662" s="31"/>
      <c r="E662" s="31"/>
      <c r="F662" s="31"/>
      <c r="G662" s="31"/>
    </row>
    <row r="663">
      <c r="B663" s="31"/>
      <c r="C663" s="31"/>
      <c r="D663" s="31"/>
      <c r="E663" s="31"/>
      <c r="F663" s="31"/>
      <c r="G663" s="31"/>
    </row>
    <row r="664">
      <c r="B664" s="31"/>
      <c r="C664" s="31"/>
      <c r="D664" s="31"/>
      <c r="E664" s="31"/>
      <c r="F664" s="31"/>
      <c r="G664" s="31"/>
    </row>
    <row r="665">
      <c r="B665" s="31"/>
      <c r="C665" s="31"/>
      <c r="D665" s="31"/>
      <c r="E665" s="31"/>
      <c r="F665" s="31"/>
      <c r="G665" s="31"/>
    </row>
    <row r="666">
      <c r="B666" s="31"/>
      <c r="C666" s="31"/>
      <c r="D666" s="31"/>
      <c r="E666" s="31"/>
      <c r="F666" s="31"/>
      <c r="G666" s="31"/>
    </row>
    <row r="667">
      <c r="B667" s="31"/>
      <c r="C667" s="31"/>
      <c r="D667" s="31"/>
      <c r="E667" s="31"/>
      <c r="F667" s="31"/>
      <c r="G667" s="31"/>
    </row>
    <row r="668">
      <c r="B668" s="31"/>
      <c r="C668" s="31"/>
      <c r="D668" s="31"/>
      <c r="E668" s="31"/>
      <c r="F668" s="31"/>
      <c r="G668" s="31"/>
    </row>
    <row r="669">
      <c r="B669" s="31"/>
      <c r="C669" s="31"/>
      <c r="D669" s="31"/>
      <c r="E669" s="31"/>
      <c r="F669" s="31"/>
      <c r="G669" s="31"/>
    </row>
    <row r="670">
      <c r="B670" s="31"/>
      <c r="C670" s="31"/>
      <c r="D670" s="31"/>
      <c r="E670" s="31"/>
      <c r="F670" s="31"/>
      <c r="G670" s="31"/>
    </row>
    <row r="671">
      <c r="B671" s="31"/>
      <c r="C671" s="31"/>
      <c r="D671" s="31"/>
      <c r="E671" s="31"/>
      <c r="F671" s="31"/>
      <c r="G671" s="31"/>
    </row>
    <row r="672">
      <c r="B672" s="31"/>
      <c r="C672" s="31"/>
      <c r="D672" s="31"/>
      <c r="E672" s="31"/>
      <c r="F672" s="31"/>
      <c r="G672" s="31"/>
    </row>
    <row r="673">
      <c r="B673" s="31"/>
      <c r="C673" s="31"/>
      <c r="D673" s="31"/>
      <c r="E673" s="31"/>
      <c r="F673" s="31"/>
      <c r="G673" s="31"/>
    </row>
    <row r="674">
      <c r="B674" s="31"/>
      <c r="C674" s="31"/>
      <c r="D674" s="31"/>
      <c r="E674" s="31"/>
      <c r="F674" s="31"/>
      <c r="G674" s="31"/>
    </row>
    <row r="675">
      <c r="B675" s="31"/>
      <c r="C675" s="31"/>
      <c r="D675" s="31"/>
      <c r="E675" s="31"/>
      <c r="F675" s="31"/>
      <c r="G675" s="31"/>
    </row>
    <row r="676">
      <c r="B676" s="31"/>
      <c r="C676" s="31"/>
      <c r="D676" s="31"/>
      <c r="E676" s="31"/>
      <c r="F676" s="31"/>
      <c r="G676" s="31"/>
    </row>
    <row r="677">
      <c r="B677" s="31"/>
      <c r="C677" s="31"/>
      <c r="D677" s="31"/>
      <c r="E677" s="31"/>
      <c r="F677" s="31"/>
      <c r="G677" s="31"/>
    </row>
    <row r="678">
      <c r="B678" s="31"/>
      <c r="C678" s="31"/>
      <c r="D678" s="31"/>
      <c r="E678" s="31"/>
      <c r="F678" s="31"/>
      <c r="G678" s="31"/>
    </row>
    <row r="679">
      <c r="B679" s="31"/>
      <c r="C679" s="31"/>
      <c r="D679" s="31"/>
      <c r="E679" s="31"/>
      <c r="F679" s="31"/>
      <c r="G679" s="31"/>
    </row>
    <row r="680">
      <c r="B680" s="31"/>
      <c r="C680" s="31"/>
      <c r="D680" s="31"/>
      <c r="E680" s="31"/>
      <c r="F680" s="31"/>
      <c r="G680" s="31"/>
    </row>
    <row r="681">
      <c r="B681" s="31"/>
      <c r="C681" s="31"/>
      <c r="D681" s="31"/>
      <c r="E681" s="31"/>
      <c r="F681" s="31"/>
      <c r="G681" s="31"/>
    </row>
    <row r="682">
      <c r="B682" s="31"/>
      <c r="C682" s="31"/>
      <c r="D682" s="31"/>
      <c r="E682" s="31"/>
      <c r="F682" s="31"/>
      <c r="G682" s="31"/>
    </row>
    <row r="683">
      <c r="B683" s="31"/>
      <c r="C683" s="31"/>
      <c r="D683" s="31"/>
      <c r="E683" s="31"/>
      <c r="F683" s="31"/>
      <c r="G683" s="31"/>
    </row>
    <row r="684">
      <c r="B684" s="31"/>
      <c r="C684" s="31"/>
      <c r="D684" s="31"/>
      <c r="E684" s="31"/>
      <c r="F684" s="31"/>
      <c r="G684" s="31"/>
    </row>
    <row r="685">
      <c r="B685" s="31"/>
      <c r="C685" s="31"/>
      <c r="D685" s="31"/>
      <c r="E685" s="31"/>
      <c r="F685" s="31"/>
      <c r="G685" s="31"/>
    </row>
    <row r="686">
      <c r="B686" s="31"/>
      <c r="C686" s="31"/>
      <c r="D686" s="31"/>
      <c r="E686" s="31"/>
      <c r="F686" s="31"/>
      <c r="G686" s="31"/>
    </row>
    <row r="687">
      <c r="B687" s="31"/>
      <c r="C687" s="31"/>
      <c r="D687" s="31"/>
      <c r="E687" s="31"/>
      <c r="F687" s="31"/>
      <c r="G687" s="31"/>
    </row>
    <row r="688">
      <c r="B688" s="31"/>
      <c r="C688" s="31"/>
      <c r="D688" s="31"/>
      <c r="E688" s="31"/>
      <c r="F688" s="31"/>
      <c r="G688" s="31"/>
    </row>
    <row r="689">
      <c r="B689" s="31"/>
      <c r="C689" s="31"/>
      <c r="D689" s="31"/>
      <c r="E689" s="31"/>
      <c r="F689" s="31"/>
      <c r="G689" s="31"/>
    </row>
    <row r="690">
      <c r="B690" s="31"/>
      <c r="C690" s="31"/>
      <c r="D690" s="31"/>
      <c r="E690" s="31"/>
      <c r="F690" s="31"/>
      <c r="G690" s="31"/>
    </row>
    <row r="691">
      <c r="B691" s="31"/>
      <c r="C691" s="31"/>
      <c r="D691" s="31"/>
      <c r="E691" s="31"/>
      <c r="F691" s="31"/>
      <c r="G691" s="31"/>
    </row>
    <row r="692">
      <c r="B692" s="31"/>
      <c r="C692" s="31"/>
      <c r="D692" s="31"/>
      <c r="E692" s="31"/>
      <c r="F692" s="31"/>
      <c r="G692" s="31"/>
    </row>
    <row r="693">
      <c r="B693" s="31"/>
      <c r="C693" s="31"/>
      <c r="D693" s="31"/>
      <c r="E693" s="31"/>
      <c r="F693" s="31"/>
      <c r="G693" s="31"/>
    </row>
    <row r="694">
      <c r="B694" s="31"/>
      <c r="C694" s="31"/>
      <c r="D694" s="31"/>
      <c r="E694" s="31"/>
      <c r="F694" s="31"/>
      <c r="G694" s="31"/>
    </row>
    <row r="695">
      <c r="B695" s="31"/>
      <c r="C695" s="31"/>
      <c r="D695" s="31"/>
      <c r="E695" s="31"/>
      <c r="F695" s="31"/>
      <c r="G695" s="31"/>
    </row>
    <row r="696">
      <c r="B696" s="31"/>
      <c r="C696" s="31"/>
      <c r="D696" s="31"/>
      <c r="E696" s="31"/>
      <c r="F696" s="31"/>
      <c r="G696" s="31"/>
    </row>
    <row r="697">
      <c r="B697" s="31"/>
      <c r="C697" s="31"/>
      <c r="D697" s="31"/>
      <c r="E697" s="31"/>
      <c r="F697" s="31"/>
      <c r="G697" s="31"/>
    </row>
    <row r="698">
      <c r="B698" s="31"/>
      <c r="C698" s="31"/>
      <c r="D698" s="31"/>
      <c r="E698" s="31"/>
      <c r="F698" s="31"/>
      <c r="G698" s="31"/>
    </row>
    <row r="699">
      <c r="B699" s="31"/>
      <c r="C699" s="31"/>
      <c r="D699" s="31"/>
      <c r="E699" s="31"/>
      <c r="F699" s="31"/>
      <c r="G699" s="31"/>
    </row>
    <row r="700">
      <c r="B700" s="31"/>
      <c r="C700" s="31"/>
      <c r="D700" s="31"/>
      <c r="E700" s="31"/>
      <c r="F700" s="31"/>
      <c r="G700" s="31"/>
    </row>
    <row r="701">
      <c r="B701" s="31"/>
      <c r="C701" s="31"/>
      <c r="D701" s="31"/>
      <c r="E701" s="31"/>
      <c r="F701" s="31"/>
      <c r="G701" s="31"/>
    </row>
    <row r="702">
      <c r="B702" s="31"/>
      <c r="C702" s="31"/>
      <c r="D702" s="31"/>
      <c r="E702" s="31"/>
      <c r="F702" s="31"/>
      <c r="G702" s="31"/>
    </row>
    <row r="703">
      <c r="B703" s="31"/>
      <c r="C703" s="31"/>
      <c r="D703" s="31"/>
      <c r="E703" s="31"/>
      <c r="F703" s="31"/>
      <c r="G703" s="31"/>
    </row>
    <row r="704">
      <c r="B704" s="31"/>
      <c r="C704" s="31"/>
      <c r="D704" s="31"/>
      <c r="E704" s="31"/>
      <c r="F704" s="31"/>
      <c r="G704" s="31"/>
    </row>
    <row r="705">
      <c r="B705" s="31"/>
      <c r="C705" s="31"/>
      <c r="D705" s="31"/>
      <c r="E705" s="31"/>
      <c r="F705" s="31"/>
      <c r="G705" s="31"/>
    </row>
    <row r="706">
      <c r="B706" s="31"/>
      <c r="C706" s="31"/>
      <c r="D706" s="31"/>
      <c r="E706" s="31"/>
      <c r="F706" s="31"/>
      <c r="G706" s="31"/>
    </row>
    <row r="707">
      <c r="B707" s="31"/>
      <c r="C707" s="31"/>
      <c r="D707" s="31"/>
      <c r="E707" s="31"/>
      <c r="F707" s="31"/>
      <c r="G707" s="31"/>
    </row>
    <row r="708">
      <c r="B708" s="31"/>
      <c r="C708" s="31"/>
      <c r="D708" s="31"/>
      <c r="E708" s="31"/>
      <c r="F708" s="31"/>
      <c r="G708" s="31"/>
    </row>
    <row r="709">
      <c r="B709" s="31"/>
      <c r="C709" s="31"/>
      <c r="D709" s="31"/>
      <c r="E709" s="31"/>
      <c r="F709" s="31"/>
      <c r="G709" s="31"/>
    </row>
    <row r="710">
      <c r="B710" s="31"/>
      <c r="C710" s="31"/>
      <c r="D710" s="31"/>
      <c r="E710" s="31"/>
      <c r="F710" s="31"/>
      <c r="G710" s="31"/>
    </row>
    <row r="711">
      <c r="B711" s="31"/>
      <c r="C711" s="31"/>
      <c r="D711" s="31"/>
      <c r="E711" s="31"/>
      <c r="F711" s="31"/>
      <c r="G711" s="31"/>
    </row>
    <row r="712">
      <c r="B712" s="31"/>
      <c r="C712" s="31"/>
      <c r="D712" s="31"/>
      <c r="E712" s="31"/>
      <c r="F712" s="31"/>
      <c r="G712" s="31"/>
    </row>
    <row r="713">
      <c r="B713" s="31"/>
      <c r="C713" s="31"/>
      <c r="D713" s="31"/>
      <c r="E713" s="31"/>
      <c r="F713" s="31"/>
      <c r="G713" s="31"/>
    </row>
    <row r="714">
      <c r="B714" s="31"/>
      <c r="C714" s="31"/>
      <c r="D714" s="31"/>
      <c r="E714" s="31"/>
      <c r="F714" s="31"/>
      <c r="G714" s="31"/>
    </row>
    <row r="715">
      <c r="B715" s="31"/>
      <c r="C715" s="31"/>
      <c r="D715" s="31"/>
      <c r="E715" s="31"/>
      <c r="F715" s="31"/>
      <c r="G715" s="31"/>
    </row>
    <row r="716">
      <c r="B716" s="31"/>
      <c r="C716" s="31"/>
      <c r="D716" s="31"/>
      <c r="E716" s="31"/>
      <c r="F716" s="31"/>
      <c r="G716" s="31"/>
    </row>
    <row r="717">
      <c r="B717" s="31"/>
      <c r="C717" s="31"/>
      <c r="D717" s="31"/>
      <c r="E717" s="31"/>
      <c r="F717" s="31"/>
      <c r="G717" s="31"/>
    </row>
    <row r="718">
      <c r="B718" s="31"/>
      <c r="C718" s="31"/>
      <c r="D718" s="31"/>
      <c r="E718" s="31"/>
      <c r="F718" s="31"/>
      <c r="G718" s="31"/>
    </row>
    <row r="719">
      <c r="B719" s="31"/>
      <c r="C719" s="31"/>
      <c r="D719" s="31"/>
      <c r="E719" s="31"/>
      <c r="F719" s="31"/>
      <c r="G719" s="31"/>
    </row>
    <row r="720">
      <c r="B720" s="31"/>
      <c r="C720" s="31"/>
      <c r="D720" s="31"/>
      <c r="E720" s="31"/>
      <c r="F720" s="31"/>
      <c r="G720" s="31"/>
    </row>
    <row r="721">
      <c r="B721" s="31"/>
      <c r="C721" s="31"/>
      <c r="D721" s="31"/>
      <c r="E721" s="31"/>
      <c r="F721" s="31"/>
      <c r="G721" s="31"/>
    </row>
    <row r="722">
      <c r="B722" s="31"/>
      <c r="C722" s="31"/>
      <c r="D722" s="31"/>
      <c r="E722" s="31"/>
      <c r="F722" s="31"/>
      <c r="G722" s="31"/>
    </row>
    <row r="723">
      <c r="B723" s="31"/>
      <c r="C723" s="31"/>
      <c r="D723" s="31"/>
      <c r="E723" s="31"/>
      <c r="F723" s="31"/>
      <c r="G723" s="31"/>
    </row>
    <row r="724">
      <c r="B724" s="31"/>
      <c r="C724" s="31"/>
      <c r="D724" s="31"/>
      <c r="E724" s="31"/>
      <c r="F724" s="31"/>
      <c r="G724" s="31"/>
    </row>
    <row r="725">
      <c r="B725" s="31"/>
      <c r="C725" s="31"/>
      <c r="D725" s="31"/>
      <c r="E725" s="31"/>
      <c r="F725" s="31"/>
      <c r="G725" s="31"/>
    </row>
    <row r="726">
      <c r="B726" s="31"/>
      <c r="C726" s="31"/>
      <c r="D726" s="31"/>
      <c r="E726" s="31"/>
      <c r="F726" s="31"/>
      <c r="G726" s="31"/>
    </row>
    <row r="727">
      <c r="B727" s="31"/>
      <c r="C727" s="31"/>
      <c r="D727" s="31"/>
      <c r="E727" s="31"/>
      <c r="F727" s="31"/>
      <c r="G727" s="31"/>
    </row>
    <row r="728">
      <c r="B728" s="31"/>
      <c r="C728" s="31"/>
      <c r="D728" s="31"/>
      <c r="E728" s="31"/>
      <c r="F728" s="31"/>
      <c r="G728" s="31"/>
    </row>
    <row r="729">
      <c r="B729" s="31"/>
      <c r="C729" s="31"/>
      <c r="D729" s="31"/>
      <c r="E729" s="31"/>
      <c r="F729" s="31"/>
      <c r="G729" s="31"/>
    </row>
    <row r="730">
      <c r="B730" s="31"/>
      <c r="C730" s="31"/>
      <c r="D730" s="31"/>
      <c r="E730" s="31"/>
      <c r="F730" s="31"/>
      <c r="G730" s="31"/>
    </row>
    <row r="731">
      <c r="B731" s="31"/>
      <c r="C731" s="31"/>
      <c r="D731" s="31"/>
      <c r="E731" s="31"/>
      <c r="F731" s="31"/>
      <c r="G731" s="31"/>
    </row>
    <row r="732">
      <c r="B732" s="31"/>
      <c r="C732" s="31"/>
      <c r="D732" s="31"/>
      <c r="E732" s="31"/>
      <c r="F732" s="31"/>
      <c r="G732" s="31"/>
    </row>
    <row r="733">
      <c r="B733" s="31"/>
      <c r="C733" s="31"/>
      <c r="D733" s="31"/>
      <c r="E733" s="31"/>
      <c r="F733" s="31"/>
      <c r="G733" s="31"/>
    </row>
    <row r="734">
      <c r="B734" s="31"/>
      <c r="C734" s="31"/>
      <c r="D734" s="31"/>
      <c r="E734" s="31"/>
      <c r="F734" s="31"/>
      <c r="G734" s="31"/>
    </row>
    <row r="735">
      <c r="B735" s="31"/>
      <c r="C735" s="31"/>
      <c r="D735" s="31"/>
      <c r="E735" s="31"/>
      <c r="F735" s="31"/>
      <c r="G735" s="31"/>
    </row>
    <row r="736">
      <c r="B736" s="31"/>
      <c r="C736" s="31"/>
      <c r="D736" s="31"/>
      <c r="E736" s="31"/>
      <c r="F736" s="31"/>
      <c r="G736" s="31"/>
    </row>
    <row r="737">
      <c r="B737" s="31"/>
      <c r="C737" s="31"/>
      <c r="D737" s="31"/>
      <c r="E737" s="31"/>
      <c r="F737" s="31"/>
      <c r="G737" s="31"/>
    </row>
    <row r="738">
      <c r="B738" s="31"/>
      <c r="C738" s="31"/>
      <c r="D738" s="31"/>
      <c r="E738" s="31"/>
      <c r="F738" s="31"/>
      <c r="G738" s="31"/>
    </row>
    <row r="739">
      <c r="B739" s="31"/>
      <c r="C739" s="31"/>
      <c r="D739" s="31"/>
      <c r="E739" s="31"/>
      <c r="F739" s="31"/>
      <c r="G739" s="31"/>
    </row>
    <row r="740">
      <c r="B740" s="31"/>
      <c r="C740" s="31"/>
      <c r="D740" s="31"/>
      <c r="E740" s="31"/>
      <c r="F740" s="31"/>
      <c r="G740" s="31"/>
    </row>
    <row r="741">
      <c r="B741" s="31"/>
      <c r="C741" s="31"/>
      <c r="D741" s="31"/>
      <c r="E741" s="31"/>
      <c r="F741" s="31"/>
      <c r="G741" s="31"/>
    </row>
    <row r="742">
      <c r="B742" s="31"/>
      <c r="C742" s="31"/>
      <c r="D742" s="31"/>
      <c r="E742" s="31"/>
      <c r="F742" s="31"/>
      <c r="G742" s="31"/>
    </row>
    <row r="743">
      <c r="B743" s="31"/>
      <c r="C743" s="31"/>
      <c r="D743" s="31"/>
      <c r="E743" s="31"/>
      <c r="F743" s="31"/>
      <c r="G743" s="31"/>
    </row>
    <row r="744">
      <c r="B744" s="31"/>
      <c r="C744" s="31"/>
      <c r="D744" s="31"/>
      <c r="E744" s="31"/>
      <c r="F744" s="31"/>
      <c r="G744" s="31"/>
    </row>
    <row r="745">
      <c r="B745" s="31"/>
      <c r="C745" s="31"/>
      <c r="D745" s="31"/>
      <c r="E745" s="31"/>
      <c r="F745" s="31"/>
      <c r="G745" s="31"/>
    </row>
    <row r="746">
      <c r="B746" s="31"/>
      <c r="C746" s="31"/>
      <c r="D746" s="31"/>
      <c r="E746" s="31"/>
      <c r="F746" s="31"/>
      <c r="G746" s="31"/>
    </row>
    <row r="747">
      <c r="B747" s="31"/>
      <c r="C747" s="31"/>
      <c r="D747" s="31"/>
      <c r="E747" s="31"/>
      <c r="F747" s="31"/>
      <c r="G747" s="31"/>
    </row>
    <row r="748">
      <c r="B748" s="31"/>
      <c r="C748" s="31"/>
      <c r="D748" s="31"/>
      <c r="E748" s="31"/>
      <c r="F748" s="31"/>
      <c r="G748" s="31"/>
    </row>
    <row r="749">
      <c r="B749" s="31"/>
      <c r="C749" s="31"/>
      <c r="D749" s="31"/>
      <c r="E749" s="31"/>
      <c r="F749" s="31"/>
      <c r="G749" s="31"/>
    </row>
    <row r="750">
      <c r="B750" s="31"/>
      <c r="C750" s="31"/>
      <c r="D750" s="31"/>
      <c r="E750" s="31"/>
      <c r="F750" s="31"/>
      <c r="G750" s="31"/>
    </row>
    <row r="751">
      <c r="B751" s="31"/>
      <c r="C751" s="31"/>
      <c r="D751" s="31"/>
      <c r="E751" s="31"/>
      <c r="F751" s="31"/>
      <c r="G751" s="31"/>
    </row>
    <row r="752">
      <c r="B752" s="31"/>
      <c r="C752" s="31"/>
      <c r="D752" s="31"/>
      <c r="E752" s="31"/>
      <c r="F752" s="31"/>
      <c r="G752" s="31"/>
    </row>
    <row r="753">
      <c r="B753" s="31"/>
      <c r="C753" s="31"/>
      <c r="D753" s="31"/>
      <c r="E753" s="31"/>
      <c r="F753" s="31"/>
      <c r="G753" s="31"/>
    </row>
    <row r="754">
      <c r="B754" s="31"/>
      <c r="C754" s="31"/>
      <c r="D754" s="31"/>
      <c r="E754" s="31"/>
      <c r="F754" s="31"/>
      <c r="G754" s="31"/>
    </row>
    <row r="755">
      <c r="B755" s="31"/>
      <c r="C755" s="31"/>
      <c r="D755" s="31"/>
      <c r="E755" s="31"/>
      <c r="F755" s="31"/>
      <c r="G755" s="31"/>
    </row>
    <row r="756">
      <c r="B756" s="31"/>
      <c r="C756" s="31"/>
      <c r="D756" s="31"/>
      <c r="E756" s="31"/>
      <c r="F756" s="31"/>
      <c r="G756" s="31"/>
    </row>
    <row r="757">
      <c r="B757" s="31"/>
      <c r="C757" s="31"/>
      <c r="D757" s="31"/>
      <c r="E757" s="31"/>
      <c r="F757" s="31"/>
      <c r="G757" s="31"/>
    </row>
    <row r="758">
      <c r="B758" s="31"/>
      <c r="C758" s="31"/>
      <c r="D758" s="31"/>
      <c r="E758" s="31"/>
      <c r="F758" s="31"/>
      <c r="G758" s="31"/>
    </row>
    <row r="759">
      <c r="B759" s="31"/>
      <c r="C759" s="31"/>
      <c r="D759" s="31"/>
      <c r="E759" s="31"/>
      <c r="F759" s="31"/>
      <c r="G759" s="31"/>
    </row>
    <row r="760">
      <c r="B760" s="31"/>
      <c r="C760" s="31"/>
      <c r="D760" s="31"/>
      <c r="E760" s="31"/>
      <c r="F760" s="31"/>
      <c r="G760" s="31"/>
    </row>
    <row r="761">
      <c r="B761" s="31"/>
      <c r="C761" s="31"/>
      <c r="D761" s="31"/>
      <c r="E761" s="31"/>
      <c r="F761" s="31"/>
      <c r="G761" s="31"/>
    </row>
    <row r="762">
      <c r="B762" s="31"/>
      <c r="C762" s="31"/>
      <c r="D762" s="31"/>
      <c r="E762" s="31"/>
      <c r="F762" s="31"/>
      <c r="G762" s="31"/>
    </row>
    <row r="763">
      <c r="B763" s="31"/>
      <c r="C763" s="31"/>
      <c r="D763" s="31"/>
      <c r="E763" s="31"/>
      <c r="F763" s="31"/>
      <c r="G763" s="31"/>
    </row>
    <row r="764">
      <c r="B764" s="31"/>
      <c r="C764" s="31"/>
      <c r="D764" s="31"/>
      <c r="E764" s="31"/>
      <c r="F764" s="31"/>
      <c r="G764" s="31"/>
    </row>
    <row r="765">
      <c r="B765" s="31"/>
      <c r="C765" s="31"/>
      <c r="D765" s="31"/>
      <c r="E765" s="31"/>
      <c r="F765" s="31"/>
      <c r="G765" s="31"/>
    </row>
    <row r="766">
      <c r="B766" s="31"/>
      <c r="C766" s="31"/>
      <c r="D766" s="31"/>
      <c r="E766" s="31"/>
      <c r="F766" s="31"/>
      <c r="G766" s="31"/>
    </row>
    <row r="767">
      <c r="B767" s="31"/>
      <c r="C767" s="31"/>
      <c r="D767" s="31"/>
      <c r="E767" s="31"/>
      <c r="F767" s="31"/>
      <c r="G767" s="31"/>
    </row>
    <row r="768">
      <c r="B768" s="31"/>
      <c r="C768" s="31"/>
      <c r="D768" s="31"/>
      <c r="E768" s="31"/>
      <c r="F768" s="31"/>
      <c r="G768" s="31"/>
    </row>
    <row r="769">
      <c r="B769" s="31"/>
      <c r="C769" s="31"/>
      <c r="D769" s="31"/>
      <c r="E769" s="31"/>
      <c r="F769" s="31"/>
      <c r="G769" s="31"/>
    </row>
    <row r="770">
      <c r="B770" s="31"/>
      <c r="C770" s="31"/>
      <c r="D770" s="31"/>
      <c r="E770" s="31"/>
      <c r="F770" s="31"/>
      <c r="G770" s="31"/>
    </row>
    <row r="771">
      <c r="B771" s="31"/>
      <c r="C771" s="31"/>
      <c r="D771" s="31"/>
      <c r="E771" s="31"/>
      <c r="F771" s="31"/>
      <c r="G771" s="31"/>
    </row>
    <row r="772">
      <c r="B772" s="31"/>
      <c r="C772" s="31"/>
      <c r="D772" s="31"/>
      <c r="E772" s="31"/>
      <c r="F772" s="31"/>
      <c r="G772" s="31"/>
    </row>
    <row r="773">
      <c r="B773" s="31"/>
      <c r="C773" s="31"/>
      <c r="D773" s="31"/>
      <c r="E773" s="31"/>
      <c r="F773" s="31"/>
      <c r="G773" s="31"/>
    </row>
    <row r="774">
      <c r="B774" s="31"/>
      <c r="C774" s="31"/>
      <c r="D774" s="31"/>
      <c r="E774" s="31"/>
      <c r="F774" s="31"/>
      <c r="G774" s="31"/>
    </row>
    <row r="775">
      <c r="B775" s="31"/>
      <c r="C775" s="31"/>
      <c r="D775" s="31"/>
      <c r="E775" s="31"/>
      <c r="F775" s="31"/>
      <c r="G775" s="31"/>
    </row>
    <row r="776">
      <c r="B776" s="31"/>
      <c r="C776" s="31"/>
      <c r="D776" s="31"/>
      <c r="E776" s="31"/>
      <c r="F776" s="31"/>
      <c r="G776" s="31"/>
    </row>
    <row r="777">
      <c r="B777" s="31"/>
      <c r="C777" s="31"/>
      <c r="D777" s="31"/>
      <c r="E777" s="31"/>
      <c r="F777" s="31"/>
      <c r="G777" s="31"/>
    </row>
    <row r="778">
      <c r="B778" s="31"/>
      <c r="C778" s="31"/>
      <c r="D778" s="31"/>
      <c r="E778" s="31"/>
      <c r="F778" s="31"/>
      <c r="G778" s="31"/>
    </row>
    <row r="779">
      <c r="B779" s="31"/>
      <c r="C779" s="31"/>
      <c r="D779" s="31"/>
      <c r="E779" s="31"/>
      <c r="F779" s="31"/>
      <c r="G779" s="31"/>
    </row>
    <row r="780">
      <c r="B780" s="31"/>
      <c r="C780" s="31"/>
      <c r="D780" s="31"/>
      <c r="E780" s="31"/>
      <c r="F780" s="31"/>
      <c r="G780" s="31"/>
    </row>
    <row r="781">
      <c r="B781" s="31"/>
      <c r="C781" s="31"/>
      <c r="D781" s="31"/>
      <c r="E781" s="31"/>
      <c r="F781" s="31"/>
      <c r="G781" s="31"/>
    </row>
    <row r="782">
      <c r="B782" s="31"/>
      <c r="C782" s="31"/>
      <c r="D782" s="31"/>
      <c r="E782" s="31"/>
      <c r="F782" s="31"/>
      <c r="G782" s="31"/>
    </row>
    <row r="783">
      <c r="B783" s="31"/>
      <c r="C783" s="31"/>
      <c r="D783" s="31"/>
      <c r="E783" s="31"/>
      <c r="F783" s="31"/>
      <c r="G783" s="31"/>
    </row>
    <row r="784">
      <c r="B784" s="31"/>
      <c r="C784" s="31"/>
      <c r="D784" s="31"/>
      <c r="E784" s="31"/>
      <c r="F784" s="31"/>
      <c r="G784" s="31"/>
    </row>
    <row r="785">
      <c r="B785" s="31"/>
      <c r="C785" s="31"/>
      <c r="D785" s="31"/>
      <c r="E785" s="31"/>
      <c r="F785" s="31"/>
      <c r="G785" s="31"/>
    </row>
    <row r="786">
      <c r="B786" s="31"/>
      <c r="C786" s="31"/>
      <c r="D786" s="31"/>
      <c r="E786" s="31"/>
      <c r="F786" s="31"/>
      <c r="G786" s="31"/>
    </row>
    <row r="787">
      <c r="B787" s="31"/>
      <c r="C787" s="31"/>
      <c r="D787" s="31"/>
      <c r="E787" s="31"/>
      <c r="F787" s="31"/>
      <c r="G787" s="31"/>
    </row>
    <row r="788">
      <c r="B788" s="31"/>
      <c r="C788" s="31"/>
      <c r="D788" s="31"/>
      <c r="E788" s="31"/>
      <c r="F788" s="31"/>
      <c r="G788" s="31"/>
    </row>
    <row r="789">
      <c r="B789" s="31"/>
      <c r="C789" s="31"/>
      <c r="D789" s="31"/>
      <c r="E789" s="31"/>
      <c r="F789" s="31"/>
      <c r="G789" s="31"/>
    </row>
    <row r="790">
      <c r="B790" s="31"/>
      <c r="C790" s="31"/>
      <c r="D790" s="31"/>
      <c r="E790" s="31"/>
      <c r="F790" s="31"/>
      <c r="G790" s="31"/>
    </row>
    <row r="791">
      <c r="B791" s="31"/>
      <c r="C791" s="31"/>
      <c r="D791" s="31"/>
      <c r="E791" s="31"/>
      <c r="F791" s="31"/>
      <c r="G791" s="31"/>
    </row>
    <row r="792">
      <c r="B792" s="31"/>
      <c r="C792" s="31"/>
      <c r="D792" s="31"/>
      <c r="E792" s="31"/>
      <c r="F792" s="31"/>
      <c r="G792" s="31"/>
    </row>
    <row r="793">
      <c r="B793" s="31"/>
      <c r="C793" s="31"/>
      <c r="D793" s="31"/>
      <c r="E793" s="31"/>
      <c r="F793" s="31"/>
      <c r="G793" s="31"/>
    </row>
    <row r="794">
      <c r="B794" s="31"/>
      <c r="C794" s="31"/>
      <c r="D794" s="31"/>
      <c r="E794" s="31"/>
      <c r="F794" s="31"/>
      <c r="G794" s="31"/>
    </row>
    <row r="795">
      <c r="B795" s="31"/>
      <c r="C795" s="31"/>
      <c r="D795" s="31"/>
      <c r="E795" s="31"/>
      <c r="F795" s="31"/>
      <c r="G795" s="31"/>
    </row>
    <row r="796">
      <c r="B796" s="31"/>
      <c r="C796" s="31"/>
      <c r="D796" s="31"/>
      <c r="E796" s="31"/>
      <c r="F796" s="31"/>
      <c r="G796" s="31"/>
    </row>
    <row r="797">
      <c r="B797" s="31"/>
      <c r="C797" s="31"/>
      <c r="D797" s="31"/>
      <c r="E797" s="31"/>
      <c r="F797" s="31"/>
      <c r="G797" s="31"/>
    </row>
    <row r="798">
      <c r="B798" s="31"/>
      <c r="C798" s="31"/>
      <c r="D798" s="31"/>
      <c r="E798" s="31"/>
      <c r="F798" s="31"/>
      <c r="G798" s="31"/>
    </row>
    <row r="799">
      <c r="B799" s="31"/>
      <c r="C799" s="31"/>
      <c r="D799" s="31"/>
      <c r="E799" s="31"/>
      <c r="F799" s="31"/>
      <c r="G799" s="31"/>
    </row>
    <row r="800">
      <c r="B800" s="31"/>
      <c r="C800" s="31"/>
      <c r="D800" s="31"/>
      <c r="E800" s="31"/>
      <c r="F800" s="31"/>
      <c r="G800" s="31"/>
    </row>
    <row r="801">
      <c r="B801" s="31"/>
      <c r="C801" s="31"/>
      <c r="D801" s="31"/>
      <c r="E801" s="31"/>
      <c r="F801" s="31"/>
      <c r="G801" s="31"/>
    </row>
    <row r="802">
      <c r="B802" s="31"/>
      <c r="C802" s="31"/>
      <c r="D802" s="31"/>
      <c r="E802" s="31"/>
      <c r="F802" s="31"/>
      <c r="G802" s="31"/>
    </row>
    <row r="803">
      <c r="B803" s="31"/>
      <c r="C803" s="31"/>
      <c r="D803" s="31"/>
      <c r="E803" s="31"/>
      <c r="F803" s="31"/>
      <c r="G803" s="31"/>
    </row>
    <row r="804">
      <c r="B804" s="31"/>
      <c r="C804" s="31"/>
      <c r="D804" s="31"/>
      <c r="E804" s="31"/>
      <c r="F804" s="31"/>
      <c r="G804" s="31"/>
    </row>
    <row r="805">
      <c r="B805" s="31"/>
      <c r="C805" s="31"/>
      <c r="D805" s="31"/>
      <c r="E805" s="31"/>
      <c r="F805" s="31"/>
      <c r="G805" s="31"/>
    </row>
    <row r="806">
      <c r="B806" s="31"/>
      <c r="C806" s="31"/>
      <c r="D806" s="31"/>
      <c r="E806" s="31"/>
      <c r="F806" s="31"/>
      <c r="G806" s="31"/>
    </row>
    <row r="807">
      <c r="B807" s="31"/>
      <c r="C807" s="31"/>
      <c r="D807" s="31"/>
      <c r="E807" s="31"/>
      <c r="F807" s="31"/>
      <c r="G807" s="31"/>
    </row>
    <row r="808">
      <c r="B808" s="31"/>
      <c r="C808" s="31"/>
      <c r="D808" s="31"/>
      <c r="E808" s="31"/>
      <c r="F808" s="31"/>
      <c r="G808" s="31"/>
    </row>
    <row r="809">
      <c r="B809" s="31"/>
      <c r="C809" s="31"/>
      <c r="D809" s="31"/>
      <c r="E809" s="31"/>
      <c r="F809" s="31"/>
      <c r="G809" s="31"/>
    </row>
    <row r="810">
      <c r="B810" s="31"/>
      <c r="C810" s="31"/>
      <c r="D810" s="31"/>
      <c r="E810" s="31"/>
      <c r="F810" s="31"/>
      <c r="G810" s="31"/>
    </row>
    <row r="811">
      <c r="B811" s="31"/>
      <c r="C811" s="31"/>
      <c r="D811" s="31"/>
      <c r="E811" s="31"/>
      <c r="F811" s="31"/>
      <c r="G811" s="31"/>
    </row>
    <row r="812">
      <c r="B812" s="31"/>
      <c r="C812" s="31"/>
      <c r="D812" s="31"/>
      <c r="E812" s="31"/>
      <c r="F812" s="31"/>
      <c r="G812" s="31"/>
    </row>
    <row r="813">
      <c r="B813" s="31"/>
      <c r="C813" s="31"/>
      <c r="D813" s="31"/>
      <c r="E813" s="31"/>
      <c r="F813" s="31"/>
      <c r="G813" s="31"/>
    </row>
    <row r="814">
      <c r="B814" s="31"/>
      <c r="C814" s="31"/>
      <c r="D814" s="31"/>
      <c r="E814" s="31"/>
      <c r="F814" s="31"/>
      <c r="G814" s="31"/>
    </row>
    <row r="815">
      <c r="B815" s="31"/>
      <c r="C815" s="31"/>
      <c r="D815" s="31"/>
      <c r="E815" s="31"/>
      <c r="F815" s="31"/>
      <c r="G815" s="31"/>
    </row>
    <row r="816">
      <c r="B816" s="31"/>
      <c r="C816" s="31"/>
      <c r="D816" s="31"/>
      <c r="E816" s="31"/>
      <c r="F816" s="31"/>
      <c r="G816" s="31"/>
    </row>
    <row r="817">
      <c r="B817" s="31"/>
      <c r="C817" s="31"/>
      <c r="D817" s="31"/>
      <c r="E817" s="31"/>
      <c r="F817" s="31"/>
      <c r="G817" s="31"/>
    </row>
    <row r="818">
      <c r="B818" s="31"/>
      <c r="C818" s="31"/>
      <c r="D818" s="31"/>
      <c r="E818" s="31"/>
      <c r="F818" s="31"/>
      <c r="G818" s="31"/>
    </row>
    <row r="819">
      <c r="B819" s="31"/>
      <c r="C819" s="31"/>
      <c r="D819" s="31"/>
      <c r="E819" s="31"/>
      <c r="F819" s="31"/>
      <c r="G819" s="31"/>
    </row>
    <row r="820">
      <c r="B820" s="31"/>
      <c r="C820" s="31"/>
      <c r="D820" s="31"/>
      <c r="E820" s="31"/>
      <c r="F820" s="31"/>
      <c r="G820" s="31"/>
    </row>
    <row r="821">
      <c r="B821" s="31"/>
      <c r="C821" s="31"/>
      <c r="D821" s="31"/>
      <c r="E821" s="31"/>
      <c r="F821" s="31"/>
      <c r="G821" s="31"/>
    </row>
    <row r="822">
      <c r="B822" s="31"/>
      <c r="C822" s="31"/>
      <c r="D822" s="31"/>
      <c r="E822" s="31"/>
      <c r="F822" s="31"/>
      <c r="G822" s="31"/>
    </row>
    <row r="823">
      <c r="B823" s="31"/>
      <c r="C823" s="31"/>
      <c r="D823" s="31"/>
      <c r="E823" s="31"/>
      <c r="F823" s="31"/>
      <c r="G823" s="31"/>
    </row>
    <row r="824">
      <c r="B824" s="31"/>
      <c r="C824" s="31"/>
      <c r="D824" s="31"/>
      <c r="E824" s="31"/>
      <c r="F824" s="31"/>
      <c r="G824" s="31"/>
    </row>
    <row r="825">
      <c r="B825" s="31"/>
      <c r="C825" s="31"/>
      <c r="D825" s="31"/>
      <c r="E825" s="31"/>
      <c r="F825" s="31"/>
      <c r="G825" s="31"/>
    </row>
    <row r="826">
      <c r="B826" s="31"/>
      <c r="C826" s="31"/>
      <c r="D826" s="31"/>
      <c r="E826" s="31"/>
      <c r="F826" s="31"/>
      <c r="G826" s="31"/>
    </row>
    <row r="827">
      <c r="B827" s="31"/>
      <c r="C827" s="31"/>
      <c r="D827" s="31"/>
      <c r="E827" s="31"/>
      <c r="F827" s="31"/>
      <c r="G827" s="31"/>
    </row>
    <row r="828">
      <c r="B828" s="31"/>
      <c r="C828" s="31"/>
      <c r="D828" s="31"/>
      <c r="E828" s="31"/>
      <c r="F828" s="31"/>
      <c r="G828" s="31"/>
    </row>
    <row r="829">
      <c r="B829" s="31"/>
      <c r="C829" s="31"/>
      <c r="D829" s="31"/>
      <c r="E829" s="31"/>
      <c r="F829" s="31"/>
      <c r="G829" s="31"/>
    </row>
    <row r="830">
      <c r="B830" s="31"/>
      <c r="C830" s="31"/>
      <c r="D830" s="31"/>
      <c r="E830" s="31"/>
      <c r="F830" s="31"/>
      <c r="G830" s="31"/>
    </row>
    <row r="831">
      <c r="B831" s="31"/>
      <c r="C831" s="31"/>
      <c r="D831" s="31"/>
      <c r="E831" s="31"/>
      <c r="F831" s="31"/>
      <c r="G831" s="31"/>
    </row>
    <row r="832">
      <c r="B832" s="31"/>
      <c r="C832" s="31"/>
      <c r="D832" s="31"/>
      <c r="E832" s="31"/>
      <c r="F832" s="31"/>
      <c r="G832" s="31"/>
    </row>
    <row r="833">
      <c r="B833" s="31"/>
      <c r="C833" s="31"/>
      <c r="D833" s="31"/>
      <c r="E833" s="31"/>
      <c r="F833" s="31"/>
      <c r="G833" s="31"/>
    </row>
    <row r="834">
      <c r="B834" s="31"/>
      <c r="C834" s="31"/>
      <c r="D834" s="31"/>
      <c r="E834" s="31"/>
      <c r="F834" s="31"/>
      <c r="G834" s="31"/>
    </row>
    <row r="835">
      <c r="B835" s="31"/>
      <c r="C835" s="31"/>
      <c r="D835" s="31"/>
      <c r="E835" s="31"/>
      <c r="F835" s="31"/>
      <c r="G835" s="31"/>
    </row>
    <row r="836">
      <c r="B836" s="31"/>
      <c r="C836" s="31"/>
      <c r="D836" s="31"/>
      <c r="E836" s="31"/>
      <c r="F836" s="31"/>
      <c r="G836" s="31"/>
    </row>
    <row r="837">
      <c r="B837" s="31"/>
      <c r="C837" s="31"/>
      <c r="D837" s="31"/>
      <c r="E837" s="31"/>
      <c r="F837" s="31"/>
      <c r="G837" s="31"/>
    </row>
    <row r="838">
      <c r="B838" s="31"/>
      <c r="C838" s="31"/>
      <c r="D838" s="31"/>
      <c r="E838" s="31"/>
      <c r="F838" s="31"/>
      <c r="G838" s="31"/>
    </row>
    <row r="839">
      <c r="B839" s="31"/>
      <c r="C839" s="31"/>
      <c r="D839" s="31"/>
      <c r="E839" s="31"/>
      <c r="F839" s="31"/>
      <c r="G839" s="31"/>
    </row>
    <row r="840">
      <c r="B840" s="31"/>
      <c r="C840" s="31"/>
      <c r="D840" s="31"/>
      <c r="E840" s="31"/>
      <c r="F840" s="31"/>
      <c r="G840" s="31"/>
    </row>
    <row r="841">
      <c r="B841" s="31"/>
      <c r="C841" s="31"/>
      <c r="D841" s="31"/>
      <c r="E841" s="31"/>
      <c r="F841" s="31"/>
      <c r="G841" s="31"/>
    </row>
    <row r="842">
      <c r="B842" s="31"/>
      <c r="C842" s="31"/>
      <c r="D842" s="31"/>
      <c r="E842" s="31"/>
      <c r="F842" s="31"/>
      <c r="G842" s="31"/>
    </row>
    <row r="843">
      <c r="B843" s="31"/>
      <c r="C843" s="31"/>
      <c r="D843" s="31"/>
      <c r="E843" s="31"/>
      <c r="F843" s="31"/>
      <c r="G843" s="31"/>
    </row>
    <row r="844">
      <c r="B844" s="31"/>
      <c r="C844" s="31"/>
      <c r="D844" s="31"/>
      <c r="E844" s="31"/>
      <c r="F844" s="31"/>
      <c r="G844" s="31"/>
    </row>
    <row r="845">
      <c r="B845" s="31"/>
      <c r="C845" s="31"/>
      <c r="D845" s="31"/>
      <c r="E845" s="31"/>
      <c r="F845" s="31"/>
      <c r="G845" s="31"/>
    </row>
    <row r="846">
      <c r="B846" s="31"/>
      <c r="C846" s="31"/>
      <c r="D846" s="31"/>
      <c r="E846" s="31"/>
      <c r="F846" s="31"/>
      <c r="G846" s="31"/>
    </row>
    <row r="847">
      <c r="B847" s="31"/>
      <c r="C847" s="31"/>
      <c r="D847" s="31"/>
      <c r="E847" s="31"/>
      <c r="F847" s="31"/>
      <c r="G847" s="31"/>
    </row>
    <row r="848">
      <c r="B848" s="31"/>
      <c r="C848" s="31"/>
      <c r="D848" s="31"/>
      <c r="E848" s="31"/>
      <c r="F848" s="31"/>
      <c r="G848" s="31"/>
    </row>
    <row r="849">
      <c r="B849" s="31"/>
      <c r="C849" s="31"/>
      <c r="D849" s="31"/>
      <c r="E849" s="31"/>
      <c r="F849" s="31"/>
      <c r="G849" s="31"/>
    </row>
    <row r="850">
      <c r="B850" s="31"/>
      <c r="C850" s="31"/>
      <c r="D850" s="31"/>
      <c r="E850" s="31"/>
      <c r="F850" s="31"/>
      <c r="G850" s="31"/>
    </row>
    <row r="851">
      <c r="B851" s="31"/>
      <c r="C851" s="31"/>
      <c r="D851" s="31"/>
      <c r="E851" s="31"/>
      <c r="F851" s="31"/>
      <c r="G851" s="31"/>
    </row>
    <row r="852">
      <c r="B852" s="31"/>
      <c r="C852" s="31"/>
      <c r="D852" s="31"/>
      <c r="E852" s="31"/>
      <c r="F852" s="31"/>
      <c r="G852" s="31"/>
    </row>
    <row r="853">
      <c r="B853" s="31"/>
      <c r="C853" s="31"/>
      <c r="D853" s="31"/>
      <c r="E853" s="31"/>
      <c r="F853" s="31"/>
      <c r="G853" s="31"/>
    </row>
    <row r="854">
      <c r="B854" s="31"/>
      <c r="C854" s="31"/>
      <c r="D854" s="31"/>
      <c r="E854" s="31"/>
      <c r="F854" s="31"/>
      <c r="G854" s="31"/>
    </row>
    <row r="855">
      <c r="B855" s="31"/>
      <c r="C855" s="31"/>
      <c r="D855" s="31"/>
      <c r="E855" s="31"/>
      <c r="F855" s="31"/>
      <c r="G855" s="31"/>
    </row>
    <row r="856">
      <c r="B856" s="31"/>
      <c r="C856" s="31"/>
      <c r="D856" s="31"/>
      <c r="E856" s="31"/>
      <c r="F856" s="31"/>
      <c r="G856" s="31"/>
    </row>
    <row r="857">
      <c r="B857" s="31"/>
      <c r="C857" s="31"/>
      <c r="D857" s="31"/>
      <c r="E857" s="31"/>
      <c r="F857" s="31"/>
      <c r="G857" s="31"/>
    </row>
    <row r="858">
      <c r="B858" s="31"/>
      <c r="C858" s="31"/>
      <c r="D858" s="31"/>
      <c r="E858" s="31"/>
      <c r="F858" s="31"/>
      <c r="G858" s="31"/>
    </row>
    <row r="859">
      <c r="B859" s="31"/>
      <c r="C859" s="31"/>
      <c r="D859" s="31"/>
      <c r="E859" s="31"/>
      <c r="F859" s="31"/>
      <c r="G859" s="31"/>
    </row>
    <row r="860">
      <c r="B860" s="31"/>
      <c r="C860" s="31"/>
      <c r="D860" s="31"/>
      <c r="E860" s="31"/>
      <c r="F860" s="31"/>
      <c r="G860" s="31"/>
    </row>
    <row r="861">
      <c r="B861" s="31"/>
      <c r="C861" s="31"/>
      <c r="D861" s="31"/>
      <c r="E861" s="31"/>
      <c r="F861" s="31"/>
      <c r="G861" s="31"/>
    </row>
    <row r="862">
      <c r="B862" s="31"/>
      <c r="C862" s="31"/>
      <c r="D862" s="31"/>
      <c r="E862" s="31"/>
      <c r="F862" s="31"/>
      <c r="G862" s="31"/>
    </row>
    <row r="863">
      <c r="B863" s="31"/>
      <c r="C863" s="31"/>
      <c r="D863" s="31"/>
      <c r="E863" s="31"/>
      <c r="F863" s="31"/>
      <c r="G863" s="31"/>
    </row>
    <row r="864">
      <c r="B864" s="31"/>
      <c r="C864" s="31"/>
      <c r="D864" s="31"/>
      <c r="E864" s="31"/>
      <c r="F864" s="31"/>
      <c r="G864" s="31"/>
    </row>
    <row r="865">
      <c r="B865" s="31"/>
      <c r="C865" s="31"/>
      <c r="D865" s="31"/>
      <c r="E865" s="31"/>
      <c r="F865" s="31"/>
      <c r="G865" s="31"/>
    </row>
    <row r="866">
      <c r="B866" s="31"/>
      <c r="C866" s="31"/>
      <c r="D866" s="31"/>
      <c r="E866" s="31"/>
      <c r="F866" s="31"/>
      <c r="G866" s="31"/>
    </row>
    <row r="867">
      <c r="B867" s="31"/>
      <c r="C867" s="31"/>
      <c r="D867" s="31"/>
      <c r="E867" s="31"/>
      <c r="F867" s="31"/>
      <c r="G867" s="31"/>
    </row>
    <row r="868">
      <c r="B868" s="31"/>
      <c r="C868" s="31"/>
      <c r="D868" s="31"/>
      <c r="E868" s="31"/>
      <c r="F868" s="31"/>
      <c r="G868" s="31"/>
    </row>
    <row r="869">
      <c r="B869" s="31"/>
      <c r="C869" s="31"/>
      <c r="D869" s="31"/>
      <c r="E869" s="31"/>
      <c r="F869" s="31"/>
      <c r="G869" s="31"/>
    </row>
    <row r="870">
      <c r="B870" s="31"/>
      <c r="C870" s="31"/>
      <c r="D870" s="31"/>
      <c r="E870" s="31"/>
      <c r="F870" s="31"/>
      <c r="G870" s="31"/>
    </row>
    <row r="871">
      <c r="B871" s="31"/>
      <c r="C871" s="31"/>
      <c r="D871" s="31"/>
      <c r="E871" s="31"/>
      <c r="F871" s="31"/>
      <c r="G871" s="31"/>
    </row>
    <row r="872">
      <c r="B872" s="31"/>
      <c r="C872" s="31"/>
      <c r="D872" s="31"/>
      <c r="E872" s="31"/>
      <c r="F872" s="31"/>
      <c r="G872" s="31"/>
    </row>
    <row r="873">
      <c r="B873" s="31"/>
      <c r="C873" s="31"/>
      <c r="D873" s="31"/>
      <c r="E873" s="31"/>
      <c r="F873" s="31"/>
      <c r="G873" s="31"/>
    </row>
    <row r="874">
      <c r="B874" s="31"/>
      <c r="C874" s="31"/>
      <c r="D874" s="31"/>
      <c r="E874" s="31"/>
      <c r="F874" s="31"/>
      <c r="G874" s="31"/>
    </row>
    <row r="875">
      <c r="B875" s="31"/>
      <c r="C875" s="31"/>
      <c r="D875" s="31"/>
      <c r="E875" s="31"/>
      <c r="F875" s="31"/>
      <c r="G875" s="31"/>
    </row>
    <row r="876">
      <c r="B876" s="31"/>
      <c r="C876" s="31"/>
      <c r="D876" s="31"/>
      <c r="E876" s="31"/>
      <c r="F876" s="31"/>
      <c r="G876" s="31"/>
    </row>
    <row r="877">
      <c r="B877" s="31"/>
      <c r="C877" s="31"/>
      <c r="D877" s="31"/>
      <c r="E877" s="31"/>
      <c r="F877" s="31"/>
      <c r="G877" s="31"/>
    </row>
    <row r="878">
      <c r="B878" s="31"/>
      <c r="C878" s="31"/>
      <c r="D878" s="31"/>
      <c r="E878" s="31"/>
      <c r="F878" s="31"/>
      <c r="G878" s="31"/>
    </row>
    <row r="879">
      <c r="B879" s="31"/>
      <c r="C879" s="31"/>
      <c r="D879" s="31"/>
      <c r="E879" s="31"/>
      <c r="F879" s="31"/>
      <c r="G879" s="31"/>
    </row>
    <row r="880">
      <c r="B880" s="31"/>
      <c r="C880" s="31"/>
      <c r="D880" s="31"/>
      <c r="E880" s="31"/>
      <c r="F880" s="31"/>
      <c r="G880" s="31"/>
    </row>
    <row r="881">
      <c r="B881" s="31"/>
      <c r="C881" s="31"/>
      <c r="D881" s="31"/>
      <c r="E881" s="31"/>
      <c r="F881" s="31"/>
      <c r="G881" s="31"/>
    </row>
    <row r="882">
      <c r="B882" s="31"/>
      <c r="C882" s="31"/>
      <c r="D882" s="31"/>
      <c r="E882" s="31"/>
      <c r="F882" s="31"/>
      <c r="G882" s="31"/>
    </row>
    <row r="883">
      <c r="B883" s="31"/>
      <c r="C883" s="31"/>
      <c r="D883" s="31"/>
      <c r="E883" s="31"/>
      <c r="F883" s="31"/>
      <c r="G883" s="31"/>
    </row>
    <row r="884">
      <c r="B884" s="31"/>
      <c r="C884" s="31"/>
      <c r="D884" s="31"/>
      <c r="E884" s="31"/>
      <c r="F884" s="31"/>
      <c r="G884" s="31"/>
    </row>
    <row r="885">
      <c r="B885" s="31"/>
      <c r="C885" s="31"/>
      <c r="D885" s="31"/>
      <c r="E885" s="31"/>
      <c r="F885" s="31"/>
      <c r="G885" s="31"/>
    </row>
    <row r="886">
      <c r="B886" s="31"/>
      <c r="C886" s="31"/>
      <c r="D886" s="31"/>
      <c r="E886" s="31"/>
      <c r="F886" s="31"/>
      <c r="G886" s="31"/>
    </row>
    <row r="887">
      <c r="B887" s="31"/>
      <c r="C887" s="31"/>
      <c r="D887" s="31"/>
      <c r="E887" s="31"/>
      <c r="F887" s="31"/>
      <c r="G887" s="31"/>
    </row>
    <row r="888">
      <c r="B888" s="31"/>
      <c r="C888" s="31"/>
      <c r="D888" s="31"/>
      <c r="E888" s="31"/>
      <c r="F888" s="31"/>
      <c r="G888" s="31"/>
    </row>
    <row r="889">
      <c r="B889" s="31"/>
      <c r="C889" s="31"/>
      <c r="D889" s="31"/>
      <c r="E889" s="31"/>
      <c r="F889" s="31"/>
      <c r="G889" s="31"/>
    </row>
    <row r="890">
      <c r="B890" s="31"/>
      <c r="C890" s="31"/>
      <c r="D890" s="31"/>
      <c r="E890" s="31"/>
      <c r="F890" s="31"/>
      <c r="G890" s="31"/>
    </row>
    <row r="891">
      <c r="B891" s="31"/>
      <c r="C891" s="31"/>
      <c r="D891" s="31"/>
      <c r="E891" s="31"/>
      <c r="F891" s="31"/>
      <c r="G891" s="31"/>
    </row>
    <row r="892">
      <c r="B892" s="31"/>
      <c r="C892" s="31"/>
      <c r="D892" s="31"/>
      <c r="E892" s="31"/>
      <c r="F892" s="31"/>
      <c r="G892" s="31"/>
    </row>
    <row r="893">
      <c r="B893" s="31"/>
      <c r="C893" s="31"/>
      <c r="D893" s="31"/>
      <c r="E893" s="31"/>
      <c r="F893" s="31"/>
      <c r="G893" s="31"/>
    </row>
    <row r="894">
      <c r="B894" s="31"/>
      <c r="C894" s="31"/>
      <c r="D894" s="31"/>
      <c r="E894" s="31"/>
      <c r="F894" s="31"/>
      <c r="G894" s="31"/>
    </row>
    <row r="895">
      <c r="B895" s="31"/>
      <c r="C895" s="31"/>
      <c r="D895" s="31"/>
      <c r="E895" s="31"/>
      <c r="F895" s="31"/>
      <c r="G895" s="31"/>
    </row>
    <row r="896">
      <c r="B896" s="31"/>
      <c r="C896" s="31"/>
      <c r="D896" s="31"/>
      <c r="E896" s="31"/>
      <c r="F896" s="31"/>
      <c r="G896" s="31"/>
    </row>
    <row r="897">
      <c r="B897" s="31"/>
      <c r="C897" s="31"/>
      <c r="D897" s="31"/>
      <c r="E897" s="31"/>
      <c r="F897" s="31"/>
      <c r="G897" s="31"/>
    </row>
    <row r="898">
      <c r="B898" s="31"/>
      <c r="C898" s="31"/>
      <c r="D898" s="31"/>
      <c r="E898" s="31"/>
      <c r="F898" s="31"/>
      <c r="G898" s="31"/>
    </row>
    <row r="899">
      <c r="B899" s="31"/>
      <c r="C899" s="31"/>
      <c r="D899" s="31"/>
      <c r="E899" s="31"/>
      <c r="F899" s="31"/>
      <c r="G899" s="31"/>
    </row>
    <row r="900">
      <c r="B900" s="31"/>
      <c r="C900" s="31"/>
      <c r="D900" s="31"/>
      <c r="E900" s="31"/>
      <c r="F900" s="31"/>
      <c r="G900" s="31"/>
    </row>
    <row r="901">
      <c r="B901" s="31"/>
      <c r="C901" s="31"/>
      <c r="D901" s="31"/>
      <c r="E901" s="31"/>
      <c r="F901" s="31"/>
      <c r="G901" s="31"/>
    </row>
    <row r="902">
      <c r="B902" s="31"/>
      <c r="C902" s="31"/>
      <c r="D902" s="31"/>
      <c r="E902" s="31"/>
      <c r="F902" s="31"/>
      <c r="G902" s="31"/>
    </row>
    <row r="903">
      <c r="B903" s="31"/>
      <c r="C903" s="31"/>
      <c r="D903" s="31"/>
      <c r="E903" s="31"/>
      <c r="F903" s="31"/>
      <c r="G903" s="31"/>
    </row>
    <row r="904">
      <c r="B904" s="31"/>
      <c r="C904" s="31"/>
      <c r="D904" s="31"/>
      <c r="E904" s="31"/>
      <c r="F904" s="31"/>
      <c r="G904" s="31"/>
    </row>
    <row r="905">
      <c r="B905" s="31"/>
      <c r="C905" s="31"/>
      <c r="D905" s="31"/>
      <c r="E905" s="31"/>
      <c r="F905" s="31"/>
      <c r="G905" s="31"/>
    </row>
    <row r="906">
      <c r="B906" s="31"/>
      <c r="C906" s="31"/>
      <c r="D906" s="31"/>
      <c r="E906" s="31"/>
      <c r="F906" s="31"/>
      <c r="G906" s="31"/>
    </row>
    <row r="907">
      <c r="B907" s="31"/>
      <c r="C907" s="31"/>
      <c r="D907" s="31"/>
      <c r="E907" s="31"/>
      <c r="F907" s="31"/>
      <c r="G907" s="31"/>
    </row>
    <row r="908">
      <c r="B908" s="31"/>
      <c r="C908" s="31"/>
      <c r="D908" s="31"/>
      <c r="E908" s="31"/>
      <c r="F908" s="31"/>
      <c r="G908" s="31"/>
    </row>
    <row r="909">
      <c r="B909" s="31"/>
      <c r="C909" s="31"/>
      <c r="D909" s="31"/>
      <c r="E909" s="31"/>
      <c r="F909" s="31"/>
      <c r="G909" s="31"/>
    </row>
    <row r="910">
      <c r="B910" s="31"/>
      <c r="C910" s="31"/>
      <c r="D910" s="31"/>
      <c r="E910" s="31"/>
      <c r="F910" s="31"/>
      <c r="G910" s="31"/>
    </row>
    <row r="911">
      <c r="B911" s="31"/>
      <c r="C911" s="31"/>
      <c r="D911" s="31"/>
      <c r="E911" s="31"/>
      <c r="F911" s="31"/>
      <c r="G911" s="31"/>
    </row>
    <row r="912">
      <c r="B912" s="31"/>
      <c r="C912" s="31"/>
      <c r="D912" s="31"/>
      <c r="E912" s="31"/>
      <c r="F912" s="31"/>
      <c r="G912" s="31"/>
    </row>
    <row r="913">
      <c r="B913" s="31"/>
      <c r="C913" s="31"/>
      <c r="D913" s="31"/>
      <c r="E913" s="31"/>
      <c r="F913" s="31"/>
      <c r="G913" s="31"/>
    </row>
    <row r="914">
      <c r="B914" s="31"/>
      <c r="C914" s="31"/>
      <c r="D914" s="31"/>
      <c r="E914" s="31"/>
      <c r="F914" s="31"/>
      <c r="G914" s="31"/>
    </row>
    <row r="915">
      <c r="B915" s="31"/>
      <c r="C915" s="31"/>
      <c r="D915" s="31"/>
      <c r="E915" s="31"/>
      <c r="F915" s="31"/>
      <c r="G915" s="31"/>
    </row>
    <row r="916">
      <c r="B916" s="31"/>
      <c r="C916" s="31"/>
      <c r="D916" s="31"/>
      <c r="E916" s="31"/>
      <c r="F916" s="31"/>
      <c r="G916" s="31"/>
    </row>
    <row r="917">
      <c r="B917" s="31"/>
      <c r="C917" s="31"/>
      <c r="D917" s="31"/>
      <c r="E917" s="31"/>
      <c r="F917" s="31"/>
      <c r="G917" s="31"/>
    </row>
    <row r="918">
      <c r="B918" s="31"/>
      <c r="C918" s="31"/>
      <c r="D918" s="31"/>
      <c r="E918" s="31"/>
      <c r="F918" s="31"/>
      <c r="G918" s="31"/>
    </row>
    <row r="919">
      <c r="B919" s="31"/>
      <c r="C919" s="31"/>
      <c r="D919" s="31"/>
      <c r="E919" s="31"/>
      <c r="F919" s="31"/>
      <c r="G919" s="31"/>
    </row>
    <row r="920">
      <c r="B920" s="31"/>
      <c r="C920" s="31"/>
      <c r="D920" s="31"/>
      <c r="E920" s="31"/>
      <c r="F920" s="31"/>
      <c r="G920" s="31"/>
    </row>
    <row r="921">
      <c r="B921" s="31"/>
      <c r="C921" s="31"/>
      <c r="D921" s="31"/>
      <c r="E921" s="31"/>
      <c r="F921" s="31"/>
      <c r="G921" s="31"/>
    </row>
    <row r="922">
      <c r="B922" s="31"/>
      <c r="C922" s="31"/>
      <c r="D922" s="31"/>
      <c r="E922" s="31"/>
      <c r="F922" s="31"/>
      <c r="G922" s="31"/>
    </row>
    <row r="923">
      <c r="B923" s="31"/>
      <c r="C923" s="31"/>
      <c r="D923" s="31"/>
      <c r="E923" s="31"/>
      <c r="F923" s="31"/>
      <c r="G923" s="31"/>
    </row>
    <row r="924">
      <c r="B924" s="31"/>
      <c r="C924" s="31"/>
      <c r="D924" s="31"/>
      <c r="E924" s="31"/>
      <c r="F924" s="31"/>
      <c r="G924" s="31"/>
    </row>
    <row r="925">
      <c r="B925" s="31"/>
      <c r="C925" s="31"/>
      <c r="D925" s="31"/>
      <c r="E925" s="31"/>
      <c r="F925" s="31"/>
      <c r="G925" s="31"/>
    </row>
    <row r="926">
      <c r="B926" s="31"/>
      <c r="C926" s="31"/>
      <c r="D926" s="31"/>
      <c r="E926" s="31"/>
      <c r="F926" s="31"/>
      <c r="G926" s="31"/>
    </row>
    <row r="927">
      <c r="B927" s="31"/>
      <c r="C927" s="31"/>
      <c r="D927" s="31"/>
      <c r="E927" s="31"/>
      <c r="F927" s="31"/>
      <c r="G927" s="31"/>
    </row>
    <row r="928">
      <c r="B928" s="31"/>
      <c r="C928" s="31"/>
      <c r="D928" s="31"/>
      <c r="E928" s="31"/>
      <c r="F928" s="31"/>
      <c r="G928" s="31"/>
    </row>
    <row r="929">
      <c r="B929" s="31"/>
      <c r="C929" s="31"/>
      <c r="D929" s="31"/>
      <c r="E929" s="31"/>
      <c r="F929" s="31"/>
      <c r="G929" s="31"/>
    </row>
    <row r="930">
      <c r="B930" s="31"/>
      <c r="C930" s="31"/>
      <c r="D930" s="31"/>
      <c r="E930" s="31"/>
      <c r="F930" s="31"/>
      <c r="G930" s="31"/>
    </row>
    <row r="931">
      <c r="B931" s="31"/>
      <c r="C931" s="31"/>
      <c r="D931" s="31"/>
      <c r="E931" s="31"/>
      <c r="F931" s="31"/>
      <c r="G931" s="31"/>
    </row>
    <row r="932">
      <c r="B932" s="31"/>
      <c r="C932" s="31"/>
      <c r="D932" s="31"/>
      <c r="E932" s="31"/>
      <c r="F932" s="31"/>
      <c r="G932" s="31"/>
    </row>
    <row r="933">
      <c r="B933" s="31"/>
      <c r="C933" s="31"/>
      <c r="D933" s="31"/>
      <c r="E933" s="31"/>
      <c r="F933" s="31"/>
      <c r="G933" s="31"/>
    </row>
    <row r="934">
      <c r="B934" s="31"/>
      <c r="C934" s="31"/>
      <c r="D934" s="31"/>
      <c r="E934" s="31"/>
      <c r="F934" s="31"/>
      <c r="G934" s="31"/>
    </row>
    <row r="935">
      <c r="B935" s="31"/>
      <c r="C935" s="31"/>
      <c r="D935" s="31"/>
      <c r="E935" s="31"/>
      <c r="F935" s="31"/>
      <c r="G935" s="31"/>
    </row>
    <row r="936">
      <c r="B936" s="31"/>
      <c r="C936" s="31"/>
      <c r="D936" s="31"/>
      <c r="E936" s="31"/>
      <c r="F936" s="31"/>
      <c r="G936" s="31"/>
    </row>
    <row r="937">
      <c r="B937" s="31"/>
      <c r="C937" s="31"/>
      <c r="D937" s="31"/>
      <c r="E937" s="31"/>
      <c r="F937" s="31"/>
      <c r="G937" s="31"/>
    </row>
    <row r="938">
      <c r="B938" s="31"/>
      <c r="C938" s="31"/>
      <c r="D938" s="31"/>
      <c r="E938" s="31"/>
      <c r="F938" s="31"/>
      <c r="G938" s="31"/>
    </row>
    <row r="939">
      <c r="B939" s="31"/>
      <c r="C939" s="31"/>
      <c r="D939" s="31"/>
      <c r="E939" s="31"/>
      <c r="F939" s="31"/>
      <c r="G939" s="31"/>
    </row>
    <row r="940">
      <c r="B940" s="31"/>
      <c r="C940" s="31"/>
      <c r="D940" s="31"/>
      <c r="E940" s="31"/>
      <c r="F940" s="31"/>
      <c r="G940" s="31"/>
    </row>
    <row r="941">
      <c r="B941" s="31"/>
      <c r="C941" s="31"/>
      <c r="D941" s="31"/>
      <c r="E941" s="31"/>
      <c r="F941" s="31"/>
      <c r="G941" s="31"/>
    </row>
    <row r="942">
      <c r="B942" s="31"/>
      <c r="C942" s="31"/>
      <c r="D942" s="31"/>
      <c r="E942" s="31"/>
      <c r="F942" s="31"/>
      <c r="G942" s="31"/>
    </row>
    <row r="943">
      <c r="B943" s="31"/>
      <c r="C943" s="31"/>
      <c r="D943" s="31"/>
      <c r="E943" s="31"/>
      <c r="F943" s="31"/>
      <c r="G943" s="31"/>
    </row>
    <row r="944">
      <c r="B944" s="31"/>
      <c r="C944" s="31"/>
      <c r="D944" s="31"/>
      <c r="E944" s="31"/>
      <c r="F944" s="31"/>
      <c r="G944" s="31"/>
    </row>
    <row r="945">
      <c r="B945" s="31"/>
      <c r="C945" s="31"/>
      <c r="D945" s="31"/>
      <c r="E945" s="31"/>
      <c r="F945" s="31"/>
      <c r="G945" s="31"/>
    </row>
    <row r="946">
      <c r="B946" s="31"/>
      <c r="C946" s="31"/>
      <c r="D946" s="31"/>
      <c r="E946" s="31"/>
      <c r="F946" s="31"/>
      <c r="G946" s="31"/>
    </row>
    <row r="947">
      <c r="B947" s="31"/>
      <c r="C947" s="31"/>
      <c r="D947" s="31"/>
      <c r="E947" s="31"/>
      <c r="F947" s="31"/>
      <c r="G947" s="31"/>
    </row>
    <row r="948">
      <c r="B948" s="31"/>
      <c r="C948" s="31"/>
      <c r="D948" s="31"/>
      <c r="E948" s="31"/>
      <c r="F948" s="31"/>
      <c r="G948" s="31"/>
    </row>
    <row r="949">
      <c r="B949" s="31"/>
      <c r="C949" s="31"/>
      <c r="D949" s="31"/>
      <c r="E949" s="31"/>
      <c r="F949" s="31"/>
      <c r="G949" s="31"/>
    </row>
    <row r="950">
      <c r="B950" s="31"/>
      <c r="C950" s="31"/>
      <c r="D950" s="31"/>
      <c r="E950" s="31"/>
      <c r="F950" s="31"/>
      <c r="G950" s="31"/>
    </row>
    <row r="951">
      <c r="B951" s="31"/>
      <c r="C951" s="31"/>
      <c r="D951" s="31"/>
      <c r="E951" s="31"/>
      <c r="F951" s="31"/>
      <c r="G951" s="31"/>
    </row>
    <row r="952">
      <c r="B952" s="31"/>
      <c r="C952" s="31"/>
      <c r="D952" s="31"/>
      <c r="E952" s="31"/>
      <c r="F952" s="31"/>
      <c r="G952" s="31"/>
    </row>
    <row r="953">
      <c r="B953" s="31"/>
      <c r="C953" s="31"/>
      <c r="D953" s="31"/>
      <c r="E953" s="31"/>
      <c r="F953" s="31"/>
      <c r="G953" s="31"/>
    </row>
    <row r="954">
      <c r="B954" s="31"/>
      <c r="C954" s="31"/>
      <c r="D954" s="31"/>
      <c r="E954" s="31"/>
      <c r="F954" s="31"/>
      <c r="G954" s="31"/>
    </row>
    <row r="955">
      <c r="B955" s="31"/>
      <c r="C955" s="31"/>
      <c r="D955" s="31"/>
      <c r="E955" s="31"/>
      <c r="F955" s="31"/>
      <c r="G955" s="31"/>
    </row>
    <row r="956">
      <c r="B956" s="31"/>
      <c r="C956" s="31"/>
      <c r="D956" s="31"/>
      <c r="E956" s="31"/>
      <c r="F956" s="31"/>
      <c r="G956" s="31"/>
    </row>
    <row r="957">
      <c r="B957" s="31"/>
      <c r="C957" s="31"/>
      <c r="D957" s="31"/>
      <c r="E957" s="31"/>
      <c r="F957" s="31"/>
      <c r="G957" s="31"/>
    </row>
    <row r="958">
      <c r="B958" s="31"/>
      <c r="C958" s="31"/>
      <c r="D958" s="31"/>
      <c r="E958" s="31"/>
      <c r="F958" s="31"/>
      <c r="G958" s="31"/>
    </row>
    <row r="959">
      <c r="B959" s="31"/>
      <c r="C959" s="31"/>
      <c r="D959" s="31"/>
      <c r="E959" s="31"/>
      <c r="F959" s="31"/>
      <c r="G959" s="31"/>
    </row>
    <row r="960">
      <c r="B960" s="31"/>
      <c r="C960" s="31"/>
      <c r="D960" s="31"/>
      <c r="E960" s="31"/>
      <c r="F960" s="31"/>
      <c r="G960" s="31"/>
    </row>
    <row r="961">
      <c r="B961" s="31"/>
      <c r="C961" s="31"/>
      <c r="D961" s="31"/>
      <c r="E961" s="31"/>
      <c r="F961" s="31"/>
      <c r="G961" s="31"/>
    </row>
    <row r="962">
      <c r="B962" s="31"/>
      <c r="C962" s="31"/>
      <c r="D962" s="31"/>
      <c r="E962" s="31"/>
      <c r="F962" s="31"/>
      <c r="G962" s="31"/>
    </row>
    <row r="963">
      <c r="B963" s="31"/>
      <c r="C963" s="31"/>
      <c r="D963" s="31"/>
      <c r="E963" s="31"/>
      <c r="F963" s="31"/>
      <c r="G963" s="31"/>
    </row>
    <row r="964">
      <c r="B964" s="31"/>
      <c r="C964" s="31"/>
      <c r="D964" s="31"/>
      <c r="E964" s="31"/>
      <c r="F964" s="31"/>
      <c r="G964" s="31"/>
    </row>
    <row r="965">
      <c r="B965" s="31"/>
      <c r="C965" s="31"/>
      <c r="D965" s="31"/>
      <c r="E965" s="31"/>
      <c r="F965" s="31"/>
      <c r="G965" s="31"/>
    </row>
    <row r="966">
      <c r="B966" s="31"/>
      <c r="C966" s="31"/>
      <c r="D966" s="31"/>
      <c r="E966" s="31"/>
      <c r="F966" s="31"/>
      <c r="G966" s="31"/>
    </row>
    <row r="967">
      <c r="B967" s="31"/>
      <c r="C967" s="31"/>
      <c r="D967" s="31"/>
      <c r="E967" s="31"/>
      <c r="F967" s="31"/>
      <c r="G967" s="31"/>
    </row>
    <row r="968">
      <c r="B968" s="31"/>
      <c r="C968" s="31"/>
      <c r="D968" s="31"/>
      <c r="E968" s="31"/>
      <c r="F968" s="31"/>
      <c r="G968" s="31"/>
    </row>
    <row r="969">
      <c r="B969" s="31"/>
      <c r="C969" s="31"/>
      <c r="D969" s="31"/>
      <c r="E969" s="31"/>
      <c r="F969" s="31"/>
      <c r="G969" s="31"/>
    </row>
    <row r="970">
      <c r="B970" s="31"/>
      <c r="C970" s="31"/>
      <c r="D970" s="31"/>
      <c r="E970" s="31"/>
      <c r="F970" s="31"/>
      <c r="G970" s="31"/>
    </row>
    <row r="971">
      <c r="B971" s="31"/>
      <c r="C971" s="31"/>
      <c r="D971" s="31"/>
      <c r="E971" s="31"/>
      <c r="F971" s="31"/>
      <c r="G971" s="31"/>
    </row>
    <row r="972">
      <c r="B972" s="31"/>
      <c r="C972" s="31"/>
      <c r="D972" s="31"/>
      <c r="E972" s="31"/>
      <c r="F972" s="31"/>
      <c r="G972" s="31"/>
    </row>
    <row r="973">
      <c r="B973" s="31"/>
      <c r="C973" s="31"/>
      <c r="D973" s="31"/>
      <c r="E973" s="31"/>
      <c r="F973" s="31"/>
      <c r="G973" s="31"/>
    </row>
    <row r="974">
      <c r="B974" s="31"/>
      <c r="C974" s="31"/>
      <c r="D974" s="31"/>
      <c r="E974" s="31"/>
      <c r="F974" s="31"/>
      <c r="G974" s="31"/>
    </row>
    <row r="975">
      <c r="B975" s="31"/>
      <c r="C975" s="31"/>
      <c r="D975" s="31"/>
      <c r="E975" s="31"/>
      <c r="F975" s="31"/>
      <c r="G975" s="31"/>
    </row>
    <row r="976">
      <c r="B976" s="31"/>
      <c r="C976" s="31"/>
      <c r="D976" s="31"/>
      <c r="E976" s="31"/>
      <c r="F976" s="31"/>
      <c r="G976" s="31"/>
    </row>
    <row r="977">
      <c r="B977" s="31"/>
      <c r="C977" s="31"/>
      <c r="D977" s="31"/>
      <c r="E977" s="31"/>
      <c r="F977" s="31"/>
      <c r="G977" s="31"/>
    </row>
    <row r="978">
      <c r="B978" s="31"/>
      <c r="C978" s="31"/>
      <c r="D978" s="31"/>
      <c r="E978" s="31"/>
      <c r="F978" s="31"/>
      <c r="G978" s="31"/>
    </row>
    <row r="979">
      <c r="B979" s="31"/>
      <c r="C979" s="31"/>
      <c r="D979" s="31"/>
      <c r="E979" s="31"/>
      <c r="F979" s="31"/>
      <c r="G979" s="31"/>
    </row>
    <row r="980">
      <c r="B980" s="31"/>
      <c r="C980" s="31"/>
      <c r="D980" s="31"/>
      <c r="E980" s="31"/>
      <c r="F980" s="31"/>
      <c r="G980" s="31"/>
    </row>
    <row r="981">
      <c r="B981" s="31"/>
      <c r="C981" s="31"/>
      <c r="D981" s="31"/>
      <c r="E981" s="31"/>
      <c r="F981" s="31"/>
      <c r="G981" s="31"/>
    </row>
    <row r="982">
      <c r="B982" s="31"/>
      <c r="C982" s="31"/>
      <c r="D982" s="31"/>
      <c r="E982" s="31"/>
      <c r="F982" s="31"/>
      <c r="G982" s="31"/>
    </row>
    <row r="983">
      <c r="B983" s="31"/>
      <c r="C983" s="31"/>
      <c r="D983" s="31"/>
      <c r="E983" s="31"/>
      <c r="F983" s="31"/>
      <c r="G983" s="31"/>
    </row>
    <row r="984">
      <c r="B984" s="31"/>
      <c r="C984" s="31"/>
      <c r="D984" s="31"/>
      <c r="E984" s="31"/>
      <c r="F984" s="31"/>
      <c r="G984" s="31"/>
    </row>
    <row r="985">
      <c r="B985" s="31"/>
      <c r="C985" s="31"/>
      <c r="D985" s="31"/>
      <c r="E985" s="31"/>
      <c r="F985" s="31"/>
      <c r="G985" s="31"/>
    </row>
    <row r="986">
      <c r="B986" s="31"/>
      <c r="C986" s="31"/>
      <c r="D986" s="31"/>
      <c r="E986" s="31"/>
      <c r="F986" s="31"/>
      <c r="G986" s="31"/>
    </row>
    <row r="987">
      <c r="B987" s="31"/>
      <c r="C987" s="31"/>
      <c r="D987" s="31"/>
      <c r="E987" s="31"/>
      <c r="F987" s="31"/>
      <c r="G987" s="31"/>
    </row>
    <row r="988">
      <c r="B988" s="31"/>
      <c r="C988" s="31"/>
      <c r="D988" s="31"/>
      <c r="E988" s="31"/>
      <c r="F988" s="31"/>
      <c r="G988" s="31"/>
    </row>
    <row r="989">
      <c r="B989" s="31"/>
      <c r="C989" s="31"/>
      <c r="D989" s="31"/>
      <c r="E989" s="31"/>
      <c r="F989" s="31"/>
      <c r="G989" s="31"/>
    </row>
    <row r="990">
      <c r="B990" s="31"/>
      <c r="C990" s="31"/>
      <c r="D990" s="31"/>
      <c r="E990" s="31"/>
      <c r="F990" s="31"/>
      <c r="G990" s="31"/>
    </row>
    <row r="991">
      <c r="B991" s="31"/>
      <c r="C991" s="31"/>
      <c r="D991" s="31"/>
      <c r="E991" s="31"/>
      <c r="F991" s="31"/>
      <c r="G991" s="31"/>
    </row>
    <row r="992">
      <c r="B992" s="31"/>
      <c r="C992" s="31"/>
      <c r="D992" s="31"/>
      <c r="E992" s="31"/>
      <c r="F992" s="31"/>
      <c r="G992" s="31"/>
    </row>
    <row r="993">
      <c r="B993" s="31"/>
      <c r="C993" s="31"/>
      <c r="D993" s="31"/>
      <c r="E993" s="31"/>
      <c r="F993" s="31"/>
      <c r="G993" s="31"/>
    </row>
    <row r="994">
      <c r="B994" s="31"/>
      <c r="C994" s="31"/>
      <c r="D994" s="31"/>
      <c r="E994" s="31"/>
      <c r="F994" s="31"/>
      <c r="G994" s="31"/>
    </row>
    <row r="995">
      <c r="B995" s="31"/>
      <c r="C995" s="31"/>
      <c r="D995" s="31"/>
      <c r="E995" s="31"/>
      <c r="F995" s="31"/>
      <c r="G995" s="31"/>
    </row>
    <row r="996">
      <c r="B996" s="31"/>
      <c r="C996" s="31"/>
      <c r="D996" s="31"/>
      <c r="E996" s="31"/>
      <c r="F996" s="31"/>
      <c r="G996" s="31"/>
    </row>
    <row r="997">
      <c r="B997" s="31"/>
      <c r="C997" s="31"/>
      <c r="D997" s="31"/>
      <c r="E997" s="31"/>
      <c r="F997" s="31"/>
      <c r="G997" s="31"/>
    </row>
    <row r="998">
      <c r="B998" s="31"/>
      <c r="C998" s="31"/>
      <c r="D998" s="31"/>
      <c r="E998" s="31"/>
      <c r="F998" s="31"/>
      <c r="G998" s="31"/>
    </row>
    <row r="999">
      <c r="B999" s="31"/>
      <c r="C999" s="31"/>
      <c r="D999" s="31"/>
      <c r="E999" s="31"/>
      <c r="F999" s="31"/>
      <c r="G999" s="31"/>
    </row>
    <row r="1000">
      <c r="B1000" s="31"/>
      <c r="C1000" s="31"/>
      <c r="D1000" s="31"/>
      <c r="E1000" s="31"/>
      <c r="F1000" s="31"/>
      <c r="G1000" s="31"/>
    </row>
  </sheetData>
  <customSheetViews>
    <customSheetView guid="{22141074-733D-4B40-983C-A4B6743EBC86}" filter="1" showAutoFilter="1">
      <autoFilter ref="$A$1:$G$1000">
        <filterColumn colId="3">
          <customFilters>
            <customFilter val="*Ability*"/>
          </customFilters>
        </filterColumn>
      </autoFilter>
    </customSheetView>
    <customSheetView guid="{6B98E327-B584-417C-BC53-54DBABA9DE02}" filter="1" showAutoFilter="1">
      <autoFilter ref="$A$1:$Y$1000">
        <filterColumn colId="3">
          <customFilters>
            <customFilter val="*Set*"/>
          </customFilters>
        </filterColumn>
      </autoFilter>
    </customSheetView>
    <customSheetView guid="{CBB36517-F391-488A-95A0-C11F9D4650E2}" filter="1" showAutoFilter="1">
      <autoFilter ref="$A$1:$G$1000">
        <filterColumn colId="3">
          <customFilters>
            <customFilter val="*Entity*"/>
          </customFilters>
        </filterColumn>
      </autoFilter>
    </customSheetView>
    <customSheetView guid="{9357586C-8896-4309-825E-6AB4287283CA}" filter="1" showAutoFilter="1">
      <autoFilter ref="$A$1:$Y$1000">
        <filterColumn colId="3">
          <customFilters>
            <customFilter val="*Analysis*"/>
          </customFilters>
        </filterColumn>
      </autoFilter>
    </customSheetView>
    <customSheetView guid="{B06D9526-9041-47A1-A9AB-C0FFBA911EC4}" filter="1" showAutoFilter="1">
      <autoFilter ref="$A$1:$Y$1000">
        <filterColumn colId="3">
          <customFilters>
            <customFilter val="*Item*"/>
          </customFilters>
        </filterColumn>
      </autoFilter>
    </customSheetView>
    <customSheetView guid="{ABA9C76C-724C-42BA-88C2-E1FFD8DC8524}" filter="1" showAutoFilter="1">
      <autoFilter ref="$A$1:$Y$1000">
        <filterColumn colId="3">
          <customFilters>
            <customFilter val="*Vehicle*"/>
          </customFilters>
        </filterColumn>
      </autoFilter>
    </customSheetView>
    <customSheetView guid="{5674A1EA-1C18-4F92-8929-14EEB59440BA}" filter="1" showAutoFilter="1">
      <autoFilter ref="$A$1:$G$1000">
        <filterColumn colId="3">
          <customFilters>
            <customFilter val="*Facility*"/>
          </customFilters>
        </filterColumn>
      </autoFilter>
    </customSheetView>
    <customSheetView guid="{36F8C412-717B-49DD-8799-9F5A91F2532F}" filter="1" showAutoFilter="1">
      <autoFilter ref="$A$1:$Y$1000">
        <filterColumn colId="3">
          <customFilters>
            <customFilter val="*Skill*"/>
          </customFilters>
        </filterColumn>
      </autoFilter>
    </customSheetView>
    <customSheetView guid="{DA538052-C277-4053-A2D1-2FD425FD6666}" filter="1" showAutoFilter="1">
      <autoFilter ref="$A$1:$G$1000">
        <filterColumn colId="3">
          <customFilters>
            <customFilter val="*Personal*"/>
          </customFilters>
        </filterColumn>
      </autoFilter>
    </customSheetView>
    <customSheetView guid="{E27D1FF7-23DA-410C-8F0B-805C3836AFA9}" filter="1" showAutoFilter="1">
      <autoFilter ref="$A$1:$Y$1000">
        <filterColumn colId="3">
          <customFilters>
            <customFilter val="*System*"/>
          </customFilters>
        </filterColumn>
      </autoFilter>
    </customSheetView>
    <customSheetView guid="{E434C564-8EB7-4E17-A210-47A3F8B479B7}" filter="1" showAutoFilter="1">
      <autoFilter ref="$A$1:$Y$1000">
        <filterColumn colId="3">
          <customFilters>
            <customFilter val="*Fiat*"/>
          </customFilters>
        </filterColumn>
      </autoFilter>
    </customSheetView>
  </customSheetView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88"/>
    <col customWidth="1" min="2" max="2" width="26.38"/>
    <col customWidth="1" min="3" max="3" width="25.63"/>
    <col customWidth="1" min="5" max="5" width="175.0"/>
    <col customWidth="1" min="6" max="6" width="33.0"/>
    <col customWidth="1" min="7" max="7" width="46.75"/>
    <col customWidth="1" min="8" max="8" width="49.5"/>
  </cols>
  <sheetData>
    <row r="1">
      <c r="A1" s="9" t="s">
        <v>0</v>
      </c>
      <c r="B1" s="9" t="s">
        <v>1</v>
      </c>
      <c r="C1" s="9" t="s">
        <v>1488</v>
      </c>
      <c r="D1" s="11" t="s">
        <v>1489</v>
      </c>
      <c r="E1" s="9" t="s">
        <v>1490</v>
      </c>
      <c r="F1" s="9" t="s">
        <v>1491</v>
      </c>
      <c r="G1" s="9" t="s">
        <v>1492</v>
      </c>
      <c r="H1" s="9" t="s">
        <v>1493</v>
      </c>
    </row>
    <row r="2">
      <c r="A2" s="9" t="s">
        <v>1494</v>
      </c>
      <c r="B2" s="9" t="s">
        <v>1495</v>
      </c>
      <c r="C2" s="9" t="s">
        <v>1496</v>
      </c>
      <c r="D2" s="11" t="str">
        <f>IFERROR(__xludf.DUMMYFUNCTION("ifs(not(isna(MATCH(C2, ExcludedJumps, 0))), ""Excluded"", len(E2) = 0, ""Available"", REGEXMATCH(E2, RepeatableRegex), ""Repeatable"", countif(ARRAYFORMULA(REGEXMATCH(G2, split(B2, char(10)))), ""false"") = 0, ""Obtained"", true, ""Partial"")"),"Excluded")</f>
        <v>Excluded</v>
      </c>
      <c r="E2" s="31"/>
      <c r="F2" s="31"/>
      <c r="G2" s="31" t="str">
        <f>IFERROR(__xludf.DUMMYFUNCTION("if(len(E2) &gt; 0, join(char(10), FILTER(split(E2, char(10)), REGEXMATCH(split(E2, char(10)), PerkLineRegex))), """")"),"")</f>
        <v/>
      </c>
      <c r="H2" s="31" t="str">
        <f t="shared" ref="H2:H95" si="1">SUPPLEMENTALHEADERS(E2)</f>
        <v/>
      </c>
    </row>
    <row r="3">
      <c r="A3" s="9" t="s">
        <v>1494</v>
      </c>
      <c r="B3" s="9" t="s">
        <v>1497</v>
      </c>
      <c r="C3" s="9" t="s">
        <v>1498</v>
      </c>
      <c r="D3" s="11" t="str">
        <f>IFERROR(__xludf.DUMMYFUNCTION("ifs(not(isna(MATCH(C3, ExcludedJumps, 0))), ""Excluded"", len(E3) = 0, ""Available"", REGEXMATCH(E3, RepeatableRegex), ""Repeatable"", countif(ARRAYFORMULA(REGEXMATCH(G3, split(B3, char(10)))), ""false"") = 0, ""Obtained"", true, ""Partial"")"),"Excluded")</f>
        <v>Excluded</v>
      </c>
      <c r="E3" s="31"/>
      <c r="F3" s="31"/>
      <c r="G3" s="31" t="str">
        <f>IFERROR(__xludf.DUMMYFUNCTION("if(len(E3) &gt; 0, join(char(10), FILTER(split(E3, char(10)), REGEXMATCH(split(E3, char(10)), PerkLineRegex))), """")"),"")</f>
        <v/>
      </c>
      <c r="H3" s="31" t="str">
        <f t="shared" si="1"/>
        <v/>
      </c>
    </row>
    <row r="4">
      <c r="A4" s="9" t="s">
        <v>1494</v>
      </c>
      <c r="B4" s="9" t="s">
        <v>1499</v>
      </c>
      <c r="C4" s="9" t="s">
        <v>81</v>
      </c>
      <c r="D4" s="11" t="str">
        <f>IFERROR(__xludf.DUMMYFUNCTION("ifs(not(isna(MATCH(C4, ExcludedJumps, 0))), ""Excluded"", len(E4) = 0, ""Available"", REGEXMATCH(E4, RepeatableRegex), ""Repeatable"", countif(ARRAYFORMULA(REGEXMATCH(G4, split(B4, char(10)))), ""false"") = 0, ""Obtained"", true, ""Partial"")"),"Obtained")</f>
        <v>Obtained</v>
      </c>
      <c r="E4" s="9" t="s">
        <v>1500</v>
      </c>
      <c r="F4" s="9" t="s">
        <v>1501</v>
      </c>
      <c r="G4" s="31" t="str">
        <f>IFERROR(__xludf.DUMMYFUNCTION("if(len(E4) &gt; 0, join(char(10), FILTER(split(E4, char(10)), REGEXMATCH(split(E4, char(10)), PerkLineRegex))), """")"),"Alchemy (Banjo-Kazooie) 100:
Mixing Mixtures (Banjo-Kazooie) 200:")</f>
        <v>Alchemy (Banjo-Kazooie) 100:
Mixing Mixtures (Banjo-Kazooie) 200:</v>
      </c>
      <c r="H4" s="31" t="str">
        <f t="shared" si="1"/>
        <v>_
_</v>
      </c>
    </row>
    <row r="5">
      <c r="A5" s="9" t="s">
        <v>1494</v>
      </c>
      <c r="B5" s="9" t="s">
        <v>1494</v>
      </c>
      <c r="C5" s="9" t="s">
        <v>657</v>
      </c>
      <c r="D5" s="11" t="str">
        <f>IFERROR(__xludf.DUMMYFUNCTION("ifs(not(isna(MATCH(C5, ExcludedJumps, 0))), ""Excluded"", len(E5) = 0, ""Available"", REGEXMATCH(E5, RepeatableRegex), ""Repeatable"", countif(ARRAYFORMULA(REGEXMATCH(G5, split(B5, char(10)))), ""false"") = 0, ""Obtained"", true, ""Partial"")"),"Obtained")</f>
        <v>Obtained</v>
      </c>
      <c r="E5" s="9" t="s">
        <v>1502</v>
      </c>
      <c r="F5" s="9" t="s">
        <v>213</v>
      </c>
      <c r="G5" s="31" t="str">
        <f>IFERROR(__xludf.DUMMYFUNCTION("if(len(E5) &gt; 0, join(char(10), FILTER(split(E5, char(10)), REGEXMATCH(split(E5, char(10)), PerkLineRegex))), """")"),"Alchemy (Castlevania) 300:")</f>
        <v>Alchemy (Castlevania) 300:</v>
      </c>
      <c r="H5" s="31" t="str">
        <f t="shared" si="1"/>
        <v>_</v>
      </c>
    </row>
    <row r="6">
      <c r="A6" s="9" t="s">
        <v>1494</v>
      </c>
      <c r="B6" s="9" t="s">
        <v>1503</v>
      </c>
      <c r="C6" s="9" t="s">
        <v>1504</v>
      </c>
      <c r="D6" s="11" t="str">
        <f>IFERROR(__xludf.DUMMYFUNCTION("ifs(not(isna(MATCH(C6, ExcludedJumps, 0))), ""Excluded"", len(E6) = 0, ""Available"", REGEXMATCH(E6, RepeatableRegex), ""Repeatable"", countif(ARRAYFORMULA(REGEXMATCH(G6, split(B6, char(10)))), ""false"") = 0, ""Obtained"", true, ""Partial"")"),"Excluded")</f>
        <v>Excluded</v>
      </c>
      <c r="E6" s="31"/>
      <c r="F6" s="31"/>
      <c r="G6" s="31" t="str">
        <f>IFERROR(__xludf.DUMMYFUNCTION("if(len(E6) &gt; 0, join(char(10), FILTER(split(E6, char(10)), REGEXMATCH(split(E6, char(10)), PerkLineRegex))), """")"),"")</f>
        <v/>
      </c>
      <c r="H6" s="31" t="str">
        <f t="shared" si="1"/>
        <v/>
      </c>
    </row>
    <row r="7">
      <c r="A7" s="9" t="s">
        <v>1494</v>
      </c>
      <c r="B7" s="9" t="s">
        <v>11</v>
      </c>
      <c r="C7" s="9" t="s">
        <v>12</v>
      </c>
      <c r="D7" s="11" t="str">
        <f>IFERROR(__xludf.DUMMYFUNCTION("ifs(not(isna(MATCH(C7, ExcludedJumps, 0))), ""Excluded"", len(E7) = 0, ""Available"", REGEXMATCH(E7, RepeatableRegex), ""Repeatable"", countif(ARRAYFORMULA(REGEXMATCH(G7, split(B7, char(10)))), ""false"") = 0, ""Obtained"", true, ""Partial"")"),"Available")</f>
        <v>Available</v>
      </c>
      <c r="E7" s="31"/>
      <c r="F7" s="31"/>
      <c r="G7" s="31" t="str">
        <f>IFERROR(__xludf.DUMMYFUNCTION("if(len(E7) &gt; 0, join(char(10), FILTER(split(E7, char(10)), REGEXMATCH(split(E7, char(10)), PerkLineRegex))), """")"),"")</f>
        <v/>
      </c>
      <c r="H7" s="31" t="str">
        <f t="shared" si="1"/>
        <v/>
      </c>
    </row>
    <row r="8">
      <c r="A8" s="9" t="s">
        <v>1494</v>
      </c>
      <c r="B8" s="9" t="s">
        <v>1505</v>
      </c>
      <c r="C8" s="9" t="s">
        <v>778</v>
      </c>
      <c r="D8" s="11" t="str">
        <f>IFERROR(__xludf.DUMMYFUNCTION("ifs(not(isna(MATCH(C8, ExcludedJumps, 0))), ""Excluded"", len(E8) = 0, ""Available"", REGEXMATCH(E8, RepeatableRegex), ""Repeatable"", countif(ARRAYFORMULA(REGEXMATCH(G8, split(B8, char(10)))), ""false"") = 0, ""Obtained"", true, ""Partial"")"),"Obtained")</f>
        <v>Obtained</v>
      </c>
      <c r="E8" s="9" t="s">
        <v>1506</v>
      </c>
      <c r="F8" s="9" t="s">
        <v>1507</v>
      </c>
      <c r="G8" s="31" t="str">
        <f>IFERROR(__xludf.DUMMYFUNCTION("if(len(E8) &gt; 0, join(char(10), FILTER(split(E8, char(10)), REGEXMATCH(split(E8, char(10)), PerkLineRegex))), """")"),"Thaumaturgical Focus: Transmutation (Fate/) 400:
Magic Circuits (Fate/) Free:
Thaumaturgical Focus: Alchemy (Fate) 400:
Status Page (Fate) Free:
Dapper Dressing (Fate) Free:")</f>
        <v>Thaumaturgical Focus: Transmutation (Fate/) 400:
Magic Circuits (Fate/) Free:
Thaumaturgical Focus: Alchemy (Fate) 400:
Status Page (Fate) Free:
Dapper Dressing (Fate) Free:</v>
      </c>
      <c r="H8" s="31" t="str">
        <f t="shared" si="1"/>
        <v>_
Chapter 56: 44 Awakening
_
Chapter 68: 53 Hard Time
Chapter 68: 53 Hard Time</v>
      </c>
    </row>
    <row r="9">
      <c r="A9" s="9" t="s">
        <v>1494</v>
      </c>
      <c r="B9" s="9" t="s">
        <v>1508</v>
      </c>
      <c r="C9" s="9" t="s">
        <v>19</v>
      </c>
      <c r="D9" s="11" t="str">
        <f>IFERROR(__xludf.DUMMYFUNCTION("ifs(not(isna(MATCH(C9, ExcludedJumps, 0))), ""Excluded"", len(E9) = 0, ""Available"", REGEXMATCH(E9, RepeatableRegex), ""Repeatable"", countif(ARRAYFORMULA(REGEXMATCH(G9, split(B9, char(10)))), ""false"") = 0, ""Obtained"", true, ""Partial"")"),"Partial")</f>
        <v>Partial</v>
      </c>
      <c r="E9" s="9" t="s">
        <v>1509</v>
      </c>
      <c r="F9" s="9" t="s">
        <v>1510</v>
      </c>
      <c r="G9" s="31" t="str">
        <f>IFERROR(__xludf.DUMMYFUNCTION("if(len(E9) &gt; 0, join(char(10), FILTER(split(E9, char(10)), REGEXMATCH(split(E9, char(10)), PerkLineRegex))), """")"),"Simplified Formulae (Fullmetal Alchemist) 100:
Alchemy Fiats (Fullmetal Alchemist) Free:
Alkahestry (Fullmetal Alchemist) 300:
Advanced Formulae (Fullmetal Alchemist) 100:")</f>
        <v>Simplified Formulae (Fullmetal Alchemist) 100:
Alchemy Fiats (Fullmetal Alchemist) Free:
Alkahestry (Fullmetal Alchemist) 300:
Advanced Formulae (Fullmetal Alchemist) 100:</v>
      </c>
      <c r="H9" s="31" t="str">
        <f t="shared" si="1"/>
        <v>_
Chapter 29: 23 Renovation - Addendum Taylor
_
_</v>
      </c>
    </row>
    <row r="10">
      <c r="A10" s="9" t="s">
        <v>1494</v>
      </c>
      <c r="B10" s="9" t="s">
        <v>1511</v>
      </c>
      <c r="C10" s="9" t="s">
        <v>1512</v>
      </c>
      <c r="D10" s="11" t="str">
        <f>IFERROR(__xludf.DUMMYFUNCTION("ifs(not(isna(MATCH(C10, ExcludedJumps, 0))), ""Excluded"", len(E10) = 0, ""Available"", REGEXMATCH(E10, RepeatableRegex), ""Repeatable"", countif(ARRAYFORMULA(REGEXMATCH(G10, split(B10, char(10)))), ""false"") = 0, ""Obtained"", true, ""Partial"")"),"Excluded")</f>
        <v>Excluded</v>
      </c>
      <c r="E10" s="31"/>
      <c r="F10" s="31"/>
      <c r="G10" s="31" t="str">
        <f>IFERROR(__xludf.DUMMYFUNCTION("if(len(E10) &gt; 0, join(char(10), FILTER(split(E10, char(10)), REGEXMATCH(split(E10, char(10)), PerkLineRegex))), """")"),"")</f>
        <v/>
      </c>
      <c r="H10" s="31" t="str">
        <f t="shared" si="1"/>
        <v/>
      </c>
    </row>
    <row r="11">
      <c r="A11" s="9" t="s">
        <v>1494</v>
      </c>
      <c r="B11" s="9" t="s">
        <v>1494</v>
      </c>
      <c r="C11" s="9" t="s">
        <v>1513</v>
      </c>
      <c r="D11" s="11" t="str">
        <f>IFERROR(__xludf.DUMMYFUNCTION("ifs(not(isna(MATCH(C11, ExcludedJumps, 0))), ""Excluded"", len(E11) = 0, ""Available"", REGEXMATCH(E11, RepeatableRegex), ""Repeatable"", countif(ARRAYFORMULA(REGEXMATCH(G11, split(B11, char(10)))), ""false"") = 0, ""Obtained"", true, ""Partial"")"),"Excluded")</f>
        <v>Excluded</v>
      </c>
      <c r="E11" s="31"/>
      <c r="F11" s="31"/>
      <c r="G11" s="31" t="str">
        <f>IFERROR(__xludf.DUMMYFUNCTION("if(len(E11) &gt; 0, join(char(10), FILTER(split(E11, char(10)), REGEXMATCH(split(E11, char(10)), PerkLineRegex))), """")"),"")</f>
        <v/>
      </c>
      <c r="H11" s="31" t="str">
        <f t="shared" si="1"/>
        <v/>
      </c>
    </row>
    <row r="12">
      <c r="A12" s="9" t="s">
        <v>1494</v>
      </c>
      <c r="B12" s="9" t="s">
        <v>1514</v>
      </c>
      <c r="C12" s="9" t="s">
        <v>869</v>
      </c>
      <c r="D12" s="11" t="str">
        <f>IFERROR(__xludf.DUMMYFUNCTION("ifs(not(isna(MATCH(C12, ExcludedJumps, 0))), ""Excluded"", len(E12) = 0, ""Available"", REGEXMATCH(E12, RepeatableRegex), ""Repeatable"", countif(ARRAYFORMULA(REGEXMATCH(G12, split(B12, char(10)))), ""false"") = 0, ""Obtained"", true, ""Partial"")"),"Obtained")</f>
        <v>Obtained</v>
      </c>
      <c r="E12" s="9" t="s">
        <v>1515</v>
      </c>
      <c r="F12" s="9" t="s">
        <v>213</v>
      </c>
      <c r="G12" s="31" t="str">
        <f>IFERROR(__xludf.DUMMYFUNCTION("if(len(E12) &gt; 0, join(char(10), FILTER(split(E12, char(10)), REGEXMATCH(split(E12, char(10)), PerkLineRegex))), """")"),"Trigram Knowledge and Manipulation (Journey to the West) 600:")</f>
        <v>Trigram Knowledge and Manipulation (Journey to the West) 600:</v>
      </c>
      <c r="H12" s="31" t="str">
        <f t="shared" si="1"/>
        <v>_</v>
      </c>
    </row>
    <row r="13">
      <c r="A13" s="9" t="s">
        <v>1494</v>
      </c>
      <c r="B13" s="9" t="s">
        <v>1516</v>
      </c>
      <c r="C13" s="9" t="s">
        <v>1517</v>
      </c>
      <c r="D13" s="11" t="str">
        <f>IFERROR(__xludf.DUMMYFUNCTION("ifs(not(isna(MATCH(C13, ExcludedJumps, 0))), ""Excluded"", len(E13) = 0, ""Available"", REGEXMATCH(E13, RepeatableRegex), ""Repeatable"", countif(ARRAYFORMULA(REGEXMATCH(G13, split(B13, char(10)))), ""false"") = 0, ""Obtained"", true, ""Partial"")"),"Excluded")</f>
        <v>Excluded</v>
      </c>
      <c r="E13" s="31"/>
      <c r="F13" s="31"/>
      <c r="G13" s="31" t="str">
        <f>IFERROR(__xludf.DUMMYFUNCTION("if(len(E13) &gt; 0, join(char(10), FILTER(split(E13, char(10)), REGEXMATCH(split(E13, char(10)), PerkLineRegex))), """")"),"")</f>
        <v/>
      </c>
      <c r="H13" s="31" t="str">
        <f t="shared" si="1"/>
        <v/>
      </c>
    </row>
    <row r="14">
      <c r="A14" s="9" t="s">
        <v>1494</v>
      </c>
      <c r="B14" s="9" t="s">
        <v>1494</v>
      </c>
      <c r="C14" s="9" t="s">
        <v>1518</v>
      </c>
      <c r="D14" s="11" t="str">
        <f>IFERROR(__xludf.DUMMYFUNCTION("ifs(not(isna(MATCH(C14, ExcludedJumps, 0))), ""Excluded"", len(E14) = 0, ""Available"", REGEXMATCH(E14, RepeatableRegex), ""Repeatable"", countif(ARRAYFORMULA(REGEXMATCH(G14, split(B14, char(10)))), ""false"") = 0, ""Obtained"", true, ""Partial"")"),"Excluded")</f>
        <v>Excluded</v>
      </c>
      <c r="E14" s="31"/>
      <c r="F14" s="31"/>
      <c r="G14" s="31" t="str">
        <f>IFERROR(__xludf.DUMMYFUNCTION("if(len(E14) &gt; 0, join(char(10), FILTER(split(E14, char(10)), REGEXMATCH(split(E14, char(10)), PerkLineRegex))), """")"),"")</f>
        <v/>
      </c>
      <c r="H14" s="31" t="str">
        <f t="shared" si="1"/>
        <v/>
      </c>
    </row>
    <row r="15">
      <c r="A15" s="9" t="s">
        <v>1494</v>
      </c>
      <c r="B15" s="9" t="s">
        <v>1494</v>
      </c>
      <c r="C15" s="9" t="s">
        <v>1519</v>
      </c>
      <c r="D15" s="11" t="str">
        <f>IFERROR(__xludf.DUMMYFUNCTION("ifs(not(isna(MATCH(C15, ExcludedJumps, 0))), ""Excluded"", len(E15) = 0, ""Available"", REGEXMATCH(E15, RepeatableRegex), ""Repeatable"", countif(ARRAYFORMULA(REGEXMATCH(G15, split(B15, char(10)))), ""false"") = 0, ""Obtained"", true, ""Partial"")"),"Excluded")</f>
        <v>Excluded</v>
      </c>
      <c r="E15" s="31"/>
      <c r="F15" s="31"/>
      <c r="G15" s="31" t="str">
        <f>IFERROR(__xludf.DUMMYFUNCTION("if(len(E15) &gt; 0, join(char(10), FILTER(split(E15, char(10)), REGEXMATCH(split(E15, char(10)), PerkLineRegex))), """")"),"")</f>
        <v/>
      </c>
      <c r="H15" s="31" t="str">
        <f t="shared" si="1"/>
        <v/>
      </c>
    </row>
    <row r="16">
      <c r="A16" s="9" t="s">
        <v>1494</v>
      </c>
      <c r="B16" s="9" t="s">
        <v>1520</v>
      </c>
      <c r="C16" s="9" t="s">
        <v>1486</v>
      </c>
      <c r="D16" s="11" t="str">
        <f>IFERROR(__xludf.DUMMYFUNCTION("ifs(not(isna(MATCH(C16, ExcludedJumps, 0))), ""Excluded"", len(E16) = 0, ""Available"", REGEXMATCH(E16, RepeatableRegex), ""Repeatable"", countif(ARRAYFORMULA(REGEXMATCH(G16, split(B16, char(10)))), ""false"") = 0, ""Obtained"", true, ""Partial"")"),"Obtained")</f>
        <v>Obtained</v>
      </c>
      <c r="E16" s="32" t="s">
        <v>1521</v>
      </c>
      <c r="F16" s="32" t="s">
        <v>213</v>
      </c>
      <c r="G16" s="31" t="str">
        <f>IFERROR(__xludf.DUMMYFUNCTION("if(len(E16) &gt; 0, join(char(10), FILTER(split(E16, char(10)), REGEXMATCH(split(E16, char(10)), PerkLineRegex))), """")"),"Equivalent Exchange (Minecraft) 600:")</f>
        <v>Equivalent Exchange (Minecraft) 600:</v>
      </c>
      <c r="H16" s="31" t="str">
        <f t="shared" si="1"/>
        <v>_</v>
      </c>
    </row>
    <row r="17">
      <c r="A17" s="9" t="s">
        <v>1494</v>
      </c>
      <c r="B17" s="9" t="s">
        <v>11</v>
      </c>
      <c r="C17" s="9" t="s">
        <v>1522</v>
      </c>
      <c r="D17" s="11" t="str">
        <f>IFERROR(__xludf.DUMMYFUNCTION("ifs(not(isna(MATCH(C17, ExcludedJumps, 0))), ""Excluded"", len(E17) = 0, ""Available"", REGEXMATCH(E17, RepeatableRegex), ""Repeatable"", countif(ARRAYFORMULA(REGEXMATCH(G17, split(B17, char(10)))), ""false"") = 0, ""Obtained"", true, ""Partial"")"),"Obtained")</f>
        <v>Obtained</v>
      </c>
      <c r="E17" s="9" t="s">
        <v>1523</v>
      </c>
      <c r="F17" s="9" t="s">
        <v>1524</v>
      </c>
      <c r="G17" s="31" t="str">
        <f>IFERROR(__xludf.DUMMYFUNCTION("if(len(E17) &gt; 0, join(char(10), FILTER(split(E17, char(10)), REGEXMATCH(split(E17, char(10)), PerkLineRegex))), """")"),"Innate Talent: Alchemist (Overlord) 200:
Alchemist's Laboratory (Overlord) Free with Alchemist:")</f>
        <v>Innate Talent: Alchemist (Overlord) 200:
Alchemist's Laboratory (Overlord) Free with Alchemist:</v>
      </c>
      <c r="H17" s="31" t="str">
        <f t="shared" si="1"/>
        <v>_
Chapter 19: 15 Recuperation</v>
      </c>
    </row>
    <row r="18">
      <c r="A18" s="9" t="s">
        <v>1494</v>
      </c>
      <c r="B18" s="9" t="s">
        <v>1494</v>
      </c>
      <c r="C18" s="9" t="s">
        <v>282</v>
      </c>
      <c r="D18" s="11" t="str">
        <f>IFERROR(__xludf.DUMMYFUNCTION("ifs(not(isna(MATCH(C18, ExcludedJumps, 0))), ""Excluded"", len(E18) = 0, ""Available"", REGEXMATCH(E18, RepeatableRegex), ""Repeatable"", countif(ARRAYFORMULA(REGEXMATCH(G18, split(B18, char(10)))), ""false"") = 0, ""Obtained"", true, ""Partial"")"),"Obtained")</f>
        <v>Obtained</v>
      </c>
      <c r="E18" s="9" t="s">
        <v>1525</v>
      </c>
      <c r="F18" s="9" t="s">
        <v>213</v>
      </c>
      <c r="G18" s="31" t="str">
        <f>IFERROR(__xludf.DUMMYFUNCTION("if(len(E18) &gt; 0, join(char(10), FILTER(split(E18, char(10)), REGEXMATCH(split(E18, char(10)), PerkLineRegex))), """")"),"Alchemy (Samurai Jack) 200:")</f>
        <v>Alchemy (Samurai Jack) 200:</v>
      </c>
      <c r="H18" s="31" t="str">
        <f t="shared" si="1"/>
        <v>_</v>
      </c>
    </row>
    <row r="19">
      <c r="A19" s="9" t="s">
        <v>1494</v>
      </c>
      <c r="B19" s="9" t="s">
        <v>1526</v>
      </c>
      <c r="C19" s="9" t="s">
        <v>1527</v>
      </c>
      <c r="D19" s="11" t="str">
        <f>IFERROR(__xludf.DUMMYFUNCTION("ifs(not(isna(MATCH(C19, ExcludedJumps, 0))), ""Excluded"", len(E19) = 0, ""Available"", REGEXMATCH(E19, RepeatableRegex), ""Repeatable"", countif(ARRAYFORMULA(REGEXMATCH(G19, split(B19, char(10)))), ""false"") = 0, ""Obtained"", true, ""Partial"")"),"Excluded")</f>
        <v>Excluded</v>
      </c>
      <c r="E19" s="31"/>
      <c r="F19" s="31"/>
      <c r="G19" s="31" t="str">
        <f>IFERROR(__xludf.DUMMYFUNCTION("if(len(E19) &gt; 0, join(char(10), FILTER(split(E19, char(10)), REGEXMATCH(split(E19, char(10)), PerkLineRegex))), """")"),"")</f>
        <v/>
      </c>
      <c r="H19" s="31" t="str">
        <f t="shared" si="1"/>
        <v/>
      </c>
    </row>
    <row r="20">
      <c r="A20" s="9" t="s">
        <v>1494</v>
      </c>
      <c r="B20" s="9" t="s">
        <v>1528</v>
      </c>
      <c r="C20" s="9" t="s">
        <v>16</v>
      </c>
      <c r="D20" s="11" t="str">
        <f>IFERROR(__xludf.DUMMYFUNCTION("ifs(not(isna(MATCH(C20, ExcludedJumps, 0))), ""Excluded"", len(E20) = 0, ""Available"", REGEXMATCH(E20, RepeatableRegex), ""Repeatable"", countif(ARRAYFORMULA(REGEXMATCH(G20, split(B20, char(10)))), ""false"") = 0, ""Obtained"", true, ""Partial"")"),"Partial")</f>
        <v>Partial</v>
      </c>
      <c r="E20" s="9" t="s">
        <v>1529</v>
      </c>
      <c r="F20" s="9" t="s">
        <v>209</v>
      </c>
      <c r="G20" s="31" t="str">
        <f>IFERROR(__xludf.DUMMYFUNCTION("if(len(E20) &gt; 0, join(char(10), FILTER(split(E20, char(10)), REGEXMATCH(split(E20, char(10)), PerkLineRegex))), """")"),"Alchemist (Secret of Evermore) 200:")</f>
        <v>Alchemist (Secret of Evermore) 200:</v>
      </c>
      <c r="H20" s="31" t="str">
        <f t="shared" si="1"/>
        <v>_</v>
      </c>
    </row>
    <row r="21">
      <c r="A21" s="9" t="s">
        <v>1494</v>
      </c>
      <c r="B21" s="9" t="s">
        <v>11</v>
      </c>
      <c r="C21" s="9" t="s">
        <v>1530</v>
      </c>
      <c r="D21" s="11" t="str">
        <f>IFERROR(__xludf.DUMMYFUNCTION("ifs(not(isna(MATCH(C21, ExcludedJumps, 0))), ""Excluded"", len(E21) = 0, ""Available"", REGEXMATCH(E21, RepeatableRegex), ""Repeatable"", countif(ARRAYFORMULA(REGEXMATCH(G21, split(B21, char(10)))), ""false"") = 0, ""Obtained"", true, ""Partial"")"),"Excluded")</f>
        <v>Excluded</v>
      </c>
      <c r="E21" s="31"/>
      <c r="F21" s="31"/>
      <c r="G21" s="31" t="str">
        <f>IFERROR(__xludf.DUMMYFUNCTION("if(len(E21) &gt; 0, join(char(10), FILTER(split(E21, char(10)), REGEXMATCH(split(E21, char(10)), PerkLineRegex))), """")"),"")</f>
        <v/>
      </c>
      <c r="H21" s="31" t="str">
        <f t="shared" si="1"/>
        <v/>
      </c>
    </row>
    <row r="22">
      <c r="A22" s="9" t="s">
        <v>1494</v>
      </c>
      <c r="B22" s="9" t="s">
        <v>1494</v>
      </c>
      <c r="C22" s="9" t="s">
        <v>1531</v>
      </c>
      <c r="D22" s="11" t="str">
        <f>IFERROR(__xludf.DUMMYFUNCTION("ifs(not(isna(MATCH(C22, ExcludedJumps, 0))), ""Excluded"", len(E22) = 0, ""Available"", REGEXMATCH(E22, RepeatableRegex), ""Repeatable"", countif(ARRAYFORMULA(REGEXMATCH(G22, split(B22, char(10)))), ""false"") = 0, ""Obtained"", true, ""Partial"")"),"Excluded")</f>
        <v>Excluded</v>
      </c>
      <c r="E22" s="31"/>
      <c r="F22" s="31"/>
      <c r="G22" s="31" t="str">
        <f>IFERROR(__xludf.DUMMYFUNCTION("if(len(E22) &gt; 0, join(char(10), FILTER(split(E22, char(10)), REGEXMATCH(split(E22, char(10)), PerkLineRegex))), """")"),"")</f>
        <v/>
      </c>
      <c r="H22" s="31" t="str">
        <f t="shared" si="1"/>
        <v/>
      </c>
    </row>
    <row r="23">
      <c r="A23" s="9" t="s">
        <v>1494</v>
      </c>
      <c r="B23" s="9" t="s">
        <v>1532</v>
      </c>
      <c r="C23" s="9" t="s">
        <v>325</v>
      </c>
      <c r="D23" s="11" t="str">
        <f>IFERROR(__xludf.DUMMYFUNCTION("ifs(not(isna(MATCH(C23, ExcludedJumps, 0))), ""Excluded"", len(E23) = 0, ""Available"", REGEXMATCH(E23, RepeatableRegex), ""Repeatable"", countif(ARRAYFORMULA(REGEXMATCH(G23, split(B23, char(10)))), ""false"") = 0, ""Obtained"", true, ""Partial"")"),"Obtained")</f>
        <v>Obtained</v>
      </c>
      <c r="E23" s="9" t="s">
        <v>1533</v>
      </c>
      <c r="F23" s="9" t="s">
        <v>213</v>
      </c>
      <c r="G23" s="31" t="str">
        <f>IFERROR(__xludf.DUMMYFUNCTION("if(len(E23) &gt; 0, join(char(10), FILTER(split(E23, char(10)), REGEXMATCH(split(E23, char(10)), PerkLineRegex))), """")"),"Deranged Alchemist (Van Helsing) 300:")</f>
        <v>Deranged Alchemist (Van Helsing) 300:</v>
      </c>
      <c r="H23" s="31" t="str">
        <f t="shared" si="1"/>
        <v>_</v>
      </c>
    </row>
    <row r="24">
      <c r="A24" s="9" t="s">
        <v>1494</v>
      </c>
      <c r="B24" s="9" t="s">
        <v>1494</v>
      </c>
      <c r="C24" s="9" t="s">
        <v>1534</v>
      </c>
      <c r="D24" s="11" t="str">
        <f>IFERROR(__xludf.DUMMYFUNCTION("ifs(not(isna(MATCH(C24, ExcludedJumps, 0))), ""Excluded"", len(E24) = 0, ""Available"", REGEXMATCH(E24, RepeatableRegex), ""Repeatable"", countif(ARRAYFORMULA(REGEXMATCH(G24, split(B24, char(10)))), ""false"") = 0, ""Obtained"", true, ""Partial"")"),"Excluded")</f>
        <v>Excluded</v>
      </c>
      <c r="E24" s="31"/>
      <c r="F24" s="31"/>
      <c r="G24" s="31" t="str">
        <f>IFERROR(__xludf.DUMMYFUNCTION("if(len(E24) &gt; 0, join(char(10), FILTER(split(E24, char(10)), REGEXMATCH(split(E24, char(10)), PerkLineRegex))), """")"),"")</f>
        <v/>
      </c>
      <c r="H24" s="31" t="str">
        <f t="shared" si="1"/>
        <v/>
      </c>
    </row>
    <row r="25">
      <c r="A25" s="9" t="s">
        <v>1535</v>
      </c>
      <c r="B25" s="33" t="s">
        <v>1536</v>
      </c>
      <c r="C25" s="34" t="s">
        <v>1206</v>
      </c>
      <c r="D25" s="11" t="str">
        <f>IFERROR(__xludf.DUMMYFUNCTION("ifs(not(isna(MATCH(C25, ExcludedJumps, 0))), ""Excluded"", len(E25) = 0, ""Available"", REGEXMATCH(E25, RepeatableRegex), ""Repeatable"", countif(ARRAYFORMULA(REGEXMATCH(G25, split(B25, char(10)))), ""false"") = 0, ""Obtained"", true, ""Partial"")"),"Obtained")</f>
        <v>Obtained</v>
      </c>
      <c r="E25" s="9" t="s">
        <v>1537</v>
      </c>
      <c r="F25" s="9" t="s">
        <v>207</v>
      </c>
      <c r="G25" s="31" t="str">
        <f>IFERROR(__xludf.DUMMYFUNCTION("if(len(E25) &gt; 0, join(char(10), FILTER(split(E25, char(10)), REGEXMATCH(split(E25, char(10)), PerkLineRegex))), """")"),"Cyborg Hindu Godbody (Asura’s Wrath) 400:
")</f>
        <v>Cyborg Hindu Godbody (Asura’s Wrath) 400:
</v>
      </c>
      <c r="H25" s="31" t="str">
        <f t="shared" si="1"/>
        <v>_</v>
      </c>
    </row>
    <row r="26">
      <c r="A26" s="9" t="s">
        <v>1535</v>
      </c>
      <c r="B26" s="11" t="s">
        <v>1538</v>
      </c>
      <c r="C26" s="35" t="s">
        <v>1206</v>
      </c>
      <c r="D26" s="11" t="str">
        <f>IFERROR(__xludf.DUMMYFUNCTION("ifs(not(isna(MATCH(C26, ExcludedJumps, 0))), ""Excluded"", len(E26) = 0, ""Available"", REGEXMATCH(E26, RepeatableRegex), ""Repeatable"", countif(ARRAYFORMULA(REGEXMATCH(G26, split(B26, char(10)))), ""false"") = 0, ""Obtained"", true, ""Partial"")"),"Obtained")</f>
        <v>Obtained</v>
      </c>
      <c r="E26" s="9" t="s">
        <v>1539</v>
      </c>
      <c r="F26" s="9" t="s">
        <v>205</v>
      </c>
      <c r="G26" s="31" t="str">
        <f>IFERROR(__xludf.DUMMYFUNCTION("if(len(E26) &gt; 0, join(char(10), FILTER(split(E26, char(10)), REGEXMATCH(split(E26, char(10)), PerkLineRegex))), """")"),"Divine Weapon (Asura's Wrath) 300:
")</f>
        <v>Divine Weapon (Asura's Wrath) 300:
</v>
      </c>
      <c r="H26" s="31" t="str">
        <f t="shared" si="1"/>
        <v>_</v>
      </c>
    </row>
    <row r="27">
      <c r="A27" s="9" t="s">
        <v>1535</v>
      </c>
      <c r="B27" s="36" t="s">
        <v>1540</v>
      </c>
      <c r="C27" s="35" t="s">
        <v>1206</v>
      </c>
      <c r="D27" s="11" t="str">
        <f>IFERROR(__xludf.DUMMYFUNCTION("ifs(not(isna(MATCH(C27, ExcludedJumps, 0))), ""Excluded"", len(E27) = 0, ""Available"", REGEXMATCH(E27, RepeatableRegex), ""Repeatable"", countif(ARRAYFORMULA(REGEXMATCH(G27, split(B27, char(10)))), ""false"") = 0, ""Obtained"", true, ""Partial"")"),"Obtained")</f>
        <v>Obtained</v>
      </c>
      <c r="E27" s="9" t="s">
        <v>1541</v>
      </c>
      <c r="F27" s="9" t="s">
        <v>1542</v>
      </c>
      <c r="G27" s="31" t="str">
        <f>IFERROR(__xludf.DUMMYFUNCTION("if(len(E27) &gt; 0, join(char(10), FILTER(split(E27, char(10)), REGEXMATCH(split(E27, char(10)), PerkLineRegex))), """")"),"Shut Up! (Asura’s Wrath) 50:
Mantra Affinity (Asura’s Wrath) 100:
Mantra Training and Techniques (Asura’s Wrath) 200:
Resplendent Wardrobe (Asura’s Wrath) 50:")</f>
        <v>Shut Up! (Asura’s Wrath) 50:
Mantra Affinity (Asura’s Wrath) 100:
Mantra Training and Techniques (Asura’s Wrath) 200:
Resplendent Wardrobe (Asura’s Wrath) 50:</v>
      </c>
      <c r="H27" s="31" t="str">
        <f t="shared" si="1"/>
        <v>_
Chapter 82: 63 Summit Conclusion
Chapter 82: 63 Summit Conclusion
Chapter 82: 63 Summit Conclusion</v>
      </c>
    </row>
    <row r="28">
      <c r="A28" s="9" t="s">
        <v>1535</v>
      </c>
      <c r="B28" s="36" t="s">
        <v>1543</v>
      </c>
      <c r="C28" s="35" t="s">
        <v>1544</v>
      </c>
      <c r="D28" s="11" t="s">
        <v>1545</v>
      </c>
      <c r="E28" s="9" t="s">
        <v>1546</v>
      </c>
      <c r="F28" s="9" t="s">
        <v>197</v>
      </c>
      <c r="G28" s="31" t="str">
        <f>IFERROR(__xludf.DUMMYFUNCTION("if(len(E28) &gt; 0, join(char(10), FILTER(split(E28, char(10)), REGEXMATCH(split(E28, char(10)), PerkLineRegex))), """")"),"Burning Bright (Binbougami Ga!) 300:
")</f>
        <v>Burning Bright (Binbougami Ga!) 300:
</v>
      </c>
      <c r="H28" s="31" t="str">
        <f t="shared" si="1"/>
        <v>_</v>
      </c>
    </row>
    <row r="29">
      <c r="A29" s="9" t="s">
        <v>1535</v>
      </c>
      <c r="B29" s="36" t="s">
        <v>1547</v>
      </c>
      <c r="C29" s="35" t="s">
        <v>1338</v>
      </c>
      <c r="D29" s="11" t="s">
        <v>1545</v>
      </c>
      <c r="E29" s="9" t="s">
        <v>1548</v>
      </c>
      <c r="F29" s="9" t="s">
        <v>1549</v>
      </c>
      <c r="G29" s="31" t="str">
        <f>IFERROR(__xludf.DUMMYFUNCTION("if(len(E29) &gt; 0, join(char(10), FILTER(split(E29, char(10)), REGEXMATCH(split(E29, char(10)), PerkLineRegex))), """")"),"Bloodied Combat (Bloodborne) 400:
Good Blood (Bloodborne) Free:")</f>
        <v>Bloodied Combat (Bloodborne) 400:
Good Blood (Bloodborne) Free:</v>
      </c>
      <c r="H29" s="31" t="str">
        <f t="shared" si="1"/>
        <v>_
Chapter 159: 107 Coffee Time</v>
      </c>
    </row>
    <row r="30">
      <c r="A30" s="9" t="s">
        <v>1535</v>
      </c>
      <c r="B30" s="33" t="s">
        <v>1550</v>
      </c>
      <c r="C30" s="35" t="s">
        <v>811</v>
      </c>
      <c r="D30" s="11" t="str">
        <f>IFERROR(__xludf.DUMMYFUNCTION("ifs(not(isna(MATCH(C30, ExcludedJumps, 0))), ""Excluded"", len(E30) = 0, ""Available"", REGEXMATCH(E30, RepeatableRegex), ""Repeatable"", countif(ARRAYFORMULA(REGEXMATCH(G30, split(B30, char(10)))), ""false"") = 0, ""Obtained"", true, ""Partial"")"),"Obtained")</f>
        <v>Obtained</v>
      </c>
      <c r="E30" s="9" t="s">
        <v>1551</v>
      </c>
      <c r="F30" s="9" t="s">
        <v>213</v>
      </c>
      <c r="G30" s="31" t="str">
        <f>IFERROR(__xludf.DUMMYFUNCTION("if(len(E30) &gt; 0, join(char(10), FILTER(split(E30, char(10)), REGEXMATCH(split(E30, char(10)), PerkLineRegex))), """")"),"Synchronicity Event (F.E.A.R.) 300:
")</f>
        <v>Synchronicity Event (F.E.A.R.) 300:
</v>
      </c>
      <c r="H30" s="31" t="str">
        <f t="shared" si="1"/>
        <v>_</v>
      </c>
    </row>
    <row r="31">
      <c r="A31" s="9" t="s">
        <v>1535</v>
      </c>
      <c r="B31" s="33" t="s">
        <v>1552</v>
      </c>
      <c r="C31" s="34" t="s">
        <v>365</v>
      </c>
      <c r="D31" s="11" t="str">
        <f>IFERROR(__xludf.DUMMYFUNCTION("ifs(not(isna(MATCH(C31, ExcludedJumps, 0))), ""Excluded"", len(E31) = 0, ""Available"", REGEXMATCH(E31, RepeatableRegex), ""Repeatable"", countif(ARRAYFORMULA(REGEXMATCH(G31, split(B31, char(10)))), ""false"") = 0, ""Obtained"", true, ""Partial"")"),"Obtained")</f>
        <v>Obtained</v>
      </c>
      <c r="E31" s="9" t="s">
        <v>1553</v>
      </c>
      <c r="F31" s="9" t="s">
        <v>207</v>
      </c>
      <c r="G31" s="31" t="str">
        <f>IFERROR(__xludf.DUMMYFUNCTION("if(len(E31) &gt; 0, join(char(10), FILTER(split(E31, char(10)), REGEXMATCH(split(E31, char(10)), PerkLineRegex))), """")"),"Titan's Blood (God of War) 500:
")</f>
        <v>Titan's Blood (God of War) 500:
</v>
      </c>
      <c r="H31" s="31" t="str">
        <f t="shared" si="1"/>
        <v>_</v>
      </c>
    </row>
    <row r="32">
      <c r="A32" s="9" t="s">
        <v>1535</v>
      </c>
      <c r="B32" s="33" t="s">
        <v>1554</v>
      </c>
      <c r="C32" s="34" t="s">
        <v>248</v>
      </c>
      <c r="D32" s="11" t="str">
        <f>IFERROR(__xludf.DUMMYFUNCTION("ifs(not(isna(MATCH(C32, ExcludedJumps, 0))), ""Excluded"", len(E32) = 0, ""Available"", REGEXMATCH(E32, RepeatableRegex), ""Repeatable"", countif(ARRAYFORMULA(REGEXMATCH(G32, split(B32, char(10)))), ""false"") = 0, ""Obtained"", true, ""Partial"")"),"Obtained")</f>
        <v>Obtained</v>
      </c>
      <c r="E32" s="9" t="s">
        <v>1555</v>
      </c>
      <c r="F32" s="9" t="s">
        <v>213</v>
      </c>
      <c r="G32" s="31" t="str">
        <f>IFERROR(__xludf.DUMMYFUNCTION("if(len(E32) &gt; 0, join(char(10), FILTER(split(E32, char(10)), REGEXMATCH(split(E32, char(10)), PerkLineRegex))), """")"),"Touched by the Protoculture (Macross) 500:
")</f>
        <v>Touched by the Protoculture (Macross) 500:
</v>
      </c>
      <c r="H32" s="31" t="str">
        <f t="shared" si="1"/>
        <v>_</v>
      </c>
    </row>
    <row r="33">
      <c r="A33" s="9" t="s">
        <v>1535</v>
      </c>
      <c r="B33" s="33" t="s">
        <v>1556</v>
      </c>
      <c r="C33" s="34" t="s">
        <v>51</v>
      </c>
      <c r="D33" s="11" t="s">
        <v>1557</v>
      </c>
      <c r="E33" s="31"/>
      <c r="F33" s="31"/>
      <c r="G33" s="31" t="str">
        <f>IFERROR(__xludf.DUMMYFUNCTION("if(len(E33) &gt; 0, join(char(10), FILTER(split(E33, char(10)), REGEXMATCH(split(E33, char(10)), PerkLineRegex))), """")"),"")</f>
        <v/>
      </c>
      <c r="H33" s="31" t="str">
        <f t="shared" si="1"/>
        <v/>
      </c>
    </row>
    <row r="34">
      <c r="A34" s="9" t="s">
        <v>1535</v>
      </c>
      <c r="B34" s="33" t="s">
        <v>23</v>
      </c>
      <c r="C34" s="34" t="s">
        <v>24</v>
      </c>
      <c r="D34" s="11" t="str">
        <f>IFERROR(__xludf.DUMMYFUNCTION("ifs(not(isna(MATCH(C34, ExcludedJumps, 0))), ""Excluded"", len(E34) = 0, ""Available"", REGEXMATCH(E34, RepeatableRegex), ""Repeatable"", countif(ARRAYFORMULA(REGEXMATCH(G34, split(B34, char(10)))), ""false"") = 0, ""Obtained"", true, ""Partial"")"),"Available")</f>
        <v>Available</v>
      </c>
      <c r="E34" s="31"/>
      <c r="F34" s="31"/>
      <c r="G34" s="31" t="str">
        <f>IFERROR(__xludf.DUMMYFUNCTION("if(len(E34) &gt; 0, join(char(10), FILTER(split(E34, char(10)), REGEXMATCH(split(E34, char(10)), PerkLineRegex))), """")"),"")</f>
        <v/>
      </c>
      <c r="H34" s="31" t="str">
        <f t="shared" si="1"/>
        <v/>
      </c>
    </row>
    <row r="35">
      <c r="A35" s="9" t="s">
        <v>1535</v>
      </c>
      <c r="B35" s="33" t="s">
        <v>1558</v>
      </c>
      <c r="C35" s="34" t="s">
        <v>1483</v>
      </c>
      <c r="D35" s="11" t="str">
        <f>IFERROR(__xludf.DUMMYFUNCTION("ifs(not(isna(MATCH(C35, ExcludedJumps, 0))), ""Excluded"", len(E35) = 0, ""Available"", REGEXMATCH(E35, RepeatableRegex), ""Repeatable"", countif(ARRAYFORMULA(REGEXMATCH(G35, split(B35, char(10)))), ""false"") = 0, ""Obtained"", true, ""Partial"")"),"Obtained")</f>
        <v>Obtained</v>
      </c>
      <c r="E35" s="32" t="s">
        <v>1559</v>
      </c>
      <c r="F35" s="32" t="s">
        <v>213</v>
      </c>
      <c r="G35" s="31" t="str">
        <f>IFERROR(__xludf.DUMMYFUNCTION("if(len(E35) &gt; 0, join(char(10), FILTER(split(E35, char(10)), REGEXMATCH(split(E35, char(10)), PerkLineRegex))), """")"),"Box-tech (Metal Gear Solid) 400:")</f>
        <v>Box-tech (Metal Gear Solid) 400:</v>
      </c>
      <c r="H35" s="31" t="str">
        <f t="shared" si="1"/>
        <v>_</v>
      </c>
    </row>
    <row r="36">
      <c r="A36" s="9" t="s">
        <v>1535</v>
      </c>
      <c r="B36" s="33" t="s">
        <v>1560</v>
      </c>
      <c r="C36" s="34" t="s">
        <v>34</v>
      </c>
      <c r="D36" s="11" t="str">
        <f>IFERROR(__xludf.DUMMYFUNCTION("ifs(not(isna(MATCH(C36, ExcludedJumps, 0))), ""Excluded"", len(E36) = 0, ""Available"", REGEXMATCH(E36, RepeatableRegex), ""Repeatable"", countif(ARRAYFORMULA(REGEXMATCH(G36, split(B36, char(10)))), ""false"") = 0, ""Obtained"", true, ""Partial"")"),"Obtained")</f>
        <v>Obtained</v>
      </c>
      <c r="E36" s="9" t="s">
        <v>1561</v>
      </c>
      <c r="F36" s="9" t="s">
        <v>207</v>
      </c>
      <c r="G36" s="31" t="str">
        <f>IFERROR(__xludf.DUMMYFUNCTION("if(len(E36) &gt; 0, join(char(10), FILTER(split(E36, char(10)), REGEXMATCH(split(E36, char(10)), PerkLineRegex))), """")"),"Monstrous Strength (Percy Jackson) 100:
")</f>
        <v>Monstrous Strength (Percy Jackson) 100:
</v>
      </c>
      <c r="H36" s="31" t="str">
        <f t="shared" si="1"/>
        <v>_</v>
      </c>
    </row>
    <row r="37">
      <c r="A37" s="9" t="s">
        <v>1535</v>
      </c>
      <c r="B37" s="33" t="s">
        <v>1562</v>
      </c>
      <c r="C37" s="34" t="s">
        <v>34</v>
      </c>
      <c r="D37" s="11" t="str">
        <f>IFERROR(__xludf.DUMMYFUNCTION("ifs(not(isna(MATCH(C37, ExcludedJumps, 0))), ""Excluded"", len(E37) = 0, ""Available"", REGEXMATCH(E37, RepeatableRegex), ""Repeatable"", countif(ARRAYFORMULA(REGEXMATCH(G37, split(B37, char(10)))), ""false"") = 0, ""Obtained"", true, ""Partial"")"),"Available")</f>
        <v>Available</v>
      </c>
      <c r="E37" s="31"/>
      <c r="F37" s="31"/>
      <c r="G37" s="31" t="str">
        <f>IFERROR(__xludf.DUMMYFUNCTION("if(len(E37) &gt; 0, join(char(10), FILTER(split(E37, char(10)), REGEXMATCH(split(E37, char(10)), PerkLineRegex))), """")"),"")</f>
        <v/>
      </c>
      <c r="H37" s="31" t="str">
        <f t="shared" si="1"/>
        <v/>
      </c>
    </row>
    <row r="38">
      <c r="A38" s="9" t="s">
        <v>1535</v>
      </c>
      <c r="B38" s="33" t="s">
        <v>1563</v>
      </c>
      <c r="C38" s="34" t="s">
        <v>478</v>
      </c>
      <c r="D38" s="11" t="str">
        <f>IFERROR(__xludf.DUMMYFUNCTION("ifs(not(isna(MATCH(C38, ExcludedJumps, 0))), ""Excluded"", len(E38) = 0, ""Available"", REGEXMATCH(E38, RepeatableRegex), ""Repeatable"", countif(ARRAYFORMULA(REGEXMATCH(G38, split(B38, char(10)))), ""false"") = 0, ""Obtained"", true, ""Partial"")"),"Obtained")</f>
        <v>Obtained</v>
      </c>
      <c r="E38" s="9" t="s">
        <v>1564</v>
      </c>
      <c r="F38" s="9" t="s">
        <v>213</v>
      </c>
      <c r="G38" s="31" t="str">
        <f>IFERROR(__xludf.DUMMYFUNCTION("if(len(E38) &gt; 0, join(char(10), FILTER(split(E38, char(10)), REGEXMATCH(split(E38, char(10)), PerkLineRegex))), """")"),"Bigger on the Inside (RWBY) 100:
")</f>
        <v>Bigger on the Inside (RWBY) 100:
</v>
      </c>
      <c r="H38" s="31" t="str">
        <f t="shared" si="1"/>
        <v>_</v>
      </c>
    </row>
    <row r="39">
      <c r="A39" s="9" t="s">
        <v>1535</v>
      </c>
      <c r="B39" s="33" t="s">
        <v>1565</v>
      </c>
      <c r="C39" s="35" t="s">
        <v>48</v>
      </c>
      <c r="D39" s="11" t="s">
        <v>1557</v>
      </c>
      <c r="E39" s="31"/>
      <c r="F39" s="31"/>
      <c r="G39" s="31" t="str">
        <f>IFERROR(__xludf.DUMMYFUNCTION("if(len(E39) &gt; 0, join(char(10), FILTER(split(E39, char(10)), REGEXMATCH(split(E39, char(10)), PerkLineRegex))), """")"),"")</f>
        <v/>
      </c>
      <c r="H39" s="31" t="str">
        <f t="shared" si="1"/>
        <v/>
      </c>
    </row>
    <row r="40">
      <c r="A40" s="9" t="s">
        <v>1535</v>
      </c>
      <c r="B40" s="33" t="s">
        <v>27</v>
      </c>
      <c r="C40" s="34" t="s">
        <v>28</v>
      </c>
      <c r="D40" s="11" t="str">
        <f>IFERROR(__xludf.DUMMYFUNCTION("ifs(not(isna(MATCH(C40, ExcludedJumps, 0))), ""Excluded"", len(E40) = 0, ""Available"", REGEXMATCH(E40, RepeatableRegex), ""Repeatable"", countif(ARRAYFORMULA(REGEXMATCH(G40, split(B40, char(10)))), ""false"") = 0, ""Obtained"", true, ""Partial"")"),"Available")</f>
        <v>Available</v>
      </c>
      <c r="E40" s="31"/>
      <c r="F40" s="31"/>
      <c r="G40" s="31" t="str">
        <f>IFERROR(__xludf.DUMMYFUNCTION("if(len(E40) &gt; 0, join(char(10), FILTER(split(E40, char(10)), REGEXMATCH(split(E40, char(10)), PerkLineRegex))), """")"),"")</f>
        <v/>
      </c>
      <c r="H40" s="31" t="str">
        <f t="shared" si="1"/>
        <v/>
      </c>
    </row>
    <row r="41">
      <c r="A41" s="9" t="s">
        <v>1535</v>
      </c>
      <c r="B41" s="33" t="s">
        <v>31</v>
      </c>
      <c r="C41" s="34" t="s">
        <v>28</v>
      </c>
      <c r="D41" s="11" t="str">
        <f>IFERROR(__xludf.DUMMYFUNCTION("ifs(not(isna(MATCH(C41, ExcludedJumps, 0))), ""Excluded"", len(E41) = 0, ""Available"", REGEXMATCH(E41, RepeatableRegex), ""Repeatable"", countif(ARRAYFORMULA(REGEXMATCH(G41, split(B41, char(10)))), ""false"") = 0, ""Obtained"", true, ""Partial"")"),"Available")</f>
        <v>Available</v>
      </c>
      <c r="E41" s="31"/>
      <c r="F41" s="31"/>
      <c r="G41" s="31" t="str">
        <f>IFERROR(__xludf.DUMMYFUNCTION("if(len(E41) &gt; 0, join(char(10), FILTER(split(E41, char(10)), REGEXMATCH(split(E41, char(10)), PerkLineRegex))), """")"),"")</f>
        <v/>
      </c>
      <c r="H41" s="31" t="str">
        <f t="shared" si="1"/>
        <v/>
      </c>
    </row>
    <row r="42">
      <c r="A42" s="9" t="s">
        <v>1535</v>
      </c>
      <c r="B42" s="33" t="s">
        <v>1566</v>
      </c>
      <c r="C42" s="34" t="s">
        <v>664</v>
      </c>
      <c r="D42" s="11" t="s">
        <v>1567</v>
      </c>
      <c r="E42" s="31"/>
      <c r="F42" s="31"/>
      <c r="G42" s="31" t="str">
        <f>IFERROR(__xludf.DUMMYFUNCTION("if(len(E42) &gt; 0, join(char(10), FILTER(split(E42, char(10)), REGEXMATCH(split(E42, char(10)), PerkLineRegex))), """")"),"")</f>
        <v/>
      </c>
      <c r="H42" s="31" t="str">
        <f t="shared" si="1"/>
        <v/>
      </c>
    </row>
    <row r="43">
      <c r="A43" s="9" t="s">
        <v>1535</v>
      </c>
      <c r="B43" s="33" t="s">
        <v>1568</v>
      </c>
      <c r="C43" s="34" t="s">
        <v>942</v>
      </c>
      <c r="D43" s="11" t="s">
        <v>1567</v>
      </c>
      <c r="E43" s="31"/>
      <c r="F43" s="31"/>
      <c r="G43" s="31" t="str">
        <f>IFERROR(__xludf.DUMMYFUNCTION("if(len(E43) &gt; 0, join(char(10), FILTER(split(E43, char(10)), REGEXMATCH(split(E43, char(10)), PerkLineRegex))), """")"),"")</f>
        <v/>
      </c>
      <c r="H43" s="31" t="str">
        <f t="shared" si="1"/>
        <v/>
      </c>
    </row>
    <row r="44">
      <c r="A44" s="9" t="s">
        <v>1535</v>
      </c>
      <c r="B44" s="33" t="s">
        <v>1569</v>
      </c>
      <c r="C44" s="34" t="s">
        <v>778</v>
      </c>
      <c r="D44" s="11" t="s">
        <v>1567</v>
      </c>
      <c r="E44" s="31"/>
      <c r="F44" s="31"/>
      <c r="G44" s="31" t="str">
        <f>IFERROR(__xludf.DUMMYFUNCTION("if(len(E44) &gt; 0, join(char(10), FILTER(split(E44, char(10)), REGEXMATCH(split(E44, char(10)), PerkLineRegex))), """")"),"")</f>
        <v/>
      </c>
      <c r="H44" s="31" t="str">
        <f t="shared" si="1"/>
        <v/>
      </c>
    </row>
    <row r="45">
      <c r="A45" s="9" t="s">
        <v>1535</v>
      </c>
      <c r="B45" s="33" t="s">
        <v>1570</v>
      </c>
      <c r="C45" s="34" t="s">
        <v>1571</v>
      </c>
      <c r="D45" s="11" t="s">
        <v>1567</v>
      </c>
      <c r="E45" s="31"/>
      <c r="F45" s="31"/>
      <c r="G45" s="31" t="str">
        <f>IFERROR(__xludf.DUMMYFUNCTION("if(len(E45) &gt; 0, join(char(10), FILTER(split(E45, char(10)), REGEXMATCH(split(E45, char(10)), PerkLineRegex))), """")"),"")</f>
        <v/>
      </c>
      <c r="H45" s="31" t="str">
        <f t="shared" si="1"/>
        <v/>
      </c>
    </row>
    <row r="46">
      <c r="A46" s="9" t="s">
        <v>1535</v>
      </c>
      <c r="B46" s="33" t="s">
        <v>1572</v>
      </c>
      <c r="C46" s="34" t="s">
        <v>1571</v>
      </c>
      <c r="D46" s="11" t="s">
        <v>1567</v>
      </c>
      <c r="E46" s="31"/>
      <c r="F46" s="31"/>
      <c r="G46" s="31" t="str">
        <f>IFERROR(__xludf.DUMMYFUNCTION("if(len(E46) &gt; 0, join(char(10), FILTER(split(E46, char(10)), REGEXMATCH(split(E46, char(10)), PerkLineRegex))), """")"),"")</f>
        <v/>
      </c>
      <c r="H46" s="31" t="str">
        <f t="shared" si="1"/>
        <v/>
      </c>
    </row>
    <row r="47">
      <c r="A47" s="9" t="s">
        <v>1535</v>
      </c>
      <c r="B47" s="37" t="s">
        <v>1573</v>
      </c>
      <c r="C47" s="34" t="s">
        <v>635</v>
      </c>
      <c r="D47" s="11" t="s">
        <v>1567</v>
      </c>
      <c r="E47" s="31"/>
      <c r="F47" s="31"/>
      <c r="G47" s="31" t="str">
        <f>IFERROR(__xludf.DUMMYFUNCTION("if(len(E47) &gt; 0, join(char(10), FILTER(split(E47, char(10)), REGEXMATCH(split(E47, char(10)), PerkLineRegex))), """")"),"")</f>
        <v/>
      </c>
      <c r="H47" s="31" t="str">
        <f t="shared" si="1"/>
        <v/>
      </c>
    </row>
    <row r="48">
      <c r="A48" s="9" t="s">
        <v>1535</v>
      </c>
      <c r="B48" s="33" t="s">
        <v>1574</v>
      </c>
      <c r="C48" s="34" t="s">
        <v>635</v>
      </c>
      <c r="D48" s="11" t="s">
        <v>1567</v>
      </c>
      <c r="E48" s="31"/>
      <c r="F48" s="31"/>
      <c r="G48" s="31" t="str">
        <f>IFERROR(__xludf.DUMMYFUNCTION("if(len(E48) &gt; 0, join(char(10), FILTER(split(E48, char(10)), REGEXMATCH(split(E48, char(10)), PerkLineRegex))), """")"),"")</f>
        <v/>
      </c>
      <c r="H48" s="31" t="str">
        <f t="shared" si="1"/>
        <v/>
      </c>
    </row>
    <row r="49">
      <c r="A49" s="9" t="s">
        <v>1535</v>
      </c>
      <c r="B49" s="33" t="s">
        <v>1575</v>
      </c>
      <c r="C49" s="34" t="s">
        <v>635</v>
      </c>
      <c r="D49" s="11" t="s">
        <v>1567</v>
      </c>
      <c r="E49" s="31"/>
      <c r="F49" s="31"/>
      <c r="G49" s="31" t="str">
        <f>IFERROR(__xludf.DUMMYFUNCTION("if(len(E49) &gt; 0, join(char(10), FILTER(split(E49, char(10)), REGEXMATCH(split(E49, char(10)), PerkLineRegex))), """")"),"")</f>
        <v/>
      </c>
      <c r="H49" s="31" t="str">
        <f t="shared" si="1"/>
        <v/>
      </c>
    </row>
    <row r="50">
      <c r="A50" s="9" t="s">
        <v>1535</v>
      </c>
      <c r="B50" s="33" t="s">
        <v>1576</v>
      </c>
      <c r="C50" s="34" t="s">
        <v>471</v>
      </c>
      <c r="D50" s="11" t="s">
        <v>1567</v>
      </c>
      <c r="E50" s="31"/>
      <c r="F50" s="31"/>
      <c r="G50" s="31" t="str">
        <f>IFERROR(__xludf.DUMMYFUNCTION("if(len(E50) &gt; 0, join(char(10), FILTER(split(E50, char(10)), REGEXMATCH(split(E50, char(10)), PerkLineRegex))), """")"),"")</f>
        <v/>
      </c>
      <c r="H50" s="31" t="str">
        <f t="shared" si="1"/>
        <v/>
      </c>
    </row>
    <row r="51">
      <c r="A51" s="9" t="s">
        <v>1577</v>
      </c>
      <c r="B51" s="9" t="s">
        <v>1578</v>
      </c>
      <c r="C51" s="9" t="s">
        <v>352</v>
      </c>
      <c r="D51" s="11" t="str">
        <f>IFERROR(__xludf.DUMMYFUNCTION("ifs(not(isna(MATCH(C51, ExcludedJumps, 0))), ""Excluded"", len(E51) = 0, ""Available"", REGEXMATCH(E51, RepeatableRegex), ""Repeatable"", countif(ARRAYFORMULA(REGEXMATCH(G51, split(B51, char(10)))), ""false"") = 0, ""Obtained"", true, ""Partial"")"),"Obtained")</f>
        <v>Obtained</v>
      </c>
      <c r="E51" s="9" t="s">
        <v>1579</v>
      </c>
      <c r="F51" s="9" t="s">
        <v>203</v>
      </c>
      <c r="G51" s="31" t="str">
        <f>IFERROR(__xludf.DUMMYFUNCTION("if(len(E51) &gt; 0, join(char(10), FILTER(split(E51, char(10)), REGEXMATCH(split(E51, char(10)), PerkLineRegex))), """")"),"The Flock's Fleece (Actraiser) 400:")</f>
        <v>The Flock's Fleece (Actraiser) 400:</v>
      </c>
      <c r="H51" s="31" t="str">
        <f t="shared" si="1"/>
        <v>_</v>
      </c>
    </row>
    <row r="52">
      <c r="A52" s="9" t="s">
        <v>1577</v>
      </c>
      <c r="B52" s="9" t="s">
        <v>1580</v>
      </c>
      <c r="C52" s="9" t="s">
        <v>303</v>
      </c>
      <c r="D52" s="11" t="str">
        <f>IFERROR(__xludf.DUMMYFUNCTION("ifs(not(isna(MATCH(C52, ExcludedJumps, 0))), ""Excluded"", len(E52) = 0, ""Available"", REGEXMATCH(E52, RepeatableRegex), ""Repeatable"", countif(ARRAYFORMULA(REGEXMATCH(G52, split(B52, char(10)))), ""false"") = 0, ""Obtained"", true, ""Partial"")"),"Obtained")</f>
        <v>Obtained</v>
      </c>
      <c r="E52" s="9" t="s">
        <v>1581</v>
      </c>
      <c r="F52" s="9" t="s">
        <v>199</v>
      </c>
      <c r="G52" s="31" t="str">
        <f>IFERROR(__xludf.DUMMYFUNCTION("if(len(E52) &gt; 0, join(char(10), FILTER(split(E52, char(10)), REGEXMATCH(split(E52, char(10)), PerkLineRegex))), """")"),"Garment Gloves (Dodgeball) 200:")</f>
        <v>Garment Gloves (Dodgeball) 200:</v>
      </c>
      <c r="H52" s="31" t="str">
        <f t="shared" si="1"/>
        <v>_</v>
      </c>
    </row>
    <row r="53">
      <c r="A53" s="9" t="s">
        <v>1577</v>
      </c>
      <c r="B53" s="9" t="s">
        <v>1582</v>
      </c>
      <c r="C53" s="9" t="s">
        <v>717</v>
      </c>
      <c r="D53" s="11" t="str">
        <f>IFERROR(__xludf.DUMMYFUNCTION("ifs(not(isna(MATCH(C53, ExcludedJumps, 0))), ""Excluded"", len(E53) = 0, ""Available"", REGEXMATCH(E53, RepeatableRegex), ""Repeatable"", countif(ARRAYFORMULA(REGEXMATCH(G53, split(B53, char(10)))), ""false"") = 0, ""Obtained"", true, ""Partial"")"),"Obtained")</f>
        <v>Obtained</v>
      </c>
      <c r="E53" s="9" t="s">
        <v>1583</v>
      </c>
      <c r="F53" s="9" t="s">
        <v>1584</v>
      </c>
      <c r="G53" s="31" t="str">
        <f>IFERROR(__xludf.DUMMYFUNCTION("if(len(E53) &gt; 0, join(char(10), FILTER(split(E53, char(10)), REGEXMATCH(split(E53, char(10)), PerkLineRegex))), """")"),"Avid Glove (Fallen London) 100:
Amateur Academic – Trivia (Fallen London) Free:
Dabbling Academic – Fool Proof (Fallen London) Free:
A Thing About Names (Fallen London) Free:")</f>
        <v>Avid Glove (Fallen London) 100:
Amateur Academic – Trivia (Fallen London) Free:
Dabbling Academic – Fool Proof (Fallen London) Free:
A Thing About Names (Fallen London) Free:</v>
      </c>
      <c r="H53" s="31" t="str">
        <f t="shared" si="1"/>
        <v>_
Chapter 66: 51 Lunchtime
Chapter 66: 51 Lunchtime
Chapter 66: 51 Lunchtime</v>
      </c>
    </row>
    <row r="54">
      <c r="A54" s="9" t="s">
        <v>1577</v>
      </c>
      <c r="B54" s="9" t="s">
        <v>1585</v>
      </c>
      <c r="C54" s="9" t="s">
        <v>1586</v>
      </c>
      <c r="D54" s="11" t="str">
        <f>IFERROR(__xludf.DUMMYFUNCTION("ifs(not(isna(MATCH(C54, ExcludedJumps, 0))), ""Excluded"", len(E54) = 0, ""Available"", REGEXMATCH(E54, RepeatableRegex), ""Repeatable"", countif(ARRAYFORMULA(REGEXMATCH(G54, split(B54, char(10)))), ""false"") = 0, ""Obtained"", true, ""Partial"")"),"Excluded")</f>
        <v>Excluded</v>
      </c>
      <c r="E54" s="31"/>
      <c r="F54" s="31"/>
      <c r="G54" s="31" t="str">
        <f>IFERROR(__xludf.DUMMYFUNCTION("if(len(E54) &gt; 0, join(char(10), FILTER(split(E54, char(10)), REGEXMATCH(split(E54, char(10)), PerkLineRegex))), """")"),"")</f>
        <v/>
      </c>
      <c r="H54" s="31" t="str">
        <f t="shared" si="1"/>
        <v/>
      </c>
    </row>
    <row r="55">
      <c r="A55" s="9" t="s">
        <v>1577</v>
      </c>
      <c r="B55" s="9" t="s">
        <v>1587</v>
      </c>
      <c r="C55" s="9" t="s">
        <v>1588</v>
      </c>
      <c r="D55" s="11" t="str">
        <f>IFERROR(__xludf.DUMMYFUNCTION("ifs(not(isna(MATCH(C55, ExcludedJumps, 0))), ""Excluded"", len(E55) = 0, ""Available"", REGEXMATCH(E55, RepeatableRegex), ""Repeatable"", countif(ARRAYFORMULA(REGEXMATCH(G55, split(B55, char(10)))), ""false"") = 0, ""Obtained"", true, ""Partial"")"),"Obtained")</f>
        <v>Obtained</v>
      </c>
      <c r="E55" s="9" t="s">
        <v>1589</v>
      </c>
      <c r="F55" s="9" t="s">
        <v>207</v>
      </c>
      <c r="G55" s="31" t="str">
        <f>IFERROR(__xludf.DUMMYFUNCTION("if(len(E55) &gt; 0, join(char(10), FILTER(split(E55, char(10)), REGEXMATCH(split(E55, char(10)), PerkLineRegex))), """")"),"Fashion (Highschool of the Dead) 200:")</f>
        <v>Fashion (Highschool of the Dead) 200:</v>
      </c>
      <c r="H55" s="31" t="str">
        <f t="shared" si="1"/>
        <v>_</v>
      </c>
    </row>
    <row r="56">
      <c r="A56" s="9" t="s">
        <v>1577</v>
      </c>
      <c r="B56" s="9" t="s">
        <v>1590</v>
      </c>
      <c r="C56" s="9" t="s">
        <v>671</v>
      </c>
      <c r="D56" s="11" t="str">
        <f>IFERROR(__xludf.DUMMYFUNCTION("ifs(not(isna(MATCH(C56, ExcludedJumps, 0))), ""Excluded"", len(E56) = 0, ""Available"", REGEXMATCH(E56, RepeatableRegex), ""Repeatable"", countif(ARRAYFORMULA(REGEXMATCH(G56, split(B56, char(10)))), ""false"") = 0, ""Obtained"", true, ""Partial"")"),"Obtained")</f>
        <v>Obtained</v>
      </c>
      <c r="E56" s="9" t="s">
        <v>1591</v>
      </c>
      <c r="F56" s="9" t="s">
        <v>211</v>
      </c>
      <c r="G56" s="31" t="str">
        <f>IFERROR(__xludf.DUMMYFUNCTION("if(len(E56) &gt; 0, join(char(10), FILTER(split(E56, char(10)), REGEXMATCH(split(E56, char(10)), PerkLineRegex))), """")"),"Putting On The Reich (Indiana Jones) 200:")</f>
        <v>Putting On The Reich (Indiana Jones) 200:</v>
      </c>
      <c r="H56" s="31" t="str">
        <f t="shared" si="1"/>
        <v>_</v>
      </c>
    </row>
    <row r="57">
      <c r="A57" s="9" t="s">
        <v>1577</v>
      </c>
      <c r="B57" s="9" t="s">
        <v>1592</v>
      </c>
      <c r="C57" s="9" t="s">
        <v>705</v>
      </c>
      <c r="D57" s="11" t="str">
        <f>IFERROR(__xludf.DUMMYFUNCTION("ifs(not(isna(MATCH(C57, ExcludedJumps, 0))), ""Excluded"", len(E57) = 0, ""Available"", REGEXMATCH(E57, RepeatableRegex), ""Repeatable"", countif(ARRAYFORMULA(REGEXMATCH(G57, split(B57, char(10)))), ""false"") = 0, ""Obtained"", true, ""Partial"")"),"Obtained")</f>
        <v>Obtained</v>
      </c>
      <c r="E57" s="9" t="s">
        <v>1593</v>
      </c>
      <c r="F57" s="9" t="s">
        <v>211</v>
      </c>
      <c r="G57" s="31" t="str">
        <f>IFERROR(__xludf.DUMMYFUNCTION("if(len(E57) &gt; 0, join(char(10), FILTER(split(E57, char(10)), REGEXMATCH(split(E57, char(10)), PerkLineRegex))), """")"),"Talented: Tailoring (Inukami) 100:")</f>
        <v>Talented: Tailoring (Inukami) 100:</v>
      </c>
      <c r="H57" s="31" t="str">
        <f t="shared" si="1"/>
        <v>_</v>
      </c>
    </row>
    <row r="58">
      <c r="A58" s="9" t="s">
        <v>1577</v>
      </c>
      <c r="B58" s="9" t="s">
        <v>1594</v>
      </c>
      <c r="C58" s="9" t="s">
        <v>1595</v>
      </c>
      <c r="D58" s="11" t="str">
        <f>IFERROR(__xludf.DUMMYFUNCTION("ifs(not(isna(MATCH(C58, ExcludedJumps, 0))), ""Excluded"", len(E58) = 0, ""Available"", REGEXMATCH(E58, RepeatableRegex), ""Repeatable"", countif(ARRAYFORMULA(REGEXMATCH(G58, split(B58, char(10)))), ""false"") = 0, ""Obtained"", true, ""Partial"")"),"Excluded")</f>
        <v>Excluded</v>
      </c>
      <c r="E58" s="31"/>
      <c r="F58" s="31"/>
      <c r="G58" s="31" t="str">
        <f>IFERROR(__xludf.DUMMYFUNCTION("if(len(E58) &gt; 0, join(char(10), FILTER(split(E58, char(10)), REGEXMATCH(split(E58, char(10)), PerkLineRegex))), """")"),"")</f>
        <v/>
      </c>
      <c r="H58" s="31" t="str">
        <f t="shared" si="1"/>
        <v/>
      </c>
    </row>
    <row r="59">
      <c r="A59" s="9" t="s">
        <v>1577</v>
      </c>
      <c r="B59" s="9" t="s">
        <v>1596</v>
      </c>
      <c r="C59" s="9" t="s">
        <v>306</v>
      </c>
      <c r="D59" s="11" t="str">
        <f>IFERROR(__xludf.DUMMYFUNCTION("ifs(not(isna(MATCH(C59, ExcludedJumps, 0))), ""Excluded"", len(E59) = 0, ""Available"", REGEXMATCH(E59, RepeatableRegex), ""Repeatable"", countif(ARRAYFORMULA(REGEXMATCH(G59, split(B59, char(10)))), ""false"") = 0, ""Obtained"", true, ""Partial"")"),"Obtained")</f>
        <v>Obtained</v>
      </c>
      <c r="E59" s="9" t="s">
        <v>1597</v>
      </c>
      <c r="F59" s="9" t="s">
        <v>1598</v>
      </c>
      <c r="G59" s="31" t="str">
        <f>IFERROR(__xludf.DUMMYFUNCTION("if(len(E59) &gt; 0, join(char(10), FILTER(split(E59, char(10)), REGEXMATCH(split(E59, char(10)), PerkLineRegex))), """")"),"Life Fiber Spool (Kill la Kill) 400:
Tailor (Kill la Kill) 300:")</f>
        <v>Life Fiber Spool (Kill la Kill) 400:
Tailor (Kill la Kill) 300:</v>
      </c>
      <c r="H59" s="31" t="str">
        <f t="shared" si="1"/>
        <v>_
_</v>
      </c>
    </row>
    <row r="60">
      <c r="A60" s="9" t="s">
        <v>1577</v>
      </c>
      <c r="B60" s="9" t="s">
        <v>1599</v>
      </c>
      <c r="C60" s="9" t="s">
        <v>1600</v>
      </c>
      <c r="D60" s="11" t="str">
        <f>IFERROR(__xludf.DUMMYFUNCTION("ifs(not(isna(MATCH(C60, ExcludedJumps, 0))), ""Excluded"", len(E60) = 0, ""Available"", REGEXMATCH(E60, RepeatableRegex), ""Repeatable"", countif(ARRAYFORMULA(REGEXMATCH(G60, split(B60, char(10)))), ""false"") = 0, ""Obtained"", true, ""Partial"")"),"Excluded")</f>
        <v>Excluded</v>
      </c>
      <c r="E60" s="31"/>
      <c r="F60" s="31"/>
      <c r="G60" s="31" t="str">
        <f>IFERROR(__xludf.DUMMYFUNCTION("if(len(E60) &gt; 0, join(char(10), FILTER(split(E60, char(10)), REGEXMATCH(split(E60, char(10)), PerkLineRegex))), """")"),"")</f>
        <v/>
      </c>
      <c r="H60" s="31" t="str">
        <f t="shared" si="1"/>
        <v/>
      </c>
    </row>
    <row r="61">
      <c r="A61" s="9" t="s">
        <v>1577</v>
      </c>
      <c r="B61" s="9" t="s">
        <v>1601</v>
      </c>
      <c r="C61" s="9" t="s">
        <v>42</v>
      </c>
      <c r="D61" s="11" t="str">
        <f>IFERROR(__xludf.DUMMYFUNCTION("ifs(not(isna(MATCH(C61, ExcludedJumps, 0))), ""Excluded"", len(E61) = 0, ""Available"", REGEXMATCH(E61, RepeatableRegex), ""Repeatable"", countif(ARRAYFORMULA(REGEXMATCH(G61, split(B61, char(10)))), ""false"") = 0, ""Obtained"", true, ""Partial"")"),"Obtained")</f>
        <v>Obtained</v>
      </c>
      <c r="E61" s="9" t="s">
        <v>1602</v>
      </c>
      <c r="F61" s="9" t="s">
        <v>205</v>
      </c>
      <c r="G61" s="31" t="str">
        <f>IFERROR(__xludf.DUMMYFUNCTION("if(len(E61) &gt; 0, join(char(10), FILTER(split(E61, char(10)), REGEXMATCH(split(E61, char(10)), PerkLineRegex))), """")"),"Micromanipulators (A Certain Scientific Railgun) 50:")</f>
        <v>Micromanipulators (A Certain Scientific Railgun) 50:</v>
      </c>
      <c r="H61" s="31" t="str">
        <f t="shared" si="1"/>
        <v>_</v>
      </c>
    </row>
    <row r="62">
      <c r="A62" s="9" t="s">
        <v>1577</v>
      </c>
      <c r="B62" s="9" t="s">
        <v>1603</v>
      </c>
      <c r="C62" s="9" t="s">
        <v>639</v>
      </c>
      <c r="D62" s="11" t="str">
        <f>IFERROR(__xludf.DUMMYFUNCTION("ifs(not(isna(MATCH(C62, ExcludedJumps, 0))), ""Excluded"", len(E62) = 0, ""Available"", REGEXMATCH(E62, RepeatableRegex), ""Repeatable"", countif(ARRAYFORMULA(REGEXMATCH(G62, split(B62, char(10)))), ""false"") = 0, ""Obtained"", true, ""Partial"")"),"Obtained")</f>
        <v>Obtained</v>
      </c>
      <c r="E62" s="9" t="s">
        <v>1604</v>
      </c>
      <c r="F62" s="9" t="s">
        <v>211</v>
      </c>
      <c r="G62" s="31" t="str">
        <f>IFERROR(__xludf.DUMMYFUNCTION("if(len(E62) &gt; 0, join(char(10), FILTER(split(E62, char(10)), REGEXMATCH(split(E62, char(10)), PerkLineRegex))), """")"),"Secular Skills (Red Dwarf) 200:")</f>
        <v>Secular Skills (Red Dwarf) 200:</v>
      </c>
      <c r="H62" s="31" t="str">
        <f t="shared" si="1"/>
        <v>_</v>
      </c>
    </row>
    <row r="63">
      <c r="A63" s="9" t="s">
        <v>1577</v>
      </c>
      <c r="B63" s="9" t="s">
        <v>1605</v>
      </c>
      <c r="C63" s="9" t="s">
        <v>1606</v>
      </c>
      <c r="D63" s="11" t="str">
        <f>IFERROR(__xludf.DUMMYFUNCTION("ifs(not(isna(MATCH(C63, ExcludedJumps, 0))), ""Excluded"", len(E63) = 0, ""Available"", REGEXMATCH(E63, RepeatableRegex), ""Repeatable"", countif(ARRAYFORMULA(REGEXMATCH(G63, split(B63, char(10)))), ""false"") = 0, ""Obtained"", true, ""Partial"")"),"Excluded")</f>
        <v>Excluded</v>
      </c>
      <c r="E63" s="31"/>
      <c r="F63" s="31"/>
      <c r="G63" s="31" t="str">
        <f>IFERROR(__xludf.DUMMYFUNCTION("if(len(E63) &gt; 0, join(char(10), FILTER(split(E63, char(10)), REGEXMATCH(split(E63, char(10)), PerkLineRegex))), """")"),"")</f>
        <v/>
      </c>
      <c r="H63" s="31" t="str">
        <f t="shared" si="1"/>
        <v/>
      </c>
    </row>
    <row r="64">
      <c r="A64" s="9" t="s">
        <v>1577</v>
      </c>
      <c r="B64" s="9" t="s">
        <v>1607</v>
      </c>
      <c r="C64" s="9" t="s">
        <v>745</v>
      </c>
      <c r="D64" s="11" t="str">
        <f>IFERROR(__xludf.DUMMYFUNCTION("ifs(not(isna(MATCH(C64, ExcludedJumps, 0))), ""Excluded"", len(E64) = 0, ""Available"", REGEXMATCH(E64, RepeatableRegex), ""Repeatable"", countif(ARRAYFORMULA(REGEXMATCH(G64, split(B64, char(10)))), ""false"") = 0, ""Obtained"", true, ""Partial"")"),"Obtained")</f>
        <v>Obtained</v>
      </c>
      <c r="E64" s="9" t="s">
        <v>1608</v>
      </c>
      <c r="F64" s="9" t="s">
        <v>199</v>
      </c>
      <c r="G64" s="31" t="str">
        <f>IFERROR(__xludf.DUMMYFUNCTION("if(len(E64) &gt; 0, join(char(10), FILTER(split(E64, char(10)), REGEXMATCH(split(E64, char(10)), PerkLineRegex))), """")"),"Sea Snail Shells (Splatoon) 300:")</f>
        <v>Sea Snail Shells (Splatoon) 300:</v>
      </c>
      <c r="H64" s="31" t="str">
        <f t="shared" si="1"/>
        <v>_</v>
      </c>
    </row>
    <row r="65">
      <c r="A65" s="9" t="s">
        <v>1577</v>
      </c>
      <c r="B65" s="9" t="s">
        <v>1609</v>
      </c>
      <c r="C65" s="9" t="s">
        <v>579</v>
      </c>
      <c r="D65" s="11" t="str">
        <f>IFERROR(__xludf.DUMMYFUNCTION("ifs(not(isna(MATCH(C65, ExcludedJumps, 0))), ""Excluded"", len(E65) = 0, ""Available"", REGEXMATCH(E65, RepeatableRegex), ""Repeatable"", countif(ARRAYFORMULA(REGEXMATCH(G65, split(B65, char(10)))), ""false"") = 0, ""Obtained"", true, ""Partial"")"),"Obtained")</f>
        <v>Obtained</v>
      </c>
      <c r="E65" s="9" t="s">
        <v>1610</v>
      </c>
      <c r="F65" s="9" t="s">
        <v>207</v>
      </c>
      <c r="G65" s="31" t="str">
        <f>IFERROR(__xludf.DUMMYFUNCTION("if(len(E65) &gt; 0, join(char(10), FILTER(split(E65, char(10)), REGEXMATCH(split(E65, char(10)), PerkLineRegex))), """")"),"Juggernaut (Terraria) 200:")</f>
        <v>Juggernaut (Terraria) 200:</v>
      </c>
      <c r="H65" s="31" t="str">
        <f t="shared" si="1"/>
        <v>_</v>
      </c>
    </row>
    <row r="66">
      <c r="A66" s="9" t="s">
        <v>1577</v>
      </c>
      <c r="B66" s="9" t="s">
        <v>1611</v>
      </c>
      <c r="C66" s="9" t="s">
        <v>799</v>
      </c>
      <c r="D66" s="11" t="str">
        <f>IFERROR(__xludf.DUMMYFUNCTION("ifs(not(isna(MATCH(C66, ExcludedJumps, 0))), ""Excluded"", len(E66) = 0, ""Available"", REGEXMATCH(E66, RepeatableRegex), ""Repeatable"", countif(ARRAYFORMULA(REGEXMATCH(G66, split(B66, char(10)))), ""false"") = 0, ""Obtained"", true, ""Partial"")"),"Obtained")</f>
        <v>Obtained</v>
      </c>
      <c r="E66" s="9" t="s">
        <v>1612</v>
      </c>
      <c r="F66" s="9" t="s">
        <v>1613</v>
      </c>
      <c r="G66" s="31" t="str">
        <f>IFERROR(__xludf.DUMMYFUNCTION("if(len(E66) &gt; 0, join(char(10), FILTER(split(E66, char(10)), REGEXMATCH(split(E66, char(10)), PerkLineRegex))), """")"),"Fashion Nonvictim (The World Ends With You) 200:
Flaw - Doormat (The World Ends With You) Free?:
Mental Fortress (The World Ends With You) Free!:")</f>
        <v>Fashion Nonvictim (The World Ends With You) 200:
Flaw - Doormat (The World Ends With You) Free?:
Mental Fortress (The World Ends With You) Free!:</v>
      </c>
      <c r="H66" s="31" t="str">
        <f t="shared" si="1"/>
        <v>_
Chapter 80: 61 Summit Confrontations
_</v>
      </c>
    </row>
    <row r="67">
      <c r="A67" s="9" t="s">
        <v>1577</v>
      </c>
      <c r="B67" s="9" t="s">
        <v>1614</v>
      </c>
      <c r="C67" s="9" t="s">
        <v>1534</v>
      </c>
      <c r="D67" s="11" t="str">
        <f>IFERROR(__xludf.DUMMYFUNCTION("ifs(not(isna(MATCH(C67, ExcludedJumps, 0))), ""Excluded"", len(E67) = 0, ""Available"", REGEXMATCH(E67, RepeatableRegex), ""Repeatable"", countif(ARRAYFORMULA(REGEXMATCH(G67, split(B67, char(10)))), ""false"") = 0, ""Obtained"", true, ""Partial"")"),"Excluded")</f>
        <v>Excluded</v>
      </c>
      <c r="E67" s="31"/>
      <c r="F67" s="31"/>
      <c r="G67" s="31" t="str">
        <f>IFERROR(__xludf.DUMMYFUNCTION("if(len(E67) &gt; 0, join(char(10), FILTER(split(E67, char(10)), REGEXMATCH(split(E67, char(10)), PerkLineRegex))), """")"),"")</f>
        <v/>
      </c>
      <c r="H67" s="31" t="str">
        <f t="shared" si="1"/>
        <v/>
      </c>
    </row>
    <row r="68">
      <c r="A68" s="9" t="s">
        <v>1615</v>
      </c>
      <c r="B68" s="9" t="s">
        <v>1616</v>
      </c>
      <c r="C68" s="9" t="s">
        <v>1617</v>
      </c>
      <c r="D68" s="11" t="str">
        <f>IFERROR(__xludf.DUMMYFUNCTION("ifs(not(isna(MATCH(C68, ExcludedJumps, 0))), ""Excluded"", len(E68) = 0, ""Available"", REGEXMATCH(E68, RepeatableRegex), ""Repeatable"", countif(ARRAYFORMULA(REGEXMATCH(G68, split(B68, char(10)))), ""false"") = 0, ""Obtained"", true, ""Partial"")"),"Excluded")</f>
        <v>Excluded</v>
      </c>
      <c r="E68" s="31"/>
      <c r="F68" s="31"/>
      <c r="G68" s="31" t="str">
        <f>IFERROR(__xludf.DUMMYFUNCTION("if(len(E68) &gt; 0, join(char(10), FILTER(split(E68, char(10)), REGEXMATCH(split(E68, char(10)), PerkLineRegex))), """")"),"")</f>
        <v/>
      </c>
      <c r="H68" s="31" t="str">
        <f t="shared" si="1"/>
        <v/>
      </c>
    </row>
    <row r="69">
      <c r="A69" s="9" t="s">
        <v>1615</v>
      </c>
      <c r="B69" s="9" t="s">
        <v>1618</v>
      </c>
      <c r="C69" s="9" t="s">
        <v>369</v>
      </c>
      <c r="D69" s="11" t="str">
        <f>IFERROR(__xludf.DUMMYFUNCTION("ifs(not(isna(MATCH(C69, ExcludedJumps, 0))), ""Excluded"", len(E69) = 0, ""Available"", REGEXMATCH(E69, RepeatableRegex), ""Repeatable"", countif(ARRAYFORMULA(REGEXMATCH(G69, split(B69, char(10)))), ""false"") = 0, ""Obtained"", true, ""Partial"")"),"Obtained")</f>
        <v>Obtained</v>
      </c>
      <c r="E69" s="9" t="s">
        <v>1619</v>
      </c>
      <c r="F69" s="9" t="s">
        <v>211</v>
      </c>
      <c r="G69" s="31" t="str">
        <f>IFERROR(__xludf.DUMMYFUNCTION("if(len(E69) &gt; 0, join(char(10), FILTER(split(E69, char(10)), REGEXMATCH(split(E69, char(10)), PerkLineRegex))), """")"),"Weapon Modifications (Archer) 100:")</f>
        <v>Weapon Modifications (Archer) 100:</v>
      </c>
      <c r="H69" s="31" t="str">
        <f t="shared" si="1"/>
        <v>_</v>
      </c>
    </row>
    <row r="70">
      <c r="A70" s="9" t="s">
        <v>1615</v>
      </c>
      <c r="B70" s="9" t="s">
        <v>1620</v>
      </c>
      <c r="C70" s="9" t="s">
        <v>1338</v>
      </c>
      <c r="D70" s="11" t="str">
        <f>IFERROR(__xludf.DUMMYFUNCTION("ifs(not(isna(MATCH(C70, ExcludedJumps, 0))), ""Excluded"", len(E70) = 0, ""Available"", REGEXMATCH(E70, RepeatableRegex), ""Repeatable"", countif(ARRAYFORMULA(REGEXMATCH(G70, split(B70, char(10)))), ""false"") = 0, ""Obtained"", true, ""Partial"")"),"Obtained")</f>
        <v>Obtained</v>
      </c>
      <c r="E70" s="9" t="s">
        <v>1621</v>
      </c>
      <c r="F70" s="9" t="s">
        <v>1622</v>
      </c>
      <c r="G70" s="31" t="str">
        <f>IFERROR(__xludf.DUMMYFUNCTION("if(len(E70) &gt; 0, join(char(10), FILTER(split(E70, char(10)), REGEXMATCH(split(E70, char(10)), PerkLineRegex))), """")"),"Workshop Artisan (Bloodborne) 300:
Rally (Bloodborne) Free:
Blood Bullets (Bloodborne) Free:
Gifts from the Little Ones (Bloodborne) Free:
Bag of Quicksilver Bullets (Bloodborne) Free:
Bag of Blood Vials (Bloodborne) Free:
Hunter (Bloodborne) Free:")</f>
        <v>Workshop Artisan (Bloodborne) 300:
Rally (Bloodborne) Free:
Blood Bullets (Bloodborne) Free:
Gifts from the Little Ones (Bloodborne) Free:
Bag of Quicksilver Bullets (Bloodborne) Free:
Bag of Blood Vials (Bloodborne) Free:
Hunter (Bloodborne) Free:</v>
      </c>
      <c r="H70" s="31" t="str">
        <f t="shared" si="1"/>
        <v>_
Chapter 141: 96.1 Interlude Uppercrust
Chapter 141: 96.1 Interlude Uppercrust
Chapter 141: 96.1 Interlude Uppercrust
Chapter 141: 96.1 Interlude Uppercrust
Chapter 141: 96.1 Interlude Uppercrust
Chapter 141: 96.1 Interlude Uppercrust</v>
      </c>
    </row>
    <row r="71">
      <c r="A71" s="9" t="s">
        <v>1615</v>
      </c>
      <c r="B71" s="9" t="s">
        <v>1623</v>
      </c>
      <c r="C71" s="9" t="s">
        <v>409</v>
      </c>
      <c r="D71" s="11" t="str">
        <f>IFERROR(__xludf.DUMMYFUNCTION("ifs(not(isna(MATCH(C71, ExcludedJumps, 0))), ""Excluded"", len(E71) = 0, ""Available"", REGEXMATCH(E71, RepeatableRegex), ""Repeatable"", countif(ARRAYFORMULA(REGEXMATCH(G71, split(B71, char(10)))), ""false"") = 0, ""Obtained"", true, ""Partial"")"),"Obtained")</f>
        <v>Obtained</v>
      </c>
      <c r="E71" s="9" t="s">
        <v>1624</v>
      </c>
      <c r="F71" s="9" t="s">
        <v>203</v>
      </c>
      <c r="G71" s="31" t="str">
        <f>IFERROR(__xludf.DUMMYFUNCTION("if(len(E71) &gt; 0, join(char(10), FILTER(split(E71, char(10)), REGEXMATCH(split(E71, char(10)), PerkLineRegex))), """")"),"Bandit Gunsmith (Borderlands) 100:")</f>
        <v>Bandit Gunsmith (Borderlands) 100:</v>
      </c>
      <c r="H71" s="31" t="str">
        <f t="shared" si="1"/>
        <v>_</v>
      </c>
    </row>
    <row r="72">
      <c r="A72" s="9" t="s">
        <v>1615</v>
      </c>
      <c r="B72" s="9" t="s">
        <v>1625</v>
      </c>
      <c r="C72" s="9" t="s">
        <v>390</v>
      </c>
      <c r="D72" s="11" t="str">
        <f>IFERROR(__xludf.DUMMYFUNCTION("ifs(not(isna(MATCH(C72, ExcludedJumps, 0))), ""Excluded"", len(E72) = 0, ""Available"", REGEXMATCH(E72, RepeatableRegex), ""Repeatable"", countif(ARRAYFORMULA(REGEXMATCH(G72, split(B72, char(10)))), ""false"") = 0, ""Obtained"", true, ""Partial"")"),"Obtained")</f>
        <v>Obtained</v>
      </c>
      <c r="E72" s="9" t="s">
        <v>1626</v>
      </c>
      <c r="F72" s="9" t="s">
        <v>389</v>
      </c>
      <c r="G72" s="31" t="str">
        <f>IFERROR(__xludf.DUMMYFUNCTION("if(len(E72) &gt; 0, join(char(10), FILTER(split(E72, char(10)), REGEXMATCH(split(E72, char(10)), PerkLineRegex))), """")"),"Fingers of the North Star (Cave Story) 200:")</f>
        <v>Fingers of the North Star (Cave Story) 200:</v>
      </c>
      <c r="H72" s="31" t="str">
        <f t="shared" si="1"/>
        <v>_</v>
      </c>
    </row>
    <row r="73">
      <c r="A73" s="9" t="s">
        <v>1615</v>
      </c>
      <c r="B73" s="9" t="s">
        <v>1627</v>
      </c>
      <c r="C73" s="9" t="s">
        <v>1628</v>
      </c>
      <c r="D73" s="11" t="str">
        <f>IFERROR(__xludf.DUMMYFUNCTION("ifs(not(isna(MATCH(C73, ExcludedJumps, 0))), ""Excluded"", len(E73) = 0, ""Available"", REGEXMATCH(E73, RepeatableRegex), ""Repeatable"", countif(ARRAYFORMULA(REGEXMATCH(G73, split(B73, char(10)))), ""false"") = 0, ""Obtained"", true, ""Partial"")"),"Excluded")</f>
        <v>Excluded</v>
      </c>
      <c r="E73" s="31"/>
      <c r="F73" s="31"/>
      <c r="G73" s="31" t="str">
        <f>IFERROR(__xludf.DUMMYFUNCTION("if(len(E73) &gt; 0, join(char(10), FILTER(split(E73, char(10)), REGEXMATCH(split(E73, char(10)), PerkLineRegex))), """")"),"")</f>
        <v/>
      </c>
      <c r="H73" s="31" t="str">
        <f t="shared" si="1"/>
        <v/>
      </c>
    </row>
    <row r="74">
      <c r="A74" s="9" t="s">
        <v>1615</v>
      </c>
      <c r="B74" s="9" t="s">
        <v>1629</v>
      </c>
      <c r="C74" s="9" t="s">
        <v>942</v>
      </c>
      <c r="D74" s="11" t="str">
        <f>IFERROR(__xludf.DUMMYFUNCTION("ifs(not(isna(MATCH(C74, ExcludedJumps, 0))), ""Excluded"", len(E74) = 0, ""Available"", REGEXMATCH(E74, RepeatableRegex), ""Repeatable"", countif(ARRAYFORMULA(REGEXMATCH(G74, split(B74, char(10)))), ""false"") = 0, ""Obtained"", true, ""Partial"")"),"Obtained")</f>
        <v>Obtained</v>
      </c>
      <c r="E74" s="9" t="s">
        <v>1630</v>
      </c>
      <c r="F74" s="9" t="s">
        <v>1631</v>
      </c>
      <c r="G74" s="31" t="str">
        <f>IFERROR(__xludf.DUMMYFUNCTION("if(len(E74) &gt; 0, join(char(10), FILTER(split(E74, char(10)), REGEXMATCH(split(E74, char(10)), PerkLineRegex))), """")"),"Weapon Crafting (Devil May Cry) 200:
Cuh-Ray-Zee! (Devil May Cry) Free:
Taunts (Devil May Cry) Free:
Weapon Swapping (Devil May Cry) Free:
Dark Slayer (Devil May Cry) Free:
Get Set! (Devil May Cry) Free:")</f>
        <v>Weapon Crafting (Devil May Cry) 200:
Cuh-Ray-Zee! (Devil May Cry) Free:
Taunts (Devil May Cry) Free:
Weapon Swapping (Devil May Cry) Free:
Dark Slayer (Devil May Cry) Free:
Get Set! (Devil May Cry) Free:</v>
      </c>
      <c r="H74" s="31" t="str">
        <f t="shared" si="1"/>
        <v>_
Chapter 72: 56 Arrival Time
Chapter 72: 56 Arrival Time
Chapter 72: 56 Arrival Time
Chapter 72: 56 Arrival Time
Chapter 72: 56 Arrival Time</v>
      </c>
    </row>
    <row r="75">
      <c r="A75" s="9" t="s">
        <v>1615</v>
      </c>
      <c r="B75" s="9" t="s">
        <v>1632</v>
      </c>
      <c r="C75" s="9" t="s">
        <v>1633</v>
      </c>
      <c r="D75" s="11" t="str">
        <f>IFERROR(__xludf.DUMMYFUNCTION("ifs(not(isna(MATCH(C75, ExcludedJumps, 0))), ""Excluded"", len(E75) = 0, ""Available"", REGEXMATCH(E75, RepeatableRegex), ""Repeatable"", countif(ARRAYFORMULA(REGEXMATCH(G75, split(B75, char(10)))), ""false"") = 0, ""Obtained"", true, ""Partial"")"),"Excluded")</f>
        <v>Excluded</v>
      </c>
      <c r="E75" s="31"/>
      <c r="F75" s="31"/>
      <c r="G75" s="31" t="str">
        <f>IFERROR(__xludf.DUMMYFUNCTION("if(len(E75) &gt; 0, join(char(10), FILTER(split(E75, char(10)), REGEXMATCH(split(E75, char(10)), PerkLineRegex))), """")"),"")</f>
        <v/>
      </c>
      <c r="H75" s="31" t="str">
        <f t="shared" si="1"/>
        <v/>
      </c>
    </row>
    <row r="76">
      <c r="A76" s="9" t="s">
        <v>1615</v>
      </c>
      <c r="B76" s="9" t="s">
        <v>1634</v>
      </c>
      <c r="C76" s="9" t="s">
        <v>898</v>
      </c>
      <c r="D76" s="11" t="str">
        <f>IFERROR(__xludf.DUMMYFUNCTION("ifs(not(isna(MATCH(C76, ExcludedJumps, 0))), ""Excluded"", len(E76) = 0, ""Available"", REGEXMATCH(E76, RepeatableRegex), ""Repeatable"", countif(ARRAYFORMULA(REGEXMATCH(G76, split(B76, char(10)))), ""false"") = 0, ""Obtained"", true, ""Partial"")"),"Obtained")</f>
        <v>Obtained</v>
      </c>
      <c r="E76" s="9" t="s">
        <v>1635</v>
      </c>
      <c r="F76" s="9" t="s">
        <v>1636</v>
      </c>
      <c r="G76" s="31" t="str">
        <f>IFERROR(__xludf.DUMMYFUNCTION("if(len(E76) &gt; 0, join(char(10), FILTER(split(E76, char(10)), REGEXMATCH(split(E76, char(10)), PerkLineRegex))), """")"),"Class Jumper (Fate Servant Supplement) 50:
Territory Creation E (Fate Servant Supplement) Free:
Magecraft C (Fate Servant Supplement) Free:
Noble Phantasm C (Fate Servant Supplement) Free:
Item Construction A+++ (Fate Servant Supplement) 550:")</f>
        <v>Class Jumper (Fate Servant Supplement) 50:
Territory Creation E (Fate Servant Supplement) Free:
Magecraft C (Fate Servant Supplement) Free:
Noble Phantasm C (Fate Servant Supplement) Free:
Item Construction A+++ (Fate Servant Supplement) 550:</v>
      </c>
      <c r="H76" s="31" t="str">
        <f t="shared" si="1"/>
        <v>_
Chapter 70: 55 Processing Time
Chapter 70: 55 Processing Time
Chapter 70: 55 Processing Time
Chapter 70: 55 Processing Time</v>
      </c>
    </row>
    <row r="77">
      <c r="A77" s="9" t="s">
        <v>1615</v>
      </c>
      <c r="B77" s="9" t="s">
        <v>1585</v>
      </c>
      <c r="C77" s="9" t="s">
        <v>1586</v>
      </c>
      <c r="D77" s="11" t="str">
        <f>IFERROR(__xludf.DUMMYFUNCTION("ifs(not(isna(MATCH(C77, ExcludedJumps, 0))), ""Excluded"", len(E77) = 0, ""Available"", REGEXMATCH(E77, RepeatableRegex), ""Repeatable"", countif(ARRAYFORMULA(REGEXMATCH(G77, split(B77, char(10)))), ""false"") = 0, ""Obtained"", true, ""Partial"")"),"Excluded")</f>
        <v>Excluded</v>
      </c>
      <c r="E77" s="31"/>
      <c r="F77" s="31"/>
      <c r="G77" s="31" t="str">
        <f>IFERROR(__xludf.DUMMYFUNCTION("if(len(E77) &gt; 0, join(char(10), FILTER(split(E77, char(10)), REGEXMATCH(split(E77, char(10)), PerkLineRegex))), """")"),"")</f>
        <v/>
      </c>
      <c r="H77" s="31" t="str">
        <f t="shared" si="1"/>
        <v/>
      </c>
    </row>
    <row r="78">
      <c r="A78" s="9" t="s">
        <v>1615</v>
      </c>
      <c r="B78" s="9" t="s">
        <v>1637</v>
      </c>
      <c r="C78" s="9" t="s">
        <v>1638</v>
      </c>
      <c r="D78" s="11" t="str">
        <f>IFERROR(__xludf.DUMMYFUNCTION("ifs(not(isna(MATCH(C78, ExcludedJumps, 0))), ""Excluded"", len(E78) = 0, ""Available"", REGEXMATCH(E78, RepeatableRegex), ""Repeatable"", countif(ARRAYFORMULA(REGEXMATCH(G78, split(B78, char(10)))), ""false"") = 0, ""Obtained"", true, ""Partial"")"),"Excluded")</f>
        <v>Excluded</v>
      </c>
      <c r="E78" s="31"/>
      <c r="F78" s="31"/>
      <c r="G78" s="31" t="str">
        <f>IFERROR(__xludf.DUMMYFUNCTION("if(len(E78) &gt; 0, join(char(10), FILTER(split(E78, char(10)), REGEXMATCH(split(E78, char(10)), PerkLineRegex))), """")"),"")</f>
        <v/>
      </c>
      <c r="H78" s="31" t="str">
        <f t="shared" si="1"/>
        <v/>
      </c>
    </row>
    <row r="79">
      <c r="A79" s="9" t="s">
        <v>1615</v>
      </c>
      <c r="B79" s="9" t="s">
        <v>1639</v>
      </c>
      <c r="C79" s="9" t="s">
        <v>401</v>
      </c>
      <c r="D79" s="11" t="str">
        <f>IFERROR(__xludf.DUMMYFUNCTION("ifs(not(isna(MATCH(C79, ExcludedJumps, 0))), ""Excluded"", len(E79) = 0, ""Available"", REGEXMATCH(E79, RepeatableRegex), ""Repeatable"", countif(ARRAYFORMULA(REGEXMATCH(G79, split(B79, char(10)))), ""false"") = 0, ""Obtained"", true, ""Partial"")"),"Obtained")</f>
        <v>Obtained</v>
      </c>
      <c r="E79" s="9" t="s">
        <v>1640</v>
      </c>
      <c r="F79" s="9" t="s">
        <v>203</v>
      </c>
      <c r="G79" s="31" t="str">
        <f>IFERROR(__xludf.DUMMYFUNCTION("if(len(E79) &gt; 0, join(char(10), FILTER(split(E79, char(10)), REGEXMATCH(split(E79, char(10)), PerkLineRegex))), """")"),"Master Craftsman (Forgotten Realms) 300:")</f>
        <v>Master Craftsman (Forgotten Realms) 300:</v>
      </c>
      <c r="H79" s="31" t="str">
        <f t="shared" si="1"/>
        <v>_</v>
      </c>
    </row>
    <row r="80">
      <c r="A80" s="9" t="s">
        <v>1615</v>
      </c>
      <c r="B80" s="9" t="s">
        <v>1641</v>
      </c>
      <c r="C80" s="9" t="s">
        <v>1512</v>
      </c>
      <c r="D80" s="11" t="str">
        <f>IFERROR(__xludf.DUMMYFUNCTION("ifs(not(isna(MATCH(C80, ExcludedJumps, 0))), ""Excluded"", len(E80) = 0, ""Available"", REGEXMATCH(E80, RepeatableRegex), ""Repeatable"", countif(ARRAYFORMULA(REGEXMATCH(G80, split(B80, char(10)))), ""false"") = 0, ""Obtained"", true, ""Partial"")"),"Excluded")</f>
        <v>Excluded</v>
      </c>
      <c r="E80" s="31"/>
      <c r="F80" s="31"/>
      <c r="G80" s="31" t="str">
        <f>IFERROR(__xludf.DUMMYFUNCTION("if(len(E80) &gt; 0, join(char(10), FILTER(split(E80, char(10)), REGEXMATCH(split(E80, char(10)), PerkLineRegex))), """")"),"")</f>
        <v/>
      </c>
      <c r="H80" s="31" t="str">
        <f t="shared" si="1"/>
        <v/>
      </c>
    </row>
    <row r="81">
      <c r="A81" s="9" t="s">
        <v>1615</v>
      </c>
      <c r="B81" s="9" t="s">
        <v>1642</v>
      </c>
      <c r="C81" s="9" t="s">
        <v>1513</v>
      </c>
      <c r="D81" s="11" t="str">
        <f>IFERROR(__xludf.DUMMYFUNCTION("ifs(not(isna(MATCH(C81, ExcludedJumps, 0))), ""Excluded"", len(E81) = 0, ""Available"", REGEXMATCH(E81, RepeatableRegex), ""Repeatable"", countif(ARRAYFORMULA(REGEXMATCH(G81, split(B81, char(10)))), ""false"") = 0, ""Obtained"", true, ""Partial"")"),"Excluded")</f>
        <v>Excluded</v>
      </c>
      <c r="E81" s="31"/>
      <c r="F81" s="31"/>
      <c r="G81" s="31" t="str">
        <f>IFERROR(__xludf.DUMMYFUNCTION("if(len(E81) &gt; 0, join(char(10), FILTER(split(E81, char(10)), REGEXMATCH(split(E81, char(10)), PerkLineRegex))), """")"),"")</f>
        <v/>
      </c>
      <c r="H81" s="31" t="str">
        <f t="shared" si="1"/>
        <v/>
      </c>
    </row>
    <row r="82">
      <c r="A82" s="9" t="s">
        <v>1615</v>
      </c>
      <c r="B82" s="9" t="s">
        <v>1643</v>
      </c>
      <c r="C82" s="9" t="s">
        <v>519</v>
      </c>
      <c r="D82" s="11" t="str">
        <f>IFERROR(__xludf.DUMMYFUNCTION("ifs(not(isna(MATCH(C82, ExcludedJumps, 0))), ""Excluded"", len(E82) = 0, ""Available"", REGEXMATCH(E82, RepeatableRegex), ""Repeatable"", countif(ARRAYFORMULA(REGEXMATCH(G82, split(B82, char(10)))), ""false"") = 0, ""Obtained"", true, ""Partial"")"),"Obtained")</f>
        <v>Obtained</v>
      </c>
      <c r="E82" s="9" t="s">
        <v>1644</v>
      </c>
      <c r="F82" s="9" t="s">
        <v>518</v>
      </c>
      <c r="G82" s="31" t="str">
        <f>IFERROR(__xludf.DUMMYFUNCTION("if(len(E82) &gt; 0, join(char(10), FILTER(split(E82, char(10)), REGEXMATCH(split(E82, char(10)), PerkLineRegex))), """")"),"Dwarven Craft (Lord of the Rings) 400:")</f>
        <v>Dwarven Craft (Lord of the Rings) 400:</v>
      </c>
      <c r="H82" s="31" t="str">
        <f t="shared" si="1"/>
        <v>_</v>
      </c>
    </row>
    <row r="83">
      <c r="A83" s="9" t="s">
        <v>1615</v>
      </c>
      <c r="B83" s="9" t="s">
        <v>1645</v>
      </c>
      <c r="C83" s="9" t="s">
        <v>372</v>
      </c>
      <c r="D83" s="11" t="str">
        <f>IFERROR(__xludf.DUMMYFUNCTION("ifs(not(isna(MATCH(C83, ExcludedJumps, 0))), ""Excluded"", len(E83) = 0, ""Available"", REGEXMATCH(E83, RepeatableRegex), ""Repeatable"", countif(ARRAYFORMULA(REGEXMATCH(G83, split(B83, char(10)))), ""false"") = 0, ""Obtained"", true, ""Partial"")"),"Obtained")</f>
        <v>Obtained</v>
      </c>
      <c r="E83" s="9" t="s">
        <v>1646</v>
      </c>
      <c r="F83" s="9" t="s">
        <v>213</v>
      </c>
      <c r="G83" s="31" t="str">
        <f>IFERROR(__xludf.DUMMYFUNCTION("if(len(E83) &gt; 0, join(char(10), FILTER(split(E83, char(10)), REGEXMATCH(split(E83, char(10)), PerkLineRegex))), """")"),"High-Frequency Manufacturer (Metal Gear Rising) 300:")</f>
        <v>High-Frequency Manufacturer (Metal Gear Rising) 300:</v>
      </c>
      <c r="H83" s="31" t="str">
        <f t="shared" si="1"/>
        <v>_</v>
      </c>
    </row>
    <row r="84">
      <c r="A84" s="9" t="s">
        <v>1615</v>
      </c>
      <c r="B84" s="9" t="s">
        <v>1647</v>
      </c>
      <c r="C84" s="9" t="s">
        <v>1648</v>
      </c>
      <c r="D84" s="11" t="str">
        <f>IFERROR(__xludf.DUMMYFUNCTION("ifs(not(isna(MATCH(C84, ExcludedJumps, 0))), ""Excluded"", len(E84) = 0, ""Available"", REGEXMATCH(E84, RepeatableRegex), ""Repeatable"", countif(ARRAYFORMULA(REGEXMATCH(G84, split(B84, char(10)))), ""false"") = 0, ""Obtained"", true, ""Partial"")"),"Excluded")</f>
        <v>Excluded</v>
      </c>
      <c r="E84" s="31"/>
      <c r="F84" s="31"/>
      <c r="G84" s="31" t="str">
        <f>IFERROR(__xludf.DUMMYFUNCTION("if(len(E84) &gt; 0, join(char(10), FILTER(split(E84, char(10)), REGEXMATCH(split(E84, char(10)), PerkLineRegex))), """")"),"")</f>
        <v/>
      </c>
      <c r="H84" s="31" t="str">
        <f t="shared" si="1"/>
        <v/>
      </c>
    </row>
    <row r="85">
      <c r="A85" s="9" t="s">
        <v>1615</v>
      </c>
      <c r="B85" s="9" t="s">
        <v>1649</v>
      </c>
      <c r="C85" s="9" t="s">
        <v>1650</v>
      </c>
      <c r="D85" s="11" t="str">
        <f>IFERROR(__xludf.DUMMYFUNCTION("ifs(not(isna(MATCH(C85, ExcludedJumps, 0))), ""Excluded"", len(E85) = 0, ""Available"", REGEXMATCH(E85, RepeatableRegex), ""Repeatable"", countif(ARRAYFORMULA(REGEXMATCH(G85, split(B85, char(10)))), ""false"") = 0, ""Obtained"", true, ""Partial"")"),"Excluded")</f>
        <v>Excluded</v>
      </c>
      <c r="E85" s="31"/>
      <c r="F85" s="31"/>
      <c r="G85" s="31" t="str">
        <f>IFERROR(__xludf.DUMMYFUNCTION("if(len(E85) &gt; 0, join(char(10), FILTER(split(E85, char(10)), REGEXMATCH(split(E85, char(10)), PerkLineRegex))), """")"),"")</f>
        <v/>
      </c>
      <c r="H85" s="31" t="str">
        <f t="shared" si="1"/>
        <v/>
      </c>
    </row>
    <row r="86">
      <c r="A86" s="9" t="s">
        <v>1615</v>
      </c>
      <c r="B86" s="9" t="s">
        <v>1651</v>
      </c>
      <c r="C86" s="9" t="s">
        <v>911</v>
      </c>
      <c r="D86" s="11" t="str">
        <f>IFERROR(__xludf.DUMMYFUNCTION("ifs(not(isna(MATCH(C86, ExcludedJumps, 0))), ""Excluded"", len(E86) = 0, ""Available"", REGEXMATCH(E86, RepeatableRegex), ""Repeatable"", countif(ARRAYFORMULA(REGEXMATCH(G86, split(B86, char(10)))), ""false"") = 0, ""Obtained"", true, ""Partial"")"),"Obtained")</f>
        <v>Obtained</v>
      </c>
      <c r="E86" s="9" t="s">
        <v>1652</v>
      </c>
      <c r="F86" s="9" t="s">
        <v>1653</v>
      </c>
      <c r="G86" s="31" t="str">
        <f>IFERROR(__xludf.DUMMYFUNCTION("if(len(E86) &gt; 0, join(char(10), FILTER(split(E86, char(10)), REGEXMATCH(split(E86, char(10)), PerkLineRegex))), """")"),"You Became A Star (Robot Unicorn Attack) 400:
Shoot For The Moon (Robot Unicorn Attack) Free:
Rainbow Savior (Robot Unicorn Attack) Free:
Unicornium Horn (Robot Unicorn Attack) Free:
Make A Wish (Robot Unicorn Attack) Free:")</f>
        <v>You Became A Star (Robot Unicorn Attack) 400:
Shoot For The Moon (Robot Unicorn Attack) Free:
Rainbow Savior (Robot Unicorn Attack) Free:
Unicornium Horn (Robot Unicorn Attack) Free:
Make A Wish (Robot Unicorn Attack) Free:</v>
      </c>
      <c r="H86" s="31" t="str">
        <f t="shared" si="1"/>
        <v>_
Chapter 71: 55.1 Interlude Fleet Preamble Roy Addendum Margaret
Chapter 71: 55.1 Interlude Fleet Preamble Roy Addendum Margaret
Chapter 71: 55.1 Interlude Fleet Preamble Roy Addendum Margaret
Chapter 71: 55.1 Interlude Fleet Preamble Roy Addendum Margaret</v>
      </c>
    </row>
    <row r="87">
      <c r="A87" s="9" t="s">
        <v>1615</v>
      </c>
      <c r="B87" s="9" t="s">
        <v>1654</v>
      </c>
      <c r="C87" s="9" t="s">
        <v>796</v>
      </c>
      <c r="D87" s="11" t="str">
        <f>IFERROR(__xludf.DUMMYFUNCTION("ifs(not(isna(MATCH(C87, ExcludedJumps, 0))), ""Excluded"", len(E87) = 0, ""Available"", REGEXMATCH(E87, RepeatableRegex), ""Repeatable"", countif(ARRAYFORMULA(REGEXMATCH(G87, split(B87, char(10)))), ""false"") = 0, ""Obtained"", true, ""Partial"")"),"Obtained")</f>
        <v>Obtained</v>
      </c>
      <c r="E87" s="9" t="s">
        <v>1655</v>
      </c>
      <c r="F87" s="9" t="s">
        <v>213</v>
      </c>
      <c r="G87" s="31" t="str">
        <f>IFERROR(__xludf.DUMMYFUNCTION("if(len(E87) &gt; 0, join(char(10), FILTER(split(E87, char(10)), REGEXMATCH(split(E87, char(10)), PerkLineRegex))), """")"),"Tempered Soul (Soul Calibur) 300:")</f>
        <v>Tempered Soul (Soul Calibur) 300:</v>
      </c>
      <c r="H87" s="31" t="str">
        <f t="shared" si="1"/>
        <v>_</v>
      </c>
    </row>
    <row r="88">
      <c r="A88" s="9" t="s">
        <v>1615</v>
      </c>
      <c r="B88" s="9" t="s">
        <v>1656</v>
      </c>
      <c r="C88" s="9" t="s">
        <v>405</v>
      </c>
      <c r="D88" s="11" t="str">
        <f>IFERROR(__xludf.DUMMYFUNCTION("ifs(not(isna(MATCH(C88, ExcludedJumps, 0))), ""Excluded"", len(E88) = 0, ""Available"", REGEXMATCH(E88, RepeatableRegex), ""Repeatable"", countif(ARRAYFORMULA(REGEXMATCH(G88, split(B88, char(10)))), ""false"") = 0, ""Obtained"", true, ""Partial"")"),"Obtained")</f>
        <v>Obtained</v>
      </c>
      <c r="E88" s="9" t="s">
        <v>1657</v>
      </c>
      <c r="F88" s="9" t="s">
        <v>404</v>
      </c>
      <c r="G88" s="31" t="str">
        <f>IFERROR(__xludf.DUMMYFUNCTION("if(len(E88) &gt; 0, join(char(10), FILTER(split(E88, char(10)), REGEXMATCH(split(E88, char(10)), PerkLineRegex))), """")"),"Engineer (Super Mario RPG) 300:")</f>
        <v>Engineer (Super Mario RPG) 300:</v>
      </c>
      <c r="H88" s="31" t="str">
        <f t="shared" si="1"/>
        <v>_</v>
      </c>
    </row>
    <row r="89">
      <c r="A89" s="9" t="s">
        <v>1615</v>
      </c>
      <c r="B89" s="9" t="s">
        <v>1658</v>
      </c>
      <c r="C89" s="9" t="s">
        <v>558</v>
      </c>
      <c r="D89" s="11" t="str">
        <f>IFERROR(__xludf.DUMMYFUNCTION("ifs(not(isna(MATCH(C89, ExcludedJumps, 0))), ""Excluded"", len(E89) = 0, ""Available"", REGEXMATCH(E89, RepeatableRegex), ""Repeatable"", countif(ARRAYFORMULA(REGEXMATCH(G89, split(B89, char(10)))), ""false"") = 0, ""Obtained"", true, ""Partial"")"),"Obtained")</f>
        <v>Obtained</v>
      </c>
      <c r="E89" s="9" t="s">
        <v>1659</v>
      </c>
      <c r="F89" s="9" t="s">
        <v>213</v>
      </c>
      <c r="G89" s="31" t="str">
        <f>IFERROR(__xludf.DUMMYFUNCTION("if(len(E89) &gt; 0, join(char(10), FILTER(split(E89, char(10)), REGEXMATCH(split(E89, char(10)), PerkLineRegex))), """")"),"The Arcane Craft (Sword and Sorcery) 300:")</f>
        <v>The Arcane Craft (Sword and Sorcery) 300:</v>
      </c>
      <c r="H89" s="31" t="str">
        <f t="shared" si="1"/>
        <v>_</v>
      </c>
    </row>
    <row r="90">
      <c r="A90" s="9" t="s">
        <v>1615</v>
      </c>
      <c r="B90" s="9" t="s">
        <v>1660</v>
      </c>
      <c r="C90" s="9" t="s">
        <v>1661</v>
      </c>
      <c r="D90" s="11" t="str">
        <f>IFERROR(__xludf.DUMMYFUNCTION("ifs(not(isna(MATCH(C90, ExcludedJumps, 0))), ""Excluded"", len(E90) = 0, ""Available"", REGEXMATCH(E90, RepeatableRegex), ""Repeatable"", countif(ARRAYFORMULA(REGEXMATCH(G90, split(B90, char(10)))), ""false"") = 0, ""Obtained"", true, ""Partial"")"),"Excluded")</f>
        <v>Excluded</v>
      </c>
      <c r="E90" s="31"/>
      <c r="F90" s="31"/>
      <c r="G90" s="31" t="str">
        <f>IFERROR(__xludf.DUMMYFUNCTION("if(len(E90) &gt; 0, join(char(10), FILTER(split(E90, char(10)), REGEXMATCH(split(E90, char(10)), PerkLineRegex))), """")"),"")</f>
        <v/>
      </c>
      <c r="H90" s="31" t="str">
        <f t="shared" si="1"/>
        <v/>
      </c>
    </row>
    <row r="91">
      <c r="A91" s="9" t="s">
        <v>1615</v>
      </c>
      <c r="B91" s="9" t="s">
        <v>1662</v>
      </c>
      <c r="C91" s="9" t="s">
        <v>1663</v>
      </c>
      <c r="D91" s="11" t="str">
        <f>IFERROR(__xludf.DUMMYFUNCTION("ifs(not(isna(MATCH(C91, ExcludedJumps, 0))), ""Excluded"", len(E91) = 0, ""Available"", REGEXMATCH(E91, RepeatableRegex), ""Repeatable"", countif(ARRAYFORMULA(REGEXMATCH(G91, split(B91, char(10)))), ""false"") = 0, ""Obtained"", true, ""Partial"")"),"Obtained")</f>
        <v>Obtained</v>
      </c>
      <c r="E91" s="9" t="s">
        <v>1664</v>
      </c>
      <c r="F91" s="9" t="s">
        <v>213</v>
      </c>
      <c r="G91" s="31" t="str">
        <f>IFERROR(__xludf.DUMMYFUNCTION("if(len(E91) &gt; 0, join(char(10), FILTER(split(E91, char(10)), REGEXMATCH(split(E91, char(10)), PerkLineRegex))), """")"),"Smithing (Thundercats 2011) 200:")</f>
        <v>Smithing (Thundercats 2011) 200:</v>
      </c>
      <c r="H91" s="31" t="str">
        <f t="shared" si="1"/>
        <v>_</v>
      </c>
    </row>
    <row r="92">
      <c r="A92" s="9" t="s">
        <v>1615</v>
      </c>
      <c r="B92" s="9" t="s">
        <v>1662</v>
      </c>
      <c r="C92" s="9" t="s">
        <v>1665</v>
      </c>
      <c r="D92" s="11" t="str">
        <f>IFERROR(__xludf.DUMMYFUNCTION("ifs(not(isna(MATCH(C92, ExcludedJumps, 0))), ""Excluded"", len(E92) = 0, ""Available"", REGEXMATCH(E92, RepeatableRegex), ""Repeatable"", countif(ARRAYFORMULA(REGEXMATCH(G92, split(B92, char(10)))), ""false"") = 0, ""Obtained"", true, ""Partial"")"),"Excluded")</f>
        <v>Excluded</v>
      </c>
      <c r="E92" s="31"/>
      <c r="F92" s="31"/>
      <c r="G92" s="31" t="str">
        <f>IFERROR(__xludf.DUMMYFUNCTION("if(len(E92) &gt; 0, join(char(10), FILTER(split(E92, char(10)), REGEXMATCH(split(E92, char(10)), PerkLineRegex))), """")"),"")</f>
        <v/>
      </c>
      <c r="H92" s="31" t="str">
        <f t="shared" si="1"/>
        <v/>
      </c>
    </row>
    <row r="93">
      <c r="A93" s="9" t="s">
        <v>1615</v>
      </c>
      <c r="B93" s="9" t="s">
        <v>1666</v>
      </c>
      <c r="C93" s="9" t="s">
        <v>1667</v>
      </c>
      <c r="D93" s="11" t="str">
        <f>IFERROR(__xludf.DUMMYFUNCTION("ifs(not(isna(MATCH(C93, ExcludedJumps, 0))), ""Excluded"", len(E93) = 0, ""Available"", REGEXMATCH(E93, RepeatableRegex), ""Repeatable"", countif(ARRAYFORMULA(REGEXMATCH(G93, split(B93, char(10)))), ""false"") = 0, ""Obtained"", true, ""Partial"")"),"Obtained")</f>
        <v>Obtained</v>
      </c>
      <c r="E93" s="9" t="s">
        <v>1668</v>
      </c>
      <c r="F93" s="9" t="s">
        <v>1669</v>
      </c>
      <c r="G93" s="31" t="str">
        <f>IFERROR(__xludf.DUMMYFUNCTION("if(len(E93) &gt; 0, join(char(10), FILTER(split(E93, char(10)), REGEXMATCH(split(E93, char(10)), PerkLineRegex))), """")"),"Armourer (Light of Terra DLC 5 A Sky Filled With Steel - Warhammer 40,000) 300:
Weaponsmith (Light of Terra DLC 5 A Sky Filled With Steel - Warhammer 40,000) 300:
Fixer (Light of Terra DLC 5 A Sky Filled With Steel - Warhammer 40,000) 300:")</f>
        <v>Armourer (Light of Terra DLC 5 A Sky Filled With Steel - Warhammer 40,000) 300:
Weaponsmith (Light of Terra DLC 5 A Sky Filled With Steel - Warhammer 40,000) 300:
Fixer (Light of Terra DLC 5 A Sky Filled With Steel - Warhammer 40,000) 300:</v>
      </c>
      <c r="H93" s="31" t="str">
        <f t="shared" si="1"/>
        <v>_
_
_</v>
      </c>
    </row>
    <row r="94">
      <c r="A94" s="9" t="s">
        <v>1615</v>
      </c>
      <c r="B94" s="9" t="s">
        <v>1670</v>
      </c>
      <c r="C94" s="9" t="s">
        <v>1534</v>
      </c>
      <c r="D94" s="11" t="str">
        <f>IFERROR(__xludf.DUMMYFUNCTION("ifs(not(isna(MATCH(C94, ExcludedJumps, 0))), ""Excluded"", len(E94) = 0, ""Available"", REGEXMATCH(E94, RepeatableRegex), ""Repeatable"", countif(ARRAYFORMULA(REGEXMATCH(G94, split(B94, char(10)))), ""false"") = 0, ""Obtained"", true, ""Partial"")"),"Excluded")</f>
        <v>Excluded</v>
      </c>
      <c r="E94" s="31"/>
      <c r="F94" s="31"/>
      <c r="G94" s="31" t="str">
        <f>IFERROR(__xludf.DUMMYFUNCTION("if(len(E94) &gt; 0, join(char(10), FILTER(split(E94, char(10)), REGEXMATCH(split(E94, char(10)), PerkLineRegex))), """")"),"")</f>
        <v/>
      </c>
      <c r="H94" s="31" t="str">
        <f t="shared" si="1"/>
        <v/>
      </c>
    </row>
    <row r="95">
      <c r="A95" s="9" t="s">
        <v>1615</v>
      </c>
      <c r="B95" s="9" t="s">
        <v>1671</v>
      </c>
      <c r="C95" s="9" t="s">
        <v>523</v>
      </c>
      <c r="D95" s="11" t="str">
        <f>IFERROR(__xludf.DUMMYFUNCTION("ifs(not(isna(MATCH(C95, ExcludedJumps, 0))), ""Excluded"", len(E95) = 0, ""Available"", REGEXMATCH(E95, RepeatableRegex), ""Repeatable"", countif(ARRAYFORMULA(REGEXMATCH(G95, split(B95, char(10)))), ""false"") = 0, ""Obtained"", true, ""Partial"")"),"Obtained")</f>
        <v>Obtained</v>
      </c>
      <c r="E95" s="9" t="s">
        <v>1672</v>
      </c>
      <c r="F95" s="9" t="s">
        <v>213</v>
      </c>
      <c r="G95" s="31" t="str">
        <f>IFERROR(__xludf.DUMMYFUNCTION("if(len(E95) &gt; 0, join(char(10), FILTER(split(E95, char(10)), REGEXMATCH(split(E95, char(10)), PerkLineRegex))), """")"),"Customized Weapons (XCOM) 100:")</f>
        <v>Customized Weapons (XCOM) 100:</v>
      </c>
      <c r="H95" s="31" t="str">
        <f t="shared" si="1"/>
        <v>_</v>
      </c>
    </row>
    <row r="96">
      <c r="A96" s="9" t="s">
        <v>1673</v>
      </c>
      <c r="B96" s="38" t="s">
        <v>1674</v>
      </c>
      <c r="C96" s="9" t="s">
        <v>39</v>
      </c>
      <c r="D96" s="11" t="str">
        <f>IFERROR(__xludf.DUMMYFUNCTION("ifs(not(isna(MATCH(C96, ExcludedJumps, 0))), ""Excluded"", len(E96) = 0, ""Available"", REGEXMATCH(E96, RepeatableRegex), ""Repeatable"", countif(ARRAYFORMULA(REGEXMATCH(G96, split(B96, char(10)))), ""false"") = 0, ""Obtained"", true, ""Partial"")"),"Available")</f>
        <v>Available</v>
      </c>
      <c r="E96" s="9"/>
      <c r="F96" s="39"/>
      <c r="G96" s="40"/>
      <c r="H96" s="31"/>
    </row>
    <row r="97">
      <c r="A97" s="9" t="s">
        <v>1673</v>
      </c>
      <c r="B97" s="38" t="s">
        <v>1675</v>
      </c>
      <c r="C97" s="9" t="s">
        <v>84</v>
      </c>
      <c r="D97" s="11" t="str">
        <f>IFERROR(__xludf.DUMMYFUNCTION("ifs(not(isna(MATCH(C97, ExcludedJumps, 0))), ""Excluded"", len(E97) = 0, ""Available"", REGEXMATCH(E97, RepeatableRegex), ""Repeatable"", countif(ARRAYFORMULA(REGEXMATCH(G97, split(B97, char(10)))), ""false"") = 0, ""Obtained"", true, ""Partial"")"),"Partial")</f>
        <v>Partial</v>
      </c>
      <c r="E97" s="9" t="s">
        <v>1676</v>
      </c>
      <c r="F97" s="39"/>
      <c r="G97" s="40"/>
      <c r="H97" s="31"/>
    </row>
    <row r="98">
      <c r="A98" s="9" t="s">
        <v>1673</v>
      </c>
      <c r="B98" s="38" t="s">
        <v>1677</v>
      </c>
      <c r="C98" s="9" t="s">
        <v>303</v>
      </c>
      <c r="D98" s="11" t="str">
        <f>IFERROR(__xludf.DUMMYFUNCTION("ifs(not(isna(MATCH(C98, ExcludedJumps, 0))), ""Excluded"", len(E98) = 0, ""Available"", REGEXMATCH(E98, RepeatableRegex), ""Repeatable"", countif(ARRAYFORMULA(REGEXMATCH(G98, split(B98, char(10)))), ""false"") = 0, ""Obtained"", true, ""Partial"")"),"Partial")</f>
        <v>Partial</v>
      </c>
      <c r="E98" s="9" t="s">
        <v>1678</v>
      </c>
      <c r="F98" s="39"/>
      <c r="G98" s="40"/>
      <c r="H98" s="31"/>
    </row>
    <row r="99">
      <c r="A99" s="9" t="s">
        <v>1673</v>
      </c>
      <c r="B99" s="9" t="s">
        <v>1679</v>
      </c>
      <c r="C99" s="9" t="s">
        <v>78</v>
      </c>
      <c r="D99" s="11" t="str">
        <f>IFERROR(__xludf.DUMMYFUNCTION("ifs(not(isna(MATCH(C99, ExcludedJumps, 0))), ""Excluded"", len(E99) = 0, ""Available"", REGEXMATCH(E99, RepeatableRegex), ""Repeatable"", countif(ARRAYFORMULA(REGEXMATCH(G99, split(B99, char(10)))), ""false"") = 0, ""Obtained"", true, ""Partial"")"),"Available")</f>
        <v>Available</v>
      </c>
      <c r="E99" s="9"/>
      <c r="F99" s="39"/>
      <c r="G99" s="40"/>
      <c r="H99" s="31"/>
    </row>
    <row r="100">
      <c r="A100" s="9" t="s">
        <v>1673</v>
      </c>
      <c r="B100" s="9" t="s">
        <v>1680</v>
      </c>
      <c r="C100" s="9" t="s">
        <v>498</v>
      </c>
      <c r="D100" s="11" t="str">
        <f>IFERROR(__xludf.DUMMYFUNCTION("ifs(not(isna(MATCH(C100, ExcludedJumps, 0))), ""Excluded"", len(E100) = 0, ""Available"", REGEXMATCH(E100, RepeatableRegex), ""Repeatable"", countif(ARRAYFORMULA(REGEXMATCH(G100, split(B100, char(10)))), ""false"") = 0, ""Obtained"", true, ""Partial"")"),"Partial")</f>
        <v>Partial</v>
      </c>
      <c r="E100" s="9" t="s">
        <v>1681</v>
      </c>
      <c r="F100" s="39"/>
      <c r="G100" s="40"/>
      <c r="H100" s="31"/>
    </row>
    <row r="101">
      <c r="A101" s="9" t="s">
        <v>1673</v>
      </c>
      <c r="B101" s="38" t="s">
        <v>1682</v>
      </c>
      <c r="C101" s="9" t="s">
        <v>313</v>
      </c>
      <c r="D101" s="11" t="str">
        <f>IFERROR(__xludf.DUMMYFUNCTION("ifs(not(isna(MATCH(C101, ExcludedJumps, 0))), ""Excluded"", len(E101) = 0, ""Available"", REGEXMATCH(E101, RepeatableRegex), ""Repeatable"", countif(ARRAYFORMULA(REGEXMATCH(G101, split(B101, char(10)))), ""false"") = 0, ""Obtained"", true, ""Partial"")"),"Partial")</f>
        <v>Partial</v>
      </c>
      <c r="E101" s="9" t="s">
        <v>1683</v>
      </c>
      <c r="F101" s="39"/>
      <c r="G101" s="40"/>
      <c r="H101" s="31"/>
    </row>
    <row r="102">
      <c r="A102" s="9" t="s">
        <v>1673</v>
      </c>
      <c r="B102" s="9" t="s">
        <v>1684</v>
      </c>
      <c r="C102" s="9" t="s">
        <v>1588</v>
      </c>
      <c r="D102" s="11" t="str">
        <f>IFERROR(__xludf.DUMMYFUNCTION("ifs(not(isna(MATCH(C102, ExcludedJumps, 0))), ""Excluded"", len(E102) = 0, ""Available"", REGEXMATCH(E102, RepeatableRegex), ""Repeatable"", countif(ARRAYFORMULA(REGEXMATCH(G102, split(B102, char(10)))), ""false"") = 0, ""Obtained"", true, ""Partial"")"),"Partial")</f>
        <v>Partial</v>
      </c>
      <c r="E102" s="9" t="s">
        <v>1685</v>
      </c>
      <c r="F102" s="39"/>
      <c r="G102" s="40"/>
      <c r="H102" s="31"/>
    </row>
    <row r="103">
      <c r="A103" s="9" t="s">
        <v>1673</v>
      </c>
      <c r="B103" s="9" t="s">
        <v>1686</v>
      </c>
      <c r="C103" s="9" t="s">
        <v>34</v>
      </c>
      <c r="D103" s="11" t="str">
        <f>IFERROR(__xludf.DUMMYFUNCTION("ifs(not(isna(MATCH(C103, ExcludedJumps, 0))), ""Excluded"", len(E103) = 0, ""Available"", REGEXMATCH(E103, RepeatableRegex), ""Repeatable"", countif(ARRAYFORMULA(REGEXMATCH(G103, split(B103, char(10)))), ""false"") = 0, ""Obtained"", true, ""Partial"")"),"Partial")</f>
        <v>Partial</v>
      </c>
      <c r="E103" s="9" t="s">
        <v>1687</v>
      </c>
      <c r="F103" s="39"/>
      <c r="G103" s="40"/>
      <c r="H103" s="31"/>
    </row>
    <row r="104">
      <c r="A104" s="9" t="s">
        <v>1673</v>
      </c>
      <c r="B104" s="9" t="s">
        <v>1688</v>
      </c>
      <c r="C104" s="9" t="s">
        <v>977</v>
      </c>
      <c r="D104" s="11" t="str">
        <f>IFERROR(__xludf.DUMMYFUNCTION("ifs(not(isna(MATCH(C104, ExcludedJumps, 0))), ""Excluded"", len(E104) = 0, ""Available"", REGEXMATCH(E104, RepeatableRegex), ""Repeatable"", countif(ARRAYFORMULA(REGEXMATCH(G104, split(B104, char(10)))), ""false"") = 0, ""Obtained"", true, ""Partial"")"),"Partial")</f>
        <v>Partial</v>
      </c>
      <c r="E104" s="9" t="s">
        <v>1689</v>
      </c>
      <c r="F104" s="39"/>
      <c r="G104" s="40"/>
      <c r="H104" s="31"/>
    </row>
    <row r="105">
      <c r="A105" s="9" t="s">
        <v>1673</v>
      </c>
      <c r="B105" s="9" t="s">
        <v>1690</v>
      </c>
      <c r="C105" s="9" t="s">
        <v>54</v>
      </c>
      <c r="D105" s="11" t="str">
        <f>IFERROR(__xludf.DUMMYFUNCTION("ifs(not(isna(MATCH(C105, ExcludedJumps, 0))), ""Excluded"", len(E105) = 0, ""Available"", REGEXMATCH(E105, RepeatableRegex), ""Repeatable"", countif(ARRAYFORMULA(REGEXMATCH(G105, split(B105, char(10)))), ""false"") = 0, ""Obtained"", true, ""Partial"")"),"Available")</f>
        <v>Available</v>
      </c>
      <c r="E105" s="9"/>
      <c r="F105" s="39"/>
      <c r="G105" s="40"/>
      <c r="H105" s="31"/>
    </row>
    <row r="106">
      <c r="A106" s="9" t="s">
        <v>1673</v>
      </c>
      <c r="B106" s="9" t="s">
        <v>1691</v>
      </c>
      <c r="C106" s="9" t="s">
        <v>1434</v>
      </c>
      <c r="D106" s="11" t="str">
        <f>IFERROR(__xludf.DUMMYFUNCTION("ifs(not(isna(MATCH(C106, ExcludedJumps, 0))), ""Excluded"", len(E106) = 0, ""Available"", REGEXMATCH(E106, RepeatableRegex), ""Repeatable"", countif(ARRAYFORMULA(REGEXMATCH(G106, split(B106, char(10)))), ""false"") = 0, ""Obtained"", true, ""Partial"")"),"Available")</f>
        <v>Available</v>
      </c>
      <c r="E106" s="9"/>
      <c r="F106" s="39"/>
      <c r="G106" s="40"/>
      <c r="H106" s="31"/>
    </row>
    <row r="107">
      <c r="A107" s="9" t="s">
        <v>1673</v>
      </c>
      <c r="B107" s="9" t="s">
        <v>1692</v>
      </c>
      <c r="C107" s="9" t="s">
        <v>760</v>
      </c>
      <c r="D107" s="11" t="str">
        <f>IFERROR(__xludf.DUMMYFUNCTION("ifs(not(isna(MATCH(C107, ExcludedJumps, 0))), ""Excluded"", len(E107) = 0, ""Available"", REGEXMATCH(E107, RepeatableRegex), ""Repeatable"", countif(ARRAYFORMULA(REGEXMATCH(G107, split(B107, char(10)))), ""false"") = 0, ""Obtained"", true, ""Partial"")"),"Partial")</f>
        <v>Partial</v>
      </c>
      <c r="E107" s="9" t="s">
        <v>1693</v>
      </c>
      <c r="F107" s="39"/>
      <c r="G107" s="40"/>
      <c r="H107" s="31"/>
    </row>
    <row r="108">
      <c r="A108" s="9" t="s">
        <v>1673</v>
      </c>
      <c r="B108" s="9" t="s">
        <v>1694</v>
      </c>
      <c r="C108" s="9" t="s">
        <v>48</v>
      </c>
      <c r="D108" s="11" t="str">
        <f>IFERROR(__xludf.DUMMYFUNCTION("ifs(not(isna(MATCH(C108, ExcludedJumps, 0))), ""Excluded"", len(E108) = 0, ""Available"", REGEXMATCH(E108, RepeatableRegex), ""Repeatable"", countif(ARRAYFORMULA(REGEXMATCH(G108, split(B108, char(10)))), ""false"") = 0, ""Obtained"", true, ""Partial"")"),"Available")</f>
        <v>Available</v>
      </c>
      <c r="E108" s="9"/>
      <c r="F108" s="39"/>
      <c r="G108" s="40"/>
      <c r="H108" s="31"/>
    </row>
    <row r="109">
      <c r="A109" s="9" t="s">
        <v>1673</v>
      </c>
      <c r="B109" s="9" t="s">
        <v>1688</v>
      </c>
      <c r="C109" s="9" t="s">
        <v>748</v>
      </c>
      <c r="D109" s="11" t="str">
        <f>IFERROR(__xludf.DUMMYFUNCTION("ifs(not(isna(MATCH(C109, ExcludedJumps, 0))), ""Excluded"", len(E109) = 0, ""Available"", REGEXMATCH(E109, RepeatableRegex), ""Repeatable"", countif(ARRAYFORMULA(REGEXMATCH(G109, split(B109, char(10)))), ""false"") = 0, ""Obtained"", true, ""Partial"")"),"Partial")</f>
        <v>Partial</v>
      </c>
      <c r="E109" s="9" t="s">
        <v>1695</v>
      </c>
      <c r="F109" s="39"/>
      <c r="G109" s="40"/>
      <c r="H109" s="31"/>
    </row>
    <row r="110">
      <c r="A110" s="9" t="s">
        <v>1673</v>
      </c>
      <c r="B110" s="9" t="s">
        <v>1688</v>
      </c>
      <c r="C110" s="9" t="s">
        <v>1046</v>
      </c>
      <c r="D110" s="11" t="str">
        <f>IFERROR(__xludf.DUMMYFUNCTION("ifs(not(isna(MATCH(C110, ExcludedJumps, 0))), ""Excluded"", len(E110) = 0, ""Available"", REGEXMATCH(E110, RepeatableRegex), ""Repeatable"", countif(ARRAYFORMULA(REGEXMATCH(G110, split(B110, char(10)))), ""false"") = 0, ""Obtained"", true, ""Partial"")"),"Partial")</f>
        <v>Partial</v>
      </c>
      <c r="E110" s="9" t="s">
        <v>1696</v>
      </c>
      <c r="F110" s="39"/>
      <c r="G110" s="40"/>
      <c r="H110" s="31"/>
    </row>
    <row r="111">
      <c r="A111" s="9" t="s">
        <v>1697</v>
      </c>
      <c r="B111" s="9" t="s">
        <v>1698</v>
      </c>
      <c r="C111" s="9" t="s">
        <v>39</v>
      </c>
      <c r="D111" s="11" t="str">
        <f>IFERROR(__xludf.DUMMYFUNCTION("ifs(not(isna(MATCH(C111, ExcludedJumps, 0))), ""Excluded"", len(E111) = 0, ""Available"", REGEXMATCH(E111, RepeatableRegex), ""Repeatable"", countif(ARRAYFORMULA(REGEXMATCH(G111, split(B111, char(10)))), ""false"") = 0, ""Obtained"", true, ""Partial"")"),"Partial")</f>
        <v>Partial</v>
      </c>
      <c r="E111" s="9" t="s">
        <v>1699</v>
      </c>
      <c r="F111" s="9" t="s">
        <v>213</v>
      </c>
      <c r="G111" s="31" t="str">
        <f>IFERROR(__xludf.DUMMYFUNCTION("if(len(E111) &gt; 0, join(char(10), FILTER(split(E111, char(10)), REGEXMATCH(split(E111, char(10)), PerkLineRegex))), """")"),"Technical Training (40k Redux) 100:
")</f>
        <v>Technical Training (40k Redux) 100:
</v>
      </c>
      <c r="H111" s="31" t="str">
        <f t="shared" ref="H111:H423" si="2">SUPPLEMENTALHEADERS(E111)</f>
        <v>_</v>
      </c>
    </row>
    <row r="112">
      <c r="A112" s="9" t="s">
        <v>1697</v>
      </c>
      <c r="B112" s="9" t="s">
        <v>195</v>
      </c>
      <c r="C112" s="9" t="s">
        <v>600</v>
      </c>
      <c r="D112" s="11" t="str">
        <f>IFERROR(__xludf.DUMMYFUNCTION("ifs(not(isna(MATCH(C112, ExcludedJumps, 0))), ""Excluded"", len(E112) = 0, ""Available"", REGEXMATCH(E112, RepeatableRegex), ""Repeatable"", countif(ARRAYFORMULA(REGEXMATCH(G112, split(B112, char(10)))), ""false"") = 0, ""Obtained"", true, ""Partial"")"),"Obtained")</f>
        <v>Obtained</v>
      </c>
      <c r="E112" s="9" t="s">
        <v>1700</v>
      </c>
      <c r="F112" s="9" t="s">
        <v>209</v>
      </c>
      <c r="G112" s="31" t="str">
        <f>IFERROR(__xludf.DUMMYFUNCTION("if(len(E112) &gt; 0, join(char(10), FILTER(split(E112, char(10)), REGEXMATCH(split(E112, char(10)), PerkLineRegex))), """")"),"Analysis (Adventure Time) 300:")</f>
        <v>Analysis (Adventure Time) 300:</v>
      </c>
      <c r="H112" s="31" t="str">
        <f t="shared" si="2"/>
        <v>_</v>
      </c>
    </row>
    <row r="113">
      <c r="A113" s="9" t="s">
        <v>1697</v>
      </c>
      <c r="B113" s="9" t="s">
        <v>1701</v>
      </c>
      <c r="C113" s="9" t="s">
        <v>1702</v>
      </c>
      <c r="D113" s="11" t="str">
        <f>IFERROR(__xludf.DUMMYFUNCTION("ifs(not(isna(MATCH(C113, ExcludedJumps, 0))), ""Excluded"", len(E113) = 0, ""Available"", REGEXMATCH(E113, RepeatableRegex), ""Repeatable"", countif(ARRAYFORMULA(REGEXMATCH(G113, split(B113, char(10)))), ""false"") = 0, ""Obtained"", true, ""Partial"")"),"Obtained")</f>
        <v>Obtained</v>
      </c>
      <c r="E113" s="9" t="s">
        <v>1703</v>
      </c>
      <c r="F113" s="9" t="s">
        <v>207</v>
      </c>
      <c r="G113" s="31" t="str">
        <f>IFERROR(__xludf.DUMMYFUNCTION("if(len(E113) &gt; 0, join(char(10), FILTER(split(E113, char(10)), REGEXMATCH(split(E113, char(10)), PerkLineRegex))), """")"),"Technician (Alpha Centauri) 400:")</f>
        <v>Technician (Alpha Centauri) 400:</v>
      </c>
      <c r="H113" s="31" t="str">
        <f t="shared" si="2"/>
        <v>_</v>
      </c>
    </row>
    <row r="114">
      <c r="A114" s="9" t="s">
        <v>1697</v>
      </c>
      <c r="B114" s="9" t="s">
        <v>1704</v>
      </c>
      <c r="C114" s="9" t="s">
        <v>1206</v>
      </c>
      <c r="D114" s="11" t="str">
        <f>IFERROR(__xludf.DUMMYFUNCTION("ifs(not(isna(MATCH(C114, ExcludedJumps, 0))), ""Excluded"", len(E114) = 0, ""Available"", REGEXMATCH(E114, RepeatableRegex), ""Repeatable"", countif(ARRAYFORMULA(REGEXMATCH(G114, split(B114, char(10)))), ""false"") = 0, ""Obtained"", true, ""Partial"")"),"Obtained")</f>
        <v>Obtained</v>
      </c>
      <c r="E114" s="9" t="s">
        <v>1705</v>
      </c>
      <c r="F114" s="9" t="s">
        <v>1706</v>
      </c>
      <c r="G114" s="31" t="str">
        <f>IFERROR(__xludf.DUMMYFUNCTION("if(len(E114) &gt; 0, join(char(10), FILTER(split(E114, char(10)), REGEXMATCH(split(E114, char(10)), PerkLineRegex))), """")"),"Demigod Atelier (Asura’s Wrath) 400:
Mantra Generation (Asura’s Wrath) Free:
Imposing Declaration of Title (Asura’s Wrath) Free:")</f>
        <v>Demigod Atelier (Asura’s Wrath) 400:
Mantra Generation (Asura’s Wrath) Free:
Imposing Declaration of Title (Asura’s Wrath) Free:</v>
      </c>
      <c r="H114" s="31" t="str">
        <f t="shared" si="2"/>
        <v>_
Chapter 78: 59 Summit Openings Addendum Uppercrust
Chapter 78: 59 Summit Openings Addendum Uppercrust</v>
      </c>
    </row>
    <row r="115">
      <c r="A115" s="9" t="s">
        <v>1697</v>
      </c>
      <c r="B115" s="9" t="s">
        <v>1707</v>
      </c>
      <c r="C115" s="9" t="s">
        <v>562</v>
      </c>
      <c r="D115" s="11" t="str">
        <f>IFERROR(__xludf.DUMMYFUNCTION("ifs(not(isna(MATCH(C115, ExcludedJumps, 0))), ""Excluded"", len(E115) = 0, ""Available"", REGEXMATCH(E115, RepeatableRegex), ""Repeatable"", countif(ARRAYFORMULA(REGEXMATCH(G115, split(B115, char(10)))), ""false"") = 0, ""Obtained"", true, ""Partial"")"),"Obtained")</f>
        <v>Obtained</v>
      </c>
      <c r="E115" s="9" t="s">
        <v>1708</v>
      </c>
      <c r="F115" s="9" t="s">
        <v>1709</v>
      </c>
      <c r="G115" s="31" t="str">
        <f>IFERROR(__xludf.DUMMYFUNCTION("if(len(E115) &gt; 0, join(char(10), FILTER(split(E115, char(10)), REGEXMATCH(split(E115, char(10)), PerkLineRegex))), """")"),"Build That Wall (Bastion) 100:
Phonograph (Bastion) Free:")</f>
        <v>Build That Wall (Bastion) 100:
Phonograph (Bastion) Free:</v>
      </c>
      <c r="H115" s="31" t="str">
        <f t="shared" si="2"/>
        <v>_
Chapter 36: 30 Crescendo - Addendum Missy</v>
      </c>
    </row>
    <row r="116">
      <c r="A116" s="9" t="s">
        <v>1697</v>
      </c>
      <c r="B116" s="9" t="s">
        <v>1710</v>
      </c>
      <c r="C116" s="9" t="s">
        <v>1711</v>
      </c>
      <c r="D116" s="11" t="str">
        <f>IFERROR(__xludf.DUMMYFUNCTION("ifs(not(isna(MATCH(C116, ExcludedJumps, 0))), ""Excluded"", len(E116) = 0, ""Available"", REGEXMATCH(E116, RepeatableRegex), ""Repeatable"", countif(ARRAYFORMULA(REGEXMATCH(G116, split(B116, char(10)))), ""false"") = 0, ""Obtained"", true, ""Partial"")"),"Excluded")</f>
        <v>Excluded</v>
      </c>
      <c r="E116" s="31"/>
      <c r="F116" s="31"/>
      <c r="G116" s="31" t="str">
        <f>IFERROR(__xludf.DUMMYFUNCTION("if(len(E116) &gt; 0, join(char(10), FILTER(split(E116, char(10)), REGEXMATCH(split(E116, char(10)), PerkLineRegex))), """")"),"")</f>
        <v/>
      </c>
      <c r="H116" s="31" t="str">
        <f t="shared" si="2"/>
        <v/>
      </c>
    </row>
    <row r="117">
      <c r="A117" s="9" t="s">
        <v>1697</v>
      </c>
      <c r="B117" s="9" t="s">
        <v>1712</v>
      </c>
      <c r="C117" s="9" t="s">
        <v>412</v>
      </c>
      <c r="D117" s="11" t="str">
        <f>IFERROR(__xludf.DUMMYFUNCTION("ifs(not(isna(MATCH(C117, ExcludedJumps, 0))), ""Excluded"", len(E117) = 0, ""Available"", REGEXMATCH(E117, RepeatableRegex), ""Repeatable"", countif(ARRAYFORMULA(REGEXMATCH(G117, split(B117, char(10)))), ""false"") = 0, ""Obtained"", true, ""Partial"")"),"Obtained")</f>
        <v>Obtained</v>
      </c>
      <c r="E117" s="9" t="s">
        <v>1713</v>
      </c>
      <c r="F117" s="9" t="s">
        <v>213</v>
      </c>
      <c r="G117" s="31" t="str">
        <f>IFERROR(__xludf.DUMMYFUNCTION("if(len(E117) &gt; 0, join(char(10), FILTER(split(E117, char(10)), REGEXMATCH(split(E117, char(10)), PerkLineRegex))), """")"),"Grease Monkey (Bubblegum Crisis 2032) 300:")</f>
        <v>Grease Monkey (Bubblegum Crisis 2032) 300:</v>
      </c>
      <c r="H117" s="31" t="str">
        <f t="shared" si="2"/>
        <v>_</v>
      </c>
    </row>
    <row r="118">
      <c r="A118" s="9" t="s">
        <v>1697</v>
      </c>
      <c r="B118" s="9" t="s">
        <v>1714</v>
      </c>
      <c r="C118" s="9" t="s">
        <v>1628</v>
      </c>
      <c r="D118" s="11" t="str">
        <f>IFERROR(__xludf.DUMMYFUNCTION("ifs(not(isna(MATCH(C118, ExcludedJumps, 0))), ""Excluded"", len(E118) = 0, ""Available"", REGEXMATCH(E118, RepeatableRegex), ""Repeatable"", countif(ARRAYFORMULA(REGEXMATCH(G118, split(B118, char(10)))), ""false"") = 0, ""Obtained"", true, ""Partial"")"),"Excluded")</f>
        <v>Excluded</v>
      </c>
      <c r="E118" s="31"/>
      <c r="F118" s="31"/>
      <c r="G118" s="31" t="str">
        <f>IFERROR(__xludf.DUMMYFUNCTION("if(len(E118) &gt; 0, join(char(10), FILTER(split(E118, char(10)), REGEXMATCH(split(E118, char(10)), PerkLineRegex))), """")"),"")</f>
        <v/>
      </c>
      <c r="H118" s="31" t="str">
        <f t="shared" si="2"/>
        <v/>
      </c>
    </row>
    <row r="119">
      <c r="A119" s="9" t="s">
        <v>1697</v>
      </c>
      <c r="B119" s="9" t="s">
        <v>1715</v>
      </c>
      <c r="C119" s="9" t="s">
        <v>811</v>
      </c>
      <c r="D119" s="11" t="str">
        <f>IFERROR(__xludf.DUMMYFUNCTION("ifs(not(isna(MATCH(C119, ExcludedJumps, 0))), ""Excluded"", len(E119) = 0, ""Available"", REGEXMATCH(E119, RepeatableRegex), ""Repeatable"", countif(ARRAYFORMULA(REGEXMATCH(G119, split(B119, char(10)))), ""false"") = 0, ""Obtained"", true, ""Partial"")"),"Obtained")</f>
        <v>Obtained</v>
      </c>
      <c r="E119" s="9" t="s">
        <v>1716</v>
      </c>
      <c r="F119" s="9" t="s">
        <v>1717</v>
      </c>
      <c r="G119" s="31" t="str">
        <f>IFERROR(__xludf.DUMMYFUNCTION("if(len(E119) &gt; 0, join(char(10), FILTER(split(E119, char(10)), REGEXMATCH(split(E119, char(10)), PerkLineRegex))), """")"),"Feel It Out (F.E.A.R.) 600:
Paxton Fettel(F.E.A.R.) Free:")</f>
        <v>Feel It Out (F.E.A.R.) 600:
Paxton Fettel(F.E.A.R.) Free:</v>
      </c>
      <c r="H119" s="31" t="str">
        <f t="shared" si="2"/>
        <v>_
Chapter 73: 57 Crunch Time</v>
      </c>
    </row>
    <row r="120">
      <c r="A120" s="9" t="s">
        <v>1697</v>
      </c>
      <c r="B120" s="9" t="s">
        <v>1718</v>
      </c>
      <c r="C120" s="9" t="s">
        <v>1421</v>
      </c>
      <c r="D120" s="11" t="str">
        <f>IFERROR(__xludf.DUMMYFUNCTION("ifs(not(isna(MATCH(C120, ExcludedJumps, 0))), ""Excluded"", len(E120) = 0, ""Available"", REGEXMATCH(E120, RepeatableRegex), ""Repeatable"", countif(ARRAYFORMULA(REGEXMATCH(G120, split(B120, char(10)))), ""false"") = 0, ""Obtained"", true, ""Partial"")"),"Obtained")</f>
        <v>Obtained</v>
      </c>
      <c r="E120" s="9" t="s">
        <v>1719</v>
      </c>
      <c r="F120" s="9" t="s">
        <v>1720</v>
      </c>
      <c r="G120" s="31" t="str">
        <f>IFERROR(__xludf.DUMMYFUNCTION("if(len(E120) &gt; 0, join(char(10), FILTER(split(E120, char(10)), REGEXMATCH(split(E120, char(10)), PerkLineRegex))), """")"),"Certified Tech (Fallout) 600:
Skill Tag (Fallout) Free:")</f>
        <v>Certified Tech (Fallout) 600:
Skill Tag (Fallout) Free:</v>
      </c>
      <c r="H120" s="31" t="str">
        <f t="shared" si="2"/>
        <v>_
Chapter 162: 108.2 Interlude Armstrong</v>
      </c>
    </row>
    <row r="121">
      <c r="A121" s="9" t="s">
        <v>1697</v>
      </c>
      <c r="B121" s="9" t="s">
        <v>1721</v>
      </c>
      <c r="C121" s="9" t="s">
        <v>1722</v>
      </c>
      <c r="D121" s="11" t="str">
        <f>IFERROR(__xludf.DUMMYFUNCTION("ifs(not(isna(MATCH(C121, ExcludedJumps, 0))), ""Excluded"", len(E121) = 0, ""Available"", REGEXMATCH(E121, RepeatableRegex), ""Repeatable"", countif(ARRAYFORMULA(REGEXMATCH(G121, split(B121, char(10)))), ""false"") = 0, ""Obtained"", true, ""Partial"")"),"Excluded")</f>
        <v>Excluded</v>
      </c>
      <c r="E121" s="31"/>
      <c r="F121" s="31"/>
      <c r="G121" s="31" t="str">
        <f>IFERROR(__xludf.DUMMYFUNCTION("if(len(E121) &gt; 0, join(char(10), FILTER(split(E121, char(10)), REGEXMATCH(split(E121, char(10)), PerkLineRegex))), """")"),"")</f>
        <v/>
      </c>
      <c r="H121" s="31" t="str">
        <f t="shared" si="2"/>
        <v/>
      </c>
    </row>
    <row r="122">
      <c r="A122" s="9" t="s">
        <v>1697</v>
      </c>
      <c r="B122" s="9" t="s">
        <v>1723</v>
      </c>
      <c r="C122" s="41" t="s">
        <v>463</v>
      </c>
      <c r="D122" s="11" t="str">
        <f>IFERROR(__xludf.DUMMYFUNCTION("ifs(not(isna(MATCH(C122, ExcludedJumps, 0))), ""Excluded"", len(E122) = 0, ""Available"", REGEXMATCH(E122, RepeatableRegex), ""Repeatable"", countif(ARRAYFORMULA(REGEXMATCH(G122, split(B122, char(10)))), ""false"") = 0, ""Obtained"", true, ""Partial"")"),"Obtained")</f>
        <v>Obtained</v>
      </c>
      <c r="E122" s="9" t="s">
        <v>1724</v>
      </c>
      <c r="F122" s="9" t="s">
        <v>195</v>
      </c>
      <c r="G122" s="31" t="str">
        <f>IFERROR(__xludf.DUMMYFUNCTION("if(len(E122) &gt; 0, join(char(10), FILTER(split(E122, char(10)), REGEXMATCH(split(E122, char(10)), PerkLineRegex))), """")"),"Machines, They Just Speak To Me (Firefly) 200:")</f>
        <v>Machines, They Just Speak To Me (Firefly) 200:</v>
      </c>
      <c r="H122" s="31" t="str">
        <f t="shared" si="2"/>
        <v>_</v>
      </c>
    </row>
    <row r="123">
      <c r="A123" s="9" t="s">
        <v>1697</v>
      </c>
      <c r="B123" s="9" t="s">
        <v>1725</v>
      </c>
      <c r="C123" s="9" t="s">
        <v>1186</v>
      </c>
      <c r="D123" s="11" t="str">
        <f>IFERROR(__xludf.DUMMYFUNCTION("ifs(not(isna(MATCH(C123, ExcludedJumps, 0))), ""Excluded"", len(E123) = 0, ""Available"", REGEXMATCH(E123, RepeatableRegex), ""Repeatable"", countif(ARRAYFORMULA(REGEXMATCH(G123, split(B123, char(10)))), ""false"") = 0, ""Obtained"", true, ""Partial"")"),"Obtained")</f>
        <v>Obtained</v>
      </c>
      <c r="E123" s="9" t="s">
        <v>1726</v>
      </c>
      <c r="F123" s="9" t="s">
        <v>1727</v>
      </c>
      <c r="G123" s="31" t="str">
        <f>IFERROR(__xludf.DUMMYFUNCTION("if(len(E123) &gt; 0, join(char(10), FILTER(split(E123, char(10)), REGEXMATCH(split(E123, char(10)), PerkLineRegex))), """")"),"Whispered (Full Metal Panic) 600:
ARM SLAVE M6 Bushnell (Full Metal Panic) Free:")</f>
        <v>Whispered (Full Metal Panic) 600:
ARM SLAVE M6 Bushnell (Full Metal Panic) Free:</v>
      </c>
      <c r="H123" s="31" t="str">
        <f t="shared" si="2"/>
        <v>_
Chapter 113: 82 Bargaining - Addendum Uppercrust</v>
      </c>
    </row>
    <row r="124">
      <c r="A124" s="9" t="s">
        <v>1697</v>
      </c>
      <c r="B124" s="9" t="s">
        <v>44</v>
      </c>
      <c r="C124" s="9" t="s">
        <v>45</v>
      </c>
      <c r="D124" s="11" t="str">
        <f>IFERROR(__xludf.DUMMYFUNCTION("ifs(not(isna(MATCH(C124, ExcludedJumps, 0))), ""Excluded"", len(E124) = 0, ""Available"", REGEXMATCH(E124, RepeatableRegex), ""Repeatable"", countif(ARRAYFORMULA(REGEXMATCH(G124, split(B124, char(10)))), ""false"") = 0, ""Obtained"", true, ""Partial"")"),"Available")</f>
        <v>Available</v>
      </c>
      <c r="E124" s="31"/>
      <c r="F124" s="31"/>
      <c r="G124" s="31" t="str">
        <f>IFERROR(__xludf.DUMMYFUNCTION("if(len(E124) &gt; 0, join(char(10), FILTER(split(E124, char(10)), REGEXMATCH(split(E124, char(10)), PerkLineRegex))), """")"),"")</f>
        <v/>
      </c>
      <c r="H124" s="31" t="str">
        <f t="shared" si="2"/>
        <v/>
      </c>
    </row>
    <row r="125">
      <c r="A125" s="9" t="s">
        <v>1697</v>
      </c>
      <c r="B125" s="9" t="s">
        <v>1728</v>
      </c>
      <c r="C125" s="9" t="s">
        <v>498</v>
      </c>
      <c r="D125" s="11" t="str">
        <f>IFERROR(__xludf.DUMMYFUNCTION("ifs(not(isna(MATCH(C125, ExcludedJumps, 0))), ""Excluded"", len(E125) = 0, ""Available"", REGEXMATCH(E125, RepeatableRegex), ""Repeatable"", countif(ARRAYFORMULA(REGEXMATCH(G125, split(B125, char(10)))), ""false"") = 0, ""Obtained"", true, ""Partial"")"),"Obtained")</f>
        <v>Obtained</v>
      </c>
      <c r="E125" s="9" t="s">
        <v>1729</v>
      </c>
      <c r="F125" s="9" t="s">
        <v>1730</v>
      </c>
      <c r="G125" s="31" t="str">
        <f>IFERROR(__xludf.DUMMYFUNCTION("if(len(E125) &gt; 0, join(char(10), FILTER(split(E125, char(10)), REGEXMATCH(split(E125, char(10)), PerkLineRegex))), """")"),"Xenospecialist (Gears of War) 200:
COG Armor (Gears of War) Free:
Combat Boots (Gears of War) Free:
MX8 Snub Pistol (Gears of War) Free:
COG Tags (Gears of War) Free:
Personal Digital Assistant (Gears of War) Free:
Weapon Reload System (Gears of War) Free"&amp;":
Imulsion (Gears of War) Free:")</f>
        <v>Xenospecialist (Gears of War) 200:
COG Armor (Gears of War) Free:
Combat Boots (Gears of War) Free:
MX8 Snub Pistol (Gears of War) Free:
COG Tags (Gears of War) Free:
Personal Digital Assistant (Gears of War) Free:
Weapon Reload System (Gears of War) Free:
Imulsion (Gears of War) Free:</v>
      </c>
      <c r="H125" s="31" t="str">
        <f t="shared" si="2"/>
        <v>_
Chapter 33: 27 Intrusion - Addendum Hannah
Chapter 33: 27 Intrusion - Addendum Hannah
Chapter 33: 27 Intrusion - Addendum Hannah
Chapter 33: 27 Intrusion - Addendum Hannah
Chapter 33: 27 Intrusion - Addendum Hannah
Chapter 33: 27 Intrusion - Addendum Hannah
Chapter 33: 27 Intrusion - Addendum Hannah</v>
      </c>
    </row>
    <row r="126">
      <c r="A126" s="9" t="s">
        <v>1697</v>
      </c>
      <c r="B126" s="9" t="s">
        <v>1731</v>
      </c>
      <c r="C126" s="9" t="s">
        <v>1732</v>
      </c>
      <c r="D126" s="11" t="str">
        <f>IFERROR(__xludf.DUMMYFUNCTION("ifs(not(isna(MATCH(C126, ExcludedJumps, 0))), ""Excluded"", len(E126) = 0, ""Available"", REGEXMATCH(E126, RepeatableRegex), ""Repeatable"", countif(ARRAYFORMULA(REGEXMATCH(G126, split(B126, char(10)))), ""false"") = 0, ""Obtained"", true, ""Partial"")"),"Excluded")</f>
        <v>Excluded</v>
      </c>
      <c r="E126" s="31"/>
      <c r="F126" s="31"/>
      <c r="G126" s="31" t="str">
        <f>IFERROR(__xludf.DUMMYFUNCTION("if(len(E126) &gt; 0, join(char(10), FILTER(split(E126, char(10)), REGEXMATCH(split(E126, char(10)), PerkLineRegex))), """")"),"")</f>
        <v/>
      </c>
      <c r="H126" s="31" t="str">
        <f t="shared" si="2"/>
        <v/>
      </c>
    </row>
    <row r="127">
      <c r="A127" s="9" t="s">
        <v>1697</v>
      </c>
      <c r="B127" s="9" t="s">
        <v>1733</v>
      </c>
      <c r="C127" s="9" t="s">
        <v>1734</v>
      </c>
      <c r="D127" s="11" t="str">
        <f>IFERROR(__xludf.DUMMYFUNCTION("ifs(not(isna(MATCH(C127, ExcludedJumps, 0))), ""Excluded"", len(E127) = 0, ""Available"", REGEXMATCH(E127, RepeatableRegex), ""Repeatable"", countif(ARRAYFORMULA(REGEXMATCH(G127, split(B127, char(10)))), ""false"") = 0, ""Obtained"", true, ""Partial"")"),"Excluded")</f>
        <v>Excluded</v>
      </c>
      <c r="E127" s="31"/>
      <c r="F127" s="31"/>
      <c r="G127" s="31" t="str">
        <f>IFERROR(__xludf.DUMMYFUNCTION("if(len(E127) &gt; 0, join(char(10), FILTER(split(E127, char(10)), REGEXMATCH(split(E127, char(10)), PerkLineRegex))), """")"),"")</f>
        <v/>
      </c>
      <c r="H127" s="31" t="str">
        <f t="shared" si="2"/>
        <v/>
      </c>
    </row>
    <row r="128">
      <c r="A128" s="9" t="s">
        <v>1697</v>
      </c>
      <c r="B128" s="9" t="s">
        <v>1735</v>
      </c>
      <c r="C128" s="9" t="s">
        <v>1736</v>
      </c>
      <c r="D128" s="11" t="str">
        <f>IFERROR(__xludf.DUMMYFUNCTION("ifs(not(isna(MATCH(C128, ExcludedJumps, 0))), ""Excluded"", len(E128) = 0, ""Available"", REGEXMATCH(E128, RepeatableRegex), ""Repeatable"", countif(ARRAYFORMULA(REGEXMATCH(G128, split(B128, char(10)))), ""false"") = 0, ""Obtained"", true, ""Partial"")"),"Excluded")</f>
        <v>Excluded</v>
      </c>
      <c r="E128" s="31"/>
      <c r="F128" s="31"/>
      <c r="G128" s="31" t="str">
        <f>IFERROR(__xludf.DUMMYFUNCTION("if(len(E128) &gt; 0, join(char(10), FILTER(split(E128, char(10)), REGEXMATCH(split(E128, char(10)), PerkLineRegex))), """")"),"")</f>
        <v/>
      </c>
      <c r="H128" s="31" t="str">
        <f t="shared" si="2"/>
        <v/>
      </c>
    </row>
    <row r="129">
      <c r="A129" s="9" t="s">
        <v>1697</v>
      </c>
      <c r="B129" s="9" t="s">
        <v>1737</v>
      </c>
      <c r="C129" s="9" t="s">
        <v>1294</v>
      </c>
      <c r="D129" s="11" t="str">
        <f>IFERROR(__xludf.DUMMYFUNCTION("ifs(not(isna(MATCH(C129, ExcludedJumps, 0))), ""Excluded"", len(E129) = 0, ""Available"", REGEXMATCH(E129, RepeatableRegex), ""Repeatable"", countif(ARRAYFORMULA(REGEXMATCH(G129, split(B129, char(10)))), ""false"") = 0, ""Obtained"", true, ""Partial"")"),"Obtained")</f>
        <v>Obtained</v>
      </c>
      <c r="E129" s="9" t="s">
        <v>1738</v>
      </c>
      <c r="F129" s="9" t="s">
        <v>1739</v>
      </c>
      <c r="G129" s="31" t="str">
        <f>IFERROR(__xludf.DUMMYFUNCTION("if(len(E129) &gt; 0, join(char(10), FILTER(split(E129, char(10)), REGEXMATCH(split(E129, char(10)), PerkLineRegex))), """")"),"Engineer (Halo UNSC) 200:
Standard Neural Interface (Halo UNSC) Free:
M274 Mongoose (Halo UNSC) Free:
M6C Magnum (Halo UNSC) Free:
M9 Fragmentation Grenade (Halo UNSC) Free:
UNSC Marine Corp Battle Dress Uniform (Halo UNSC) Free:
Erudition (Halo) 600:
Gl"&amp;"adius-class Heavy Corvette (Halo) Free:
")</f>
        <v>Engineer (Halo UNSC) 200:
Standard Neural Interface (Halo UNSC) Free:
M274 Mongoose (Halo UNSC) Free:
M6C Magnum (Halo UNSC) Free:
M9 Fragmentation Grenade (Halo UNSC) Free:
UNSC Marine Corp Battle Dress Uniform (Halo UNSC) Free:
Erudition (Halo) 600:
Gladius-class Heavy Corvette (Halo) Free:
</v>
      </c>
      <c r="H129" s="31" t="str">
        <f t="shared" si="2"/>
        <v>_
Chapter 34: 28 Preamble - Addendum Sophia
Chapter 34: 28 Preamble - Addendum Sophia
Chapter 34: 28 Preamble - Addendum Sophia
Chapter 34: 28 Preamble - Addendum Sophia
Chapter 34: 28 Preamble - Addendum Sophia
_
Chapter 133: 95 Instant Replay</v>
      </c>
    </row>
    <row r="130">
      <c r="A130" s="9" t="s">
        <v>1697</v>
      </c>
      <c r="B130" s="9" t="s">
        <v>1740</v>
      </c>
      <c r="C130" s="9" t="s">
        <v>1741</v>
      </c>
      <c r="D130" s="11" t="str">
        <f>IFERROR(__xludf.DUMMYFUNCTION("ifs(not(isna(MATCH(C130, ExcludedJumps, 0))), ""Excluded"", len(E130) = 0, ""Available"", REGEXMATCH(E130, RepeatableRegex), ""Repeatable"", countif(ARRAYFORMULA(REGEXMATCH(G130, split(B130, char(10)))), ""false"") = 0, ""Obtained"", true, ""Partial"")"),"Excluded")</f>
        <v>Excluded</v>
      </c>
      <c r="E130" s="31"/>
      <c r="F130" s="31"/>
      <c r="G130" s="31" t="str">
        <f>IFERROR(__xludf.DUMMYFUNCTION("if(len(E130) &gt; 0, join(char(10), FILTER(split(E130, char(10)), REGEXMATCH(split(E130, char(10)), PerkLineRegex))), """")"),"")</f>
        <v/>
      </c>
      <c r="H130" s="31" t="str">
        <f t="shared" si="2"/>
        <v/>
      </c>
    </row>
    <row r="131">
      <c r="A131" s="9" t="s">
        <v>1697</v>
      </c>
      <c r="B131" s="9" t="s">
        <v>1742</v>
      </c>
      <c r="C131" s="9" t="s">
        <v>1743</v>
      </c>
      <c r="D131" s="11" t="str">
        <f>IFERROR(__xludf.DUMMYFUNCTION("ifs(not(isna(MATCH(C131, ExcludedJumps, 0))), ""Excluded"", len(E131) = 0, ""Available"", REGEXMATCH(E131, RepeatableRegex), ""Repeatable"", countif(ARRAYFORMULA(REGEXMATCH(G131, split(B131, char(10)))), ""false"") = 0, ""Obtained"", true, ""Partial"")"),"Excluded")</f>
        <v>Excluded</v>
      </c>
      <c r="E131" s="31"/>
      <c r="F131" s="31"/>
      <c r="G131" s="31" t="str">
        <f>IFERROR(__xludf.DUMMYFUNCTION("if(len(E131) &gt; 0, join(char(10), FILTER(split(E131, char(10)), REGEXMATCH(split(E131, char(10)), PerkLineRegex))), """")"),"")</f>
        <v/>
      </c>
      <c r="H131" s="31" t="str">
        <f t="shared" si="2"/>
        <v/>
      </c>
    </row>
    <row r="132">
      <c r="A132" s="9" t="s">
        <v>1697</v>
      </c>
      <c r="B132" s="9" t="s">
        <v>1744</v>
      </c>
      <c r="C132" s="9" t="s">
        <v>838</v>
      </c>
      <c r="D132" s="11" t="str">
        <f>IFERROR(__xludf.DUMMYFUNCTION("ifs(not(isna(MATCH(C132, ExcludedJumps, 0))), ""Excluded"", len(E132) = 0, ""Available"", REGEXMATCH(E132, RepeatableRegex), ""Repeatable"", countif(ARRAYFORMULA(REGEXMATCH(G132, split(B132, char(10)))), ""false"") = 0, ""Obtained"", true, ""Partial"")"),"Obtained")</f>
        <v>Obtained</v>
      </c>
      <c r="E132" s="9" t="s">
        <v>1745</v>
      </c>
      <c r="F132" s="9" t="s">
        <v>1709</v>
      </c>
      <c r="G132" s="31" t="str">
        <f>IFERROR(__xludf.DUMMYFUNCTION("if(len(E132) &gt; 0, join(char(10), FILTER(split(E132, char(10)), REGEXMATCH(split(E132, char(10)), PerkLineRegex))), """")"),"The Divine Machines (Lord of Light) 300:
Bright Spear (Lord of Light) Free:")</f>
        <v>The Divine Machines (Lord of Light) 300:
Bright Spear (Lord of Light) Free:</v>
      </c>
      <c r="H132" s="31" t="str">
        <f t="shared" si="2"/>
        <v>_
Chapter 64: 49 Game Time</v>
      </c>
    </row>
    <row r="133">
      <c r="A133" s="9" t="s">
        <v>1697</v>
      </c>
      <c r="B133" s="9" t="s">
        <v>1746</v>
      </c>
      <c r="C133" s="9" t="s">
        <v>51</v>
      </c>
      <c r="D133" s="11" t="str">
        <f>IFERROR(__xludf.DUMMYFUNCTION("ifs(not(isna(MATCH(C133, ExcludedJumps, 0))), ""Excluded"", len(E133) = 0, ""Available"", REGEXMATCH(E133, RepeatableRegex), ""Repeatable"", countif(ARRAYFORMULA(REGEXMATCH(G133, split(B133, char(10)))), ""false"") = 0, ""Obtained"", true, ""Partial"")"),"Partial")</f>
        <v>Partial</v>
      </c>
      <c r="E133" s="9" t="s">
        <v>1747</v>
      </c>
      <c r="F133" s="9" t="s">
        <v>213</v>
      </c>
      <c r="G133" s="31" t="str">
        <f>IFERROR(__xludf.DUMMYFUNCTION("if(len(E133) &gt; 0, join(char(10), FILTER(split(E133, char(10)), REGEXMATCH(split(E133, char(10)), PerkLineRegex))), """")"),"I Am Iron Man (Marvel Cinematic Universe) 400:")</f>
        <v>I Am Iron Man (Marvel Cinematic Universe) 400:</v>
      </c>
      <c r="H133" s="31" t="str">
        <f t="shared" si="2"/>
        <v>_</v>
      </c>
    </row>
    <row r="134">
      <c r="A134" s="9" t="s">
        <v>1697</v>
      </c>
      <c r="B134" s="9" t="s">
        <v>1748</v>
      </c>
      <c r="C134" s="9" t="s">
        <v>24</v>
      </c>
      <c r="D134" s="11" t="str">
        <f>IFERROR(__xludf.DUMMYFUNCTION("ifs(not(isna(MATCH(C134, ExcludedJumps, 0))), ""Excluded"", len(E134) = 0, ""Available"", REGEXMATCH(E134, RepeatableRegex), ""Repeatable"", countif(ARRAYFORMULA(REGEXMATCH(G134, split(B134, char(10)))), ""false"") = 0, ""Obtained"", true, ""Partial"")"),"Obtained")</f>
        <v>Obtained</v>
      </c>
      <c r="E134" s="9" t="s">
        <v>1749</v>
      </c>
      <c r="F134" s="9" t="s">
        <v>207</v>
      </c>
      <c r="G134" s="31" t="str">
        <f>IFERROR(__xludf.DUMMYFUNCTION("if(len(E134) &gt; 0, join(char(10), FILTER(split(E134, char(10)), REGEXMATCH(split(E134, char(10)), PerkLineRegex))), """")"),"Not A Stupid Grunt (Mass Effect) 100:")</f>
        <v>Not A Stupid Grunt (Mass Effect) 100:</v>
      </c>
      <c r="H134" s="31" t="str">
        <f t="shared" si="2"/>
        <v>_</v>
      </c>
    </row>
    <row r="135">
      <c r="A135" s="9" t="s">
        <v>1697</v>
      </c>
      <c r="B135" s="9" t="s">
        <v>1750</v>
      </c>
      <c r="C135" s="9" t="s">
        <v>1751</v>
      </c>
      <c r="D135" s="11" t="str">
        <f>IFERROR(__xludf.DUMMYFUNCTION("ifs(not(isna(MATCH(C135, ExcludedJumps, 0))), ""Excluded"", len(E135) = 0, ""Available"", REGEXMATCH(E135, RepeatableRegex), ""Repeatable"", countif(ARRAYFORMULA(REGEXMATCH(G135, split(B135, char(10)))), ""false"") = 0, ""Obtained"", true, ""Partial"")"),"Excluded")</f>
        <v>Excluded</v>
      </c>
      <c r="E135" s="31"/>
      <c r="F135" s="31"/>
      <c r="G135" s="31" t="str">
        <f>IFERROR(__xludf.DUMMYFUNCTION("if(len(E135) &gt; 0, join(char(10), FILTER(split(E135, char(10)), REGEXMATCH(split(E135, char(10)), PerkLineRegex))), """")"),"")</f>
        <v/>
      </c>
      <c r="H135" s="31" t="str">
        <f t="shared" si="2"/>
        <v/>
      </c>
    </row>
    <row r="136">
      <c r="A136" s="9" t="s">
        <v>1697</v>
      </c>
      <c r="B136" s="9" t="s">
        <v>41</v>
      </c>
      <c r="C136" s="9" t="s">
        <v>42</v>
      </c>
      <c r="D136" s="11" t="str">
        <f>IFERROR(__xludf.DUMMYFUNCTION("ifs(not(isna(MATCH(C136, ExcludedJumps, 0))), ""Excluded"", len(E136) = 0, ""Available"", REGEXMATCH(E136, RepeatableRegex), ""Repeatable"", countif(ARRAYFORMULA(REGEXMATCH(G136, split(B136, char(10)))), ""false"") = 0, ""Obtained"", true, ""Partial"")"),"Available")</f>
        <v>Available</v>
      </c>
      <c r="E136" s="31"/>
      <c r="F136" s="31"/>
      <c r="G136" s="31" t="str">
        <f>IFERROR(__xludf.DUMMYFUNCTION("if(len(E136) &gt; 0, join(char(10), FILTER(split(E136, char(10)), REGEXMATCH(split(E136, char(10)), PerkLineRegex))), """")"),"")</f>
        <v/>
      </c>
      <c r="H136" s="31" t="str">
        <f t="shared" si="2"/>
        <v/>
      </c>
    </row>
    <row r="137">
      <c r="A137" s="9" t="s">
        <v>1697</v>
      </c>
      <c r="B137" s="9" t="s">
        <v>195</v>
      </c>
      <c r="C137" s="9" t="s">
        <v>597</v>
      </c>
      <c r="D137" s="11" t="str">
        <f>IFERROR(__xludf.DUMMYFUNCTION("ifs(not(isna(MATCH(C137, ExcludedJumps, 0))), ""Excluded"", len(E137) = 0, ""Available"", REGEXMATCH(E137, RepeatableRegex), ""Repeatable"", countif(ARRAYFORMULA(REGEXMATCH(G137, split(B137, char(10)))), ""false"") = 0, ""Obtained"", true, ""Partial"")"),"Obtained")</f>
        <v>Obtained</v>
      </c>
      <c r="E137" s="9" t="s">
        <v>1752</v>
      </c>
      <c r="F137" s="9" t="s">
        <v>195</v>
      </c>
      <c r="G137" s="31" t="str">
        <f>IFERROR(__xludf.DUMMYFUNCTION("if(len(E137) &gt; 0, join(char(10), FILTER(split(E137, char(10)), REGEXMATCH(split(E137, char(10)), PerkLineRegex))), """")"),"Analysis (Red Alert 3) 100:")</f>
        <v>Analysis (Red Alert 3) 100:</v>
      </c>
      <c r="H137" s="31" t="str">
        <f t="shared" si="2"/>
        <v>_</v>
      </c>
    </row>
    <row r="138">
      <c r="A138" s="9" t="s">
        <v>1697</v>
      </c>
      <c r="B138" s="9" t="s">
        <v>1753</v>
      </c>
      <c r="C138" s="9" t="s">
        <v>977</v>
      </c>
      <c r="D138" s="11" t="str">
        <f>IFERROR(__xludf.DUMMYFUNCTION("ifs(not(isna(MATCH(C138, ExcludedJumps, 0))), ""Excluded"", len(E138) = 0, ""Available"", REGEXMATCH(E138, RepeatableRegex), ""Repeatable"", countif(ARRAYFORMULA(REGEXMATCH(G138, split(B138, char(10)))), ""false"") = 0, ""Obtained"", true, ""Partial"")"),"Obtained")</f>
        <v>Obtained</v>
      </c>
      <c r="E138" s="9" t="s">
        <v>1754</v>
      </c>
      <c r="F138" s="9" t="s">
        <v>195</v>
      </c>
      <c r="G138" s="31" t="str">
        <f>IFERROR(__xludf.DUMMYFUNCTION("if(len(E138) &gt; 0, join(char(10), FILTER(split(E138, char(10)), REGEXMATCH(split(E138, char(10)), PerkLineRegex))), """")"),"upgrades! Upgrades!! UPGRADES!!! (Red Faction) 400:")</f>
        <v>upgrades! Upgrades!! UPGRADES!!! (Red Faction) 400:</v>
      </c>
      <c r="H138" s="31" t="str">
        <f t="shared" si="2"/>
        <v>_</v>
      </c>
    </row>
    <row r="139">
      <c r="A139" s="9" t="s">
        <v>1697</v>
      </c>
      <c r="B139" s="9" t="s">
        <v>1755</v>
      </c>
      <c r="C139" s="9" t="s">
        <v>1756</v>
      </c>
      <c r="D139" s="11" t="str">
        <f>IFERROR(__xludf.DUMMYFUNCTION("ifs(not(isna(MATCH(C139, ExcludedJumps, 0))), ""Excluded"", len(E139) = 0, ""Available"", REGEXMATCH(E139, RepeatableRegex), ""Repeatable"", countif(ARRAYFORMULA(REGEXMATCH(G139, split(B139, char(10)))), ""false"") = 0, ""Obtained"", true, ""Partial"")"),"Excluded")</f>
        <v>Excluded</v>
      </c>
      <c r="E139" s="31"/>
      <c r="F139" s="31"/>
      <c r="G139" s="31" t="str">
        <f>IFERROR(__xludf.DUMMYFUNCTION("if(len(E139) &gt; 0, join(char(10), FILTER(split(E139, char(10)), REGEXMATCH(split(E139, char(10)), PerkLineRegex))), """")"),"")</f>
        <v/>
      </c>
      <c r="H139" s="31" t="str">
        <f t="shared" si="2"/>
        <v/>
      </c>
    </row>
    <row r="140">
      <c r="A140" s="9" t="s">
        <v>1697</v>
      </c>
      <c r="B140" s="9" t="s">
        <v>47</v>
      </c>
      <c r="C140" s="9" t="s">
        <v>48</v>
      </c>
      <c r="D140" s="11" t="str">
        <f>IFERROR(__xludf.DUMMYFUNCTION("ifs(not(isna(MATCH(C140, ExcludedJumps, 0))), ""Excluded"", len(E140) = 0, ""Available"", REGEXMATCH(E140, RepeatableRegex), ""Repeatable"", countif(ARRAYFORMULA(REGEXMATCH(G140, split(B140, char(10)))), ""false"") = 0, ""Obtained"", true, ""Partial"")"),"Available")</f>
        <v>Available</v>
      </c>
      <c r="E140" s="31"/>
      <c r="F140" s="31"/>
      <c r="G140" s="31" t="str">
        <f>IFERROR(__xludf.DUMMYFUNCTION("if(len(E140) &gt; 0, join(char(10), FILTER(split(E140, char(10)), REGEXMATCH(split(E140, char(10)), PerkLineRegex))), """")"),"")</f>
        <v/>
      </c>
      <c r="H140" s="31" t="str">
        <f t="shared" si="2"/>
        <v/>
      </c>
    </row>
    <row r="141">
      <c r="A141" s="9" t="s">
        <v>1697</v>
      </c>
      <c r="B141" s="9" t="s">
        <v>1757</v>
      </c>
      <c r="C141" s="9" t="s">
        <v>923</v>
      </c>
      <c r="D141" s="11" t="str">
        <f>IFERROR(__xludf.DUMMYFUNCTION("ifs(not(isna(MATCH(C141, ExcludedJumps, 0))), ""Excluded"", len(E141) = 0, ""Available"", REGEXMATCH(E141, RepeatableRegex), ""Repeatable"", countif(ARRAYFORMULA(REGEXMATCH(G141, split(B141, char(10)))), ""false"") = 0, ""Obtained"", true, ""Partial"")"),"Obtained")</f>
        <v>Obtained</v>
      </c>
      <c r="E141" s="9" t="s">
        <v>1758</v>
      </c>
      <c r="F141" s="9" t="s">
        <v>1759</v>
      </c>
      <c r="G141" s="31" t="str">
        <f>IFERROR(__xludf.DUMMYFUNCTION("if(len(E141) &gt; 0, join(char(10), FILTER(split(E141, char(10)), REGEXMATCH(split(E141, char(10)), PerkLineRegex))), """")"),"Sky Machinist (Skies of Arcadia) 200:
Cool Flag With Logo (Skies of Arcadia) Free:
Secret Handshake (Skies of Arcadia) Free:")</f>
        <v>Sky Machinist (Skies of Arcadia) 200:
Cool Flag With Logo (Skies of Arcadia) Free:
Secret Handshake (Skies of Arcadia) Free:</v>
      </c>
      <c r="H141" s="31" t="str">
        <f t="shared" si="2"/>
        <v>_
Chapter 71: 55.1 Interlude Fleet Preamble Roy Addendum Margaret
Chapter 71: 55.1 Interlude Fleet Preamble Roy Addendum Margaret</v>
      </c>
    </row>
    <row r="142">
      <c r="A142" s="9" t="s">
        <v>1697</v>
      </c>
      <c r="B142" s="9" t="s">
        <v>1760</v>
      </c>
      <c r="C142" s="9" t="s">
        <v>1761</v>
      </c>
      <c r="D142" s="11" t="str">
        <f>IFERROR(__xludf.DUMMYFUNCTION("ifs(not(isna(MATCH(C142, ExcludedJumps, 0))), ""Excluded"", len(E142) = 0, ""Available"", REGEXMATCH(E142, RepeatableRegex), ""Repeatable"", countif(ARRAYFORMULA(REGEXMATCH(G142, split(B142, char(10)))), ""false"") = 0, ""Obtained"", true, ""Partial"")"),"Excluded")</f>
        <v>Excluded</v>
      </c>
      <c r="E142" s="31"/>
      <c r="F142" s="31"/>
      <c r="G142" s="31" t="str">
        <f>IFERROR(__xludf.DUMMYFUNCTION("if(len(E142) &gt; 0, join(char(10), FILTER(split(E142, char(10)), REGEXMATCH(split(E142, char(10)), PerkLineRegex))), """")"),"")</f>
        <v/>
      </c>
      <c r="H142" s="31" t="str">
        <f t="shared" si="2"/>
        <v/>
      </c>
    </row>
    <row r="143">
      <c r="A143" s="9" t="s">
        <v>1697</v>
      </c>
      <c r="B143" s="9" t="s">
        <v>1762</v>
      </c>
      <c r="C143" s="9" t="s">
        <v>1763</v>
      </c>
      <c r="D143" s="11" t="str">
        <f>IFERROR(__xludf.DUMMYFUNCTION("ifs(not(isna(MATCH(C143, ExcludedJumps, 0))), ""Excluded"", len(E143) = 0, ""Available"", REGEXMATCH(E143, RepeatableRegex), ""Repeatable"", countif(ARRAYFORMULA(REGEXMATCH(G143, split(B143, char(10)))), ""false"") = 0, ""Obtained"", true, ""Partial"")"),"Excluded")</f>
        <v>Excluded</v>
      </c>
      <c r="E143" s="31"/>
      <c r="F143" s="31"/>
      <c r="G143" s="31" t="str">
        <f>IFERROR(__xludf.DUMMYFUNCTION("if(len(E143) &gt; 0, join(char(10), FILTER(split(E143, char(10)), REGEXMATCH(split(E143, char(10)), PerkLineRegex))), """")"),"")</f>
        <v/>
      </c>
      <c r="H143" s="31" t="str">
        <f t="shared" si="2"/>
        <v/>
      </c>
    </row>
    <row r="144">
      <c r="A144" s="9" t="s">
        <v>1697</v>
      </c>
      <c r="B144" s="9" t="s">
        <v>1764</v>
      </c>
      <c r="C144" s="9" t="s">
        <v>1765</v>
      </c>
      <c r="D144" s="11" t="str">
        <f>IFERROR(__xludf.DUMMYFUNCTION("ifs(not(isna(MATCH(C144, ExcludedJumps, 0))), ""Excluded"", len(E144) = 0, ""Available"", REGEXMATCH(E144, RepeatableRegex), ""Repeatable"", countif(ARRAYFORMULA(REGEXMATCH(G144, split(B144, char(10)))), ""false"") = 0, ""Obtained"", true, ""Partial"")"),"Obtained")</f>
        <v>Obtained</v>
      </c>
      <c r="E144" s="9" t="s">
        <v>1766</v>
      </c>
      <c r="F144" s="9" t="s">
        <v>1767</v>
      </c>
      <c r="G144" s="31" t="str">
        <f>IFERROR(__xludf.DUMMYFUNCTION("if(len(E144) &gt; 0, join(char(10), FILTER(split(E144, char(10)), REGEXMATCH(split(E144, char(10)), PerkLineRegex))), """")"),"Skills: Physics (Star Trek - TNG+DS9) 100:
Skills: Physical Sciences (Star Trek - TNG+DS9) 100:
Skills: Combat (Star Trek - TNG+DS9) 100:
Skills: Stealth (Star Trek - TNG+DS9) 100:
Skills: Medicine (Star Trek - TNG+DS9) 100:
Skills: Navigation (Star Trek "&amp;"- TNG+DS9) 100:
Skills: Robotics (Star Trek - TNG+DS9) 100:
Skills: Engineering (Star Trek - TNG+DS9) 100:
Skills: Weapons (Star Trek - TNG+DS9) 100:
Skills: Espionage (Star Trek - TNG+DS9) 100:
Skills: Communications (Star Trek - TNG+DS9) 100:
Skills: Pi"&amp;"loting (Star Trek - TNG+DS9) 100:")</f>
        <v>Skills: Physics (Star Trek - TNG+DS9) 100:
Skills: Physical Sciences (Star Trek - TNG+DS9) 100:
Skills: Combat (Star Trek - TNG+DS9) 100:
Skills: Stealth (Star Trek - TNG+DS9) 100:
Skills: Medicine (Star Trek - TNG+DS9) 100:
Skills: Navigation (Star Trek - TNG+DS9) 100:
Skills: Robotics (Star Trek - TNG+DS9) 100:
Skills: Engineering (Star Trek - TNG+DS9) 100:
Skills: Weapons (Star Trek - TNG+DS9) 100:
Skills: Espionage (Star Trek - TNG+DS9) 100:
Skills: Communications (Star Trek - TNG+DS9) 100:
Skills: Piloting (Star Trek - TNG+DS9) 100:</v>
      </c>
      <c r="H144" s="31" t="str">
        <f t="shared" si="2"/>
        <v>_
_
Chapter 38: 32 Family Fugue - Preamble Taylor - Addendum Mike
_
Chapter 62: 47 Downtime
Chapter 62: 47 Downtime
_
Chapter 101: 74 Hard Talk
_
Chapter 149: 100 Revelations
Chapter 149: 100 Revelations
Chapter 149: 100 Revelations</v>
      </c>
    </row>
    <row r="145">
      <c r="A145" s="9" t="s">
        <v>1697</v>
      </c>
      <c r="B145" s="9" t="s">
        <v>53</v>
      </c>
      <c r="C145" s="9" t="s">
        <v>54</v>
      </c>
      <c r="D145" s="11" t="str">
        <f>IFERROR(__xludf.DUMMYFUNCTION("ifs(not(isna(MATCH(C145, ExcludedJumps, 0))), ""Excluded"", len(E145) = 0, ""Available"", REGEXMATCH(E145, RepeatableRegex), ""Repeatable"", countif(ARRAYFORMULA(REGEXMATCH(G145, split(B145, char(10)))), ""false"") = 0, ""Obtained"", true, ""Partial"")"),"Available")</f>
        <v>Available</v>
      </c>
      <c r="E145" s="31"/>
      <c r="F145" s="31"/>
      <c r="G145" s="31" t="str">
        <f>IFERROR(__xludf.DUMMYFUNCTION("if(len(E145) &gt; 0, join(char(10), FILTER(split(E145, char(10)), REGEXMATCH(split(E145, char(10)), PerkLineRegex))), """")"),"")</f>
        <v/>
      </c>
      <c r="H145" s="31" t="str">
        <f t="shared" si="2"/>
        <v/>
      </c>
    </row>
    <row r="146">
      <c r="A146" s="9" t="s">
        <v>1697</v>
      </c>
      <c r="B146" s="9" t="s">
        <v>1768</v>
      </c>
      <c r="C146" s="9" t="s">
        <v>1434</v>
      </c>
      <c r="D146" s="11" t="str">
        <f>IFERROR(__xludf.DUMMYFUNCTION("ifs(not(isna(MATCH(C146, ExcludedJumps, 0))), ""Excluded"", len(E146) = 0, ""Available"", REGEXMATCH(E146, RepeatableRegex), ""Repeatable"", countif(ARRAYFORMULA(REGEXMATCH(G146, split(B146, char(10)))), ""false"") = 0, ""Obtained"", true, ""Partial"")"),"Obtained")</f>
        <v>Obtained</v>
      </c>
      <c r="E146" s="9" t="s">
        <v>1769</v>
      </c>
      <c r="F146" s="32" t="s">
        <v>1770</v>
      </c>
      <c r="G146" s="31" t="str">
        <f>IFERROR(__xludf.DUMMYFUNCTION("if(len(E146) &gt; 0, join(char(10), FILTER(split(E146, char(10)), REGEXMATCH(split(E146, char(10)), PerkLineRegex))), """")"),"Xenoarcheaologist (Stargate SG-1) 600:
Round Telephone (Stargate SG-1) Free:
Unleash the Snark (Stargate SG-1) Free:
Toxicology Reports (Stargate SG-1) Free:")</f>
        <v>Xenoarcheaologist (Stargate SG-1) 600:
Round Telephone (Stargate SG-1) Free:
Unleash the Snark (Stargate SG-1) Free:
Toxicology Reports (Stargate SG-1) Free:</v>
      </c>
      <c r="H146" s="31" t="str">
        <f t="shared" si="2"/>
        <v>_
Chapter 166: 110 Tangential Concerns
Chapter 166: 110 Tangential Concerns
Chapter 166: 110 Tangential Concerns</v>
      </c>
    </row>
    <row r="147">
      <c r="A147" s="9" t="s">
        <v>1697</v>
      </c>
      <c r="B147" s="9" t="s">
        <v>1771</v>
      </c>
      <c r="C147" s="9" t="s">
        <v>760</v>
      </c>
      <c r="D147" s="11" t="str">
        <f>IFERROR(__xludf.DUMMYFUNCTION("ifs(not(isna(MATCH(C147, ExcludedJumps, 0))), ""Excluded"", len(E147) = 0, ""Available"", REGEXMATCH(E147, RepeatableRegex), ""Repeatable"", countif(ARRAYFORMULA(REGEXMATCH(G147, split(B147, char(10)))), ""false"") = 0, ""Obtained"", true, ""Partial"")"),"Obtained")</f>
        <v>Obtained</v>
      </c>
      <c r="E147" s="9" t="s">
        <v>1772</v>
      </c>
      <c r="F147" s="9" t="s">
        <v>1773</v>
      </c>
      <c r="G147" s="31" t="str">
        <f>IFERROR(__xludf.DUMMYFUNCTION("if(len(E147) &gt; 0, join(char(10), FILTER(split(E147, char(10)), REGEXMATCH(split(E147, char(10)), PerkLineRegex))), """")"),"Technomage (Strike Witches) 200:
Bomber Jacket (Strike Witches) Free:
Call sign (Strike Witches) Free:")</f>
        <v>Technomage (Strike Witches) 200:
Bomber Jacket (Strike Witches) Free:
Call sign (Strike Witches) Free:</v>
      </c>
      <c r="H147" s="31" t="str">
        <f t="shared" si="2"/>
        <v>_
Chapter 62: 47 Downtime
Chapter 62: 47 Downtime</v>
      </c>
    </row>
    <row r="148">
      <c r="A148" s="9" t="s">
        <v>1697</v>
      </c>
      <c r="B148" s="9" t="s">
        <v>1714</v>
      </c>
      <c r="C148" s="9" t="s">
        <v>397</v>
      </c>
      <c r="D148" s="11" t="str">
        <f>IFERROR(__xludf.DUMMYFUNCTION("ifs(not(isna(MATCH(C148, ExcludedJumps, 0))), ""Excluded"", len(E148) = 0, ""Available"", REGEXMATCH(E148, RepeatableRegex), ""Repeatable"", countif(ARRAYFORMULA(REGEXMATCH(G148, split(B148, char(10)))), ""false"") = 0, ""Obtained"", true, ""Partial"")"),"Obtained")</f>
        <v>Obtained</v>
      </c>
      <c r="E148" s="9" t="s">
        <v>1774</v>
      </c>
      <c r="F148" s="9" t="s">
        <v>396</v>
      </c>
      <c r="G148" s="31" t="str">
        <f>IFERROR(__xludf.DUMMYFUNCTION("if(len(E148) &gt; 0, join(char(10), FILTER(split(E148, char(10)), REGEXMATCH(split(E148, char(10)), PerkLineRegex))), """")"),"Engineering (Teen Titans) 100:")</f>
        <v>Engineering (Teen Titans) 100:</v>
      </c>
      <c r="H148" s="31" t="str">
        <f t="shared" si="2"/>
        <v>_</v>
      </c>
    </row>
    <row r="149">
      <c r="A149" s="9" t="s">
        <v>1697</v>
      </c>
      <c r="B149" s="9" t="s">
        <v>56</v>
      </c>
      <c r="C149" s="9" t="s">
        <v>57</v>
      </c>
      <c r="D149" s="11" t="str">
        <f>IFERROR(__xludf.DUMMYFUNCTION("ifs(not(isna(MATCH(C149, ExcludedJumps, 0))), ""Excluded"", len(E149) = 0, ""Available"", REGEXMATCH(E149, RepeatableRegex), ""Repeatable"", countif(ARRAYFORMULA(REGEXMATCH(G149, split(B149, char(10)))), ""false"") = 0, ""Obtained"", true, ""Partial"")"),"Available")</f>
        <v>Available</v>
      </c>
      <c r="E149" s="31"/>
      <c r="F149" s="31"/>
      <c r="G149" s="31" t="str">
        <f>IFERROR(__xludf.DUMMYFUNCTION("if(len(E149) &gt; 0, join(char(10), FILTER(split(E149, char(10)), REGEXMATCH(split(E149, char(10)), PerkLineRegex))), """")"),"")</f>
        <v/>
      </c>
      <c r="H149" s="31" t="str">
        <f t="shared" si="2"/>
        <v/>
      </c>
    </row>
    <row r="150">
      <c r="A150" s="9" t="s">
        <v>1697</v>
      </c>
      <c r="B150" s="9" t="s">
        <v>59</v>
      </c>
      <c r="C150" s="9" t="s">
        <v>60</v>
      </c>
      <c r="D150" s="11" t="str">
        <f>IFERROR(__xludf.DUMMYFUNCTION("ifs(not(isna(MATCH(C150, ExcludedJumps, 0))), ""Excluded"", len(E150) = 0, ""Available"", REGEXMATCH(E150, RepeatableRegex), ""Repeatable"", countif(ARRAYFORMULA(REGEXMATCH(G150, split(B150, char(10)))), ""false"") = 0, ""Obtained"", true, ""Partial"")"),"Available")</f>
        <v>Available</v>
      </c>
      <c r="E150" s="31"/>
      <c r="F150" s="31"/>
      <c r="G150" s="31" t="str">
        <f>IFERROR(__xludf.DUMMYFUNCTION("if(len(E150) &gt; 0, join(char(10), FILTER(split(E150, char(10)), REGEXMATCH(split(E150, char(10)), PerkLineRegex))), """")"),"")</f>
        <v/>
      </c>
      <c r="H150" s="31" t="str">
        <f t="shared" si="2"/>
        <v/>
      </c>
    </row>
    <row r="151">
      <c r="A151" s="9" t="s">
        <v>1697</v>
      </c>
      <c r="B151" s="9" t="s">
        <v>1775</v>
      </c>
      <c r="C151" s="9" t="s">
        <v>1046</v>
      </c>
      <c r="D151" s="11" t="str">
        <f>IFERROR(__xludf.DUMMYFUNCTION("ifs(not(isna(MATCH(C151, ExcludedJumps, 0))), ""Excluded"", len(E151) = 0, ""Available"", REGEXMATCH(E151, RepeatableRegex), ""Repeatable"", countif(ARRAYFORMULA(REGEXMATCH(G151, split(B151, char(10)))), ""false"") = 0, ""Obtained"", true, ""Partial"")"),"Obtained")</f>
        <v>Obtained</v>
      </c>
      <c r="E151" s="9" t="s">
        <v>1776</v>
      </c>
      <c r="F151" s="9" t="s">
        <v>1777</v>
      </c>
      <c r="G151" s="31" t="str">
        <f>IFERROR(__xludf.DUMMYFUNCTION("if(len(E151) &gt; 0, join(char(10), FILTER(split(E151, char(10)), REGEXMATCH(split(E151, char(10)), PerkLineRegex))), """")"),"What's This Do? (Titanfall) 200:
Oi! (Titanfall) Free:
Core Ability - Amp Core (Titanfall) Free:")</f>
        <v>What's This Do? (Titanfall) 200:
Oi! (Titanfall) Free:
Core Ability - Amp Core (Titanfall) Free:</v>
      </c>
      <c r="H151" s="31" t="str">
        <f t="shared" si="2"/>
        <v>_
Chapter 110: 79 Preliminary Work
Chapter 110: 79 Preliminary Work</v>
      </c>
    </row>
    <row r="152">
      <c r="A152" s="9" t="s">
        <v>1697</v>
      </c>
      <c r="B152" s="9" t="s">
        <v>1778</v>
      </c>
      <c r="C152" s="9" t="s">
        <v>466</v>
      </c>
      <c r="D152" s="11" t="str">
        <f>IFERROR(__xludf.DUMMYFUNCTION("ifs(not(isna(MATCH(C152, ExcludedJumps, 0))), ""Excluded"", len(E152) = 0, ""Available"", REGEXMATCH(E152, RepeatableRegex), ""Repeatable"", countif(ARRAYFORMULA(REGEXMATCH(G152, split(B152, char(10)))), ""false"") = 0, ""Obtained"", true, ""Partial"")"),"Obtained")</f>
        <v>Obtained</v>
      </c>
      <c r="E152" s="9" t="s">
        <v>1779</v>
      </c>
      <c r="F152" s="9" t="s">
        <v>213</v>
      </c>
      <c r="G152" s="31" t="str">
        <f>IFERROR(__xludf.DUMMYFUNCTION("if(len(E152) &gt; 0, join(char(10), FILTER(split(E152, char(10)), REGEXMATCH(split(E152, char(10)), PerkLineRegex))), """")"),"Valkyrian Science (Valkyria Chronicles) 300:")</f>
        <v>Valkyrian Science (Valkyria Chronicles) 300:</v>
      </c>
      <c r="H152" s="31" t="str">
        <f t="shared" si="2"/>
        <v>_</v>
      </c>
    </row>
    <row r="153">
      <c r="A153" s="9" t="s">
        <v>1697</v>
      </c>
      <c r="B153" s="9" t="s">
        <v>1780</v>
      </c>
      <c r="C153" s="9" t="s">
        <v>1781</v>
      </c>
      <c r="D153" s="11" t="str">
        <f>IFERROR(__xludf.DUMMYFUNCTION("ifs(not(isna(MATCH(C153, ExcludedJumps, 0))), ""Excluded"", len(E153) = 0, ""Available"", REGEXMATCH(E153, RepeatableRegex), ""Repeatable"", countif(ARRAYFORMULA(REGEXMATCH(G153, split(B153, char(10)))), ""false"") = 0, ""Obtained"", true, ""Partial"")"),"Excluded")</f>
        <v>Excluded</v>
      </c>
      <c r="E153" s="31"/>
      <c r="F153" s="31"/>
      <c r="G153" s="31" t="str">
        <f>IFERROR(__xludf.DUMMYFUNCTION("if(len(E153) &gt; 0, join(char(10), FILTER(split(E153, char(10)), REGEXMATCH(split(E153, char(10)), PerkLineRegex))), """")"),"")</f>
        <v/>
      </c>
      <c r="H153" s="31" t="str">
        <f t="shared" si="2"/>
        <v/>
      </c>
    </row>
    <row r="154">
      <c r="A154" s="9" t="s">
        <v>1697</v>
      </c>
      <c r="B154" s="9" t="s">
        <v>1782</v>
      </c>
      <c r="C154" s="9" t="s">
        <v>1783</v>
      </c>
      <c r="D154" s="11" t="str">
        <f>IFERROR(__xludf.DUMMYFUNCTION("ifs(not(isna(MATCH(C154, ExcludedJumps, 0))), ""Excluded"", len(E154) = 0, ""Available"", REGEXMATCH(E154, RepeatableRegex), ""Repeatable"", countif(ARRAYFORMULA(REGEXMATCH(G154, split(B154, char(10)))), ""false"") = 0, ""Obtained"", true, ""Partial"")"),"Obtained")</f>
        <v>Obtained</v>
      </c>
      <c r="E154" s="9" t="s">
        <v>1784</v>
      </c>
      <c r="F154" s="9" t="s">
        <v>213</v>
      </c>
      <c r="G154" s="31" t="str">
        <f>IFERROR(__xludf.DUMMYFUNCTION("if(len(E154) &gt; 0, join(char(10), FILTER(split(E154, char(10)), REGEXMATCH(split(E154, char(10)), PerkLineRegex))), """")"),"The Pleician Tome (LoT DLC 1 – The Heathen Trail – Warhammer 40,000) 500:")</f>
        <v>The Pleician Tome (LoT DLC 1 – The Heathen Trail – Warhammer 40,000) 500:</v>
      </c>
      <c r="H154" s="31" t="str">
        <f t="shared" si="2"/>
        <v>_</v>
      </c>
    </row>
    <row r="155">
      <c r="A155" s="9" t="s">
        <v>1697</v>
      </c>
      <c r="B155" s="9" t="s">
        <v>1785</v>
      </c>
      <c r="C155" s="9" t="s">
        <v>471</v>
      </c>
      <c r="D155" s="11" t="str">
        <f>IFERROR(__xludf.DUMMYFUNCTION("ifs(not(isna(MATCH(C155, ExcludedJumps, 0))), ""Excluded"", len(E155) = 0, ""Available"", REGEXMATCH(E155, RepeatableRegex), ""Repeatable"", countif(ARRAYFORMULA(REGEXMATCH(G155, split(B155, char(10)))), ""false"") = 0, ""Obtained"", true, ""Partial"")"),"Obtained")</f>
        <v>Obtained</v>
      </c>
      <c r="E155" s="9" t="s">
        <v>1786</v>
      </c>
      <c r="F155" s="9" t="s">
        <v>1709</v>
      </c>
      <c r="G155" s="31" t="str">
        <f>IFERROR(__xludf.DUMMYFUNCTION("if(len(E155) &gt; 0, join(char(10), FILTER(split(E155, char(10)), REGEXMATCH(split(E155, char(10)), PerkLineRegex))), """")"),"Peak ADVENT Technology (XCOM 2) 200:
Flack Jacket (XCOM 2) Free:")</f>
        <v>Peak ADVENT Technology (XCOM 2) 200:
Flack Jacket (XCOM 2) Free:</v>
      </c>
      <c r="H155" s="31" t="str">
        <f t="shared" si="2"/>
        <v>_
Chapter 66: 51 Lunchtime</v>
      </c>
    </row>
    <row r="156">
      <c r="A156" s="9" t="s">
        <v>1575</v>
      </c>
      <c r="B156" s="9" t="s">
        <v>1787</v>
      </c>
      <c r="C156" s="9" t="s">
        <v>1788</v>
      </c>
      <c r="D156" s="11" t="str">
        <f>IFERROR(__xludf.DUMMYFUNCTION("ifs(not(isna(MATCH(C156, ExcludedJumps, 0))), ""Excluded"", len(E156) = 0, ""Available"", REGEXMATCH(E156, RepeatableRegex), ""Repeatable"", countif(ARRAYFORMULA(REGEXMATCH(G156, split(B156, char(10)))), ""false"") = 0, ""Obtained"", true, ""Partial"")"),"Excluded")</f>
        <v>Excluded</v>
      </c>
      <c r="E156" s="31"/>
      <c r="F156" s="31"/>
      <c r="G156" s="31" t="str">
        <f>IFERROR(__xludf.DUMMYFUNCTION("if(len(E156) &gt; 0, join(char(10), FILTER(split(E156, char(10)), REGEXMATCH(split(E156, char(10)), PerkLineRegex))), """")"),"")</f>
        <v/>
      </c>
      <c r="H156" s="31" t="str">
        <f t="shared" si="2"/>
        <v/>
      </c>
    </row>
    <row r="157">
      <c r="A157" s="9" t="s">
        <v>1575</v>
      </c>
      <c r="B157" s="9" t="s">
        <v>1789</v>
      </c>
      <c r="C157" s="9" t="s">
        <v>1544</v>
      </c>
      <c r="D157" s="11" t="str">
        <f>IFERROR(__xludf.DUMMYFUNCTION("ifs(not(isna(MATCH(C157, ExcludedJumps, 0))), ""Excluded"", len(E157) = 0, ""Available"", REGEXMATCH(E157, RepeatableRegex), ""Repeatable"", countif(ARRAYFORMULA(REGEXMATCH(G157, split(B157, char(10)))), ""false"") = 0, ""Obtained"", true, ""Partial"")"),"Obtained")</f>
        <v>Obtained</v>
      </c>
      <c r="E157" s="9" t="s">
        <v>1790</v>
      </c>
      <c r="F157" s="9" t="s">
        <v>1791</v>
      </c>
      <c r="G157" s="31" t="str">
        <f>IFERROR(__xludf.DUMMYFUNCTION("if(len(E157) &gt; 0, join(char(10), FILTER(split(E157, char(10)), REGEXMATCH(split(E157, char(10)), PerkLineRegex))), """")"),"Glove of the East (Binbougami Ga!) 300:
Deadbeat Holiday (Binbougami Ga!) Free:")</f>
        <v>Glove of the East (Binbougami Ga!) 300:
Deadbeat Holiday (Binbougami Ga!) Free:</v>
      </c>
      <c r="H157" s="31" t="str">
        <f t="shared" si="2"/>
        <v>_
Chapter 111: 80 Analysis and Reflections</v>
      </c>
    </row>
    <row r="158">
      <c r="A158" s="9" t="s">
        <v>1575</v>
      </c>
      <c r="B158" s="9" t="s">
        <v>1792</v>
      </c>
      <c r="C158" s="9" t="s">
        <v>1711</v>
      </c>
      <c r="D158" s="11" t="str">
        <f>IFERROR(__xludf.DUMMYFUNCTION("ifs(not(isna(MATCH(C158, ExcludedJumps, 0))), ""Excluded"", len(E158) = 0, ""Available"", REGEXMATCH(E158, RepeatableRegex), ""Repeatable"", countif(ARRAYFORMULA(REGEXMATCH(G158, split(B158, char(10)))), ""false"") = 0, ""Obtained"", true, ""Partial"")"),"Excluded")</f>
        <v>Excluded</v>
      </c>
      <c r="E158" s="31"/>
      <c r="F158" s="31"/>
      <c r="G158" s="31" t="str">
        <f>IFERROR(__xludf.DUMMYFUNCTION("if(len(E158) &gt; 0, join(char(10), FILTER(split(E158, char(10)), REGEXMATCH(split(E158, char(10)), PerkLineRegex))), """")"),"")</f>
        <v/>
      </c>
      <c r="H158" s="31" t="str">
        <f t="shared" si="2"/>
        <v/>
      </c>
    </row>
    <row r="159">
      <c r="A159" s="9" t="s">
        <v>1575</v>
      </c>
      <c r="B159" s="9" t="s">
        <v>1793</v>
      </c>
      <c r="C159" s="9" t="s">
        <v>1338</v>
      </c>
      <c r="D159" s="11" t="str">
        <f>IFERROR(__xludf.DUMMYFUNCTION("ifs(not(isna(MATCH(C159, ExcludedJumps, 0))), ""Excluded"", len(E159) = 0, ""Available"", REGEXMATCH(E159, RepeatableRegex), ""Repeatable"", countif(ARRAYFORMULA(REGEXMATCH(G159, split(B159, char(10)))), ""false"") = 0, ""Obtained"", true, ""Partial"")"),"Obtained")</f>
        <v>Obtained</v>
      </c>
      <c r="E159" s="9" t="s">
        <v>1794</v>
      </c>
      <c r="F159" s="9" t="s">
        <v>1795</v>
      </c>
      <c r="G159" s="31" t="str">
        <f>IFERROR(__xludf.DUMMYFUNCTION("if(len(E159) &gt; 0, join(char(10), FILTER(split(E159, char(10)), REGEXMATCH(split(E159, char(10)), PerkLineRegex))), """")"),"Blood Artisan Plus (Bloodborne) 600:
Bloodied Combat + Blood Artisan Plus (Bloodborne) Free:")</f>
        <v>Blood Artisan Plus (Bloodborne) 600:
Bloodied Combat + Blood Artisan Plus (Bloodborne) Free:</v>
      </c>
      <c r="H159" s="31" t="str">
        <f t="shared" si="2"/>
        <v>_
Chapter 186: 118 Roles and Reflection</v>
      </c>
    </row>
    <row r="160">
      <c r="A160" s="9" t="s">
        <v>1575</v>
      </c>
      <c r="B160" s="9" t="s">
        <v>1796</v>
      </c>
      <c r="C160" s="9" t="s">
        <v>409</v>
      </c>
      <c r="D160" s="11" t="str">
        <f>IFERROR(__xludf.DUMMYFUNCTION("ifs(not(isna(MATCH(C160, ExcludedJumps, 0))), ""Excluded"", len(E160) = 0, ""Available"", REGEXMATCH(E160, RepeatableRegex), ""Repeatable"", countif(ARRAYFORMULA(REGEXMATCH(G160, split(B160, char(10)))), ""false"") = 0, ""Obtained"", true, ""Partial"")"),"Obtained")</f>
        <v>Obtained</v>
      </c>
      <c r="E160" s="9" t="s">
        <v>1797</v>
      </c>
      <c r="F160" s="9" t="s">
        <v>211</v>
      </c>
      <c r="G160" s="31" t="str">
        <f>IFERROR(__xludf.DUMMYFUNCTION("if(len(E160) &gt; 0, join(char(10), FILTER(split(E160, char(10)), REGEXMATCH(split(E160, char(10)), PerkLineRegex))), """")"),"Maliwan Intern (Borderlands) 200:")</f>
        <v>Maliwan Intern (Borderlands) 200:</v>
      </c>
      <c r="H160" s="31" t="str">
        <f t="shared" si="2"/>
        <v>_</v>
      </c>
    </row>
    <row r="161">
      <c r="A161" s="9" t="s">
        <v>1575</v>
      </c>
      <c r="B161" s="9" t="s">
        <v>1798</v>
      </c>
      <c r="C161" s="9" t="s">
        <v>1799</v>
      </c>
      <c r="D161" s="11" t="str">
        <f>IFERROR(__xludf.DUMMYFUNCTION("ifs(not(isna(MATCH(C161, ExcludedJumps, 0))), ""Excluded"", len(E161) = 0, ""Available"", REGEXMATCH(E161, RepeatableRegex), ""Repeatable"", countif(ARRAYFORMULA(REGEXMATCH(G161, split(B161, char(10)))), ""false"") = 0, ""Obtained"", true, ""Partial"")"),"Excluded")</f>
        <v>Excluded</v>
      </c>
      <c r="E161" s="31"/>
      <c r="F161" s="31"/>
      <c r="G161" s="31" t="str">
        <f>IFERROR(__xludf.DUMMYFUNCTION("if(len(E161) &gt; 0, join(char(10), FILTER(split(E161, char(10)), REGEXMATCH(split(E161, char(10)), PerkLineRegex))), """")"),"")</f>
        <v/>
      </c>
      <c r="H161" s="31" t="str">
        <f t="shared" si="2"/>
        <v/>
      </c>
    </row>
    <row r="162">
      <c r="A162" s="9" t="s">
        <v>1575</v>
      </c>
      <c r="B162" s="9" t="s">
        <v>1800</v>
      </c>
      <c r="C162" s="9" t="s">
        <v>1799</v>
      </c>
      <c r="D162" s="11" t="str">
        <f>IFERROR(__xludf.DUMMYFUNCTION("ifs(not(isna(MATCH(C162, ExcludedJumps, 0))), ""Excluded"", len(E162) = 0, ""Available"", REGEXMATCH(E162, RepeatableRegex), ""Repeatable"", countif(ARRAYFORMULA(REGEXMATCH(G162, split(B162, char(10)))), ""false"") = 0, ""Obtained"", true, ""Partial"")"),"Excluded")</f>
        <v>Excluded</v>
      </c>
      <c r="E162" s="31"/>
      <c r="F162" s="31"/>
      <c r="G162" s="31" t="str">
        <f>IFERROR(__xludf.DUMMYFUNCTION("if(len(E162) &gt; 0, join(char(10), FILTER(split(E162, char(10)), REGEXMATCH(split(E162, char(10)), PerkLineRegex))), """")"),"")</f>
        <v/>
      </c>
      <c r="H162" s="31" t="str">
        <f t="shared" si="2"/>
        <v/>
      </c>
    </row>
    <row r="163">
      <c r="A163" s="9" t="s">
        <v>1575</v>
      </c>
      <c r="B163" s="9" t="s">
        <v>1801</v>
      </c>
      <c r="C163" s="9" t="s">
        <v>1799</v>
      </c>
      <c r="D163" s="11" t="str">
        <f>IFERROR(__xludf.DUMMYFUNCTION("ifs(not(isna(MATCH(C163, ExcludedJumps, 0))), ""Excluded"", len(E163) = 0, ""Available"", REGEXMATCH(E163, RepeatableRegex), ""Repeatable"", countif(ARRAYFORMULA(REGEXMATCH(G163, split(B163, char(10)))), ""false"") = 0, ""Obtained"", true, ""Partial"")"),"Excluded")</f>
        <v>Excluded</v>
      </c>
      <c r="E163" s="31"/>
      <c r="F163" s="31"/>
      <c r="G163" s="31" t="str">
        <f>IFERROR(__xludf.DUMMYFUNCTION("if(len(E163) &gt; 0, join(char(10), FILTER(split(E163, char(10)), REGEXMATCH(split(E163, char(10)), PerkLineRegex))), """")"),"")</f>
        <v/>
      </c>
      <c r="H163" s="31" t="str">
        <f t="shared" si="2"/>
        <v/>
      </c>
    </row>
    <row r="164">
      <c r="A164" s="9" t="s">
        <v>1575</v>
      </c>
      <c r="B164" s="9" t="s">
        <v>1802</v>
      </c>
      <c r="C164" s="9" t="s">
        <v>1803</v>
      </c>
      <c r="D164" s="11" t="str">
        <f>IFERROR(__xludf.DUMMYFUNCTION("ifs(not(isna(MATCH(C164, ExcludedJumps, 0))), ""Excluded"", len(E164) = 0, ""Available"", REGEXMATCH(E164, RepeatableRegex), ""Repeatable"", countif(ARRAYFORMULA(REGEXMATCH(G164, split(B164, char(10)))), ""false"") = 0, ""Obtained"", true, ""Partial"")"),"Excluded")</f>
        <v>Excluded</v>
      </c>
      <c r="E164" s="31"/>
      <c r="F164" s="31"/>
      <c r="G164" s="31" t="str">
        <f>IFERROR(__xludf.DUMMYFUNCTION("if(len(E164) &gt; 0, join(char(10), FILTER(split(E164, char(10)), REGEXMATCH(split(E164, char(10)), PerkLineRegex))), """")"),"")</f>
        <v/>
      </c>
      <c r="H164" s="31" t="str">
        <f t="shared" si="2"/>
        <v/>
      </c>
    </row>
    <row r="165">
      <c r="A165" s="9" t="s">
        <v>1575</v>
      </c>
      <c r="B165" s="9" t="s">
        <v>1804</v>
      </c>
      <c r="C165" s="9" t="s">
        <v>1805</v>
      </c>
      <c r="D165" s="11" t="str">
        <f>IFERROR(__xludf.DUMMYFUNCTION("ifs(not(isna(MATCH(C165, ExcludedJumps, 0))), ""Excluded"", len(E165) = 0, ""Available"", REGEXMATCH(E165, RepeatableRegex), ""Repeatable"", countif(ARRAYFORMULA(REGEXMATCH(G165, split(B165, char(10)))), ""false"") = 0, ""Obtained"", true, ""Partial"")"),"Excluded")</f>
        <v>Excluded</v>
      </c>
      <c r="E165" s="31"/>
      <c r="F165" s="31"/>
      <c r="G165" s="31" t="str">
        <f>IFERROR(__xludf.DUMMYFUNCTION("if(len(E165) &gt; 0, join(char(10), FILTER(split(E165, char(10)), REGEXMATCH(split(E165, char(10)), PerkLineRegex))), """")"),"")</f>
        <v/>
      </c>
      <c r="H165" s="31" t="str">
        <f t="shared" si="2"/>
        <v/>
      </c>
    </row>
    <row r="166">
      <c r="A166" s="9" t="s">
        <v>1575</v>
      </c>
      <c r="B166" s="9" t="s">
        <v>1806</v>
      </c>
      <c r="C166" s="9" t="s">
        <v>1807</v>
      </c>
      <c r="D166" s="11" t="str">
        <f>IFERROR(__xludf.DUMMYFUNCTION("ifs(not(isna(MATCH(C166, ExcludedJumps, 0))), ""Excluded"", len(E166) = 0, ""Available"", REGEXMATCH(E166, RepeatableRegex), ""Repeatable"", countif(ARRAYFORMULA(REGEXMATCH(G166, split(B166, char(10)))), ""false"") = 0, ""Obtained"", true, ""Partial"")"),"Excluded")</f>
        <v>Excluded</v>
      </c>
      <c r="E166" s="31"/>
      <c r="F166" s="31"/>
      <c r="G166" s="31" t="str">
        <f>IFERROR(__xludf.DUMMYFUNCTION("if(len(E166) &gt; 0, join(char(10), FILTER(split(E166, char(10)), REGEXMATCH(split(E166, char(10)), PerkLineRegex))), """")"),"")</f>
        <v/>
      </c>
      <c r="H166" s="31" t="str">
        <f t="shared" si="2"/>
        <v/>
      </c>
    </row>
    <row r="167">
      <c r="A167" s="9" t="s">
        <v>1575</v>
      </c>
      <c r="B167" s="9" t="s">
        <v>1808</v>
      </c>
      <c r="C167" s="9" t="s">
        <v>1807</v>
      </c>
      <c r="D167" s="11" t="str">
        <f>IFERROR(__xludf.DUMMYFUNCTION("ifs(not(isna(MATCH(C167, ExcludedJumps, 0))), ""Excluded"", len(E167) = 0, ""Available"", REGEXMATCH(E167, RepeatableRegex), ""Repeatable"", countif(ARRAYFORMULA(REGEXMATCH(G167, split(B167, char(10)))), ""false"") = 0, ""Obtained"", true, ""Partial"")"),"Excluded")</f>
        <v>Excluded</v>
      </c>
      <c r="E167" s="31"/>
      <c r="F167" s="31"/>
      <c r="G167" s="31" t="str">
        <f>IFERROR(__xludf.DUMMYFUNCTION("if(len(E167) &gt; 0, join(char(10), FILTER(split(E167, char(10)), REGEXMATCH(split(E167, char(10)), PerkLineRegex))), """")"),"")</f>
        <v/>
      </c>
      <c r="H167" s="31" t="str">
        <f t="shared" si="2"/>
        <v/>
      </c>
    </row>
    <row r="168">
      <c r="A168" s="9" t="s">
        <v>1575</v>
      </c>
      <c r="B168" s="9" t="s">
        <v>1809</v>
      </c>
      <c r="C168" s="9" t="s">
        <v>1628</v>
      </c>
      <c r="D168" s="11" t="str">
        <f>IFERROR(__xludf.DUMMYFUNCTION("ifs(not(isna(MATCH(C168, ExcludedJumps, 0))), ""Excluded"", len(E168) = 0, ""Available"", REGEXMATCH(E168, RepeatableRegex), ""Repeatable"", countif(ARRAYFORMULA(REGEXMATCH(G168, split(B168, char(10)))), ""false"") = 0, ""Obtained"", true, ""Partial"")"),"Excluded")</f>
        <v>Excluded</v>
      </c>
      <c r="E168" s="31"/>
      <c r="F168" s="31"/>
      <c r="G168" s="31" t="str">
        <f>IFERROR(__xludf.DUMMYFUNCTION("if(len(E168) &gt; 0, join(char(10), FILTER(split(E168, char(10)), REGEXMATCH(split(E168, char(10)), PerkLineRegex))), """")"),"")</f>
        <v/>
      </c>
      <c r="H168" s="31" t="str">
        <f t="shared" si="2"/>
        <v/>
      </c>
    </row>
    <row r="169">
      <c r="A169" s="9" t="s">
        <v>1575</v>
      </c>
      <c r="B169" s="9" t="s">
        <v>1810</v>
      </c>
      <c r="C169" s="9" t="s">
        <v>1811</v>
      </c>
      <c r="D169" s="11" t="str">
        <f>IFERROR(__xludf.DUMMYFUNCTION("ifs(not(isna(MATCH(C169, ExcludedJumps, 0))), ""Excluded"", len(E169) = 0, ""Available"", REGEXMATCH(E169, RepeatableRegex), ""Repeatable"", countif(ARRAYFORMULA(REGEXMATCH(G169, split(B169, char(10)))), ""false"") = 0, ""Obtained"", true, ""Partial"")"),"Excluded")</f>
        <v>Excluded</v>
      </c>
      <c r="E169" s="31"/>
      <c r="F169" s="31"/>
      <c r="G169" s="31" t="str">
        <f>IFERROR(__xludf.DUMMYFUNCTION("if(len(E169) &gt; 0, join(char(10), FILTER(split(E169, char(10)), REGEXMATCH(split(E169, char(10)), PerkLineRegex))), """")"),"")</f>
        <v/>
      </c>
      <c r="H169" s="31" t="str">
        <f t="shared" si="2"/>
        <v/>
      </c>
    </row>
    <row r="170">
      <c r="A170" s="9" t="s">
        <v>1575</v>
      </c>
      <c r="B170" s="9" t="s">
        <v>1812</v>
      </c>
      <c r="C170" s="9" t="s">
        <v>811</v>
      </c>
      <c r="D170" s="11" t="str">
        <f>IFERROR(__xludf.DUMMYFUNCTION("ifs(not(isna(MATCH(C170, ExcludedJumps, 0))), ""Excluded"", len(E170) = 0, ""Available"", REGEXMATCH(E170, RepeatableRegex), ""Repeatable"", countif(ARRAYFORMULA(REGEXMATCH(G170, split(B170, char(10)))), ""false"") = 0, ""Obtained"", true, ""Partial"")"),"Obtained")</f>
        <v>Obtained</v>
      </c>
      <c r="E170" s="9" t="s">
        <v>1813</v>
      </c>
      <c r="F170" s="38" t="s">
        <v>1814</v>
      </c>
      <c r="G170" s="31" t="str">
        <f>IFERROR(__xludf.DUMMYFUNCTION("if(len(E170) &gt; 0, join(char(10), FILTER(split(E170, char(10)), REGEXMATCH(split(E170, char(10)), PerkLineRegex))), """")"),"Feel It Out (F.E.A.R.) 600:
Paxton Fettel(F.E.A.R.) Free:
Synchronicity Event (F.E.A.R.) 300:
")</f>
        <v>Feel It Out (F.E.A.R.) 600:
Paxton Fettel(F.E.A.R.) Free:
Synchronicity Event (F.E.A.R.) 300:
</v>
      </c>
      <c r="H170" s="31" t="str">
        <f t="shared" si="2"/>
        <v>_
Chapter 73: 57 Crunch Time
_</v>
      </c>
    </row>
    <row r="171">
      <c r="A171" s="9" t="s">
        <v>1575</v>
      </c>
      <c r="B171" s="9" t="s">
        <v>63</v>
      </c>
      <c r="C171" s="9" t="s">
        <v>64</v>
      </c>
      <c r="D171" s="11" t="str">
        <f>IFERROR(__xludf.DUMMYFUNCTION("ifs(not(isna(MATCH(C171, ExcludedJumps, 0))), ""Excluded"", len(E171) = 0, ""Available"", REGEXMATCH(E171, RepeatableRegex), ""Repeatable"", countif(ARRAYFORMULA(REGEXMATCH(G171, split(B171, char(10)))), ""false"") = 0, ""Obtained"", true, ""Partial"")"),"Available")</f>
        <v>Available</v>
      </c>
      <c r="E171" s="31"/>
      <c r="F171" s="31"/>
      <c r="G171" s="31" t="str">
        <f>IFERROR(__xludf.DUMMYFUNCTION("if(len(E171) &gt; 0, join(char(10), FILTER(split(E171, char(10)), REGEXMATCH(split(E171, char(10)), PerkLineRegex))), """")"),"")</f>
        <v/>
      </c>
      <c r="H171" s="31" t="str">
        <f t="shared" si="2"/>
        <v/>
      </c>
    </row>
    <row r="172">
      <c r="A172" s="9" t="s">
        <v>1575</v>
      </c>
      <c r="B172" s="9" t="s">
        <v>1815</v>
      </c>
      <c r="C172" s="9" t="s">
        <v>1638</v>
      </c>
      <c r="D172" s="11" t="str">
        <f>IFERROR(__xludf.DUMMYFUNCTION("ifs(not(isna(MATCH(C172, ExcludedJumps, 0))), ""Excluded"", len(E172) = 0, ""Available"", REGEXMATCH(E172, RepeatableRegex), ""Repeatable"", countif(ARRAYFORMULA(REGEXMATCH(G172, split(B172, char(10)))), ""false"") = 0, ""Obtained"", true, ""Partial"")"),"Excluded")</f>
        <v>Excluded</v>
      </c>
      <c r="E172" s="31"/>
      <c r="F172" s="31"/>
      <c r="G172" s="31" t="str">
        <f>IFERROR(__xludf.DUMMYFUNCTION("if(len(E172) &gt; 0, join(char(10), FILTER(split(E172, char(10)), REGEXMATCH(split(E172, char(10)), PerkLineRegex))), """")"),"")</f>
        <v/>
      </c>
      <c r="H172" s="31" t="str">
        <f t="shared" si="2"/>
        <v/>
      </c>
    </row>
    <row r="173">
      <c r="A173" s="9" t="s">
        <v>1575</v>
      </c>
      <c r="B173" s="9" t="s">
        <v>1816</v>
      </c>
      <c r="C173" s="9" t="s">
        <v>1638</v>
      </c>
      <c r="D173" s="11" t="str">
        <f>IFERROR(__xludf.DUMMYFUNCTION("ifs(not(isna(MATCH(C173, ExcludedJumps, 0))), ""Excluded"", len(E173) = 0, ""Available"", REGEXMATCH(E173, RepeatableRegex), ""Repeatable"", countif(ARRAYFORMULA(REGEXMATCH(G173, split(B173, char(10)))), ""false"") = 0, ""Obtained"", true, ""Partial"")"),"Excluded")</f>
        <v>Excluded</v>
      </c>
      <c r="E173" s="31"/>
      <c r="F173" s="31"/>
      <c r="G173" s="31" t="str">
        <f>IFERROR(__xludf.DUMMYFUNCTION("if(len(E173) &gt; 0, join(char(10), FILTER(split(E173, char(10)), REGEXMATCH(split(E173, char(10)), PerkLineRegex))), """")"),"")</f>
        <v/>
      </c>
      <c r="H173" s="31" t="str">
        <f t="shared" si="2"/>
        <v/>
      </c>
    </row>
    <row r="174">
      <c r="A174" s="9" t="s">
        <v>1575</v>
      </c>
      <c r="B174" s="9" t="s">
        <v>1615</v>
      </c>
      <c r="C174" s="9" t="s">
        <v>1817</v>
      </c>
      <c r="D174" s="11" t="str">
        <f>IFERROR(__xludf.DUMMYFUNCTION("ifs(not(isna(MATCH(C174, ExcludedJumps, 0))), ""Excluded"", len(E174) = 0, ""Available"", REGEXMATCH(E174, RepeatableRegex), ""Repeatable"", countif(ARRAYFORMULA(REGEXMATCH(G174, split(B174, char(10)))), ""false"") = 0, ""Obtained"", true, ""Partial"")"),"Excluded")</f>
        <v>Excluded</v>
      </c>
      <c r="E174" s="31"/>
      <c r="F174" s="31"/>
      <c r="G174" s="31" t="str">
        <f>IFERROR(__xludf.DUMMYFUNCTION("if(len(E174) &gt; 0, join(char(10), FILTER(split(E174, char(10)), REGEXMATCH(split(E174, char(10)), PerkLineRegex))), """")"),"")</f>
        <v/>
      </c>
      <c r="H174" s="31" t="str">
        <f t="shared" si="2"/>
        <v/>
      </c>
    </row>
    <row r="175">
      <c r="A175" s="9" t="s">
        <v>1575</v>
      </c>
      <c r="B175" s="9" t="s">
        <v>1818</v>
      </c>
      <c r="C175" s="9" t="s">
        <v>1736</v>
      </c>
      <c r="D175" s="11" t="str">
        <f>IFERROR(__xludf.DUMMYFUNCTION("ifs(not(isna(MATCH(C175, ExcludedJumps, 0))), ""Excluded"", len(E175) = 0, ""Available"", REGEXMATCH(E175, RepeatableRegex), ""Repeatable"", countif(ARRAYFORMULA(REGEXMATCH(G175, split(B175, char(10)))), ""false"") = 0, ""Obtained"", true, ""Partial"")"),"Excluded")</f>
        <v>Excluded</v>
      </c>
      <c r="E175" s="31"/>
      <c r="F175" s="31"/>
      <c r="G175" s="31" t="str">
        <f>IFERROR(__xludf.DUMMYFUNCTION("if(len(E175) &gt; 0, join(char(10), FILTER(split(E175, char(10)), REGEXMATCH(split(E175, char(10)), PerkLineRegex))), """")"),"")</f>
        <v/>
      </c>
      <c r="H175" s="31" t="str">
        <f t="shared" si="2"/>
        <v/>
      </c>
    </row>
    <row r="176">
      <c r="A176" s="9" t="s">
        <v>1575</v>
      </c>
      <c r="B176" s="9" t="s">
        <v>1819</v>
      </c>
      <c r="C176" s="9" t="s">
        <v>705</v>
      </c>
      <c r="D176" s="11" t="str">
        <f>IFERROR(__xludf.DUMMYFUNCTION("ifs(not(isna(MATCH(C176, ExcludedJumps, 0))), ""Excluded"", len(E176) = 0, ""Available"", REGEXMATCH(E176, RepeatableRegex), ""Repeatable"", countif(ARRAYFORMULA(REGEXMATCH(G176, split(B176, char(10)))), ""false"") = 0, ""Obtained"", true, ""Partial"")"),"Obtained")</f>
        <v>Obtained</v>
      </c>
      <c r="E176" s="9" t="s">
        <v>1820</v>
      </c>
      <c r="F176" s="9" t="s">
        <v>1795</v>
      </c>
      <c r="G176" s="31" t="str">
        <f>IFERROR(__xludf.DUMMYFUNCTION("if(len(E176) &gt; 0, join(char(10), FILTER(split(E176, char(10)), REGEXMATCH(split(E176, char(10)), PerkLineRegex))), """")"),"Talisman Trained (Inukami) 100:
Talisman Adept (Inukami) 200:")</f>
        <v>Talisman Trained (Inukami) 100:
Talisman Adept (Inukami) 200:</v>
      </c>
      <c r="H176" s="31" t="str">
        <f t="shared" si="2"/>
        <v>_
Chapter 54: 43 Ripples Aisha - Preamble Gully - Addendum Joe</v>
      </c>
    </row>
    <row r="177">
      <c r="A177" s="9" t="s">
        <v>1575</v>
      </c>
      <c r="B177" s="9" t="s">
        <v>1821</v>
      </c>
      <c r="C177" s="9" t="s">
        <v>1822</v>
      </c>
      <c r="D177" s="11" t="str">
        <f>IFERROR(__xludf.DUMMYFUNCTION("ifs(not(isna(MATCH(C177, ExcludedJumps, 0))), ""Excluded"", len(E177) = 0, ""Available"", REGEXMATCH(E177, RepeatableRegex), ""Repeatable"", countif(ARRAYFORMULA(REGEXMATCH(G177, split(B177, char(10)))), ""false"") = 0, ""Obtained"", true, ""Partial"")"),"Excluded")</f>
        <v>Excluded</v>
      </c>
      <c r="E177" s="31"/>
      <c r="F177" s="31"/>
      <c r="G177" s="31" t="str">
        <f>IFERROR(__xludf.DUMMYFUNCTION("if(len(E177) &gt; 0, join(char(10), FILTER(split(E177, char(10)), REGEXMATCH(split(E177, char(10)), PerkLineRegex))), """")"),"")</f>
        <v/>
      </c>
      <c r="H177" s="31" t="str">
        <f t="shared" si="2"/>
        <v/>
      </c>
    </row>
    <row r="178">
      <c r="A178" s="9" t="s">
        <v>1575</v>
      </c>
      <c r="B178" s="9" t="s">
        <v>1823</v>
      </c>
      <c r="C178" s="9" t="s">
        <v>519</v>
      </c>
      <c r="D178" s="11" t="str">
        <f>IFERROR(__xludf.DUMMYFUNCTION("ifs(not(isna(MATCH(C178, ExcludedJumps, 0))), ""Excluded"", len(E178) = 0, ""Available"", REGEXMATCH(E178, RepeatableRegex), ""Repeatable"", countif(ARRAYFORMULA(REGEXMATCH(G178, split(B178, char(10)))), ""false"") = 0, ""Obtained"", true, ""Partial"")"),"Obtained")</f>
        <v>Obtained</v>
      </c>
      <c r="E178" s="9" t="s">
        <v>1824</v>
      </c>
      <c r="F178" s="9" t="s">
        <v>213</v>
      </c>
      <c r="G178" s="31" t="str">
        <f>IFERROR(__xludf.DUMMYFUNCTION("if(len(E178) &gt; 0, join(char(10), FILTER(split(E178, char(10)), REGEXMATCH(split(E178, char(10)), PerkLineRegex))), """")"),"Elven Enchantment (Lord of the Rings) 500:")</f>
        <v>Elven Enchantment (Lord of the Rings) 500:</v>
      </c>
      <c r="H178" s="31" t="str">
        <f t="shared" si="2"/>
        <v>_</v>
      </c>
    </row>
    <row r="179">
      <c r="A179" s="9" t="s">
        <v>1575</v>
      </c>
      <c r="B179" s="9" t="s">
        <v>1825</v>
      </c>
      <c r="C179" s="9" t="s">
        <v>1826</v>
      </c>
      <c r="D179" s="11" t="str">
        <f>IFERROR(__xludf.DUMMYFUNCTION("ifs(not(isna(MATCH(C179, ExcludedJumps, 0))), ""Excluded"", len(E179) = 0, ""Available"", REGEXMATCH(E179, RepeatableRegex), ""Repeatable"", countif(ARRAYFORMULA(REGEXMATCH(G179, split(B179, char(10)))), ""false"") = 0, ""Obtained"", true, ""Partial"")"),"Excluded")</f>
        <v>Excluded</v>
      </c>
      <c r="E179" s="31"/>
      <c r="F179" s="31"/>
      <c r="G179" s="31" t="str">
        <f>IFERROR(__xludf.DUMMYFUNCTION("if(len(E179) &gt; 0, join(char(10), FILTER(split(E179, char(10)), REGEXMATCH(split(E179, char(10)), PerkLineRegex))), """")"),"")</f>
        <v/>
      </c>
      <c r="H179" s="31" t="str">
        <f t="shared" si="2"/>
        <v/>
      </c>
    </row>
    <row r="180">
      <c r="A180" s="9" t="s">
        <v>1575</v>
      </c>
      <c r="B180" s="9" t="s">
        <v>1827</v>
      </c>
      <c r="C180" s="9" t="s">
        <v>1519</v>
      </c>
      <c r="D180" s="11" t="str">
        <f>IFERROR(__xludf.DUMMYFUNCTION("ifs(not(isna(MATCH(C180, ExcludedJumps, 0))), ""Excluded"", len(E180) = 0, ""Available"", REGEXMATCH(E180, RepeatableRegex), ""Repeatable"", countif(ARRAYFORMULA(REGEXMATCH(G180, split(B180, char(10)))), ""false"") = 0, ""Obtained"", true, ""Partial"")"),"Excluded")</f>
        <v>Excluded</v>
      </c>
      <c r="E180" s="31"/>
      <c r="F180" s="31"/>
      <c r="G180" s="31" t="str">
        <f>IFERROR(__xludf.DUMMYFUNCTION("if(len(E180) &gt; 0, join(char(10), FILTER(split(E180, char(10)), REGEXMATCH(split(E180, char(10)), PerkLineRegex))), """")"),"")</f>
        <v/>
      </c>
      <c r="H180" s="31" t="str">
        <f t="shared" si="2"/>
        <v/>
      </c>
    </row>
    <row r="181">
      <c r="A181" s="9" t="s">
        <v>1575</v>
      </c>
      <c r="B181" s="9" t="s">
        <v>1828</v>
      </c>
      <c r="C181" s="9" t="s">
        <v>648</v>
      </c>
      <c r="D181" s="11" t="str">
        <f>IFERROR(__xludf.DUMMYFUNCTION("ifs(not(isna(MATCH(C181, ExcludedJumps, 0))), ""Excluded"", len(E181) = 0, ""Available"", REGEXMATCH(E181, RepeatableRegex), ""Repeatable"", countif(ARRAYFORMULA(REGEXMATCH(G181, split(B181, char(10)))), ""false"") = 0, ""Obtained"", true, ""Partial"")"),"Obtained")</f>
        <v>Obtained</v>
      </c>
      <c r="E181" s="9" t="s">
        <v>1829</v>
      </c>
      <c r="F181" s="9" t="s">
        <v>1830</v>
      </c>
      <c r="G181" s="31" t="str">
        <f>IFERROR(__xludf.DUMMYFUNCTION("if(len(E181) &gt; 0, join(char(10), FILTER(split(E181, char(10)), REGEXMATCH(split(E181, char(10)), PerkLineRegex))), """")"),"Elemental Mastery (Monster Hunter) 400:
Balance Bangle (Monster Hunter) Free:
Starter Weapon: Bone Rod I and Mauldrone I (Monster Hunter) Free:")</f>
        <v>Elemental Mastery (Monster Hunter) 400:
Balance Bangle (Monster Hunter) Free:
Starter Weapon: Bone Rod I and Mauldrone I (Monster Hunter) Free:</v>
      </c>
      <c r="H181" s="31" t="str">
        <f t="shared" si="2"/>
        <v>_
Chapter 64: 49 Game Time
Chapter 64: 49 Game Time</v>
      </c>
    </row>
    <row r="182">
      <c r="A182" s="9" t="s">
        <v>1575</v>
      </c>
      <c r="B182" s="9" t="s">
        <v>1831</v>
      </c>
      <c r="C182" s="9" t="s">
        <v>648</v>
      </c>
      <c r="D182" s="11" t="str">
        <f>IFERROR(__xludf.DUMMYFUNCTION("ifs(not(isna(MATCH(C182, ExcludedJumps, 0))), ""Excluded"", len(E182) = 0, ""Available"", REGEXMATCH(E182, RepeatableRegex), ""Repeatable"", countif(ARRAYFORMULA(REGEXMATCH(G182, split(B182, char(10)))), ""false"") = 0, ""Obtained"", true, ""Partial"")"),"Obtained")</f>
        <v>Obtained</v>
      </c>
      <c r="E182" s="9" t="s">
        <v>1832</v>
      </c>
      <c r="F182" s="9" t="s">
        <v>1833</v>
      </c>
      <c r="G182" s="31" t="str">
        <f>IFERROR(__xludf.DUMMYFUNCTION("if(len(E182) &gt; 0, join(char(10), FILTER(split(E182, char(10)), REGEXMATCH(split(E182, char(10)), PerkLineRegex))), """")"),"Infusionist (Monster Hunter) 600:
Felyne Comrade (Monster Hunter) Free:")</f>
        <v>Infusionist (Monster Hunter) 600:
Felyne Comrade (Monster Hunter) Free:</v>
      </c>
      <c r="H182" s="31" t="str">
        <f t="shared" si="2"/>
        <v>_
Chapter 72: 56 Arrival Time</v>
      </c>
    </row>
    <row r="183">
      <c r="A183" s="9" t="s">
        <v>1575</v>
      </c>
      <c r="B183" s="9" t="s">
        <v>1834</v>
      </c>
      <c r="C183" s="9" t="s">
        <v>1751</v>
      </c>
      <c r="D183" s="11" t="str">
        <f>IFERROR(__xludf.DUMMYFUNCTION("ifs(not(isna(MATCH(C183, ExcludedJumps, 0))), ""Excluded"", len(E183) = 0, ""Available"", REGEXMATCH(E183, RepeatableRegex), ""Repeatable"", countif(ARRAYFORMULA(REGEXMATCH(G183, split(B183, char(10)))), ""false"") = 0, ""Obtained"", true, ""Partial"")"),"Excluded")</f>
        <v>Excluded</v>
      </c>
      <c r="E183" s="31"/>
      <c r="F183" s="31"/>
      <c r="G183" s="31" t="str">
        <f>IFERROR(__xludf.DUMMYFUNCTION("if(len(E183) &gt; 0, join(char(10), FILTER(split(E183, char(10)), REGEXMATCH(split(E183, char(10)), PerkLineRegex))), """")"),"")</f>
        <v/>
      </c>
      <c r="H183" s="31" t="str">
        <f t="shared" si="2"/>
        <v/>
      </c>
    </row>
    <row r="184">
      <c r="A184" s="9" t="s">
        <v>1575</v>
      </c>
      <c r="B184" s="9" t="s">
        <v>1835</v>
      </c>
      <c r="C184" s="9" t="s">
        <v>1836</v>
      </c>
      <c r="D184" s="11" t="str">
        <f>IFERROR(__xludf.DUMMYFUNCTION("ifs(not(isna(MATCH(C184, ExcludedJumps, 0))), ""Excluded"", len(E184) = 0, ""Available"", REGEXMATCH(E184, RepeatableRegex), ""Repeatable"", countif(ARRAYFORMULA(REGEXMATCH(G184, split(B184, char(10)))), ""false"") = 0, ""Obtained"", true, ""Partial"")"),"Excluded")</f>
        <v>Excluded</v>
      </c>
      <c r="E184" s="31"/>
      <c r="F184" s="31"/>
      <c r="G184" s="31" t="str">
        <f>IFERROR(__xludf.DUMMYFUNCTION("if(len(E184) &gt; 0, join(char(10), FILTER(split(E184, char(10)), REGEXMATCH(split(E184, char(10)), PerkLineRegex))), """")"),"")</f>
        <v/>
      </c>
      <c r="H184" s="31" t="str">
        <f t="shared" si="2"/>
        <v/>
      </c>
    </row>
    <row r="185">
      <c r="A185" s="9" t="s">
        <v>1575</v>
      </c>
      <c r="B185" s="9" t="s">
        <v>66</v>
      </c>
      <c r="C185" s="9" t="s">
        <v>67</v>
      </c>
      <c r="D185" s="11" t="str">
        <f>IFERROR(__xludf.DUMMYFUNCTION("ifs(not(isna(MATCH(C185, ExcludedJumps, 0))), ""Excluded"", len(E185) = 0, ""Available"", REGEXMATCH(E185, RepeatableRegex), ""Repeatable"", countif(ARRAYFORMULA(REGEXMATCH(G185, split(B185, char(10)))), ""false"") = 0, ""Obtained"", true, ""Partial"")"),"Available")</f>
        <v>Available</v>
      </c>
      <c r="E185" s="31"/>
      <c r="F185" s="31"/>
      <c r="G185" s="31" t="str">
        <f>IFERROR(__xludf.DUMMYFUNCTION("if(len(E185) &gt; 0, join(char(10), FILTER(split(E185, char(10)), REGEXMATCH(split(E185, char(10)), PerkLineRegex))), """")"),"")</f>
        <v/>
      </c>
      <c r="H185" s="31" t="str">
        <f t="shared" si="2"/>
        <v/>
      </c>
    </row>
    <row r="186">
      <c r="A186" s="9" t="s">
        <v>1575</v>
      </c>
      <c r="B186" s="9" t="s">
        <v>1837</v>
      </c>
      <c r="C186" s="9" t="s">
        <v>282</v>
      </c>
      <c r="D186" s="11" t="str">
        <f>IFERROR(__xludf.DUMMYFUNCTION("ifs(not(isna(MATCH(C186, ExcludedJumps, 0))), ""Excluded"", len(E186) = 0, ""Available"", REGEXMATCH(E186, RepeatableRegex), ""Repeatable"", countif(ARRAYFORMULA(REGEXMATCH(G186, split(B186, char(10)))), ""false"") = 0, ""Obtained"", true, ""Partial"")"),"Obtained")</f>
        <v>Obtained</v>
      </c>
      <c r="E186" s="9" t="s">
        <v>1838</v>
      </c>
      <c r="F186" s="9" t="s">
        <v>213</v>
      </c>
      <c r="G186" s="31" t="str">
        <f>IFERROR(__xludf.DUMMYFUNCTION("if(len(E186) &gt; 0, join(char(10), FILTER(split(E186, char(10)), REGEXMATCH(split(E186, char(10)), PerkLineRegex))), """")"),"Magic: Enchanting (Samurai Jack) 200:")</f>
        <v>Magic: Enchanting (Samurai Jack) 200:</v>
      </c>
      <c r="H186" s="31" t="str">
        <f t="shared" si="2"/>
        <v>_</v>
      </c>
    </row>
    <row r="187">
      <c r="A187" s="9" t="s">
        <v>1575</v>
      </c>
      <c r="B187" s="9" t="s">
        <v>1839</v>
      </c>
      <c r="C187" s="9" t="s">
        <v>48</v>
      </c>
      <c r="D187" s="11" t="str">
        <f>IFERROR(__xludf.DUMMYFUNCTION("ifs(not(isna(MATCH(C187, ExcludedJumps, 0))), ""Excluded"", len(E187) = 0, ""Available"", REGEXMATCH(E187, RepeatableRegex), ""Repeatable"", countif(ARRAYFORMULA(REGEXMATCH(G187, split(B187, char(10)))), ""false"") = 0, ""Obtained"", true, ""Partial"")"),"Obtained")</f>
        <v>Obtained</v>
      </c>
      <c r="E187" s="9" t="s">
        <v>1840</v>
      </c>
      <c r="F187" s="9" t="s">
        <v>1841</v>
      </c>
      <c r="G187" s="31" t="str">
        <f>IFERROR(__xludf.DUMMYFUNCTION("if(len(E187) &gt; 0, join(char(10), FILTER(split(E187, char(10)), REGEXMATCH(split(E187, char(10)), PerkLineRegex))), """")"),"Heretical Adaptation (Senki Zesshou Symphogear) 200:
Calling Card (Senki Zesshou Symphogear) Free:")</f>
        <v>Heretical Adaptation (Senki Zesshou Symphogear) 200:
Calling Card (Senki Zesshou Symphogear) Free:</v>
      </c>
      <c r="H187" s="31" t="str">
        <f t="shared" si="2"/>
        <v>_
Chapter 45: 38 Build Up - Preamble Leet - Addendum Rey</v>
      </c>
    </row>
    <row r="188">
      <c r="A188" s="9" t="s">
        <v>1575</v>
      </c>
      <c r="B188" s="9" t="s">
        <v>1842</v>
      </c>
      <c r="C188" s="9" t="s">
        <v>814</v>
      </c>
      <c r="D188" s="11" t="str">
        <f>IFERROR(__xludf.DUMMYFUNCTION("ifs(not(isna(MATCH(C188, ExcludedJumps, 0))), ""Excluded"", len(E188) = 0, ""Available"", REGEXMATCH(E188, RepeatableRegex), ""Repeatable"", countif(ARRAYFORMULA(REGEXMATCH(G188, split(B188, char(10)))), ""false"") = 0, ""Obtained"", true, ""Partial"")"),"Obtained")</f>
        <v>Obtained</v>
      </c>
      <c r="E188" s="9" t="s">
        <v>1843</v>
      </c>
      <c r="F188" s="9" t="s">
        <v>205</v>
      </c>
      <c r="G188" s="31" t="str">
        <f>IFERROR(__xludf.DUMMYFUNCTION("if(len(E188) &gt; 0, join(char(10), FILTER(split(E188, char(10)), REGEXMATCH(split(E188, char(10)), PerkLineRegex))), """")"),"Atlantean Power Crystals (Shivers) 400:
")</f>
        <v>Atlantean Power Crystals (Shivers) 400:
</v>
      </c>
      <c r="H188" s="31" t="str">
        <f t="shared" si="2"/>
        <v>_</v>
      </c>
    </row>
    <row r="189">
      <c r="A189" s="9" t="s">
        <v>1575</v>
      </c>
      <c r="B189" s="9" t="s">
        <v>1844</v>
      </c>
      <c r="C189" s="9" t="s">
        <v>748</v>
      </c>
      <c r="D189" s="11" t="str">
        <f>IFERROR(__xludf.DUMMYFUNCTION("ifs(not(isna(MATCH(C189, ExcludedJumps, 0))), ""Excluded"", len(E189) = 0, ""Available"", REGEXMATCH(E189, RepeatableRegex), ""Repeatable"", countif(ARRAYFORMULA(REGEXMATCH(G189, split(B189, char(10)))), ""false"") = 0, ""Obtained"", true, ""Partial"")"),"Obtained")</f>
        <v>Obtained</v>
      </c>
      <c r="E189" s="9" t="s">
        <v>1845</v>
      </c>
      <c r="F189" s="9" t="s">
        <v>1846</v>
      </c>
      <c r="G189" s="31" t="str">
        <f>IFERROR(__xludf.DUMMYFUNCTION("if(len(E189) &gt; 0, join(char(10), FILTER(split(E189, char(10)), REGEXMATCH(split(E189, char(10)), PerkLineRegex))), """")"),"That Undefinable Thing (Tales of Symphonia) 300:
Iconic Outfit (Tales of Symphonia) Free:
Questionably Practical Weapon (Tales of Symphonia) Free:")</f>
        <v>That Undefinable Thing (Tales of Symphonia) 300:
Iconic Outfit (Tales of Symphonia) Free:
Questionably Practical Weapon (Tales of Symphonia) Free:</v>
      </c>
      <c r="H189" s="31" t="str">
        <f t="shared" si="2"/>
        <v>_
Chapter 48: 41 Drag Out - Preamble Chen
Chapter 48: 41 Drag Out - Preamble Chen</v>
      </c>
    </row>
    <row r="190">
      <c r="A190" s="9" t="s">
        <v>1575</v>
      </c>
      <c r="B190" s="9" t="s">
        <v>1847</v>
      </c>
      <c r="C190" s="9" t="s">
        <v>1848</v>
      </c>
      <c r="D190" s="11" t="str">
        <f>IFERROR(__xludf.DUMMYFUNCTION("ifs(not(isna(MATCH(C190, ExcludedJumps, 0))), ""Excluded"", len(E190) = 0, ""Available"", REGEXMATCH(E190, RepeatableRegex), ""Repeatable"", countif(ARRAYFORMULA(REGEXMATCH(G190, split(B190, char(10)))), ""false"") = 0, ""Obtained"", true, ""Partial"")"),"Excluded")</f>
        <v>Excluded</v>
      </c>
      <c r="E190" s="31"/>
      <c r="F190" s="31"/>
      <c r="G190" s="31" t="str">
        <f>IFERROR(__xludf.DUMMYFUNCTION("if(len(E190) &gt; 0, join(char(10), FILTER(split(E190, char(10)), REGEXMATCH(split(E190, char(10)), PerkLineRegex))), """")"),"")</f>
        <v/>
      </c>
      <c r="H190" s="31" t="str">
        <f t="shared" si="2"/>
        <v/>
      </c>
    </row>
    <row r="191">
      <c r="A191" s="9" t="s">
        <v>1575</v>
      </c>
      <c r="B191" s="9" t="s">
        <v>1849</v>
      </c>
      <c r="C191" s="9" t="s">
        <v>1534</v>
      </c>
      <c r="D191" s="11" t="str">
        <f>IFERROR(__xludf.DUMMYFUNCTION("ifs(not(isna(MATCH(C191, ExcludedJumps, 0))), ""Excluded"", len(E191) = 0, ""Available"", REGEXMATCH(E191, RepeatableRegex), ""Repeatable"", countif(ARRAYFORMULA(REGEXMATCH(G191, split(B191, char(10)))), ""false"") = 0, ""Obtained"", true, ""Partial"")"),"Excluded")</f>
        <v>Excluded</v>
      </c>
      <c r="E191" s="31"/>
      <c r="F191" s="31"/>
      <c r="G191" s="31" t="str">
        <f>IFERROR(__xludf.DUMMYFUNCTION("if(len(E191) &gt; 0, join(char(10), FILTER(split(E191, char(10)), REGEXMATCH(split(E191, char(10)), PerkLineRegex))), """")"),"")</f>
        <v/>
      </c>
      <c r="H191" s="31" t="str">
        <f t="shared" si="2"/>
        <v/>
      </c>
    </row>
    <row r="192">
      <c r="A192" s="9" t="s">
        <v>1575</v>
      </c>
      <c r="B192" s="9" t="s">
        <v>1850</v>
      </c>
      <c r="C192" s="9" t="s">
        <v>471</v>
      </c>
      <c r="D192" s="11" t="str">
        <f>IFERROR(__xludf.DUMMYFUNCTION("ifs(not(isna(MATCH(C192, ExcludedJumps, 0))), ""Excluded"", len(E192) = 0, ""Available"", REGEXMATCH(E192, RepeatableRegex), ""Repeatable"", countif(ARRAYFORMULA(REGEXMATCH(G192, split(B192, char(10)))), ""false"") = 0, ""Obtained"", true, ""Partial"")"),"Obtained")</f>
        <v>Obtained</v>
      </c>
      <c r="E192" s="9" t="s">
        <v>1851</v>
      </c>
      <c r="F192" s="9" t="s">
        <v>195</v>
      </c>
      <c r="G192" s="31" t="str">
        <f>IFERROR(__xludf.DUMMYFUNCTION("if(len(E192) &gt; 0, join(char(10), FILTER(split(E192, char(10)), REGEXMATCH(split(E192, char(10)), PerkLineRegex))), """")"),"Advanced Materials (XCOM 2) 200:")</f>
        <v>Advanced Materials (XCOM 2) 200:</v>
      </c>
      <c r="H192" s="31" t="str">
        <f t="shared" si="2"/>
        <v>_</v>
      </c>
    </row>
    <row r="193">
      <c r="A193" s="9" t="s">
        <v>80</v>
      </c>
      <c r="B193" s="9" t="s">
        <v>80</v>
      </c>
      <c r="C193" s="9" t="s">
        <v>81</v>
      </c>
      <c r="D193" s="11" t="str">
        <f>IFERROR(__xludf.DUMMYFUNCTION("ifs(not(isna(MATCH(C193, ExcludedJumps, 0))), ""Excluded"", len(E193) = 0, ""Available"", REGEXMATCH(E193, RepeatableRegex), ""Repeatable"", countif(ARRAYFORMULA(REGEXMATCH(G193, split(B193, char(10)))), ""false"") = 0, ""Obtained"", true, ""Partial"")"),"Available")</f>
        <v>Available</v>
      </c>
      <c r="E193" s="31"/>
      <c r="F193" s="31"/>
      <c r="G193" s="31" t="str">
        <f>IFERROR(__xludf.DUMMYFUNCTION("if(len(E193) &gt; 0, join(char(10), FILTER(split(E193, char(10)), REGEXMATCH(split(E193, char(10)), PerkLineRegex))), """")"),"")</f>
        <v/>
      </c>
      <c r="H193" s="31" t="str">
        <f t="shared" si="2"/>
        <v/>
      </c>
    </row>
    <row r="194">
      <c r="A194" s="9" t="s">
        <v>80</v>
      </c>
      <c r="B194" s="9" t="s">
        <v>1852</v>
      </c>
      <c r="C194" s="9" t="s">
        <v>84</v>
      </c>
      <c r="D194" s="11" t="str">
        <f>IFERROR(__xludf.DUMMYFUNCTION("ifs(not(isna(MATCH(C194, ExcludedJumps, 0))), ""Excluded"", len(E194) = 0, ""Available"", REGEXMATCH(E194, RepeatableRegex), ""Repeatable"", countif(ARRAYFORMULA(REGEXMATCH(G194, split(B194, char(10)))), ""false"") = 0, ""Obtained"", true, ""Partial"")"),"Partial")</f>
        <v>Partial</v>
      </c>
      <c r="E194" s="9" t="s">
        <v>1853</v>
      </c>
      <c r="F194" s="9" t="s">
        <v>1854</v>
      </c>
      <c r="G194" s="31" t="str">
        <f>IFERROR(__xludf.DUMMYFUNCTION("if(len(E194) &gt; 0, join(char(10), FILTER(split(E194, char(10)), REGEXMATCH(split(E194, char(10)), PerkLineRegex))), """")"),"Mega Bomb (Chrono Trigger) 600:
Element (Chrono Trigger) Free:
Combination Attack (Chrono Trigger) Free:")</f>
        <v>Mega Bomb (Chrono Trigger) 600:
Element (Chrono Trigger) Free:
Combination Attack (Chrono Trigger) Free:</v>
      </c>
      <c r="H194" s="31" t="str">
        <f t="shared" si="2"/>
        <v>_
Chapter 100: 73 Head Trip
Chapter 100: 73 Head Trip</v>
      </c>
    </row>
    <row r="195">
      <c r="A195" s="9" t="s">
        <v>80</v>
      </c>
      <c r="B195" s="9" t="s">
        <v>1855</v>
      </c>
      <c r="C195" s="9" t="s">
        <v>1856</v>
      </c>
      <c r="D195" s="11" t="str">
        <f>IFERROR(__xludf.DUMMYFUNCTION("ifs(not(isna(MATCH(C195, ExcludedJumps, 0))), ""Excluded"", len(E195) = 0, ""Available"", REGEXMATCH(E195, RepeatableRegex), ""Repeatable"", countif(ARRAYFORMULA(REGEXMATCH(G195, split(B195, char(10)))), ""false"") = 0, ""Obtained"", true, ""Partial"")"),"Excluded")</f>
        <v>Excluded</v>
      </c>
      <c r="E195" s="31"/>
      <c r="F195" s="31"/>
      <c r="G195" s="31" t="str">
        <f>IFERROR(__xludf.DUMMYFUNCTION("if(len(E195) &gt; 0, join(char(10), FILTER(split(E195, char(10)), REGEXMATCH(split(E195, char(10)), PerkLineRegex))), """")"),"")</f>
        <v/>
      </c>
      <c r="H195" s="31" t="str">
        <f t="shared" si="2"/>
        <v/>
      </c>
    </row>
    <row r="196">
      <c r="A196" s="9" t="s">
        <v>80</v>
      </c>
      <c r="B196" s="9" t="s">
        <v>77</v>
      </c>
      <c r="C196" s="9" t="s">
        <v>78</v>
      </c>
      <c r="D196" s="11" t="str">
        <f>IFERROR(__xludf.DUMMYFUNCTION("ifs(not(isna(MATCH(C196, ExcludedJumps, 0))), ""Excluded"", len(E196) = 0, ""Available"", REGEXMATCH(E196, RepeatableRegex), ""Repeatable"", countif(ARRAYFORMULA(REGEXMATCH(G196, split(B196, char(10)))), ""false"") = 0, ""Obtained"", true, ""Partial"")"),"Available")</f>
        <v>Available</v>
      </c>
      <c r="E196" s="31"/>
      <c r="F196" s="31"/>
      <c r="G196" s="31" t="str">
        <f>IFERROR(__xludf.DUMMYFUNCTION("if(len(E196) &gt; 0, join(char(10), FILTER(split(E196, char(10)), REGEXMATCH(split(E196, char(10)), PerkLineRegex))), """")"),"")</f>
        <v/>
      </c>
      <c r="H196" s="31" t="str">
        <f t="shared" si="2"/>
        <v/>
      </c>
    </row>
    <row r="197">
      <c r="A197" s="9" t="s">
        <v>80</v>
      </c>
      <c r="B197" s="9" t="s">
        <v>1857</v>
      </c>
      <c r="C197" s="9" t="s">
        <v>1858</v>
      </c>
      <c r="D197" s="11" t="str">
        <f>IFERROR(__xludf.DUMMYFUNCTION("ifs(not(isna(MATCH(C197, ExcludedJumps, 0))), ""Excluded"", len(E197) = 0, ""Available"", REGEXMATCH(E197, RepeatableRegex), ""Repeatable"", countif(ARRAYFORMULA(REGEXMATCH(G197, split(B197, char(10)))), ""false"") = 0, ""Obtained"", true, ""Partial"")"),"Excluded")</f>
        <v>Excluded</v>
      </c>
      <c r="E197" s="31"/>
      <c r="F197" s="31"/>
      <c r="G197" s="31" t="str">
        <f>IFERROR(__xludf.DUMMYFUNCTION("if(len(E197) &gt; 0, join(char(10), FILTER(split(E197, char(10)), REGEXMATCH(split(E197, char(10)), PerkLineRegex))), """")"),"")</f>
        <v/>
      </c>
      <c r="H197" s="31" t="str">
        <f t="shared" si="2"/>
        <v/>
      </c>
    </row>
    <row r="198">
      <c r="A198" s="9" t="s">
        <v>80</v>
      </c>
      <c r="B198" s="9" t="s">
        <v>1859</v>
      </c>
      <c r="C198" s="9" t="s">
        <v>64</v>
      </c>
      <c r="D198" s="11" t="str">
        <f>IFERROR(__xludf.DUMMYFUNCTION("ifs(not(isna(MATCH(C198, ExcludedJumps, 0))), ""Excluded"", len(E198) = 0, ""Available"", REGEXMATCH(E198, RepeatableRegex), ""Repeatable"", countif(ARRAYFORMULA(REGEXMATCH(G198, split(B198, char(10)))), ""false"") = 0, ""Obtained"", true, ""Partial"")"),"Partial")</f>
        <v>Partial</v>
      </c>
      <c r="E198" s="9" t="s">
        <v>1860</v>
      </c>
      <c r="F198" s="9" t="s">
        <v>213</v>
      </c>
      <c r="G198" s="31" t="str">
        <f>IFERROR(__xludf.DUMMYFUNCTION("if(len(E198) &gt; 0, join(char(10), FILTER(split(E198, char(10)), REGEXMATCH(split(E198, char(10)), PerkLineRegex))), """")"),"Mechanist (Final Fantasy VI) 100:")</f>
        <v>Mechanist (Final Fantasy VI) 100:</v>
      </c>
      <c r="H198" s="31" t="str">
        <f t="shared" si="2"/>
        <v>_</v>
      </c>
    </row>
    <row r="199">
      <c r="A199" s="9" t="s">
        <v>80</v>
      </c>
      <c r="B199" s="9" t="s">
        <v>1861</v>
      </c>
      <c r="C199" s="9" t="s">
        <v>1862</v>
      </c>
      <c r="D199" s="11" t="str">
        <f>IFERROR(__xludf.DUMMYFUNCTION("ifs(not(isna(MATCH(C199, ExcludedJumps, 0))), ""Excluded"", len(E199) = 0, ""Available"", REGEXMATCH(E199, RepeatableRegex), ""Repeatable"", countif(ARRAYFORMULA(REGEXMATCH(G199, split(B199, char(10)))), ""false"") = 0, ""Obtained"", true, ""Partial"")"),"Excluded")</f>
        <v>Excluded</v>
      </c>
      <c r="E199" s="31"/>
      <c r="F199" s="31"/>
      <c r="G199" s="31" t="str">
        <f>IFERROR(__xludf.DUMMYFUNCTION("if(len(E199) &gt; 0, join(char(10), FILTER(split(E199, char(10)), REGEXMATCH(split(E199, char(10)), PerkLineRegex))), """")"),"")</f>
        <v/>
      </c>
      <c r="H199" s="31" t="str">
        <f t="shared" si="2"/>
        <v/>
      </c>
    </row>
    <row r="200">
      <c r="A200" s="9" t="s">
        <v>80</v>
      </c>
      <c r="B200" s="9" t="s">
        <v>1863</v>
      </c>
      <c r="C200" s="9" t="s">
        <v>1864</v>
      </c>
      <c r="D200" s="11" t="str">
        <f>IFERROR(__xludf.DUMMYFUNCTION("ifs(not(isna(MATCH(C200, ExcludedJumps, 0))), ""Excluded"", len(E200) = 0, ""Available"", REGEXMATCH(E200, RepeatableRegex), ""Repeatable"", countif(ARRAYFORMULA(REGEXMATCH(G200, split(B200, char(10)))), ""false"") = 0, ""Obtained"", true, ""Partial"")"),"Excluded")</f>
        <v>Excluded</v>
      </c>
      <c r="E200" s="31"/>
      <c r="F200" s="31"/>
      <c r="G200" s="31" t="str">
        <f>IFERROR(__xludf.DUMMYFUNCTION("if(len(E200) &gt; 0, join(char(10), FILTER(split(E200, char(10)), REGEXMATCH(split(E200, char(10)), PerkLineRegex))), """")"),"")</f>
        <v/>
      </c>
      <c r="H200" s="31" t="str">
        <f t="shared" si="2"/>
        <v/>
      </c>
    </row>
    <row r="201">
      <c r="A201" s="9" t="s">
        <v>80</v>
      </c>
      <c r="B201" s="9" t="s">
        <v>1865</v>
      </c>
      <c r="C201" s="9" t="s">
        <v>1638</v>
      </c>
      <c r="D201" s="11" t="str">
        <f>IFERROR(__xludf.DUMMYFUNCTION("ifs(not(isna(MATCH(C201, ExcludedJumps, 0))), ""Excluded"", len(E201) = 0, ""Available"", REGEXMATCH(E201, RepeatableRegex), ""Repeatable"", countif(ARRAYFORMULA(REGEXMATCH(G201, split(B201, char(10)))), ""false"") = 0, ""Obtained"", true, ""Partial"")"),"Excluded")</f>
        <v>Excluded</v>
      </c>
      <c r="E201" s="31"/>
      <c r="F201" s="31"/>
      <c r="G201" s="31" t="str">
        <f>IFERROR(__xludf.DUMMYFUNCTION("if(len(E201) &gt; 0, join(char(10), FILTER(split(E201, char(10)), REGEXMATCH(split(E201, char(10)), PerkLineRegex))), """")"),"")</f>
        <v/>
      </c>
      <c r="H201" s="31" t="str">
        <f t="shared" si="2"/>
        <v/>
      </c>
    </row>
    <row r="202">
      <c r="A202" s="9" t="s">
        <v>80</v>
      </c>
      <c r="B202" s="9" t="s">
        <v>1866</v>
      </c>
      <c r="C202" s="11" t="s">
        <v>1867</v>
      </c>
      <c r="D202" s="11" t="str">
        <f>IFERROR(__xludf.DUMMYFUNCTION("ifs(not(isna(MATCH(C202, ExcludedJumps, 0))), ""Excluded"", len(E202) = 0, ""Available"", REGEXMATCH(E202, RepeatableRegex), ""Repeatable"", countif(ARRAYFORMULA(REGEXMATCH(G202, split(B202, char(10)))), ""false"") = 0, ""Obtained"", true, ""Partial"")"),"Excluded")</f>
        <v>Excluded</v>
      </c>
      <c r="E202" s="31"/>
      <c r="F202" s="31"/>
      <c r="G202" s="31" t="str">
        <f>IFERROR(__xludf.DUMMYFUNCTION("if(len(E202) &gt; 0, join(char(10), FILTER(split(E202, char(10)), REGEXMATCH(split(E202, char(10)), PerkLineRegex))), """")"),"")</f>
        <v/>
      </c>
      <c r="H202" s="31" t="str">
        <f t="shared" si="2"/>
        <v/>
      </c>
    </row>
    <row r="203">
      <c r="A203" s="9" t="s">
        <v>80</v>
      </c>
      <c r="B203" s="9" t="s">
        <v>1868</v>
      </c>
      <c r="C203" s="11" t="s">
        <v>1867</v>
      </c>
      <c r="D203" s="11" t="str">
        <f>IFERROR(__xludf.DUMMYFUNCTION("ifs(not(isna(MATCH(C203, ExcludedJumps, 0))), ""Excluded"", len(E203) = 0, ""Available"", REGEXMATCH(E203, RepeatableRegex), ""Repeatable"", countif(ARRAYFORMULA(REGEXMATCH(G203, split(B203, char(10)))), ""false"") = 0, ""Obtained"", true, ""Partial"")"),"Excluded")</f>
        <v>Excluded</v>
      </c>
      <c r="E203" s="31"/>
      <c r="F203" s="31"/>
      <c r="G203" s="31" t="str">
        <f>IFERROR(__xludf.DUMMYFUNCTION("if(len(E203) &gt; 0, join(char(10), FILTER(split(E203, char(10)), REGEXMATCH(split(E203, char(10)), PerkLineRegex))), """")"),"")</f>
        <v/>
      </c>
      <c r="H203" s="31" t="str">
        <f t="shared" si="2"/>
        <v/>
      </c>
    </row>
    <row r="204">
      <c r="A204" s="9" t="s">
        <v>80</v>
      </c>
      <c r="B204" s="9" t="s">
        <v>1869</v>
      </c>
      <c r="C204" s="9" t="s">
        <v>295</v>
      </c>
      <c r="D204" s="11" t="str">
        <f>IFERROR(__xludf.DUMMYFUNCTION("ifs(not(isna(MATCH(C204, ExcludedJumps, 0))), ""Excluded"", len(E204) = 0, ""Available"", REGEXMATCH(E204, RepeatableRegex), ""Repeatable"", countif(ARRAYFORMULA(REGEXMATCH(G204, split(B204, char(10)))), ""false"") = 0, ""Obtained"", true, ""Partial"")"),"Obtained")</f>
        <v>Obtained</v>
      </c>
      <c r="E204" s="9" t="s">
        <v>1870</v>
      </c>
      <c r="F204" s="9" t="s">
        <v>213</v>
      </c>
      <c r="G204" s="31" t="str">
        <f>IFERROR(__xludf.DUMMYFUNCTION("if(len(E204) &gt; 0, join(char(10), FILTER(split(E204, char(10)), REGEXMATCH(split(E204, char(10)), PerkLineRegex))), """")"),"Technosorcery (Gargoyles) 400:")</f>
        <v>Technosorcery (Gargoyles) 400:</v>
      </c>
      <c r="H204" s="31" t="str">
        <f t="shared" si="2"/>
        <v>_</v>
      </c>
    </row>
    <row r="205">
      <c r="A205" s="9" t="s">
        <v>80</v>
      </c>
      <c r="B205" s="9" t="s">
        <v>1871</v>
      </c>
      <c r="C205" s="9" t="s">
        <v>587</v>
      </c>
      <c r="D205" s="11" t="str">
        <f>IFERROR(__xludf.DUMMYFUNCTION("ifs(not(isna(MATCH(C205, ExcludedJumps, 0))), ""Excluded"", len(E205) = 0, ""Available"", REGEXMATCH(E205, RepeatableRegex), ""Repeatable"", countif(ARRAYFORMULA(REGEXMATCH(G205, split(B205, char(10)))), ""false"") = 0, ""Obtained"", true, ""Partial"")"),"Obtained")</f>
        <v>Obtained</v>
      </c>
      <c r="E205" s="9" t="s">
        <v>1872</v>
      </c>
      <c r="F205" s="9" t="s">
        <v>1709</v>
      </c>
      <c r="G205" s="31" t="str">
        <f>IFERROR(__xludf.DUMMYFUNCTION("if(len(E205) &gt; 0, join(char(10), FILTER(split(E205, char(10)), REGEXMATCH(split(E205, char(10)), PerkLineRegex))), """")"),"Setup Wizard (Harry Potter) 200:
Wand (Harry Potter) Free:")</f>
        <v>Setup Wizard (Harry Potter) 200:
Wand (Harry Potter) Free:</v>
      </c>
      <c r="H205" s="31" t="str">
        <f t="shared" si="2"/>
        <v>_
Chapter 37: 31 Consensus - Preamble PHO - Addendum Accord</v>
      </c>
    </row>
    <row r="206">
      <c r="A206" s="9" t="s">
        <v>80</v>
      </c>
      <c r="B206" s="9" t="s">
        <v>1771</v>
      </c>
      <c r="C206" s="9" t="s">
        <v>1873</v>
      </c>
      <c r="D206" s="11" t="str">
        <f>IFERROR(__xludf.DUMMYFUNCTION("ifs(not(isna(MATCH(C206, ExcludedJumps, 0))), ""Excluded"", len(E206) = 0, ""Available"", REGEXMATCH(E206, RepeatableRegex), ""Repeatable"", countif(ARRAYFORMULA(REGEXMATCH(G206, split(B206, char(10)))), ""false"") = 0, ""Obtained"", true, ""Partial"")"),"Excluded")</f>
        <v>Excluded</v>
      </c>
      <c r="E206" s="31"/>
      <c r="F206" s="31"/>
      <c r="G206" s="31" t="str">
        <f>IFERROR(__xludf.DUMMYFUNCTION("if(len(E206) &gt; 0, join(char(10), FILTER(split(E206, char(10)), REGEXMATCH(split(E206, char(10)), PerkLineRegex))), """")"),"")</f>
        <v/>
      </c>
      <c r="H206" s="31" t="str">
        <f t="shared" si="2"/>
        <v/>
      </c>
    </row>
    <row r="207">
      <c r="A207" s="9" t="s">
        <v>80</v>
      </c>
      <c r="B207" s="9" t="s">
        <v>1825</v>
      </c>
      <c r="C207" s="9" t="s">
        <v>1826</v>
      </c>
      <c r="D207" s="11" t="str">
        <f>IFERROR(__xludf.DUMMYFUNCTION("ifs(not(isna(MATCH(C207, ExcludedJumps, 0))), ""Excluded"", len(E207) = 0, ""Available"", REGEXMATCH(E207, RepeatableRegex), ""Repeatable"", countif(ARRAYFORMULA(REGEXMATCH(G207, split(B207, char(10)))), ""false"") = 0, ""Obtained"", true, ""Partial"")"),"Excluded")</f>
        <v>Excluded</v>
      </c>
      <c r="E207" s="31"/>
      <c r="F207" s="31"/>
      <c r="G207" s="31" t="str">
        <f>IFERROR(__xludf.DUMMYFUNCTION("if(len(E207) &gt; 0, join(char(10), FILTER(split(E207, char(10)), REGEXMATCH(split(E207, char(10)), PerkLineRegex))), """")"),"")</f>
        <v/>
      </c>
      <c r="H207" s="31" t="str">
        <f t="shared" si="2"/>
        <v/>
      </c>
    </row>
    <row r="208">
      <c r="A208" s="9" t="s">
        <v>80</v>
      </c>
      <c r="B208" s="9" t="s">
        <v>70</v>
      </c>
      <c r="C208" s="9" t="s">
        <v>71</v>
      </c>
      <c r="D208" s="11" t="str">
        <f>IFERROR(__xludf.DUMMYFUNCTION("ifs(not(isna(MATCH(C208, ExcludedJumps, 0))), ""Excluded"", len(E208) = 0, ""Available"", REGEXMATCH(E208, RepeatableRegex), ""Repeatable"", countif(ARRAYFORMULA(REGEXMATCH(G208, split(B208, char(10)))), ""false"") = 0, ""Obtained"", true, ""Partial"")"),"Available")</f>
        <v>Available</v>
      </c>
      <c r="E208" s="31"/>
      <c r="F208" s="31"/>
      <c r="G208" s="31" t="str">
        <f>IFERROR(__xludf.DUMMYFUNCTION("if(len(E208) &gt; 0, join(char(10), FILTER(split(E208, char(10)), REGEXMATCH(split(E208, char(10)), PerkLineRegex))), """")"),"")</f>
        <v/>
      </c>
      <c r="H208" s="31" t="str">
        <f t="shared" si="2"/>
        <v/>
      </c>
    </row>
    <row r="209">
      <c r="A209" s="9" t="s">
        <v>80</v>
      </c>
      <c r="B209" s="9" t="s">
        <v>74</v>
      </c>
      <c r="C209" s="9" t="s">
        <v>75</v>
      </c>
      <c r="D209" s="11" t="str">
        <f>IFERROR(__xludf.DUMMYFUNCTION("ifs(not(isna(MATCH(C209, ExcludedJumps, 0))), ""Excluded"", len(E209) = 0, ""Available"", REGEXMATCH(E209, RepeatableRegex), ""Repeatable"", countif(ARRAYFORMULA(REGEXMATCH(G209, split(B209, char(10)))), ""false"") = 0, ""Obtained"", true, ""Partial"")"),"Available")</f>
        <v>Available</v>
      </c>
      <c r="E209" s="31"/>
      <c r="F209" s="31"/>
      <c r="G209" s="31" t="str">
        <f>IFERROR(__xludf.DUMMYFUNCTION("if(len(E209) &gt; 0, join(char(10), FILTER(split(E209, char(10)), REGEXMATCH(split(E209, char(10)), PerkLineRegex))), """")"),"")</f>
        <v/>
      </c>
      <c r="H209" s="31" t="str">
        <f t="shared" si="2"/>
        <v/>
      </c>
    </row>
    <row r="210">
      <c r="A210" s="9" t="s">
        <v>80</v>
      </c>
      <c r="B210" s="9" t="s">
        <v>1874</v>
      </c>
      <c r="C210" s="9" t="s">
        <v>1875</v>
      </c>
      <c r="D210" s="11" t="str">
        <f>IFERROR(__xludf.DUMMYFUNCTION("ifs(not(isna(MATCH(C210, ExcludedJumps, 0))), ""Excluded"", len(E210) = 0, ""Available"", REGEXMATCH(E210, RepeatableRegex), ""Repeatable"", countif(ARRAYFORMULA(REGEXMATCH(G210, split(B210, char(10)))), ""false"") = 0, ""Obtained"", true, ""Partial"")"),"Excluded")</f>
        <v>Excluded</v>
      </c>
      <c r="E210" s="31"/>
      <c r="F210" s="31"/>
      <c r="G210" s="31" t="str">
        <f>IFERROR(__xludf.DUMMYFUNCTION("if(len(E210) &gt; 0, join(char(10), FILTER(split(E210, char(10)), REGEXMATCH(split(E210, char(10)), PerkLineRegex))), """")"),"")</f>
        <v/>
      </c>
      <c r="H210" s="31" t="str">
        <f t="shared" si="2"/>
        <v/>
      </c>
    </row>
    <row r="211">
      <c r="A211" s="9" t="s">
        <v>80</v>
      </c>
      <c r="B211" s="9" t="s">
        <v>1876</v>
      </c>
      <c r="C211" s="9" t="s">
        <v>1877</v>
      </c>
      <c r="D211" s="11" t="str">
        <f>IFERROR(__xludf.DUMMYFUNCTION("ifs(not(isna(MATCH(C211, ExcludedJumps, 0))), ""Excluded"", len(E211) = 0, ""Available"", REGEXMATCH(E211, RepeatableRegex), ""Repeatable"", countif(ARRAYFORMULA(REGEXMATCH(G211, split(B211, char(10)))), ""false"") = 0, ""Obtained"", true, ""Partial"")"),"Excluded")</f>
        <v>Excluded</v>
      </c>
      <c r="E211" s="31"/>
      <c r="F211" s="31"/>
      <c r="G211" s="31" t="str">
        <f>IFERROR(__xludf.DUMMYFUNCTION("if(len(E211) &gt; 0, join(char(10), FILTER(split(E211, char(10)), REGEXMATCH(split(E211, char(10)), PerkLineRegex))), """")"),"")</f>
        <v/>
      </c>
      <c r="H211" s="31" t="str">
        <f t="shared" si="2"/>
        <v/>
      </c>
    </row>
    <row r="212">
      <c r="A212" s="9" t="s">
        <v>80</v>
      </c>
      <c r="B212" s="9" t="s">
        <v>86</v>
      </c>
      <c r="C212" s="9" t="s">
        <v>87</v>
      </c>
      <c r="D212" s="11" t="str">
        <f>IFERROR(__xludf.DUMMYFUNCTION("ifs(not(isna(MATCH(C212, ExcludedJumps, 0))), ""Excluded"", len(E212) = 0, ""Available"", REGEXMATCH(E212, RepeatableRegex), ""Repeatable"", countif(ARRAYFORMULA(REGEXMATCH(G212, split(B212, char(10)))), ""false"") = 0, ""Obtained"", true, ""Partial"")"),"Available")</f>
        <v>Available</v>
      </c>
      <c r="E212" s="31"/>
      <c r="F212" s="31"/>
      <c r="G212" s="31" t="str">
        <f>IFERROR(__xludf.DUMMYFUNCTION("if(len(E212) &gt; 0, join(char(10), FILTER(split(E212, char(10)), REGEXMATCH(split(E212, char(10)), PerkLineRegex))), """")"),"")</f>
        <v/>
      </c>
      <c r="H212" s="31" t="str">
        <f t="shared" si="2"/>
        <v/>
      </c>
    </row>
    <row r="213">
      <c r="A213" s="9" t="s">
        <v>80</v>
      </c>
      <c r="B213" s="9" t="s">
        <v>80</v>
      </c>
      <c r="C213" s="9" t="s">
        <v>1663</v>
      </c>
      <c r="D213" s="11" t="str">
        <f>IFERROR(__xludf.DUMMYFUNCTION("ifs(not(isna(MATCH(C213, ExcludedJumps, 0))), ""Excluded"", len(E213) = 0, ""Available"", REGEXMATCH(E213, RepeatableRegex), ""Repeatable"", countif(ARRAYFORMULA(REGEXMATCH(G213, split(B213, char(10)))), ""false"") = 0, ""Obtained"", true, ""Partial"")"),"Obtained")</f>
        <v>Obtained</v>
      </c>
      <c r="E213" s="9" t="s">
        <v>1878</v>
      </c>
      <c r="F213" s="9" t="s">
        <v>1709</v>
      </c>
      <c r="G213" s="31" t="str">
        <f>IFERROR(__xludf.DUMMYFUNCTION("if(len(E213) &gt; 0, join(char(10), FILTER(split(E213, char(10)), REGEXMATCH(split(E213, char(10)), PerkLineRegex))), """")"),"Magitech (Thundercats 2011) 600:
Old Cloak (Thundercats 2011) Free:")</f>
        <v>Magitech (Thundercats 2011) 600:
Old Cloak (Thundercats 2011) Free:</v>
      </c>
      <c r="H213" s="31" t="str">
        <f t="shared" si="2"/>
        <v>_
Chapter 180: 115 Recontextualize</v>
      </c>
    </row>
    <row r="214">
      <c r="A214" s="9" t="s">
        <v>80</v>
      </c>
      <c r="B214" s="9" t="s">
        <v>1879</v>
      </c>
      <c r="C214" s="9" t="s">
        <v>1880</v>
      </c>
      <c r="D214" s="11" t="str">
        <f>IFERROR(__xludf.DUMMYFUNCTION("ifs(not(isna(MATCH(C214, ExcludedJumps, 0))), ""Excluded"", len(E214) = 0, ""Available"", REGEXMATCH(E214, RepeatableRegex), ""Repeatable"", countif(ARRAYFORMULA(REGEXMATCH(G214, split(B214, char(10)))), ""false"") = 0, ""Obtained"", true, ""Partial"")"),"Excluded")</f>
        <v>Excluded</v>
      </c>
      <c r="E214" s="31"/>
      <c r="F214" s="31"/>
      <c r="G214" s="31" t="str">
        <f>IFERROR(__xludf.DUMMYFUNCTION("if(len(E214) &gt; 0, join(char(10), FILTER(split(E214, char(10)), REGEXMATCH(split(E214, char(10)), PerkLineRegex))), """")"),"")</f>
        <v/>
      </c>
      <c r="H214" s="31" t="str">
        <f t="shared" si="2"/>
        <v/>
      </c>
    </row>
    <row r="215">
      <c r="A215" s="9" t="s">
        <v>91</v>
      </c>
      <c r="B215" s="9" t="s">
        <v>1881</v>
      </c>
      <c r="C215" s="9" t="s">
        <v>91</v>
      </c>
      <c r="D215" s="11" t="str">
        <f>IFERROR(__xludf.DUMMYFUNCTION("ifs(not(isna(MATCH(C215, ExcludedJumps, 0))), ""Excluded"", len(E215) = 0, ""Available"", REGEXMATCH(E215, RepeatableRegex), ""Repeatable"", countif(ARRAYFORMULA(REGEXMATCH(G215, split(B215, char(10)))), ""false"") = 0, ""Obtained"", true, ""Partial"")"),"Obtained")</f>
        <v>Obtained</v>
      </c>
      <c r="E215" s="9" t="s">
        <v>1882</v>
      </c>
      <c r="F215" s="9" t="s">
        <v>1883</v>
      </c>
      <c r="G215" s="31" t="str">
        <f>IFERROR(__xludf.DUMMYFUNCTION("if(len(E215) &gt; 0, join(char(10), FILTER(split(E215, char(10)), REGEXMATCH(split(E215, char(10)), PerkLineRegex))), """")"),"Access Key (Personal Reality) Free:
Key Link (Personal Reality) 50:")</f>
        <v>Access Key (Personal Reality) Free:
Key Link (Personal Reality) 50:</v>
      </c>
      <c r="H215" s="31" t="str">
        <f t="shared" si="2"/>
        <v>_
_</v>
      </c>
    </row>
    <row r="216">
      <c r="A216" s="9" t="s">
        <v>91</v>
      </c>
      <c r="B216" s="9" t="s">
        <v>1884</v>
      </c>
      <c r="C216" s="9" t="s">
        <v>91</v>
      </c>
      <c r="D216" s="11" t="str">
        <f>IFERROR(__xludf.DUMMYFUNCTION("ifs(not(isna(MATCH(C216, ExcludedJumps, 0))), ""Excluded"", len(E216) = 0, ""Available"", REGEXMATCH(E216, RepeatableRegex), ""Repeatable"", countif(ARRAYFORMULA(REGEXMATCH(G216, split(B216, char(10)))), ""false"") = 0, ""Obtained"", true, ""Partial"")"),"Repeatable")</f>
        <v>Repeatable</v>
      </c>
      <c r="E216" s="9" t="s">
        <v>1885</v>
      </c>
      <c r="F216" s="9" t="s">
        <v>1886</v>
      </c>
      <c r="G216" s="31" t="str">
        <f>IFERROR(__xludf.DUMMYFUNCTION("if(len(E216) &gt; 0, join(char(10), FILTER(split(E216, char(10)), REGEXMATCH(split(E216, char(10)), PerkLineRegex))), """")"),"Starting Space (Personal Reality) Free:
Additional Space (Personal Reality) 200:
Additional Space (Personal Reality) 200:
Additional Space - Starting Area (Personal Reality) 200:
Additional Space – Lofty Loft (Personal Reality) 200:
Additional Space - Sta"&amp;"rting Area (Personal Reality) 200:
Additional Space – Lofty Loft (Personal Reality) 200:")</f>
        <v>Starting Space (Personal Reality) Free:
Additional Space (Personal Reality) 200:
Additional Space (Personal Reality) 200:
Additional Space - Starting Area (Personal Reality) 200:
Additional Space – Lofty Loft (Personal Reality) 200:
Additional Space - Starting Area (Personal Reality) 200:
Additional Space – Lofty Loft (Personal Reality) 200:</v>
      </c>
      <c r="H216" s="31" t="str">
        <f t="shared" si="2"/>
        <v>_
_
_
_
Chapter 118: 85 Drop Off
_
Chapter 142: 97 Confrontations – Preamble Carol</v>
      </c>
    </row>
    <row r="217">
      <c r="A217" s="9" t="s">
        <v>91</v>
      </c>
      <c r="B217" s="9" t="s">
        <v>115</v>
      </c>
      <c r="C217" s="9" t="s">
        <v>91</v>
      </c>
      <c r="D217" s="11" t="str">
        <f>IFERROR(__xludf.DUMMYFUNCTION("ifs(not(isna(MATCH(C217, ExcludedJumps, 0))), ""Excluded"", len(E217) = 0, ""Available"", REGEXMATCH(E217, RepeatableRegex), ""Repeatable"", countif(ARRAYFORMULA(REGEXMATCH(G217, split(B217, char(10)))), ""false"") = 0, ""Obtained"", true, ""Partial"")"),"Partial")</f>
        <v>Partial</v>
      </c>
      <c r="E217" s="9" t="s">
        <v>1887</v>
      </c>
      <c r="F217" s="9" t="s">
        <v>201</v>
      </c>
      <c r="G217" s="31" t="str">
        <f>IFERROR(__xludf.DUMMYFUNCTION("if(len(E217) &gt; 0, join(char(10), FILTER(split(E217, char(10)), REGEXMATCH(split(E217, char(10)), PerkLineRegex))), """")"),"Arsenal (Personal Reality) 200:
")</f>
        <v>Arsenal (Personal Reality) 200:
</v>
      </c>
      <c r="H217" s="31" t="str">
        <f t="shared" si="2"/>
        <v>_</v>
      </c>
    </row>
    <row r="218">
      <c r="A218" s="9" t="s">
        <v>91</v>
      </c>
      <c r="B218" s="9" t="s">
        <v>1888</v>
      </c>
      <c r="C218" s="9" t="s">
        <v>91</v>
      </c>
      <c r="D218" s="11" t="str">
        <f>IFERROR(__xludf.DUMMYFUNCTION("ifs(not(isna(MATCH(C218, ExcludedJumps, 0))), ""Excluded"", len(E218) = 0, ""Available"", REGEXMATCH(E218, RepeatableRegex), ""Repeatable"", countif(ARRAYFORMULA(REGEXMATCH(G218, split(B218, char(10)))), ""false"") = 0, ""Obtained"", true, ""Partial"")"),"Available")</f>
        <v>Available</v>
      </c>
      <c r="E218" s="31"/>
      <c r="F218" s="31"/>
      <c r="G218" s="31" t="str">
        <f>IFERROR(__xludf.DUMMYFUNCTION("if(len(E218) &gt; 0, join(char(10), FILTER(split(E218, char(10)), REGEXMATCH(split(E218, char(10)), PerkLineRegex))), """")"),"")</f>
        <v/>
      </c>
      <c r="H218" s="31" t="str">
        <f t="shared" si="2"/>
        <v/>
      </c>
    </row>
    <row r="219">
      <c r="A219" s="9" t="s">
        <v>91</v>
      </c>
      <c r="B219" s="9" t="s">
        <v>1889</v>
      </c>
      <c r="C219" s="9" t="s">
        <v>91</v>
      </c>
      <c r="D219" s="11" t="str">
        <f>IFERROR(__xludf.DUMMYFUNCTION("ifs(not(isna(MATCH(C219, ExcludedJumps, 0))), ""Excluded"", len(E219) = 0, ""Available"", REGEXMATCH(E219, RepeatableRegex), ""Repeatable"", countif(ARRAYFORMULA(REGEXMATCH(G219, split(B219, char(10)))), ""false"") = 0, ""Obtained"", true, ""Partial"")"),"Obtained")</f>
        <v>Obtained</v>
      </c>
      <c r="E219" s="9" t="s">
        <v>1890</v>
      </c>
      <c r="F219" s="9" t="s">
        <v>201</v>
      </c>
      <c r="G219" s="31" t="str">
        <f>IFERROR(__xludf.DUMMYFUNCTION("if(len(E219) &gt; 0, join(char(10), FILTER(split(E219, char(10)), REGEXMATCH(split(E219, char(10)), PerkLineRegex))), """")"),"Basic Accommodations (Personal Reality) 50:
")</f>
        <v>Basic Accommodations (Personal Reality) 50:
</v>
      </c>
      <c r="H219" s="31" t="str">
        <f t="shared" si="2"/>
        <v>_</v>
      </c>
    </row>
    <row r="220">
      <c r="A220" s="9" t="s">
        <v>91</v>
      </c>
      <c r="B220" s="9" t="s">
        <v>1891</v>
      </c>
      <c r="C220" s="9" t="s">
        <v>91</v>
      </c>
      <c r="D220" s="11" t="str">
        <f>IFERROR(__xludf.DUMMYFUNCTION("ifs(not(isna(MATCH(C220, ExcludedJumps, 0))), ""Excluded"", len(E220) = 0, ""Available"", REGEXMATCH(E220, RepeatableRegex), ""Repeatable"", countif(ARRAYFORMULA(REGEXMATCH(G220, split(B220, char(10)))), ""false"") = 0, ""Obtained"", true, ""Partial"")"),"Obtained")</f>
        <v>Obtained</v>
      </c>
      <c r="E220" s="32" t="s">
        <v>1892</v>
      </c>
      <c r="F220" s="32" t="s">
        <v>1893</v>
      </c>
      <c r="G220" s="31" t="str">
        <f>IFERROR(__xludf.DUMMYFUNCTION("if(len(E220) &gt; 0, join(char(10), FILTER(split(E220, char(10)), REGEXMATCH(split(E220, char(10)), PerkLineRegex))), """")"),"Basic Nutrition (Personal Reality) 100:
A Little Less Basic (Personal Reality) 200:
A Lot Less (Personal Reality) 200:
")</f>
        <v>Basic Nutrition (Personal Reality) 100:
A Little Less Basic (Personal Reality) 200:
A Lot Less (Personal Reality) 200:
</v>
      </c>
      <c r="H220" s="31" t="str">
        <f t="shared" si="2"/>
        <v>_
Chapter 164: 109 Points of Contact - Addendum Lily
Chapter 164: 109 Points of Contact - Addendum Lily</v>
      </c>
    </row>
    <row r="221">
      <c r="A221" s="9" t="s">
        <v>91</v>
      </c>
      <c r="B221" s="9" t="s">
        <v>1894</v>
      </c>
      <c r="C221" s="9" t="s">
        <v>91</v>
      </c>
      <c r="D221" s="11" t="str">
        <f>IFERROR(__xludf.DUMMYFUNCTION("ifs(not(isna(MATCH(C221, ExcludedJumps, 0))), ""Excluded"", len(E221) = 0, ""Available"", REGEXMATCH(E221, RepeatableRegex), ""Repeatable"", countif(ARRAYFORMULA(REGEXMATCH(G221, split(B221, char(10)))), ""false"") = 0, ""Obtained"", true, ""Partial"")"),"Obtained")</f>
        <v>Obtained</v>
      </c>
      <c r="E221" s="9" t="s">
        <v>1895</v>
      </c>
      <c r="F221" s="9" t="s">
        <v>1896</v>
      </c>
      <c r="G221" s="31" t="str">
        <f>IFERROR(__xludf.DUMMYFUNCTION("if(len(E221) &gt; 0, join(char(10), FILTER(split(E221, char(10)), REGEXMATCH(split(E221, char(10)), PerkLineRegex))), """")"),"Central Control (Personal Reality) 100:
Your Robots (Personal Reality) 200:
Maintenance Systems (Personal Reality) 100:")</f>
        <v>Central Control (Personal Reality) 100:
Your Robots (Personal Reality) 200:
Maintenance Systems (Personal Reality) 100:</v>
      </c>
      <c r="H221" s="31" t="str">
        <f t="shared" si="2"/>
        <v>_
Chapter 138: 95.5 Interlude Gregor - Shawn
_</v>
      </c>
    </row>
    <row r="222">
      <c r="A222" s="9" t="s">
        <v>91</v>
      </c>
      <c r="B222" s="9" t="s">
        <v>90</v>
      </c>
      <c r="C222" s="9" t="s">
        <v>91</v>
      </c>
      <c r="D222" s="11" t="str">
        <f>IFERROR(__xludf.DUMMYFUNCTION("ifs(not(isna(MATCH(C222, ExcludedJumps, 0))), ""Excluded"", len(E222) = 0, ""Available"", REGEXMATCH(E222, RepeatableRegex), ""Repeatable"", countif(ARRAYFORMULA(REGEXMATCH(G222, split(B222, char(10)))), ""false"") = 0, ""Obtained"", true, ""Partial"")"),"Available")</f>
        <v>Available</v>
      </c>
      <c r="E222" s="31"/>
      <c r="F222" s="31"/>
      <c r="G222" s="31" t="str">
        <f>IFERROR(__xludf.DUMMYFUNCTION("if(len(E222) &gt; 0, join(char(10), FILTER(split(E222, char(10)), REGEXMATCH(split(E222, char(10)), PerkLineRegex))), """")"),"")</f>
        <v/>
      </c>
      <c r="H222" s="31" t="str">
        <f t="shared" si="2"/>
        <v/>
      </c>
    </row>
    <row r="223">
      <c r="A223" s="9" t="s">
        <v>91</v>
      </c>
      <c r="B223" s="9" t="s">
        <v>1897</v>
      </c>
      <c r="C223" s="9" t="s">
        <v>91</v>
      </c>
      <c r="D223" s="11" t="str">
        <f>IFERROR(__xludf.DUMMYFUNCTION("ifs(not(isna(MATCH(C223, ExcludedJumps, 0))), ""Excluded"", len(E223) = 0, ""Available"", REGEXMATCH(E223, RepeatableRegex), ""Repeatable"", countif(ARRAYFORMULA(REGEXMATCH(G223, split(B223, char(10)))), ""false"") = 0, ""Obtained"", true, ""Partial"")"),"Obtained")</f>
        <v>Obtained</v>
      </c>
      <c r="E223" s="9" t="s">
        <v>1898</v>
      </c>
      <c r="F223" s="9" t="s">
        <v>201</v>
      </c>
      <c r="G223" s="31" t="str">
        <f>IFERROR(__xludf.DUMMYFUNCTION("if(len(E223) &gt; 0, join(char(10), FILTER(split(E223, char(10)), REGEXMATCH(split(E223, char(10)), PerkLineRegex))), """")"),"Computer Hub (Personal Reality) 50:
")</f>
        <v>Computer Hub (Personal Reality) 50:
</v>
      </c>
      <c r="H223" s="31" t="str">
        <f t="shared" si="2"/>
        <v>_</v>
      </c>
    </row>
    <row r="224">
      <c r="A224" s="9" t="s">
        <v>91</v>
      </c>
      <c r="B224" s="9" t="s">
        <v>1899</v>
      </c>
      <c r="C224" s="9" t="s">
        <v>91</v>
      </c>
      <c r="D224" s="11" t="str">
        <f>IFERROR(__xludf.DUMMYFUNCTION("ifs(not(isna(MATCH(C224, ExcludedJumps, 0))), ""Excluded"", len(E224) = 0, ""Available"", REGEXMATCH(E224, RepeatableRegex), ""Repeatable"", countif(ARRAYFORMULA(REGEXMATCH(G224, split(B224, char(10)))), ""false"") = 0, ""Obtained"", true, ""Partial"")"),"Obtained")</f>
        <v>Obtained</v>
      </c>
      <c r="E224" s="9" t="s">
        <v>1900</v>
      </c>
      <c r="F224" s="9" t="s">
        <v>1901</v>
      </c>
      <c r="G224" s="31" t="str">
        <f>IFERROR(__xludf.DUMMYFUNCTION("if(len(E224) &gt; 0, join(char(10), FILTER(split(E224, char(10)), REGEXMATCH(split(E224, char(10)), PerkLineRegex))), """")"),"Entertainment Room (Personal Reality) 200:
Kit and Kaboodle (Personal Reality) 50:
Auditorium (Personal Reality) 50:
Costume Closet (Personal Reality) 50:")</f>
        <v>Entertainment Room (Personal Reality) 200:
Kit and Kaboodle (Personal Reality) 50:
Auditorium (Personal Reality) 50:
Costume Closet (Personal Reality) 50:</v>
      </c>
      <c r="H224" s="31" t="str">
        <f t="shared" si="2"/>
        <v>_
Chapter 112: 81 Augmentations
Chapter 112: 81 Augmentations
Chapter 112: 81 Augmentations</v>
      </c>
    </row>
    <row r="225">
      <c r="A225" s="9" t="s">
        <v>91</v>
      </c>
      <c r="B225" s="9" t="s">
        <v>1902</v>
      </c>
      <c r="C225" s="9" t="s">
        <v>91</v>
      </c>
      <c r="D225" s="11" t="str">
        <f>IFERROR(__xludf.DUMMYFUNCTION("ifs(not(isna(MATCH(C225, ExcludedJumps, 0))), ""Excluded"", len(E225) = 0, ""Available"", REGEXMATCH(E225, RepeatableRegex), ""Repeatable"", countif(ARRAYFORMULA(REGEXMATCH(G225, split(B225, char(10)))), ""false"") = 0, ""Obtained"", true, ""Partial"")"),"Repeatable")</f>
        <v>Repeatable</v>
      </c>
      <c r="E225" s="9" t="s">
        <v>1903</v>
      </c>
      <c r="F225" s="9" t="s">
        <v>1904</v>
      </c>
      <c r="G225" s="31" t="str">
        <f>IFERROR(__xludf.DUMMYFUNCTION("if(len(E225) &gt; 0, join(char(10), FILTER(split(E225, char(10)), REGEXMATCH(split(E225, char(10)), PerkLineRegex))), """")"),"Entrance Hall - Joe (Personal Reality) Free:
Additional Keys (Personal Reality) 50:
Entrance Hall - Garment (Personal Reality) 50:
Entrance Hall - Fleet (Personal Reality) 50:
Entrance Hall – Survey (Personal Reality) 50:
Entrance Hall – Aisha (Personal R"&amp;"eality) 50:
Entrance Hall – Tetra (Personal Reality) 50:
Entrance Hall - The Matrix (Personal Reality) 50:
Entrance Hall – Tybalt (Personal Reality) 50:
Entrance Hall - Espirit de Kerbal (Personal Reality) 50:
Entrance Hall - Some Old Friends (Personal Re"&amp;"ality) 50:")</f>
        <v>Entrance Hall - Joe (Personal Reality) Free:
Additional Keys (Personal Reality) 50:
Entrance Hall - Garment (Personal Reality) 50:
Entrance Hall - Fleet (Personal Reality) 50:
Entrance Hall – Survey (Personal Reality) 50:
Entrance Hall – Aisha (Personal Reality) 50:
Entrance Hall – Tetra (Personal Reality) 50:
Entrance Hall - The Matrix (Personal Reality) 50:
Entrance Hall – Tybalt (Personal Reality) 50:
Entrance Hall - Espirit de Kerbal (Personal Reality) 50:
Entrance Hall - Some Old Friends (Personal Reality) 50:</v>
      </c>
      <c r="H225" s="31" t="str">
        <f t="shared" si="2"/>
        <v>_
_
Chapter 115: 83 Check In
_
Chapter 154: 104 Loose Ends
Chapter 154: 104 Loose Ends
Chapter 154: 104 Loose Ends
Chapter 154: 104 Loose Ends
Chapter 154: 104 Loose Ends
Chapter 154: 104 Loose Ends
Chapter 154: 104 Loose Ends</v>
      </c>
    </row>
    <row r="226">
      <c r="A226" s="9" t="s">
        <v>91</v>
      </c>
      <c r="B226" s="9" t="s">
        <v>1905</v>
      </c>
      <c r="C226" s="9" t="s">
        <v>91</v>
      </c>
      <c r="D226" s="11" t="str">
        <f>IFERROR(__xludf.DUMMYFUNCTION("ifs(not(isna(MATCH(C226, ExcludedJumps, 0))), ""Excluded"", len(E226) = 0, ""Available"", REGEXMATCH(E226, RepeatableRegex), ""Repeatable"", countif(ARRAYFORMULA(REGEXMATCH(G226, split(B226, char(10)))), ""false"") = 0, ""Obtained"", true, ""Partial"")"),"Available")</f>
        <v>Available</v>
      </c>
      <c r="E226" s="31"/>
      <c r="F226" s="31"/>
      <c r="G226" s="31" t="str">
        <f>IFERROR(__xludf.DUMMYFUNCTION("if(len(E226) &gt; 0, join(char(10), FILTER(split(E226, char(10)), REGEXMATCH(split(E226, char(10)), PerkLineRegex))), """")"),"")</f>
        <v/>
      </c>
      <c r="H226" s="31" t="str">
        <f t="shared" si="2"/>
        <v/>
      </c>
    </row>
    <row r="227">
      <c r="A227" s="9" t="s">
        <v>91</v>
      </c>
      <c r="B227" s="9" t="s">
        <v>1906</v>
      </c>
      <c r="C227" s="9" t="s">
        <v>91</v>
      </c>
      <c r="D227" s="11" t="str">
        <f>IFERROR(__xludf.DUMMYFUNCTION("ifs(not(isna(MATCH(C227, ExcludedJumps, 0))), ""Excluded"", len(E227) = 0, ""Available"", REGEXMATCH(E227, RepeatableRegex), ""Repeatable"", countif(ARRAYFORMULA(REGEXMATCH(G227, split(B227, char(10)))), ""false"") = 0, ""Obtained"", true, ""Partial"")"),"Obtained")</f>
        <v>Obtained</v>
      </c>
      <c r="E227" s="9" t="s">
        <v>1907</v>
      </c>
      <c r="F227" s="9" t="s">
        <v>1908</v>
      </c>
      <c r="G227" s="31" t="str">
        <f>IFERROR(__xludf.DUMMYFUNCTION("if(len(E227) &gt; 0, join(char(10), FILTER(split(E227, char(10)), REGEXMATCH(split(E227, char(10)), PerkLineRegex))), """")"),"Extranet (Personal Reality) 200:
VOWP Cellular Service (Personal Reality) 200:")</f>
        <v>Extranet (Personal Reality) 200:
VOWP Cellular Service (Personal Reality) 200:</v>
      </c>
      <c r="H227" s="31" t="str">
        <f t="shared" si="2"/>
        <v>_
_</v>
      </c>
    </row>
    <row r="228">
      <c r="A228" s="9" t="s">
        <v>91</v>
      </c>
      <c r="B228" s="9" t="s">
        <v>118</v>
      </c>
      <c r="C228" s="9" t="s">
        <v>91</v>
      </c>
      <c r="D228" s="11" t="str">
        <f>IFERROR(__xludf.DUMMYFUNCTION("ifs(not(isna(MATCH(C228, ExcludedJumps, 0))), ""Excluded"", len(E228) = 0, ""Available"", REGEXMATCH(E228, RepeatableRegex), ""Repeatable"", countif(ARRAYFORMULA(REGEXMATCH(G228, split(B228, char(10)))), ""false"") = 0, ""Obtained"", true, ""Partial"")"),"Available")</f>
        <v>Available</v>
      </c>
      <c r="E228" s="31"/>
      <c r="F228" s="31"/>
      <c r="G228" s="31" t="str">
        <f>IFERROR(__xludf.DUMMYFUNCTION("if(len(E228) &gt; 0, join(char(10), FILTER(split(E228, char(10)), REGEXMATCH(split(E228, char(10)), PerkLineRegex))), """")"),"")</f>
        <v/>
      </c>
      <c r="H228" s="31" t="str">
        <f t="shared" si="2"/>
        <v/>
      </c>
    </row>
    <row r="229">
      <c r="A229" s="9" t="s">
        <v>91</v>
      </c>
      <c r="B229" s="9" t="s">
        <v>142</v>
      </c>
      <c r="C229" s="9" t="s">
        <v>91</v>
      </c>
      <c r="D229" s="11" t="str">
        <f>IFERROR(__xludf.DUMMYFUNCTION("ifs(not(isna(MATCH(C229, ExcludedJumps, 0))), ""Excluded"", len(E229) = 0, ""Available"", REGEXMATCH(E229, RepeatableRegex), ""Repeatable"", countif(ARRAYFORMULA(REGEXMATCH(G229, split(B229, char(10)))), ""false"") = 0, ""Obtained"", true, ""Partial"")"),"Available")</f>
        <v>Available</v>
      </c>
      <c r="E229" s="31"/>
      <c r="F229" s="31"/>
      <c r="G229" s="31" t="str">
        <f>IFERROR(__xludf.DUMMYFUNCTION("if(len(E229) &gt; 0, join(char(10), FILTER(split(E229, char(10)), REGEXMATCH(split(E229, char(10)), PerkLineRegex))), """")"),"")</f>
        <v/>
      </c>
      <c r="H229" s="31" t="str">
        <f t="shared" si="2"/>
        <v/>
      </c>
    </row>
    <row r="230">
      <c r="A230" s="9" t="s">
        <v>91</v>
      </c>
      <c r="B230" s="9" t="s">
        <v>1909</v>
      </c>
      <c r="C230" s="9" t="s">
        <v>91</v>
      </c>
      <c r="D230" s="11" t="str">
        <f>IFERROR(__xludf.DUMMYFUNCTION("ifs(not(isna(MATCH(C230, ExcludedJumps, 0))), ""Excluded"", len(E230) = 0, ""Available"", REGEXMATCH(E230, RepeatableRegex), ""Repeatable"", countif(ARRAYFORMULA(REGEXMATCH(G230, split(B230, char(10)))), ""false"") = 0, ""Obtained"", true, ""Partial"")"),"Partial")</f>
        <v>Partial</v>
      </c>
      <c r="E230" s="9" t="s">
        <v>1910</v>
      </c>
      <c r="F230" s="9" t="s">
        <v>1908</v>
      </c>
      <c r="G230" s="31" t="str">
        <f>IFERROR(__xludf.DUMMYFUNCTION("if(len(E230) &gt; 0, join(char(10), FILTER(split(E230, char(10)), REGEXMATCH(split(E230, char(10)), PerkLineRegex))), """")"),"Garage (Personal Reality) 200:
Fueling Station (Personal Reality) 200:")</f>
        <v>Garage (Personal Reality) 200:
Fueling Station (Personal Reality) 200:</v>
      </c>
      <c r="H230" s="31" t="str">
        <f t="shared" si="2"/>
        <v>_
Chapter 85: 65 Summit Aftermath</v>
      </c>
    </row>
    <row r="231">
      <c r="A231" s="9" t="s">
        <v>91</v>
      </c>
      <c r="B231" s="9" t="s">
        <v>1911</v>
      </c>
      <c r="C231" s="9" t="s">
        <v>91</v>
      </c>
      <c r="D231" s="11" t="str">
        <f>IFERROR(__xludf.DUMMYFUNCTION("ifs(not(isna(MATCH(C231, ExcludedJumps, 0))), ""Excluded"", len(E231) = 0, ""Available"", REGEXMATCH(E231, RepeatableRegex), ""Repeatable"", countif(ARRAYFORMULA(REGEXMATCH(G231, split(B231, char(10)))), ""false"") = 0, ""Obtained"", true, ""Partial"")"),"Available")</f>
        <v>Available</v>
      </c>
      <c r="E231" s="31"/>
      <c r="F231" s="31"/>
      <c r="G231" s="31" t="str">
        <f>IFERROR(__xludf.DUMMYFUNCTION("if(len(E231) &gt; 0, join(char(10), FILTER(split(E231, char(10)), REGEXMATCH(split(E231, char(10)), PerkLineRegex))), """")"),"")</f>
        <v/>
      </c>
      <c r="H231" s="31" t="str">
        <f t="shared" si="2"/>
        <v/>
      </c>
    </row>
    <row r="232">
      <c r="A232" s="9" t="s">
        <v>91</v>
      </c>
      <c r="B232" s="9" t="s">
        <v>1912</v>
      </c>
      <c r="C232" s="9" t="s">
        <v>91</v>
      </c>
      <c r="D232" s="11" t="str">
        <f>IFERROR(__xludf.DUMMYFUNCTION("ifs(not(isna(MATCH(C232, ExcludedJumps, 0))), ""Excluded"", len(E232) = 0, ""Available"", REGEXMATCH(E232, RepeatableRegex), ""Repeatable"", countif(ARRAYFORMULA(REGEXMATCH(G232, split(B232, char(10)))), ""false"") = 0, ""Obtained"", true, ""Partial"")"),"Partial")</f>
        <v>Partial</v>
      </c>
      <c r="E232" s="9" t="s">
        <v>1913</v>
      </c>
      <c r="F232" s="9" t="s">
        <v>1908</v>
      </c>
      <c r="G232" s="31" t="str">
        <f>IFERROR(__xludf.DUMMYFUNCTION("if(len(E232) &gt; 0, join(char(10), FILTER(split(E232, char(10)), REGEXMATCH(split(E232, char(10)), PerkLineRegex))), """")"),"Greenhouse (Personal Reality) 100:
Seeds and Seedlings (Personal Reality) 50:
")</f>
        <v>Greenhouse (Personal Reality) 100:
Seeds and Seedlings (Personal Reality) 50:
</v>
      </c>
      <c r="H232" s="31" t="str">
        <f t="shared" si="2"/>
        <v>_
_</v>
      </c>
    </row>
    <row r="233">
      <c r="A233" s="9" t="s">
        <v>91</v>
      </c>
      <c r="B233" s="9" t="s">
        <v>1914</v>
      </c>
      <c r="C233" s="9" t="s">
        <v>91</v>
      </c>
      <c r="D233" s="11" t="str">
        <f>IFERROR(__xludf.DUMMYFUNCTION("ifs(not(isna(MATCH(C233, ExcludedJumps, 0))), ""Excluded"", len(E233) = 0, ""Available"", REGEXMATCH(E233, RepeatableRegex), ""Repeatable"", countif(ARRAYFORMULA(REGEXMATCH(G233, split(B233, char(10)))), ""false"") = 0, ""Obtained"", true, ""Partial"")"),"Obtained")</f>
        <v>Obtained</v>
      </c>
      <c r="E233" s="9" t="s">
        <v>1915</v>
      </c>
      <c r="F233" s="9" t="s">
        <v>1908</v>
      </c>
      <c r="G233" s="31" t="str">
        <f>IFERROR(__xludf.DUMMYFUNCTION("if(len(E233) &gt; 0, join(char(10), FILTER(split(E233, char(10)), REGEXMATCH(split(E233, char(10)), PerkLineRegex))), """")"),"Gym (Personal Reality) 100:
Arena (Personal Reality) 200:")</f>
        <v>Gym (Personal Reality) 100:
Arena (Personal Reality) 200:</v>
      </c>
      <c r="H233" s="31" t="str">
        <f t="shared" si="2"/>
        <v>_
Chapter 138: 95.5 Interlude Gregor - Shawn</v>
      </c>
    </row>
    <row r="234">
      <c r="A234" s="9" t="s">
        <v>91</v>
      </c>
      <c r="B234" s="9" t="s">
        <v>1916</v>
      </c>
      <c r="C234" s="9" t="s">
        <v>91</v>
      </c>
      <c r="D234" s="11" t="str">
        <f>IFERROR(__xludf.DUMMYFUNCTION("ifs(not(isna(MATCH(C234, ExcludedJumps, 0))), ""Excluded"", len(E234) = 0, ""Available"", REGEXMATCH(E234, RepeatableRegex), ""Repeatable"", countif(ARRAYFORMULA(REGEXMATCH(G234, split(B234, char(10)))), ""false"") = 0, ""Obtained"", true, ""Partial"")"),"Obtained")</f>
        <v>Obtained</v>
      </c>
      <c r="E234" s="9" t="s">
        <v>1917</v>
      </c>
      <c r="F234" s="9" t="s">
        <v>201</v>
      </c>
      <c r="G234" s="31" t="str">
        <f>IFERROR(__xludf.DUMMYFUNCTION("if(len(E234) &gt; 0, join(char(10), FILTER(split(E234, char(10)), REGEXMATCH(split(E234, char(10)), PerkLineRegex))), """")"),"Hallowed Earth (Personal Reality) 400:
")</f>
        <v>Hallowed Earth (Personal Reality) 400:
</v>
      </c>
      <c r="H234" s="31" t="str">
        <f t="shared" si="2"/>
        <v>_</v>
      </c>
    </row>
    <row r="235">
      <c r="A235" s="9" t="s">
        <v>91</v>
      </c>
      <c r="B235" s="9" t="s">
        <v>123</v>
      </c>
      <c r="C235" s="9" t="s">
        <v>91</v>
      </c>
      <c r="D235" s="11" t="str">
        <f>IFERROR(__xludf.DUMMYFUNCTION("ifs(not(isna(MATCH(C235, ExcludedJumps, 0))), ""Excluded"", len(E235) = 0, ""Available"", REGEXMATCH(E235, RepeatableRegex), ""Repeatable"", countif(ARRAYFORMULA(REGEXMATCH(G235, split(B235, char(10)))), ""false"") = 0, ""Obtained"", true, ""Partial"")"),"Available")</f>
        <v>Available</v>
      </c>
      <c r="E235" s="31"/>
      <c r="F235" s="31"/>
      <c r="G235" s="31" t="str">
        <f>IFERROR(__xludf.DUMMYFUNCTION("if(len(E235) &gt; 0, join(char(10), FILTER(split(E235, char(10)), REGEXMATCH(split(E235, char(10)), PerkLineRegex))), """")"),"")</f>
        <v/>
      </c>
      <c r="H235" s="31" t="str">
        <f t="shared" si="2"/>
        <v/>
      </c>
    </row>
    <row r="236">
      <c r="A236" s="9" t="s">
        <v>91</v>
      </c>
      <c r="B236" s="9" t="s">
        <v>1918</v>
      </c>
      <c r="C236" s="9" t="s">
        <v>91</v>
      </c>
      <c r="D236" s="11" t="str">
        <f>IFERROR(__xludf.DUMMYFUNCTION("ifs(not(isna(MATCH(C236, ExcludedJumps, 0))), ""Excluded"", len(E236) = 0, ""Available"", REGEXMATCH(E236, RepeatableRegex), ""Repeatable"", countif(ARRAYFORMULA(REGEXMATCH(G236, split(B236, char(10)))), ""false"") = 0, ""Obtained"", true, ""Partial"")"),"Partial")</f>
        <v>Partial</v>
      </c>
      <c r="E236" s="9" t="s">
        <v>1919</v>
      </c>
      <c r="F236" s="9" t="s">
        <v>1908</v>
      </c>
      <c r="G236" s="31" t="str">
        <f>IFERROR(__xludf.DUMMYFUNCTION("if(len(E236) &gt; 0, join(char(10), FILTER(split(E236, char(10)), REGEXMATCH(split(E236, char(10)), PerkLineRegex))), """")"),"Housing Complex (Personal Reality) 200:
Opulent Housing (Personal Reality) 300:")</f>
        <v>Housing Complex (Personal Reality) 200:
Opulent Housing (Personal Reality) 300:</v>
      </c>
      <c r="H236" s="31" t="str">
        <f t="shared" si="2"/>
        <v>_
Chapter 127: 90 Outreach - Addendum Taylor</v>
      </c>
    </row>
    <row r="237">
      <c r="A237" s="9" t="s">
        <v>91</v>
      </c>
      <c r="B237" s="9" t="s">
        <v>145</v>
      </c>
      <c r="C237" s="9" t="s">
        <v>91</v>
      </c>
      <c r="D237" s="11" t="str">
        <f>IFERROR(__xludf.DUMMYFUNCTION("ifs(not(isna(MATCH(C237, ExcludedJumps, 0))), ""Excluded"", len(E237) = 0, ""Available"", REGEXMATCH(E237, RepeatableRegex), ""Repeatable"", countif(ARRAYFORMULA(REGEXMATCH(G237, split(B237, char(10)))), ""false"") = 0, ""Obtained"", true, ""Partial"")"),"Available")</f>
        <v>Available</v>
      </c>
      <c r="E237" s="31"/>
      <c r="F237" s="31"/>
      <c r="G237" s="31" t="str">
        <f>IFERROR(__xludf.DUMMYFUNCTION("if(len(E237) &gt; 0, join(char(10), FILTER(split(E237, char(10)), REGEXMATCH(split(E237, char(10)), PerkLineRegex))), """")"),"")</f>
        <v/>
      </c>
      <c r="H237" s="31" t="str">
        <f t="shared" si="2"/>
        <v/>
      </c>
    </row>
    <row r="238">
      <c r="A238" s="9" t="s">
        <v>91</v>
      </c>
      <c r="B238" s="9" t="s">
        <v>1920</v>
      </c>
      <c r="C238" s="9" t="s">
        <v>91</v>
      </c>
      <c r="D238" s="11" t="str">
        <f>IFERROR(__xludf.DUMMYFUNCTION("ifs(not(isna(MATCH(C238, ExcludedJumps, 0))), ""Excluded"", len(E238) = 0, ""Available"", REGEXMATCH(E238, RepeatableRegex), ""Repeatable"", countif(ARRAYFORMULA(REGEXMATCH(G238, split(B238, char(10)))), ""false"") = 0, ""Obtained"", true, ""Partial"")"),"Partial")</f>
        <v>Partial</v>
      </c>
      <c r="E238" s="9" t="s">
        <v>1921</v>
      </c>
      <c r="F238" s="9" t="s">
        <v>1886</v>
      </c>
      <c r="G238" s="31" t="str">
        <f>IFERROR(__xludf.DUMMYFUNCTION("if(len(E238) &gt; 0, join(char(10), FILTER(split(E238, char(10)), REGEXMATCH(split(E238, char(10)), PerkLineRegex))), """")"),"Library (Personal Reality) 200:
Library Services (Personal Reality) 100:
Digital Database (Personal Reality) 100:
Starting Collection (Personal Reality) 100:
Starting Collection (Personal Reality) 50: 
Expanded Collection - Mysticism (Personal Reality) 50"&amp;":
Esoteric Collection - Magic (Personal Reality) 100:")</f>
        <v>Library (Personal Reality) 200:
Library Services (Personal Reality) 100:
Digital Database (Personal Reality) 100:
Starting Collection (Personal Reality) 100:
Starting Collection (Personal Reality) 50: 
Expanded Collection - Mysticism (Personal Reality) 50:
Esoteric Collection - Magic (Personal Reality) 100:</v>
      </c>
      <c r="H238" s="31" t="str">
        <f t="shared" si="2"/>
        <v>_
Chapter 100: 73 Head Trip
Chapter 100: 73 Head Trip
Chapter 100: 73 Head Trip
_
Chapter 179: 114 Manic Recovery
Chapter 179: 114 Manic Recovery</v>
      </c>
    </row>
    <row r="239">
      <c r="A239" s="9" t="s">
        <v>91</v>
      </c>
      <c r="B239" s="9" t="s">
        <v>1922</v>
      </c>
      <c r="C239" s="9" t="s">
        <v>91</v>
      </c>
      <c r="D239" s="11" t="str">
        <f>IFERROR(__xludf.DUMMYFUNCTION("ifs(not(isna(MATCH(C239, ExcludedJumps, 0))), ""Excluded"", len(E239) = 0, ""Available"", REGEXMATCH(E239, RepeatableRegex), ""Repeatable"", countif(ARRAYFORMULA(REGEXMATCH(G239, split(B239, char(10)))), ""false"") = 0, ""Obtained"", true, ""Partial"")"),"Obtained")</f>
        <v>Obtained</v>
      </c>
      <c r="E239" s="9" t="s">
        <v>1923</v>
      </c>
      <c r="F239" s="9" t="s">
        <v>1893</v>
      </c>
      <c r="G239" s="31" t="str">
        <f>IFERROR(__xludf.DUMMYFUNCTION("if(len(E239) &gt; 0, join(char(10), FILTER(split(E239, char(10)), REGEXMATCH(split(E239, char(10)), PerkLineRegex))), """")"),"Loft (Personal Reality) Free: 
Lofty Loft (Personal Reality) 100:
Underside (Personal Reality) 200:")</f>
        <v>Loft (Personal Reality) Free: 
Lofty Loft (Personal Reality) 100:
Underside (Personal Reality) 200:</v>
      </c>
      <c r="H239" s="31" t="str">
        <f t="shared" si="2"/>
        <v>_
Chapter 110: 79 Preliminary Work
Chapter 110: 79 Preliminary Work</v>
      </c>
    </row>
    <row r="240">
      <c r="A240" s="9" t="s">
        <v>91</v>
      </c>
      <c r="B240" s="9" t="s">
        <v>1924</v>
      </c>
      <c r="C240" s="9" t="s">
        <v>91</v>
      </c>
      <c r="D240" s="11" t="str">
        <f>IFERROR(__xludf.DUMMYFUNCTION("ifs(not(isna(MATCH(C240, ExcludedJumps, 0))), ""Excluded"", len(E240) = 0, ""Available"", REGEXMATCH(E240, RepeatableRegex), ""Repeatable"", countif(ARRAYFORMULA(REGEXMATCH(G240, split(B240, char(10)))), ""false"") = 0, ""Obtained"", true, ""Partial"")"),"Available")</f>
        <v>Available</v>
      </c>
      <c r="E240" s="31"/>
      <c r="F240" s="31"/>
      <c r="G240" s="31" t="str">
        <f>IFERROR(__xludf.DUMMYFUNCTION("if(len(E240) &gt; 0, join(char(10), FILTER(split(E240, char(10)), REGEXMATCH(split(E240, char(10)), PerkLineRegex))), """")"),"")</f>
        <v/>
      </c>
      <c r="H240" s="31" t="str">
        <f t="shared" si="2"/>
        <v/>
      </c>
    </row>
    <row r="241">
      <c r="A241" s="9" t="s">
        <v>91</v>
      </c>
      <c r="B241" s="9" t="s">
        <v>1925</v>
      </c>
      <c r="C241" s="9" t="s">
        <v>91</v>
      </c>
      <c r="D241" s="11" t="str">
        <f>IFERROR(__xludf.DUMMYFUNCTION("ifs(not(isna(MATCH(C241, ExcludedJumps, 0))), ""Excluded"", len(E241) = 0, ""Available"", REGEXMATCH(E241, RepeatableRegex), ""Repeatable"", countif(ARRAYFORMULA(REGEXMATCH(G241, split(B241, char(10)))), ""false"") = 0, ""Obtained"", true, ""Partial"")"),"Available")</f>
        <v>Available</v>
      </c>
      <c r="E241" s="31"/>
      <c r="F241" s="31"/>
      <c r="G241" s="31" t="str">
        <f>IFERROR(__xludf.DUMMYFUNCTION("if(len(E241) &gt; 0, join(char(10), FILTER(split(E241, char(10)), REGEXMATCH(split(E241, char(10)), PerkLineRegex))), """")"),"")</f>
        <v/>
      </c>
      <c r="H241" s="31" t="str">
        <f t="shared" si="2"/>
        <v/>
      </c>
    </row>
    <row r="242">
      <c r="A242" s="9" t="s">
        <v>91</v>
      </c>
      <c r="B242" s="9" t="s">
        <v>150</v>
      </c>
      <c r="C242" s="9" t="s">
        <v>91</v>
      </c>
      <c r="D242" s="11" t="str">
        <f>IFERROR(__xludf.DUMMYFUNCTION("ifs(not(isna(MATCH(C242, ExcludedJumps, 0))), ""Excluded"", len(E242) = 0, ""Available"", REGEXMATCH(E242, RepeatableRegex), ""Repeatable"", countif(ARRAYFORMULA(REGEXMATCH(G242, split(B242, char(10)))), ""false"") = 0, ""Obtained"", true, ""Partial"")"),"Available")</f>
        <v>Available</v>
      </c>
      <c r="E242" s="31"/>
      <c r="F242" s="31"/>
      <c r="G242" s="31" t="str">
        <f>IFERROR(__xludf.DUMMYFUNCTION("if(len(E242) &gt; 0, join(char(10), FILTER(split(E242, char(10)), REGEXMATCH(split(E242, char(10)), PerkLineRegex))), """")"),"")</f>
        <v/>
      </c>
      <c r="H242" s="31" t="str">
        <f t="shared" si="2"/>
        <v/>
      </c>
    </row>
    <row r="243">
      <c r="A243" s="9" t="s">
        <v>91</v>
      </c>
      <c r="B243" s="9" t="s">
        <v>1926</v>
      </c>
      <c r="C243" s="9" t="s">
        <v>91</v>
      </c>
      <c r="D243" s="11" t="str">
        <f>IFERROR(__xludf.DUMMYFUNCTION("ifs(not(isna(MATCH(C243, ExcludedJumps, 0))), ""Excluded"", len(E243) = 0, ""Available"", REGEXMATCH(E243, RepeatableRegex), ""Repeatable"", countif(ARRAYFORMULA(REGEXMATCH(G243, split(B243, char(10)))), ""false"") = 0, ""Obtained"", true, ""Partial"")"),"Repeatable")</f>
        <v>Repeatable</v>
      </c>
      <c r="E243" s="9" t="s">
        <v>1927</v>
      </c>
      <c r="F243" s="9" t="s">
        <v>1893</v>
      </c>
      <c r="G243" s="31" t="str">
        <f>IFERROR(__xludf.DUMMYFUNCTION("if(len(E243) &gt; 0, join(char(10), FILTER(split(E243, char(10)), REGEXMATCH(split(E243, char(10)), PerkLineRegex))), """")"),"Music Collection (Personal Reality) 50:
Movie &amp; TV Series Collection (Personal Reality) 50:
Music Collection (Personal Reality) 50:")</f>
        <v>Music Collection (Personal Reality) 50:
Movie &amp; TV Series Collection (Personal Reality) 50:
Music Collection (Personal Reality) 50:</v>
      </c>
      <c r="H243" s="31" t="str">
        <f t="shared" si="2"/>
        <v>_
_
Chapter 183: 116.2 Interlude Panacea - Preamble Vicky</v>
      </c>
    </row>
    <row r="244">
      <c r="A244" s="9" t="s">
        <v>91</v>
      </c>
      <c r="B244" s="9" t="s">
        <v>1928</v>
      </c>
      <c r="C244" s="9" t="s">
        <v>91</v>
      </c>
      <c r="D244" s="11" t="str">
        <f>IFERROR(__xludf.DUMMYFUNCTION("ifs(not(isna(MATCH(C244, ExcludedJumps, 0))), ""Excluded"", len(E244) = 0, ""Available"", REGEXMATCH(E244, RepeatableRegex), ""Repeatable"", countif(ARRAYFORMULA(REGEXMATCH(G244, split(B244, char(10)))), ""false"") = 0, ""Obtained"", true, ""Partial"")"),"Obtained")</f>
        <v>Obtained</v>
      </c>
      <c r="E244" s="9" t="s">
        <v>1929</v>
      </c>
      <c r="F244" s="9" t="s">
        <v>1908</v>
      </c>
      <c r="G244" s="31" t="str">
        <f>IFERROR(__xludf.DUMMYFUNCTION("if(len(E244) &gt; 0, join(char(10), FILTER(split(E244, char(10)), REGEXMATCH(split(E244, char(10)), PerkLineRegex))), """")"),"Neutral Lighting (Personal Reality) Free:
Natural Lighting (Personal Reality) 50:")</f>
        <v>Neutral Lighting (Personal Reality) Free:
Natural Lighting (Personal Reality) 50:</v>
      </c>
      <c r="H244" s="31" t="str">
        <f t="shared" si="2"/>
        <v>_
Chapter 91: 67 Development Plans</v>
      </c>
    </row>
    <row r="245">
      <c r="A245" s="9" t="s">
        <v>91</v>
      </c>
      <c r="B245" s="9" t="s">
        <v>102</v>
      </c>
      <c r="C245" s="9" t="s">
        <v>91</v>
      </c>
      <c r="D245" s="11" t="str">
        <f>IFERROR(__xludf.DUMMYFUNCTION("ifs(not(isna(MATCH(C245, ExcludedJumps, 0))), ""Excluded"", len(E245) = 0, ""Available"", REGEXMATCH(E245, RepeatableRegex), ""Repeatable"", countif(ARRAYFORMULA(REGEXMATCH(G245, split(B245, char(10)))), ""false"") = 0, ""Obtained"", true, ""Partial"")"),"Repeatable")</f>
        <v>Repeatable</v>
      </c>
      <c r="E245" s="9" t="s">
        <v>1930</v>
      </c>
      <c r="F245" s="9" t="s">
        <v>201</v>
      </c>
      <c r="G245" s="31" t="str">
        <f>IFERROR(__xludf.DUMMYFUNCTION("if(len(E245) &gt; 0, join(char(10), FILTER(split(E245, char(10)), REGEXMATCH(split(E245, char(10)), PerkLineRegex))), """")"),"Office (Personal Reality) 50:")</f>
        <v>Office (Personal Reality) 50:</v>
      </c>
      <c r="H245" s="31" t="str">
        <f t="shared" si="2"/>
        <v>_</v>
      </c>
    </row>
    <row r="246">
      <c r="A246" s="9" t="s">
        <v>91</v>
      </c>
      <c r="B246" s="9" t="s">
        <v>1931</v>
      </c>
      <c r="C246" s="9" t="s">
        <v>91</v>
      </c>
      <c r="D246" s="11" t="str">
        <f>IFERROR(__xludf.DUMMYFUNCTION("ifs(not(isna(MATCH(C246, ExcludedJumps, 0))), ""Excluded"", len(E246) = 0, ""Available"", REGEXMATCH(E246, RepeatableRegex), ""Repeatable"", countif(ARRAYFORMULA(REGEXMATCH(G246, split(B246, char(10)))), ""false"") = 0, ""Obtained"", true, ""Partial"")"),"Obtained")</f>
        <v>Obtained</v>
      </c>
      <c r="E246" s="9" t="s">
        <v>1932</v>
      </c>
      <c r="F246" s="9" t="s">
        <v>201</v>
      </c>
      <c r="G246" s="31" t="str">
        <f>IFERROR(__xludf.DUMMYFUNCTION("if(len(E246) &gt; 0, join(char(10), FILTER(split(E246, char(10)), REGEXMATCH(split(E246, char(10)), PerkLineRegex))), """")"),"Pilot Simulator (Personal Reality) 100:")</f>
        <v>Pilot Simulator (Personal Reality) 100:</v>
      </c>
      <c r="H246" s="31" t="str">
        <f t="shared" si="2"/>
        <v>_</v>
      </c>
    </row>
    <row r="247">
      <c r="A247" s="9" t="s">
        <v>91</v>
      </c>
      <c r="B247" s="9" t="s">
        <v>1933</v>
      </c>
      <c r="C247" s="9" t="s">
        <v>91</v>
      </c>
      <c r="D247" s="11" t="str">
        <f>IFERROR(__xludf.DUMMYFUNCTION("ifs(not(isna(MATCH(C247, ExcludedJumps, 0))), ""Excluded"", len(E247) = 0, ""Available"", REGEXMATCH(E247, RepeatableRegex), ""Repeatable"", countif(ARRAYFORMULA(REGEXMATCH(G247, split(B247, char(10)))), ""false"") = 0, ""Obtained"", true, ""Partial"")"),"Obtained")</f>
        <v>Obtained</v>
      </c>
      <c r="E247" s="9" t="s">
        <v>1934</v>
      </c>
      <c r="F247" s="9" t="s">
        <v>1893</v>
      </c>
      <c r="G247" s="31" t="str">
        <f>IFERROR(__xludf.DUMMYFUNCTION("if(len(E247) &gt; 0, join(char(10), FILTER(split(E247, char(10)), REGEXMATCH(split(E247, char(10)), PerkLineRegex))), """")"),"Pipes Pipes Pipes (Personal Reality) 100:
Waterworld (Personal Reality) 300:
Dynamic Waterworks (Personal Reality) 100:")</f>
        <v>Pipes Pipes Pipes (Personal Reality) 100:
Waterworld (Personal Reality) 300:
Dynamic Waterworks (Personal Reality) 100:</v>
      </c>
      <c r="H247" s="31" t="str">
        <f t="shared" si="2"/>
        <v>_
Chapter 114: 82.1 Interlude Uppercrust
Chapter 114: 82.1 Interlude Uppercrust</v>
      </c>
    </row>
    <row r="248">
      <c r="A248" s="9" t="s">
        <v>91</v>
      </c>
      <c r="B248" s="9" t="s">
        <v>1935</v>
      </c>
      <c r="C248" s="9" t="s">
        <v>91</v>
      </c>
      <c r="D248" s="11" t="str">
        <f>IFERROR(__xludf.DUMMYFUNCTION("ifs(not(isna(MATCH(C248, ExcludedJumps, 0))), ""Excluded"", len(E248) = 0, ""Available"", REGEXMATCH(E248, RepeatableRegex), ""Repeatable"", countif(ARRAYFORMULA(REGEXMATCH(G248, split(B248, char(10)))), ""false"") = 0, ""Obtained"", true, ""Partial"")"),"Partial")</f>
        <v>Partial</v>
      </c>
      <c r="E248" s="9" t="s">
        <v>1936</v>
      </c>
      <c r="F248" s="9" t="s">
        <v>1937</v>
      </c>
      <c r="G248" s="31" t="str">
        <f>IFERROR(__xludf.DUMMYFUNCTION("if(len(E248) &gt; 0, join(char(10), FILTER(split(E248, char(10)), REGEXMATCH(split(E248, char(10)), PerkLineRegex))), """")"),"Portal (Personal Reality) 300:
Free Portal (Personal Reality) 100:")</f>
        <v>Portal (Personal Reality) 300:
Free Portal (Personal Reality) 100:</v>
      </c>
      <c r="H248" s="31" t="str">
        <f t="shared" si="2"/>
        <v>_
Chapter 123: 88 Perspectives</v>
      </c>
    </row>
    <row r="249">
      <c r="A249" s="9" t="s">
        <v>91</v>
      </c>
      <c r="B249" s="9" t="s">
        <v>1938</v>
      </c>
      <c r="C249" s="9" t="s">
        <v>91</v>
      </c>
      <c r="D249" s="11" t="str">
        <f>IFERROR(__xludf.DUMMYFUNCTION("ifs(not(isna(MATCH(C249, ExcludedJumps, 0))), ""Excluded"", len(E249) = 0, ""Available"", REGEXMATCH(E249, RepeatableRegex), ""Repeatable"", countif(ARRAYFORMULA(REGEXMATCH(G249, split(B249, char(10)))), ""false"") = 0, ""Obtained"", true, ""Partial"")"),"Partial")</f>
        <v>Partial</v>
      </c>
      <c r="E249" s="9" t="s">
        <v>1939</v>
      </c>
      <c r="F249" s="9" t="s">
        <v>1908</v>
      </c>
      <c r="G249" s="31" t="str">
        <f>IFERROR(__xludf.DUMMYFUNCTION("if(len(E249) &gt; 0, join(char(10), FILTER(split(E249, char(10)), REGEXMATCH(split(E249, char(10)), PerkLineRegex))), """")"),"Realistic Ground Cover (Personal Reality) 100:
Dig it (Personal Reality) 100:")</f>
        <v>Realistic Ground Cover (Personal Reality) 100:
Dig it (Personal Reality) 100:</v>
      </c>
      <c r="H249" s="31" t="str">
        <f t="shared" si="2"/>
        <v>_
Chapter 113: 82 Bargaining - Addendum Uppercrust</v>
      </c>
    </row>
    <row r="250">
      <c r="A250" s="9" t="s">
        <v>91</v>
      </c>
      <c r="B250" s="9" t="s">
        <v>1940</v>
      </c>
      <c r="C250" s="9" t="s">
        <v>91</v>
      </c>
      <c r="D250" s="11" t="str">
        <f>IFERROR(__xludf.DUMMYFUNCTION("ifs(not(isna(MATCH(C250, ExcludedJumps, 0))), ""Excluded"", len(E250) = 0, ""Available"", REGEXMATCH(E250, RepeatableRegex), ""Repeatable"", countif(ARRAYFORMULA(REGEXMATCH(G250, split(B250, char(10)))), ""false"") = 0, ""Obtained"", true, ""Partial"")"),"Obtained")</f>
        <v>Obtained</v>
      </c>
      <c r="E250" s="9" t="s">
        <v>1941</v>
      </c>
      <c r="F250" s="31"/>
      <c r="G250" s="31" t="str">
        <f>IFERROR(__xludf.DUMMYFUNCTION("if(len(E250) &gt; 0, join(char(10), FILTER(split(E250, char(10)), REGEXMATCH(split(E250, char(10)), PerkLineRegex))), """")"),"Reality Extruder (Personal Reality) 100:")</f>
        <v>Reality Extruder (Personal Reality) 100:</v>
      </c>
      <c r="H250" s="31" t="str">
        <f t="shared" si="2"/>
        <v>_</v>
      </c>
    </row>
    <row r="251">
      <c r="A251" s="9" t="s">
        <v>91</v>
      </c>
      <c r="B251" s="9" t="s">
        <v>1942</v>
      </c>
      <c r="C251" s="9" t="s">
        <v>91</v>
      </c>
      <c r="D251" s="11" t="str">
        <f>IFERROR(__xludf.DUMMYFUNCTION("ifs(not(isna(MATCH(C251, ExcludedJumps, 0))), ""Excluded"", len(E251) = 0, ""Available"", REGEXMATCH(E251, RepeatableRegex), ""Repeatable"", countif(ARRAYFORMULA(REGEXMATCH(G251, split(B251, char(10)))), ""false"") = 0, ""Obtained"", true, ""Partial"")"),"Available")</f>
        <v>Available</v>
      </c>
      <c r="E251" s="31"/>
      <c r="F251" s="31"/>
      <c r="G251" s="31" t="str">
        <f>IFERROR(__xludf.DUMMYFUNCTION("if(len(E251) &gt; 0, join(char(10), FILTER(split(E251, char(10)), REGEXMATCH(split(E251, char(10)), PerkLineRegex))), """")"),"")</f>
        <v/>
      </c>
      <c r="H251" s="31" t="str">
        <f t="shared" si="2"/>
        <v/>
      </c>
    </row>
    <row r="252">
      <c r="A252" s="9" t="s">
        <v>91</v>
      </c>
      <c r="B252" s="9" t="s">
        <v>1943</v>
      </c>
      <c r="C252" s="9" t="s">
        <v>91</v>
      </c>
      <c r="D252" s="11" t="str">
        <f>IFERROR(__xludf.DUMMYFUNCTION("ifs(not(isna(MATCH(C252, ExcludedJumps, 0))), ""Excluded"", len(E252) = 0, ""Available"", REGEXMATCH(E252, RepeatableRegex), ""Repeatable"", countif(ARRAYFORMULA(REGEXMATCH(G252, split(B252, char(10)))), ""false"") = 0, ""Obtained"", true, ""Partial"")"),"Partial")</f>
        <v>Partial</v>
      </c>
      <c r="E252" s="9" t="s">
        <v>1944</v>
      </c>
      <c r="F252" s="9" t="s">
        <v>1893</v>
      </c>
      <c r="G252" s="31" t="str">
        <f>IFERROR(__xludf.DUMMYFUNCTION("if(len(E252) &gt; 0, join(char(10), FILTER(split(E252, char(10)), REGEXMATCH(split(E252, char(10)), PerkLineRegex))), """")"),"Security System (Personal Reality) Free:
Detainment (Personal Reality) 300:
Force Wall (Personal Reality) 200:")</f>
        <v>Security System (Personal Reality) Free:
Detainment (Personal Reality) 300:
Force Wall (Personal Reality) 200:</v>
      </c>
      <c r="H252" s="31" t="str">
        <f t="shared" si="2"/>
        <v>_
Chapter 101: 74 Hard Talk
Chapter 101: 74 Hard Talk</v>
      </c>
    </row>
    <row r="253">
      <c r="A253" s="9" t="s">
        <v>91</v>
      </c>
      <c r="B253" s="9" t="s">
        <v>1945</v>
      </c>
      <c r="C253" s="9" t="s">
        <v>91</v>
      </c>
      <c r="D253" s="11" t="str">
        <f>IFERROR(__xludf.DUMMYFUNCTION("ifs(not(isna(MATCH(C253, ExcludedJumps, 0))), ""Excluded"", len(E253) = 0, ""Available"", REGEXMATCH(E253, RepeatableRegex), ""Repeatable"", countif(ARRAYFORMULA(REGEXMATCH(G253, split(B253, char(10)))), ""false"") = 0, ""Obtained"", true, ""Partial"")"),"Obtained")</f>
        <v>Obtained</v>
      </c>
      <c r="E253" s="9" t="s">
        <v>1946</v>
      </c>
      <c r="F253" s="9" t="s">
        <v>201</v>
      </c>
      <c r="G253" s="31" t="str">
        <f>IFERROR(__xludf.DUMMYFUNCTION("if(len(E253) &gt; 0, join(char(10), FILTER(split(E253, char(10)), REGEXMATCH(split(E253, char(10)), PerkLineRegex))), """")"),"Shooting Range (Personal Reality) 50:")</f>
        <v>Shooting Range (Personal Reality) 50:</v>
      </c>
      <c r="H253" s="31" t="str">
        <f t="shared" si="2"/>
        <v>_</v>
      </c>
    </row>
    <row r="254">
      <c r="A254" s="9" t="s">
        <v>91</v>
      </c>
      <c r="B254" s="9" t="s">
        <v>1947</v>
      </c>
      <c r="C254" s="9" t="s">
        <v>91</v>
      </c>
      <c r="D254" s="11" t="str">
        <f>IFERROR(__xludf.DUMMYFUNCTION("ifs(not(isna(MATCH(C254, ExcludedJumps, 0))), ""Excluded"", len(E254) = 0, ""Available"", REGEXMATCH(E254, RepeatableRegex), ""Repeatable"", countif(ARRAYFORMULA(REGEXMATCH(G254, split(B254, char(10)))), ""false"") = 0, ""Obtained"", true, ""Partial"")"),"Obtained")</f>
        <v>Obtained</v>
      </c>
      <c r="E254" s="9" t="s">
        <v>1948</v>
      </c>
      <c r="F254" s="9" t="s">
        <v>1908</v>
      </c>
      <c r="G254" s="31" t="str">
        <f>IFERROR(__xludf.DUMMYFUNCTION("if(len(E254) &gt; 0, join(char(10), FILTER(split(E254, char(10)), REGEXMATCH(split(E254, char(10)), PerkLineRegex))), """")"),"Sky Simulator (Personal Reality) 100:
Fly a Kite (Personal Reality) 100:")</f>
        <v>Sky Simulator (Personal Reality) 100:
Fly a Kite (Personal Reality) 100:</v>
      </c>
      <c r="H254" s="31" t="str">
        <f t="shared" si="2"/>
        <v>_
Chapter 99: 72 Cakewalk</v>
      </c>
    </row>
    <row r="255">
      <c r="A255" s="9" t="s">
        <v>91</v>
      </c>
      <c r="B255" s="9" t="s">
        <v>1949</v>
      </c>
      <c r="C255" s="9" t="s">
        <v>91</v>
      </c>
      <c r="D255" s="11" t="str">
        <f>IFERROR(__xludf.DUMMYFUNCTION("ifs(not(isna(MATCH(C255, ExcludedJumps, 0))), ""Excluded"", len(E255) = 0, ""Available"", REGEXMATCH(E255, RepeatableRegex), ""Repeatable"", countif(ARRAYFORMULA(REGEXMATCH(G255, split(B255, char(10)))), ""false"") = 0, ""Obtained"", true, ""Partial"")"),"Obtained")</f>
        <v>Obtained</v>
      </c>
      <c r="E255" s="9" t="s">
        <v>1950</v>
      </c>
      <c r="F255" s="9" t="s">
        <v>1883</v>
      </c>
      <c r="G255" s="31" t="str">
        <f>IFERROR(__xludf.DUMMYFUNCTION("if(len(E255) &gt; 0, join(char(10), FILTER(split(E255, char(10)), REGEXMATCH(split(E255, char(10)), PerkLineRegex))), """")"),"Shelving (Personal Reality) Free:
Storage Solutions (Personal Reality) 200:")</f>
        <v>Shelving (Personal Reality) Free:
Storage Solutions (Personal Reality) 200:</v>
      </c>
      <c r="H255" s="31" t="str">
        <f t="shared" si="2"/>
        <v>_
Chapter 81: 62 Summit Consensus</v>
      </c>
    </row>
    <row r="256">
      <c r="A256" s="9" t="s">
        <v>91</v>
      </c>
      <c r="B256" s="9" t="s">
        <v>1951</v>
      </c>
      <c r="C256" s="9" t="s">
        <v>91</v>
      </c>
      <c r="D256" s="11" t="str">
        <f>IFERROR(__xludf.DUMMYFUNCTION("ifs(not(isna(MATCH(C256, ExcludedJumps, 0))), ""Excluded"", len(E256) = 0, ""Available"", REGEXMATCH(E256, RepeatableRegex), ""Repeatable"", countif(ARRAYFORMULA(REGEXMATCH(G256, split(B256, char(10)))), ""false"") = 0, ""Obtained"", true, ""Partial"")"),"Partial")</f>
        <v>Partial</v>
      </c>
      <c r="E256" s="9" t="s">
        <v>1952</v>
      </c>
      <c r="F256" s="9" t="s">
        <v>201</v>
      </c>
      <c r="G256" s="31" t="str">
        <f>IFERROR(__xludf.DUMMYFUNCTION("if(len(E256) &gt; 0, join(char(10), FILTER(split(E256, char(10)), REGEXMATCH(split(E256, char(10)), PerkLineRegex))), """")"),"Temporal Controls (Personal Reality) 200:")</f>
        <v>Temporal Controls (Personal Reality) 200:</v>
      </c>
      <c r="H256" s="31" t="str">
        <f t="shared" si="2"/>
        <v>_</v>
      </c>
    </row>
    <row r="257">
      <c r="A257" s="9" t="s">
        <v>91</v>
      </c>
      <c r="B257" s="9" t="s">
        <v>1953</v>
      </c>
      <c r="C257" s="9" t="s">
        <v>91</v>
      </c>
      <c r="D257" s="11" t="str">
        <f>IFERROR(__xludf.DUMMYFUNCTION("ifs(not(isna(MATCH(C257, ExcludedJumps, 0))), ""Excluded"", len(E257) = 0, ""Available"", REGEXMATCH(E257, RepeatableRegex), ""Repeatable"", countif(ARRAYFORMULA(REGEXMATCH(G257, split(B257, char(10)))), ""false"") = 0, ""Obtained"", true, ""Partial"")"),"Available")</f>
        <v>Available</v>
      </c>
      <c r="E257" s="31"/>
      <c r="F257" s="31"/>
      <c r="G257" s="31" t="str">
        <f>IFERROR(__xludf.DUMMYFUNCTION("if(len(E257) &gt; 0, join(char(10), FILTER(split(E257, char(10)), REGEXMATCH(split(E257, char(10)), PerkLineRegex))), """")"),"")</f>
        <v/>
      </c>
      <c r="H257" s="31" t="str">
        <f t="shared" si="2"/>
        <v/>
      </c>
    </row>
    <row r="258">
      <c r="A258" s="9" t="s">
        <v>91</v>
      </c>
      <c r="B258" s="9" t="s">
        <v>1954</v>
      </c>
      <c r="C258" s="9" t="s">
        <v>91</v>
      </c>
      <c r="D258" s="11" t="str">
        <f>IFERROR(__xludf.DUMMYFUNCTION("ifs(not(isna(MATCH(C258, ExcludedJumps, 0))), ""Excluded"", len(E258) = 0, ""Available"", REGEXMATCH(E258, RepeatableRegex), ""Repeatable"", countif(ARRAYFORMULA(REGEXMATCH(G258, split(B258, char(10)))), ""false"") = 0, ""Obtained"", true, ""Partial"")"),"Obtained")</f>
        <v>Obtained</v>
      </c>
      <c r="E258" s="9" t="s">
        <v>1955</v>
      </c>
      <c r="F258" s="9" t="s">
        <v>1893</v>
      </c>
      <c r="G258" s="31" t="str">
        <f>IFERROR(__xludf.DUMMYFUNCTION("if(len(E258) &gt; 0, join(char(10), FILTER(split(E258, char(10)), REGEXMATCH(split(E258, char(10)), PerkLineRegex))), """")"),"The Pond (Personal Reality) 200:
The Meaning of Life (Personal Reality) 100:
The Pond-Expansion (Personal Reality) 50:")</f>
        <v>The Pond (Personal Reality) 200:
The Meaning of Life (Personal Reality) 100:
The Pond-Expansion (Personal Reality) 50:</v>
      </c>
      <c r="H258" s="31" t="str">
        <f t="shared" si="2"/>
        <v>_
Chapter 91: 67 Development Plans
Chapter 91: 67 Development Plans</v>
      </c>
    </row>
    <row r="259">
      <c r="A259" s="9" t="s">
        <v>91</v>
      </c>
      <c r="B259" s="9" t="s">
        <v>1956</v>
      </c>
      <c r="C259" s="9" t="s">
        <v>91</v>
      </c>
      <c r="D259" s="11" t="str">
        <f>IFERROR(__xludf.DUMMYFUNCTION("ifs(not(isna(MATCH(C259, ExcludedJumps, 0))), ""Excluded"", len(E259) = 0, ""Available"", REGEXMATCH(E259, RepeatableRegex), ""Repeatable"", countif(ARRAYFORMULA(REGEXMATCH(G259, split(B259, char(10)))), ""false"") = 0, ""Obtained"", true, ""Partial"")"),"Obtained")</f>
        <v>Obtained</v>
      </c>
      <c r="E259" s="9" t="s">
        <v>1957</v>
      </c>
      <c r="F259" s="9" t="s">
        <v>1893</v>
      </c>
      <c r="G259" s="31" t="str">
        <f>IFERROR(__xludf.DUMMYFUNCTION("if(len(E259) &gt; 0, join(char(10), FILTER(split(E259, char(10)), REGEXMATCH(split(E259, char(10)), PerkLineRegex))), """")"),"Treeline (Personal Reality) 200:
Wildlife (Personal Reality) 100:
The Village (Personal Reality) Free with Sky and Ground plus Trees or Pond on all four sides:")</f>
        <v>Treeline (Personal Reality) 200:
Wildlife (Personal Reality) 100:
The Village (Personal Reality) Free with Sky and Ground plus Trees or Pond on all four sides:</v>
      </c>
      <c r="H259" s="31" t="str">
        <f t="shared" si="2"/>
        <v>_
Chapter 130: 93 Loom and Thread
Chapter 130: 93 Loom and Thread</v>
      </c>
    </row>
    <row r="260">
      <c r="A260" s="9" t="s">
        <v>91</v>
      </c>
      <c r="B260" s="9" t="s">
        <v>1958</v>
      </c>
      <c r="C260" s="9" t="s">
        <v>91</v>
      </c>
      <c r="D260" s="11" t="str">
        <f>IFERROR(__xludf.DUMMYFUNCTION("ifs(not(isna(MATCH(C260, ExcludedJumps, 0))), ""Excluded"", len(E260) = 0, ""Available"", REGEXMATCH(E260, RepeatableRegex), ""Repeatable"", countif(ARRAYFORMULA(REGEXMATCH(G260, split(B260, char(10)))), ""false"") = 0, ""Obtained"", true, ""Partial"")"),"Obtained")</f>
        <v>Obtained</v>
      </c>
      <c r="E260" s="9" t="s">
        <v>1959</v>
      </c>
      <c r="F260" s="9" t="s">
        <v>201</v>
      </c>
      <c r="G260" s="31" t="str">
        <f>IFERROR(__xludf.DUMMYFUNCTION("if(len(E260) &gt; 0, join(char(10), FILTER(split(E260, char(10)), REGEXMATCH(split(E260, char(10)), PerkLineRegex))), """")"),"Trophy Room (Personal Reality) 50:")</f>
        <v>Trophy Room (Personal Reality) 50:</v>
      </c>
      <c r="H260" s="31" t="str">
        <f t="shared" si="2"/>
        <v>_</v>
      </c>
    </row>
    <row r="261">
      <c r="A261" s="9" t="s">
        <v>91</v>
      </c>
      <c r="B261" s="9" t="s">
        <v>1960</v>
      </c>
      <c r="C261" s="9" t="s">
        <v>91</v>
      </c>
      <c r="D261" s="11" t="str">
        <f>IFERROR(__xludf.DUMMYFUNCTION("ifs(not(isna(MATCH(C261, ExcludedJumps, 0))), ""Excluded"", len(E261) = 0, ""Available"", REGEXMATCH(E261, RepeatableRegex), ""Repeatable"", countif(ARRAYFORMULA(REGEXMATCH(G261, split(B261, char(10)))), ""false"") = 0, ""Obtained"", true, ""Partial"")"),"Available")</f>
        <v>Available</v>
      </c>
      <c r="E261" s="31"/>
      <c r="F261" s="31"/>
      <c r="G261" s="31" t="str">
        <f>IFERROR(__xludf.DUMMYFUNCTION("if(len(E261) &gt; 0, join(char(10), FILTER(split(E261, char(10)), REGEXMATCH(split(E261, char(10)), PerkLineRegex))), """")"),"")</f>
        <v/>
      </c>
      <c r="H261" s="31" t="str">
        <f t="shared" si="2"/>
        <v/>
      </c>
    </row>
    <row r="262">
      <c r="A262" s="9" t="s">
        <v>91</v>
      </c>
      <c r="B262" s="9" t="s">
        <v>1961</v>
      </c>
      <c r="C262" s="9" t="s">
        <v>91</v>
      </c>
      <c r="D262" s="11" t="str">
        <f>IFERROR(__xludf.DUMMYFUNCTION("ifs(not(isna(MATCH(C262, ExcludedJumps, 0))), ""Excluded"", len(E262) = 0, ""Available"", REGEXMATCH(E262, RepeatableRegex), ""Repeatable"", countif(ARRAYFORMULA(REGEXMATCH(G262, split(B262, char(10)))), ""false"") = 0, ""Obtained"", true, ""Partial"")"),"Partial")</f>
        <v>Partial</v>
      </c>
      <c r="E262" s="9" t="s">
        <v>1962</v>
      </c>
      <c r="F262" s="9" t="s">
        <v>1908</v>
      </c>
      <c r="G262" s="31" t="str">
        <f>IFERROR(__xludf.DUMMYFUNCTION("if(len(E262) &gt; 0, join(char(10), FILTER(split(E262, char(10)), REGEXMATCH(split(E262, char(10)), PerkLineRegex))), """")"),"Who’s Got the Powa (Personal Reality) 100:
POWER OVERWHELMING (Personal Reality) 400:")</f>
        <v>Who’s Got the Powa (Personal Reality) 100:
POWER OVERWHELMING (Personal Reality) 400:</v>
      </c>
      <c r="H262" s="31" t="str">
        <f t="shared" si="2"/>
        <v>_
Chapter 104: 75 Wind Down</v>
      </c>
    </row>
    <row r="263">
      <c r="A263" s="9" t="s">
        <v>91</v>
      </c>
      <c r="B263" s="9" t="s">
        <v>1963</v>
      </c>
      <c r="C263" s="9" t="s">
        <v>91</v>
      </c>
      <c r="D263" s="11" t="str">
        <f>IFERROR(__xludf.DUMMYFUNCTION("ifs(not(isna(MATCH(C263, ExcludedJumps, 0))), ""Excluded"", len(E263) = 0, ""Available"", REGEXMATCH(E263, RepeatableRegex), ""Repeatable"", countif(ARRAYFORMULA(REGEXMATCH(G263, split(B263, char(10)))), ""false"") = 0, ""Obtained"", true, ""Partial"")"),"Partial")</f>
        <v>Partial</v>
      </c>
      <c r="E263" s="9" t="s">
        <v>1964</v>
      </c>
      <c r="F263" s="9" t="s">
        <v>201</v>
      </c>
      <c r="G263" s="31" t="str">
        <f>IFERROR(__xludf.DUMMYFUNCTION("if(len(E263) &gt; 0, join(char(10), FILTER(split(E263, char(10)), REGEXMATCH(split(E263, char(10)), PerkLineRegex))), """")"),"Windows (Personal Reality) 50:")</f>
        <v>Windows (Personal Reality) 50:</v>
      </c>
      <c r="H263" s="31" t="str">
        <f t="shared" si="2"/>
        <v>_</v>
      </c>
    </row>
    <row r="264">
      <c r="A264" s="9" t="s">
        <v>91</v>
      </c>
      <c r="B264" s="9" t="s">
        <v>134</v>
      </c>
      <c r="C264" s="9" t="s">
        <v>91</v>
      </c>
      <c r="D264" s="11" t="str">
        <f>IFERROR(__xludf.DUMMYFUNCTION("ifs(not(isna(MATCH(C264, ExcludedJumps, 0))), ""Excluded"", len(E264) = 0, ""Available"", REGEXMATCH(E264, RepeatableRegex), ""Repeatable"", countif(ARRAYFORMULA(REGEXMATCH(G264, split(B264, char(10)))), ""false"") = 0, ""Obtained"", true, ""Partial"")"),"Repeatable")</f>
        <v>Repeatable</v>
      </c>
      <c r="E264" s="9" t="s">
        <v>1965</v>
      </c>
      <c r="F264" s="9" t="s">
        <v>1966</v>
      </c>
      <c r="G264" s="31" t="str">
        <f>IFERROR(__xludf.DUMMYFUNCTION("if(len(E264) &gt; 0, join(char(10), FILTER(split(E264, char(10)), REGEXMATCH(split(E264, char(10)), PerkLineRegex))), """")"),"Workshop: Metalworking (Personal Reality) 100:
Workshop: Woodworking (Personal Reality) 100:
Workshop: Clothing (Personal Reality) 100:
Workshop: Electronics  (Personal Reality) 100:
Workshop: Robotics (Personal Reality) 100:")</f>
        <v>Workshop: Metalworking (Personal Reality) 100:
Workshop: Woodworking (Personal Reality) 100:
Workshop: Clothing (Personal Reality) 100:
Workshop: Electronics  (Personal Reality) 100:
Workshop: Robotics (Personal Reality) 100:</v>
      </c>
      <c r="H264" s="31" t="str">
        <f t="shared" si="2"/>
        <v>_
_
_
_
_</v>
      </c>
    </row>
    <row r="265">
      <c r="A265" s="9" t="s">
        <v>663</v>
      </c>
      <c r="B265" s="9" t="s">
        <v>1967</v>
      </c>
      <c r="C265" s="9" t="s">
        <v>1968</v>
      </c>
      <c r="D265" s="11" t="str">
        <f>IFERROR(__xludf.DUMMYFUNCTION("ifs(not(isna(MATCH(C265, ExcludedJumps, 0))), ""Excluded"", len(E265) = 0, ""Available"", REGEXMATCH(E265, RepeatableRegex), ""Repeatable"", countif(ARRAYFORMULA(REGEXMATCH(G265, split(B265, char(10)))), ""false"") = 0, ""Obtained"", true, ""Partial"")"),"Excluded")</f>
        <v>Excluded</v>
      </c>
      <c r="E265" s="31"/>
      <c r="F265" s="31"/>
      <c r="G265" s="31" t="str">
        <f>IFERROR(__xludf.DUMMYFUNCTION("if(len(E265) &gt; 0, join(char(10), FILTER(split(E265, char(10)), REGEXMATCH(split(E265, char(10)), PerkLineRegex))), """")"),"")</f>
        <v/>
      </c>
      <c r="H265" s="31" t="str">
        <f t="shared" si="2"/>
        <v/>
      </c>
    </row>
    <row r="266">
      <c r="A266" s="9" t="s">
        <v>663</v>
      </c>
      <c r="B266" s="9" t="s">
        <v>1969</v>
      </c>
      <c r="C266" s="9" t="s">
        <v>1968</v>
      </c>
      <c r="D266" s="11" t="str">
        <f>IFERROR(__xludf.DUMMYFUNCTION("ifs(not(isna(MATCH(C266, ExcludedJumps, 0))), ""Excluded"", len(E266) = 0, ""Available"", REGEXMATCH(E266, RepeatableRegex), ""Repeatable"", countif(ARRAYFORMULA(REGEXMATCH(G266, split(B266, char(10)))), ""false"") = 0, ""Obtained"", true, ""Partial"")"),"Excluded")</f>
        <v>Excluded</v>
      </c>
      <c r="E266" s="31"/>
      <c r="F266" s="31"/>
      <c r="G266" s="31" t="str">
        <f>IFERROR(__xludf.DUMMYFUNCTION("if(len(E266) &gt; 0, join(char(10), FILTER(split(E266, char(10)), REGEXMATCH(split(E266, char(10)), PerkLineRegex))), """")"),"")</f>
        <v/>
      </c>
      <c r="H266" s="31" t="str">
        <f t="shared" si="2"/>
        <v/>
      </c>
    </row>
    <row r="267">
      <c r="A267" s="9" t="s">
        <v>663</v>
      </c>
      <c r="B267" s="9" t="s">
        <v>1970</v>
      </c>
      <c r="C267" s="9" t="s">
        <v>1128</v>
      </c>
      <c r="D267" s="11" t="str">
        <f>IFERROR(__xludf.DUMMYFUNCTION("ifs(not(isna(MATCH(C267, ExcludedJumps, 0))), ""Excluded"", len(E267) = 0, ""Available"", REGEXMATCH(E267, RepeatableRegex), ""Repeatable"", countif(ARRAYFORMULA(REGEXMATCH(G267, split(B267, char(10)))), ""false"") = 0, ""Obtained"", true, ""Partial"")"),"Obtained")</f>
        <v>Obtained</v>
      </c>
      <c r="E267" s="9" t="s">
        <v>1971</v>
      </c>
      <c r="F267" s="9" t="s">
        <v>1972</v>
      </c>
      <c r="G267" s="31" t="str">
        <f>IFERROR(__xludf.DUMMYFUNCTION("if(len(E267) &gt; 0, join(char(10), FILTER(split(E267, char(10)), REGEXMATCH(split(E267, char(10)), PerkLineRegex))), """")"),"Incredibly Craftsmanship (Akame ga Kill) 600:
General Level Potential (Akame ga Kill) Free:
Perfect Hair (Akame ga Kill) Free:
Imperial Arms/Teigu (Akame ga Kill) Free:
Simple Sturdy Weapon (Akame ga Kill) Free:")</f>
        <v>Incredibly Craftsmanship (Akame ga Kill) 600:
General Level Potential (Akame ga Kill) Free:
Perfect Hair (Akame ga Kill) Free:
Imperial Arms/Teigu (Akame ga Kill) Free:
Simple Sturdy Weapon (Akame ga Kill) Free:</v>
      </c>
      <c r="H267" s="31" t="str">
        <f t="shared" si="2"/>
        <v>_
Chapter 104: 75 Wind Down
Chapter 104: 75 Wind Down
Chapter 104: 75 Wind Down
Chapter 104: 75 Wind Down</v>
      </c>
    </row>
    <row r="268">
      <c r="A268" s="9" t="s">
        <v>663</v>
      </c>
      <c r="B268" s="9" t="s">
        <v>1973</v>
      </c>
      <c r="C268" s="9" t="s">
        <v>1974</v>
      </c>
      <c r="D268" s="11" t="str">
        <f>IFERROR(__xludf.DUMMYFUNCTION("ifs(not(isna(MATCH(C268, ExcludedJumps, 0))), ""Excluded"", len(E268) = 0, ""Available"", REGEXMATCH(E268, RepeatableRegex), ""Repeatable"", countif(ARRAYFORMULA(REGEXMATCH(G268, split(B268, char(10)))), ""false"") = 0, ""Obtained"", true, ""Partial"")"),"Excluded")</f>
        <v>Excluded</v>
      </c>
      <c r="E268" s="31"/>
      <c r="F268" s="31"/>
      <c r="G268" s="31" t="str">
        <f>IFERROR(__xludf.DUMMYFUNCTION("if(len(E268) &gt; 0, join(char(10), FILTER(split(E268, char(10)), REGEXMATCH(split(E268, char(10)), PerkLineRegex))), """")"),"")</f>
        <v/>
      </c>
      <c r="H268" s="31" t="str">
        <f t="shared" si="2"/>
        <v/>
      </c>
    </row>
    <row r="269">
      <c r="A269" s="9" t="s">
        <v>663</v>
      </c>
      <c r="B269" s="9" t="s">
        <v>1975</v>
      </c>
      <c r="C269" s="9" t="s">
        <v>664</v>
      </c>
      <c r="D269" s="11" t="str">
        <f>IFERROR(__xludf.DUMMYFUNCTION("ifs(not(isna(MATCH(C269, ExcludedJumps, 0))), ""Excluded"", len(E269) = 0, ""Available"", REGEXMATCH(E269, RepeatableRegex), ""Repeatable"", countif(ARRAYFORMULA(REGEXMATCH(G269, split(B269, char(10)))), ""false"") = 0, ""Obtained"", true, ""Partial"")"),"Obtained")</f>
        <v>Obtained</v>
      </c>
      <c r="E269" s="9" t="s">
        <v>1976</v>
      </c>
      <c r="F269" s="9" t="s">
        <v>1977</v>
      </c>
      <c r="G269" s="31" t="str">
        <f>IFERROR(__xludf.DUMMYFUNCTION("if(len(E269) &gt; 0, join(char(10), FILTER(split(E269, char(10)), REGEXMATCH(split(E269, char(10)), PerkLineRegex))), """")"),"Aesthetics and Flair (Bayonetta) 100:
Inexplicable Innuendo (Bayonetta) Free:
Classy Contortionist (Bayonetta) Free:")</f>
        <v>Aesthetics and Flair (Bayonetta) 100:
Inexplicable Innuendo (Bayonetta) Free:
Classy Contortionist (Bayonetta) Free:</v>
      </c>
      <c r="H269" s="31" t="str">
        <f t="shared" si="2"/>
        <v>_
Chapter 45: 38 Build Up - Preamble Leet - Addendum Rey
Chapter 45: 38 Build Up - Preamble Leet - Addendum Rey</v>
      </c>
    </row>
    <row r="270">
      <c r="A270" s="9" t="s">
        <v>663</v>
      </c>
      <c r="B270" s="9" t="s">
        <v>1789</v>
      </c>
      <c r="C270" s="9" t="s">
        <v>1544</v>
      </c>
      <c r="D270" s="11" t="str">
        <f>IFERROR(__xludf.DUMMYFUNCTION("ifs(not(isna(MATCH(C270, ExcludedJumps, 0))), ""Excluded"", len(E270) = 0, ""Available"", REGEXMATCH(E270, RepeatableRegex), ""Repeatable"", countif(ARRAYFORMULA(REGEXMATCH(G270, split(B270, char(10)))), ""false"") = 0, ""Obtained"", true, ""Partial"")"),"Obtained")</f>
        <v>Obtained</v>
      </c>
      <c r="E270" s="9" t="s">
        <v>1790</v>
      </c>
      <c r="F270" s="9" t="s">
        <v>1791</v>
      </c>
      <c r="G270" s="31" t="str">
        <f>IFERROR(__xludf.DUMMYFUNCTION("if(len(E270) &gt; 0, join(char(10), FILTER(split(E270, char(10)), REGEXMATCH(split(E270, char(10)), PerkLineRegex))), """")"),"Glove of the East (Binbougami Ga!) 300:
Deadbeat Holiday (Binbougami Ga!) Free:")</f>
        <v>Glove of the East (Binbougami Ga!) 300:
Deadbeat Holiday (Binbougami Ga!) Free:</v>
      </c>
      <c r="H270" s="31" t="str">
        <f t="shared" si="2"/>
        <v>_
Chapter 111: 80 Analysis and Reflections</v>
      </c>
    </row>
    <row r="271">
      <c r="A271" s="9" t="s">
        <v>663</v>
      </c>
      <c r="B271" s="9" t="s">
        <v>1978</v>
      </c>
      <c r="C271" s="9" t="s">
        <v>409</v>
      </c>
      <c r="D271" s="11" t="str">
        <f>IFERROR(__xludf.DUMMYFUNCTION("ifs(not(isna(MATCH(C271, ExcludedJumps, 0))), ""Excluded"", len(E271) = 0, ""Available"", REGEXMATCH(E271, RepeatableRegex), ""Repeatable"", countif(ARRAYFORMULA(REGEXMATCH(G271, split(B271, char(10)))), ""false"") = 0, ""Obtained"", true, ""Partial"")"),"Obtained")</f>
        <v>Obtained</v>
      </c>
      <c r="E271" s="9" t="s">
        <v>1979</v>
      </c>
      <c r="F271" s="9" t="s">
        <v>1846</v>
      </c>
      <c r="G271" s="31" t="str">
        <f>IFERROR(__xludf.DUMMYFUNCTION("if(len(E271) &gt; 0, join(char(10), FILTER(split(E271, char(10)), REGEXMATCH(split(E271, char(10)), PerkLineRegex))), """")"),"Mechanical Master (Borderlands) 400:
ECHO device with HUD and a melee weapon (Borderlands) Free:
Ammunition Vending Machine (Borderlands) Free:")</f>
        <v>Mechanical Master (Borderlands) 400:
ECHO device with HUD and a melee weapon (Borderlands) Free:
Ammunition Vending Machine (Borderlands) Free:</v>
      </c>
      <c r="H271" s="31" t="str">
        <f t="shared" si="2"/>
        <v>_
Chapter 73: 57 Crunch Time
Chapter 73: 57 Crunch Time</v>
      </c>
    </row>
    <row r="272">
      <c r="A272" s="9" t="s">
        <v>663</v>
      </c>
      <c r="B272" s="9" t="s">
        <v>1605</v>
      </c>
      <c r="C272" s="9" t="s">
        <v>417</v>
      </c>
      <c r="D272" s="11" t="str">
        <f>IFERROR(__xludf.DUMMYFUNCTION("ifs(not(isna(MATCH(C272, ExcludedJumps, 0))), ""Excluded"", len(E272) = 0, ""Available"", REGEXMATCH(E272, RepeatableRegex), ""Repeatable"", countif(ARRAYFORMULA(REGEXMATCH(G272, split(B272, char(10)))), ""false"") = 0, ""Obtained"", true, ""Partial"")"),"Obtained")</f>
        <v>Obtained</v>
      </c>
      <c r="E272" s="9" t="s">
        <v>1980</v>
      </c>
      <c r="F272" s="9" t="s">
        <v>203</v>
      </c>
      <c r="G272" s="31" t="str">
        <f>IFERROR(__xludf.DUMMYFUNCTION("if(len(E272) &gt; 0, join(char(10), FILTER(split(E272, char(10)), REGEXMATCH(split(E272, char(10)), PerkLineRegex))), """")"),"Tailor Made (Career Model) 100:")</f>
        <v>Tailor Made (Career Model) 100:</v>
      </c>
      <c r="H272" s="31" t="str">
        <f t="shared" si="2"/>
        <v>_</v>
      </c>
    </row>
    <row r="273">
      <c r="A273" s="9" t="s">
        <v>663</v>
      </c>
      <c r="B273" s="9" t="s">
        <v>1981</v>
      </c>
      <c r="C273" s="9" t="s">
        <v>84</v>
      </c>
      <c r="D273" s="11" t="str">
        <f>IFERROR(__xludf.DUMMYFUNCTION("ifs(not(isna(MATCH(C273, ExcludedJumps, 0))), ""Excluded"", len(E273) = 0, ""Available"", REGEXMATCH(E273, RepeatableRegex), ""Repeatable"", countif(ARRAYFORMULA(REGEXMATCH(G273, split(B273, char(10)))), ""false"") = 0, ""Obtained"", true, ""Partial"")"),"Obtained")</f>
        <v>Obtained</v>
      </c>
      <c r="E273" s="9" t="s">
        <v>1982</v>
      </c>
      <c r="F273" s="9" t="s">
        <v>213</v>
      </c>
      <c r="G273" s="31" t="str">
        <f>IFERROR(__xludf.DUMMYFUNCTION("if(len(E273) &gt; 0, join(char(10), FILTER(split(E273, char(10)), REGEXMATCH(split(E273, char(10)), PerkLineRegex))), """")"),"Lathe of Heaven (Chrono Trigger) 400:")</f>
        <v>Lathe of Heaven (Chrono Trigger) 400:</v>
      </c>
      <c r="H273" s="31" t="str">
        <f t="shared" si="2"/>
        <v>_</v>
      </c>
    </row>
    <row r="274">
      <c r="A274" s="9" t="s">
        <v>663</v>
      </c>
      <c r="B274" s="9" t="s">
        <v>1983</v>
      </c>
      <c r="C274" s="9" t="s">
        <v>1803</v>
      </c>
      <c r="D274" s="11" t="str">
        <f>IFERROR(__xludf.DUMMYFUNCTION("ifs(not(isna(MATCH(C274, ExcludedJumps, 0))), ""Excluded"", len(E274) = 0, ""Available"", REGEXMATCH(E274, RepeatableRegex), ""Repeatable"", countif(ARRAYFORMULA(REGEXMATCH(G274, split(B274, char(10)))), ""false"") = 0, ""Obtained"", true, ""Partial"")"),"Excluded")</f>
        <v>Excluded</v>
      </c>
      <c r="E274" s="31"/>
      <c r="F274" s="31"/>
      <c r="G274" s="31" t="str">
        <f>IFERROR(__xludf.DUMMYFUNCTION("if(len(E274) &gt; 0, join(char(10), FILTER(split(E274, char(10)), REGEXMATCH(split(E274, char(10)), PerkLineRegex))), """")"),"")</f>
        <v/>
      </c>
      <c r="H274" s="31" t="str">
        <f t="shared" si="2"/>
        <v/>
      </c>
    </row>
    <row r="275">
      <c r="A275" s="9" t="s">
        <v>663</v>
      </c>
      <c r="B275" s="9" t="s">
        <v>1804</v>
      </c>
      <c r="C275" s="9" t="s">
        <v>1805</v>
      </c>
      <c r="D275" s="11" t="str">
        <f>IFERROR(__xludf.DUMMYFUNCTION("ifs(not(isna(MATCH(C275, ExcludedJumps, 0))), ""Excluded"", len(E275) = 0, ""Available"", REGEXMATCH(E275, RepeatableRegex), ""Repeatable"", countif(ARRAYFORMULA(REGEXMATCH(G275, split(B275, char(10)))), ""false"") = 0, ""Obtained"", true, ""Partial"")"),"Excluded")</f>
        <v>Excluded</v>
      </c>
      <c r="E275" s="31"/>
      <c r="F275" s="31"/>
      <c r="G275" s="31" t="str">
        <f>IFERROR(__xludf.DUMMYFUNCTION("if(len(E275) &gt; 0, join(char(10), FILTER(split(E275, char(10)), REGEXMATCH(split(E275, char(10)), PerkLineRegex))), """")"),"")</f>
        <v/>
      </c>
      <c r="H275" s="31" t="str">
        <f t="shared" si="2"/>
        <v/>
      </c>
    </row>
    <row r="276">
      <c r="A276" s="9" t="s">
        <v>663</v>
      </c>
      <c r="B276" s="9" t="s">
        <v>1808</v>
      </c>
      <c r="C276" s="9" t="s">
        <v>1807</v>
      </c>
      <c r="D276" s="11" t="str">
        <f>IFERROR(__xludf.DUMMYFUNCTION("ifs(not(isna(MATCH(C276, ExcludedJumps, 0))), ""Excluded"", len(E276) = 0, ""Available"", REGEXMATCH(E276, RepeatableRegex), ""Repeatable"", countif(ARRAYFORMULA(REGEXMATCH(G276, split(B276, char(10)))), ""false"") = 0, ""Obtained"", true, ""Partial"")"),"Excluded")</f>
        <v>Excluded</v>
      </c>
      <c r="E276" s="31"/>
      <c r="F276" s="31"/>
      <c r="G276" s="31" t="str">
        <f>IFERROR(__xludf.DUMMYFUNCTION("if(len(E276) &gt; 0, join(char(10), FILTER(split(E276, char(10)), REGEXMATCH(split(E276, char(10)), PerkLineRegex))), """")"),"")</f>
        <v/>
      </c>
      <c r="H276" s="31" t="str">
        <f t="shared" si="2"/>
        <v/>
      </c>
    </row>
    <row r="277">
      <c r="A277" s="9" t="s">
        <v>663</v>
      </c>
      <c r="B277" s="9" t="s">
        <v>1984</v>
      </c>
      <c r="C277" s="9" t="s">
        <v>1985</v>
      </c>
      <c r="D277" s="11" t="str">
        <f>IFERROR(__xludf.DUMMYFUNCTION("ifs(not(isna(MATCH(C277, ExcludedJumps, 0))), ""Excluded"", len(E277) = 0, ""Available"", REGEXMATCH(E277, RepeatableRegex), ""Repeatable"", countif(ARRAYFORMULA(REGEXMATCH(G277, split(B277, char(10)))), ""false"") = 0, ""Obtained"", true, ""Partial"")"),"Excluded")</f>
        <v>Excluded</v>
      </c>
      <c r="E277" s="31"/>
      <c r="F277" s="31"/>
      <c r="G277" s="31" t="str">
        <f>IFERROR(__xludf.DUMMYFUNCTION("if(len(E277) &gt; 0, join(char(10), FILTER(split(E277, char(10)), REGEXMATCH(split(E277, char(10)), PerkLineRegex))), """")"),"")</f>
        <v/>
      </c>
      <c r="H277" s="31" t="str">
        <f t="shared" si="2"/>
        <v/>
      </c>
    </row>
    <row r="278">
      <c r="A278" s="9" t="s">
        <v>663</v>
      </c>
      <c r="B278" s="9" t="s">
        <v>1986</v>
      </c>
      <c r="C278" s="9" t="s">
        <v>1987</v>
      </c>
      <c r="D278" s="11" t="str">
        <f>IFERROR(__xludf.DUMMYFUNCTION("ifs(not(isna(MATCH(C278, ExcludedJumps, 0))), ""Excluded"", len(E278) = 0, ""Available"", REGEXMATCH(E278, RepeatableRegex), ""Repeatable"", countif(ARRAYFORMULA(REGEXMATCH(G278, split(B278, char(10)))), ""false"") = 0, ""Obtained"", true, ""Partial"")"),"Excluded")</f>
        <v>Excluded</v>
      </c>
      <c r="E278" s="31"/>
      <c r="F278" s="31"/>
      <c r="G278" s="31" t="str">
        <f>IFERROR(__xludf.DUMMYFUNCTION("if(len(E278) &gt; 0, join(char(10), FILTER(split(E278, char(10)), REGEXMATCH(split(E278, char(10)), PerkLineRegex))), """")"),"")</f>
        <v/>
      </c>
      <c r="H278" s="31" t="str">
        <f t="shared" si="2"/>
        <v/>
      </c>
    </row>
    <row r="279">
      <c r="A279" s="9" t="s">
        <v>663</v>
      </c>
      <c r="B279" s="9" t="s">
        <v>1988</v>
      </c>
      <c r="C279" s="9" t="s">
        <v>491</v>
      </c>
      <c r="D279" s="11" t="str">
        <f>IFERROR(__xludf.DUMMYFUNCTION("ifs(not(isna(MATCH(C279, ExcludedJumps, 0))), ""Excluded"", len(E279) = 0, ""Available"", REGEXMATCH(E279, RepeatableRegex), ""Repeatable"", countif(ARRAYFORMULA(REGEXMATCH(G279, split(B279, char(10)))), ""false"") = 0, ""Obtained"", true, ""Partial"")"),"Obtained")</f>
        <v>Obtained</v>
      </c>
      <c r="E279" s="9" t="s">
        <v>1989</v>
      </c>
      <c r="F279" s="9" t="s">
        <v>203</v>
      </c>
      <c r="G279" s="31" t="str">
        <f>IFERROR(__xludf.DUMMYFUNCTION("if(len(E279) &gt; 0, join(char(10), FILTER(split(E279, char(10)), REGEXMATCH(split(E279, char(10)), PerkLineRegex))), """")"),"Do One Thing At A Time (Dinotopia) 300:")</f>
        <v>Do One Thing At A Time (Dinotopia) 300:</v>
      </c>
      <c r="H279" s="31" t="str">
        <f t="shared" si="2"/>
        <v>_</v>
      </c>
    </row>
    <row r="280">
      <c r="A280" s="9" t="s">
        <v>663</v>
      </c>
      <c r="B280" s="9" t="s">
        <v>1990</v>
      </c>
      <c r="C280" s="9" t="s">
        <v>1991</v>
      </c>
      <c r="D280" s="11" t="str">
        <f>IFERROR(__xludf.DUMMYFUNCTION("ifs(not(isna(MATCH(C280, ExcludedJumps, 0))), ""Excluded"", len(E280) = 0, ""Available"", REGEXMATCH(E280, RepeatableRegex), ""Repeatable"", countif(ARRAYFORMULA(REGEXMATCH(G280, split(B280, char(10)))), ""false"") = 0, ""Obtained"", true, ""Partial"")"),"Excluded")</f>
        <v>Excluded</v>
      </c>
      <c r="E280" s="31"/>
      <c r="F280" s="31"/>
      <c r="G280" s="31" t="str">
        <f>IFERROR(__xludf.DUMMYFUNCTION("if(len(E280) &gt; 0, join(char(10), FILTER(split(E280, char(10)), REGEXMATCH(split(E280, char(10)), PerkLineRegex))), """")"),"")</f>
        <v/>
      </c>
      <c r="H280" s="31" t="str">
        <f t="shared" si="2"/>
        <v/>
      </c>
    </row>
    <row r="281">
      <c r="A281" s="9" t="s">
        <v>663</v>
      </c>
      <c r="B281" s="9" t="s">
        <v>1992</v>
      </c>
      <c r="C281" s="9" t="s">
        <v>290</v>
      </c>
      <c r="D281" s="11" t="str">
        <f>IFERROR(__xludf.DUMMYFUNCTION("ifs(not(isna(MATCH(C281, ExcludedJumps, 0))), ""Excluded"", len(E281) = 0, ""Available"", REGEXMATCH(E281, RepeatableRegex), ""Repeatable"", countif(ARRAYFORMULA(REGEXMATCH(G281, split(B281, char(10)))), ""false"") = 0, ""Obtained"", true, ""Partial"")"),"Obtained")</f>
        <v>Obtained</v>
      </c>
      <c r="E281" s="9" t="s">
        <v>1993</v>
      </c>
      <c r="F281" s="9" t="s">
        <v>211</v>
      </c>
      <c r="G281" s="31" t="str">
        <f>IFERROR(__xludf.DUMMYFUNCTION("if(len(E281) &gt; 0, join(char(10), FILTER(split(E281, char(10)), REGEXMATCH(split(E281, char(10)), PerkLineRegex))), """")"),"Decadence (Dune) 100:")</f>
        <v>Decadence (Dune) 100:</v>
      </c>
      <c r="H281" s="31" t="str">
        <f t="shared" si="2"/>
        <v>_</v>
      </c>
    </row>
    <row r="282">
      <c r="A282" s="9" t="s">
        <v>663</v>
      </c>
      <c r="B282" s="9" t="s">
        <v>1812</v>
      </c>
      <c r="C282" s="9" t="s">
        <v>811</v>
      </c>
      <c r="D282" s="11" t="str">
        <f>IFERROR(__xludf.DUMMYFUNCTION("ifs(not(isna(MATCH(C282, ExcludedJumps, 0))), ""Excluded"", len(E282) = 0, ""Available"", REGEXMATCH(E282, RepeatableRegex), ""Repeatable"", countif(ARRAYFORMULA(REGEXMATCH(G282, split(B282, char(10)))), ""false"") = 0, ""Obtained"", true, ""Partial"")"),"Obtained")</f>
        <v>Obtained</v>
      </c>
      <c r="E282" s="9" t="s">
        <v>1813</v>
      </c>
      <c r="F282" s="9" t="s">
        <v>1814</v>
      </c>
      <c r="G282" s="31" t="str">
        <f>IFERROR(__xludf.DUMMYFUNCTION("if(len(E282) &gt; 0, join(char(10), FILTER(split(E282, char(10)), REGEXMATCH(split(E282, char(10)), PerkLineRegex))), """")"),"Feel It Out (F.E.A.R.) 600:
Paxton Fettel(F.E.A.R.) Free:
Synchronicity Event (F.E.A.R.) 300:
")</f>
        <v>Feel It Out (F.E.A.R.) 600:
Paxton Fettel(F.E.A.R.) Free:
Synchronicity Event (F.E.A.R.) 300:
</v>
      </c>
      <c r="H282" s="31" t="str">
        <f t="shared" si="2"/>
        <v>_
Chapter 73: 57 Crunch Time
_</v>
      </c>
    </row>
    <row r="283">
      <c r="A283" s="9" t="s">
        <v>663</v>
      </c>
      <c r="B283" s="9" t="s">
        <v>1994</v>
      </c>
      <c r="C283" s="9" t="s">
        <v>1638</v>
      </c>
      <c r="D283" s="11" t="str">
        <f>IFERROR(__xludf.DUMMYFUNCTION("ifs(not(isna(MATCH(C283, ExcludedJumps, 0))), ""Excluded"", len(E283) = 0, ""Available"", REGEXMATCH(E283, RepeatableRegex), ""Repeatable"", countif(ARRAYFORMULA(REGEXMATCH(G283, split(B283, char(10)))), ""false"") = 0, ""Obtained"", true, ""Partial"")"),"Excluded")</f>
        <v>Excluded</v>
      </c>
      <c r="E283" s="31"/>
      <c r="F283" s="31"/>
      <c r="G283" s="31" t="str">
        <f>IFERROR(__xludf.DUMMYFUNCTION("if(len(E283) &gt; 0, join(char(10), FILTER(split(E283, char(10)), REGEXMATCH(split(E283, char(10)), PerkLineRegex))), """")"),"")</f>
        <v/>
      </c>
      <c r="H283" s="31" t="str">
        <f t="shared" si="2"/>
        <v/>
      </c>
    </row>
    <row r="284">
      <c r="A284" s="9" t="s">
        <v>663</v>
      </c>
      <c r="B284" s="9" t="s">
        <v>1995</v>
      </c>
      <c r="C284" s="9" t="s">
        <v>1638</v>
      </c>
      <c r="D284" s="11" t="str">
        <f>IFERROR(__xludf.DUMMYFUNCTION("ifs(not(isna(MATCH(C284, ExcludedJumps, 0))), ""Excluded"", len(E284) = 0, ""Available"", REGEXMATCH(E284, RepeatableRegex), ""Repeatable"", countif(ARRAYFORMULA(REGEXMATCH(G284, split(B284, char(10)))), ""false"") = 0, ""Obtained"", true, ""Partial"")"),"Excluded")</f>
        <v>Excluded</v>
      </c>
      <c r="E284" s="31"/>
      <c r="F284" s="31"/>
      <c r="G284" s="31" t="str">
        <f>IFERROR(__xludf.DUMMYFUNCTION("if(len(E284) &gt; 0, join(char(10), FILTER(split(E284, char(10)), REGEXMATCH(split(E284, char(10)), PerkLineRegex))), """")"),"")</f>
        <v/>
      </c>
      <c r="H284" s="31" t="str">
        <f t="shared" si="2"/>
        <v/>
      </c>
    </row>
    <row r="285">
      <c r="A285" s="9" t="s">
        <v>663</v>
      </c>
      <c r="B285" s="9" t="s">
        <v>1996</v>
      </c>
      <c r="C285" s="9" t="s">
        <v>365</v>
      </c>
      <c r="D285" s="11" t="str">
        <f>IFERROR(__xludf.DUMMYFUNCTION("ifs(not(isna(MATCH(C285, ExcludedJumps, 0))), ""Excluded"", len(E285) = 0, ""Available"", REGEXMATCH(E285, RepeatableRegex), ""Repeatable"", countif(ARRAYFORMULA(REGEXMATCH(G285, split(B285, char(10)))), ""false"") = 0, ""Obtained"", true, ""Partial"")"),"Obtained")</f>
        <v>Obtained</v>
      </c>
      <c r="E285" s="9" t="s">
        <v>1997</v>
      </c>
      <c r="F285" s="9" t="s">
        <v>203</v>
      </c>
      <c r="G285" s="31" t="str">
        <f>IFERROR(__xludf.DUMMYFUNCTION("if(len(E285) &gt; 0, join(char(10), FILTER(split(E285, char(10)), REGEXMATCH(split(E285, char(10)), PerkLineRegex))), """")"),"Beauty in the Arts (God of War) 200:")</f>
        <v>Beauty in the Arts (God of War) 200:</v>
      </c>
      <c r="H285" s="31" t="str">
        <f t="shared" si="2"/>
        <v>_</v>
      </c>
    </row>
    <row r="286">
      <c r="A286" s="9" t="s">
        <v>663</v>
      </c>
      <c r="B286" s="9" t="s">
        <v>1998</v>
      </c>
      <c r="C286" s="9" t="s">
        <v>365</v>
      </c>
      <c r="D286" s="11" t="str">
        <f>IFERROR(__xludf.DUMMYFUNCTION("ifs(not(isna(MATCH(C286, ExcludedJumps, 0))), ""Excluded"", len(E286) = 0, ""Available"", REGEXMATCH(E286, RepeatableRegex), ""Repeatable"", countif(ARRAYFORMULA(REGEXMATCH(G286, split(B286, char(10)))), ""false"") = 0, ""Obtained"", true, ""Partial"")"),"Obtained")</f>
        <v>Obtained</v>
      </c>
      <c r="E286" s="9" t="s">
        <v>1999</v>
      </c>
      <c r="F286" s="9" t="s">
        <v>2000</v>
      </c>
      <c r="G286" s="31" t="str">
        <f>IFERROR(__xludf.DUMMYFUNCTION("if(len(E286) &gt; 0, join(char(10), FILTER(split(E286, char(10)), REGEXMATCH(split(E286, char(10)), PerkLineRegex))), """")"),"Daedalus' Student (God of War) 600:
Scowl of Sparta (God of War) Free:
Attire (God of War) Free:
Titan's Blood (God of War) 500:
")</f>
        <v>Daedalus' Student (God of War) 600:
Scowl of Sparta (God of War) Free:
Attire (God of War) Free:
Titan's Blood (God of War) 500:
</v>
      </c>
      <c r="H286" s="31" t="str">
        <f t="shared" si="2"/>
        <v>_
Chapter 73: 57 Crunch Time
Chapter 73: 57 Crunch Time
_</v>
      </c>
    </row>
    <row r="287">
      <c r="A287" s="9" t="s">
        <v>663</v>
      </c>
      <c r="B287" s="9" t="s">
        <v>2001</v>
      </c>
      <c r="C287" s="9" t="s">
        <v>1734</v>
      </c>
      <c r="D287" s="11" t="str">
        <f>IFERROR(__xludf.DUMMYFUNCTION("ifs(not(isna(MATCH(C287, ExcludedJumps, 0))), ""Excluded"", len(E287) = 0, ""Available"", REGEXMATCH(E287, RepeatableRegex), ""Repeatable"", countif(ARRAYFORMULA(REGEXMATCH(G287, split(B287, char(10)))), ""false"") = 0, ""Obtained"", true, ""Partial"")"),"Excluded")</f>
        <v>Excluded</v>
      </c>
      <c r="E287" s="31"/>
      <c r="F287" s="31"/>
      <c r="G287" s="31" t="str">
        <f>IFERROR(__xludf.DUMMYFUNCTION("if(len(E287) &gt; 0, join(char(10), FILTER(split(E287, char(10)), REGEXMATCH(split(E287, char(10)), PerkLineRegex))), """")"),"")</f>
        <v/>
      </c>
      <c r="H287" s="31" t="str">
        <f t="shared" si="2"/>
        <v/>
      </c>
    </row>
    <row r="288">
      <c r="A288" s="9" t="s">
        <v>663</v>
      </c>
      <c r="B288" s="9" t="s">
        <v>2002</v>
      </c>
      <c r="C288" s="9" t="s">
        <v>700</v>
      </c>
      <c r="D288" s="11" t="str">
        <f>IFERROR(__xludf.DUMMYFUNCTION("ifs(not(isna(MATCH(C288, ExcludedJumps, 0))), ""Excluded"", len(E288) = 0, ""Available"", REGEXMATCH(E288, RepeatableRegex), ""Repeatable"", countif(ARRAYFORMULA(REGEXMATCH(G288, split(B288, char(10)))), ""false"") = 0, ""Obtained"", true, ""Partial"")"),"Obtained")</f>
        <v>Obtained</v>
      </c>
      <c r="E288" s="9" t="s">
        <v>2003</v>
      </c>
      <c r="F288" s="9" t="s">
        <v>2004</v>
      </c>
      <c r="G288" s="31" t="str">
        <f>IFERROR(__xludf.DUMMYFUNCTION("if(len(E288) &gt; 0, join(char(10), FILTER(split(E288, char(10)), REGEXMATCH(split(E288, char(10)), PerkLineRegex))), """")"),"Exotic Compatibility (Gundam: After Colony) 400:
Leo (Gundam: After Colony) Free:
Material Synthesis Science (Gundam: After Colony) 200:")</f>
        <v>Exotic Compatibility (Gundam: After Colony) 400:
Leo (Gundam: After Colony) Free:
Material Synthesis Science (Gundam: After Colony) 200:</v>
      </c>
      <c r="H288" s="31" t="str">
        <f t="shared" si="2"/>
        <v>_
Chapter 47: 40 Knock Down - Preamble Gully - Addendum Emergency Alert
_</v>
      </c>
    </row>
    <row r="289">
      <c r="A289" s="9" t="s">
        <v>663</v>
      </c>
      <c r="B289" s="9" t="s">
        <v>2005</v>
      </c>
      <c r="C289" s="9" t="s">
        <v>313</v>
      </c>
      <c r="D289" s="11" t="str">
        <f>IFERROR(__xludf.DUMMYFUNCTION("ifs(not(isna(MATCH(C289, ExcludedJumps, 0))), ""Excluded"", len(E289) = 0, ""Available"", REGEXMATCH(E289, RepeatableRegex), ""Repeatable"", countif(ARRAYFORMULA(REGEXMATCH(G289, split(B289, char(10)))), ""false"") = 0, ""Obtained"", true, ""Partial"")"),"Obtained")</f>
        <v>Obtained</v>
      </c>
      <c r="E289" s="9" t="s">
        <v>2006</v>
      </c>
      <c r="F289" s="9" t="s">
        <v>203</v>
      </c>
      <c r="G289" s="31" t="str">
        <f>IFERROR(__xludf.DUMMYFUNCTION("if(len(E289) &gt; 0, join(char(10), FILTER(split(E289, char(10)), REGEXMATCH(split(E289, char(10)), PerkLineRegex))), """")"),"Stylish Mechanic (Gurren Lagann) 100:")</f>
        <v>Stylish Mechanic (Gurren Lagann) 100:</v>
      </c>
      <c r="H289" s="31" t="str">
        <f t="shared" si="2"/>
        <v>_</v>
      </c>
    </row>
    <row r="290">
      <c r="A290" s="9" t="s">
        <v>663</v>
      </c>
      <c r="B290" s="9" t="s">
        <v>2007</v>
      </c>
      <c r="C290" s="9" t="s">
        <v>726</v>
      </c>
      <c r="D290" s="11" t="str">
        <f>IFERROR(__xludf.DUMMYFUNCTION("ifs(not(isna(MATCH(C290, ExcludedJumps, 0))), ""Excluded"", len(E290) = 0, ""Available"", REGEXMATCH(E290, RepeatableRegex), ""Repeatable"", countif(ARRAYFORMULA(REGEXMATCH(G290, split(B290, char(10)))), ""false"") = 0, ""Obtained"", true, ""Partial"")"),"Obtained")</f>
        <v>Obtained</v>
      </c>
      <c r="E290" s="9" t="s">
        <v>2008</v>
      </c>
      <c r="F290" s="9" t="s">
        <v>2009</v>
      </c>
      <c r="G290" s="31" t="str">
        <f>IFERROR(__xludf.DUMMYFUNCTION("if(len(E290) &gt; 0, join(char(10), FILTER(split(E290, char(10)), REGEXMATCH(split(E290, char(10)), PerkLineRegex))), """")"),"Secret of Steel (History's Strongest Disciple: Kenichi) 400:
Katsujinken (History's Strongest Disciple: Kenichi) Free:
Sei Ki (History's Strongest Disciple: Kenichi) Free:
Weapons (History's Strongest Disciple: Kenichi) Free:
Martial Arts Ninjutsu (Histor"&amp;"y's Strongest Disciple: Kenichi) Free:
Master’s Body (History's Strongest Disciple: Kenichi) Free after 10 years:
“Sword” - Lantern Shield (History's Strongest Disciple: Kenichi) Free:")</f>
        <v>Secret of Steel (History's Strongest Disciple: Kenichi) 400:
Katsujinken (History's Strongest Disciple: Kenichi) Free:
Sei Ki (History's Strongest Disciple: Kenichi) Free:
Weapons (History's Strongest Disciple: Kenichi) Free:
Martial Arts Ninjutsu (History's Strongest Disciple: Kenichi) Free:
Master’s Body (History's Strongest Disciple: Kenichi) Free after 10 years:
“Sword” - Lantern Shield (History's Strongest Disciple: Kenichi) Free:</v>
      </c>
      <c r="H290" s="31" t="str">
        <f t="shared" si="2"/>
        <v>_
Chapter 48: 41 Drag Out - Preamble Chen
Chapter 48: 41 Drag Out - Preamble Chen
Chapter 48: 41 Drag Out - Preamble Chen
Chapter 48: 41 Drag Out - Preamble Chen
Chapter 48: 41 Drag Out - Preamble Chen
Chapter 48: 41 Drag Out - Preamble Chen</v>
      </c>
    </row>
    <row r="291">
      <c r="A291" s="9" t="s">
        <v>663</v>
      </c>
      <c r="B291" s="9" t="s">
        <v>2010</v>
      </c>
      <c r="C291" s="9" t="s">
        <v>2011</v>
      </c>
      <c r="D291" s="11" t="str">
        <f>IFERROR(__xludf.DUMMYFUNCTION("ifs(not(isna(MATCH(C291, ExcludedJumps, 0))), ""Excluded"", len(E291) = 0, ""Available"", REGEXMATCH(E291, RepeatableRegex), ""Repeatable"", countif(ARRAYFORMULA(REGEXMATCH(G291, split(B291, char(10)))), ""false"") = 0, ""Obtained"", true, ""Partial"")"),"Excluded")</f>
        <v>Excluded</v>
      </c>
      <c r="E291" s="31"/>
      <c r="F291" s="31"/>
      <c r="G291" s="31" t="str">
        <f>IFERROR(__xludf.DUMMYFUNCTION("if(len(E291) &gt; 0, join(char(10), FILTER(split(E291, char(10)), REGEXMATCH(split(E291, char(10)), PerkLineRegex))), """")"),"")</f>
        <v/>
      </c>
      <c r="H291" s="31" t="str">
        <f t="shared" si="2"/>
        <v/>
      </c>
    </row>
    <row r="292">
      <c r="A292" s="9" t="s">
        <v>663</v>
      </c>
      <c r="B292" s="9" t="s">
        <v>1639</v>
      </c>
      <c r="C292" s="9" t="s">
        <v>635</v>
      </c>
      <c r="D292" s="11" t="str">
        <f>IFERROR(__xludf.DUMMYFUNCTION("ifs(not(isna(MATCH(C292, ExcludedJumps, 0))), ""Excluded"", len(E292) = 0, ""Available"", REGEXMATCH(E292, RepeatableRegex), ""Repeatable"", countif(ARRAYFORMULA(REGEXMATCH(G292, split(B292, char(10)))), ""false"") = 0, ""Obtained"", true, ""Partial"")"),"Obtained")</f>
        <v>Obtained</v>
      </c>
      <c r="E292" s="42" t="s">
        <v>2012</v>
      </c>
      <c r="F292" s="9" t="s">
        <v>634</v>
      </c>
      <c r="G292" s="31" t="str">
        <f>IFERROR(__xludf.DUMMYFUNCTION("if(len(E292) &gt; 0, join(char(10), FILTER(split(E292, char(10)), REGEXMATCH(split(E292, char(10)), PerkLineRegex))), """")"),"Master Craftsman (King Arthur) 600:")</f>
        <v>Master Craftsman (King Arthur) 600:</v>
      </c>
      <c r="H292" s="31" t="str">
        <f t="shared" si="2"/>
        <v>_</v>
      </c>
    </row>
    <row r="293">
      <c r="A293" s="9" t="s">
        <v>663</v>
      </c>
      <c r="B293" s="9" t="s">
        <v>2013</v>
      </c>
      <c r="C293" s="9" t="s">
        <v>838</v>
      </c>
      <c r="D293" s="11" t="str">
        <f>IFERROR(__xludf.DUMMYFUNCTION("ifs(not(isna(MATCH(C293, ExcludedJumps, 0))), ""Excluded"", len(E293) = 0, ""Available"", REGEXMATCH(E293, RepeatableRegex), ""Repeatable"", countif(ARRAYFORMULA(REGEXMATCH(G293, split(B293, char(10)))), ""false"") = 0, ""Obtained"", true, ""Partial"")"),"Obtained")</f>
        <v>Obtained</v>
      </c>
      <c r="E293" s="9" t="s">
        <v>2014</v>
      </c>
      <c r="F293" s="9" t="s">
        <v>2015</v>
      </c>
      <c r="G293" s="31" t="str">
        <f>IFERROR(__xludf.DUMMYFUNCTION("if(len(E293) &gt; 0, join(char(10), FILTER(split(E293, char(10)), REGEXMATCH(split(E293, char(10)), PerkLineRegex))), """")"),"Chosen of Death (Lord of Light) 600:
Demigod (Lord of Light) Free:
Divine Physique (Lord of Light) Free:
Attribute Induction (Lord of Light) Free:
Aspect Cultivation (Lord of Light) Free:
Wealth (Lord of Light) Free:
Opulent Warehouse (Lord of Light) Free"&amp;":")</f>
        <v>Chosen of Death (Lord of Light) 600:
Demigod (Lord of Light) Free:
Divine Physique (Lord of Light) Free:
Attribute Induction (Lord of Light) Free:
Aspect Cultivation (Lord of Light) Free:
Wealth (Lord of Light) Free:
Opulent Warehouse (Lord of Light) Free:</v>
      </c>
      <c r="H293" s="31" t="str">
        <f t="shared" si="2"/>
        <v>_
Chapter 152: 102 Progress
Chapter 152: 102 Progress
Chapter 152: 102 Progress
Chapter 152: 102 Progress
Chapter 152: 102 Progress
Chapter 152: 102 Progress</v>
      </c>
    </row>
    <row r="294">
      <c r="A294" s="9" t="s">
        <v>663</v>
      </c>
      <c r="B294" s="9" t="s">
        <v>2016</v>
      </c>
      <c r="C294" s="9" t="s">
        <v>248</v>
      </c>
      <c r="D294" s="11" t="str">
        <f>IFERROR(__xludf.DUMMYFUNCTION("ifs(not(isna(MATCH(C294, ExcludedJumps, 0))), ""Excluded"", len(E294) = 0, ""Available"", REGEXMATCH(E294, RepeatableRegex), ""Repeatable"", countif(ARRAYFORMULA(REGEXMATCH(G294, split(B294, char(10)))), ""false"") = 0, ""Obtained"", true, ""Partial"")"),"Obtained")</f>
        <v>Obtained</v>
      </c>
      <c r="E294" s="9" t="s">
        <v>2017</v>
      </c>
      <c r="F294" s="9" t="s">
        <v>195</v>
      </c>
      <c r="G294" s="31" t="str">
        <f>IFERROR(__xludf.DUMMYFUNCTION("if(len(E294) &gt; 0, join(char(10), FILTER(split(E294, char(10)), REGEXMATCH(split(E294, char(10)), PerkLineRegex))), """")"),"Ambrosial Artificer (Macross) 400:")</f>
        <v>Ambrosial Artificer (Macross) 400:</v>
      </c>
      <c r="H294" s="31" t="str">
        <f t="shared" si="2"/>
        <v>_</v>
      </c>
    </row>
    <row r="295">
      <c r="A295" s="9" t="s">
        <v>663</v>
      </c>
      <c r="B295" s="9" t="s">
        <v>2018</v>
      </c>
      <c r="C295" s="9" t="s">
        <v>248</v>
      </c>
      <c r="D295" s="11" t="str">
        <f>IFERROR(__xludf.DUMMYFUNCTION("ifs(not(isna(MATCH(C295, ExcludedJumps, 0))), ""Excluded"", len(E295) = 0, ""Available"", REGEXMATCH(E295, RepeatableRegex), ""Repeatable"", countif(ARRAYFORMULA(REGEXMATCH(G295, split(B295, char(10)))), ""false"") = 0, ""Obtained"", true, ""Partial"")"),"Obtained")</f>
        <v>Obtained</v>
      </c>
      <c r="E295" s="9" t="s">
        <v>2019</v>
      </c>
      <c r="F295" s="9" t="s">
        <v>211</v>
      </c>
      <c r="G295" s="31" t="str">
        <f>IFERROR(__xludf.DUMMYFUNCTION("if(len(E295) &gt; 0, join(char(10), FILTER(split(E295, char(10)), REGEXMATCH(split(E295, char(10)), PerkLineRegex))), """")"),"Bling of War (Macross) 100:")</f>
        <v>Bling of War (Macross) 100:</v>
      </c>
      <c r="H295" s="31" t="str">
        <f t="shared" si="2"/>
        <v>_</v>
      </c>
    </row>
    <row r="296">
      <c r="A296" s="9" t="s">
        <v>663</v>
      </c>
      <c r="B296" s="9" t="s">
        <v>2020</v>
      </c>
      <c r="C296" s="9" t="s">
        <v>2021</v>
      </c>
      <c r="D296" s="11" t="str">
        <f>IFERROR(__xludf.DUMMYFUNCTION("ifs(not(isna(MATCH(C296, ExcludedJumps, 0))), ""Excluded"", len(E296) = 0, ""Available"", REGEXMATCH(E296, RepeatableRegex), ""Repeatable"", countif(ARRAYFORMULA(REGEXMATCH(G296, split(B296, char(10)))), ""false"") = 0, ""Obtained"", true, ""Partial"")"),"Excluded")</f>
        <v>Excluded</v>
      </c>
      <c r="E296" s="31"/>
      <c r="F296" s="31"/>
      <c r="G296" s="31" t="str">
        <f>IFERROR(__xludf.DUMMYFUNCTION("if(len(E296) &gt; 0, join(char(10), FILTER(split(E296, char(10)), REGEXMATCH(split(E296, char(10)), PerkLineRegex))), """")"),"")</f>
        <v/>
      </c>
      <c r="H296" s="31" t="str">
        <f t="shared" si="2"/>
        <v/>
      </c>
    </row>
    <row r="297">
      <c r="A297" s="9" t="s">
        <v>663</v>
      </c>
      <c r="B297" s="9" t="s">
        <v>2022</v>
      </c>
      <c r="C297" s="9" t="s">
        <v>34</v>
      </c>
      <c r="D297" s="11" t="str">
        <f>IFERROR(__xludf.DUMMYFUNCTION("ifs(not(isna(MATCH(C297, ExcludedJumps, 0))), ""Excluded"", len(E297) = 0, ""Available"", REGEXMATCH(E297, RepeatableRegex), ""Repeatable"", countif(ARRAYFORMULA(REGEXMATCH(G297, split(B297, char(10)))), ""false"") = 0, ""Obtained"", true, ""Partial"")"),"Obtained")</f>
        <v>Obtained</v>
      </c>
      <c r="E297" s="9" t="s">
        <v>2023</v>
      </c>
      <c r="F297" s="9" t="s">
        <v>2024</v>
      </c>
      <c r="G297" s="31" t="str">
        <f>IFERROR(__xludf.DUMMYFUNCTION("if(len(E297) &gt; 0, join(char(10), FILTER(split(E297, char(10)), REGEXMATCH(split(E297, char(10)), PerkLineRegex))), """")"),"Unnatural Skill: Smith (Percy Jackson) 200:
Divine Child - Hephaestus (Percy Jackson) 400:
Old Traditions (Percy Jackson) Free:
Fate Finds You Interesting (Percy Jackson) 300:
Minor Blessing Athena - Craftsmanship (Percy Jackson) 100:
Minor Blessing Hesti"&amp;"a - Hearthfire (Percy Jackson) 100:
Unnatural Skill: Alchemy (Percy Jackson) 200:
Minor Blessing Artemis - Bowmanship (Percy Jackson) 100:
Unnatural Skill:Enchanting (Percy Jackson) 200:
Minor Blessing Hera - Administration (Percy Jackson) 100:
Unnatural "&amp;"Skill: Transmutation (Percy Jackson) 200:
Minor Blessing Aphrodite - Beauty (Percy Jackson) 100:
Unnatural Skill: Runes (Percy Jackson) 200:
Minor Blessing Hades - Ferrokinesis (Percy Jackson) 100:
Unnatural Skill: Music (Percy Jackson) 200:
Minor Blessin"&amp;"g Dionysus - Libations (Percy Jackson) 100:
Unnatural Skill: Firecraft (Percy Jackson) 200:
Minor Blessing Ares – Armaments (Percy Jackson) 100:
Unnatural Skill: Ritual (Percy Jackson) 200:
Minor Blessing Zeus – Lightning (Percy Jackson) 100:
Unnatural Sk"&amp;"ill: Curses (Percy Jackson) 200:
Minor Blessing Poseidon – Water (Percy Jackson) 100:
Unnatural Skill: Stoneworking (Percy Jackson) 200:
Minor Blessing Demeter - Cultivation (Percy Jackson) 100:
Unnatural Skill: Naturecraft (Percy Jackson) 200:
Minor Bles"&amp;"sing Apollo - Medicine (Percy Jackson) 100:
Unnatural Skill: Healing (Percy Jackson) 200:
Minor Blessing Hermes - Invention (Percy Jackson) 100:
Unnatural Skill: Weaving (Percy Jackson) 200:")</f>
        <v>Unnatural Skill: Smith (Percy Jackson) 200:
Divine Child - Hephaestus (Percy Jackson) 400:
Old Traditions (Percy Jackson) Free:
Fate Finds You Interesting (Percy Jackson) 300:
Minor Blessing Athena - Craftsmanship (Percy Jackson) 100:
Minor Blessing Hestia - Hearthfire (Percy Jackson) 100:
Unnatural Skill: Alchemy (Percy Jackson) 200:
Minor Blessing Artemis - Bowmanship (Percy Jackson) 100:
Unnatural Skill:Enchanting (Percy Jackson) 200:
Minor Blessing Hera - Administration (Percy Jackson) 100:
Unnatural Skill: Transmutation (Percy Jackson) 200:
Minor Blessing Aphrodite - Beauty (Percy Jackson) 100:
Unnatural Skill: Runes (Percy Jackson) 200:
Minor Blessing Hades - Ferrokinesis (Percy Jackson) 100:
Unnatural Skill: Music (Percy Jackson) 200:
Minor Blessing Dionysus - Libations (Percy Jackson) 100:
Unnatural Skill: Firecraft (Percy Jackson) 200:
Minor Blessing Ares – Armaments (Percy Jackson) 100:
Unnatural Skill: Ritual (Percy Jackson) 200:
Minor Blessing Zeus – Lightning (Percy Jackson) 100:
Unnatural Skill: Curses (Percy Jackson) 200:
Minor Blessing Poseidon – Water (Percy Jackson) 100:
Unnatural Skill: Stoneworking (Percy Jackson) 200:
Minor Blessing Demeter - Cultivation (Percy Jackson) 100:
Unnatural Skill: Naturecraft (Percy Jackson) 200:
Minor Blessing Apollo - Medicine (Percy Jackson) 100:
Unnatural Skill: Healing (Percy Jackson) 200:
Minor Blessing Hermes - Invention (Percy Jackson) 100:
Unnatural Skill: Weaving (Percy Jackson) 200:</v>
      </c>
      <c r="H297" s="31" t="str">
        <f t="shared" si="2"/>
        <v>_
_
Chapter 37: 31 Consensus - Preamble PHO - Addendum Accord
_
Chapter 43: 36 Debrief - Addendum The Bay Bulletin
_
Chapter 52: 42 Incapacitated - Preamble Jeanne
_
Chapter 63: 48 Uptime
_
Chapter 65: 50 Meantime
_
Chapter 69: 54 Overtime
_
Chapter 78: 59 Summit Openings Addendum Uppercrust
_
Chapter 120: 86 Pack Up
_
Chapter 130: 93 Loom and Thread
_
Chapter 138: 95 Interlude Gregor - Shawn
_
Chapter 140: 96 Breakthrough
_
Chapter 153: 103 Calls and Connections - Addendum Accord
_
Chapter 158: 106 Unveiled Plans
_
Chapter 174: 112 Dispatch</v>
      </c>
    </row>
    <row r="298">
      <c r="A298" s="9" t="s">
        <v>663</v>
      </c>
      <c r="B298" s="9" t="s">
        <v>2025</v>
      </c>
      <c r="C298" s="9" t="s">
        <v>1836</v>
      </c>
      <c r="D298" s="11" t="str">
        <f>IFERROR(__xludf.DUMMYFUNCTION("ifs(not(isna(MATCH(C298, ExcludedJumps, 0))), ""Excluded"", len(E298) = 0, ""Available"", REGEXMATCH(E298, RepeatableRegex), ""Repeatable"", countif(ARRAYFORMULA(REGEXMATCH(G298, split(B298, char(10)))), ""false"") = 0, ""Obtained"", true, ""Partial"")"),"Excluded")</f>
        <v>Excluded</v>
      </c>
      <c r="E298" s="31"/>
      <c r="F298" s="31"/>
      <c r="G298" s="31" t="str">
        <f>IFERROR(__xludf.DUMMYFUNCTION("if(len(E298) &gt; 0, join(char(10), FILTER(split(E298, char(10)), REGEXMATCH(split(E298, char(10)), PerkLineRegex))), """")"),"")</f>
        <v/>
      </c>
      <c r="H298" s="31" t="str">
        <f t="shared" si="2"/>
        <v/>
      </c>
    </row>
    <row r="299">
      <c r="A299" s="9" t="s">
        <v>663</v>
      </c>
      <c r="B299" s="9" t="s">
        <v>1603</v>
      </c>
      <c r="C299" s="9" t="s">
        <v>639</v>
      </c>
      <c r="D299" s="11" t="str">
        <f>IFERROR(__xludf.DUMMYFUNCTION("ifs(not(isna(MATCH(C299, ExcludedJumps, 0))), ""Excluded"", len(E299) = 0, ""Available"", REGEXMATCH(E299, RepeatableRegex), ""Repeatable"", countif(ARRAYFORMULA(REGEXMATCH(G299, split(B299, char(10)))), ""false"") = 0, ""Obtained"", true, ""Partial"")"),"Available")</f>
        <v>Available</v>
      </c>
      <c r="E299" s="31"/>
      <c r="F299" s="31"/>
      <c r="G299" s="31" t="str">
        <f>IFERROR(__xludf.DUMMYFUNCTION("if(len(E299) &gt; 0, join(char(10), FILTER(split(E299, char(10)), REGEXMATCH(split(E299, char(10)), PerkLineRegex))), """")"),"")</f>
        <v/>
      </c>
      <c r="H299" s="31" t="str">
        <f t="shared" si="2"/>
        <v/>
      </c>
    </row>
    <row r="300">
      <c r="A300" s="9" t="s">
        <v>663</v>
      </c>
      <c r="B300" s="9" t="s">
        <v>2026</v>
      </c>
      <c r="C300" s="9" t="s">
        <v>1761</v>
      </c>
      <c r="D300" s="11" t="str">
        <f>IFERROR(__xludf.DUMMYFUNCTION("ifs(not(isna(MATCH(C300, ExcludedJumps, 0))), ""Excluded"", len(E300) = 0, ""Available"", REGEXMATCH(E300, RepeatableRegex), ""Repeatable"", countif(ARRAYFORMULA(REGEXMATCH(G300, split(B300, char(10)))), ""false"") = 0, ""Obtained"", true, ""Partial"")"),"Excluded")</f>
        <v>Excluded</v>
      </c>
      <c r="E300" s="31"/>
      <c r="F300" s="31"/>
      <c r="G300" s="31" t="str">
        <f>IFERROR(__xludf.DUMMYFUNCTION("if(len(E300) &gt; 0, join(char(10), FILTER(split(E300, char(10)), REGEXMATCH(split(E300, char(10)), PerkLineRegex))), """")"),"")</f>
        <v/>
      </c>
      <c r="H300" s="31" t="str">
        <f t="shared" si="2"/>
        <v/>
      </c>
    </row>
    <row r="301">
      <c r="A301" s="9" t="s">
        <v>663</v>
      </c>
      <c r="B301" s="9" t="s">
        <v>2027</v>
      </c>
      <c r="C301" s="9" t="s">
        <v>2028</v>
      </c>
      <c r="D301" s="11" t="str">
        <f>IFERROR(__xludf.DUMMYFUNCTION("ifs(not(isna(MATCH(C301, ExcludedJumps, 0))), ""Excluded"", len(E301) = 0, ""Available"", REGEXMATCH(E301, RepeatableRegex), ""Repeatable"", countif(ARRAYFORMULA(REGEXMATCH(G301, split(B301, char(10)))), ""false"") = 0, ""Obtained"", true, ""Partial"")"),"Excluded")</f>
        <v>Excluded</v>
      </c>
      <c r="E301" s="31"/>
      <c r="F301" s="31"/>
      <c r="G301" s="31" t="str">
        <f>IFERROR(__xludf.DUMMYFUNCTION("if(len(E301) &gt; 0, join(char(10), FILTER(split(E301, char(10)), REGEXMATCH(split(E301, char(10)), PerkLineRegex))), """")"),"")</f>
        <v/>
      </c>
      <c r="H301" s="31" t="str">
        <f t="shared" si="2"/>
        <v/>
      </c>
    </row>
    <row r="302">
      <c r="A302" s="9" t="s">
        <v>663</v>
      </c>
      <c r="B302" s="9" t="s">
        <v>2029</v>
      </c>
      <c r="C302" s="9" t="s">
        <v>799</v>
      </c>
      <c r="D302" s="11" t="str">
        <f>IFERROR(__xludf.DUMMYFUNCTION("ifs(not(isna(MATCH(C302, ExcludedJumps, 0))), ""Excluded"", len(E302) = 0, ""Available"", REGEXMATCH(E302, RepeatableRegex), ""Repeatable"", countif(ARRAYFORMULA(REGEXMATCH(G302, split(B302, char(10)))), ""false"") = 0, ""Obtained"", true, ""Partial"")"),"Obtained")</f>
        <v>Obtained</v>
      </c>
      <c r="E302" s="9" t="s">
        <v>2030</v>
      </c>
      <c r="F302" s="9" t="s">
        <v>2031</v>
      </c>
      <c r="G302" s="31" t="str">
        <f>IFERROR(__xludf.DUMMYFUNCTION("if(len(E302) &gt; 0, join(char(10), FILTER(split(E302, char(10)), REGEXMATCH(split(E302, char(10)), PerkLineRegex))), """")"),"My Fashion Sense is Tingling (The World Ends With You) 50:
Natural Puppy (The World Ends With You) 100:
Entanglement (The World Ends With You) Free:
Player Pin (The World Ends With You) Free:")</f>
        <v>My Fashion Sense is Tingling (The World Ends With You) 50:
Natural Puppy (The World Ends With You) 100:
Entanglement (The World Ends With You) Free:
Player Pin (The World Ends With You) Free:</v>
      </c>
      <c r="H302" s="31" t="str">
        <f t="shared" si="2"/>
        <v>_
Chapter 59: 46 Review
Chapter 59: 46 Review
Chapter 59: 46 Review</v>
      </c>
    </row>
    <row r="303">
      <c r="A303" s="9" t="s">
        <v>663</v>
      </c>
      <c r="B303" s="9" t="s">
        <v>2032</v>
      </c>
      <c r="C303" s="9" t="s">
        <v>1200</v>
      </c>
      <c r="D303" s="11" t="str">
        <f>IFERROR(__xludf.DUMMYFUNCTION("ifs(not(isna(MATCH(C303, ExcludedJumps, 0))), ""Excluded"", len(E303) = 0, ""Available"", REGEXMATCH(E303, RepeatableRegex), ""Repeatable"", countif(ARRAYFORMULA(REGEXMATCH(G303, split(B303, char(10)))), ""false"") = 0, ""Obtained"", true, ""Partial"")"),"Obtained")</f>
        <v>Obtained</v>
      </c>
      <c r="E303" s="9" t="s">
        <v>2033</v>
      </c>
      <c r="F303" s="9" t="s">
        <v>1709</v>
      </c>
      <c r="G303" s="31" t="str">
        <f>IFERROR(__xludf.DUMMYFUNCTION("if(len(E303) &gt; 0, join(char(10), FILTER(split(E303, char(10)), REGEXMATCH(split(E303, char(10)), PerkLineRegex))), """")"),"Craftsman of the Gods (Viking Saga) 600:
Farming tool (Viking Saga) Free:")</f>
        <v>Craftsman of the Gods (Viking Saga) 600:
Farming tool (Viking Saga) Free:</v>
      </c>
      <c r="H303" s="31" t="str">
        <f t="shared" si="2"/>
        <v>_
Chapter 113: 82 Bargaining - Addendum Uppercrust</v>
      </c>
    </row>
    <row r="304">
      <c r="A304" s="9" t="s">
        <v>663</v>
      </c>
      <c r="B304" s="9" t="s">
        <v>2034</v>
      </c>
      <c r="C304" s="9" t="s">
        <v>2035</v>
      </c>
      <c r="D304" s="11" t="str">
        <f>IFERROR(__xludf.DUMMYFUNCTION("ifs(not(isna(MATCH(C304, ExcludedJumps, 0))), ""Excluded"", len(E304) = 0, ""Available"", REGEXMATCH(E304, RepeatableRegex), ""Repeatable"", countif(ARRAYFORMULA(REGEXMATCH(G304, split(B304, char(10)))), ""false"") = 0, ""Obtained"", true, ""Partial"")"),"Excluded")</f>
        <v>Excluded</v>
      </c>
      <c r="E304" s="31"/>
      <c r="F304" s="31"/>
      <c r="G304" s="31" t="str">
        <f>IFERROR(__xludf.DUMMYFUNCTION("if(len(E304) &gt; 0, join(char(10), FILTER(split(E304, char(10)), REGEXMATCH(split(E304, char(10)), PerkLineRegex))), """")"),"")</f>
        <v/>
      </c>
      <c r="H304" s="31" t="str">
        <f t="shared" si="2"/>
        <v/>
      </c>
    </row>
    <row r="305">
      <c r="A305" s="9" t="s">
        <v>663</v>
      </c>
      <c r="B305" s="9" t="s">
        <v>2036</v>
      </c>
      <c r="C305" s="9" t="s">
        <v>1534</v>
      </c>
      <c r="D305" s="11" t="str">
        <f>IFERROR(__xludf.DUMMYFUNCTION("ifs(not(isna(MATCH(C305, ExcludedJumps, 0))), ""Excluded"", len(E305) = 0, ""Available"", REGEXMATCH(E305, RepeatableRegex), ""Repeatable"", countif(ARRAYFORMULA(REGEXMATCH(G305, split(B305, char(10)))), ""false"") = 0, ""Obtained"", true, ""Partial"")"),"Excluded")</f>
        <v>Excluded</v>
      </c>
      <c r="E305" s="31"/>
      <c r="F305" s="31"/>
      <c r="G305" s="31" t="str">
        <f>IFERROR(__xludf.DUMMYFUNCTION("if(len(E305) &gt; 0, join(char(10), FILTER(split(E305, char(10)), REGEXMATCH(split(E305, char(10)), PerkLineRegex))), """")"),"")</f>
        <v/>
      </c>
      <c r="H305" s="31" t="str">
        <f t="shared" si="2"/>
        <v/>
      </c>
    </row>
    <row r="306">
      <c r="A306" s="9" t="s">
        <v>2037</v>
      </c>
      <c r="B306" s="9" t="s">
        <v>2038</v>
      </c>
      <c r="C306" s="9" t="s">
        <v>1974</v>
      </c>
      <c r="D306" s="11" t="str">
        <f>IFERROR(__xludf.DUMMYFUNCTION("ifs(not(isna(MATCH(C306, ExcludedJumps, 0))), ""Excluded"", len(E306) = 0, ""Available"", REGEXMATCH(E306, RepeatableRegex), ""Repeatable"", countif(ARRAYFORMULA(REGEXMATCH(G306, split(B306, char(10)))), ""false"") = 0, ""Obtained"", true, ""Partial"")"),"Excluded")</f>
        <v>Excluded</v>
      </c>
      <c r="E306" s="31"/>
      <c r="F306" s="31"/>
      <c r="G306" s="31" t="str">
        <f>IFERROR(__xludf.DUMMYFUNCTION("if(len(E306) &gt; 0, join(char(10), FILTER(split(E306, char(10)), REGEXMATCH(split(E306, char(10)), PerkLineRegex))), """")"),"")</f>
        <v/>
      </c>
      <c r="H306" s="31" t="str">
        <f t="shared" si="2"/>
        <v/>
      </c>
    </row>
    <row r="307">
      <c r="A307" s="9" t="s">
        <v>2037</v>
      </c>
      <c r="B307" s="9" t="s">
        <v>2039</v>
      </c>
      <c r="C307" s="9" t="s">
        <v>287</v>
      </c>
      <c r="D307" s="11" t="str">
        <f>IFERROR(__xludf.DUMMYFUNCTION("ifs(not(isna(MATCH(C307, ExcludedJumps, 0))), ""Excluded"", len(E307) = 0, ""Available"", REGEXMATCH(E307, RepeatableRegex), ""Repeatable"", countif(ARRAYFORMULA(REGEXMATCH(G307, split(B307, char(10)))), ""false"") = 0, ""Obtained"", true, ""Partial"")"),"Obtained")</f>
        <v>Obtained</v>
      </c>
      <c r="E307" s="9" t="s">
        <v>2040</v>
      </c>
      <c r="F307" s="9" t="s">
        <v>286</v>
      </c>
      <c r="G307" s="31" t="str">
        <f>IFERROR(__xludf.DUMMYFUNCTION("if(len(E307) &gt; 0, join(char(10), FILTER(split(E307, char(10)), REGEXMATCH(split(E307, char(10)), PerkLineRegex))), """")"),"Built to Last (Assassin's Creed) 300:")</f>
        <v>Built to Last (Assassin's Creed) 300:</v>
      </c>
      <c r="H307" s="31" t="str">
        <f t="shared" si="2"/>
        <v>_</v>
      </c>
    </row>
    <row r="308">
      <c r="A308" s="9" t="s">
        <v>2037</v>
      </c>
      <c r="B308" s="9" t="s">
        <v>2041</v>
      </c>
      <c r="C308" s="9" t="s">
        <v>831</v>
      </c>
      <c r="D308" s="11" t="str">
        <f>IFERROR(__xludf.DUMMYFUNCTION("ifs(not(isna(MATCH(C308, ExcludedJumps, 0))), ""Excluded"", len(E308) = 0, ""Available"", REGEXMATCH(E308, RepeatableRegex), ""Repeatable"", countif(ARRAYFORMULA(REGEXMATCH(G308, split(B308, char(10)))), ""false"") = 0, ""Obtained"", true, ""Partial"")"),"Obtained")</f>
        <v>Obtained</v>
      </c>
      <c r="E308" s="9" t="s">
        <v>2042</v>
      </c>
      <c r="F308" s="9" t="s">
        <v>195</v>
      </c>
      <c r="G308" s="31" t="str">
        <f>IFERROR(__xludf.DUMMYFUNCTION("if(len(E308) &gt; 0, join(char(10), FILTER(split(E308, char(10)), REGEXMATCH(split(E308, char(10)), PerkLineRegex))), """")"),"Salvager (Babylon 5) 300:")</f>
        <v>Salvager (Babylon 5) 300:</v>
      </c>
      <c r="H308" s="31" t="str">
        <f t="shared" si="2"/>
        <v>_</v>
      </c>
    </row>
    <row r="309">
      <c r="A309" s="9" t="s">
        <v>2037</v>
      </c>
      <c r="B309" s="9" t="s">
        <v>2043</v>
      </c>
      <c r="C309" s="9" t="s">
        <v>377</v>
      </c>
      <c r="D309" s="11" t="str">
        <f>IFERROR(__xludf.DUMMYFUNCTION("ifs(not(isna(MATCH(C309, ExcludedJumps, 0))), ""Excluded"", len(E309) = 0, ""Available"", REGEXMATCH(E309, RepeatableRegex), ""Repeatable"", countif(ARRAYFORMULA(REGEXMATCH(G309, split(B309, char(10)))), ""false"") = 0, ""Obtained"", true, ""Partial"")"),"Obtained")</f>
        <v>Obtained</v>
      </c>
      <c r="E309" s="9" t="s">
        <v>2044</v>
      </c>
      <c r="F309" s="9" t="s">
        <v>195</v>
      </c>
      <c r="G309" s="31" t="str">
        <f>IFERROR(__xludf.DUMMYFUNCTION("if(len(E309) &gt; 0, join(char(10), FILTER(split(E309, char(10)), REGEXMATCH(split(E309, char(10)), PerkLineRegex))), """")"),"Element Analysis (Bomberman 64: The Second Attack) 100:")</f>
        <v>Element Analysis (Bomberman 64: The Second Attack) 100:</v>
      </c>
      <c r="H309" s="31" t="str">
        <f t="shared" si="2"/>
        <v>_</v>
      </c>
    </row>
    <row r="310">
      <c r="A310" s="9" t="s">
        <v>2037</v>
      </c>
      <c r="B310" s="9" t="s">
        <v>2045</v>
      </c>
      <c r="C310" s="9" t="s">
        <v>686</v>
      </c>
      <c r="D310" s="11" t="str">
        <f>IFERROR(__xludf.DUMMYFUNCTION("ifs(not(isna(MATCH(C310, ExcludedJumps, 0))), ""Excluded"", len(E310) = 0, ""Available"", REGEXMATCH(E310, RepeatableRegex), ""Repeatable"", countif(ARRAYFORMULA(REGEXMATCH(G310, split(B310, char(10)))), ""false"") = 0, ""Obtained"", true, ""Partial"")"),"Obtained")</f>
        <v>Obtained</v>
      </c>
      <c r="E310" s="9" t="s">
        <v>2046</v>
      </c>
      <c r="F310" s="9" t="s">
        <v>195</v>
      </c>
      <c r="G310" s="31" t="str">
        <f>IFERROR(__xludf.DUMMYFUNCTION("if(len(E310) &gt; 0, join(char(10), FILTER(split(E310, char(10)), REGEXMATCH(split(E310, char(10)), PerkLineRegex))), """")"),"Mauler (Command and Conquer: Tiberium Wars) 400:")</f>
        <v>Mauler (Command and Conquer: Tiberium Wars) 400:</v>
      </c>
      <c r="H310" s="31" t="str">
        <f t="shared" si="2"/>
        <v>_</v>
      </c>
    </row>
    <row r="311">
      <c r="A311" s="9" t="s">
        <v>2037</v>
      </c>
      <c r="B311" s="9" t="s">
        <v>2047</v>
      </c>
      <c r="C311" s="9" t="s">
        <v>290</v>
      </c>
      <c r="D311" s="11" t="str">
        <f>IFERROR(__xludf.DUMMYFUNCTION("ifs(not(isna(MATCH(C311, ExcludedJumps, 0))), ""Excluded"", len(E311) = 0, ""Available"", REGEXMATCH(E311, RepeatableRegex), ""Repeatable"", countif(ARRAYFORMULA(REGEXMATCH(G311, split(B311, char(10)))), ""false"") = 0, ""Obtained"", true, ""Partial"")"),"Obtained")</f>
        <v>Obtained</v>
      </c>
      <c r="E311" s="9" t="s">
        <v>2048</v>
      </c>
      <c r="F311" s="9" t="s">
        <v>203</v>
      </c>
      <c r="G311" s="31" t="str">
        <f>IFERROR(__xludf.DUMMYFUNCTION("if(len(E311) &gt; 0, join(char(10), FILTER(split(E311, char(10)), REGEXMATCH(split(E311, char(10)), PerkLineRegex))), """")"),"Robust Engineering (Dune) 300:")</f>
        <v>Robust Engineering (Dune) 300:</v>
      </c>
      <c r="H311" s="31" t="str">
        <f t="shared" si="2"/>
        <v>_</v>
      </c>
    </row>
    <row r="312">
      <c r="A312" s="9" t="s">
        <v>2037</v>
      </c>
      <c r="B312" s="9" t="s">
        <v>2049</v>
      </c>
      <c r="C312" s="9" t="s">
        <v>2050</v>
      </c>
      <c r="D312" s="11" t="str">
        <f>IFERROR(__xludf.DUMMYFUNCTION("ifs(not(isna(MATCH(C312, ExcludedJumps, 0))), ""Excluded"", len(E312) = 0, ""Available"", REGEXMATCH(E312, RepeatableRegex), ""Repeatable"", countif(ARRAYFORMULA(REGEXMATCH(G312, split(B312, char(10)))), ""false"") = 0, ""Obtained"", true, ""Partial"")"),"Excluded")</f>
        <v>Excluded</v>
      </c>
      <c r="E312" s="31"/>
      <c r="F312" s="31"/>
      <c r="G312" s="31" t="str">
        <f>IFERROR(__xludf.DUMMYFUNCTION("if(len(E312) &gt; 0, join(char(10), FILTER(split(E312, char(10)), REGEXMATCH(split(E312, char(10)), PerkLineRegex))), """")"),"")</f>
        <v/>
      </c>
      <c r="H312" s="31" t="str">
        <f t="shared" si="2"/>
        <v/>
      </c>
    </row>
    <row r="313">
      <c r="A313" s="9" t="s">
        <v>2037</v>
      </c>
      <c r="B313" s="9" t="s">
        <v>2051</v>
      </c>
      <c r="C313" s="9" t="s">
        <v>811</v>
      </c>
      <c r="D313" s="11" t="str">
        <f>IFERROR(__xludf.DUMMYFUNCTION("ifs(not(isna(MATCH(C313, ExcludedJumps, 0))), ""Excluded"", len(E313) = 0, ""Available"", REGEXMATCH(E313, RepeatableRegex), ""Repeatable"", countif(ARRAYFORMULA(REGEXMATCH(G313, split(B313, char(10)))), ""false"") = 0, ""Obtained"", true, ""Partial"")"),"Obtained")</f>
        <v>Obtained</v>
      </c>
      <c r="E313" s="9" t="s">
        <v>2052</v>
      </c>
      <c r="F313" s="9" t="s">
        <v>203</v>
      </c>
      <c r="G313" s="31" t="str">
        <f>IFERROR(__xludf.DUMMYFUNCTION("if(len(E313) &gt; 0, join(char(10), FILTER(split(E313, char(10)), REGEXMATCH(split(E313, char(10)), PerkLineRegex))), """")"),"Shipping the Product (F.E.A.R.) 400:")</f>
        <v>Shipping the Product (F.E.A.R.) 400:</v>
      </c>
      <c r="H313" s="31" t="str">
        <f t="shared" si="2"/>
        <v>_</v>
      </c>
    </row>
    <row r="314">
      <c r="A314" s="9" t="s">
        <v>2037</v>
      </c>
      <c r="B314" s="9" t="s">
        <v>2053</v>
      </c>
      <c r="C314" s="9" t="s">
        <v>624</v>
      </c>
      <c r="D314" s="11" t="str">
        <f>IFERROR(__xludf.DUMMYFUNCTION("ifs(not(isna(MATCH(C314, ExcludedJumps, 0))), ""Excluded"", len(E314) = 0, ""Available"", REGEXMATCH(E314, RepeatableRegex), ""Repeatable"", countif(ARRAYFORMULA(REGEXMATCH(G314, split(B314, char(10)))), ""false"") = 0, ""Obtained"", true, ""Partial"")"),"Obtained")</f>
        <v>Obtained</v>
      </c>
      <c r="E314" s="9" t="s">
        <v>2054</v>
      </c>
      <c r="F314" s="9" t="s">
        <v>2055</v>
      </c>
      <c r="G314" s="31" t="str">
        <f>IFERROR(__xludf.DUMMYFUNCTION("if(len(E314) &gt; 0, join(char(10), FILTER(split(E314, char(10)), REGEXMATCH(split(E314, char(10)), PerkLineRegex))), """")"),"Scrapper (Fallout 4) 300:
Starting Gear (Fallout 4) 0:")</f>
        <v>Scrapper (Fallout 4) 300:
Starting Gear (Fallout 4) 0:</v>
      </c>
      <c r="H314" s="31" t="str">
        <f t="shared" si="2"/>
        <v>_
Chapter 40: 34 Little Talks - Addendum Ethan</v>
      </c>
    </row>
    <row r="315">
      <c r="A315" s="9" t="s">
        <v>2037</v>
      </c>
      <c r="B315" s="9" t="s">
        <v>2056</v>
      </c>
      <c r="C315" s="9" t="s">
        <v>1638</v>
      </c>
      <c r="D315" s="11" t="str">
        <f>IFERROR(__xludf.DUMMYFUNCTION("ifs(not(isna(MATCH(C315, ExcludedJumps, 0))), ""Excluded"", len(E315) = 0, ""Available"", REGEXMATCH(E315, RepeatableRegex), ""Repeatable"", countif(ARRAYFORMULA(REGEXMATCH(G315, split(B315, char(10)))), ""false"") = 0, ""Obtained"", true, ""Partial"")"),"Excluded")</f>
        <v>Excluded</v>
      </c>
      <c r="E315" s="31"/>
      <c r="F315" s="31"/>
      <c r="G315" s="31" t="str">
        <f>IFERROR(__xludf.DUMMYFUNCTION("if(len(E315) &gt; 0, join(char(10), FILTER(split(E315, char(10)), REGEXMATCH(split(E315, char(10)), PerkLineRegex))), """")"),"")</f>
        <v/>
      </c>
      <c r="H315" s="31" t="str">
        <f t="shared" si="2"/>
        <v/>
      </c>
    </row>
    <row r="316">
      <c r="A316" s="9" t="s">
        <v>2037</v>
      </c>
      <c r="B316" s="9" t="s">
        <v>2057</v>
      </c>
      <c r="C316" s="9" t="s">
        <v>1638</v>
      </c>
      <c r="D316" s="11" t="str">
        <f>IFERROR(__xludf.DUMMYFUNCTION("ifs(not(isna(MATCH(C316, ExcludedJumps, 0))), ""Excluded"", len(E316) = 0, ""Available"", REGEXMATCH(E316, RepeatableRegex), ""Repeatable"", countif(ARRAYFORMULA(REGEXMATCH(G316, split(B316, char(10)))), ""false"") = 0, ""Obtained"", true, ""Partial"")"),"Excluded")</f>
        <v>Excluded</v>
      </c>
      <c r="E316" s="31"/>
      <c r="F316" s="31"/>
      <c r="G316" s="31" t="str">
        <f>IFERROR(__xludf.DUMMYFUNCTION("if(len(E316) &gt; 0, join(char(10), FILTER(split(E316, char(10)), REGEXMATCH(split(E316, char(10)), PerkLineRegex))), """")"),"")</f>
        <v/>
      </c>
      <c r="H316" s="31" t="str">
        <f t="shared" si="2"/>
        <v/>
      </c>
    </row>
    <row r="317">
      <c r="A317" s="9" t="s">
        <v>2037</v>
      </c>
      <c r="B317" s="9" t="s">
        <v>2058</v>
      </c>
      <c r="C317" s="9" t="s">
        <v>1638</v>
      </c>
      <c r="D317" s="11" t="str">
        <f>IFERROR(__xludf.DUMMYFUNCTION("ifs(not(isna(MATCH(C317, ExcludedJumps, 0))), ""Excluded"", len(E317) = 0, ""Available"", REGEXMATCH(E317, RepeatableRegex), ""Repeatable"", countif(ARRAYFORMULA(REGEXMATCH(G317, split(B317, char(10)))), ""false"") = 0, ""Obtained"", true, ""Partial"")"),"Excluded")</f>
        <v>Excluded</v>
      </c>
      <c r="E317" s="31"/>
      <c r="F317" s="31"/>
      <c r="G317" s="31" t="str">
        <f>IFERROR(__xludf.DUMMYFUNCTION("if(len(E317) &gt; 0, join(char(10), FILTER(split(E317, char(10)), REGEXMATCH(split(E317, char(10)), PerkLineRegex))), """")"),"")</f>
        <v/>
      </c>
      <c r="H317" s="31" t="str">
        <f t="shared" si="2"/>
        <v/>
      </c>
    </row>
    <row r="318">
      <c r="A318" s="9" t="s">
        <v>2037</v>
      </c>
      <c r="B318" s="9" t="s">
        <v>2059</v>
      </c>
      <c r="C318" s="9" t="s">
        <v>1222</v>
      </c>
      <c r="D318" s="11" t="str">
        <f>IFERROR(__xludf.DUMMYFUNCTION("ifs(not(isna(MATCH(C318, ExcludedJumps, 0))), ""Excluded"", len(E318) = 0, ""Available"", REGEXMATCH(E318, RepeatableRegex), ""Repeatable"", countif(ARRAYFORMULA(REGEXMATCH(G318, split(B318, char(10)))), ""false"") = 0, ""Obtained"", true, ""Partial"")"),"Obtained")</f>
        <v>Obtained</v>
      </c>
      <c r="E318" s="9" t="s">
        <v>2060</v>
      </c>
      <c r="F318" s="9" t="s">
        <v>203</v>
      </c>
      <c r="G318" s="31" t="str">
        <f>IFERROR(__xludf.DUMMYFUNCTION("if(len(E318) &gt; 0, join(char(10), FILTER(split(E318, char(10)), REGEXMATCH(split(E318, char(10)), PerkLineRegex))), """")"),"Armsthrift (Fire Emblem: Awakening) 400:
")</f>
        <v>Armsthrift (Fire Emblem: Awakening) 400:
</v>
      </c>
      <c r="H318" s="31" t="str">
        <f t="shared" si="2"/>
        <v>_</v>
      </c>
    </row>
    <row r="319">
      <c r="A319" s="9" t="s">
        <v>2037</v>
      </c>
      <c r="B319" s="9" t="s">
        <v>2061</v>
      </c>
      <c r="C319" s="9" t="s">
        <v>365</v>
      </c>
      <c r="D319" s="11" t="str">
        <f>IFERROR(__xludf.DUMMYFUNCTION("ifs(not(isna(MATCH(C319, ExcludedJumps, 0))), ""Excluded"", len(E319) = 0, ""Available"", REGEXMATCH(E319, RepeatableRegex), ""Repeatable"", countif(ARRAYFORMULA(REGEXMATCH(G319, split(B319, char(10)))), ""false"") = 0, ""Obtained"", true, ""Partial"")"),"Obtained")</f>
        <v>Obtained</v>
      </c>
      <c r="E319" s="9" t="s">
        <v>2062</v>
      </c>
      <c r="F319" s="9" t="s">
        <v>203</v>
      </c>
      <c r="G319" s="31" t="str">
        <f>IFERROR(__xludf.DUMMYFUNCTION("if(len(E319) &gt; 0, join(char(10), FILTER(split(E319, char(10)), REGEXMATCH(split(E319, char(10)), PerkLineRegex))), """")"),"Lack of Materials (God of War) 400:")</f>
        <v>Lack of Materials (God of War) 400:</v>
      </c>
      <c r="H319" s="31" t="str">
        <f t="shared" si="2"/>
        <v>_</v>
      </c>
    </row>
    <row r="320">
      <c r="A320" s="9" t="s">
        <v>2037</v>
      </c>
      <c r="B320" s="9" t="s">
        <v>2063</v>
      </c>
      <c r="C320" s="9" t="s">
        <v>449</v>
      </c>
      <c r="D320" s="11" t="str">
        <f>IFERROR(__xludf.DUMMYFUNCTION("ifs(not(isna(MATCH(C320, ExcludedJumps, 0))), ""Excluded"", len(E320) = 0, ""Available"", REGEXMATCH(E320, RepeatableRegex), ""Repeatable"", countif(ARRAYFORMULA(REGEXMATCH(G320, split(B320, char(10)))), ""false"") = 0, ""Obtained"", true, ""Partial"")"),"Obtained")</f>
        <v>Obtained</v>
      </c>
      <c r="E320" s="9" t="s">
        <v>2064</v>
      </c>
      <c r="F320" s="9" t="s">
        <v>203</v>
      </c>
      <c r="G320" s="31" t="str">
        <f>IFERROR(__xludf.DUMMYFUNCTION("if(len(E320) &gt; 0, join(char(10), FILTER(split(E320, char(10)), REGEXMATCH(split(E320, char(10)), PerkLineRegex))), """")"),"Reliable Invention (Kim Possible) 200:")</f>
        <v>Reliable Invention (Kim Possible) 200:</v>
      </c>
      <c r="H320" s="31" t="str">
        <f t="shared" si="2"/>
        <v>_</v>
      </c>
    </row>
    <row r="321">
      <c r="A321" s="9" t="s">
        <v>2037</v>
      </c>
      <c r="B321" s="9" t="s">
        <v>2065</v>
      </c>
      <c r="C321" s="9" t="s">
        <v>793</v>
      </c>
      <c r="D321" s="11" t="str">
        <f>IFERROR(__xludf.DUMMYFUNCTION("ifs(not(isna(MATCH(C321, ExcludedJumps, 0))), ""Excluded"", len(E321) = 0, ""Available"", REGEXMATCH(E321, RepeatableRegex), ""Repeatable"", countif(ARRAYFORMULA(REGEXMATCH(G321, split(B321, char(10)))), ""false"") = 0, ""Obtained"", true, ""Partial"")"),"Obtained")</f>
        <v>Obtained</v>
      </c>
      <c r="E321" s="9" t="s">
        <v>2066</v>
      </c>
      <c r="F321" s="9" t="s">
        <v>203</v>
      </c>
      <c r="G321" s="31" t="str">
        <f>IFERROR(__xludf.DUMMYFUNCTION("if(len(E321) &gt; 0, join(char(10), FILTER(split(E321, char(10)), REGEXMATCH(split(E321, char(10)), PerkLineRegex))), """")"),"Efficiency (Lego: Ninjango) 400:")</f>
        <v>Efficiency (Lego: Ninjango) 400:</v>
      </c>
      <c r="H321" s="31" t="str">
        <f t="shared" si="2"/>
        <v>_</v>
      </c>
    </row>
    <row r="322">
      <c r="A322" s="9" t="s">
        <v>2037</v>
      </c>
      <c r="B322" s="9" t="s">
        <v>2016</v>
      </c>
      <c r="C322" s="9" t="s">
        <v>248</v>
      </c>
      <c r="D322" s="11" t="str">
        <f>IFERROR(__xludf.DUMMYFUNCTION("ifs(not(isna(MATCH(C322, ExcludedJumps, 0))), ""Excluded"", len(E322) = 0, ""Available"", REGEXMATCH(E322, RepeatableRegex), ""Repeatable"", countif(ARRAYFORMULA(REGEXMATCH(G322, split(B322, char(10)))), ""false"") = 0, ""Obtained"", true, ""Partial"")"),"Obtained")</f>
        <v>Obtained</v>
      </c>
      <c r="E322" s="9" t="s">
        <v>2017</v>
      </c>
      <c r="F322" s="9" t="s">
        <v>195</v>
      </c>
      <c r="G322" s="31" t="str">
        <f>IFERROR(__xludf.DUMMYFUNCTION("if(len(E322) &gt; 0, join(char(10), FILTER(split(E322, char(10)), REGEXMATCH(split(E322, char(10)), PerkLineRegex))), """")"),"Ambrosial Artificer (Macross) 400:")</f>
        <v>Ambrosial Artificer (Macross) 400:</v>
      </c>
      <c r="H322" s="31" t="str">
        <f t="shared" si="2"/>
        <v>_</v>
      </c>
    </row>
    <row r="323">
      <c r="A323" s="9" t="s">
        <v>2037</v>
      </c>
      <c r="B323" s="9" t="s">
        <v>2067</v>
      </c>
      <c r="C323" s="9" t="s">
        <v>2068</v>
      </c>
      <c r="D323" s="11" t="str">
        <f>IFERROR(__xludf.DUMMYFUNCTION("ifs(not(isna(MATCH(C323, ExcludedJumps, 0))), ""Excluded"", len(E323) = 0, ""Available"", REGEXMATCH(E323, RepeatableRegex), ""Repeatable"", countif(ARRAYFORMULA(REGEXMATCH(G323, split(B323, char(10)))), ""false"") = 0, ""Obtained"", true, ""Partial"")"),"Obtained")</f>
        <v>Obtained</v>
      </c>
      <c r="E323" s="9" t="s">
        <v>2069</v>
      </c>
      <c r="F323" s="9" t="s">
        <v>203</v>
      </c>
      <c r="G323" s="31" t="str">
        <f>IFERROR(__xludf.DUMMYFUNCTION("if(len(E323) &gt; 0, join(char(10), FILTER(split(E323, char(10)), REGEXMATCH(split(E323, char(10)), PerkLineRegex))), """")"),"Rationing (Mad Max Gauntlet) 100:")</f>
        <v>Rationing (Mad Max Gauntlet) 100:</v>
      </c>
      <c r="H323" s="31" t="str">
        <f t="shared" si="2"/>
        <v>_</v>
      </c>
    </row>
    <row r="324">
      <c r="A324" s="9" t="s">
        <v>2037</v>
      </c>
      <c r="B324" s="9" t="s">
        <v>2070</v>
      </c>
      <c r="C324" s="9" t="s">
        <v>1003</v>
      </c>
      <c r="D324" s="11" t="str">
        <f>IFERROR(__xludf.DUMMYFUNCTION("ifs(not(isna(MATCH(C324, ExcludedJumps, 0))), ""Excluded"", len(E324) = 0, ""Available"", REGEXMATCH(E324, RepeatableRegex), ""Repeatable"", countif(ARRAYFORMULA(REGEXMATCH(G324, split(B324, char(10)))), ""false"") = 0, ""Obtained"", true, ""Partial"")"),"Obtained")</f>
        <v>Obtained</v>
      </c>
      <c r="E324" s="9" t="s">
        <v>2071</v>
      </c>
      <c r="F324" s="9" t="s">
        <v>2072</v>
      </c>
      <c r="G324" s="31" t="str">
        <f>IFERROR(__xludf.DUMMYFUNCTION("if(len(E324) &gt; 0, join(char(10), FILTER(split(E324, char(10)), REGEXMATCH(split(E324, char(10)), PerkLineRegex))), """")"),"Scavenger (Megaman Zero) 400:
Warning (Megaman Zero) Free:
Robotic Armor (Megaman Zero) Free:")</f>
        <v>Scavenger (Megaman Zero) 400:
Warning (Megaman Zero) Free:
Robotic Armor (Megaman Zero) Free:</v>
      </c>
      <c r="H324" s="31" t="str">
        <f t="shared" si="2"/>
        <v>_
Chapter 79: 60 Summit Discussions
Chapter 79: 60 Summit Discussions</v>
      </c>
    </row>
    <row r="325">
      <c r="A325" s="9" t="s">
        <v>2037</v>
      </c>
      <c r="B325" s="9" t="s">
        <v>2073</v>
      </c>
      <c r="C325" s="9" t="s">
        <v>648</v>
      </c>
      <c r="D325" s="11" t="str">
        <f>IFERROR(__xludf.DUMMYFUNCTION("ifs(not(isna(MATCH(C325, ExcludedJumps, 0))), ""Excluded"", len(E325) = 0, ""Available"", REGEXMATCH(E325, RepeatableRegex), ""Repeatable"", countif(ARRAYFORMULA(REGEXMATCH(G325, split(B325, char(10)))), ""false"") = 0, ""Obtained"", true, ""Partial"")"),"Obtained")</f>
        <v>Obtained</v>
      </c>
      <c r="E325" s="9" t="s">
        <v>2074</v>
      </c>
      <c r="F325" s="9" t="s">
        <v>2075</v>
      </c>
      <c r="G325" s="31" t="str">
        <f>IFERROR(__xludf.DUMMYFUNCTION("if(len(E325) &gt; 0, join(char(10), FILTER(split(E325, char(10)), REGEXMATCH(split(E325, char(10)), PerkLineRegex))), """")"),"Waste Not (Monster Hunter) 300:
Weapon &amp; Item Storage Chest (Monster Hunter) Free:")</f>
        <v>Waste Not (Monster Hunter) 300:
Weapon &amp; Item Storage Chest (Monster Hunter) Free:</v>
      </c>
      <c r="H325" s="31" t="str">
        <f t="shared" si="2"/>
        <v>_
Chapter 43: 36 Debrief - Addendum The Bay Bulletin</v>
      </c>
    </row>
    <row r="326">
      <c r="A326" s="9" t="s">
        <v>2037</v>
      </c>
      <c r="B326" s="9" t="s">
        <v>2076</v>
      </c>
      <c r="C326" s="9" t="s">
        <v>316</v>
      </c>
      <c r="D326" s="11" t="str">
        <f>IFERROR(__xludf.DUMMYFUNCTION("ifs(not(isna(MATCH(C326, ExcludedJumps, 0))), ""Excluded"", len(E326) = 0, ""Available"", REGEXMATCH(E326, RepeatableRegex), ""Repeatable"", countif(ARRAYFORMULA(REGEXMATCH(G326, split(B326, char(10)))), ""false"") = 0, ""Obtained"", true, ""Partial"")"),"Obtained")</f>
        <v>Obtained</v>
      </c>
      <c r="E326" s="9" t="s">
        <v>2077</v>
      </c>
      <c r="F326" s="9" t="s">
        <v>203</v>
      </c>
      <c r="G326" s="31" t="str">
        <f>IFERROR(__xludf.DUMMYFUNCTION("if(len(E326) &gt; 0, join(char(10), FILTER(split(E326, char(10)), REGEXMATCH(split(E326, char(10)), PerkLineRegex))), """")"),"Repair Savvy (Outlaw Star) 100:")</f>
        <v>Repair Savvy (Outlaw Star) 100:</v>
      </c>
      <c r="H326" s="31" t="str">
        <f t="shared" si="2"/>
        <v>_</v>
      </c>
    </row>
    <row r="327">
      <c r="A327" s="9" t="s">
        <v>2037</v>
      </c>
      <c r="B327" s="9" t="s">
        <v>2078</v>
      </c>
      <c r="C327" s="9" t="s">
        <v>2079</v>
      </c>
      <c r="D327" s="11" t="str">
        <f>IFERROR(__xludf.DUMMYFUNCTION("ifs(not(isna(MATCH(C327, ExcludedJumps, 0))), ""Excluded"", len(E327) = 0, ""Available"", REGEXMATCH(E327, RepeatableRegex), ""Repeatable"", countif(ARRAYFORMULA(REGEXMATCH(G327, split(B327, char(10)))), ""false"") = 0, ""Obtained"", true, ""Partial"")"),"Excluded")</f>
        <v>Excluded</v>
      </c>
      <c r="E327" s="31"/>
      <c r="F327" s="31"/>
      <c r="G327" s="31" t="str">
        <f>IFERROR(__xludf.DUMMYFUNCTION("if(len(E327) &gt; 0, join(char(10), FILTER(split(E327, char(10)), REGEXMATCH(split(E327, char(10)), PerkLineRegex))), """")"),"")</f>
        <v/>
      </c>
      <c r="H327" s="31" t="str">
        <f t="shared" si="2"/>
        <v/>
      </c>
    </row>
    <row r="328">
      <c r="A328" s="9" t="s">
        <v>2037</v>
      </c>
      <c r="B328" s="9" t="s">
        <v>1753</v>
      </c>
      <c r="C328" s="9" t="s">
        <v>977</v>
      </c>
      <c r="D328" s="11" t="str">
        <f>IFERROR(__xludf.DUMMYFUNCTION("ifs(not(isna(MATCH(C328, ExcludedJumps, 0))), ""Excluded"", len(E328) = 0, ""Available"", REGEXMATCH(E328, RepeatableRegex), ""Repeatable"", countif(ARRAYFORMULA(REGEXMATCH(G328, split(B328, char(10)))), ""false"") = 0, ""Obtained"", true, ""Partial"")"),"Obtained")</f>
        <v>Obtained</v>
      </c>
      <c r="E328" s="9" t="s">
        <v>1754</v>
      </c>
      <c r="F328" s="9" t="s">
        <v>195</v>
      </c>
      <c r="G328" s="31" t="str">
        <f>IFERROR(__xludf.DUMMYFUNCTION("if(len(E328) &gt; 0, join(char(10), FILTER(split(E328, char(10)), REGEXMATCH(split(E328, char(10)), PerkLineRegex))), """")"),"upgrades! Upgrades!! UPGRADES!!! (Red Faction) 400:")</f>
        <v>upgrades! Upgrades!! UPGRADES!!! (Red Faction) 400:</v>
      </c>
      <c r="H328" s="31" t="str">
        <f t="shared" si="2"/>
        <v>_</v>
      </c>
    </row>
    <row r="329">
      <c r="A329" s="9" t="s">
        <v>2037</v>
      </c>
      <c r="B329" s="9" t="s">
        <v>2080</v>
      </c>
      <c r="C329" s="9" t="s">
        <v>888</v>
      </c>
      <c r="D329" s="11" t="str">
        <f>IFERROR(__xludf.DUMMYFUNCTION("ifs(not(isna(MATCH(C329, ExcludedJumps, 0))), ""Excluded"", len(E329) = 0, ""Available"", REGEXMATCH(E329, RepeatableRegex), ""Repeatable"", countif(ARRAYFORMULA(REGEXMATCH(G329, split(B329, char(10)))), ""false"") = 0, ""Obtained"", true, ""Partial"")"),"Obtained")</f>
        <v>Obtained</v>
      </c>
      <c r="E329" s="9" t="s">
        <v>2081</v>
      </c>
      <c r="F329" s="9" t="s">
        <v>2082</v>
      </c>
      <c r="G329" s="31" t="str">
        <f>IFERROR(__xludf.DUMMYFUNCTION("if(len(E329) &gt; 0, join(char(10), FILTER(split(E329, char(10)), REGEXMATCH(split(E329, char(10)), PerkLineRegex))), """")"),"Panzerkampf (Sabaton) 300:
Firestorm (Sabaton) 600:
")</f>
        <v>Panzerkampf (Sabaton) 300:
Firestorm (Sabaton) 600:
</v>
      </c>
      <c r="H329" s="31" t="str">
        <f t="shared" si="2"/>
        <v>_
_</v>
      </c>
    </row>
    <row r="330">
      <c r="A330" s="9" t="s">
        <v>2037</v>
      </c>
      <c r="B330" s="9" t="s">
        <v>2083</v>
      </c>
      <c r="C330" s="9" t="s">
        <v>1761</v>
      </c>
      <c r="D330" s="11" t="str">
        <f>IFERROR(__xludf.DUMMYFUNCTION("ifs(not(isna(MATCH(C330, ExcludedJumps, 0))), ""Excluded"", len(E330) = 0, ""Available"", REGEXMATCH(E330, RepeatableRegex), ""Repeatable"", countif(ARRAYFORMULA(REGEXMATCH(G330, split(B330, char(10)))), ""false"") = 0, ""Obtained"", true, ""Partial"")"),"Excluded")</f>
        <v>Excluded</v>
      </c>
      <c r="E330" s="31"/>
      <c r="F330" s="31"/>
      <c r="G330" s="31" t="str">
        <f>IFERROR(__xludf.DUMMYFUNCTION("if(len(E330) &gt; 0, join(char(10), FILTER(split(E330, char(10)), REGEXMATCH(split(E330, char(10)), PerkLineRegex))), """")"),"")</f>
        <v/>
      </c>
      <c r="H330" s="31" t="str">
        <f t="shared" si="2"/>
        <v/>
      </c>
    </row>
    <row r="331">
      <c r="A331" s="9" t="s">
        <v>2037</v>
      </c>
      <c r="B331" s="9" t="s">
        <v>2070</v>
      </c>
      <c r="C331" s="9" t="s">
        <v>2084</v>
      </c>
      <c r="D331" s="11" t="str">
        <f>IFERROR(__xludf.DUMMYFUNCTION("ifs(not(isna(MATCH(C331, ExcludedJumps, 0))), ""Excluded"", len(E331) = 0, ""Available"", REGEXMATCH(E331, RepeatableRegex), ""Repeatable"", countif(ARRAYFORMULA(REGEXMATCH(G331, split(B331, char(10)))), ""false"") = 0, ""Obtained"", true, ""Partial"")"),"Excluded")</f>
        <v>Excluded</v>
      </c>
      <c r="E331" s="31"/>
      <c r="F331" s="31"/>
      <c r="G331" s="31" t="str">
        <f>IFERROR(__xludf.DUMMYFUNCTION("if(len(E331) &gt; 0, join(char(10), FILTER(split(E331, char(10)), REGEXMATCH(split(E331, char(10)), PerkLineRegex))), """")"),"")</f>
        <v/>
      </c>
      <c r="H331" s="31" t="str">
        <f t="shared" si="2"/>
        <v/>
      </c>
    </row>
    <row r="332">
      <c r="A332" s="9" t="s">
        <v>2037</v>
      </c>
      <c r="B332" s="9" t="s">
        <v>2085</v>
      </c>
      <c r="C332" s="9" t="s">
        <v>165</v>
      </c>
      <c r="D332" s="11" t="str">
        <f>IFERROR(__xludf.DUMMYFUNCTION("ifs(not(isna(MATCH(C332, ExcludedJumps, 0))), ""Excluded"", len(E332) = 0, ""Available"", REGEXMATCH(E332, RepeatableRegex), ""Repeatable"", countif(ARRAYFORMULA(REGEXMATCH(G332, split(B332, char(10)))), ""false"") = 0, ""Obtained"", true, ""Partial"")"),"Obtained")</f>
        <v>Obtained</v>
      </c>
      <c r="E332" s="9" t="s">
        <v>2086</v>
      </c>
      <c r="F332" s="9" t="s">
        <v>2087</v>
      </c>
      <c r="G332" s="31" t="str">
        <f>IFERROR(__xludf.DUMMYFUNCTION("if(len(E332) &gt; 0, join(char(10), FILTER(split(E332, char(10)), REGEXMATCH(split(E332, char(10)), PerkLineRegex))), """")"),"Scrapyard Skills (Swat Kats) 300:
Rockin' Music (Swat Kats) Free:")</f>
        <v>Scrapyard Skills (Swat Kats) 300:
Rockin' Music (Swat Kats) Free:</v>
      </c>
      <c r="H332" s="31" t="str">
        <f t="shared" si="2"/>
        <v>_
Chapter 45: 38 Build Up - Preamble Leet - Addendum Rey</v>
      </c>
    </row>
    <row r="333">
      <c r="A333" s="9" t="s">
        <v>2037</v>
      </c>
      <c r="B333" s="9" t="s">
        <v>2088</v>
      </c>
      <c r="C333" s="9" t="s">
        <v>57</v>
      </c>
      <c r="D333" s="11" t="str">
        <f>IFERROR(__xludf.DUMMYFUNCTION("ifs(not(isna(MATCH(C333, ExcludedJumps, 0))), ""Excluded"", len(E333) = 0, ""Available"", REGEXMATCH(E333, RepeatableRegex), ""Repeatable"", countif(ARRAYFORMULA(REGEXMATCH(G333, split(B333, char(10)))), ""false"") = 0, ""Obtained"", true, ""Partial"")"),"Obtained")</f>
        <v>Obtained</v>
      </c>
      <c r="E333" s="9" t="s">
        <v>2089</v>
      </c>
      <c r="F333" s="9" t="s">
        <v>213</v>
      </c>
      <c r="G333" s="31" t="str">
        <f>IFERROR(__xludf.DUMMYFUNCTION("if(len(E333) &gt; 0, join(char(10), FILTER(split(E333, char(10)), REGEXMATCH(split(E333, char(10)), PerkLineRegex))), """")"),"Simple Scientific Solution (Tenchi Muyo) 100:")</f>
        <v>Simple Scientific Solution (Tenchi Muyo) 100:</v>
      </c>
      <c r="H333" s="31" t="str">
        <f t="shared" si="2"/>
        <v>_</v>
      </c>
    </row>
    <row r="334">
      <c r="A334" s="9" t="s">
        <v>2037</v>
      </c>
      <c r="B334" s="9" t="s">
        <v>2090</v>
      </c>
      <c r="C334" s="9" t="s">
        <v>2091</v>
      </c>
      <c r="D334" s="11" t="str">
        <f>IFERROR(__xludf.DUMMYFUNCTION("ifs(not(isna(MATCH(C334, ExcludedJumps, 0))), ""Excluded"", len(E334) = 0, ""Available"", REGEXMATCH(E334, RepeatableRegex), ""Repeatable"", countif(ARRAYFORMULA(REGEXMATCH(G334, split(B334, char(10)))), ""false"") = 0, ""Obtained"", true, ""Partial"")"),"Obtained")</f>
        <v>Obtained</v>
      </c>
      <c r="E334" s="9" t="s">
        <v>2092</v>
      </c>
      <c r="F334" s="9" t="s">
        <v>1709</v>
      </c>
      <c r="G334" s="31" t="str">
        <f>IFERROR(__xludf.DUMMYFUNCTION("if(len(E334) &gt; 0, join(char(10), FILTER(split(E334, char(10)), REGEXMATCH(split(E334, char(10)), PerkLineRegex))), """")"),"Gadgeteer (Totally Spies/Martin Mystery) 600:
Catsuit (Totally Spies/Martin Mystery) Free:")</f>
        <v>Gadgeteer (Totally Spies/Martin Mystery) 600:
Catsuit (Totally Spies/Martin Mystery) Free:</v>
      </c>
      <c r="H334" s="31" t="str">
        <f t="shared" si="2"/>
        <v>_
Chapter 108: 77 Determination - Preamble Mimi</v>
      </c>
    </row>
    <row r="335">
      <c r="A335" s="9" t="s">
        <v>2037</v>
      </c>
      <c r="B335" s="9" t="s">
        <v>2093</v>
      </c>
      <c r="C335" s="9" t="s">
        <v>466</v>
      </c>
      <c r="D335" s="11" t="str">
        <f>IFERROR(__xludf.DUMMYFUNCTION("ifs(not(isna(MATCH(C335, ExcludedJumps, 0))), ""Excluded"", len(E335) = 0, ""Available"", REGEXMATCH(E335, RepeatableRegex), ""Repeatable"", countif(ARRAYFORMULA(REGEXMATCH(G335, split(B335, char(10)))), ""false"") = 0, ""Obtained"", true, ""Partial"")"),"Obtained")</f>
        <v>Obtained</v>
      </c>
      <c r="E335" s="9" t="s">
        <v>2094</v>
      </c>
      <c r="F335" s="9" t="s">
        <v>203</v>
      </c>
      <c r="G335" s="31" t="str">
        <f>IFERROR(__xludf.DUMMYFUNCTION("if(len(E335) &gt; 0, join(char(10), FILTER(split(E335, char(10)), REGEXMATCH(split(E335, char(10)), PerkLineRegex))), """")"),"Resources: Manufacturing Line (Valkyria Chronicles) 400:")</f>
        <v>Resources: Manufacturing Line (Valkyria Chronicles) 400:</v>
      </c>
      <c r="H335" s="31" t="str">
        <f t="shared" si="2"/>
        <v>_</v>
      </c>
    </row>
    <row r="336">
      <c r="A336" s="9" t="s">
        <v>2037</v>
      </c>
      <c r="B336" s="9" t="s">
        <v>2095</v>
      </c>
      <c r="C336" s="9" t="s">
        <v>523</v>
      </c>
      <c r="D336" s="11" t="str">
        <f>IFERROR(__xludf.DUMMYFUNCTION("ifs(not(isna(MATCH(C336, ExcludedJumps, 0))), ""Excluded"", len(E336) = 0, ""Available"", REGEXMATCH(E336, RepeatableRegex), ""Repeatable"", countif(ARRAYFORMULA(REGEXMATCH(G336, split(B336, char(10)))), ""false"") = 0, ""Obtained"", true, ""Partial"")"),"Obtained")</f>
        <v>Obtained</v>
      </c>
      <c r="E336" s="9" t="s">
        <v>2096</v>
      </c>
      <c r="F336" s="9" t="s">
        <v>203</v>
      </c>
      <c r="G336" s="31" t="str">
        <f>IFERROR(__xludf.DUMMYFUNCTION("if(len(E336) &gt; 0, join(char(10), FILTER(split(E336, char(10)), REGEXMATCH(split(E336, char(10)), PerkLineRegex))), """")"),"More With Less (XCOM) 300:")</f>
        <v>More With Less (XCOM) 300:</v>
      </c>
      <c r="H336" s="31" t="str">
        <f t="shared" si="2"/>
        <v>_</v>
      </c>
    </row>
    <row r="337">
      <c r="A337" s="9" t="s">
        <v>2097</v>
      </c>
      <c r="B337" s="9" t="s">
        <v>2098</v>
      </c>
      <c r="C337" s="9" t="s">
        <v>2099</v>
      </c>
      <c r="D337" s="11" t="str">
        <f>IFERROR(__xludf.DUMMYFUNCTION("ifs(not(isna(MATCH(C337, ExcludedJumps, 0))), ""Excluded"", len(E337) = 0, ""Available"", REGEXMATCH(E337, RepeatableRegex), ""Repeatable"", countif(ARRAYFORMULA(REGEXMATCH(G337, split(B337, char(10)))), ""false"") = 0, ""Obtained"", true, ""Partial"")"),"Excluded")</f>
        <v>Excluded</v>
      </c>
      <c r="E337" s="31"/>
      <c r="F337" s="31"/>
      <c r="G337" s="31" t="str">
        <f>IFERROR(__xludf.DUMMYFUNCTION("if(len(E337) &gt; 0, join(char(10), FILTER(split(E337, char(10)), REGEXMATCH(split(E337, char(10)), PerkLineRegex))), """")"),"")</f>
        <v/>
      </c>
      <c r="H337" s="31" t="str">
        <f t="shared" si="2"/>
        <v/>
      </c>
    </row>
    <row r="338">
      <c r="A338" s="9" t="s">
        <v>2097</v>
      </c>
      <c r="B338" s="9" t="s">
        <v>2100</v>
      </c>
      <c r="C338" s="9" t="s">
        <v>276</v>
      </c>
      <c r="D338" s="11" t="str">
        <f>IFERROR(__xludf.DUMMYFUNCTION("ifs(not(isna(MATCH(C338, ExcludedJumps, 0))), ""Excluded"", len(E338) = 0, ""Available"", REGEXMATCH(E338, RepeatableRegex), ""Repeatable"", countif(ARRAYFORMULA(REGEXMATCH(G338, split(B338, char(10)))), ""false"") = 0, ""Obtained"", true, ""Partial"")"),"Obtained")</f>
        <v>Obtained</v>
      </c>
      <c r="E338" s="9" t="s">
        <v>2101</v>
      </c>
      <c r="F338" s="9" t="s">
        <v>1841</v>
      </c>
      <c r="G338" s="31" t="str">
        <f>IFERROR(__xludf.DUMMYFUNCTION("if(len(E338) &gt; 0, join(char(10), FILTER(split(E338, char(10)), REGEXMATCH(split(E338, char(10)), PerkLineRegex))), """")"),"Nanite Sciences (Generator Rex) 100:
Nanite Removal and Control (Generator Rex) 400:")</f>
        <v>Nanite Sciences (Generator Rex) 100:
Nanite Removal and Control (Generator Rex) 400:</v>
      </c>
      <c r="H338" s="31" t="str">
        <f t="shared" si="2"/>
        <v>_
_</v>
      </c>
    </row>
    <row r="339">
      <c r="A339" s="9" t="s">
        <v>2097</v>
      </c>
      <c r="B339" s="9" t="s">
        <v>2102</v>
      </c>
      <c r="C339" s="9" t="s">
        <v>515</v>
      </c>
      <c r="D339" s="11" t="str">
        <f>IFERROR(__xludf.DUMMYFUNCTION("ifs(not(isna(MATCH(C339, ExcludedJumps, 0))), ""Excluded"", len(E339) = 0, ""Available"", REGEXMATCH(E339, RepeatableRegex), ""Repeatable"", countif(ARRAYFORMULA(REGEXMATCH(G339, split(B339, char(10)))), ""false"") = 0, ""Obtained"", true, ""Partial"")"),"Obtained")</f>
        <v>Obtained</v>
      </c>
      <c r="E339" s="9" t="s">
        <v>2103</v>
      </c>
      <c r="F339" s="9" t="s">
        <v>213</v>
      </c>
      <c r="G339" s="31" t="str">
        <f>IFERROR(__xludf.DUMMYFUNCTION("if(len(E339) &gt; 0, join(char(10), FILTER(split(E339, char(10)), REGEXMATCH(split(E339, char(10)), PerkLineRegex))), """")"),"Gadget Master (James Bond: 007) 300:")</f>
        <v>Gadget Master (James Bond: 007) 300:</v>
      </c>
      <c r="H339" s="31" t="str">
        <f t="shared" si="2"/>
        <v>_</v>
      </c>
    </row>
    <row r="340">
      <c r="A340" s="9" t="s">
        <v>2097</v>
      </c>
      <c r="B340" s="9" t="s">
        <v>2104</v>
      </c>
      <c r="C340" s="41" t="s">
        <v>279</v>
      </c>
      <c r="D340" s="11" t="str">
        <f>IFERROR(__xludf.DUMMYFUNCTION("ifs(not(isna(MATCH(C340, ExcludedJumps, 0))), ""Excluded"", len(E340) = 0, ""Available"", REGEXMATCH(E340, RepeatableRegex), ""Repeatable"", countif(ARRAYFORMULA(REGEXMATCH(G340, split(B340, char(10)))), ""false"") = 0, ""Obtained"", true, ""Partial"")"),"Obtained")</f>
        <v>Obtained</v>
      </c>
      <c r="E340" s="9" t="s">
        <v>2105</v>
      </c>
      <c r="F340" s="9" t="s">
        <v>2106</v>
      </c>
      <c r="G340" s="31" t="str">
        <f>IFERROR(__xludf.DUMMYFUNCTION("if(len(E340) &gt; 0, join(char(10), FILTER(split(E340, char(10)), REGEXMATCH(split(E340, char(10)), PerkLineRegex))), """")"),"They're Like Legoes, Right? (Kerbal Space Program) 200:
This Is How I Want It (Kerbal Space Program) 400:
This Is, Actually, Rocket Science (Kerbal Space Program) Free:
Speak English, Dammit! (Kerbal Space Program) Free:
Some Old Friends (Kerbal Space Pro"&amp;"gram) Free:
Espirit de Kerbal (Kerbal Space Program) Free:
Emblems (Kerbal Space Program) Free:")</f>
        <v>They're Like Legoes, Right? (Kerbal Space Program) 200:
This Is How I Want It (Kerbal Space Program) 400:
This Is, Actually, Rocket Science (Kerbal Space Program) Free:
Speak English, Dammit! (Kerbal Space Program) Free:
Some Old Friends (Kerbal Space Program) Free:
Espirit de Kerbal (Kerbal Space Program) Free:
Emblems (Kerbal Space Program) Free:</v>
      </c>
      <c r="H340" s="31" t="str">
        <f t="shared" si="2"/>
        <v>_
_
Chapter 139: 95.6 Interlude Rey
Chapter 139: 95.6 Interlude Rey
Chapter 139: 95.6 Interlude Rey
Chapter 139: 95.6 Interlude Rey
Chapter 139: 95.6 Interlude Rey</v>
      </c>
    </row>
    <row r="341">
      <c r="A341" s="9" t="s">
        <v>2097</v>
      </c>
      <c r="B341" s="9" t="s">
        <v>2107</v>
      </c>
      <c r="C341" s="9" t="s">
        <v>2108</v>
      </c>
      <c r="D341" s="11" t="str">
        <f>IFERROR(__xludf.DUMMYFUNCTION("ifs(not(isna(MATCH(C341, ExcludedJumps, 0))), ""Excluded"", len(E341) = 0, ""Available"", REGEXMATCH(E341, RepeatableRegex), ""Repeatable"", countif(ARRAYFORMULA(REGEXMATCH(G341, split(B341, char(10)))), ""false"") = 0, ""Obtained"", true, ""Partial"")"),"Excluded")</f>
        <v>Excluded</v>
      </c>
      <c r="E341" s="31"/>
      <c r="F341" s="31"/>
      <c r="G341" s="31" t="str">
        <f>IFERROR(__xludf.DUMMYFUNCTION("if(len(E341) &gt; 0, join(char(10), FILTER(split(E341, char(10)), REGEXMATCH(split(E341, char(10)), PerkLineRegex))), """")"),"")</f>
        <v/>
      </c>
      <c r="H341" s="31" t="str">
        <f t="shared" si="2"/>
        <v/>
      </c>
    </row>
    <row r="342">
      <c r="A342" s="9" t="s">
        <v>2097</v>
      </c>
      <c r="B342" s="9" t="s">
        <v>2109</v>
      </c>
      <c r="C342" s="9" t="s">
        <v>2110</v>
      </c>
      <c r="D342" s="11" t="str">
        <f>IFERROR(__xludf.DUMMYFUNCTION("ifs(not(isna(MATCH(C342, ExcludedJumps, 0))), ""Excluded"", len(E342) = 0, ""Available"", REGEXMATCH(E342, RepeatableRegex), ""Repeatable"", countif(ARRAYFORMULA(REGEXMATCH(G342, split(B342, char(10)))), ""false"") = 0, ""Obtained"", true, ""Partial"")"),"Excluded")</f>
        <v>Excluded</v>
      </c>
      <c r="E342" s="31"/>
      <c r="F342" s="31"/>
      <c r="G342" s="31" t="str">
        <f>IFERROR(__xludf.DUMMYFUNCTION("if(len(E342) &gt; 0, join(char(10), FILTER(split(E342, char(10)), REGEXMATCH(split(E342, char(10)), PerkLineRegex))), """")"),"")</f>
        <v/>
      </c>
      <c r="H342" s="31" t="str">
        <f t="shared" si="2"/>
        <v/>
      </c>
    </row>
    <row r="343">
      <c r="A343" s="9" t="s">
        <v>2097</v>
      </c>
      <c r="B343" s="9" t="s">
        <v>2111</v>
      </c>
      <c r="C343" s="9" t="s">
        <v>1648</v>
      </c>
      <c r="D343" s="11" t="str">
        <f>IFERROR(__xludf.DUMMYFUNCTION("ifs(not(isna(MATCH(C343, ExcludedJumps, 0))), ""Excluded"", len(E343) = 0, ""Available"", REGEXMATCH(E343, RepeatableRegex), ""Repeatable"", countif(ARRAYFORMULA(REGEXMATCH(G343, split(B343, char(10)))), ""false"") = 0, ""Obtained"", true, ""Partial"")"),"Excluded")</f>
        <v>Excluded</v>
      </c>
      <c r="E343" s="31"/>
      <c r="F343" s="31"/>
      <c r="G343" s="31" t="str">
        <f>IFERROR(__xludf.DUMMYFUNCTION("if(len(E343) &gt; 0, join(char(10), FILTER(split(E343, char(10)), REGEXMATCH(split(E343, char(10)), PerkLineRegex))), """")"),"")</f>
        <v/>
      </c>
      <c r="H343" s="31" t="str">
        <f t="shared" si="2"/>
        <v/>
      </c>
    </row>
    <row r="344">
      <c r="A344" s="9" t="s">
        <v>2097</v>
      </c>
      <c r="B344" s="9" t="s">
        <v>2112</v>
      </c>
      <c r="C344" s="9" t="s">
        <v>977</v>
      </c>
      <c r="D344" s="11" t="str">
        <f>IFERROR(__xludf.DUMMYFUNCTION("ifs(not(isna(MATCH(C344, ExcludedJumps, 0))), ""Excluded"", len(E344) = 0, ""Available"", REGEXMATCH(E344, RepeatableRegex), ""Repeatable"", countif(ARRAYFORMULA(REGEXMATCH(G344, split(B344, char(10)))), ""false"") = 0, ""Obtained"", true, ""Partial"")"),"Partial")</f>
        <v>Partial</v>
      </c>
      <c r="E344" s="9" t="s">
        <v>2113</v>
      </c>
      <c r="F344" s="9" t="s">
        <v>2114</v>
      </c>
      <c r="G344" s="31" t="str">
        <f>IFERROR(__xludf.DUMMYFUNCTION("if(len(E344) &gt; 0, join(char(10), FILTER(split(E344, char(10)), REGEXMATCH(split(E344, char(10)), PerkLineRegex))), """")"),"Nano-technician (Red Faction) 600:
Recycler (Red Faction) Free:
Sledgehammer (Red Faction) Free:
Nano-Forge (Red Faction) 600:
")</f>
        <v>Nano-technician (Red Faction) 600:
Recycler (Red Faction) Free:
Sledgehammer (Red Faction) Free:
Nano-Forge (Red Faction) 600:
</v>
      </c>
      <c r="H344" s="31" t="str">
        <f t="shared" si="2"/>
        <v>_
Chapter 75: 58 Go Time - Preamble Survey
Chapter 75: 58 Go Time - Preamble Survey
_</v>
      </c>
    </row>
    <row r="345">
      <c r="A345" s="9" t="s">
        <v>2097</v>
      </c>
      <c r="B345" s="9" t="s">
        <v>2115</v>
      </c>
      <c r="C345" s="9" t="s">
        <v>478</v>
      </c>
      <c r="D345" s="11" t="str">
        <f>IFERROR(__xludf.DUMMYFUNCTION("ifs(not(isna(MATCH(C345, ExcludedJumps, 0))), ""Excluded"", len(E345) = 0, ""Available"", REGEXMATCH(E345, RepeatableRegex), ""Repeatable"", countif(ARRAYFORMULA(REGEXMATCH(G345, split(B345, char(10)))), ""false"") = 0, ""Obtained"", true, ""Partial"")"),"Obtained")</f>
        <v>Obtained</v>
      </c>
      <c r="E345" s="9" t="s">
        <v>2116</v>
      </c>
      <c r="F345" s="9" t="s">
        <v>2117</v>
      </c>
      <c r="G345" s="31" t="str">
        <f>IFERROR(__xludf.DUMMYFUNCTION("if(len(E345) &gt; 0, join(char(10), FILTER(split(E345, char(10)), REGEXMATCH(split(E345, char(10)), PerkLineRegex))), """")"),"Tinkerer (RWBY) 300:
Aura (RWBY) Free:
Dust (RWBY) Free:
Variable Weapon (RWBY) Free:
Scroll (RWBY) Free:")</f>
        <v>Tinkerer (RWBY) 300:
Aura (RWBY) Free:
Dust (RWBY) Free:
Variable Weapon (RWBY) Free:
Scroll (RWBY) Free:</v>
      </c>
      <c r="H345" s="31" t="str">
        <f t="shared" si="2"/>
        <v>_
Chapter 31: 25 Search and Rescue - Addendum PHO
Chapter 31: 25 Search and Rescue - Addendum PHO
Chapter 31: 25 Search and Rescue - Addendum PHO
Chapter 31: 25 Search and Rescue - Addendum PHO</v>
      </c>
    </row>
    <row r="346">
      <c r="A346" s="9" t="s">
        <v>2097</v>
      </c>
      <c r="B346" s="9" t="s">
        <v>2118</v>
      </c>
      <c r="C346" s="9" t="s">
        <v>28</v>
      </c>
      <c r="D346" s="11" t="str">
        <f>IFERROR(__xludf.DUMMYFUNCTION("ifs(not(isna(MATCH(C346, ExcludedJumps, 0))), ""Excluded"", len(E346) = 0, ""Available"", REGEXMATCH(E346, RepeatableRegex), ""Repeatable"", countif(ARRAYFORMULA(REGEXMATCH(G346, split(B346, char(10)))), ""false"") = 0, ""Obtained"", true, ""Partial"")"),"Obtained")</f>
        <v>Obtained</v>
      </c>
      <c r="E346" s="9" t="s">
        <v>2119</v>
      </c>
      <c r="F346" s="9" t="s">
        <v>2120</v>
      </c>
      <c r="G346" s="31" t="str">
        <f>IFERROR(__xludf.DUMMYFUNCTION("if(len(E346) &gt; 0, join(char(10), FILTER(split(E346, char(10)), REGEXMATCH(split(E346, char(10)), PerkLineRegex))), """")"),"Cybertronian Forge (Transformers) 600:
ROBOTS IN DISGUISE! - Medium Chassis (Transformers) Free:
Altmode (Transformers) Free:
Energon Melee Weapon (Transformers) Free:
Energon Battle Pistol (Transformers) Free:
Energon (Transformers) Free:
Decepticon Terr"&amp;"orize! (Transformers) Free:")</f>
        <v>Cybertronian Forge (Transformers) 600:
ROBOTS IN DISGUISE! - Medium Chassis (Transformers) Free:
Altmode (Transformers) Free:
Energon Melee Weapon (Transformers) Free:
Energon Battle Pistol (Transformers) Free:
Energon (Transformers) Free:
Decepticon Terrorize! (Transformers) Free:</v>
      </c>
      <c r="H346" s="31" t="str">
        <f t="shared" si="2"/>
        <v>_
Chapter 129: 92 Opened Discourse
Chapter 129: 92 Opened Discourse
Chapter 129: 92 Opened Discourse
Chapter 129: 92 Opened Discourse
Chapter 129: 92 Opened Discourse
Chapter 129: 92 Opened Discourse</v>
      </c>
    </row>
    <row r="347">
      <c r="A347" s="9" t="s">
        <v>2097</v>
      </c>
      <c r="B347" s="9" t="s">
        <v>2121</v>
      </c>
      <c r="C347" s="9" t="s">
        <v>28</v>
      </c>
      <c r="D347" s="11" t="str">
        <f>IFERROR(__xludf.DUMMYFUNCTION("ifs(not(isna(MATCH(C347, ExcludedJumps, 0))), ""Excluded"", len(E347) = 0, ""Available"", REGEXMATCH(E347, RepeatableRegex), ""Repeatable"", countif(ARRAYFORMULA(REGEXMATCH(G347, split(B347, char(10)))), ""false"") = 0, ""Obtained"", true, ""Partial"")"),"Obtained")</f>
        <v>Obtained</v>
      </c>
      <c r="E347" s="9" t="s">
        <v>2122</v>
      </c>
      <c r="F347" s="9" t="s">
        <v>213</v>
      </c>
      <c r="G347" s="31" t="str">
        <f>IFERROR(__xludf.DUMMYFUNCTION("if(len(E347) &gt; 0, join(char(10), FILTER(split(E347, char(10)), REGEXMATCH(split(E347, char(10)), PerkLineRegex))), """")"),"Master Builder (Transformers) 400:")</f>
        <v>Master Builder (Transformers) 400:</v>
      </c>
      <c r="H347" s="31" t="str">
        <f t="shared" si="2"/>
        <v>_</v>
      </c>
    </row>
    <row r="348">
      <c r="A348" s="9" t="s">
        <v>2097</v>
      </c>
      <c r="B348" s="9" t="s">
        <v>2123</v>
      </c>
      <c r="C348" s="9" t="s">
        <v>28</v>
      </c>
      <c r="D348" s="11" t="str">
        <f>IFERROR(__xludf.DUMMYFUNCTION("ifs(not(isna(MATCH(C348, ExcludedJumps, 0))), ""Excluded"", len(E348) = 0, ""Available"", REGEXMATCH(E348, RepeatableRegex), ""Repeatable"", countif(ARRAYFORMULA(REGEXMATCH(G348, split(B348, char(10)))), ""false"") = 0, ""Obtained"", true, ""Partial"")"),"Obtained")</f>
        <v>Obtained</v>
      </c>
      <c r="E348" s="9" t="s">
        <v>2124</v>
      </c>
      <c r="F348" s="9" t="s">
        <v>1795</v>
      </c>
      <c r="G348" s="31" t="str">
        <f>IFERROR(__xludf.DUMMYFUNCTION("if(len(E348) &gt; 0, join(char(10), FILTER(split(E348, char(10)), REGEXMATCH(split(E348, char(10)), PerkLineRegex))), """")"),"Science! Mechanics (Transformers) 100: 
Science! Engineering (Transformers) 100:")</f>
        <v>Science! Mechanics (Transformers) 100: 
Science! Engineering (Transformers) 100:</v>
      </c>
      <c r="H348" s="31" t="str">
        <f t="shared" si="2"/>
        <v>_
Chapter 17: 13 Debut</v>
      </c>
    </row>
    <row r="349">
      <c r="A349" s="9" t="s">
        <v>2097</v>
      </c>
      <c r="B349" s="9" t="s">
        <v>2125</v>
      </c>
      <c r="C349" s="9" t="s">
        <v>985</v>
      </c>
      <c r="D349" s="11" t="str">
        <f>IFERROR(__xludf.DUMMYFUNCTION("ifs(not(isna(MATCH(C349, ExcludedJumps, 0))), ""Excluded"", len(E349) = 0, ""Available"", REGEXMATCH(E349, RepeatableRegex), ""Repeatable"", countif(ARRAYFORMULA(REGEXMATCH(G349, split(B349, char(10)))), ""false"") = 0, ""Obtained"", true, ""Partial"")"),"Obtained")</f>
        <v>Obtained</v>
      </c>
      <c r="E349" s="9" t="s">
        <v>2126</v>
      </c>
      <c r="F349" s="9" t="s">
        <v>2127</v>
      </c>
      <c r="G349" s="31" t="str">
        <f>IFERROR(__xludf.DUMMYFUNCTION("if(len(E349) &gt; 0, join(char(10), FILTER(split(E349, char(10)), REGEXMATCH(split(E349, char(10)), PerkLineRegex))), """")"),"Parahuman - Tinker - Miniaturization and Efficiency (Worm) 400:
Outside Context Problem (Worm) Free:
Tinker-Tech Cache (Worm) Free:")</f>
        <v>Parahuman - Tinker - Miniaturization and Efficiency (Worm) 400:
Outside Context Problem (Worm) Free:
Tinker-Tech Cache (Worm) Free:</v>
      </c>
      <c r="H349" s="31" t="str">
        <f t="shared" si="2"/>
        <v>_
Chapter 77: 58.2 Interlude Lisa Addendum Joe
Chapter 77: 58.2 Interlude Lisa Addendum Joe</v>
      </c>
    </row>
    <row r="350">
      <c r="A350" s="9" t="s">
        <v>2097</v>
      </c>
      <c r="B350" s="9" t="s">
        <v>2128</v>
      </c>
      <c r="C350" s="9" t="s">
        <v>336</v>
      </c>
      <c r="D350" s="11" t="str">
        <f>IFERROR(__xludf.DUMMYFUNCTION("ifs(not(isna(MATCH(C350, ExcludedJumps, 0))), ""Excluded"", len(E350) = 0, ""Available"", REGEXMATCH(E350, RepeatableRegex), ""Repeatable"", countif(ARRAYFORMULA(REGEXMATCH(G350, split(B350, char(10)))), ""false"") = 0, ""Obtained"", true, ""Partial"")"),"Obtained")</f>
        <v>Obtained</v>
      </c>
      <c r="E350" s="9" t="s">
        <v>2129</v>
      </c>
      <c r="F350" s="9" t="s">
        <v>2130</v>
      </c>
      <c r="G350" s="31" t="str">
        <f>IFERROR(__xludf.DUMMYFUNCTION("if(len(E350) &gt; 0, join(char(10), FILTER(split(E350, char(10)), REGEXMATCH(split(E350, char(10)), PerkLineRegex))), """")"),"Hybridization Theory (Zoids: Legacy) 400:
Pre-existing Variations?! (Zoids: Legacy) Free:
Accelerator Equipment (Zoids: Legacy) 3 Customization Points:
Electron Shield Generators (Zoids: Legacy) 2 Customization Points:
Doppler Field Generator (Zoids: Lega"&amp;"cy) 5 Customization Points:")</f>
        <v>Hybridization Theory (Zoids: Legacy) 400:
Pre-existing Variations?! (Zoids: Legacy) Free:
Accelerator Equipment (Zoids: Legacy) 3 Customization Points:
Electron Shield Generators (Zoids: Legacy) 2 Customization Points:
Doppler Field Generator (Zoids: Legacy) 5 Customization Points:</v>
      </c>
      <c r="H350" s="31" t="str">
        <f t="shared" si="2"/>
        <v>_
_
Chapter 71: 55.1 Interlude Fleet Preamble Roy Addendum Margaret
Chapter 71: 55.1 Interlude Fleet Preamble Roy Addendum Margaret
Chapter 71: 55.1 Interlude Fleet Preamble Roy Addendum Margaret</v>
      </c>
    </row>
    <row r="351">
      <c r="A351" s="9" t="s">
        <v>2131</v>
      </c>
      <c r="B351" s="9" t="s">
        <v>2132</v>
      </c>
      <c r="C351" s="9" t="s">
        <v>436</v>
      </c>
      <c r="D351" s="11" t="str">
        <f>IFERROR(__xludf.DUMMYFUNCTION("ifs(not(isna(MATCH(C351, ExcludedJumps, 0))), ""Excluded"", len(E351) = 0, ""Available"", REGEXMATCH(E351, RepeatableRegex), ""Repeatable"", countif(ARRAYFORMULA(REGEXMATCH(G351, split(B351, char(10)))), ""false"") = 0, ""Obtained"", true, ""Partial"")"),"Obtained")</f>
        <v>Obtained</v>
      </c>
      <c r="E351" s="9" t="s">
        <v>2133</v>
      </c>
      <c r="F351" s="9" t="s">
        <v>203</v>
      </c>
      <c r="G351" s="31" t="str">
        <f>IFERROR(__xludf.DUMMYFUNCTION("if(len(E351) &gt; 0, join(char(10), FILTER(split(E351, char(10)), REGEXMATCH(split(E351, char(10)), PerkLineRegex))), """")"),"Don't Need A Team (Ace Combat) 100:")</f>
        <v>Don't Need A Team (Ace Combat) 100:</v>
      </c>
      <c r="H351" s="31" t="str">
        <f t="shared" si="2"/>
        <v>_</v>
      </c>
    </row>
    <row r="352">
      <c r="A352" s="9" t="s">
        <v>2131</v>
      </c>
      <c r="B352" s="9" t="s">
        <v>2134</v>
      </c>
      <c r="C352" s="9" t="s">
        <v>584</v>
      </c>
      <c r="D352" s="11" t="str">
        <f>IFERROR(__xludf.DUMMYFUNCTION("ifs(not(isna(MATCH(C352, ExcludedJumps, 0))), ""Excluded"", len(E352) = 0, ""Available"", REGEXMATCH(E352, RepeatableRegex), ""Repeatable"", countif(ARRAYFORMULA(REGEXMATCH(G352, split(B352, char(10)))), ""false"") = 0, ""Obtained"", true, ""Partial"")"),"Obtained")</f>
        <v>Obtained</v>
      </c>
      <c r="E352" s="9" t="s">
        <v>2135</v>
      </c>
      <c r="F352" s="9" t="s">
        <v>583</v>
      </c>
      <c r="G352" s="31" t="str">
        <f>IFERROR(__xludf.DUMMYFUNCTION("if(len(E352) &gt; 0, join(char(10), FILTER(split(E352, char(10)), REGEXMATCH(split(E352, char(10)), PerkLineRegex))), """")"),"Researcher (Age of Mythology) 400:")</f>
        <v>Researcher (Age of Mythology) 400:</v>
      </c>
      <c r="H352" s="31" t="str">
        <f t="shared" si="2"/>
        <v>_</v>
      </c>
    </row>
    <row r="353">
      <c r="A353" s="9" t="s">
        <v>2131</v>
      </c>
      <c r="B353" s="9" t="s">
        <v>2051</v>
      </c>
      <c r="C353" s="9" t="s">
        <v>811</v>
      </c>
      <c r="D353" s="11" t="str">
        <f>IFERROR(__xludf.DUMMYFUNCTION("ifs(not(isna(MATCH(C353, ExcludedJumps, 0))), ""Excluded"", len(E353) = 0, ""Available"", REGEXMATCH(E353, RepeatableRegex), ""Repeatable"", countif(ARRAYFORMULA(REGEXMATCH(G353, split(B353, char(10)))), ""false"") = 0, ""Obtained"", true, ""Partial"")"),"Obtained")</f>
        <v>Obtained</v>
      </c>
      <c r="E353" s="9" t="s">
        <v>2052</v>
      </c>
      <c r="F353" s="9" t="s">
        <v>203</v>
      </c>
      <c r="G353" s="31" t="str">
        <f>IFERROR(__xludf.DUMMYFUNCTION("if(len(E353) &gt; 0, join(char(10), FILTER(split(E353, char(10)), REGEXMATCH(split(E353, char(10)), PerkLineRegex))), """")"),"Shipping the Product (F.E.A.R.) 400:")</f>
        <v>Shipping the Product (F.E.A.R.) 400:</v>
      </c>
      <c r="H353" s="31" t="str">
        <f t="shared" si="2"/>
        <v>_</v>
      </c>
    </row>
    <row r="354">
      <c r="A354" s="9" t="s">
        <v>2131</v>
      </c>
      <c r="B354" s="9" t="s">
        <v>2136</v>
      </c>
      <c r="C354" s="9" t="s">
        <v>320</v>
      </c>
      <c r="D354" s="11" t="str">
        <f>IFERROR(__xludf.DUMMYFUNCTION("ifs(not(isna(MATCH(C354, ExcludedJumps, 0))), ""Excluded"", len(E354) = 0, ""Available"", REGEXMATCH(E354, RepeatableRegex), ""Repeatable"", countif(ARRAYFORMULA(REGEXMATCH(G354, split(B354, char(10)))), ""false"") = 0, ""Obtained"", true, ""Partial"")"),"Obtained")</f>
        <v>Obtained</v>
      </c>
      <c r="E354" s="9" t="s">
        <v>2137</v>
      </c>
      <c r="F354" s="9" t="s">
        <v>294</v>
      </c>
      <c r="G354" s="31" t="str">
        <f>IFERROR(__xludf.DUMMYFUNCTION("if(len(E354) &gt; 0, join(char(10), FILTER(split(E354, char(10)), REGEXMATCH(split(E354, char(10)), PerkLineRegex))), """")"),"Most Holy Order of the Socket Wrench (Fast and Furious) 400:")</f>
        <v>Most Holy Order of the Socket Wrench (Fast and Furious) 400:</v>
      </c>
      <c r="H354" s="31" t="str">
        <f t="shared" si="2"/>
        <v>_</v>
      </c>
    </row>
    <row r="355">
      <c r="A355" s="9" t="s">
        <v>2131</v>
      </c>
      <c r="B355" s="9" t="s">
        <v>1757</v>
      </c>
      <c r="C355" s="9" t="s">
        <v>295</v>
      </c>
      <c r="D355" s="11" t="str">
        <f>IFERROR(__xludf.DUMMYFUNCTION("ifs(not(isna(MATCH(C355, ExcludedJumps, 0))), ""Excluded"", len(E355) = 0, ""Available"", REGEXMATCH(E355, RepeatableRegex), ""Repeatable"", countif(ARRAYFORMULA(REGEXMATCH(G355, split(B355, char(10)))), ""false"") = 0, ""Obtained"", true, ""Partial"")"),"Obtained")</f>
        <v>Obtained</v>
      </c>
      <c r="E355" s="9" t="s">
        <v>2138</v>
      </c>
      <c r="F355" s="9" t="s">
        <v>294</v>
      </c>
      <c r="G355" s="31" t="str">
        <f>IFERROR(__xludf.DUMMYFUNCTION("if(len(E355) &gt; 0, join(char(10), FILTER(split(E355, char(10)), REGEXMATCH(split(E355, char(10)), PerkLineRegex))), """")"),"Machinist (Gargoyles) 200:")</f>
        <v>Machinist (Gargoyles) 200:</v>
      </c>
      <c r="H355" s="31" t="str">
        <f t="shared" si="2"/>
        <v>_</v>
      </c>
    </row>
    <row r="356">
      <c r="A356" s="9" t="s">
        <v>2131</v>
      </c>
      <c r="B356" s="9" t="s">
        <v>2139</v>
      </c>
      <c r="C356" s="9" t="s">
        <v>255</v>
      </c>
      <c r="D356" s="11" t="str">
        <f>IFERROR(__xludf.DUMMYFUNCTION("ifs(not(isna(MATCH(C356, ExcludedJumps, 0))), ""Excluded"", len(E356) = 0, ""Available"", REGEXMATCH(E356, RepeatableRegex), ""Repeatable"", countif(ARRAYFORMULA(REGEXMATCH(G356, split(B356, char(10)))), ""false"") = 0, ""Obtained"", true, ""Partial"")"),"Obtained")</f>
        <v>Obtained</v>
      </c>
      <c r="E356" s="9" t="s">
        <v>2140</v>
      </c>
      <c r="F356" s="9" t="s">
        <v>2141</v>
      </c>
      <c r="G356" s="31" t="str">
        <f>IFERROR(__xludf.DUMMYFUNCTION("if(len(E356) &gt; 0, join(char(10), FILTER(split(E356, char(10)), REGEXMATCH(split(E356, char(10)), PerkLineRegex))), """")"),"Scientist: Machinery (Girl Genius) 100:
Strong Spark (Girl Genius) 600:")</f>
        <v>Scientist: Machinery (Girl Genius) 100:
Strong Spark (Girl Genius) 600:</v>
      </c>
      <c r="H356" s="31" t="str">
        <f t="shared" si="2"/>
        <v>_
_</v>
      </c>
    </row>
    <row r="357">
      <c r="A357" s="9" t="s">
        <v>2131</v>
      </c>
      <c r="B357" s="9" t="s">
        <v>2001</v>
      </c>
      <c r="C357" s="9" t="s">
        <v>1734</v>
      </c>
      <c r="D357" s="11" t="str">
        <f>IFERROR(__xludf.DUMMYFUNCTION("ifs(not(isna(MATCH(C357, ExcludedJumps, 0))), ""Excluded"", len(E357) = 0, ""Available"", REGEXMATCH(E357, RepeatableRegex), ""Repeatable"", countif(ARRAYFORMULA(REGEXMATCH(G357, split(B357, char(10)))), ""false"") = 0, ""Obtained"", true, ""Partial"")"),"Excluded")</f>
        <v>Excluded</v>
      </c>
      <c r="E357" s="31"/>
      <c r="F357" s="31"/>
      <c r="G357" s="31" t="str">
        <f>IFERROR(__xludf.DUMMYFUNCTION("if(len(E357) &gt; 0, join(char(10), FILTER(split(E357, char(10)), REGEXMATCH(split(E357, char(10)), PerkLineRegex))), """")"),"")</f>
        <v/>
      </c>
      <c r="H357" s="31" t="str">
        <f t="shared" si="2"/>
        <v/>
      </c>
    </row>
    <row r="358">
      <c r="A358" s="9" t="s">
        <v>2131</v>
      </c>
      <c r="B358" s="9" t="s">
        <v>2142</v>
      </c>
      <c r="C358" s="9" t="s">
        <v>700</v>
      </c>
      <c r="D358" s="11" t="str">
        <f>IFERROR(__xludf.DUMMYFUNCTION("ifs(not(isna(MATCH(C358, ExcludedJumps, 0))), ""Excluded"", len(E358) = 0, ""Available"", REGEXMATCH(E358, RepeatableRegex), ""Repeatable"", countif(ARRAYFORMULA(REGEXMATCH(G358, split(B358, char(10)))), ""false"") = 0, ""Obtained"", true, ""Partial"")"),"Obtained")</f>
        <v>Obtained</v>
      </c>
      <c r="E358" s="9" t="s">
        <v>2143</v>
      </c>
      <c r="F358" s="9" t="s">
        <v>294</v>
      </c>
      <c r="G358" s="31" t="str">
        <f>IFERROR(__xludf.DUMMYFUNCTION("if(len(E358) &gt; 0, join(char(10), FILTER(split(E358, char(10)), REGEXMATCH(split(E358, char(10)), PerkLineRegex))), """")"),"Build Rome (Gundam: After Colony) 600:")</f>
        <v>Build Rome (Gundam: After Colony) 600:</v>
      </c>
      <c r="H358" s="31" t="str">
        <f t="shared" si="2"/>
        <v>_</v>
      </c>
    </row>
    <row r="359">
      <c r="A359" s="9" t="s">
        <v>2131</v>
      </c>
      <c r="B359" s="9" t="s">
        <v>2144</v>
      </c>
      <c r="C359" s="9" t="s">
        <v>248</v>
      </c>
      <c r="D359" s="11" t="str">
        <f>IFERROR(__xludf.DUMMYFUNCTION("ifs(not(isna(MATCH(C359, ExcludedJumps, 0))), ""Excluded"", len(E359) = 0, ""Available"", REGEXMATCH(E359, RepeatableRegex), ""Repeatable"", countif(ARRAYFORMULA(REGEXMATCH(G359, split(B359, char(10)))), ""false"") = 0, ""Obtained"", true, ""Partial"")"),"Obtained")</f>
        <v>Obtained</v>
      </c>
      <c r="E359" s="9" t="s">
        <v>2145</v>
      </c>
      <c r="F359" s="9" t="s">
        <v>203</v>
      </c>
      <c r="G359" s="31" t="str">
        <f>IFERROR(__xludf.DUMMYFUNCTION("if(len(E359) &gt; 0, join(char(10), FILTER(split(E359, char(10)), REGEXMATCH(split(E359, char(10)), PerkLineRegex))), """")"),"Savvy Sultan (Macross) 400:")</f>
        <v>Savvy Sultan (Macross) 400:</v>
      </c>
      <c r="H359" s="31" t="str">
        <f t="shared" si="2"/>
        <v>_</v>
      </c>
    </row>
    <row r="360">
      <c r="A360" s="9" t="s">
        <v>2131</v>
      </c>
      <c r="B360" s="9" t="s">
        <v>2146</v>
      </c>
      <c r="C360" s="9" t="s">
        <v>2147</v>
      </c>
      <c r="D360" s="11" t="str">
        <f>IFERROR(__xludf.DUMMYFUNCTION("ifs(not(isna(MATCH(C360, ExcludedJumps, 0))), ""Excluded"", len(E360) = 0, ""Available"", REGEXMATCH(E360, RepeatableRegex), ""Repeatable"", countif(ARRAYFORMULA(REGEXMATCH(G360, split(B360, char(10)))), ""false"") = 0, ""Obtained"", true, ""Partial"")"),"Obtained")</f>
        <v>Obtained</v>
      </c>
      <c r="E360" s="9" t="s">
        <v>2148</v>
      </c>
      <c r="F360" s="9" t="s">
        <v>203</v>
      </c>
      <c r="G360" s="31" t="str">
        <f>IFERROR(__xludf.DUMMYFUNCTION("if(len(E360) &gt; 0, join(char(10), FILTER(split(E360, char(10)), REGEXMATCH(split(E360, char(10)), PerkLineRegex))), """")"),"Workaholic (Sonic The Hedgehog) 300:")</f>
        <v>Workaholic (Sonic The Hedgehog) 300:</v>
      </c>
      <c r="H360" s="31" t="str">
        <f t="shared" si="2"/>
        <v>_</v>
      </c>
    </row>
    <row r="361">
      <c r="A361" s="9" t="s">
        <v>2131</v>
      </c>
      <c r="B361" s="9" t="s">
        <v>2093</v>
      </c>
      <c r="C361" s="9" t="s">
        <v>466</v>
      </c>
      <c r="D361" s="11" t="str">
        <f>IFERROR(__xludf.DUMMYFUNCTION("ifs(not(isna(MATCH(C361, ExcludedJumps, 0))), ""Excluded"", len(E361) = 0, ""Available"", REGEXMATCH(E361, RepeatableRegex), ""Repeatable"", countif(ARRAYFORMULA(REGEXMATCH(G361, split(B361, char(10)))), ""false"") = 0, ""Obtained"", true, ""Partial"")"),"Obtained")</f>
        <v>Obtained</v>
      </c>
      <c r="E361" s="9" t="s">
        <v>2149</v>
      </c>
      <c r="F361" s="9" t="s">
        <v>203</v>
      </c>
      <c r="G361" s="31" t="str">
        <f>IFERROR(__xludf.DUMMYFUNCTION("if(len(E361) &gt; 0, join(char(10), FILTER(split(E361, char(10)), REGEXMATCH(split(E361, char(10)), PerkLineRegex))), """")"),"Time: Manufacturing Line (Valkyria Chronicles) 400:")</f>
        <v>Time: Manufacturing Line (Valkyria Chronicles) 400:</v>
      </c>
      <c r="H361" s="31" t="str">
        <f t="shared" si="2"/>
        <v>_</v>
      </c>
    </row>
    <row r="362">
      <c r="A362" s="9" t="s">
        <v>2131</v>
      </c>
      <c r="B362" s="9" t="s">
        <v>2150</v>
      </c>
      <c r="C362" s="9" t="s">
        <v>523</v>
      </c>
      <c r="D362" s="11" t="str">
        <f>IFERROR(__xludf.DUMMYFUNCTION("ifs(not(isna(MATCH(C362, ExcludedJumps, 0))), ""Excluded"", len(E362) = 0, ""Available"", REGEXMATCH(E362, RepeatableRegex), ""Repeatable"", countif(ARRAYFORMULA(REGEXMATCH(G362, split(B362, char(10)))), ""false"") = 0, ""Obtained"", true, ""Partial"")"),"Obtained")</f>
        <v>Obtained</v>
      </c>
      <c r="E362" s="9" t="s">
        <v>2151</v>
      </c>
      <c r="F362" s="9" t="s">
        <v>203</v>
      </c>
      <c r="G362" s="31" t="str">
        <f>IFERROR(__xludf.DUMMYFUNCTION("if(len(E362) &gt; 0, join(char(10), FILTER(split(E362, char(10)), REGEXMATCH(split(E362, char(10)), PerkLineRegex))), """")"),"One-Man Assembly Line (XCOM) 600:
")</f>
        <v>One-Man Assembly Line (XCOM) 600:
</v>
      </c>
      <c r="H362" s="31" t="str">
        <f t="shared" si="2"/>
        <v>_</v>
      </c>
    </row>
    <row r="363">
      <c r="A363" s="9" t="s">
        <v>2152</v>
      </c>
      <c r="B363" s="9" t="s">
        <v>2153</v>
      </c>
      <c r="C363" s="9" t="s">
        <v>436</v>
      </c>
      <c r="D363" s="11" t="str">
        <f>IFERROR(__xludf.DUMMYFUNCTION("ifs(not(isna(MATCH(C363, ExcludedJumps, 0))), ""Excluded"", len(E363) = 0, ""Available"", REGEXMATCH(E363, RepeatableRegex), ""Repeatable"", countif(ARRAYFORMULA(REGEXMATCH(G363, split(B363, char(10)))), ""false"") = 0, ""Obtained"", true, ""Partial"")"),"Obtained")</f>
        <v>Obtained</v>
      </c>
      <c r="E363" s="9" t="s">
        <v>2154</v>
      </c>
      <c r="F363" s="9" t="s">
        <v>2155</v>
      </c>
      <c r="G363" s="31" t="str">
        <f>IFERROR(__xludf.DUMMYFUNCTION("if(len(E363) &gt; 0, join(char(10), FILTER(split(E363, char(10)), REGEXMATCH(split(E363, char(10)), PerkLineRegex))), """")"),"Hangar (Ace Combat) 100:
Basic Flight Training (Ace Combat) Free:
Missile Surplus (Ace Combat) Free:
Comm Chatter (Ace Combat) Free:
Flight Suit (Ace Combat) Free:
4th Generation Fighter Plane (Ace Combat) Free:")</f>
        <v>Hangar (Ace Combat) 100:
Basic Flight Training (Ace Combat) Free:
Missile Surplus (Ace Combat) Free:
Comm Chatter (Ace Combat) Free:
Flight Suit (Ace Combat) Free:
4th Generation Fighter Plane (Ace Combat) Free:</v>
      </c>
      <c r="H363" s="31" t="str">
        <f t="shared" si="2"/>
        <v>_
Chapter 35: 29 Presentation - Addendum Emily
Chapter 35: 29 Presentation - Addendum Emily
Chapter 35: 29 Presentation - Addendum Emily
Chapter 35: 29 Presentation - Addendum Emily
Chapter 35: 29 Presentation - Addendum Emily</v>
      </c>
    </row>
    <row r="364">
      <c r="A364" s="9" t="s">
        <v>2152</v>
      </c>
      <c r="B364" s="9" t="s">
        <v>2156</v>
      </c>
      <c r="C364" s="9" t="s">
        <v>1496</v>
      </c>
      <c r="D364" s="11" t="str">
        <f>IFERROR(__xludf.DUMMYFUNCTION("ifs(not(isna(MATCH(C364, ExcludedJumps, 0))), ""Excluded"", len(E364) = 0, ""Available"", REGEXMATCH(E364, RepeatableRegex), ""Repeatable"", countif(ARRAYFORMULA(REGEXMATCH(G364, split(B364, char(10)))), ""false"") = 0, ""Obtained"", true, ""Partial"")"),"Excluded")</f>
        <v>Excluded</v>
      </c>
      <c r="E364" s="31"/>
      <c r="F364" s="31"/>
      <c r="G364" s="31" t="str">
        <f>IFERROR(__xludf.DUMMYFUNCTION("if(len(E364) &gt; 0, join(char(10), FILTER(split(E364, char(10)), REGEXMATCH(split(E364, char(10)), PerkLineRegex))), """")"),"")</f>
        <v/>
      </c>
      <c r="H364" s="31" t="str">
        <f t="shared" si="2"/>
        <v/>
      </c>
    </row>
    <row r="365">
      <c r="A365" s="9" t="s">
        <v>2152</v>
      </c>
      <c r="B365" s="9" t="s">
        <v>2157</v>
      </c>
      <c r="C365" s="9" t="s">
        <v>1498</v>
      </c>
      <c r="D365" s="11" t="str">
        <f>IFERROR(__xludf.DUMMYFUNCTION("ifs(not(isna(MATCH(C365, ExcludedJumps, 0))), ""Excluded"", len(E365) = 0, ""Available"", REGEXMATCH(E365, RepeatableRegex), ""Repeatable"", countif(ARRAYFORMULA(REGEXMATCH(G365, split(B365, char(10)))), ""false"") = 0, ""Obtained"", true, ""Partial"")"),"Excluded")</f>
        <v>Excluded</v>
      </c>
      <c r="E365" s="31"/>
      <c r="F365" s="31"/>
      <c r="G365" s="31" t="str">
        <f>IFERROR(__xludf.DUMMYFUNCTION("if(len(E365) &gt; 0, join(char(10), FILTER(split(E365, char(10)), REGEXMATCH(split(E365, char(10)), PerkLineRegex))), """")"),"")</f>
        <v/>
      </c>
      <c r="H365" s="31" t="str">
        <f t="shared" si="2"/>
        <v/>
      </c>
    </row>
    <row r="366">
      <c r="A366" s="9" t="s">
        <v>2152</v>
      </c>
      <c r="B366" s="9" t="s">
        <v>2158</v>
      </c>
      <c r="C366" s="9" t="s">
        <v>1711</v>
      </c>
      <c r="D366" s="11" t="str">
        <f>IFERROR(__xludf.DUMMYFUNCTION("ifs(not(isna(MATCH(C366, ExcludedJumps, 0))), ""Excluded"", len(E366) = 0, ""Available"", REGEXMATCH(E366, RepeatableRegex), ""Repeatable"", countif(ARRAYFORMULA(REGEXMATCH(G366, split(B366, char(10)))), ""false"") = 0, ""Obtained"", true, ""Partial"")"),"Excluded")</f>
        <v>Excluded</v>
      </c>
      <c r="E366" s="31"/>
      <c r="F366" s="31"/>
      <c r="G366" s="31" t="str">
        <f>IFERROR(__xludf.DUMMYFUNCTION("if(len(E366) &gt; 0, join(char(10), FILTER(split(E366, char(10)), REGEXMATCH(split(E366, char(10)), PerkLineRegex))), """")"),"")</f>
        <v/>
      </c>
      <c r="H366" s="31" t="str">
        <f t="shared" si="2"/>
        <v/>
      </c>
    </row>
    <row r="367">
      <c r="A367" s="9" t="s">
        <v>2152</v>
      </c>
      <c r="B367" s="9" t="s">
        <v>2159</v>
      </c>
      <c r="C367" s="9" t="s">
        <v>1338</v>
      </c>
      <c r="D367" s="11" t="str">
        <f>IFERROR(__xludf.DUMMYFUNCTION("ifs(not(isna(MATCH(C367, ExcludedJumps, 0))), ""Excluded"", len(E367) = 0, ""Available"", REGEXMATCH(E367, RepeatableRegex), ""Repeatable"", countif(ARRAYFORMULA(REGEXMATCH(G367, split(B367, char(10)))), ""false"") = 0, ""Obtained"", true, ""Partial"")"),"Obtained")</f>
        <v>Obtained</v>
      </c>
      <c r="E367" s="9" t="s">
        <v>2160</v>
      </c>
      <c r="F367" s="9" t="s">
        <v>2161</v>
      </c>
      <c r="G367" s="31" t="str">
        <f>IFERROR(__xludf.DUMMYFUNCTION("if(len(E367) &gt; 0, join(char(10), FILTER(split(E367, char(10)), REGEXMATCH(split(E367, char(10)), PerkLineRegex))), """")"),"Workshop Equipment (Bloodborne) 300:
Curious Goggles (Bloodborne) Free:")</f>
        <v>Workshop Equipment (Bloodborne) 300:
Curious Goggles (Bloodborne) Free:</v>
      </c>
      <c r="H367" s="31" t="str">
        <f t="shared" si="2"/>
        <v>_
Chapter 146: 99.1 Interlude Tetra</v>
      </c>
    </row>
    <row r="368">
      <c r="A368" s="9" t="s">
        <v>2152</v>
      </c>
      <c r="B368" s="9" t="s">
        <v>2162</v>
      </c>
      <c r="C368" s="9" t="s">
        <v>710</v>
      </c>
      <c r="D368" s="11" t="str">
        <f>IFERROR(__xludf.DUMMYFUNCTION("ifs(not(isna(MATCH(C368, ExcludedJumps, 0))), ""Excluded"", len(E368) = 0, ""Available"", REGEXMATCH(E368, RepeatableRegex), ""Repeatable"", countif(ARRAYFORMULA(REGEXMATCH(G368, split(B368, char(10)))), ""false"") = 0, ""Obtained"", true, ""Partial"")"),"Obtained")</f>
        <v>Obtained</v>
      </c>
      <c r="E368" s="9" t="s">
        <v>2163</v>
      </c>
      <c r="F368" s="9" t="s">
        <v>2164</v>
      </c>
      <c r="G368" s="31" t="str">
        <f>IFERROR(__xludf.DUMMYFUNCTION("if(len(E368) &gt; 0, join(char(10), FILTER(split(E368, char(10)), REGEXMATCH(split(E368, char(10)), PerkLineRegex))), """")"),"Armor-Shift Manufacture (Bloody Roar) 100:
Beast Change!: Inostrancevia (Bloody Roar) Free:
Martial Artist: Muay Thai (Bloody Roar) Free:")</f>
        <v>Armor-Shift Manufacture (Bloody Roar) 100:
Beast Change!: Inostrancevia (Bloody Roar) Free:
Martial Artist: Muay Thai (Bloody Roar) Free:</v>
      </c>
      <c r="H368" s="31" t="str">
        <f t="shared" si="2"/>
        <v>_
Chapter 48: 41 Drag Out - Preamble Chen
Chapter 48: 41 Drag Out - Preamble Chen</v>
      </c>
    </row>
    <row r="369">
      <c r="A369" s="9" t="s">
        <v>2152</v>
      </c>
      <c r="B369" s="9" t="s">
        <v>134</v>
      </c>
      <c r="C369" s="9" t="s">
        <v>412</v>
      </c>
      <c r="D369" s="11" t="str">
        <f>IFERROR(__xludf.DUMMYFUNCTION("ifs(not(isna(MATCH(C369, ExcludedJumps, 0))), ""Excluded"", len(E369) = 0, ""Available"", REGEXMATCH(E369, RepeatableRegex), ""Repeatable"", countif(ARRAYFORMULA(REGEXMATCH(G369, split(B369, char(10)))), ""false"") = 0, ""Obtained"", true, ""Partial"")"),"Obtained")</f>
        <v>Obtained</v>
      </c>
      <c r="E369" s="9" t="s">
        <v>2165</v>
      </c>
      <c r="F369" s="9" t="s">
        <v>1908</v>
      </c>
      <c r="G369" s="31" t="str">
        <f>IFERROR(__xludf.DUMMYFUNCTION("if(len(E369) &gt; 0, join(char(10), FILTER(split(E369, char(10)), REGEXMATCH(split(E369, char(10)), PerkLineRegex))), """")"),"Workshop (Bubblegum Crisis) 100:
Apartment (Bubblegum Crisis) Free:")</f>
        <v>Workshop (Bubblegum Crisis) 100:
Apartment (Bubblegum Crisis) Free:</v>
      </c>
      <c r="H369" s="31" t="str">
        <f t="shared" si="2"/>
        <v>_
Chapter 26: 21 Closing Moves</v>
      </c>
    </row>
    <row r="370">
      <c r="A370" s="9" t="s">
        <v>2152</v>
      </c>
      <c r="B370" s="9" t="s">
        <v>134</v>
      </c>
      <c r="C370" s="9" t="s">
        <v>1803</v>
      </c>
      <c r="D370" s="11" t="str">
        <f>IFERROR(__xludf.DUMMYFUNCTION("ifs(not(isna(MATCH(C370, ExcludedJumps, 0))), ""Excluded"", len(E370) = 0, ""Available"", REGEXMATCH(E370, RepeatableRegex), ""Repeatable"", countif(ARRAYFORMULA(REGEXMATCH(G370, split(B370, char(10)))), ""false"") = 0, ""Obtained"", true, ""Partial"")"),"Excluded")</f>
        <v>Excluded</v>
      </c>
      <c r="E370" s="31"/>
      <c r="F370" s="31"/>
      <c r="G370" s="31" t="str">
        <f>IFERROR(__xludf.DUMMYFUNCTION("if(len(E370) &gt; 0, join(char(10), FILTER(split(E370, char(10)), REGEXMATCH(split(E370, char(10)), PerkLineRegex))), """")"),"")</f>
        <v/>
      </c>
      <c r="H370" s="31" t="str">
        <f t="shared" si="2"/>
        <v/>
      </c>
    </row>
    <row r="371">
      <c r="A371" s="9" t="s">
        <v>2152</v>
      </c>
      <c r="B371" s="9" t="s">
        <v>2166</v>
      </c>
      <c r="C371" s="9" t="s">
        <v>2167</v>
      </c>
      <c r="D371" s="11" t="str">
        <f>IFERROR(__xludf.DUMMYFUNCTION("ifs(not(isna(MATCH(C371, ExcludedJumps, 0))), ""Excluded"", len(E371) = 0, ""Available"", REGEXMATCH(E371, RepeatableRegex), ""Repeatable"", countif(ARRAYFORMULA(REGEXMATCH(G371, split(B371, char(10)))), ""false"") = 0, ""Obtained"", true, ""Partial"")"),"Excluded")</f>
        <v>Excluded</v>
      </c>
      <c r="E371" s="31"/>
      <c r="F371" s="31"/>
      <c r="G371" s="31" t="str">
        <f>IFERROR(__xludf.DUMMYFUNCTION("if(len(E371) &gt; 0, join(char(10), FILTER(split(E371, char(10)), REGEXMATCH(split(E371, char(10)), PerkLineRegex))), """")"),"")</f>
        <v/>
      </c>
      <c r="H371" s="31" t="str">
        <f t="shared" si="2"/>
        <v/>
      </c>
    </row>
    <row r="372">
      <c r="A372" s="9" t="s">
        <v>2152</v>
      </c>
      <c r="B372" s="9" t="s">
        <v>2168</v>
      </c>
      <c r="C372" s="9" t="s">
        <v>2167</v>
      </c>
      <c r="D372" s="11" t="str">
        <f>IFERROR(__xludf.DUMMYFUNCTION("ifs(not(isna(MATCH(C372, ExcludedJumps, 0))), ""Excluded"", len(E372) = 0, ""Available"", REGEXMATCH(E372, RepeatableRegex), ""Repeatable"", countif(ARRAYFORMULA(REGEXMATCH(G372, split(B372, char(10)))), ""false"") = 0, ""Obtained"", true, ""Partial"")"),"Excluded")</f>
        <v>Excluded</v>
      </c>
      <c r="E372" s="31"/>
      <c r="F372" s="31"/>
      <c r="G372" s="31" t="str">
        <f>IFERROR(__xludf.DUMMYFUNCTION("if(len(E372) &gt; 0, join(char(10), FILTER(split(E372, char(10)), REGEXMATCH(split(E372, char(10)), PerkLineRegex))), """")"),"")</f>
        <v/>
      </c>
      <c r="H372" s="31" t="str">
        <f t="shared" si="2"/>
        <v/>
      </c>
    </row>
    <row r="373">
      <c r="A373" s="9" t="s">
        <v>2152</v>
      </c>
      <c r="B373" s="9" t="s">
        <v>2169</v>
      </c>
      <c r="C373" s="9" t="s">
        <v>717</v>
      </c>
      <c r="D373" s="11" t="str">
        <f>IFERROR(__xludf.DUMMYFUNCTION("ifs(not(isna(MATCH(C373, ExcludedJumps, 0))), ""Excluded"", len(E373) = 0, ""Available"", REGEXMATCH(E373, RepeatableRegex), ""Repeatable"", countif(ARRAYFORMULA(REGEXMATCH(G373, split(B373, char(10)))), ""false"") = 0, ""Obtained"", true, ""Partial"")"),"Obtained")</f>
        <v>Obtained</v>
      </c>
      <c r="E373" s="9" t="s">
        <v>2170</v>
      </c>
      <c r="F373" s="9" t="s">
        <v>2171</v>
      </c>
      <c r="G373" s="31" t="str">
        <f>IFERROR(__xludf.DUMMYFUNCTION("if(len(E373) &gt; 0, join(char(10), FILTER(split(E373, char(10)), REGEXMATCH(split(E373, char(10)), PerkLineRegex))), """")"),"Prismatic Laboratory (Fallen London) 400:
St Andrew’s Candle (Fallen London) Free:
Connections: Hell (Fallen London) Free:
Connections: Rubbery Men (Fallen London) Free:")</f>
        <v>Prismatic Laboratory (Fallen London) 400:
St Andrew’s Candle (Fallen London) Free:
Connections: Hell (Fallen London) Free:
Connections: Rubbery Men (Fallen London) Free:</v>
      </c>
      <c r="H373" s="31" t="str">
        <f t="shared" si="2"/>
        <v>_
Chapter 48: 41 Drag Out - Preamble Chen
Chapter 48: 41 Drag Out - Preamble Chen
Chapter 48: 41 Drag Out - Preamble Chen</v>
      </c>
    </row>
    <row r="374">
      <c r="A374" s="9" t="s">
        <v>2152</v>
      </c>
      <c r="B374" s="9" t="s">
        <v>2172</v>
      </c>
      <c r="C374" s="9" t="s">
        <v>320</v>
      </c>
      <c r="D374" s="11" t="str">
        <f>IFERROR(__xludf.DUMMYFUNCTION("ifs(not(isna(MATCH(C374, ExcludedJumps, 0))), ""Excluded"", len(E374) = 0, ""Available"", REGEXMATCH(E374, RepeatableRegex), ""Repeatable"", countif(ARRAYFORMULA(REGEXMATCH(G374, split(B374, char(10)))), ""false"") = 0, ""Obtained"", true, ""Partial"")"),"Obtained")</f>
        <v>Obtained</v>
      </c>
      <c r="E374" s="9" t="s">
        <v>2173</v>
      </c>
      <c r="F374" s="9" t="s">
        <v>2174</v>
      </c>
      <c r="G374" s="31" t="str">
        <f>IFERROR(__xludf.DUMMYFUNCTION("if(len(E374) &gt; 0, join(char(10), FILTER(split(E374, char(10)), REGEXMATCH(split(E374, char(10)), PerkLineRegex))), """")"),"Garage (Fast and Furious) 100:
The Vehicle (Fast and Furious) Free:")</f>
        <v>Garage (Fast and Furious) 100:
The Vehicle (Fast and Furious) Free:</v>
      </c>
      <c r="H374" s="31" t="str">
        <f t="shared" si="2"/>
        <v>_
Chapter 30: 24 Tech Work - Addendum Alec</v>
      </c>
    </row>
    <row r="375">
      <c r="A375" s="9" t="s">
        <v>2152</v>
      </c>
      <c r="B375" s="9" t="s">
        <v>2175</v>
      </c>
      <c r="C375" s="9" t="s">
        <v>365</v>
      </c>
      <c r="D375" s="11" t="str">
        <f>IFERROR(__xludf.DUMMYFUNCTION("ifs(not(isna(MATCH(C375, ExcludedJumps, 0))), ""Excluded"", len(E375) = 0, ""Available"", REGEXMATCH(E375, RepeatableRegex), ""Repeatable"", countif(ARRAYFORMULA(REGEXMATCH(G375, split(B375, char(10)))), ""false"") = 0, ""Obtained"", true, ""Partial"")"),"Obtained")</f>
        <v>Obtained</v>
      </c>
      <c r="E375" s="9" t="s">
        <v>2176</v>
      </c>
      <c r="F375" s="9" t="s">
        <v>201</v>
      </c>
      <c r="G375" s="31" t="str">
        <f>IFERROR(__xludf.DUMMYFUNCTION("if(len(E375) &gt; 0, join(char(10), FILTER(split(E375, char(10)), REGEXMATCH(split(E375, char(10)), PerkLineRegex))), """")"),"Volcanic Forge (God of War) 300:")</f>
        <v>Volcanic Forge (God of War) 300:</v>
      </c>
      <c r="H375" s="31" t="str">
        <f t="shared" si="2"/>
        <v>_</v>
      </c>
    </row>
    <row r="376">
      <c r="A376" s="9" t="s">
        <v>2152</v>
      </c>
      <c r="B376" s="9" t="s">
        <v>2177</v>
      </c>
      <c r="C376" s="9" t="s">
        <v>1734</v>
      </c>
      <c r="D376" s="11" t="str">
        <f>IFERROR(__xludf.DUMMYFUNCTION("ifs(not(isna(MATCH(C376, ExcludedJumps, 0))), ""Excluded"", len(E376) = 0, ""Available"", REGEXMATCH(E376, RepeatableRegex), ""Repeatable"", countif(ARRAYFORMULA(REGEXMATCH(G376, split(B376, char(10)))), ""false"") = 0, ""Obtained"", true, ""Partial"")"),"Excluded")</f>
        <v>Excluded</v>
      </c>
      <c r="E376" s="31"/>
      <c r="F376" s="31"/>
      <c r="G376" s="31" t="str">
        <f>IFERROR(__xludf.DUMMYFUNCTION("if(len(E376) &gt; 0, join(char(10), FILTER(split(E376, char(10)), REGEXMATCH(split(E376, char(10)), PerkLineRegex))), """")"),"")</f>
        <v/>
      </c>
      <c r="H376" s="31" t="str">
        <f t="shared" si="2"/>
        <v/>
      </c>
    </row>
    <row r="377">
      <c r="A377" s="9" t="s">
        <v>2152</v>
      </c>
      <c r="B377" s="9" t="s">
        <v>2178</v>
      </c>
      <c r="C377" s="9" t="s">
        <v>1571</v>
      </c>
      <c r="D377" s="11" t="str">
        <f>IFERROR(__xludf.DUMMYFUNCTION("ifs(not(isna(MATCH(C377, ExcludedJumps, 0))), ""Excluded"", len(E377) = 0, ""Available"", REGEXMATCH(E377, RepeatableRegex), ""Repeatable"", countif(ARRAYFORMULA(REGEXMATCH(G377, split(B377, char(10)))), ""false"") = 0, ""Obtained"", true, ""Partial"")"),"Obtained")</f>
        <v>Obtained</v>
      </c>
      <c r="E377" s="9" t="s">
        <v>2179</v>
      </c>
      <c r="F377" s="9" t="s">
        <v>2180</v>
      </c>
      <c r="G377" s="31" t="str">
        <f>IFERROR(__xludf.DUMMYFUNCTION("if(len(E377) &gt; 0, join(char(10), FILTER(split(E377, char(10)), REGEXMATCH(split(E377, char(10)), PerkLineRegex))), """")"),"Civilian Equipment Package (GUNNM/Battle Angel Alita) 100:
Heirloom Weapon (GUNNM/Battle Angel Alita) Free with Civilian Equipment Package:
Cyber-doctor Equipment Package (GUNNM/Battle Angel Alita) 200:
Medic Equipment Package (GUNNM/Battle Angel Alita) F"&amp;"ree with Cyber-doctor Equipment Package:
Rocket Hammer (GUNNM/Battle Angel Alita) Free with Cyber-doctor Equipment Package:
Single Style - T’ai Chi Chuan (GUNNM/Battle Angel Alita) Free:")</f>
        <v>Civilian Equipment Package (GUNNM/Battle Angel Alita) 100:
Heirloom Weapon (GUNNM/Battle Angel Alita) Free with Civilian Equipment Package:
Cyber-doctor Equipment Package (GUNNM/Battle Angel Alita) 200:
Medic Equipment Package (GUNNM/Battle Angel Alita) Free with Cyber-doctor Equipment Package:
Rocket Hammer (GUNNM/Battle Angel Alita) Free with Cyber-doctor Equipment Package:
Single Style - T’ai Chi Chuan (GUNNM/Battle Angel Alita) Free:</v>
      </c>
      <c r="H377" s="31" t="str">
        <f t="shared" si="2"/>
        <v>_
Chapter 26: 21 Closing Moves
Chapter 26: 21 Closing Moves
Chapter 26: 21 Closing Moves
Chapter 26: 21 Closing Moves
Chapter 26: 21 Closing Moves</v>
      </c>
    </row>
    <row r="378">
      <c r="A378" s="9" t="s">
        <v>2152</v>
      </c>
      <c r="B378" s="9" t="s">
        <v>2181</v>
      </c>
      <c r="C378" s="9" t="s">
        <v>2011</v>
      </c>
      <c r="D378" s="11" t="str">
        <f>IFERROR(__xludf.DUMMYFUNCTION("ifs(not(isna(MATCH(C378, ExcludedJumps, 0))), ""Excluded"", len(E378) = 0, ""Available"", REGEXMATCH(E378, RepeatableRegex), ""Repeatable"", countif(ARRAYFORMULA(REGEXMATCH(G378, split(B378, char(10)))), ""false"") = 0, ""Obtained"", true, ""Partial"")"),"Excluded")</f>
        <v>Excluded</v>
      </c>
      <c r="E378" s="9"/>
      <c r="F378" s="31"/>
      <c r="G378" s="31" t="str">
        <f>IFERROR(__xludf.DUMMYFUNCTION("if(len(E378) &gt; 0, join(char(10), FILTER(split(E378, char(10)), REGEXMATCH(split(E378, char(10)), PerkLineRegex))), """")"),"")</f>
        <v/>
      </c>
      <c r="H378" s="31" t="str">
        <f t="shared" si="2"/>
        <v/>
      </c>
    </row>
    <row r="379">
      <c r="A379" s="9" t="s">
        <v>2152</v>
      </c>
      <c r="B379" s="9" t="s">
        <v>2182</v>
      </c>
      <c r="C379" s="9" t="s">
        <v>2183</v>
      </c>
      <c r="D379" s="11" t="str">
        <f>IFERROR(__xludf.DUMMYFUNCTION("ifs(not(isna(MATCH(C379, ExcludedJumps, 0))), ""Excluded"", len(E379) = 0, ""Available"", REGEXMATCH(E379, RepeatableRegex), ""Repeatable"", countif(ARRAYFORMULA(REGEXMATCH(G379, split(B379, char(10)))), ""false"") = 0, ""Obtained"", true, ""Partial"")"),"Excluded")</f>
        <v>Excluded</v>
      </c>
      <c r="E379" s="31"/>
      <c r="F379" s="31"/>
      <c r="G379" s="31" t="str">
        <f>IFERROR(__xludf.DUMMYFUNCTION("if(len(E379) &gt; 0, join(char(10), FILTER(split(E379, char(10)), REGEXMATCH(split(E379, char(10)), PerkLineRegex))), """")"),"")</f>
        <v/>
      </c>
      <c r="H379" s="31" t="str">
        <f t="shared" si="2"/>
        <v/>
      </c>
    </row>
    <row r="380">
      <c r="A380" s="9" t="s">
        <v>2152</v>
      </c>
      <c r="B380" s="9" t="s">
        <v>2184</v>
      </c>
      <c r="C380" s="9" t="s">
        <v>869</v>
      </c>
      <c r="D380" s="11" t="str">
        <f>IFERROR(__xludf.DUMMYFUNCTION("ifs(not(isna(MATCH(C380, ExcludedJumps, 0))), ""Excluded"", len(E380) = 0, ""Available"", REGEXMATCH(E380, RepeatableRegex), ""Repeatable"", countif(ARRAYFORMULA(REGEXMATCH(G380, split(B380, char(10)))), ""false"") = 0, ""Obtained"", true, ""Partial"")"),"Obtained")</f>
        <v>Obtained</v>
      </c>
      <c r="E380" s="9" t="s">
        <v>2185</v>
      </c>
      <c r="F380" s="9" t="s">
        <v>201</v>
      </c>
      <c r="G380" s="31" t="str">
        <f>IFERROR(__xludf.DUMMYFUNCTION("if(len(E380) &gt; 0, join(char(10), FILTER(split(E380, char(10)), REGEXMATCH(split(E380, char(10)), PerkLineRegex))), """")"),"Crucible of Eight Trigrams (Journey to the West) 500:")</f>
        <v>Crucible of Eight Trigrams (Journey to the West) 500:</v>
      </c>
      <c r="H380" s="31" t="str">
        <f t="shared" si="2"/>
        <v>_</v>
      </c>
    </row>
    <row r="381">
      <c r="A381" s="9" t="s">
        <v>2152</v>
      </c>
      <c r="B381" s="9" t="s">
        <v>2186</v>
      </c>
      <c r="C381" s="9" t="s">
        <v>2187</v>
      </c>
      <c r="D381" s="11" t="str">
        <f>IFERROR(__xludf.DUMMYFUNCTION("ifs(not(isna(MATCH(C381, ExcludedJumps, 0))), ""Excluded"", len(E381) = 0, ""Available"", REGEXMATCH(E381, RepeatableRegex), ""Repeatable"", countif(ARRAYFORMULA(REGEXMATCH(G381, split(B381, char(10)))), ""false"") = 0, ""Obtained"", true, ""Partial"")"),"Excluded")</f>
        <v>Excluded</v>
      </c>
      <c r="E381" s="9"/>
      <c r="F381" s="31"/>
      <c r="G381" s="31" t="str">
        <f>IFERROR(__xludf.DUMMYFUNCTION("if(len(E381) &gt; 0, join(char(10), FILTER(split(E381, char(10)), REGEXMATCH(split(E381, char(10)), PerkLineRegex))), """")"),"")</f>
        <v/>
      </c>
      <c r="H381" s="31" t="str">
        <f t="shared" si="2"/>
        <v/>
      </c>
    </row>
    <row r="382">
      <c r="A382" s="9" t="s">
        <v>2152</v>
      </c>
      <c r="B382" s="9" t="s">
        <v>2188</v>
      </c>
      <c r="C382" s="9" t="s">
        <v>248</v>
      </c>
      <c r="D382" s="11" t="str">
        <f>IFERROR(__xludf.DUMMYFUNCTION("ifs(not(isna(MATCH(C382, ExcludedJumps, 0))), ""Excluded"", len(E382) = 0, ""Available"", REGEXMATCH(E382, RepeatableRegex), ""Repeatable"", countif(ARRAYFORMULA(REGEXMATCH(G382, split(B382, char(10)))), ""false"") = 0, ""Obtained"", true, ""Partial"")"),"Obtained")</f>
        <v>Obtained</v>
      </c>
      <c r="E382" s="9" t="s">
        <v>2189</v>
      </c>
      <c r="F382" s="9" t="s">
        <v>2190</v>
      </c>
      <c r="G382" s="31" t="str">
        <f>IFERROR(__xludf.DUMMYFUNCTION("if(len(E382) &gt; 0, join(char(10), FILTER(split(E382, char(10)), REGEXMATCH(split(E382, char(10)), PerkLineRegex))), """")"),"Tool Kit (Macross) 100:
Serene Sinatra (Macross) Free:
Basic Training (Macross) Free:
Space Suit (Macross) Free:
Basic Variable Fighter (Macross) Free:")</f>
        <v>Tool Kit (Macross) 100:
Serene Sinatra (Macross) Free:
Basic Training (Macross) Free:
Space Suit (Macross) Free:
Basic Variable Fighter (Macross) Free:</v>
      </c>
      <c r="H382" s="31" t="str">
        <f t="shared" si="2"/>
        <v>_
Chapter 39: 33 Morning Training - Preamble James - Addendum Youth Guard
Chapter 39: 33 Morning Training - Preamble James - Addendum Youth Guard
Chapter 39: 33 Morning Training - Preamble James - Addendum Youth Guard
Chapter 39: 33 Morning Training - Preamble James - Addendum Youth Guard</v>
      </c>
    </row>
    <row r="383">
      <c r="A383" s="9" t="s">
        <v>2152</v>
      </c>
      <c r="B383" s="9" t="s">
        <v>2191</v>
      </c>
      <c r="C383" s="9" t="s">
        <v>24</v>
      </c>
      <c r="D383" s="11" t="str">
        <f>IFERROR(__xludf.DUMMYFUNCTION("ifs(not(isna(MATCH(C383, ExcludedJumps, 0))), ""Excluded"", len(E383) = 0, ""Available"", REGEXMATCH(E383, RepeatableRegex), ""Repeatable"", countif(ARRAYFORMULA(REGEXMATCH(G383, split(B383, char(10)))), ""false"") = 0, ""Obtained"", true, ""Partial"")"),"Obtained")</f>
        <v>Obtained</v>
      </c>
      <c r="E383" s="9" t="s">
        <v>2192</v>
      </c>
      <c r="F383" s="9" t="s">
        <v>355</v>
      </c>
      <c r="G383" s="31" t="str">
        <f>IFERROR(__xludf.DUMMYFUNCTION("if(len(E383) &gt; 0, join(char(10), FILTER(split(E383, char(10)), REGEXMATCH(split(E383, char(10)), PerkLineRegex))), """")"),"Class and Specialization (Mass Effect) 100:")</f>
        <v>Class and Specialization (Mass Effect) 100:</v>
      </c>
      <c r="H383" s="31" t="str">
        <f t="shared" si="2"/>
        <v>_</v>
      </c>
    </row>
    <row r="384">
      <c r="A384" s="9" t="s">
        <v>2152</v>
      </c>
      <c r="B384" s="9" t="s">
        <v>2193</v>
      </c>
      <c r="C384" s="9" t="s">
        <v>851</v>
      </c>
      <c r="D384" s="11" t="str">
        <f>IFERROR(__xludf.DUMMYFUNCTION("ifs(not(isna(MATCH(C384, ExcludedJumps, 0))), ""Excluded"", len(E384) = 0, ""Available"", REGEXMATCH(E384, RepeatableRegex), ""Repeatable"", countif(ARRAYFORMULA(REGEXMATCH(G384, split(B384, char(10)))), ""false"") = 0, ""Obtained"", true, ""Partial"")"),"Obtained")</f>
        <v>Obtained</v>
      </c>
      <c r="E384" s="9" t="s">
        <v>2194</v>
      </c>
      <c r="F384" s="9" t="s">
        <v>2195</v>
      </c>
      <c r="G384" s="31" t="str">
        <f>IFERROR(__xludf.DUMMYFUNCTION("if(len(E384) &gt; 0, join(char(10), FILTER(split(E384, char(10)), REGEXMATCH(split(E384, char(10)), PerkLineRegex))), """")"),"Launderer System (No More Heroes) 400:
The Clothes (No More Heroes) Free:
That Sword (No More Heroes) Free:")</f>
        <v>Launderer System (No More Heroes) 400:
The Clothes (No More Heroes) Free:
That Sword (No More Heroes) Free:</v>
      </c>
      <c r="H384" s="31" t="str">
        <f t="shared" si="2"/>
        <v>_
Chapter 65: 50 Meantime
Chapter 65: 50 Meantime</v>
      </c>
    </row>
    <row r="385">
      <c r="A385" s="9" t="s">
        <v>2152</v>
      </c>
      <c r="B385" s="9" t="s">
        <v>2196</v>
      </c>
      <c r="C385" s="9" t="s">
        <v>316</v>
      </c>
      <c r="D385" s="11" t="str">
        <f>IFERROR(__xludf.DUMMYFUNCTION("ifs(not(isna(MATCH(C385, ExcludedJumps, 0))), ""Excluded"", len(E385) = 0, ""Available"", REGEXMATCH(E385, RepeatableRegex), ""Repeatable"", countif(ARRAYFORMULA(REGEXMATCH(G385, split(B385, char(10)))), ""false"") = 0, ""Obtained"", true, ""Partial"")"),"Obtained")</f>
        <v>Obtained</v>
      </c>
      <c r="E385" s="9" t="s">
        <v>2197</v>
      </c>
      <c r="F385" s="9" t="s">
        <v>205</v>
      </c>
      <c r="G385" s="31" t="str">
        <f>IFERROR(__xludf.DUMMYFUNCTION("if(len(E385) &gt; 0, join(char(10), FILTER(split(E385, char(10)), REGEXMATCH(split(E385, char(10)), PerkLineRegex))), """")"),"Diagnostic Tools (Outlaw Star) 50:")</f>
        <v>Diagnostic Tools (Outlaw Star) 50:</v>
      </c>
      <c r="H385" s="31" t="str">
        <f t="shared" si="2"/>
        <v>_</v>
      </c>
    </row>
    <row r="386">
      <c r="A386" s="9" t="s">
        <v>2152</v>
      </c>
      <c r="B386" s="9" t="s">
        <v>2198</v>
      </c>
      <c r="C386" s="9" t="s">
        <v>316</v>
      </c>
      <c r="D386" s="11" t="str">
        <f>IFERROR(__xludf.DUMMYFUNCTION("ifs(not(isna(MATCH(C386, ExcludedJumps, 0))), ""Excluded"", len(E386) = 0, ""Available"", REGEXMATCH(E386, RepeatableRegex), ""Repeatable"", countif(ARRAYFORMULA(REGEXMATCH(G386, split(B386, char(10)))), ""false"") = 0, ""Obtained"", true, ""Partial"")"),"Available")</f>
        <v>Available</v>
      </c>
      <c r="E386" s="31"/>
      <c r="F386" s="31"/>
      <c r="G386" s="31" t="str">
        <f>IFERROR(__xludf.DUMMYFUNCTION("if(len(E386) &gt; 0, join(char(10), FILTER(split(E386, char(10)), REGEXMATCH(split(E386, char(10)), PerkLineRegex))), """")"),"")</f>
        <v/>
      </c>
      <c r="H386" s="31" t="str">
        <f t="shared" si="2"/>
        <v/>
      </c>
    </row>
    <row r="387">
      <c r="A387" s="9" t="s">
        <v>2152</v>
      </c>
      <c r="B387" s="9" t="s">
        <v>134</v>
      </c>
      <c r="C387" s="9" t="s">
        <v>91</v>
      </c>
      <c r="D387" s="11" t="str">
        <f>IFERROR(__xludf.DUMMYFUNCTION("ifs(not(isna(MATCH(C387, ExcludedJumps, 0))), ""Excluded"", len(E387) = 0, ""Available"", REGEXMATCH(E387, RepeatableRegex), ""Repeatable"", countif(ARRAYFORMULA(REGEXMATCH(G387, split(B387, char(10)))), ""false"") = 0, ""Obtained"", true, ""Partial"")"),"Repeatable")</f>
        <v>Repeatable</v>
      </c>
      <c r="E387" s="9" t="s">
        <v>1965</v>
      </c>
      <c r="F387" s="9" t="s">
        <v>1966</v>
      </c>
      <c r="G387" s="31" t="str">
        <f>IFERROR(__xludf.DUMMYFUNCTION("if(len(E387) &gt; 0, join(char(10), FILTER(split(E387, char(10)), REGEXMATCH(split(E387, char(10)), PerkLineRegex))), """")"),"Workshop: Metalworking (Personal Reality) 100:
Workshop: Woodworking (Personal Reality) 100:
Workshop: Clothing (Personal Reality) 100:
Workshop: Electronics  (Personal Reality) 100:
Workshop: Robotics (Personal Reality) 100:")</f>
        <v>Workshop: Metalworking (Personal Reality) 100:
Workshop: Woodworking (Personal Reality) 100:
Workshop: Clothing (Personal Reality) 100:
Workshop: Electronics  (Personal Reality) 100:
Workshop: Robotics (Personal Reality) 100:</v>
      </c>
      <c r="H387" s="31" t="str">
        <f t="shared" si="2"/>
        <v>_
_
_
_
_</v>
      </c>
    </row>
    <row r="388">
      <c r="A388" s="9" t="s">
        <v>2152</v>
      </c>
      <c r="B388" s="9" t="s">
        <v>1601</v>
      </c>
      <c r="C388" s="9" t="s">
        <v>42</v>
      </c>
      <c r="D388" s="11" t="str">
        <f>IFERROR(__xludf.DUMMYFUNCTION("ifs(not(isna(MATCH(C388, ExcludedJumps, 0))), ""Excluded"", len(E388) = 0, ""Available"", REGEXMATCH(E388, RepeatableRegex), ""Repeatable"", countif(ARRAYFORMULA(REGEXMATCH(G388, split(B388, char(10)))), ""false"") = 0, ""Obtained"", true, ""Partial"")"),"Obtained")</f>
        <v>Obtained</v>
      </c>
      <c r="E388" s="9" t="s">
        <v>1602</v>
      </c>
      <c r="F388" s="9" t="s">
        <v>205</v>
      </c>
      <c r="G388" s="31" t="str">
        <f>IFERROR(__xludf.DUMMYFUNCTION("if(len(E388) &gt; 0, join(char(10), FILTER(split(E388, char(10)), REGEXMATCH(split(E388, char(10)), PerkLineRegex))), """")"),"Micromanipulators (A Certain Scientific Railgun) 50:")</f>
        <v>Micromanipulators (A Certain Scientific Railgun) 50:</v>
      </c>
      <c r="H388" s="31" t="str">
        <f t="shared" si="2"/>
        <v>_</v>
      </c>
    </row>
    <row r="389">
      <c r="A389" s="9" t="s">
        <v>2152</v>
      </c>
      <c r="B389" s="9" t="s">
        <v>2199</v>
      </c>
      <c r="C389" s="9" t="s">
        <v>888</v>
      </c>
      <c r="D389" s="11" t="str">
        <f>IFERROR(__xludf.DUMMYFUNCTION("ifs(not(isna(MATCH(C389, ExcludedJumps, 0))), ""Excluded"", len(E389) = 0, ""Available"", REGEXMATCH(E389, RepeatableRegex), ""Repeatable"", countif(ARRAYFORMULA(REGEXMATCH(G389, split(B389, char(10)))), ""false"") = 0, ""Obtained"", true, ""Partial"")"),"Obtained")</f>
        <v>Obtained</v>
      </c>
      <c r="E389" s="9" t="s">
        <v>2200</v>
      </c>
      <c r="F389" s="9" t="s">
        <v>2201</v>
      </c>
      <c r="G389" s="31" t="str">
        <f>IFERROR(__xludf.DUMMYFUNCTION("if(len(E389) &gt; 0, join(char(10), FILTER(split(E389, char(10)), REGEXMATCH(split(E389, char(10)), PerkLineRegex))), """")"),"The Toolkit (Sabaton) 100:
Primo Victoria (Sabaton) Free:")</f>
        <v>The Toolkit (Sabaton) 100:
Primo Victoria (Sabaton) Free:</v>
      </c>
      <c r="H389" s="31" t="str">
        <f t="shared" si="2"/>
        <v>_
Chapter 128: 91 Callout</v>
      </c>
    </row>
    <row r="390">
      <c r="A390" s="9" t="s">
        <v>2152</v>
      </c>
      <c r="B390" s="9" t="s">
        <v>134</v>
      </c>
      <c r="C390" s="9" t="s">
        <v>282</v>
      </c>
      <c r="D390" s="11" t="str">
        <f>IFERROR(__xludf.DUMMYFUNCTION("ifs(not(isna(MATCH(C390, ExcludedJumps, 0))), ""Excluded"", len(E390) = 0, ""Available"", REGEXMATCH(E390, RepeatableRegex), ""Repeatable"", countif(ARRAYFORMULA(REGEXMATCH(G390, split(B390, char(10)))), ""false"") = 0, ""Obtained"", true, ""Partial"")"),"Obtained")</f>
        <v>Obtained</v>
      </c>
      <c r="E390" s="9" t="s">
        <v>2202</v>
      </c>
      <c r="F390" s="9" t="s">
        <v>1908</v>
      </c>
      <c r="G390" s="31" t="str">
        <f>IFERROR(__xludf.DUMMYFUNCTION("if(len(E390) &gt; 0, join(char(10), FILTER(split(E390, char(10)), REGEXMATCH(split(E390, char(10)), PerkLineRegex))), """")"),"Workshop: Magic (Samurai Jack) 200:
Workshop: Science (Samurai Jack) 200:")</f>
        <v>Workshop: Magic (Samurai Jack) 200:
Workshop: Science (Samurai Jack) 200:</v>
      </c>
      <c r="H390" s="31" t="str">
        <f t="shared" si="2"/>
        <v>_
_</v>
      </c>
    </row>
    <row r="391">
      <c r="A391" s="9" t="s">
        <v>2152</v>
      </c>
      <c r="B391" s="9" t="s">
        <v>2203</v>
      </c>
      <c r="C391" s="9" t="s">
        <v>1527</v>
      </c>
      <c r="D391" s="11" t="str">
        <f>IFERROR(__xludf.DUMMYFUNCTION("ifs(not(isna(MATCH(C391, ExcludedJumps, 0))), ""Excluded"", len(E391) = 0, ""Available"", REGEXMATCH(E391, RepeatableRegex), ""Repeatable"", countif(ARRAYFORMULA(REGEXMATCH(G391, split(B391, char(10)))), ""false"") = 0, ""Obtained"", true, ""Partial"")"),"Excluded")</f>
        <v>Excluded</v>
      </c>
      <c r="E391" s="31"/>
      <c r="F391" s="31"/>
      <c r="G391" s="31" t="str">
        <f>IFERROR(__xludf.DUMMYFUNCTION("if(len(E391) &gt; 0, join(char(10), FILTER(split(E391, char(10)), REGEXMATCH(split(E391, char(10)), PerkLineRegex))), """")"),"")</f>
        <v/>
      </c>
      <c r="H391" s="31" t="str">
        <f t="shared" si="2"/>
        <v/>
      </c>
    </row>
    <row r="392">
      <c r="A392" s="9" t="s">
        <v>2152</v>
      </c>
      <c r="B392" s="9" t="s">
        <v>2204</v>
      </c>
      <c r="C392" s="9" t="s">
        <v>814</v>
      </c>
      <c r="D392" s="11" t="str">
        <f>IFERROR(__xludf.DUMMYFUNCTION("ifs(not(isna(MATCH(C392, ExcludedJumps, 0))), ""Excluded"", len(E392) = 0, ""Available"", REGEXMATCH(E392, RepeatableRegex), ""Repeatable"", countif(ARRAYFORMULA(REGEXMATCH(G392, split(B392, char(10)))), ""false"") = 0, ""Obtained"", true, ""Partial"")"),"Obtained")</f>
        <v>Obtained</v>
      </c>
      <c r="E392" s="9" t="s">
        <v>2205</v>
      </c>
      <c r="F392" s="9" t="s">
        <v>205</v>
      </c>
      <c r="G392" s="31" t="str">
        <f>IFERROR(__xludf.DUMMYFUNCTION("if(len(E392) &gt; 0, join(char(10), FILTER(split(E392, char(10)), REGEXMATCH(split(E392, char(10)), PerkLineRegex))), """")"),"The Alchemy Machine (Shivers) 400:")</f>
        <v>The Alchemy Machine (Shivers) 400:</v>
      </c>
      <c r="H392" s="31" t="str">
        <f t="shared" si="2"/>
        <v>_</v>
      </c>
    </row>
    <row r="393">
      <c r="A393" s="9" t="s">
        <v>2152</v>
      </c>
      <c r="B393" s="9" t="s">
        <v>2206</v>
      </c>
      <c r="C393" s="9" t="s">
        <v>1761</v>
      </c>
      <c r="D393" s="11" t="str">
        <f>IFERROR(__xludf.DUMMYFUNCTION("ifs(not(isna(MATCH(C393, ExcludedJumps, 0))), ""Excluded"", len(E393) = 0, ""Available"", REGEXMATCH(E393, RepeatableRegex), ""Repeatable"", countif(ARRAYFORMULA(REGEXMATCH(G393, split(B393, char(10)))), ""false"") = 0, ""Obtained"", true, ""Partial"")"),"Excluded")</f>
        <v>Excluded</v>
      </c>
      <c r="E393" s="31"/>
      <c r="F393" s="31"/>
      <c r="G393" s="31" t="str">
        <f>IFERROR(__xludf.DUMMYFUNCTION("if(len(E393) &gt; 0, join(char(10), FILTER(split(E393, char(10)), REGEXMATCH(split(E393, char(10)), PerkLineRegex))), """")"),"")</f>
        <v/>
      </c>
      <c r="H393" s="31" t="str">
        <f t="shared" si="2"/>
        <v/>
      </c>
    </row>
    <row r="394">
      <c r="A394" s="9" t="s">
        <v>2152</v>
      </c>
      <c r="B394" s="9" t="s">
        <v>2207</v>
      </c>
      <c r="C394" s="9" t="s">
        <v>760</v>
      </c>
      <c r="D394" s="11" t="str">
        <f>IFERROR(__xludf.DUMMYFUNCTION("ifs(not(isna(MATCH(C394, ExcludedJumps, 0))), ""Excluded"", len(E394) = 0, ""Available"", REGEXMATCH(E394, RepeatableRegex), ""Repeatable"", countif(ARRAYFORMULA(REGEXMATCH(G394, split(B394, char(10)))), ""false"") = 0, ""Obtained"", true, ""Partial"")"),"Obtained")</f>
        <v>Obtained</v>
      </c>
      <c r="E394" s="9" t="s">
        <v>2208</v>
      </c>
      <c r="F394" s="9" t="s">
        <v>2209</v>
      </c>
      <c r="G394" s="31" t="str">
        <f>IFERROR(__xludf.DUMMYFUNCTION("if(len(E394) &gt; 0, join(char(10), FILTER(split(E394, char(10)), REGEXMATCH(split(E394, char(10)), PerkLineRegex))), """")"),"Striker Artificer Toolkit (Strike Witches) 100:
Defensive Sign “Directional Shield” (Strike Witches) Free:
First Generation Striker (Strike Witches) Free:")</f>
        <v>Striker Artificer Toolkit (Strike Witches) 100:
Defensive Sign “Directional Shield” (Strike Witches) Free:
First Generation Striker (Strike Witches) Free:</v>
      </c>
      <c r="H394" s="31" t="str">
        <f t="shared" si="2"/>
        <v>_
Chapter 52: 42 Incapacitated - Preamble Jeanne
Chapter 52: 42 Incapacitated - Preamble Jeanne</v>
      </c>
    </row>
    <row r="395">
      <c r="A395" s="9" t="s">
        <v>2152</v>
      </c>
      <c r="B395" s="9" t="s">
        <v>164</v>
      </c>
      <c r="C395" s="9" t="s">
        <v>165</v>
      </c>
      <c r="D395" s="11" t="str">
        <f>IFERROR(__xludf.DUMMYFUNCTION("ifs(not(isna(MATCH(C395, ExcludedJumps, 0))), ""Excluded"", len(E395) = 0, ""Available"", REGEXMATCH(E395, RepeatableRegex), ""Repeatable"", countif(ARRAYFORMULA(REGEXMATCH(G395, split(B395, char(10)))), ""false"") = 0, ""Obtained"", true, ""Partial"")"),"Available")</f>
        <v>Available</v>
      </c>
      <c r="E395" s="31"/>
      <c r="F395" s="31"/>
      <c r="G395" s="31" t="str">
        <f>IFERROR(__xludf.DUMMYFUNCTION("if(len(E395) &gt; 0, join(char(10), FILTER(split(E395, char(10)), REGEXMATCH(split(E395, char(10)), PerkLineRegex))), """")"),"")</f>
        <v/>
      </c>
      <c r="H395" s="31" t="str">
        <f t="shared" si="2"/>
        <v/>
      </c>
    </row>
    <row r="396">
      <c r="A396" s="9" t="s">
        <v>2152</v>
      </c>
      <c r="B396" s="9" t="s">
        <v>2210</v>
      </c>
      <c r="C396" s="9" t="s">
        <v>453</v>
      </c>
      <c r="D396" s="11" t="str">
        <f>IFERROR(__xludf.DUMMYFUNCTION("ifs(not(isna(MATCH(C396, ExcludedJumps, 0))), ""Excluded"", len(E396) = 0, ""Available"", REGEXMATCH(E396, RepeatableRegex), ""Repeatable"", countif(ARRAYFORMULA(REGEXMATCH(G396, split(B396, char(10)))), ""false"") = 0, ""Obtained"", true, ""Partial"")"),"Obtained")</f>
        <v>Obtained</v>
      </c>
      <c r="E396" s="9" t="s">
        <v>2211</v>
      </c>
      <c r="F396" s="9" t="s">
        <v>2212</v>
      </c>
      <c r="G396" s="31" t="str">
        <f>IFERROR(__xludf.DUMMYFUNCTION("if(len(E396) &gt; 0, join(char(10), FILTER(split(E396, char(10)), REGEXMATCH(split(E396, char(10)), PerkLineRegex))), """")"),"Skyforge (The Elder Scrolls: Skyrim) 200:
Standing Stone: The Lover (The Elder Scrolls: Skyrim) Free:")</f>
        <v>Skyforge (The Elder Scrolls: Skyrim) 200:
Standing Stone: The Lover (The Elder Scrolls: Skyrim) Free:</v>
      </c>
      <c r="H396" s="31" t="str">
        <f t="shared" si="2"/>
        <v>_
Chapter 29: 23 Renovation - Addendum Taylor</v>
      </c>
    </row>
    <row r="397">
      <c r="A397" s="9" t="s">
        <v>2152</v>
      </c>
      <c r="B397" s="9" t="s">
        <v>2213</v>
      </c>
      <c r="C397" s="9" t="s">
        <v>466</v>
      </c>
      <c r="D397" s="11" t="str">
        <f>IFERROR(__xludf.DUMMYFUNCTION("ifs(not(isna(MATCH(C397, ExcludedJumps, 0))), ""Excluded"", len(E397) = 0, ""Available"", REGEXMATCH(E397, RepeatableRegex), ""Repeatable"", countif(ARRAYFORMULA(REGEXMATCH(G397, split(B397, char(10)))), ""false"") = 0, ""Obtained"", true, ""Partial"")"),"Obtained")</f>
        <v>Obtained</v>
      </c>
      <c r="E397" s="9" t="s">
        <v>2214</v>
      </c>
      <c r="F397" s="9" t="s">
        <v>2161</v>
      </c>
      <c r="G397" s="31" t="str">
        <f>IFERROR(__xludf.DUMMYFUNCTION("if(len(E397) &gt; 0, join(char(10), FILTER(split(E397, char(10)), REGEXMATCH(split(E397, char(10)), PerkLineRegex))), """")"),"Hidden Hideaway / Laboratory (Valkyria Chronicles) 200:
Ragnite Container (Valkyria Chronicles) Free:")</f>
        <v>Hidden Hideaway / Laboratory (Valkyria Chronicles) 200:
Ragnite Container (Valkyria Chronicles) Free:</v>
      </c>
      <c r="H397" s="31" t="str">
        <f t="shared" si="2"/>
        <v>_
Chapter 30: 24 Tech Work - Addendum Alec</v>
      </c>
    </row>
    <row r="398">
      <c r="A398" s="9" t="s">
        <v>2152</v>
      </c>
      <c r="B398" s="9" t="s">
        <v>2215</v>
      </c>
      <c r="C398" s="9" t="s">
        <v>2216</v>
      </c>
      <c r="D398" s="11" t="str">
        <f>IFERROR(__xludf.DUMMYFUNCTION("ifs(not(isna(MATCH(C398, ExcludedJumps, 0))), ""Excluded"", len(E398) = 0, ""Available"", REGEXMATCH(E398, RepeatableRegex), ""Repeatable"", countif(ARRAYFORMULA(REGEXMATCH(G398, split(B398, char(10)))), ""false"") = 0, ""Obtained"", true, ""Partial"")"),"Obtained")</f>
        <v>Obtained</v>
      </c>
      <c r="E398" s="9" t="s">
        <v>2217</v>
      </c>
      <c r="F398" s="9" t="s">
        <v>201</v>
      </c>
      <c r="G398" s="31" t="str">
        <f>IFERROR(__xludf.DUMMYFUNCTION("if(len(E398) &gt; 0, join(char(10), FILTER(split(E398, char(10)), REGEXMATCH(split(E398, char(10)), PerkLineRegex))), """")"),"Laboratorium (Light of Terra DLC 3 - A Grand Day Out) 100:")</f>
        <v>Laboratorium (Light of Terra DLC 3 - A Grand Day Out) 100:</v>
      </c>
      <c r="H398" s="31" t="str">
        <f t="shared" si="2"/>
        <v>_</v>
      </c>
    </row>
    <row r="399">
      <c r="A399" s="9" t="s">
        <v>2152</v>
      </c>
      <c r="B399" s="9" t="s">
        <v>2218</v>
      </c>
      <c r="C399" s="9" t="s">
        <v>2219</v>
      </c>
      <c r="D399" s="11" t="str">
        <f>IFERROR(__xludf.DUMMYFUNCTION("ifs(not(isna(MATCH(C399, ExcludedJumps, 0))), ""Excluded"", len(E399) = 0, ""Available"", REGEXMATCH(E399, RepeatableRegex), ""Repeatable"", countif(ARRAYFORMULA(REGEXMATCH(G399, split(B399, char(10)))), ""false"") = 0, ""Obtained"", true, ""Partial"")"),"Obtained")</f>
        <v>Obtained</v>
      </c>
      <c r="E399" s="9" t="s">
        <v>2220</v>
      </c>
      <c r="F399" s="9" t="s">
        <v>205</v>
      </c>
      <c r="G399" s="31" t="str">
        <f>IFERROR(__xludf.DUMMYFUNCTION("if(len(E399) &gt; 0, join(char(10), FILTER(split(E399, char(10)), REGEXMATCH(split(E399, char(10)), PerkLineRegex))), """")"),"Advanced Materials Upgrade Kit (Light of Terra 4 - Lords of the Iron Line - Warhammer 40,000) 300:")</f>
        <v>Advanced Materials Upgrade Kit (Light of Terra 4 - Lords of the Iron Line - Warhammer 40,000) 300:</v>
      </c>
      <c r="H399" s="31" t="str">
        <f t="shared" si="2"/>
        <v>_</v>
      </c>
    </row>
    <row r="400">
      <c r="A400" s="9" t="s">
        <v>2152</v>
      </c>
      <c r="B400" s="9" t="s">
        <v>2221</v>
      </c>
      <c r="C400" s="9" t="s">
        <v>2219</v>
      </c>
      <c r="D400" s="11" t="str">
        <f>IFERROR(__xludf.DUMMYFUNCTION("ifs(not(isna(MATCH(C400, ExcludedJumps, 0))), ""Excluded"", len(E400) = 0, ""Available"", REGEXMATCH(E400, RepeatableRegex), ""Repeatable"", countif(ARRAYFORMULA(REGEXMATCH(G400, split(B400, char(10)))), ""false"") = 0, ""Obtained"", true, ""Partial"")"),"Obtained")</f>
        <v>Obtained</v>
      </c>
      <c r="E400" s="9" t="s">
        <v>2222</v>
      </c>
      <c r="F400" s="9" t="s">
        <v>205</v>
      </c>
      <c r="G400" s="31" t="str">
        <f>IFERROR(__xludf.DUMMYFUNCTION("if(len(E400) &gt; 0, join(char(10), FILTER(split(E400, char(10)), REGEXMATCH(split(E400, char(10)), PerkLineRegex))), """")"),"Lathe-Wrought Armour Plating Kit (Light of Terra DLC 4 - Lords of the Iron Line) 400:")</f>
        <v>Lathe-Wrought Armour Plating Kit (Light of Terra DLC 4 - Lords of the Iron Line) 400:</v>
      </c>
      <c r="H400" s="31" t="str">
        <f t="shared" si="2"/>
        <v>_</v>
      </c>
    </row>
    <row r="401">
      <c r="A401" s="9" t="s">
        <v>2152</v>
      </c>
      <c r="B401" s="9" t="s">
        <v>2223</v>
      </c>
      <c r="C401" s="9" t="s">
        <v>1534</v>
      </c>
      <c r="D401" s="11" t="str">
        <f>IFERROR(__xludf.DUMMYFUNCTION("ifs(not(isna(MATCH(C401, ExcludedJumps, 0))), ""Excluded"", len(E401) = 0, ""Available"", REGEXMATCH(E401, RepeatableRegex), ""Repeatable"", countif(ARRAYFORMULA(REGEXMATCH(G401, split(B401, char(10)))), ""false"") = 0, ""Obtained"", true, ""Partial"")"),"Excluded")</f>
        <v>Excluded</v>
      </c>
      <c r="E401" s="31"/>
      <c r="F401" s="31"/>
      <c r="G401" s="31" t="str">
        <f>IFERROR(__xludf.DUMMYFUNCTION("if(len(E401) &gt; 0, join(char(10), FILTER(split(E401, char(10)), REGEXMATCH(split(E401, char(10)), PerkLineRegex))), """")"),"")</f>
        <v/>
      </c>
      <c r="H401" s="31" t="str">
        <f t="shared" si="2"/>
        <v/>
      </c>
    </row>
    <row r="402">
      <c r="A402" s="9" t="s">
        <v>2224</v>
      </c>
      <c r="B402" s="9" t="s">
        <v>2225</v>
      </c>
      <c r="C402" s="9" t="s">
        <v>436</v>
      </c>
      <c r="D402" s="11" t="str">
        <f>IFERROR(__xludf.DUMMYFUNCTION("ifs(not(isna(MATCH(C402, ExcludedJumps, 0))), ""Excluded"", len(E402) = 0, ""Available"", REGEXMATCH(E402, RepeatableRegex), ""Repeatable"", countif(ARRAYFORMULA(REGEXMATCH(G402, split(B402, char(10)))), ""false"") = 0, ""Obtained"", true, ""Partial"")"),"Obtained")</f>
        <v>Obtained</v>
      </c>
      <c r="E402" s="9" t="s">
        <v>2226</v>
      </c>
      <c r="F402" s="9" t="s">
        <v>213</v>
      </c>
      <c r="G402" s="31" t="str">
        <f>IFERROR(__xludf.DUMMYFUNCTION("if(len(E402) &gt; 0, join(char(10), FILTER(split(E402, char(10)), REGEXMATCH(split(E402, char(10)), PerkLineRegex))), """")"),"Technical Certainties (Ace Combat) 400:")</f>
        <v>Technical Certainties (Ace Combat) 400:</v>
      </c>
      <c r="H402" s="31" t="str">
        <f t="shared" si="2"/>
        <v>_</v>
      </c>
    </row>
    <row r="403">
      <c r="A403" s="9" t="s">
        <v>2224</v>
      </c>
      <c r="B403" s="9" t="s">
        <v>2227</v>
      </c>
      <c r="C403" s="9" t="s">
        <v>2228</v>
      </c>
      <c r="D403" s="11" t="str">
        <f>IFERROR(__xludf.DUMMYFUNCTION("ifs(not(isna(MATCH(C403, ExcludedJumps, 0))), ""Excluded"", len(E403) = 0, ""Available"", REGEXMATCH(E403, RepeatableRegex), ""Repeatable"", countif(ARRAYFORMULA(REGEXMATCH(G403, split(B403, char(10)))), ""false"") = 0, ""Obtained"", true, ""Partial"")"),"Excluded")</f>
        <v>Excluded</v>
      </c>
      <c r="E403" s="31"/>
      <c r="F403" s="31"/>
      <c r="G403" s="31" t="str">
        <f>IFERROR(__xludf.DUMMYFUNCTION("if(len(E403) &gt; 0, join(char(10), FILTER(split(E403, char(10)), REGEXMATCH(split(E403, char(10)), PerkLineRegex))), """")"),"")</f>
        <v/>
      </c>
      <c r="H403" s="31" t="str">
        <f t="shared" si="2"/>
        <v/>
      </c>
    </row>
    <row r="404">
      <c r="A404" s="9" t="s">
        <v>2224</v>
      </c>
      <c r="B404" s="9" t="s">
        <v>2229</v>
      </c>
      <c r="C404" s="9" t="s">
        <v>2228</v>
      </c>
      <c r="D404" s="11" t="str">
        <f>IFERROR(__xludf.DUMMYFUNCTION("ifs(not(isna(MATCH(C404, ExcludedJumps, 0))), ""Excluded"", len(E404) = 0, ""Available"", REGEXMATCH(E404, RepeatableRegex), ""Repeatable"", countif(ARRAYFORMULA(REGEXMATCH(G404, split(B404, char(10)))), ""false"") = 0, ""Obtained"", true, ""Partial"")"),"Excluded")</f>
        <v>Excluded</v>
      </c>
      <c r="E404" s="31"/>
      <c r="F404" s="31"/>
      <c r="G404" s="31" t="str">
        <f>IFERROR(__xludf.DUMMYFUNCTION("if(len(E404) &gt; 0, join(char(10), FILTER(split(E404, char(10)), REGEXMATCH(split(E404, char(10)), PerkLineRegex))), """")"),"")</f>
        <v/>
      </c>
      <c r="H404" s="31" t="str">
        <f t="shared" si="2"/>
        <v/>
      </c>
    </row>
    <row r="405">
      <c r="A405" s="9" t="s">
        <v>2224</v>
      </c>
      <c r="B405" s="9" t="s">
        <v>2230</v>
      </c>
      <c r="C405" s="9" t="s">
        <v>386</v>
      </c>
      <c r="D405" s="11" t="str">
        <f>IFERROR(__xludf.DUMMYFUNCTION("ifs(not(isna(MATCH(C405, ExcludedJumps, 0))), ""Excluded"", len(E405) = 0, ""Available"", REGEXMATCH(E405, RepeatableRegex), ""Repeatable"", countif(ARRAYFORMULA(REGEXMATCH(G405, split(B405, char(10)))), ""false"") = 0, ""Obtained"", true, ""Partial"")"),"Obtained")</f>
        <v>Obtained</v>
      </c>
      <c r="E405" s="9" t="s">
        <v>2231</v>
      </c>
      <c r="F405" s="9" t="s">
        <v>2232</v>
      </c>
      <c r="G405" s="31" t="str">
        <f>IFERROR(__xludf.DUMMYFUNCTION("if(len(E405) &gt; 0, join(char(10), FILTER(split(E405, char(10)), REGEXMATCH(split(E405, char(10)), PerkLineRegex))), """")"),"Valuable Memories: the nature of memories (Big O) 300:
Valuable Memories:the construction of Megadei (Big O) 300:
Valuable Memories -the creation of chimeras (Big O) 300:
Valuable Memories: Bigs (Big O) 300:")</f>
        <v>Valuable Memories: the nature of memories (Big O) 300:
Valuable Memories:the construction of Megadei (Big O) 300:
Valuable Memories -the creation of chimeras (Big O) 300:
Valuable Memories: Bigs (Big O) 300:</v>
      </c>
      <c r="H405" s="31" t="str">
        <f t="shared" si="2"/>
        <v>_
_
_
_</v>
      </c>
    </row>
    <row r="406">
      <c r="A406" s="9" t="s">
        <v>2224</v>
      </c>
      <c r="B406" s="9" t="s">
        <v>168</v>
      </c>
      <c r="C406" s="9" t="s">
        <v>169</v>
      </c>
      <c r="D406" s="11" t="str">
        <f>IFERROR(__xludf.DUMMYFUNCTION("ifs(not(isna(MATCH(C406, ExcludedJumps, 0))), ""Excluded"", len(E406) = 0, ""Available"", REGEXMATCH(E406, RepeatableRegex), ""Repeatable"", countif(ARRAYFORMULA(REGEXMATCH(G406, split(B406, char(10)))), ""false"") = 0, ""Obtained"", true, ""Partial"")"),"Available")</f>
        <v>Available</v>
      </c>
      <c r="E406" s="31"/>
      <c r="F406" s="31"/>
      <c r="G406" s="31" t="str">
        <f>IFERROR(__xludf.DUMMYFUNCTION("if(len(E406) &gt; 0, join(char(10), FILTER(split(E406, char(10)), REGEXMATCH(split(E406, char(10)), PerkLineRegex))), """")"),"")</f>
        <v/>
      </c>
      <c r="H406" s="31" t="str">
        <f t="shared" si="2"/>
        <v/>
      </c>
    </row>
    <row r="407">
      <c r="A407" s="9" t="s">
        <v>2224</v>
      </c>
      <c r="B407" s="9" t="s">
        <v>2233</v>
      </c>
      <c r="C407" s="9" t="s">
        <v>2234</v>
      </c>
      <c r="D407" s="11" t="str">
        <f>IFERROR(__xludf.DUMMYFUNCTION("ifs(not(isna(MATCH(C407, ExcludedJumps, 0))), ""Excluded"", len(E407) = 0, ""Available"", REGEXMATCH(E407, RepeatableRegex), ""Repeatable"", countif(ARRAYFORMULA(REGEXMATCH(G407, split(B407, char(10)))), ""false"") = 0, ""Obtained"", true, ""Partial"")"),"Excluded")</f>
        <v>Excluded</v>
      </c>
      <c r="E407" s="31"/>
      <c r="F407" s="31"/>
      <c r="G407" s="31" t="str">
        <f>IFERROR(__xludf.DUMMYFUNCTION("if(len(E407) &gt; 0, join(char(10), FILTER(split(E407, char(10)), REGEXMATCH(split(E407, char(10)), PerkLineRegex))), """")"),"")</f>
        <v/>
      </c>
      <c r="H407" s="31" t="str">
        <f t="shared" si="2"/>
        <v/>
      </c>
    </row>
    <row r="408">
      <c r="A408" s="9" t="s">
        <v>2224</v>
      </c>
      <c r="B408" s="9" t="s">
        <v>2235</v>
      </c>
      <c r="C408" s="9" t="s">
        <v>320</v>
      </c>
      <c r="D408" s="11" t="str">
        <f>IFERROR(__xludf.DUMMYFUNCTION("ifs(not(isna(MATCH(C408, ExcludedJumps, 0))), ""Excluded"", len(E408) = 0, ""Available"", REGEXMATCH(E408, RepeatableRegex), ""Repeatable"", countif(ARRAYFORMULA(REGEXMATCH(G408, split(B408, char(10)))), ""false"") = 0, ""Obtained"", true, ""Partial"")"),"Obtained")</f>
        <v>Obtained</v>
      </c>
      <c r="E408" s="9" t="s">
        <v>2236</v>
      </c>
      <c r="F408" s="9" t="s">
        <v>203</v>
      </c>
      <c r="G408" s="31" t="str">
        <f>IFERROR(__xludf.DUMMYFUNCTION("if(len(E408) &gt; 0, join(char(10), FILTER(split(E408, char(10)), REGEXMATCH(split(E408, char(10)), PerkLineRegex))), """")"),"Mechanic (Fast and Furious) 100:")</f>
        <v>Mechanic (Fast and Furious) 100:</v>
      </c>
      <c r="H408" s="31" t="str">
        <f t="shared" si="2"/>
        <v>_</v>
      </c>
    </row>
    <row r="409">
      <c r="A409" s="9" t="s">
        <v>2224</v>
      </c>
      <c r="B409" s="9" t="s">
        <v>2237</v>
      </c>
      <c r="C409" s="9" t="s">
        <v>2238</v>
      </c>
      <c r="D409" s="11" t="str">
        <f>IFERROR(__xludf.DUMMYFUNCTION("ifs(not(isna(MATCH(C409, ExcludedJumps, 0))), ""Excluded"", len(E409) = 0, ""Available"", REGEXMATCH(E409, RepeatableRegex), ""Repeatable"", countif(ARRAYFORMULA(REGEXMATCH(G409, split(B409, char(10)))), ""false"") = 0, ""Obtained"", true, ""Partial"")"),"Excluded")</f>
        <v>Excluded</v>
      </c>
      <c r="E409" s="31"/>
      <c r="F409" s="31"/>
      <c r="G409" s="31" t="str">
        <f>IFERROR(__xludf.DUMMYFUNCTION("if(len(E409) &gt; 0, join(char(10), FILTER(split(E409, char(10)), REGEXMATCH(split(E409, char(10)), PerkLineRegex))), """")"),"")</f>
        <v/>
      </c>
      <c r="H409" s="31" t="str">
        <f t="shared" si="2"/>
        <v/>
      </c>
    </row>
    <row r="410">
      <c r="A410" s="9" t="s">
        <v>2224</v>
      </c>
      <c r="B410" s="9" t="s">
        <v>2239</v>
      </c>
      <c r="C410" s="9" t="s">
        <v>1325</v>
      </c>
      <c r="D410" s="11" t="str">
        <f>IFERROR(__xludf.DUMMYFUNCTION("ifs(not(isna(MATCH(C410, ExcludedJumps, 0))), ""Excluded"", len(E410) = 0, ""Available"", REGEXMATCH(E410, RepeatableRegex), ""Repeatable"", countif(ARRAYFORMULA(REGEXMATCH(G410, split(B410, char(10)))), ""false"") = 0, ""Obtained"", true, ""Partial"")"),"Obtained")</f>
        <v>Obtained</v>
      </c>
      <c r="E410" s="9" t="s">
        <v>2240</v>
      </c>
      <c r="F410" s="9" t="s">
        <v>213</v>
      </c>
      <c r="G410" s="31" t="str">
        <f>IFERROR(__xludf.DUMMYFUNCTION("if(len(E410) &gt; 0, join(char(10), FILTER(split(E410, char(10)), REGEXMATCH(split(E410, char(10)), PerkLineRegex))), """")"),"Superweapons (G.I. Joe) 600:
")</f>
        <v>Superweapons (G.I. Joe) 600:
</v>
      </c>
      <c r="H410" s="31" t="str">
        <f t="shared" si="2"/>
        <v>_</v>
      </c>
    </row>
    <row r="411">
      <c r="A411" s="9" t="s">
        <v>2224</v>
      </c>
      <c r="B411" s="9" t="s">
        <v>2241</v>
      </c>
      <c r="C411" s="9" t="s">
        <v>1734</v>
      </c>
      <c r="D411" s="11" t="str">
        <f>IFERROR(__xludf.DUMMYFUNCTION("ifs(not(isna(MATCH(C411, ExcludedJumps, 0))), ""Excluded"", len(E411) = 0, ""Available"", REGEXMATCH(E411, RepeatableRegex), ""Repeatable"", countif(ARRAYFORMULA(REGEXMATCH(G411, split(B411, char(10)))), ""false"") = 0, ""Obtained"", true, ""Partial"")"),"Excluded")</f>
        <v>Excluded</v>
      </c>
      <c r="E411" s="31"/>
      <c r="F411" s="31"/>
      <c r="G411" s="31" t="str">
        <f>IFERROR(__xludf.DUMMYFUNCTION("if(len(E411) &gt; 0, join(char(10), FILTER(split(E411, char(10)), REGEXMATCH(split(E411, char(10)), PerkLineRegex))), """")"),"")</f>
        <v/>
      </c>
      <c r="H411" s="31" t="str">
        <f t="shared" si="2"/>
        <v/>
      </c>
    </row>
    <row r="412">
      <c r="A412" s="9" t="s">
        <v>2224</v>
      </c>
      <c r="B412" s="9" t="s">
        <v>2242</v>
      </c>
      <c r="C412" s="9" t="s">
        <v>694</v>
      </c>
      <c r="D412" s="11" t="str">
        <f>IFERROR(__xludf.DUMMYFUNCTION("ifs(not(isna(MATCH(C412, ExcludedJumps, 0))), ""Excluded"", len(E412) = 0, ""Available"", REGEXMATCH(E412, RepeatableRegex), ""Repeatable"", countif(ARRAYFORMULA(REGEXMATCH(G412, split(B412, char(10)))), ""false"") = 0, ""Obtained"", true, ""Partial"")"),"Obtained")</f>
        <v>Obtained</v>
      </c>
      <c r="E412" s="9" t="s">
        <v>2243</v>
      </c>
      <c r="F412" s="9" t="s">
        <v>2244</v>
      </c>
      <c r="G412" s="31" t="str">
        <f>IFERROR(__xludf.DUMMYFUNCTION("if(len(E412) &gt; 0, join(char(10), FILTER(split(E412, char(10)), REGEXMATCH(split(E412, char(10)), PerkLineRegex))), """")"),"Anaheim Degree (Gundam UC) 200:
Mass Production Mobile Suit: Gun-EZ (Gundam UC) Free:
Hangar (Gundam UC) Free:")</f>
        <v>Anaheim Degree (Gundam UC) 200:
Mass Production Mobile Suit: Gun-EZ (Gundam UC) Free:
Hangar (Gundam UC) Free:</v>
      </c>
      <c r="H412" s="31" t="str">
        <f t="shared" si="2"/>
        <v>_
Chapter 47: 40 Knock Down - Preamble Gully - Addendum Emergency Alert
Chapter 47: 40 Knock Down - Preamble Gully - Addendum Emergency Alert</v>
      </c>
    </row>
    <row r="413">
      <c r="A413" s="9" t="s">
        <v>2224</v>
      </c>
      <c r="B413" s="9" t="s">
        <v>2245</v>
      </c>
      <c r="C413" s="9" t="s">
        <v>313</v>
      </c>
      <c r="D413" s="11" t="str">
        <f>IFERROR(__xludf.DUMMYFUNCTION("ifs(not(isna(MATCH(C413, ExcludedJumps, 0))), ""Excluded"", len(E413) = 0, ""Available"", REGEXMATCH(E413, RepeatableRegex), ""Repeatable"", countif(ARRAYFORMULA(REGEXMATCH(G413, split(B413, char(10)))), ""false"") = 0, ""Obtained"", true, ""Partial"")"),"Obtained")</f>
        <v>Obtained</v>
      </c>
      <c r="E413" s="9" t="s">
        <v>2246</v>
      </c>
      <c r="F413" s="9" t="s">
        <v>2247</v>
      </c>
      <c r="G413" s="31" t="str">
        <f>IFERROR(__xludf.DUMMYFUNCTION("if(len(E413) &gt; 0, join(char(10), FILTER(split(E413, char(10)), REGEXMATCH(split(E413, char(10)), PerkLineRegex))), """")"),"Always a Bigger Robot (Gurren Lagann) 600:
Spiral Energy (Gurren Lagann) Free:")</f>
        <v>Always a Bigger Robot (Gurren Lagann) 600:
Spiral Energy (Gurren Lagann) Free:</v>
      </c>
      <c r="H413" s="31" t="str">
        <f t="shared" si="2"/>
        <v>_
Chapter 57: 45 Realization - Preamble Taylor</v>
      </c>
    </row>
    <row r="414">
      <c r="A414" s="9" t="s">
        <v>2224</v>
      </c>
      <c r="B414" s="9" t="s">
        <v>2248</v>
      </c>
      <c r="C414" s="9" t="s">
        <v>279</v>
      </c>
      <c r="D414" s="11" t="str">
        <f>IFERROR(__xludf.DUMMYFUNCTION("ifs(not(isna(MATCH(C414, ExcludedJumps, 0))), ""Excluded"", len(E414) = 0, ""Available"", REGEXMATCH(E414, RepeatableRegex), ""Repeatable"", countif(ARRAYFORMULA(REGEXMATCH(G414, split(B414, char(10)))), ""false"") = 0, ""Obtained"", true, ""Partial"")"),"Obtained")</f>
        <v>Obtained</v>
      </c>
      <c r="E414" s="9" t="s">
        <v>2249</v>
      </c>
      <c r="F414" s="9" t="s">
        <v>213</v>
      </c>
      <c r="G414" s="31" t="str">
        <f>IFERROR(__xludf.DUMMYFUNCTION("if(len(E414) &gt; 0, join(char(10), FILTER(split(E414, char(10)), REGEXMATCH(split(E414, char(10)), PerkLineRegex))), """")"),"Aerospace Engineering Makes Things Go Fast (Kerbal Space Program) 100:")</f>
        <v>Aerospace Engineering Makes Things Go Fast (Kerbal Space Program) 100:</v>
      </c>
      <c r="H414" s="31" t="str">
        <f t="shared" si="2"/>
        <v>_</v>
      </c>
    </row>
    <row r="415">
      <c r="A415" s="9" t="s">
        <v>2224</v>
      </c>
      <c r="B415" s="9" t="s">
        <v>2250</v>
      </c>
      <c r="C415" s="9" t="s">
        <v>2251</v>
      </c>
      <c r="D415" s="11" t="str">
        <f>IFERROR(__xludf.DUMMYFUNCTION("ifs(not(isna(MATCH(C415, ExcludedJumps, 0))), ""Excluded"", len(E415) = 0, ""Available"", REGEXMATCH(E415, RepeatableRegex), ""Repeatable"", countif(ARRAYFORMULA(REGEXMATCH(G415, split(B415, char(10)))), ""false"") = 0, ""Obtained"", true, ""Partial"")"),"Excluded")</f>
        <v>Excluded</v>
      </c>
      <c r="E415" s="31"/>
      <c r="F415" s="31"/>
      <c r="G415" s="31" t="str">
        <f>IFERROR(__xludf.DUMMYFUNCTION("if(len(E415) &gt; 0, join(char(10), FILTER(split(E415, char(10)), REGEXMATCH(split(E415, char(10)), PerkLineRegex))), """")"),"")</f>
        <v/>
      </c>
      <c r="H415" s="31" t="str">
        <f t="shared" si="2"/>
        <v/>
      </c>
    </row>
    <row r="416">
      <c r="A416" s="9" t="s">
        <v>2224</v>
      </c>
      <c r="B416" s="9" t="s">
        <v>2252</v>
      </c>
      <c r="C416" s="9" t="s">
        <v>248</v>
      </c>
      <c r="D416" s="11" t="str">
        <f>IFERROR(__xludf.DUMMYFUNCTION("ifs(not(isna(MATCH(C416, ExcludedJumps, 0))), ""Excluded"", len(E416) = 0, ""Available"", REGEXMATCH(E416, RepeatableRegex), ""Repeatable"", countif(ARRAYFORMULA(REGEXMATCH(G416, split(B416, char(10)))), ""false"") = 0, ""Obtained"", true, ""Partial"")"),"Obtained")</f>
        <v>Obtained</v>
      </c>
      <c r="E416" s="9" t="s">
        <v>2253</v>
      </c>
      <c r="F416" s="9" t="s">
        <v>195</v>
      </c>
      <c r="G416" s="31" t="str">
        <f>IFERROR(__xludf.DUMMYFUNCTION("if(len(E416) &gt; 0, join(char(10), FILTER(split(E416, char(10)), REGEXMATCH(split(E416, char(10)), PerkLineRegex))), """")"),"Fingers of Silver (Macross) 200:")</f>
        <v>Fingers of Silver (Macross) 200:</v>
      </c>
      <c r="H416" s="31" t="str">
        <f t="shared" si="2"/>
        <v>_</v>
      </c>
    </row>
    <row r="417">
      <c r="A417" s="9" t="s">
        <v>2224</v>
      </c>
      <c r="B417" s="9" t="s">
        <v>2254</v>
      </c>
      <c r="C417" s="9" t="s">
        <v>2068</v>
      </c>
      <c r="D417" s="11" t="str">
        <f>IFERROR(__xludf.DUMMYFUNCTION("ifs(not(isna(MATCH(C417, ExcludedJumps, 0))), ""Excluded"", len(E417) = 0, ""Available"", REGEXMATCH(E417, RepeatableRegex), ""Repeatable"", countif(ARRAYFORMULA(REGEXMATCH(G417, split(B417, char(10)))), ""false"") = 0, ""Obtained"", true, ""Partial"")"),"Obtained")</f>
        <v>Obtained</v>
      </c>
      <c r="E417" s="9" t="s">
        <v>2255</v>
      </c>
      <c r="F417" s="9" t="s">
        <v>211</v>
      </c>
      <c r="G417" s="31" t="str">
        <f>IFERROR(__xludf.DUMMYFUNCTION("if(len(E417) &gt; 0, join(char(10), FILTER(split(E417, char(10)), REGEXMATCH(split(E417, char(10)), PerkLineRegex))), """")"),"Black Thumb (Mad Max Gauntlet) 100:")</f>
        <v>Black Thumb (Mad Max Gauntlet) 100:</v>
      </c>
      <c r="H417" s="31" t="str">
        <f t="shared" si="2"/>
        <v>_</v>
      </c>
    </row>
    <row r="418">
      <c r="A418" s="9" t="s">
        <v>2224</v>
      </c>
      <c r="B418" s="9" t="s">
        <v>2256</v>
      </c>
      <c r="C418" s="9" t="s">
        <v>1483</v>
      </c>
      <c r="D418" s="11" t="str">
        <f>IFERROR(__xludf.DUMMYFUNCTION("ifs(not(isna(MATCH(C418, ExcludedJumps, 0))), ""Excluded"", len(E418) = 0, ""Available"", REGEXMATCH(E418, RepeatableRegex), ""Repeatable"", countif(ARRAYFORMULA(REGEXMATCH(G418, split(B418, char(10)))), ""false"") = 0, ""Obtained"", true, ""Partial"")"),"Obtained")</f>
        <v>Obtained</v>
      </c>
      <c r="E418" s="9" t="s">
        <v>2257</v>
      </c>
      <c r="F418" s="9" t="s">
        <v>2258</v>
      </c>
      <c r="G418" s="31" t="str">
        <f>IFERROR(__xludf.DUMMYFUNCTION("if(len(E418) &gt; 0, join(char(10), FILTER(split(E418, char(10)), REGEXMATCH(split(E418, char(10)), PerkLineRegex))), """")"),"A New Age of Warfare (Metal Gear) 600:
Global Operations (Metal Gear) Free:
Signature Weapon (Metal Gear) Free:")</f>
        <v>A New Age of Warfare (Metal Gear) 600:
Global Operations (Metal Gear) Free:
Signature Weapon (Metal Gear) Free:</v>
      </c>
      <c r="H418" s="31" t="str">
        <f t="shared" si="2"/>
        <v>_
Chapter 184: 116.3 Interlude Crystal - Addendum Joe
Chapter 184: 116.3 Interlude Crystal - Addendum Joe</v>
      </c>
    </row>
    <row r="419">
      <c r="A419" s="9" t="s">
        <v>2224</v>
      </c>
      <c r="B419" s="9" t="s">
        <v>2259</v>
      </c>
      <c r="C419" s="9" t="s">
        <v>2260</v>
      </c>
      <c r="D419" s="11" t="str">
        <f>IFERROR(__xludf.DUMMYFUNCTION("ifs(not(isna(MATCH(C419, ExcludedJumps, 0))), ""Excluded"", len(E419) = 0, ""Available"", REGEXMATCH(E419, RepeatableRegex), ""Repeatable"", countif(ARRAYFORMULA(REGEXMATCH(G419, split(B419, char(10)))), ""false"") = 0, ""Obtained"", true, ""Partial"")"),"Excluded")</f>
        <v>Excluded</v>
      </c>
      <c r="E419" s="31"/>
      <c r="F419" s="31"/>
      <c r="G419" s="31" t="str">
        <f>IFERROR(__xludf.DUMMYFUNCTION("if(len(E419) &gt; 0, join(char(10), FILTER(split(E419, char(10)), REGEXMATCH(split(E419, char(10)), PerkLineRegex))), """")"),"")</f>
        <v/>
      </c>
      <c r="H419" s="31" t="str">
        <f t="shared" si="2"/>
        <v/>
      </c>
    </row>
    <row r="420">
      <c r="A420" s="9" t="s">
        <v>2224</v>
      </c>
      <c r="B420" s="9" t="s">
        <v>2261</v>
      </c>
      <c r="C420" s="9" t="s">
        <v>2262</v>
      </c>
      <c r="D420" s="11" t="str">
        <f>IFERROR(__xludf.DUMMYFUNCTION("ifs(not(isna(MATCH(C420, ExcludedJumps, 0))), ""Excluded"", len(E420) = 0, ""Available"", REGEXMATCH(E420, RepeatableRegex), ""Repeatable"", countif(ARRAYFORMULA(REGEXMATCH(G420, split(B420, char(10)))), ""false"") = 0, ""Obtained"", true, ""Partial"")"),"Obtained")</f>
        <v>Obtained</v>
      </c>
      <c r="E420" s="9" t="s">
        <v>2263</v>
      </c>
      <c r="F420" s="9" t="s">
        <v>213</v>
      </c>
      <c r="G420" s="31" t="str">
        <f>IFERROR(__xludf.DUMMYFUNCTION("if(len(E420) &gt; 0, join(char(10), FILTER(split(E420, char(10)), REGEXMATCH(split(E420, char(10)), PerkLineRegex))), """")"),"Mechanical Genius (Star Wars – Clone Wars) 600:
")</f>
        <v>Mechanical Genius (Star Wars – Clone Wars) 600:
</v>
      </c>
      <c r="H420" s="31" t="str">
        <f t="shared" si="2"/>
        <v>_</v>
      </c>
    </row>
    <row r="421">
      <c r="A421" s="9" t="s">
        <v>2224</v>
      </c>
      <c r="B421" s="9" t="s">
        <v>2264</v>
      </c>
      <c r="C421" s="9" t="s">
        <v>2265</v>
      </c>
      <c r="D421" s="11" t="str">
        <f>IFERROR(__xludf.DUMMYFUNCTION("ifs(not(isna(MATCH(C421, ExcludedJumps, 0))), ""Excluded"", len(E421) = 0, ""Available"", REGEXMATCH(E421, RepeatableRegex), ""Repeatable"", countif(ARRAYFORMULA(REGEXMATCH(G421, split(B421, char(10)))), ""false"") = 0, ""Obtained"", true, ""Partial"")"),"Excluded")</f>
        <v>Excluded</v>
      </c>
      <c r="E421" s="31"/>
      <c r="F421" s="31"/>
      <c r="G421" s="31" t="str">
        <f>IFERROR(__xludf.DUMMYFUNCTION("if(len(E421) &gt; 0, join(char(10), FILTER(split(E421, char(10)), REGEXMATCH(split(E421, char(10)), PerkLineRegex))), """")"),"")</f>
        <v/>
      </c>
      <c r="H421" s="31" t="str">
        <f t="shared" si="2"/>
        <v/>
      </c>
    </row>
    <row r="422">
      <c r="A422" s="9" t="s">
        <v>2224</v>
      </c>
      <c r="B422" s="9" t="s">
        <v>2266</v>
      </c>
      <c r="C422" s="9" t="s">
        <v>1046</v>
      </c>
      <c r="D422" s="11" t="str">
        <f>IFERROR(__xludf.DUMMYFUNCTION("ifs(not(isna(MATCH(C422, ExcludedJumps, 0))), ""Excluded"", len(E422) = 0, ""Available"", REGEXMATCH(E422, RepeatableRegex), ""Repeatable"", countif(ARRAYFORMULA(REGEXMATCH(G422, split(B422, char(10)))), ""false"") = 0, ""Obtained"", true, ""Partial"")"),"Obtained")</f>
        <v>Obtained</v>
      </c>
      <c r="E422" s="9" t="s">
        <v>2267</v>
      </c>
      <c r="F422" s="9" t="s">
        <v>2244</v>
      </c>
      <c r="G422" s="31" t="str">
        <f>IFERROR(__xludf.DUMMYFUNCTION("if(len(E422) &gt; 0, join(char(10), FILTER(split(E422, char(10)), REGEXMATCH(split(E422, char(10)), PerkLineRegex))), """")"),"Titan Engineering (Titanfall) 100:
Titan Chassis - Medium (Titanfall) Free:
Titan Hangar (Titanfall) Free:")</f>
        <v>Titan Engineering (Titanfall) 100:
Titan Chassis - Medium (Titanfall) Free:
Titan Hangar (Titanfall) Free:</v>
      </c>
      <c r="H422" s="31" t="str">
        <f t="shared" si="2"/>
        <v>_
Chapter 90: 66 Review and Preparation
Chapter 90: 66 Review and Preparation</v>
      </c>
    </row>
    <row r="423">
      <c r="A423" s="9" t="s">
        <v>2224</v>
      </c>
      <c r="B423" s="9" t="s">
        <v>2268</v>
      </c>
      <c r="C423" s="9" t="s">
        <v>2269</v>
      </c>
      <c r="D423" s="11" t="str">
        <f>IFERROR(__xludf.DUMMYFUNCTION("ifs(not(isna(MATCH(C423, ExcludedJumps, 0))), ""Excluded"", len(E423) = 0, ""Available"", REGEXMATCH(E423, RepeatableRegex), ""Repeatable"", countif(ARRAYFORMULA(REGEXMATCH(G423, split(B423, char(10)))), ""false"") = 0, ""Obtained"", true, ""Partial"")"),"Excluded")</f>
        <v>Excluded</v>
      </c>
      <c r="E423" s="31"/>
      <c r="F423" s="31"/>
      <c r="G423" s="31" t="str">
        <f>IFERROR(__xludf.DUMMYFUNCTION("if(len(E423) &gt; 0, join(char(10), FILTER(split(E423, char(10)), REGEXMATCH(split(E423, char(10)), PerkLineRegex))), """")"),"")</f>
        <v/>
      </c>
      <c r="H423" s="31" t="str">
        <f t="shared" si="2"/>
        <v/>
      </c>
    </row>
  </sheetData>
  <hyperlinks>
    <hyperlink r:id="rId1" ref="E292"/>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25"/>
    <col customWidth="1" min="3" max="3" width="20.88"/>
    <col customWidth="1" min="4" max="4" width="18.88"/>
    <col customWidth="1" min="6" max="6" width="136.13"/>
  </cols>
  <sheetData>
    <row r="1">
      <c r="A1" s="11" t="s">
        <v>227</v>
      </c>
      <c r="B1" s="11" t="s">
        <v>228</v>
      </c>
      <c r="C1" s="9" t="s">
        <v>229</v>
      </c>
      <c r="D1" s="9" t="s">
        <v>230</v>
      </c>
      <c r="E1" s="43" t="s">
        <v>231</v>
      </c>
      <c r="F1" s="9" t="s">
        <v>232</v>
      </c>
    </row>
    <row r="2">
      <c r="A2" s="11">
        <v>0.0</v>
      </c>
      <c r="B2" s="11" t="s">
        <v>2270</v>
      </c>
      <c r="C2" s="31" t="s">
        <v>234</v>
      </c>
      <c r="D2" s="31" t="s">
        <v>91</v>
      </c>
      <c r="E2" s="18" t="s">
        <v>235</v>
      </c>
      <c r="F2" s="31" t="s">
        <v>236</v>
      </c>
    </row>
    <row r="3">
      <c r="A3" s="11">
        <v>0.0</v>
      </c>
      <c r="B3" s="11" t="s">
        <v>2270</v>
      </c>
      <c r="C3" s="31" t="s">
        <v>237</v>
      </c>
      <c r="D3" s="31" t="s">
        <v>91</v>
      </c>
      <c r="E3" s="18" t="s">
        <v>238</v>
      </c>
      <c r="F3" s="31" t="s">
        <v>239</v>
      </c>
    </row>
    <row r="4">
      <c r="A4" s="11">
        <v>0.0</v>
      </c>
      <c r="B4" s="11" t="s">
        <v>2270</v>
      </c>
      <c r="C4" s="31" t="s">
        <v>240</v>
      </c>
      <c r="D4" s="31" t="s">
        <v>91</v>
      </c>
      <c r="E4" s="18" t="s">
        <v>238</v>
      </c>
      <c r="F4" s="31" t="s">
        <v>241</v>
      </c>
    </row>
    <row r="5">
      <c r="A5" s="11">
        <v>0.0</v>
      </c>
      <c r="B5" s="11" t="s">
        <v>2270</v>
      </c>
      <c r="C5" s="31" t="s">
        <v>243</v>
      </c>
      <c r="D5" s="31" t="s">
        <v>244</v>
      </c>
      <c r="E5" s="18" t="s">
        <v>245</v>
      </c>
      <c r="F5" s="31" t="s">
        <v>246</v>
      </c>
    </row>
    <row r="6">
      <c r="A6" s="11">
        <v>0.0</v>
      </c>
      <c r="B6" s="11" t="s">
        <v>2270</v>
      </c>
      <c r="C6" s="31" t="s">
        <v>247</v>
      </c>
      <c r="D6" s="31" t="s">
        <v>248</v>
      </c>
      <c r="E6" s="18" t="s">
        <v>235</v>
      </c>
      <c r="F6" s="31" t="s">
        <v>249</v>
      </c>
    </row>
    <row r="7">
      <c r="A7" s="11">
        <v>0.0</v>
      </c>
      <c r="B7" s="11" t="s">
        <v>2270</v>
      </c>
      <c r="C7" s="31" t="s">
        <v>250</v>
      </c>
      <c r="D7" s="31" t="s">
        <v>251</v>
      </c>
      <c r="E7" s="18" t="s">
        <v>245</v>
      </c>
      <c r="F7" s="31" t="s">
        <v>252</v>
      </c>
    </row>
    <row r="8">
      <c r="A8" s="11">
        <v>0.0</v>
      </c>
      <c r="B8" s="11" t="s">
        <v>2270</v>
      </c>
      <c r="C8" s="31" t="s">
        <v>257</v>
      </c>
      <c r="D8" s="31" t="s">
        <v>258</v>
      </c>
      <c r="E8" s="44" t="s">
        <v>235</v>
      </c>
      <c r="F8" s="31" t="s">
        <v>259</v>
      </c>
    </row>
    <row r="9">
      <c r="A9" s="11">
        <v>0.0</v>
      </c>
      <c r="B9" s="11" t="s">
        <v>2270</v>
      </c>
      <c r="C9" s="31" t="s">
        <v>254</v>
      </c>
      <c r="D9" s="31" t="s">
        <v>255</v>
      </c>
      <c r="E9" s="18" t="s">
        <v>235</v>
      </c>
      <c r="F9" s="31" t="s">
        <v>256</v>
      </c>
    </row>
    <row r="10">
      <c r="A10" s="11">
        <v>1.0</v>
      </c>
      <c r="B10" s="11"/>
      <c r="C10" s="9" t="s">
        <v>2065</v>
      </c>
      <c r="D10" s="9" t="s">
        <v>793</v>
      </c>
      <c r="E10" s="43" t="s">
        <v>307</v>
      </c>
      <c r="F10" s="9" t="s">
        <v>794</v>
      </c>
    </row>
    <row r="11">
      <c r="A11" s="11">
        <v>2.0</v>
      </c>
      <c r="B11" s="11" t="s">
        <v>2271</v>
      </c>
      <c r="C11" s="31" t="s">
        <v>566</v>
      </c>
      <c r="D11" s="31" t="s">
        <v>409</v>
      </c>
      <c r="E11" s="31" t="s">
        <v>235</v>
      </c>
      <c r="F11" s="31" t="s">
        <v>567</v>
      </c>
    </row>
    <row r="12">
      <c r="A12" s="11">
        <v>2.0</v>
      </c>
      <c r="B12" s="11" t="s">
        <v>2271</v>
      </c>
      <c r="C12" s="9" t="s">
        <v>2235</v>
      </c>
      <c r="D12" s="31" t="s">
        <v>320</v>
      </c>
      <c r="E12" s="17" t="s">
        <v>235</v>
      </c>
      <c r="F12" s="31" t="s">
        <v>321</v>
      </c>
    </row>
    <row r="13">
      <c r="A13" s="11">
        <v>2.0</v>
      </c>
      <c r="B13" s="11" t="s">
        <v>2271</v>
      </c>
      <c r="C13" s="9" t="s">
        <v>2136</v>
      </c>
      <c r="D13" s="31" t="s">
        <v>320</v>
      </c>
      <c r="E13" s="17" t="s">
        <v>307</v>
      </c>
      <c r="F13" s="31" t="s">
        <v>439</v>
      </c>
    </row>
    <row r="14">
      <c r="A14" s="11">
        <v>3.0</v>
      </c>
      <c r="B14" s="11" t="s">
        <v>2272</v>
      </c>
      <c r="C14" s="9" t="s">
        <v>2248</v>
      </c>
      <c r="D14" s="31" t="s">
        <v>279</v>
      </c>
      <c r="E14" s="17" t="s">
        <v>235</v>
      </c>
      <c r="F14" s="31" t="s">
        <v>280</v>
      </c>
    </row>
    <row r="15">
      <c r="A15" s="11">
        <v>3.0</v>
      </c>
      <c r="B15" s="11" t="s">
        <v>2272</v>
      </c>
      <c r="C15" s="9" t="s">
        <v>2273</v>
      </c>
      <c r="D15" s="31" t="s">
        <v>279</v>
      </c>
      <c r="E15" s="17" t="s">
        <v>238</v>
      </c>
      <c r="F15" s="31" t="s">
        <v>1322</v>
      </c>
    </row>
    <row r="16">
      <c r="A16" s="11">
        <v>3.0</v>
      </c>
      <c r="B16" s="11" t="s">
        <v>2272</v>
      </c>
      <c r="C16" s="9" t="s">
        <v>2274</v>
      </c>
      <c r="D16" s="31" t="s">
        <v>266</v>
      </c>
      <c r="E16" s="17" t="s">
        <v>235</v>
      </c>
      <c r="F16" s="31" t="s">
        <v>267</v>
      </c>
    </row>
    <row r="17">
      <c r="A17" s="11">
        <v>3.0</v>
      </c>
      <c r="B17" s="11" t="s">
        <v>2272</v>
      </c>
      <c r="C17" s="9" t="s">
        <v>2128</v>
      </c>
      <c r="D17" s="31" t="s">
        <v>336</v>
      </c>
      <c r="E17" s="17" t="s">
        <v>307</v>
      </c>
      <c r="F17" s="31" t="s">
        <v>337</v>
      </c>
    </row>
    <row r="18">
      <c r="A18" s="11">
        <v>3.0</v>
      </c>
      <c r="B18" s="11" t="s">
        <v>2272</v>
      </c>
      <c r="C18" s="9" t="s">
        <v>2275</v>
      </c>
      <c r="D18" s="31" t="s">
        <v>336</v>
      </c>
      <c r="E18" s="17" t="s">
        <v>238</v>
      </c>
      <c r="F18" s="9" t="s">
        <v>2276</v>
      </c>
    </row>
    <row r="19">
      <c r="A19" s="11">
        <v>3.0</v>
      </c>
      <c r="B19" s="11" t="s">
        <v>2272</v>
      </c>
      <c r="C19" s="9" t="s">
        <v>2277</v>
      </c>
      <c r="D19" s="31" t="s">
        <v>336</v>
      </c>
      <c r="E19" s="17" t="s">
        <v>238</v>
      </c>
      <c r="F19" s="9" t="s">
        <v>2278</v>
      </c>
    </row>
    <row r="20">
      <c r="C20" s="31"/>
      <c r="D20" s="31"/>
      <c r="E20" s="18"/>
      <c r="F20" s="31"/>
    </row>
    <row r="21">
      <c r="C21" s="31"/>
      <c r="D21" s="31"/>
      <c r="E21" s="18"/>
      <c r="F21" s="31"/>
    </row>
    <row r="22">
      <c r="C22" s="31"/>
      <c r="D22" s="31"/>
      <c r="E22" s="18"/>
      <c r="F22" s="31"/>
    </row>
    <row r="23">
      <c r="C23" s="31"/>
      <c r="D23" s="31"/>
      <c r="E23" s="18"/>
      <c r="F23" s="31"/>
    </row>
    <row r="24">
      <c r="C24" s="31"/>
      <c r="D24" s="31"/>
      <c r="E24" s="18"/>
      <c r="F24" s="31"/>
    </row>
    <row r="25">
      <c r="C25" s="31"/>
      <c r="D25" s="31"/>
      <c r="E25" s="18"/>
      <c r="F25" s="31"/>
    </row>
    <row r="26">
      <c r="C26" s="31"/>
      <c r="D26" s="31"/>
      <c r="E26" s="18"/>
      <c r="F26" s="31"/>
    </row>
    <row r="27">
      <c r="C27" s="31"/>
      <c r="D27" s="31"/>
      <c r="E27" s="18"/>
      <c r="F27" s="31"/>
    </row>
    <row r="28">
      <c r="C28" s="31"/>
      <c r="D28" s="31"/>
      <c r="E28" s="18"/>
      <c r="F28" s="31"/>
    </row>
    <row r="29">
      <c r="C29" s="31"/>
      <c r="D29" s="31"/>
      <c r="E29" s="18"/>
      <c r="F29" s="31"/>
    </row>
    <row r="30">
      <c r="C30" s="31"/>
      <c r="D30" s="31"/>
      <c r="E30" s="18"/>
      <c r="F30" s="31"/>
    </row>
    <row r="31">
      <c r="C31" s="31"/>
      <c r="D31" s="31"/>
      <c r="E31" s="18"/>
      <c r="F31" s="31"/>
    </row>
    <row r="32">
      <c r="C32" s="31"/>
      <c r="D32" s="31"/>
      <c r="E32" s="18"/>
      <c r="F32" s="31"/>
    </row>
    <row r="33">
      <c r="C33" s="31"/>
      <c r="D33" s="31"/>
      <c r="E33" s="18"/>
      <c r="F33" s="31"/>
    </row>
    <row r="34">
      <c r="C34" s="31"/>
      <c r="D34" s="31"/>
      <c r="E34" s="18"/>
      <c r="F34" s="31"/>
    </row>
    <row r="35">
      <c r="C35" s="31"/>
      <c r="D35" s="31"/>
      <c r="E35" s="18"/>
      <c r="F35" s="31"/>
    </row>
    <row r="36">
      <c r="C36" s="31"/>
      <c r="D36" s="31"/>
      <c r="E36" s="18"/>
      <c r="F36" s="31"/>
    </row>
    <row r="37">
      <c r="C37" s="31"/>
      <c r="D37" s="31"/>
      <c r="E37" s="18"/>
      <c r="F37" s="31"/>
    </row>
    <row r="38">
      <c r="C38" s="31"/>
      <c r="D38" s="31"/>
      <c r="E38" s="18"/>
      <c r="F38" s="31"/>
    </row>
    <row r="39">
      <c r="C39" s="31"/>
      <c r="D39" s="31"/>
      <c r="E39" s="18"/>
      <c r="F39" s="31"/>
    </row>
    <row r="40">
      <c r="C40" s="31"/>
      <c r="D40" s="31"/>
      <c r="E40" s="18"/>
      <c r="F40" s="31"/>
    </row>
    <row r="41">
      <c r="C41" s="31"/>
      <c r="D41" s="31"/>
      <c r="E41" s="18"/>
      <c r="F41" s="31"/>
    </row>
    <row r="42">
      <c r="C42" s="31"/>
      <c r="D42" s="31"/>
      <c r="E42" s="18"/>
      <c r="F42" s="31"/>
    </row>
    <row r="43">
      <c r="C43" s="31"/>
      <c r="D43" s="31"/>
      <c r="E43" s="18"/>
      <c r="F43" s="31"/>
    </row>
    <row r="44">
      <c r="C44" s="31"/>
      <c r="D44" s="31"/>
      <c r="E44" s="18"/>
      <c r="F44" s="31"/>
    </row>
    <row r="45">
      <c r="C45" s="31"/>
      <c r="D45" s="31"/>
      <c r="E45" s="18"/>
      <c r="F45" s="31"/>
    </row>
    <row r="46">
      <c r="C46" s="31"/>
      <c r="D46" s="31"/>
      <c r="E46" s="18"/>
      <c r="F46" s="31"/>
    </row>
    <row r="47">
      <c r="C47" s="31"/>
      <c r="D47" s="31"/>
      <c r="E47" s="18"/>
      <c r="F47" s="31"/>
    </row>
    <row r="48">
      <c r="C48" s="31"/>
      <c r="D48" s="31"/>
      <c r="E48" s="18"/>
      <c r="F48" s="31"/>
    </row>
    <row r="49">
      <c r="C49" s="31"/>
      <c r="D49" s="31"/>
      <c r="E49" s="18"/>
      <c r="F49" s="31"/>
    </row>
    <row r="50">
      <c r="C50" s="31"/>
      <c r="D50" s="31"/>
      <c r="E50" s="18"/>
      <c r="F50" s="31"/>
    </row>
    <row r="51">
      <c r="C51" s="31"/>
      <c r="D51" s="31"/>
      <c r="E51" s="18"/>
      <c r="F51" s="31"/>
    </row>
    <row r="52">
      <c r="C52" s="31"/>
      <c r="D52" s="31"/>
      <c r="E52" s="18"/>
      <c r="F52" s="31"/>
    </row>
    <row r="53">
      <c r="C53" s="31"/>
      <c r="D53" s="31"/>
      <c r="E53" s="18"/>
      <c r="F53" s="31"/>
    </row>
    <row r="54">
      <c r="C54" s="31"/>
      <c r="D54" s="31"/>
      <c r="E54" s="18"/>
      <c r="F54" s="31"/>
    </row>
    <row r="55">
      <c r="C55" s="31"/>
      <c r="D55" s="31"/>
      <c r="E55" s="18"/>
      <c r="F55" s="31"/>
    </row>
    <row r="56">
      <c r="C56" s="31"/>
      <c r="D56" s="31"/>
      <c r="E56" s="18"/>
      <c r="F56" s="31"/>
    </row>
    <row r="57">
      <c r="C57" s="31"/>
      <c r="D57" s="31"/>
      <c r="E57" s="18"/>
      <c r="F57" s="31"/>
    </row>
    <row r="58">
      <c r="C58" s="31"/>
      <c r="D58" s="31"/>
      <c r="E58" s="18"/>
      <c r="F58" s="31"/>
    </row>
    <row r="59">
      <c r="C59" s="31"/>
      <c r="D59" s="31"/>
      <c r="E59" s="18"/>
      <c r="F59" s="31"/>
    </row>
    <row r="60">
      <c r="C60" s="31"/>
      <c r="D60" s="31"/>
      <c r="E60" s="18"/>
      <c r="F60" s="31"/>
    </row>
    <row r="61">
      <c r="C61" s="31"/>
      <c r="D61" s="31"/>
      <c r="E61" s="18"/>
      <c r="F61" s="31"/>
    </row>
    <row r="62">
      <c r="C62" s="31"/>
      <c r="D62" s="31"/>
      <c r="E62" s="18"/>
      <c r="F62" s="31"/>
    </row>
    <row r="63">
      <c r="C63" s="31"/>
      <c r="D63" s="31"/>
      <c r="E63" s="18"/>
      <c r="F63" s="31"/>
    </row>
    <row r="64">
      <c r="C64" s="31"/>
      <c r="D64" s="31"/>
      <c r="E64" s="18"/>
      <c r="F64" s="31"/>
    </row>
    <row r="65">
      <c r="C65" s="31"/>
      <c r="D65" s="31"/>
      <c r="E65" s="18"/>
      <c r="F65" s="31"/>
    </row>
    <row r="66">
      <c r="C66" s="31"/>
      <c r="D66" s="31"/>
      <c r="E66" s="18"/>
      <c r="F66" s="31"/>
    </row>
    <row r="67">
      <c r="C67" s="31"/>
      <c r="D67" s="31"/>
      <c r="E67" s="18"/>
      <c r="F67" s="31"/>
    </row>
    <row r="68">
      <c r="C68" s="31"/>
      <c r="D68" s="31"/>
      <c r="E68" s="18"/>
      <c r="F68" s="31"/>
    </row>
    <row r="69">
      <c r="C69" s="31"/>
      <c r="D69" s="31"/>
      <c r="E69" s="18"/>
      <c r="F69" s="31"/>
    </row>
    <row r="70">
      <c r="C70" s="31"/>
      <c r="D70" s="31"/>
      <c r="E70" s="18"/>
      <c r="F70" s="31"/>
    </row>
    <row r="71">
      <c r="C71" s="31"/>
      <c r="D71" s="31"/>
      <c r="E71" s="18"/>
      <c r="F71" s="31"/>
    </row>
    <row r="72">
      <c r="C72" s="31"/>
      <c r="D72" s="31"/>
      <c r="E72" s="18"/>
      <c r="F72" s="31"/>
    </row>
    <row r="73">
      <c r="C73" s="31"/>
      <c r="D73" s="31"/>
      <c r="E73" s="18"/>
      <c r="F73" s="31"/>
    </row>
    <row r="74">
      <c r="C74" s="31"/>
      <c r="D74" s="31"/>
      <c r="E74" s="18"/>
      <c r="F74" s="31"/>
    </row>
    <row r="75">
      <c r="C75" s="31"/>
      <c r="D75" s="31"/>
      <c r="E75" s="18"/>
      <c r="F75" s="31"/>
    </row>
    <row r="76">
      <c r="C76" s="31"/>
      <c r="D76" s="31"/>
      <c r="E76" s="18"/>
      <c r="F76" s="31"/>
    </row>
    <row r="77">
      <c r="C77" s="31"/>
      <c r="D77" s="31"/>
      <c r="E77" s="18"/>
      <c r="F77" s="31"/>
    </row>
    <row r="78">
      <c r="C78" s="31"/>
      <c r="D78" s="31"/>
      <c r="E78" s="18"/>
      <c r="F78" s="31"/>
    </row>
    <row r="79">
      <c r="C79" s="31"/>
      <c r="D79" s="31"/>
      <c r="E79" s="18"/>
      <c r="F79" s="31"/>
    </row>
    <row r="80">
      <c r="C80" s="31"/>
      <c r="D80" s="31"/>
      <c r="E80" s="18"/>
      <c r="F80" s="31"/>
    </row>
    <row r="81">
      <c r="C81" s="31"/>
      <c r="D81" s="31"/>
      <c r="E81" s="18"/>
      <c r="F81" s="31"/>
    </row>
    <row r="82">
      <c r="C82" s="31"/>
      <c r="D82" s="31"/>
      <c r="E82" s="18"/>
      <c r="F82" s="31"/>
    </row>
    <row r="83">
      <c r="C83" s="31"/>
      <c r="D83" s="31"/>
      <c r="E83" s="18"/>
      <c r="F83" s="31"/>
    </row>
    <row r="84">
      <c r="C84" s="31"/>
      <c r="D84" s="31"/>
      <c r="E84" s="18"/>
      <c r="F84" s="31"/>
    </row>
    <row r="85">
      <c r="C85" s="31"/>
      <c r="D85" s="31"/>
      <c r="E85" s="18"/>
      <c r="F85" s="31"/>
    </row>
    <row r="86">
      <c r="C86" s="31"/>
      <c r="D86" s="31"/>
      <c r="E86" s="18"/>
      <c r="F86" s="31"/>
    </row>
    <row r="87">
      <c r="C87" s="31"/>
      <c r="D87" s="31"/>
      <c r="E87" s="18"/>
      <c r="F87" s="31"/>
    </row>
    <row r="88">
      <c r="C88" s="31"/>
      <c r="D88" s="31"/>
      <c r="E88" s="18"/>
      <c r="F88" s="31"/>
    </row>
    <row r="89">
      <c r="C89" s="31"/>
      <c r="D89" s="31"/>
      <c r="E89" s="18"/>
      <c r="F89" s="31"/>
    </row>
    <row r="90">
      <c r="C90" s="31"/>
      <c r="D90" s="31"/>
      <c r="E90" s="18"/>
      <c r="F90" s="31"/>
    </row>
    <row r="91">
      <c r="C91" s="31"/>
      <c r="D91" s="31"/>
      <c r="E91" s="18"/>
      <c r="F91" s="31"/>
    </row>
    <row r="92">
      <c r="C92" s="31"/>
      <c r="D92" s="31"/>
      <c r="E92" s="18"/>
      <c r="F92" s="31"/>
    </row>
    <row r="93">
      <c r="C93" s="31"/>
      <c r="D93" s="31"/>
      <c r="E93" s="18"/>
      <c r="F93" s="31"/>
    </row>
    <row r="94">
      <c r="C94" s="31"/>
      <c r="D94" s="31"/>
      <c r="E94" s="18"/>
      <c r="F94" s="31"/>
    </row>
    <row r="95">
      <c r="C95" s="31"/>
      <c r="D95" s="31"/>
      <c r="E95" s="18"/>
      <c r="F95" s="31"/>
    </row>
    <row r="96">
      <c r="C96" s="31"/>
      <c r="D96" s="31"/>
      <c r="E96" s="18"/>
      <c r="F96" s="31"/>
    </row>
    <row r="97">
      <c r="C97" s="31"/>
      <c r="D97" s="31"/>
      <c r="E97" s="18"/>
      <c r="F97" s="31"/>
    </row>
    <row r="98">
      <c r="C98" s="31"/>
      <c r="D98" s="31"/>
      <c r="E98" s="18"/>
      <c r="F98" s="31"/>
    </row>
    <row r="99">
      <c r="C99" s="31"/>
      <c r="D99" s="31"/>
      <c r="E99" s="18"/>
      <c r="F99" s="31"/>
    </row>
    <row r="100">
      <c r="C100" s="31"/>
      <c r="D100" s="31"/>
      <c r="E100" s="18"/>
      <c r="F100" s="31"/>
    </row>
    <row r="101">
      <c r="C101" s="31"/>
      <c r="D101" s="31"/>
      <c r="E101" s="18"/>
      <c r="F101" s="31"/>
    </row>
    <row r="102">
      <c r="C102" s="31"/>
      <c r="D102" s="31"/>
      <c r="E102" s="18"/>
      <c r="F102" s="31"/>
    </row>
    <row r="103">
      <c r="C103" s="31"/>
      <c r="D103" s="31"/>
      <c r="E103" s="18"/>
      <c r="F103" s="31"/>
    </row>
    <row r="104">
      <c r="C104" s="31"/>
      <c r="D104" s="31"/>
      <c r="E104" s="18"/>
      <c r="F104" s="31"/>
    </row>
    <row r="105">
      <c r="C105" s="31"/>
      <c r="D105" s="31"/>
      <c r="E105" s="18"/>
      <c r="F105" s="31"/>
    </row>
    <row r="106">
      <c r="C106" s="31"/>
      <c r="D106" s="31"/>
      <c r="E106" s="18"/>
      <c r="F106" s="31"/>
    </row>
    <row r="107">
      <c r="C107" s="31"/>
      <c r="D107" s="31"/>
      <c r="E107" s="18"/>
      <c r="F107" s="31"/>
    </row>
    <row r="108">
      <c r="C108" s="31"/>
      <c r="D108" s="31"/>
      <c r="E108" s="18"/>
      <c r="F108" s="31"/>
    </row>
    <row r="109">
      <c r="C109" s="31"/>
      <c r="D109" s="31"/>
      <c r="E109" s="18"/>
      <c r="F109" s="31"/>
    </row>
    <row r="110">
      <c r="C110" s="31"/>
      <c r="D110" s="31"/>
      <c r="E110" s="18"/>
      <c r="F110" s="31"/>
    </row>
    <row r="111">
      <c r="C111" s="31"/>
      <c r="D111" s="31"/>
      <c r="E111" s="18"/>
      <c r="F111" s="31"/>
    </row>
    <row r="112">
      <c r="C112" s="31"/>
      <c r="D112" s="31"/>
      <c r="E112" s="18"/>
      <c r="F112" s="31"/>
    </row>
    <row r="113">
      <c r="C113" s="31"/>
      <c r="D113" s="31"/>
      <c r="E113" s="18"/>
      <c r="F113" s="31"/>
    </row>
    <row r="114">
      <c r="C114" s="31"/>
      <c r="D114" s="31"/>
      <c r="E114" s="18"/>
      <c r="F114" s="31"/>
    </row>
    <row r="115">
      <c r="C115" s="31"/>
      <c r="D115" s="31"/>
      <c r="E115" s="18"/>
      <c r="F115" s="31"/>
    </row>
    <row r="116">
      <c r="C116" s="31"/>
      <c r="D116" s="31"/>
      <c r="E116" s="18"/>
      <c r="F116" s="31"/>
    </row>
    <row r="117">
      <c r="C117" s="31"/>
      <c r="D117" s="31"/>
      <c r="E117" s="18"/>
      <c r="F117" s="31"/>
    </row>
    <row r="118">
      <c r="C118" s="31"/>
      <c r="D118" s="31"/>
      <c r="E118" s="18"/>
      <c r="F118" s="31"/>
    </row>
    <row r="119">
      <c r="C119" s="31"/>
      <c r="D119" s="31"/>
      <c r="E119" s="18"/>
      <c r="F119" s="31"/>
    </row>
    <row r="120">
      <c r="C120" s="31"/>
      <c r="D120" s="31"/>
      <c r="E120" s="18"/>
      <c r="F120" s="31"/>
    </row>
    <row r="121">
      <c r="C121" s="31"/>
      <c r="D121" s="31"/>
      <c r="E121" s="18"/>
      <c r="F121" s="31"/>
    </row>
    <row r="122">
      <c r="C122" s="31"/>
      <c r="D122" s="31"/>
      <c r="E122" s="18"/>
      <c r="F122" s="31"/>
    </row>
    <row r="123">
      <c r="C123" s="31"/>
      <c r="D123" s="31"/>
      <c r="E123" s="18"/>
      <c r="F123" s="31"/>
    </row>
    <row r="124">
      <c r="C124" s="31"/>
      <c r="D124" s="31"/>
      <c r="E124" s="18"/>
      <c r="F124" s="31"/>
    </row>
    <row r="125">
      <c r="C125" s="31"/>
      <c r="D125" s="31"/>
      <c r="E125" s="18"/>
      <c r="F125" s="31"/>
    </row>
    <row r="126">
      <c r="C126" s="31"/>
      <c r="D126" s="31"/>
      <c r="E126" s="18"/>
      <c r="F126" s="31"/>
    </row>
    <row r="127">
      <c r="C127" s="31"/>
      <c r="D127" s="31"/>
      <c r="E127" s="18"/>
      <c r="F127" s="31"/>
    </row>
    <row r="128">
      <c r="C128" s="31"/>
      <c r="D128" s="31"/>
      <c r="E128" s="18"/>
      <c r="F128" s="31"/>
    </row>
    <row r="129">
      <c r="C129" s="31"/>
      <c r="D129" s="31"/>
      <c r="E129" s="18"/>
      <c r="F129" s="31"/>
    </row>
    <row r="130">
      <c r="C130" s="31"/>
      <c r="D130" s="31"/>
      <c r="E130" s="18"/>
      <c r="F130" s="31"/>
    </row>
    <row r="131">
      <c r="C131" s="31"/>
      <c r="D131" s="31"/>
      <c r="E131" s="18"/>
      <c r="F131" s="31"/>
    </row>
    <row r="132">
      <c r="C132" s="31"/>
      <c r="D132" s="31"/>
      <c r="E132" s="18"/>
      <c r="F132" s="31"/>
    </row>
    <row r="133">
      <c r="C133" s="31"/>
      <c r="D133" s="31"/>
      <c r="E133" s="18"/>
      <c r="F133" s="31"/>
    </row>
    <row r="134">
      <c r="C134" s="31"/>
      <c r="D134" s="31"/>
      <c r="E134" s="18"/>
      <c r="F134" s="31"/>
    </row>
    <row r="135">
      <c r="C135" s="31"/>
      <c r="D135" s="31"/>
      <c r="E135" s="18"/>
      <c r="F135" s="31"/>
    </row>
    <row r="136">
      <c r="C136" s="31"/>
      <c r="D136" s="31"/>
      <c r="E136" s="18"/>
      <c r="F136" s="31"/>
    </row>
    <row r="137">
      <c r="C137" s="31"/>
      <c r="D137" s="31"/>
      <c r="E137" s="18"/>
      <c r="F137" s="31"/>
    </row>
    <row r="138">
      <c r="C138" s="31"/>
      <c r="D138" s="31"/>
      <c r="E138" s="18"/>
      <c r="F138" s="31"/>
    </row>
    <row r="139">
      <c r="C139" s="31"/>
      <c r="D139" s="31"/>
      <c r="E139" s="18"/>
      <c r="F139" s="31"/>
    </row>
    <row r="140">
      <c r="C140" s="31"/>
      <c r="D140" s="31"/>
      <c r="E140" s="18"/>
      <c r="F140" s="31"/>
    </row>
    <row r="141">
      <c r="C141" s="31"/>
      <c r="D141" s="31"/>
      <c r="E141" s="18"/>
      <c r="F141" s="31"/>
    </row>
    <row r="142">
      <c r="C142" s="31"/>
      <c r="D142" s="31"/>
      <c r="E142" s="18"/>
      <c r="F142" s="31"/>
    </row>
    <row r="143">
      <c r="C143" s="31"/>
      <c r="D143" s="31"/>
      <c r="E143" s="18"/>
      <c r="F143" s="31"/>
    </row>
    <row r="144">
      <c r="C144" s="31"/>
      <c r="D144" s="31"/>
      <c r="E144" s="18"/>
      <c r="F144" s="31"/>
    </row>
    <row r="145">
      <c r="C145" s="31"/>
      <c r="D145" s="31"/>
      <c r="E145" s="18"/>
      <c r="F145" s="31"/>
    </row>
    <row r="146">
      <c r="C146" s="31"/>
      <c r="D146" s="31"/>
      <c r="E146" s="18"/>
      <c r="F146" s="31"/>
    </row>
    <row r="147">
      <c r="C147" s="31"/>
      <c r="D147" s="31"/>
      <c r="E147" s="18"/>
      <c r="F147" s="31"/>
    </row>
    <row r="148">
      <c r="C148" s="31"/>
      <c r="D148" s="31"/>
      <c r="E148" s="18"/>
      <c r="F148" s="31"/>
    </row>
    <row r="149">
      <c r="C149" s="31"/>
      <c r="D149" s="31"/>
      <c r="E149" s="18"/>
      <c r="F149" s="31"/>
    </row>
    <row r="150">
      <c r="C150" s="31"/>
      <c r="D150" s="31"/>
      <c r="E150" s="18"/>
      <c r="F150" s="31"/>
    </row>
    <row r="151">
      <c r="C151" s="31"/>
      <c r="D151" s="31"/>
      <c r="E151" s="18"/>
      <c r="F151" s="31"/>
    </row>
    <row r="152">
      <c r="C152" s="31"/>
      <c r="D152" s="31"/>
      <c r="E152" s="18"/>
      <c r="F152" s="31"/>
    </row>
    <row r="153">
      <c r="C153" s="31"/>
      <c r="D153" s="31"/>
      <c r="E153" s="18"/>
      <c r="F153" s="31"/>
    </row>
    <row r="154">
      <c r="C154" s="31"/>
      <c r="D154" s="31"/>
      <c r="E154" s="18"/>
      <c r="F154" s="31"/>
    </row>
    <row r="155">
      <c r="C155" s="31"/>
      <c r="D155" s="31"/>
      <c r="E155" s="18"/>
      <c r="F155" s="31"/>
    </row>
    <row r="156">
      <c r="C156" s="31"/>
      <c r="D156" s="31"/>
      <c r="E156" s="18"/>
      <c r="F156" s="31"/>
    </row>
    <row r="157">
      <c r="C157" s="31"/>
      <c r="D157" s="31"/>
      <c r="E157" s="18"/>
      <c r="F157" s="31"/>
    </row>
    <row r="158">
      <c r="C158" s="31"/>
      <c r="D158" s="31"/>
      <c r="E158" s="18"/>
      <c r="F158" s="31"/>
    </row>
    <row r="159">
      <c r="C159" s="31"/>
      <c r="D159" s="31"/>
      <c r="E159" s="18"/>
      <c r="F159" s="31"/>
    </row>
    <row r="160">
      <c r="C160" s="31"/>
      <c r="D160" s="31"/>
      <c r="E160" s="18"/>
      <c r="F160" s="31"/>
    </row>
    <row r="161">
      <c r="C161" s="31"/>
      <c r="D161" s="31"/>
      <c r="E161" s="18"/>
      <c r="F161" s="31"/>
    </row>
    <row r="162">
      <c r="C162" s="31"/>
      <c r="D162" s="31"/>
      <c r="E162" s="18"/>
      <c r="F162" s="31"/>
    </row>
    <row r="163">
      <c r="C163" s="31"/>
      <c r="D163" s="31"/>
      <c r="E163" s="18"/>
      <c r="F163" s="31"/>
    </row>
    <row r="164">
      <c r="C164" s="31"/>
      <c r="D164" s="31"/>
      <c r="E164" s="18"/>
      <c r="F164" s="31"/>
    </row>
    <row r="165">
      <c r="C165" s="31"/>
      <c r="D165" s="31"/>
      <c r="E165" s="18"/>
      <c r="F165" s="31"/>
    </row>
    <row r="166">
      <c r="C166" s="31"/>
      <c r="D166" s="31"/>
      <c r="E166" s="18"/>
      <c r="F166" s="31"/>
    </row>
    <row r="167">
      <c r="C167" s="31"/>
      <c r="D167" s="31"/>
      <c r="E167" s="18"/>
      <c r="F167" s="31"/>
    </row>
    <row r="168">
      <c r="C168" s="31"/>
      <c r="D168" s="31"/>
      <c r="E168" s="18"/>
      <c r="F168" s="31"/>
    </row>
    <row r="169">
      <c r="C169" s="31"/>
      <c r="D169" s="31"/>
      <c r="E169" s="18"/>
      <c r="F169" s="31"/>
    </row>
    <row r="170">
      <c r="C170" s="31"/>
      <c r="D170" s="31"/>
      <c r="E170" s="18"/>
      <c r="F170" s="31"/>
    </row>
    <row r="171">
      <c r="C171" s="31"/>
      <c r="D171" s="31"/>
      <c r="E171" s="18"/>
      <c r="F171" s="31"/>
    </row>
    <row r="172">
      <c r="C172" s="31"/>
      <c r="D172" s="31"/>
      <c r="E172" s="18"/>
      <c r="F172" s="31"/>
    </row>
    <row r="173">
      <c r="C173" s="31"/>
      <c r="D173" s="31"/>
      <c r="E173" s="18"/>
      <c r="F173" s="31"/>
    </row>
    <row r="174">
      <c r="C174" s="31"/>
      <c r="D174" s="31"/>
      <c r="E174" s="18"/>
      <c r="F174" s="31"/>
    </row>
    <row r="175">
      <c r="C175" s="31"/>
      <c r="D175" s="31"/>
      <c r="E175" s="18"/>
      <c r="F175" s="31"/>
    </row>
    <row r="176">
      <c r="C176" s="31"/>
      <c r="D176" s="31"/>
      <c r="E176" s="18"/>
      <c r="F176" s="31"/>
    </row>
    <row r="177">
      <c r="C177" s="31"/>
      <c r="D177" s="31"/>
      <c r="E177" s="18"/>
      <c r="F177" s="31"/>
    </row>
    <row r="178">
      <c r="C178" s="31"/>
      <c r="D178" s="31"/>
      <c r="E178" s="18"/>
      <c r="F178" s="31"/>
    </row>
    <row r="179">
      <c r="C179" s="31"/>
      <c r="D179" s="31"/>
      <c r="E179" s="18"/>
      <c r="F179" s="31"/>
    </row>
    <row r="180">
      <c r="C180" s="31"/>
      <c r="D180" s="31"/>
      <c r="E180" s="18"/>
      <c r="F180" s="31"/>
    </row>
    <row r="181">
      <c r="C181" s="31"/>
      <c r="D181" s="31"/>
      <c r="E181" s="18"/>
      <c r="F181" s="31"/>
    </row>
    <row r="182">
      <c r="C182" s="31"/>
      <c r="D182" s="31"/>
      <c r="E182" s="18"/>
      <c r="F182" s="31"/>
    </row>
    <row r="183">
      <c r="C183" s="31"/>
      <c r="D183" s="31"/>
      <c r="E183" s="18"/>
      <c r="F183" s="31"/>
    </row>
    <row r="184">
      <c r="C184" s="31"/>
      <c r="D184" s="31"/>
      <c r="E184" s="18"/>
      <c r="F184" s="31"/>
    </row>
    <row r="185">
      <c r="C185" s="31"/>
      <c r="D185" s="31"/>
      <c r="E185" s="18"/>
      <c r="F185" s="31"/>
    </row>
    <row r="186">
      <c r="C186" s="31"/>
      <c r="D186" s="31"/>
      <c r="E186" s="18"/>
      <c r="F186" s="31"/>
    </row>
    <row r="187">
      <c r="C187" s="31"/>
      <c r="D187" s="31"/>
      <c r="E187" s="18"/>
      <c r="F187" s="31"/>
    </row>
    <row r="188">
      <c r="C188" s="31"/>
      <c r="D188" s="31"/>
      <c r="E188" s="18"/>
      <c r="F188" s="31"/>
    </row>
    <row r="189">
      <c r="C189" s="31"/>
      <c r="D189" s="31"/>
      <c r="E189" s="18"/>
      <c r="F189" s="31"/>
    </row>
    <row r="190">
      <c r="C190" s="31"/>
      <c r="D190" s="31"/>
      <c r="E190" s="18"/>
      <c r="F190" s="31"/>
    </row>
    <row r="191">
      <c r="C191" s="31"/>
      <c r="D191" s="31"/>
      <c r="E191" s="18"/>
      <c r="F191" s="31"/>
    </row>
    <row r="192">
      <c r="C192" s="31"/>
      <c r="D192" s="31"/>
      <c r="E192" s="18"/>
      <c r="F192" s="31"/>
    </row>
    <row r="193">
      <c r="C193" s="31"/>
      <c r="D193" s="31"/>
      <c r="E193" s="18"/>
      <c r="F193" s="31"/>
    </row>
    <row r="194">
      <c r="C194" s="31"/>
      <c r="D194" s="31"/>
      <c r="E194" s="18"/>
      <c r="F194" s="31"/>
    </row>
    <row r="195">
      <c r="C195" s="31"/>
      <c r="D195" s="31"/>
      <c r="E195" s="18"/>
      <c r="F195" s="31"/>
    </row>
    <row r="196">
      <c r="C196" s="31"/>
      <c r="D196" s="31"/>
      <c r="E196" s="18"/>
      <c r="F196" s="31"/>
    </row>
    <row r="197">
      <c r="C197" s="31"/>
      <c r="D197" s="31"/>
      <c r="E197" s="18"/>
      <c r="F197" s="31"/>
    </row>
    <row r="198">
      <c r="C198" s="31"/>
      <c r="D198" s="31"/>
      <c r="E198" s="18"/>
      <c r="F198" s="31"/>
    </row>
    <row r="199">
      <c r="C199" s="31"/>
      <c r="D199" s="31"/>
      <c r="E199" s="18"/>
      <c r="F199" s="31"/>
    </row>
    <row r="200">
      <c r="C200" s="31"/>
      <c r="D200" s="31"/>
      <c r="E200" s="18"/>
      <c r="F200" s="31"/>
    </row>
    <row r="201">
      <c r="C201" s="31"/>
      <c r="D201" s="31"/>
      <c r="E201" s="18"/>
      <c r="F201" s="31"/>
    </row>
    <row r="202">
      <c r="C202" s="31"/>
      <c r="D202" s="31"/>
      <c r="E202" s="18"/>
      <c r="F202" s="31"/>
    </row>
    <row r="203">
      <c r="C203" s="31"/>
      <c r="D203" s="31"/>
      <c r="E203" s="18"/>
      <c r="F203" s="31"/>
    </row>
    <row r="204">
      <c r="C204" s="31"/>
      <c r="D204" s="31"/>
      <c r="E204" s="18"/>
      <c r="F204" s="31"/>
    </row>
    <row r="205">
      <c r="C205" s="31"/>
      <c r="D205" s="31"/>
      <c r="E205" s="18"/>
      <c r="F205" s="31"/>
    </row>
    <row r="206">
      <c r="C206" s="31"/>
      <c r="D206" s="31"/>
      <c r="E206" s="18"/>
      <c r="F206" s="31"/>
    </row>
    <row r="207">
      <c r="C207" s="31"/>
      <c r="D207" s="31"/>
      <c r="E207" s="18"/>
      <c r="F207" s="31"/>
    </row>
    <row r="208">
      <c r="C208" s="31"/>
      <c r="D208" s="31"/>
      <c r="E208" s="18"/>
      <c r="F208" s="31"/>
    </row>
    <row r="209">
      <c r="C209" s="31"/>
      <c r="D209" s="31"/>
      <c r="E209" s="18"/>
      <c r="F209" s="31"/>
    </row>
    <row r="210">
      <c r="C210" s="31"/>
      <c r="D210" s="31"/>
      <c r="E210" s="18"/>
      <c r="F210" s="31"/>
    </row>
    <row r="211">
      <c r="C211" s="31"/>
      <c r="D211" s="31"/>
      <c r="E211" s="18"/>
      <c r="F211" s="31"/>
    </row>
    <row r="212">
      <c r="C212" s="31"/>
      <c r="D212" s="31"/>
      <c r="E212" s="18"/>
      <c r="F212" s="31"/>
    </row>
    <row r="213">
      <c r="C213" s="31"/>
      <c r="D213" s="31"/>
      <c r="E213" s="18"/>
      <c r="F213" s="31"/>
    </row>
    <row r="214">
      <c r="C214" s="31"/>
      <c r="D214" s="31"/>
      <c r="E214" s="18"/>
      <c r="F214" s="31"/>
    </row>
    <row r="215">
      <c r="C215" s="31"/>
      <c r="D215" s="31"/>
      <c r="E215" s="18"/>
      <c r="F215" s="31"/>
    </row>
    <row r="216">
      <c r="C216" s="31"/>
      <c r="D216" s="31"/>
      <c r="E216" s="18"/>
      <c r="F216" s="31"/>
    </row>
    <row r="217">
      <c r="C217" s="31"/>
      <c r="D217" s="31"/>
      <c r="E217" s="18"/>
      <c r="F217" s="31"/>
    </row>
    <row r="218">
      <c r="C218" s="31"/>
      <c r="D218" s="31"/>
      <c r="E218" s="18"/>
      <c r="F218" s="31"/>
    </row>
    <row r="219">
      <c r="C219" s="31"/>
      <c r="D219" s="31"/>
      <c r="E219" s="18"/>
      <c r="F219" s="31"/>
    </row>
    <row r="220">
      <c r="C220" s="31"/>
      <c r="D220" s="31"/>
      <c r="E220" s="18"/>
      <c r="F220" s="31"/>
    </row>
    <row r="221">
      <c r="C221" s="31"/>
      <c r="D221" s="31"/>
      <c r="E221" s="18"/>
      <c r="F221" s="31"/>
    </row>
    <row r="222">
      <c r="C222" s="31"/>
      <c r="D222" s="31"/>
      <c r="E222" s="18"/>
      <c r="F222" s="31"/>
    </row>
    <row r="223">
      <c r="C223" s="31"/>
      <c r="D223" s="31"/>
      <c r="E223" s="18"/>
      <c r="F223" s="31"/>
    </row>
    <row r="224">
      <c r="C224" s="31"/>
      <c r="D224" s="31"/>
      <c r="E224" s="18"/>
      <c r="F224" s="31"/>
    </row>
    <row r="225">
      <c r="C225" s="31"/>
      <c r="D225" s="31"/>
      <c r="E225" s="18"/>
      <c r="F225" s="31"/>
    </row>
    <row r="226">
      <c r="C226" s="31"/>
      <c r="D226" s="31"/>
      <c r="E226" s="18"/>
      <c r="F226" s="31"/>
    </row>
    <row r="227">
      <c r="C227" s="31"/>
      <c r="D227" s="31"/>
      <c r="E227" s="18"/>
      <c r="F227" s="31"/>
    </row>
    <row r="228">
      <c r="C228" s="31"/>
      <c r="D228" s="31"/>
      <c r="E228" s="18"/>
      <c r="F228" s="31"/>
    </row>
    <row r="229">
      <c r="C229" s="31"/>
      <c r="D229" s="31"/>
      <c r="E229" s="18"/>
      <c r="F229" s="31"/>
    </row>
    <row r="230">
      <c r="C230" s="31"/>
      <c r="D230" s="31"/>
      <c r="E230" s="18"/>
      <c r="F230" s="31"/>
    </row>
    <row r="231">
      <c r="C231" s="31"/>
      <c r="D231" s="31"/>
      <c r="E231" s="18"/>
      <c r="F231" s="31"/>
    </row>
    <row r="232">
      <c r="C232" s="31"/>
      <c r="D232" s="31"/>
      <c r="E232" s="18"/>
      <c r="F232" s="31"/>
    </row>
    <row r="233">
      <c r="C233" s="31"/>
      <c r="D233" s="31"/>
      <c r="E233" s="18"/>
      <c r="F233" s="31"/>
    </row>
    <row r="234">
      <c r="C234" s="31"/>
      <c r="D234" s="31"/>
      <c r="E234" s="18"/>
      <c r="F234" s="31"/>
    </row>
    <row r="235">
      <c r="C235" s="31"/>
      <c r="D235" s="31"/>
      <c r="E235" s="18"/>
      <c r="F235" s="31"/>
    </row>
    <row r="236">
      <c r="C236" s="31"/>
      <c r="D236" s="31"/>
      <c r="E236" s="18"/>
      <c r="F236" s="31"/>
    </row>
    <row r="237">
      <c r="C237" s="31"/>
      <c r="D237" s="31"/>
      <c r="E237" s="18"/>
      <c r="F237" s="31"/>
    </row>
    <row r="238">
      <c r="C238" s="31"/>
      <c r="D238" s="31"/>
      <c r="E238" s="18"/>
      <c r="F238" s="31"/>
    </row>
    <row r="239">
      <c r="C239" s="31"/>
      <c r="D239" s="31"/>
      <c r="E239" s="18"/>
      <c r="F239" s="31"/>
    </row>
    <row r="240">
      <c r="C240" s="31"/>
      <c r="D240" s="31"/>
      <c r="E240" s="18"/>
      <c r="F240" s="31"/>
    </row>
    <row r="241">
      <c r="C241" s="31"/>
      <c r="D241" s="31"/>
      <c r="E241" s="18"/>
      <c r="F241" s="31"/>
    </row>
    <row r="242">
      <c r="C242" s="31"/>
      <c r="D242" s="31"/>
      <c r="E242" s="18"/>
      <c r="F242" s="31"/>
    </row>
    <row r="243">
      <c r="C243" s="31"/>
      <c r="D243" s="31"/>
      <c r="E243" s="18"/>
      <c r="F243" s="31"/>
    </row>
    <row r="244">
      <c r="C244" s="31"/>
      <c r="D244" s="31"/>
      <c r="E244" s="18"/>
      <c r="F244" s="31"/>
    </row>
    <row r="245">
      <c r="C245" s="31"/>
      <c r="D245" s="31"/>
      <c r="E245" s="18"/>
      <c r="F245" s="31"/>
    </row>
    <row r="246">
      <c r="C246" s="31"/>
      <c r="D246" s="31"/>
      <c r="E246" s="18"/>
      <c r="F246" s="31"/>
    </row>
    <row r="247">
      <c r="C247" s="31"/>
      <c r="D247" s="31"/>
      <c r="E247" s="18"/>
      <c r="F247" s="31"/>
    </row>
    <row r="248">
      <c r="C248" s="31"/>
      <c r="D248" s="31"/>
      <c r="E248" s="18"/>
      <c r="F248" s="31"/>
    </row>
    <row r="249">
      <c r="C249" s="31"/>
      <c r="D249" s="31"/>
      <c r="E249" s="18"/>
      <c r="F249" s="31"/>
    </row>
    <row r="250">
      <c r="C250" s="31"/>
      <c r="D250" s="31"/>
      <c r="E250" s="18"/>
      <c r="F250" s="31"/>
    </row>
    <row r="251">
      <c r="C251" s="31"/>
      <c r="D251" s="31"/>
      <c r="E251" s="18"/>
      <c r="F251" s="31"/>
    </row>
    <row r="252">
      <c r="C252" s="31"/>
      <c r="D252" s="31"/>
      <c r="E252" s="18"/>
      <c r="F252" s="31"/>
    </row>
    <row r="253">
      <c r="C253" s="31"/>
      <c r="D253" s="31"/>
      <c r="E253" s="18"/>
      <c r="F253" s="31"/>
    </row>
    <row r="254">
      <c r="C254" s="31"/>
      <c r="D254" s="31"/>
      <c r="E254" s="18"/>
      <c r="F254" s="31"/>
    </row>
    <row r="255">
      <c r="C255" s="31"/>
      <c r="D255" s="31"/>
      <c r="E255" s="18"/>
      <c r="F255" s="31"/>
    </row>
    <row r="256">
      <c r="C256" s="31"/>
      <c r="D256" s="31"/>
      <c r="E256" s="18"/>
      <c r="F256" s="31"/>
    </row>
    <row r="257">
      <c r="C257" s="31"/>
      <c r="D257" s="31"/>
      <c r="E257" s="18"/>
      <c r="F257" s="31"/>
    </row>
    <row r="258">
      <c r="C258" s="31"/>
      <c r="D258" s="31"/>
      <c r="E258" s="18"/>
      <c r="F258" s="31"/>
    </row>
    <row r="259">
      <c r="C259" s="31"/>
      <c r="D259" s="31"/>
      <c r="E259" s="18"/>
      <c r="F259" s="31"/>
    </row>
    <row r="260">
      <c r="C260" s="31"/>
      <c r="D260" s="31"/>
      <c r="E260" s="18"/>
      <c r="F260" s="31"/>
    </row>
    <row r="261">
      <c r="C261" s="31"/>
      <c r="D261" s="31"/>
      <c r="E261" s="18"/>
      <c r="F261" s="31"/>
    </row>
    <row r="262">
      <c r="C262" s="31"/>
      <c r="D262" s="31"/>
      <c r="E262" s="18"/>
      <c r="F262" s="31"/>
    </row>
    <row r="263">
      <c r="C263" s="31"/>
      <c r="D263" s="31"/>
      <c r="E263" s="18"/>
      <c r="F263" s="31"/>
    </row>
    <row r="264">
      <c r="C264" s="31"/>
      <c r="D264" s="31"/>
      <c r="E264" s="18"/>
      <c r="F264" s="31"/>
    </row>
    <row r="265">
      <c r="C265" s="31"/>
      <c r="D265" s="31"/>
      <c r="E265" s="18"/>
      <c r="F265" s="31"/>
    </row>
    <row r="266">
      <c r="C266" s="31"/>
      <c r="D266" s="31"/>
      <c r="E266" s="18"/>
      <c r="F266" s="31"/>
    </row>
    <row r="267">
      <c r="C267" s="31"/>
      <c r="D267" s="31"/>
      <c r="E267" s="18"/>
      <c r="F267" s="31"/>
    </row>
    <row r="268">
      <c r="C268" s="31"/>
      <c r="D268" s="31"/>
      <c r="E268" s="18"/>
      <c r="F268" s="31"/>
    </row>
    <row r="269">
      <c r="C269" s="31"/>
      <c r="D269" s="31"/>
      <c r="E269" s="18"/>
      <c r="F269" s="31"/>
    </row>
    <row r="270">
      <c r="C270" s="31"/>
      <c r="D270" s="31"/>
      <c r="E270" s="18"/>
      <c r="F270" s="31"/>
    </row>
    <row r="271">
      <c r="C271" s="31"/>
      <c r="D271" s="31"/>
      <c r="E271" s="18"/>
      <c r="F271" s="31"/>
    </row>
    <row r="272">
      <c r="C272" s="31"/>
      <c r="D272" s="31"/>
      <c r="E272" s="18"/>
      <c r="F272" s="31"/>
    </row>
    <row r="273">
      <c r="C273" s="31"/>
      <c r="D273" s="31"/>
      <c r="E273" s="18"/>
      <c r="F273" s="31"/>
    </row>
    <row r="274">
      <c r="C274" s="31"/>
      <c r="D274" s="31"/>
      <c r="E274" s="18"/>
      <c r="F274" s="31"/>
    </row>
    <row r="275">
      <c r="C275" s="31"/>
      <c r="D275" s="31"/>
      <c r="E275" s="18"/>
      <c r="F275" s="31"/>
    </row>
    <row r="276">
      <c r="C276" s="31"/>
      <c r="D276" s="31"/>
      <c r="E276" s="18"/>
      <c r="F276" s="31"/>
    </row>
    <row r="277">
      <c r="C277" s="31"/>
      <c r="D277" s="31"/>
      <c r="E277" s="18"/>
      <c r="F277" s="31"/>
    </row>
    <row r="278">
      <c r="C278" s="31"/>
      <c r="D278" s="31"/>
      <c r="E278" s="18"/>
      <c r="F278" s="31"/>
    </row>
    <row r="279">
      <c r="C279" s="31"/>
      <c r="D279" s="31"/>
      <c r="E279" s="18"/>
      <c r="F279" s="31"/>
    </row>
    <row r="280">
      <c r="C280" s="31"/>
      <c r="D280" s="31"/>
      <c r="E280" s="18"/>
      <c r="F280" s="31"/>
    </row>
    <row r="281">
      <c r="C281" s="31"/>
      <c r="D281" s="31"/>
      <c r="E281" s="18"/>
      <c r="F281" s="31"/>
    </row>
    <row r="282">
      <c r="C282" s="31"/>
      <c r="D282" s="31"/>
      <c r="E282" s="18"/>
      <c r="F282" s="31"/>
    </row>
    <row r="283">
      <c r="C283" s="31"/>
      <c r="D283" s="31"/>
      <c r="E283" s="18"/>
      <c r="F283" s="31"/>
    </row>
    <row r="284">
      <c r="C284" s="31"/>
      <c r="D284" s="31"/>
      <c r="E284" s="18"/>
      <c r="F284" s="31"/>
    </row>
    <row r="285">
      <c r="C285" s="31"/>
      <c r="D285" s="31"/>
      <c r="E285" s="18"/>
      <c r="F285" s="31"/>
    </row>
    <row r="286">
      <c r="C286" s="31"/>
      <c r="D286" s="31"/>
      <c r="E286" s="18"/>
      <c r="F286" s="31"/>
    </row>
    <row r="287">
      <c r="C287" s="31"/>
      <c r="D287" s="31"/>
      <c r="E287" s="18"/>
      <c r="F287" s="31"/>
    </row>
    <row r="288">
      <c r="C288" s="31"/>
      <c r="D288" s="31"/>
      <c r="E288" s="18"/>
      <c r="F288" s="31"/>
    </row>
    <row r="289">
      <c r="C289" s="31"/>
      <c r="D289" s="31"/>
      <c r="E289" s="18"/>
      <c r="F289" s="31"/>
    </row>
    <row r="290">
      <c r="C290" s="31"/>
      <c r="D290" s="31"/>
      <c r="E290" s="18"/>
      <c r="F290" s="31"/>
    </row>
    <row r="291">
      <c r="C291" s="31"/>
      <c r="D291" s="31"/>
      <c r="E291" s="18"/>
      <c r="F291" s="31"/>
    </row>
    <row r="292">
      <c r="C292" s="31"/>
      <c r="D292" s="31"/>
      <c r="E292" s="18"/>
      <c r="F292" s="31"/>
    </row>
    <row r="293">
      <c r="C293" s="31"/>
      <c r="D293" s="31"/>
      <c r="E293" s="18"/>
      <c r="F293" s="31"/>
    </row>
    <row r="294">
      <c r="C294" s="31"/>
      <c r="D294" s="31"/>
      <c r="E294" s="18"/>
      <c r="F294" s="31"/>
    </row>
    <row r="295">
      <c r="C295" s="31"/>
      <c r="D295" s="31"/>
      <c r="E295" s="18"/>
      <c r="F295" s="31"/>
    </row>
    <row r="296">
      <c r="C296" s="31"/>
      <c r="D296" s="31"/>
      <c r="E296" s="18"/>
      <c r="F296" s="31"/>
    </row>
    <row r="297">
      <c r="C297" s="31"/>
      <c r="D297" s="31"/>
      <c r="E297" s="18"/>
      <c r="F297" s="31"/>
    </row>
    <row r="298">
      <c r="C298" s="31"/>
      <c r="D298" s="31"/>
      <c r="E298" s="18"/>
      <c r="F298" s="31"/>
    </row>
    <row r="299">
      <c r="C299" s="31"/>
      <c r="D299" s="31"/>
      <c r="E299" s="18"/>
      <c r="F299" s="31"/>
    </row>
    <row r="300">
      <c r="C300" s="31"/>
      <c r="D300" s="31"/>
      <c r="E300" s="18"/>
      <c r="F300" s="31"/>
    </row>
    <row r="301">
      <c r="C301" s="31"/>
      <c r="D301" s="31"/>
      <c r="E301" s="18"/>
      <c r="F301" s="31"/>
    </row>
    <row r="302">
      <c r="C302" s="31"/>
      <c r="D302" s="31"/>
      <c r="E302" s="18"/>
      <c r="F302" s="31"/>
    </row>
    <row r="303">
      <c r="C303" s="31"/>
      <c r="D303" s="31"/>
      <c r="E303" s="18"/>
      <c r="F303" s="31"/>
    </row>
    <row r="304">
      <c r="C304" s="31"/>
      <c r="D304" s="31"/>
      <c r="E304" s="18"/>
      <c r="F304" s="31"/>
    </row>
    <row r="305">
      <c r="C305" s="31"/>
      <c r="D305" s="31"/>
      <c r="E305" s="18"/>
      <c r="F305" s="31"/>
    </row>
    <row r="306">
      <c r="C306" s="31"/>
      <c r="D306" s="31"/>
      <c r="E306" s="18"/>
      <c r="F306" s="31"/>
    </row>
    <row r="307">
      <c r="C307" s="31"/>
      <c r="D307" s="31"/>
      <c r="E307" s="18"/>
      <c r="F307" s="31"/>
    </row>
    <row r="308">
      <c r="C308" s="31"/>
      <c r="D308" s="31"/>
      <c r="E308" s="18"/>
      <c r="F308" s="31"/>
    </row>
    <row r="309">
      <c r="C309" s="31"/>
      <c r="D309" s="31"/>
      <c r="E309" s="18"/>
      <c r="F309" s="31"/>
    </row>
    <row r="310">
      <c r="C310" s="31"/>
      <c r="D310" s="31"/>
      <c r="E310" s="18"/>
      <c r="F310" s="31"/>
    </row>
    <row r="311">
      <c r="C311" s="31"/>
      <c r="D311" s="31"/>
      <c r="E311" s="18"/>
      <c r="F311" s="31"/>
    </row>
    <row r="312">
      <c r="C312" s="31"/>
      <c r="D312" s="31"/>
      <c r="E312" s="18"/>
      <c r="F312" s="31"/>
    </row>
    <row r="313">
      <c r="C313" s="31"/>
      <c r="D313" s="31"/>
      <c r="E313" s="18"/>
      <c r="F313" s="31"/>
    </row>
    <row r="314">
      <c r="C314" s="31"/>
      <c r="D314" s="31"/>
      <c r="E314" s="18"/>
      <c r="F314" s="31"/>
    </row>
    <row r="315">
      <c r="C315" s="31"/>
      <c r="D315" s="31"/>
      <c r="E315" s="18"/>
      <c r="F315" s="31"/>
    </row>
    <row r="316">
      <c r="C316" s="31"/>
      <c r="D316" s="31"/>
      <c r="E316" s="18"/>
      <c r="F316" s="31"/>
    </row>
    <row r="317">
      <c r="C317" s="31"/>
      <c r="D317" s="31"/>
      <c r="E317" s="18"/>
      <c r="F317" s="31"/>
    </row>
    <row r="318">
      <c r="C318" s="31"/>
      <c r="D318" s="31"/>
      <c r="E318" s="18"/>
      <c r="F318" s="31"/>
    </row>
    <row r="319">
      <c r="C319" s="31"/>
      <c r="D319" s="31"/>
      <c r="E319" s="18"/>
      <c r="F319" s="31"/>
    </row>
    <row r="320">
      <c r="C320" s="31"/>
      <c r="D320" s="31"/>
      <c r="E320" s="18"/>
      <c r="F320" s="31"/>
    </row>
    <row r="321">
      <c r="C321" s="31"/>
      <c r="D321" s="31"/>
      <c r="E321" s="18"/>
      <c r="F321" s="31"/>
    </row>
    <row r="322">
      <c r="C322" s="31"/>
      <c r="D322" s="31"/>
      <c r="E322" s="18"/>
      <c r="F322" s="31"/>
    </row>
    <row r="323">
      <c r="C323" s="31"/>
      <c r="D323" s="31"/>
      <c r="E323" s="18"/>
      <c r="F323" s="31"/>
    </row>
    <row r="324">
      <c r="C324" s="31"/>
      <c r="D324" s="31"/>
      <c r="E324" s="18"/>
      <c r="F324" s="31"/>
    </row>
    <row r="325">
      <c r="C325" s="31"/>
      <c r="D325" s="31"/>
      <c r="E325" s="18"/>
      <c r="F325" s="31"/>
    </row>
    <row r="326">
      <c r="C326" s="31"/>
      <c r="D326" s="31"/>
      <c r="E326" s="18"/>
      <c r="F326" s="31"/>
    </row>
    <row r="327">
      <c r="C327" s="31"/>
      <c r="D327" s="31"/>
      <c r="E327" s="18"/>
      <c r="F327" s="31"/>
    </row>
    <row r="328">
      <c r="C328" s="31"/>
      <c r="D328" s="31"/>
      <c r="E328" s="18"/>
      <c r="F328" s="31"/>
    </row>
    <row r="329">
      <c r="C329" s="31"/>
      <c r="D329" s="31"/>
      <c r="E329" s="18"/>
      <c r="F329" s="31"/>
    </row>
    <row r="330">
      <c r="C330" s="31"/>
      <c r="D330" s="31"/>
      <c r="E330" s="18"/>
      <c r="F330" s="31"/>
    </row>
    <row r="331">
      <c r="C331" s="31"/>
      <c r="D331" s="31"/>
      <c r="E331" s="18"/>
      <c r="F331" s="31"/>
    </row>
    <row r="332">
      <c r="C332" s="31"/>
      <c r="D332" s="31"/>
      <c r="E332" s="18"/>
      <c r="F332" s="31"/>
    </row>
    <row r="333">
      <c r="C333" s="31"/>
      <c r="D333" s="31"/>
      <c r="E333" s="18"/>
      <c r="F333" s="31"/>
    </row>
    <row r="334">
      <c r="C334" s="31"/>
      <c r="D334" s="31"/>
      <c r="E334" s="18"/>
      <c r="F334" s="31"/>
    </row>
    <row r="335">
      <c r="C335" s="31"/>
      <c r="D335" s="31"/>
      <c r="E335" s="18"/>
      <c r="F335" s="31"/>
    </row>
    <row r="336">
      <c r="C336" s="31"/>
      <c r="D336" s="31"/>
      <c r="E336" s="18"/>
      <c r="F336" s="31"/>
    </row>
    <row r="337">
      <c r="C337" s="31"/>
      <c r="D337" s="31"/>
      <c r="E337" s="18"/>
      <c r="F337" s="31"/>
    </row>
    <row r="338">
      <c r="C338" s="31"/>
      <c r="D338" s="31"/>
      <c r="E338" s="18"/>
      <c r="F338" s="31"/>
    </row>
    <row r="339">
      <c r="C339" s="31"/>
      <c r="D339" s="31"/>
      <c r="E339" s="18"/>
      <c r="F339" s="31"/>
    </row>
    <row r="340">
      <c r="C340" s="31"/>
      <c r="D340" s="31"/>
      <c r="E340" s="18"/>
      <c r="F340" s="31"/>
    </row>
    <row r="341">
      <c r="C341" s="31"/>
      <c r="D341" s="31"/>
      <c r="E341" s="18"/>
      <c r="F341" s="31"/>
    </row>
    <row r="342">
      <c r="C342" s="31"/>
      <c r="D342" s="31"/>
      <c r="E342" s="18"/>
      <c r="F342" s="31"/>
    </row>
    <row r="343">
      <c r="C343" s="31"/>
      <c r="D343" s="31"/>
      <c r="E343" s="18"/>
      <c r="F343" s="31"/>
    </row>
    <row r="344">
      <c r="C344" s="31"/>
      <c r="D344" s="31"/>
      <c r="E344" s="18"/>
      <c r="F344" s="31"/>
    </row>
    <row r="345">
      <c r="C345" s="31"/>
      <c r="D345" s="31"/>
      <c r="E345" s="18"/>
      <c r="F345" s="31"/>
    </row>
    <row r="346">
      <c r="C346" s="31"/>
      <c r="D346" s="31"/>
      <c r="E346" s="18"/>
      <c r="F346" s="31"/>
    </row>
    <row r="347">
      <c r="C347" s="31"/>
      <c r="D347" s="31"/>
      <c r="E347" s="18"/>
      <c r="F347" s="31"/>
    </row>
    <row r="348">
      <c r="C348" s="31"/>
      <c r="D348" s="31"/>
      <c r="E348" s="18"/>
      <c r="F348" s="31"/>
    </row>
    <row r="349">
      <c r="C349" s="31"/>
      <c r="D349" s="31"/>
      <c r="E349" s="18"/>
      <c r="F349" s="31"/>
    </row>
    <row r="350">
      <c r="C350" s="31"/>
      <c r="D350" s="31"/>
      <c r="E350" s="18"/>
      <c r="F350" s="31"/>
    </row>
    <row r="351">
      <c r="C351" s="31"/>
      <c r="D351" s="31"/>
      <c r="E351" s="18"/>
      <c r="F351" s="31"/>
    </row>
    <row r="352">
      <c r="C352" s="31"/>
      <c r="D352" s="31"/>
      <c r="E352" s="18"/>
      <c r="F352" s="31"/>
    </row>
    <row r="353">
      <c r="C353" s="31"/>
      <c r="D353" s="31"/>
      <c r="E353" s="18"/>
      <c r="F353" s="31"/>
    </row>
    <row r="354">
      <c r="C354" s="31"/>
      <c r="D354" s="31"/>
      <c r="E354" s="18"/>
      <c r="F354" s="31"/>
    </row>
    <row r="355">
      <c r="C355" s="31"/>
      <c r="D355" s="31"/>
      <c r="E355" s="18"/>
      <c r="F355" s="31"/>
    </row>
    <row r="356">
      <c r="C356" s="31"/>
      <c r="D356" s="31"/>
      <c r="E356" s="18"/>
      <c r="F356" s="31"/>
    </row>
    <row r="357">
      <c r="C357" s="31"/>
      <c r="D357" s="31"/>
      <c r="E357" s="18"/>
      <c r="F357" s="31"/>
    </row>
    <row r="358">
      <c r="C358" s="31"/>
      <c r="D358" s="31"/>
      <c r="E358" s="18"/>
      <c r="F358" s="31"/>
    </row>
    <row r="359">
      <c r="C359" s="31"/>
      <c r="D359" s="31"/>
      <c r="E359" s="18"/>
      <c r="F359" s="31"/>
    </row>
    <row r="360">
      <c r="C360" s="31"/>
      <c r="D360" s="31"/>
      <c r="E360" s="18"/>
      <c r="F360" s="31"/>
    </row>
    <row r="361">
      <c r="C361" s="31"/>
      <c r="D361" s="31"/>
      <c r="E361" s="18"/>
      <c r="F361" s="31"/>
    </row>
    <row r="362">
      <c r="C362" s="31"/>
      <c r="D362" s="31"/>
      <c r="E362" s="18"/>
      <c r="F362" s="31"/>
    </row>
    <row r="363">
      <c r="C363" s="31"/>
      <c r="D363" s="31"/>
      <c r="E363" s="18"/>
      <c r="F363" s="31"/>
    </row>
    <row r="364">
      <c r="C364" s="31"/>
      <c r="D364" s="31"/>
      <c r="E364" s="18"/>
      <c r="F364" s="31"/>
    </row>
    <row r="365">
      <c r="C365" s="31"/>
      <c r="D365" s="31"/>
      <c r="E365" s="18"/>
      <c r="F365" s="31"/>
    </row>
    <row r="366">
      <c r="C366" s="31"/>
      <c r="D366" s="31"/>
      <c r="E366" s="18"/>
      <c r="F366" s="31"/>
    </row>
    <row r="367">
      <c r="C367" s="31"/>
      <c r="D367" s="31"/>
      <c r="E367" s="18"/>
      <c r="F367" s="31"/>
    </row>
    <row r="368">
      <c r="C368" s="31"/>
      <c r="D368" s="31"/>
      <c r="E368" s="18"/>
      <c r="F368" s="31"/>
    </row>
    <row r="369">
      <c r="C369" s="31"/>
      <c r="D369" s="31"/>
      <c r="E369" s="18"/>
      <c r="F369" s="31"/>
    </row>
    <row r="370">
      <c r="C370" s="31"/>
      <c r="D370" s="31"/>
      <c r="E370" s="18"/>
      <c r="F370" s="31"/>
    </row>
    <row r="371">
      <c r="C371" s="31"/>
      <c r="D371" s="31"/>
      <c r="E371" s="18"/>
      <c r="F371" s="31"/>
    </row>
    <row r="372">
      <c r="C372" s="31"/>
      <c r="D372" s="31"/>
      <c r="E372" s="18"/>
      <c r="F372" s="31"/>
    </row>
    <row r="373">
      <c r="C373" s="31"/>
      <c r="D373" s="31"/>
      <c r="E373" s="18"/>
      <c r="F373" s="31"/>
    </row>
    <row r="374">
      <c r="C374" s="31"/>
      <c r="D374" s="31"/>
      <c r="E374" s="18"/>
      <c r="F374" s="31"/>
    </row>
    <row r="375">
      <c r="C375" s="31"/>
      <c r="D375" s="31"/>
      <c r="E375" s="18"/>
      <c r="F375" s="31"/>
    </row>
    <row r="376">
      <c r="C376" s="31"/>
      <c r="D376" s="31"/>
      <c r="E376" s="18"/>
      <c r="F376" s="31"/>
    </row>
    <row r="377">
      <c r="C377" s="31"/>
      <c r="D377" s="31"/>
      <c r="E377" s="18"/>
      <c r="F377" s="31"/>
    </row>
    <row r="378">
      <c r="C378" s="31"/>
      <c r="D378" s="31"/>
      <c r="E378" s="18"/>
      <c r="F378" s="31"/>
    </row>
    <row r="379">
      <c r="C379" s="31"/>
      <c r="D379" s="31"/>
      <c r="E379" s="18"/>
      <c r="F379" s="31"/>
    </row>
    <row r="380">
      <c r="C380" s="31"/>
      <c r="D380" s="31"/>
      <c r="E380" s="18"/>
      <c r="F380" s="31"/>
    </row>
    <row r="381">
      <c r="C381" s="31"/>
      <c r="D381" s="31"/>
      <c r="E381" s="18"/>
      <c r="F381" s="31"/>
    </row>
    <row r="382">
      <c r="C382" s="31"/>
      <c r="D382" s="31"/>
      <c r="E382" s="18"/>
      <c r="F382" s="31"/>
    </row>
    <row r="383">
      <c r="C383" s="31"/>
      <c r="D383" s="31"/>
      <c r="E383" s="18"/>
      <c r="F383" s="31"/>
    </row>
    <row r="384">
      <c r="C384" s="31"/>
      <c r="D384" s="31"/>
      <c r="E384" s="18"/>
      <c r="F384" s="31"/>
    </row>
    <row r="385">
      <c r="C385" s="31"/>
      <c r="D385" s="31"/>
      <c r="E385" s="18"/>
      <c r="F385" s="31"/>
    </row>
    <row r="386">
      <c r="C386" s="31"/>
      <c r="D386" s="31"/>
      <c r="E386" s="18"/>
      <c r="F386" s="31"/>
    </row>
    <row r="387">
      <c r="C387" s="31"/>
      <c r="D387" s="31"/>
      <c r="E387" s="18"/>
      <c r="F387" s="31"/>
    </row>
    <row r="388">
      <c r="C388" s="31"/>
      <c r="D388" s="31"/>
      <c r="E388" s="18"/>
      <c r="F388" s="31"/>
    </row>
    <row r="389">
      <c r="C389" s="31"/>
      <c r="D389" s="31"/>
      <c r="E389" s="18"/>
      <c r="F389" s="31"/>
    </row>
    <row r="390">
      <c r="C390" s="31"/>
      <c r="D390" s="31"/>
      <c r="E390" s="18"/>
      <c r="F390" s="31"/>
    </row>
    <row r="391">
      <c r="C391" s="31"/>
      <c r="D391" s="31"/>
      <c r="E391" s="18"/>
      <c r="F391" s="31"/>
    </row>
    <row r="392">
      <c r="C392" s="31"/>
      <c r="D392" s="31"/>
      <c r="E392" s="18"/>
      <c r="F392" s="31"/>
    </row>
    <row r="393">
      <c r="C393" s="31"/>
      <c r="D393" s="31"/>
      <c r="E393" s="18"/>
      <c r="F393" s="31"/>
    </row>
    <row r="394">
      <c r="C394" s="31"/>
      <c r="D394" s="31"/>
      <c r="E394" s="18"/>
      <c r="F394" s="31"/>
    </row>
    <row r="395">
      <c r="C395" s="31"/>
      <c r="D395" s="31"/>
      <c r="E395" s="18"/>
      <c r="F395" s="31"/>
    </row>
    <row r="396">
      <c r="C396" s="31"/>
      <c r="D396" s="31"/>
      <c r="E396" s="18"/>
      <c r="F396" s="31"/>
    </row>
    <row r="397">
      <c r="C397" s="31"/>
      <c r="D397" s="31"/>
      <c r="E397" s="18"/>
      <c r="F397" s="31"/>
    </row>
    <row r="398">
      <c r="C398" s="31"/>
      <c r="D398" s="31"/>
      <c r="E398" s="18"/>
      <c r="F398" s="31"/>
    </row>
    <row r="399">
      <c r="C399" s="31"/>
      <c r="D399" s="31"/>
      <c r="E399" s="18"/>
      <c r="F399" s="31"/>
    </row>
    <row r="400">
      <c r="C400" s="31"/>
      <c r="D400" s="31"/>
      <c r="E400" s="18"/>
      <c r="F400" s="31"/>
    </row>
    <row r="401">
      <c r="C401" s="31"/>
      <c r="D401" s="31"/>
      <c r="E401" s="18"/>
      <c r="F401" s="31"/>
    </row>
    <row r="402">
      <c r="C402" s="31"/>
      <c r="D402" s="31"/>
      <c r="E402" s="18"/>
      <c r="F402" s="31"/>
    </row>
    <row r="403">
      <c r="C403" s="31"/>
      <c r="D403" s="31"/>
      <c r="E403" s="18"/>
      <c r="F403" s="31"/>
    </row>
    <row r="404">
      <c r="C404" s="31"/>
      <c r="D404" s="31"/>
      <c r="E404" s="18"/>
      <c r="F404" s="31"/>
    </row>
    <row r="405">
      <c r="C405" s="31"/>
      <c r="D405" s="31"/>
      <c r="E405" s="18"/>
      <c r="F405" s="31"/>
    </row>
    <row r="406">
      <c r="C406" s="31"/>
      <c r="D406" s="31"/>
      <c r="E406" s="18"/>
      <c r="F406" s="31"/>
    </row>
    <row r="407">
      <c r="C407" s="31"/>
      <c r="D407" s="31"/>
      <c r="E407" s="18"/>
      <c r="F407" s="31"/>
    </row>
    <row r="408">
      <c r="C408" s="31"/>
      <c r="D408" s="31"/>
      <c r="E408" s="18"/>
      <c r="F408" s="31"/>
    </row>
    <row r="409">
      <c r="C409" s="31"/>
      <c r="D409" s="31"/>
      <c r="E409" s="18"/>
      <c r="F409" s="31"/>
    </row>
    <row r="410">
      <c r="C410" s="31"/>
      <c r="D410" s="31"/>
      <c r="E410" s="18"/>
      <c r="F410" s="31"/>
    </row>
    <row r="411">
      <c r="C411" s="31"/>
      <c r="D411" s="31"/>
      <c r="E411" s="18"/>
      <c r="F411" s="31"/>
    </row>
    <row r="412">
      <c r="C412" s="31"/>
      <c r="D412" s="31"/>
      <c r="E412" s="18"/>
      <c r="F412" s="31"/>
    </row>
    <row r="413">
      <c r="C413" s="31"/>
      <c r="D413" s="31"/>
      <c r="E413" s="18"/>
      <c r="F413" s="31"/>
    </row>
    <row r="414">
      <c r="C414" s="31"/>
      <c r="D414" s="31"/>
      <c r="E414" s="18"/>
      <c r="F414" s="31"/>
    </row>
    <row r="415">
      <c r="C415" s="31"/>
      <c r="D415" s="31"/>
      <c r="E415" s="18"/>
      <c r="F415" s="31"/>
    </row>
    <row r="416">
      <c r="C416" s="31"/>
      <c r="D416" s="31"/>
      <c r="E416" s="18"/>
      <c r="F416" s="31"/>
    </row>
    <row r="417">
      <c r="C417" s="31"/>
      <c r="D417" s="31"/>
      <c r="E417" s="18"/>
      <c r="F417" s="31"/>
    </row>
    <row r="418">
      <c r="C418" s="31"/>
      <c r="D418" s="31"/>
      <c r="E418" s="18"/>
      <c r="F418" s="31"/>
    </row>
    <row r="419">
      <c r="C419" s="31"/>
      <c r="D419" s="31"/>
      <c r="E419" s="18"/>
      <c r="F419" s="31"/>
    </row>
    <row r="420">
      <c r="C420" s="31"/>
      <c r="D420" s="31"/>
      <c r="E420" s="18"/>
      <c r="F420" s="31"/>
    </row>
    <row r="421">
      <c r="C421" s="31"/>
      <c r="D421" s="31"/>
      <c r="E421" s="18"/>
      <c r="F421" s="31"/>
    </row>
    <row r="422">
      <c r="C422" s="31"/>
      <c r="D422" s="31"/>
      <c r="E422" s="18"/>
      <c r="F422" s="31"/>
    </row>
    <row r="423">
      <c r="C423" s="31"/>
      <c r="D423" s="31"/>
      <c r="E423" s="18"/>
      <c r="F423" s="31"/>
    </row>
    <row r="424">
      <c r="C424" s="31"/>
      <c r="D424" s="31"/>
      <c r="E424" s="18"/>
      <c r="F424" s="31"/>
    </row>
    <row r="425">
      <c r="C425" s="31"/>
      <c r="D425" s="31"/>
      <c r="E425" s="18"/>
      <c r="F425" s="31"/>
    </row>
    <row r="426">
      <c r="C426" s="31"/>
      <c r="D426" s="31"/>
      <c r="E426" s="18"/>
      <c r="F426" s="31"/>
    </row>
    <row r="427">
      <c r="C427" s="31"/>
      <c r="D427" s="31"/>
      <c r="E427" s="18"/>
      <c r="F427" s="31"/>
    </row>
    <row r="428">
      <c r="C428" s="31"/>
      <c r="D428" s="31"/>
      <c r="E428" s="18"/>
      <c r="F428" s="31"/>
    </row>
    <row r="429">
      <c r="C429" s="31"/>
      <c r="D429" s="31"/>
      <c r="E429" s="18"/>
      <c r="F429" s="31"/>
    </row>
    <row r="430">
      <c r="C430" s="31"/>
      <c r="D430" s="31"/>
      <c r="E430" s="18"/>
      <c r="F430" s="31"/>
    </row>
    <row r="431">
      <c r="C431" s="31"/>
      <c r="D431" s="31"/>
      <c r="E431" s="18"/>
      <c r="F431" s="31"/>
    </row>
    <row r="432">
      <c r="C432" s="31"/>
      <c r="D432" s="31"/>
      <c r="E432" s="18"/>
      <c r="F432" s="31"/>
    </row>
    <row r="433">
      <c r="C433" s="31"/>
      <c r="D433" s="31"/>
      <c r="E433" s="18"/>
      <c r="F433" s="31"/>
    </row>
    <row r="434">
      <c r="C434" s="31"/>
      <c r="D434" s="31"/>
      <c r="E434" s="18"/>
      <c r="F434" s="31"/>
    </row>
    <row r="435">
      <c r="C435" s="31"/>
      <c r="D435" s="31"/>
      <c r="E435" s="18"/>
      <c r="F435" s="31"/>
    </row>
    <row r="436">
      <c r="C436" s="31"/>
      <c r="D436" s="31"/>
      <c r="E436" s="18"/>
      <c r="F436" s="31"/>
    </row>
    <row r="437">
      <c r="C437" s="31"/>
      <c r="D437" s="31"/>
      <c r="E437" s="18"/>
      <c r="F437" s="31"/>
    </row>
    <row r="438">
      <c r="C438" s="31"/>
      <c r="D438" s="31"/>
      <c r="E438" s="18"/>
      <c r="F438" s="31"/>
    </row>
    <row r="439">
      <c r="C439" s="31"/>
      <c r="D439" s="31"/>
      <c r="E439" s="18"/>
      <c r="F439" s="31"/>
    </row>
    <row r="440">
      <c r="C440" s="31"/>
      <c r="D440" s="31"/>
      <c r="E440" s="18"/>
      <c r="F440" s="31"/>
    </row>
    <row r="441">
      <c r="C441" s="31"/>
      <c r="D441" s="31"/>
      <c r="E441" s="18"/>
      <c r="F441" s="31"/>
    </row>
    <row r="442">
      <c r="C442" s="31"/>
      <c r="D442" s="31"/>
      <c r="E442" s="18"/>
      <c r="F442" s="31"/>
    </row>
    <row r="443">
      <c r="C443" s="31"/>
      <c r="D443" s="31"/>
      <c r="E443" s="18"/>
      <c r="F443" s="31"/>
    </row>
    <row r="444">
      <c r="C444" s="31"/>
      <c r="D444" s="31"/>
      <c r="E444" s="18"/>
      <c r="F444" s="31"/>
    </row>
    <row r="445">
      <c r="C445" s="31"/>
      <c r="D445" s="31"/>
      <c r="E445" s="18"/>
      <c r="F445" s="31"/>
    </row>
    <row r="446">
      <c r="C446" s="31"/>
      <c r="D446" s="31"/>
      <c r="E446" s="18"/>
      <c r="F446" s="31"/>
    </row>
    <row r="447">
      <c r="C447" s="31"/>
      <c r="D447" s="31"/>
      <c r="E447" s="18"/>
      <c r="F447" s="31"/>
    </row>
    <row r="448">
      <c r="C448" s="31"/>
      <c r="D448" s="31"/>
      <c r="E448" s="18"/>
      <c r="F448" s="31"/>
    </row>
    <row r="449">
      <c r="C449" s="31"/>
      <c r="D449" s="31"/>
      <c r="E449" s="18"/>
      <c r="F449" s="31"/>
    </row>
    <row r="450">
      <c r="C450" s="31"/>
      <c r="D450" s="31"/>
      <c r="E450" s="18"/>
      <c r="F450" s="31"/>
    </row>
    <row r="451">
      <c r="C451" s="31"/>
      <c r="D451" s="31"/>
      <c r="E451" s="18"/>
      <c r="F451" s="31"/>
    </row>
    <row r="452">
      <c r="C452" s="31"/>
      <c r="D452" s="31"/>
      <c r="E452" s="18"/>
      <c r="F452" s="31"/>
    </row>
    <row r="453">
      <c r="C453" s="31"/>
      <c r="D453" s="31"/>
      <c r="E453" s="18"/>
      <c r="F453" s="31"/>
    </row>
    <row r="454">
      <c r="C454" s="31"/>
      <c r="D454" s="31"/>
      <c r="E454" s="18"/>
      <c r="F454" s="31"/>
    </row>
    <row r="455">
      <c r="C455" s="31"/>
      <c r="D455" s="31"/>
      <c r="E455" s="18"/>
      <c r="F455" s="31"/>
    </row>
    <row r="456">
      <c r="C456" s="31"/>
      <c r="D456" s="31"/>
      <c r="E456" s="18"/>
      <c r="F456" s="31"/>
    </row>
    <row r="457">
      <c r="C457" s="31"/>
      <c r="D457" s="31"/>
      <c r="E457" s="18"/>
      <c r="F457" s="31"/>
    </row>
    <row r="458">
      <c r="C458" s="31"/>
      <c r="D458" s="31"/>
      <c r="E458" s="18"/>
      <c r="F458" s="31"/>
    </row>
    <row r="459">
      <c r="C459" s="31"/>
      <c r="D459" s="31"/>
      <c r="E459" s="18"/>
      <c r="F459" s="31"/>
    </row>
    <row r="460">
      <c r="C460" s="31"/>
      <c r="D460" s="31"/>
      <c r="E460" s="18"/>
      <c r="F460" s="31"/>
    </row>
    <row r="461">
      <c r="C461" s="31"/>
      <c r="D461" s="31"/>
      <c r="E461" s="18"/>
      <c r="F461" s="31"/>
    </row>
    <row r="462">
      <c r="C462" s="31"/>
      <c r="D462" s="31"/>
      <c r="E462" s="18"/>
      <c r="F462" s="31"/>
    </row>
    <row r="463">
      <c r="C463" s="31"/>
      <c r="D463" s="31"/>
      <c r="E463" s="18"/>
      <c r="F463" s="31"/>
    </row>
    <row r="464">
      <c r="C464" s="31"/>
      <c r="D464" s="31"/>
      <c r="E464" s="18"/>
      <c r="F464" s="31"/>
    </row>
    <row r="465">
      <c r="C465" s="31"/>
      <c r="D465" s="31"/>
      <c r="E465" s="18"/>
      <c r="F465" s="31"/>
    </row>
    <row r="466">
      <c r="C466" s="31"/>
      <c r="D466" s="31"/>
      <c r="E466" s="18"/>
      <c r="F466" s="31"/>
    </row>
    <row r="467">
      <c r="C467" s="31"/>
      <c r="D467" s="31"/>
      <c r="E467" s="18"/>
      <c r="F467" s="31"/>
    </row>
    <row r="468">
      <c r="C468" s="31"/>
      <c r="D468" s="31"/>
      <c r="E468" s="18"/>
      <c r="F468" s="31"/>
    </row>
    <row r="469">
      <c r="C469" s="31"/>
      <c r="D469" s="31"/>
      <c r="E469" s="18"/>
      <c r="F469" s="31"/>
    </row>
    <row r="470">
      <c r="C470" s="31"/>
      <c r="D470" s="31"/>
      <c r="E470" s="18"/>
      <c r="F470" s="31"/>
    </row>
    <row r="471">
      <c r="C471" s="31"/>
      <c r="D471" s="31"/>
      <c r="E471" s="18"/>
      <c r="F471" s="31"/>
    </row>
    <row r="472">
      <c r="C472" s="31"/>
      <c r="D472" s="31"/>
      <c r="E472" s="18"/>
      <c r="F472" s="31"/>
    </row>
    <row r="473">
      <c r="C473" s="31"/>
      <c r="D473" s="31"/>
      <c r="E473" s="18"/>
      <c r="F473" s="31"/>
    </row>
    <row r="474">
      <c r="C474" s="31"/>
      <c r="D474" s="31"/>
      <c r="E474" s="18"/>
      <c r="F474" s="31"/>
    </row>
    <row r="475">
      <c r="C475" s="31"/>
      <c r="D475" s="31"/>
      <c r="E475" s="18"/>
      <c r="F475" s="31"/>
    </row>
    <row r="476">
      <c r="C476" s="31"/>
      <c r="D476" s="31"/>
      <c r="E476" s="18"/>
      <c r="F476" s="31"/>
    </row>
    <row r="477">
      <c r="C477" s="31"/>
      <c r="D477" s="31"/>
      <c r="E477" s="18"/>
      <c r="F477" s="31"/>
    </row>
    <row r="478">
      <c r="C478" s="31"/>
      <c r="D478" s="31"/>
      <c r="E478" s="18"/>
      <c r="F478" s="31"/>
    </row>
    <row r="479">
      <c r="C479" s="31"/>
      <c r="D479" s="31"/>
      <c r="E479" s="18"/>
      <c r="F479" s="31"/>
    </row>
    <row r="480">
      <c r="C480" s="31"/>
      <c r="D480" s="31"/>
      <c r="E480" s="18"/>
      <c r="F480" s="31"/>
    </row>
    <row r="481">
      <c r="C481" s="31"/>
      <c r="D481" s="31"/>
      <c r="E481" s="18"/>
      <c r="F481" s="31"/>
    </row>
    <row r="482">
      <c r="C482" s="31"/>
      <c r="D482" s="31"/>
      <c r="E482" s="18"/>
      <c r="F482" s="31"/>
    </row>
    <row r="483">
      <c r="C483" s="31"/>
      <c r="D483" s="31"/>
      <c r="E483" s="18"/>
      <c r="F483" s="31"/>
    </row>
    <row r="484">
      <c r="C484" s="31"/>
      <c r="D484" s="31"/>
      <c r="E484" s="18"/>
      <c r="F484" s="31"/>
    </row>
    <row r="485">
      <c r="C485" s="31"/>
      <c r="D485" s="31"/>
      <c r="E485" s="18"/>
      <c r="F485" s="31"/>
    </row>
    <row r="486">
      <c r="C486" s="31"/>
      <c r="D486" s="31"/>
      <c r="E486" s="18"/>
      <c r="F486" s="31"/>
    </row>
    <row r="487">
      <c r="C487" s="31"/>
      <c r="D487" s="31"/>
      <c r="E487" s="18"/>
      <c r="F487" s="31"/>
    </row>
    <row r="488">
      <c r="C488" s="31"/>
      <c r="D488" s="31"/>
      <c r="E488" s="18"/>
      <c r="F488" s="31"/>
    </row>
    <row r="489">
      <c r="C489" s="31"/>
      <c r="D489" s="31"/>
      <c r="E489" s="18"/>
      <c r="F489" s="31"/>
    </row>
    <row r="490">
      <c r="C490" s="31"/>
      <c r="D490" s="31"/>
      <c r="E490" s="18"/>
      <c r="F490" s="31"/>
    </row>
    <row r="491">
      <c r="C491" s="31"/>
      <c r="D491" s="31"/>
      <c r="E491" s="18"/>
      <c r="F491" s="31"/>
    </row>
    <row r="492">
      <c r="C492" s="31"/>
      <c r="D492" s="31"/>
      <c r="E492" s="18"/>
      <c r="F492" s="31"/>
    </row>
    <row r="493">
      <c r="C493" s="31"/>
      <c r="D493" s="31"/>
      <c r="E493" s="18"/>
      <c r="F493" s="31"/>
    </row>
    <row r="494">
      <c r="C494" s="31"/>
      <c r="D494" s="31"/>
      <c r="E494" s="18"/>
      <c r="F494" s="31"/>
    </row>
    <row r="495">
      <c r="C495" s="31"/>
      <c r="D495" s="31"/>
      <c r="E495" s="18"/>
      <c r="F495" s="31"/>
    </row>
    <row r="496">
      <c r="C496" s="31"/>
      <c r="D496" s="31"/>
      <c r="E496" s="18"/>
      <c r="F496" s="31"/>
    </row>
    <row r="497">
      <c r="C497" s="31"/>
      <c r="D497" s="31"/>
      <c r="E497" s="18"/>
      <c r="F497" s="31"/>
    </row>
    <row r="498">
      <c r="C498" s="31"/>
      <c r="D498" s="31"/>
      <c r="E498" s="18"/>
      <c r="F498" s="31"/>
    </row>
    <row r="499">
      <c r="C499" s="31"/>
      <c r="D499" s="31"/>
      <c r="E499" s="18"/>
      <c r="F499" s="31"/>
    </row>
    <row r="500">
      <c r="C500" s="31"/>
      <c r="D500" s="31"/>
      <c r="E500" s="18"/>
      <c r="F500" s="31"/>
    </row>
    <row r="501">
      <c r="C501" s="31"/>
      <c r="D501" s="31"/>
      <c r="E501" s="18"/>
      <c r="F501" s="31"/>
    </row>
    <row r="502">
      <c r="C502" s="31"/>
      <c r="D502" s="31"/>
      <c r="E502" s="18"/>
      <c r="F502" s="31"/>
    </row>
    <row r="503">
      <c r="C503" s="31"/>
      <c r="D503" s="31"/>
      <c r="E503" s="18"/>
      <c r="F503" s="31"/>
    </row>
    <row r="504">
      <c r="C504" s="31"/>
      <c r="D504" s="31"/>
      <c r="E504" s="18"/>
      <c r="F504" s="31"/>
    </row>
    <row r="505">
      <c r="C505" s="31"/>
      <c r="D505" s="31"/>
      <c r="E505" s="18"/>
      <c r="F505" s="31"/>
    </row>
    <row r="506">
      <c r="C506" s="31"/>
      <c r="D506" s="31"/>
      <c r="E506" s="18"/>
      <c r="F506" s="31"/>
    </row>
    <row r="507">
      <c r="C507" s="31"/>
      <c r="D507" s="31"/>
      <c r="E507" s="18"/>
      <c r="F507" s="31"/>
    </row>
    <row r="508">
      <c r="C508" s="31"/>
      <c r="D508" s="31"/>
      <c r="E508" s="18"/>
      <c r="F508" s="31"/>
    </row>
    <row r="509">
      <c r="C509" s="31"/>
      <c r="D509" s="31"/>
      <c r="E509" s="18"/>
      <c r="F509" s="31"/>
    </row>
    <row r="510">
      <c r="C510" s="31"/>
      <c r="D510" s="31"/>
      <c r="E510" s="18"/>
      <c r="F510" s="31"/>
    </row>
    <row r="511">
      <c r="C511" s="31"/>
      <c r="D511" s="31"/>
      <c r="E511" s="18"/>
      <c r="F511" s="31"/>
    </row>
    <row r="512">
      <c r="C512" s="31"/>
      <c r="D512" s="31"/>
      <c r="E512" s="18"/>
      <c r="F512" s="31"/>
    </row>
    <row r="513">
      <c r="C513" s="31"/>
      <c r="D513" s="31"/>
      <c r="E513" s="18"/>
      <c r="F513" s="31"/>
    </row>
    <row r="514">
      <c r="C514" s="31"/>
      <c r="D514" s="31"/>
      <c r="E514" s="18"/>
      <c r="F514" s="31"/>
    </row>
    <row r="515">
      <c r="C515" s="31"/>
      <c r="D515" s="31"/>
      <c r="E515" s="18"/>
      <c r="F515" s="31"/>
    </row>
    <row r="516">
      <c r="C516" s="31"/>
      <c r="D516" s="31"/>
      <c r="E516" s="18"/>
      <c r="F516" s="31"/>
    </row>
    <row r="517">
      <c r="C517" s="31"/>
      <c r="D517" s="31"/>
      <c r="E517" s="18"/>
      <c r="F517" s="31"/>
    </row>
    <row r="518">
      <c r="C518" s="31"/>
      <c r="D518" s="31"/>
      <c r="E518" s="18"/>
      <c r="F518" s="31"/>
    </row>
    <row r="519">
      <c r="C519" s="31"/>
      <c r="D519" s="31"/>
      <c r="E519" s="18"/>
      <c r="F519" s="31"/>
    </row>
    <row r="520">
      <c r="C520" s="31"/>
      <c r="D520" s="31"/>
      <c r="E520" s="18"/>
      <c r="F520" s="31"/>
    </row>
    <row r="521">
      <c r="C521" s="31"/>
      <c r="D521" s="31"/>
      <c r="E521" s="18"/>
      <c r="F521" s="31"/>
    </row>
    <row r="522">
      <c r="C522" s="31"/>
      <c r="D522" s="31"/>
      <c r="E522" s="18"/>
      <c r="F522" s="31"/>
    </row>
    <row r="523">
      <c r="C523" s="31"/>
      <c r="D523" s="31"/>
      <c r="E523" s="18"/>
      <c r="F523" s="31"/>
    </row>
    <row r="524">
      <c r="C524" s="31"/>
      <c r="D524" s="31"/>
      <c r="E524" s="18"/>
      <c r="F524" s="31"/>
    </row>
    <row r="525">
      <c r="C525" s="31"/>
      <c r="D525" s="31"/>
      <c r="E525" s="18"/>
      <c r="F525" s="31"/>
    </row>
    <row r="526">
      <c r="C526" s="31"/>
      <c r="D526" s="31"/>
      <c r="E526" s="18"/>
      <c r="F526" s="31"/>
    </row>
    <row r="527">
      <c r="C527" s="31"/>
      <c r="D527" s="31"/>
      <c r="E527" s="18"/>
      <c r="F527" s="31"/>
    </row>
    <row r="528">
      <c r="C528" s="31"/>
      <c r="D528" s="31"/>
      <c r="E528" s="18"/>
      <c r="F528" s="31"/>
    </row>
    <row r="529">
      <c r="C529" s="31"/>
      <c r="D529" s="31"/>
      <c r="E529" s="18"/>
      <c r="F529" s="31"/>
    </row>
    <row r="530">
      <c r="C530" s="31"/>
      <c r="D530" s="31"/>
      <c r="E530" s="18"/>
      <c r="F530" s="31"/>
    </row>
    <row r="531">
      <c r="C531" s="31"/>
      <c r="D531" s="31"/>
      <c r="E531" s="18"/>
      <c r="F531" s="31"/>
    </row>
    <row r="532">
      <c r="C532" s="31"/>
      <c r="D532" s="31"/>
      <c r="E532" s="18"/>
      <c r="F532" s="31"/>
    </row>
    <row r="533">
      <c r="C533" s="31"/>
      <c r="D533" s="31"/>
      <c r="E533" s="18"/>
      <c r="F533" s="31"/>
    </row>
    <row r="534">
      <c r="C534" s="31"/>
      <c r="D534" s="31"/>
      <c r="E534" s="18"/>
      <c r="F534" s="31"/>
    </row>
    <row r="535">
      <c r="C535" s="31"/>
      <c r="D535" s="31"/>
      <c r="E535" s="18"/>
      <c r="F535" s="31"/>
    </row>
    <row r="536">
      <c r="C536" s="31"/>
      <c r="D536" s="31"/>
      <c r="E536" s="18"/>
      <c r="F536" s="31"/>
    </row>
    <row r="537">
      <c r="C537" s="31"/>
      <c r="D537" s="31"/>
      <c r="E537" s="18"/>
      <c r="F537" s="31"/>
    </row>
    <row r="538">
      <c r="C538" s="31"/>
      <c r="D538" s="31"/>
      <c r="E538" s="18"/>
      <c r="F538" s="31"/>
    </row>
    <row r="539">
      <c r="C539" s="31"/>
      <c r="D539" s="31"/>
      <c r="E539" s="18"/>
      <c r="F539" s="31"/>
    </row>
    <row r="540">
      <c r="C540" s="31"/>
      <c r="D540" s="31"/>
      <c r="E540" s="18"/>
      <c r="F540" s="31"/>
    </row>
    <row r="541">
      <c r="C541" s="31"/>
      <c r="D541" s="31"/>
      <c r="E541" s="18"/>
      <c r="F541" s="31"/>
    </row>
    <row r="542">
      <c r="C542" s="31"/>
      <c r="D542" s="31"/>
      <c r="E542" s="18"/>
      <c r="F542" s="31"/>
    </row>
    <row r="543">
      <c r="C543" s="31"/>
      <c r="D543" s="31"/>
      <c r="E543" s="18"/>
      <c r="F543" s="31"/>
    </row>
    <row r="544">
      <c r="C544" s="31"/>
      <c r="D544" s="31"/>
      <c r="E544" s="18"/>
      <c r="F544" s="31"/>
    </row>
    <row r="545">
      <c r="C545" s="31"/>
      <c r="D545" s="31"/>
      <c r="E545" s="18"/>
      <c r="F545" s="31"/>
    </row>
    <row r="546">
      <c r="C546" s="31"/>
      <c r="D546" s="31"/>
      <c r="E546" s="18"/>
      <c r="F546" s="31"/>
    </row>
    <row r="547">
      <c r="C547" s="31"/>
      <c r="D547" s="31"/>
      <c r="E547" s="18"/>
      <c r="F547" s="31"/>
    </row>
    <row r="548">
      <c r="C548" s="31"/>
      <c r="D548" s="31"/>
      <c r="E548" s="18"/>
      <c r="F548" s="31"/>
    </row>
    <row r="549">
      <c r="C549" s="31"/>
      <c r="D549" s="31"/>
      <c r="E549" s="18"/>
      <c r="F549" s="31"/>
    </row>
    <row r="550">
      <c r="C550" s="31"/>
      <c r="D550" s="31"/>
      <c r="E550" s="18"/>
      <c r="F550" s="31"/>
    </row>
    <row r="551">
      <c r="C551" s="31"/>
      <c r="D551" s="31"/>
      <c r="E551" s="18"/>
      <c r="F551" s="31"/>
    </row>
    <row r="552">
      <c r="C552" s="31"/>
      <c r="D552" s="31"/>
      <c r="E552" s="18"/>
      <c r="F552" s="31"/>
    </row>
    <row r="553">
      <c r="C553" s="31"/>
      <c r="D553" s="31"/>
      <c r="E553" s="18"/>
      <c r="F553" s="31"/>
    </row>
    <row r="554">
      <c r="C554" s="31"/>
      <c r="D554" s="31"/>
      <c r="E554" s="18"/>
      <c r="F554" s="31"/>
    </row>
    <row r="555">
      <c r="C555" s="31"/>
      <c r="D555" s="31"/>
      <c r="E555" s="18"/>
      <c r="F555" s="31"/>
    </row>
    <row r="556">
      <c r="C556" s="31"/>
      <c r="D556" s="31"/>
      <c r="E556" s="18"/>
      <c r="F556" s="31"/>
    </row>
    <row r="557">
      <c r="C557" s="31"/>
      <c r="D557" s="31"/>
      <c r="E557" s="18"/>
      <c r="F557" s="31"/>
    </row>
    <row r="558">
      <c r="C558" s="31"/>
      <c r="D558" s="31"/>
      <c r="E558" s="18"/>
      <c r="F558" s="31"/>
    </row>
    <row r="559">
      <c r="C559" s="31"/>
      <c r="D559" s="31"/>
      <c r="E559" s="18"/>
      <c r="F559" s="31"/>
    </row>
    <row r="560">
      <c r="C560" s="31"/>
      <c r="D560" s="31"/>
      <c r="E560" s="18"/>
      <c r="F560" s="31"/>
    </row>
    <row r="561">
      <c r="C561" s="31"/>
      <c r="D561" s="31"/>
      <c r="E561" s="18"/>
      <c r="F561" s="31"/>
    </row>
    <row r="562">
      <c r="C562" s="31"/>
      <c r="D562" s="31"/>
      <c r="E562" s="18"/>
      <c r="F562" s="31"/>
    </row>
    <row r="563">
      <c r="C563" s="31"/>
      <c r="D563" s="31"/>
      <c r="E563" s="18"/>
      <c r="F563" s="31"/>
    </row>
    <row r="564">
      <c r="C564" s="31"/>
      <c r="D564" s="31"/>
      <c r="E564" s="18"/>
      <c r="F564" s="31"/>
    </row>
    <row r="565">
      <c r="C565" s="31"/>
      <c r="D565" s="31"/>
      <c r="E565" s="18"/>
      <c r="F565" s="31"/>
    </row>
    <row r="566">
      <c r="C566" s="31"/>
      <c r="D566" s="31"/>
      <c r="E566" s="18"/>
      <c r="F566" s="31"/>
    </row>
    <row r="567">
      <c r="C567" s="31"/>
      <c r="D567" s="31"/>
      <c r="E567" s="18"/>
      <c r="F567" s="31"/>
    </row>
    <row r="568">
      <c r="C568" s="31"/>
      <c r="D568" s="31"/>
      <c r="E568" s="18"/>
      <c r="F568" s="31"/>
    </row>
    <row r="569">
      <c r="C569" s="31"/>
      <c r="D569" s="31"/>
      <c r="E569" s="18"/>
      <c r="F569" s="31"/>
    </row>
    <row r="570">
      <c r="C570" s="31"/>
      <c r="D570" s="31"/>
      <c r="E570" s="18"/>
      <c r="F570" s="31"/>
    </row>
    <row r="571">
      <c r="C571" s="31"/>
      <c r="D571" s="31"/>
      <c r="E571" s="18"/>
      <c r="F571" s="31"/>
    </row>
    <row r="572">
      <c r="C572" s="31"/>
      <c r="D572" s="31"/>
      <c r="E572" s="18"/>
      <c r="F572" s="31"/>
    </row>
    <row r="573">
      <c r="C573" s="31"/>
      <c r="D573" s="31"/>
      <c r="E573" s="18"/>
      <c r="F573" s="31"/>
    </row>
    <row r="574">
      <c r="C574" s="31"/>
      <c r="D574" s="31"/>
      <c r="E574" s="18"/>
      <c r="F574" s="31"/>
    </row>
    <row r="575">
      <c r="C575" s="31"/>
      <c r="D575" s="31"/>
      <c r="E575" s="18"/>
      <c r="F575" s="31"/>
    </row>
    <row r="576">
      <c r="C576" s="31"/>
      <c r="D576" s="31"/>
      <c r="E576" s="18"/>
      <c r="F576" s="31"/>
    </row>
    <row r="577">
      <c r="C577" s="31"/>
      <c r="D577" s="31"/>
      <c r="E577" s="18"/>
      <c r="F577" s="31"/>
    </row>
    <row r="578">
      <c r="C578" s="31"/>
      <c r="D578" s="31"/>
      <c r="E578" s="18"/>
      <c r="F578" s="31"/>
    </row>
    <row r="579">
      <c r="C579" s="31"/>
      <c r="D579" s="31"/>
      <c r="E579" s="18"/>
      <c r="F579" s="31"/>
    </row>
    <row r="580">
      <c r="C580" s="31"/>
      <c r="D580" s="31"/>
      <c r="E580" s="18"/>
      <c r="F580" s="31"/>
    </row>
    <row r="581">
      <c r="C581" s="31"/>
      <c r="D581" s="31"/>
      <c r="E581" s="18"/>
      <c r="F581" s="31"/>
    </row>
    <row r="582">
      <c r="C582" s="31"/>
      <c r="D582" s="31"/>
      <c r="E582" s="18"/>
      <c r="F582" s="31"/>
    </row>
    <row r="583">
      <c r="C583" s="31"/>
      <c r="D583" s="31"/>
      <c r="E583" s="18"/>
      <c r="F583" s="31"/>
    </row>
    <row r="584">
      <c r="C584" s="31"/>
      <c r="D584" s="31"/>
      <c r="E584" s="18"/>
      <c r="F584" s="31"/>
    </row>
    <row r="585">
      <c r="C585" s="31"/>
      <c r="D585" s="31"/>
      <c r="E585" s="18"/>
      <c r="F585" s="31"/>
    </row>
    <row r="586">
      <c r="C586" s="31"/>
      <c r="D586" s="31"/>
      <c r="E586" s="18"/>
      <c r="F586" s="31"/>
    </row>
    <row r="587">
      <c r="C587" s="31"/>
      <c r="D587" s="31"/>
      <c r="E587" s="18"/>
      <c r="F587" s="31"/>
    </row>
    <row r="588">
      <c r="C588" s="31"/>
      <c r="D588" s="31"/>
      <c r="E588" s="18"/>
      <c r="F588" s="31"/>
    </row>
    <row r="589">
      <c r="C589" s="31"/>
      <c r="D589" s="31"/>
      <c r="E589" s="18"/>
      <c r="F589" s="31"/>
    </row>
    <row r="590">
      <c r="C590" s="31"/>
      <c r="D590" s="31"/>
      <c r="E590" s="18"/>
      <c r="F590" s="31"/>
    </row>
    <row r="591">
      <c r="C591" s="31"/>
      <c r="D591" s="31"/>
      <c r="E591" s="18"/>
      <c r="F591" s="31"/>
    </row>
    <row r="592">
      <c r="C592" s="31"/>
      <c r="D592" s="31"/>
      <c r="E592" s="18"/>
      <c r="F592" s="31"/>
    </row>
    <row r="593">
      <c r="C593" s="31"/>
      <c r="D593" s="31"/>
      <c r="E593" s="18"/>
      <c r="F593" s="31"/>
    </row>
    <row r="594">
      <c r="C594" s="31"/>
      <c r="D594" s="31"/>
      <c r="E594" s="18"/>
      <c r="F594" s="31"/>
    </row>
    <row r="595">
      <c r="C595" s="31"/>
      <c r="D595" s="31"/>
      <c r="E595" s="18"/>
      <c r="F595" s="31"/>
    </row>
    <row r="596">
      <c r="C596" s="31"/>
      <c r="D596" s="31"/>
      <c r="E596" s="18"/>
      <c r="F596" s="31"/>
    </row>
    <row r="597">
      <c r="C597" s="31"/>
      <c r="D597" s="31"/>
      <c r="E597" s="18"/>
      <c r="F597" s="31"/>
    </row>
    <row r="598">
      <c r="C598" s="31"/>
      <c r="D598" s="31"/>
      <c r="E598" s="18"/>
      <c r="F598" s="31"/>
    </row>
    <row r="599">
      <c r="C599" s="31"/>
      <c r="D599" s="31"/>
      <c r="E599" s="18"/>
      <c r="F599" s="31"/>
    </row>
    <row r="600">
      <c r="C600" s="31"/>
      <c r="D600" s="31"/>
      <c r="E600" s="18"/>
      <c r="F600" s="31"/>
    </row>
    <row r="601">
      <c r="C601" s="31"/>
      <c r="D601" s="31"/>
      <c r="E601" s="18"/>
      <c r="F601" s="31"/>
    </row>
    <row r="602">
      <c r="C602" s="31"/>
      <c r="D602" s="31"/>
      <c r="E602" s="18"/>
      <c r="F602" s="31"/>
    </row>
    <row r="603">
      <c r="C603" s="31"/>
      <c r="D603" s="31"/>
      <c r="E603" s="18"/>
      <c r="F603" s="31"/>
    </row>
    <row r="604">
      <c r="C604" s="31"/>
      <c r="D604" s="31"/>
      <c r="E604" s="18"/>
      <c r="F604" s="31"/>
    </row>
    <row r="605">
      <c r="C605" s="31"/>
      <c r="D605" s="31"/>
      <c r="E605" s="18"/>
      <c r="F605" s="31"/>
    </row>
    <row r="606">
      <c r="C606" s="31"/>
      <c r="D606" s="31"/>
      <c r="E606" s="18"/>
      <c r="F606" s="31"/>
    </row>
    <row r="607">
      <c r="C607" s="31"/>
      <c r="D607" s="31"/>
      <c r="E607" s="18"/>
      <c r="F607" s="31"/>
    </row>
    <row r="608">
      <c r="C608" s="31"/>
      <c r="D608" s="31"/>
      <c r="E608" s="18"/>
      <c r="F608" s="31"/>
    </row>
    <row r="609">
      <c r="C609" s="31"/>
      <c r="D609" s="31"/>
      <c r="E609" s="18"/>
      <c r="F609" s="31"/>
    </row>
    <row r="610">
      <c r="C610" s="31"/>
      <c r="D610" s="31"/>
      <c r="E610" s="18"/>
      <c r="F610" s="31"/>
    </row>
    <row r="611">
      <c r="C611" s="31"/>
      <c r="D611" s="31"/>
      <c r="E611" s="18"/>
      <c r="F611" s="31"/>
    </row>
    <row r="612">
      <c r="C612" s="31"/>
      <c r="D612" s="31"/>
      <c r="E612" s="18"/>
      <c r="F612" s="31"/>
    </row>
    <row r="613">
      <c r="C613" s="31"/>
      <c r="D613" s="31"/>
      <c r="E613" s="18"/>
      <c r="F613" s="31"/>
    </row>
    <row r="614">
      <c r="C614" s="31"/>
      <c r="D614" s="31"/>
      <c r="E614" s="18"/>
      <c r="F614" s="31"/>
    </row>
    <row r="615">
      <c r="C615" s="31"/>
      <c r="D615" s="31"/>
      <c r="E615" s="18"/>
      <c r="F615" s="31"/>
    </row>
    <row r="616">
      <c r="C616" s="31"/>
      <c r="D616" s="31"/>
      <c r="E616" s="18"/>
      <c r="F616" s="31"/>
    </row>
    <row r="617">
      <c r="C617" s="31"/>
      <c r="D617" s="31"/>
      <c r="E617" s="18"/>
      <c r="F617" s="31"/>
    </row>
    <row r="618">
      <c r="C618" s="31"/>
      <c r="D618" s="31"/>
      <c r="E618" s="18"/>
      <c r="F618" s="31"/>
    </row>
    <row r="619">
      <c r="C619" s="31"/>
      <c r="D619" s="31"/>
      <c r="E619" s="18"/>
      <c r="F619" s="31"/>
    </row>
    <row r="620">
      <c r="C620" s="31"/>
      <c r="D620" s="31"/>
      <c r="E620" s="18"/>
      <c r="F620" s="31"/>
    </row>
    <row r="621">
      <c r="C621" s="31"/>
      <c r="D621" s="31"/>
      <c r="E621" s="18"/>
      <c r="F621" s="31"/>
    </row>
    <row r="622">
      <c r="C622" s="31"/>
      <c r="D622" s="31"/>
      <c r="E622" s="18"/>
      <c r="F622" s="31"/>
    </row>
    <row r="623">
      <c r="C623" s="31"/>
      <c r="D623" s="31"/>
      <c r="E623" s="18"/>
      <c r="F623" s="31"/>
    </row>
    <row r="624">
      <c r="C624" s="31"/>
      <c r="D624" s="31"/>
      <c r="E624" s="18"/>
      <c r="F624" s="31"/>
    </row>
    <row r="625">
      <c r="C625" s="31"/>
      <c r="D625" s="31"/>
      <c r="E625" s="18"/>
      <c r="F625" s="31"/>
    </row>
    <row r="626">
      <c r="C626" s="31"/>
      <c r="D626" s="31"/>
      <c r="E626" s="18"/>
      <c r="F626" s="31"/>
    </row>
    <row r="627">
      <c r="C627" s="31"/>
      <c r="D627" s="31"/>
      <c r="E627" s="18"/>
      <c r="F627" s="31"/>
    </row>
    <row r="628">
      <c r="C628" s="31"/>
      <c r="D628" s="31"/>
      <c r="E628" s="18"/>
      <c r="F628" s="31"/>
    </row>
    <row r="629">
      <c r="C629" s="31"/>
      <c r="D629" s="31"/>
      <c r="E629" s="18"/>
      <c r="F629" s="31"/>
    </row>
    <row r="630">
      <c r="C630" s="31"/>
      <c r="D630" s="31"/>
      <c r="E630" s="18"/>
      <c r="F630" s="31"/>
    </row>
    <row r="631">
      <c r="C631" s="31"/>
      <c r="D631" s="31"/>
      <c r="E631" s="18"/>
      <c r="F631" s="31"/>
    </row>
    <row r="632">
      <c r="C632" s="31"/>
      <c r="D632" s="31"/>
      <c r="E632" s="18"/>
      <c r="F632" s="31"/>
    </row>
    <row r="633">
      <c r="C633" s="31"/>
      <c r="D633" s="31"/>
      <c r="E633" s="18"/>
      <c r="F633" s="31"/>
    </row>
    <row r="634">
      <c r="C634" s="31"/>
      <c r="D634" s="31"/>
      <c r="E634" s="18"/>
      <c r="F634" s="31"/>
    </row>
    <row r="635">
      <c r="C635" s="31"/>
      <c r="D635" s="31"/>
      <c r="E635" s="18"/>
      <c r="F635" s="31"/>
    </row>
    <row r="636">
      <c r="C636" s="31"/>
      <c r="D636" s="31"/>
      <c r="E636" s="18"/>
      <c r="F636" s="31"/>
    </row>
    <row r="637">
      <c r="C637" s="31"/>
      <c r="D637" s="31"/>
      <c r="E637" s="18"/>
      <c r="F637" s="31"/>
    </row>
    <row r="638">
      <c r="C638" s="31"/>
      <c r="D638" s="31"/>
      <c r="E638" s="18"/>
      <c r="F638" s="31"/>
    </row>
    <row r="639">
      <c r="C639" s="31"/>
      <c r="D639" s="31"/>
      <c r="E639" s="18"/>
      <c r="F639" s="31"/>
    </row>
    <row r="640">
      <c r="C640" s="31"/>
      <c r="D640" s="31"/>
      <c r="E640" s="18"/>
      <c r="F640" s="31"/>
    </row>
    <row r="641">
      <c r="C641" s="31"/>
      <c r="D641" s="31"/>
      <c r="E641" s="18"/>
      <c r="F641" s="31"/>
    </row>
    <row r="642">
      <c r="C642" s="31"/>
      <c r="D642" s="31"/>
      <c r="E642" s="18"/>
      <c r="F642" s="31"/>
    </row>
    <row r="643">
      <c r="C643" s="31"/>
      <c r="D643" s="31"/>
      <c r="E643" s="18"/>
      <c r="F643" s="31"/>
    </row>
    <row r="644">
      <c r="C644" s="31"/>
      <c r="D644" s="31"/>
      <c r="E644" s="18"/>
      <c r="F644" s="31"/>
    </row>
    <row r="645">
      <c r="C645" s="31"/>
      <c r="D645" s="31"/>
      <c r="E645" s="18"/>
      <c r="F645" s="31"/>
    </row>
    <row r="646">
      <c r="C646" s="31"/>
      <c r="D646" s="31"/>
      <c r="E646" s="18"/>
      <c r="F646" s="31"/>
    </row>
    <row r="647">
      <c r="C647" s="31"/>
      <c r="D647" s="31"/>
      <c r="E647" s="18"/>
      <c r="F647" s="31"/>
    </row>
    <row r="648">
      <c r="C648" s="31"/>
      <c r="D648" s="31"/>
      <c r="E648" s="18"/>
      <c r="F648" s="31"/>
    </row>
    <row r="649">
      <c r="C649" s="31"/>
      <c r="D649" s="31"/>
      <c r="E649" s="18"/>
      <c r="F649" s="31"/>
    </row>
    <row r="650">
      <c r="C650" s="31"/>
      <c r="D650" s="31"/>
      <c r="E650" s="18"/>
      <c r="F650" s="31"/>
    </row>
    <row r="651">
      <c r="C651" s="31"/>
      <c r="D651" s="31"/>
      <c r="E651" s="18"/>
      <c r="F651" s="31"/>
    </row>
    <row r="652">
      <c r="C652" s="31"/>
      <c r="D652" s="31"/>
      <c r="E652" s="18"/>
      <c r="F652" s="31"/>
    </row>
    <row r="653">
      <c r="C653" s="31"/>
      <c r="D653" s="31"/>
      <c r="E653" s="18"/>
      <c r="F653" s="31"/>
    </row>
    <row r="654">
      <c r="C654" s="31"/>
      <c r="D654" s="31"/>
      <c r="E654" s="18"/>
      <c r="F654" s="31"/>
    </row>
    <row r="655">
      <c r="C655" s="31"/>
      <c r="D655" s="31"/>
      <c r="E655" s="18"/>
      <c r="F655" s="31"/>
    </row>
    <row r="656">
      <c r="C656" s="31"/>
      <c r="D656" s="31"/>
      <c r="E656" s="18"/>
      <c r="F656" s="31"/>
    </row>
    <row r="657">
      <c r="C657" s="31"/>
      <c r="D657" s="31"/>
      <c r="E657" s="18"/>
      <c r="F657" s="31"/>
    </row>
    <row r="658">
      <c r="C658" s="31"/>
      <c r="D658" s="31"/>
      <c r="E658" s="18"/>
      <c r="F658" s="31"/>
    </row>
    <row r="659">
      <c r="C659" s="31"/>
      <c r="D659" s="31"/>
      <c r="E659" s="18"/>
      <c r="F659" s="31"/>
    </row>
    <row r="660">
      <c r="C660" s="31"/>
      <c r="D660" s="31"/>
      <c r="E660" s="18"/>
      <c r="F660" s="31"/>
    </row>
    <row r="661">
      <c r="C661" s="31"/>
      <c r="D661" s="31"/>
      <c r="E661" s="18"/>
      <c r="F661" s="31"/>
    </row>
    <row r="662">
      <c r="C662" s="31"/>
      <c r="D662" s="31"/>
      <c r="E662" s="18"/>
      <c r="F662" s="31"/>
    </row>
    <row r="663">
      <c r="C663" s="31"/>
      <c r="D663" s="31"/>
      <c r="E663" s="18"/>
      <c r="F663" s="31"/>
    </row>
    <row r="664">
      <c r="C664" s="31"/>
      <c r="D664" s="31"/>
      <c r="E664" s="18"/>
      <c r="F664" s="31"/>
    </row>
    <row r="665">
      <c r="C665" s="31"/>
      <c r="D665" s="31"/>
      <c r="E665" s="18"/>
      <c r="F665" s="31"/>
    </row>
    <row r="666">
      <c r="C666" s="31"/>
      <c r="D666" s="31"/>
      <c r="E666" s="18"/>
      <c r="F666" s="31"/>
    </row>
    <row r="667">
      <c r="C667" s="31"/>
      <c r="D667" s="31"/>
      <c r="E667" s="18"/>
      <c r="F667" s="31"/>
    </row>
    <row r="668">
      <c r="C668" s="31"/>
      <c r="D668" s="31"/>
      <c r="E668" s="18"/>
      <c r="F668" s="31"/>
    </row>
    <row r="669">
      <c r="C669" s="31"/>
      <c r="D669" s="31"/>
      <c r="E669" s="18"/>
      <c r="F669" s="31"/>
    </row>
    <row r="670">
      <c r="C670" s="31"/>
      <c r="D670" s="31"/>
      <c r="E670" s="18"/>
      <c r="F670" s="31"/>
    </row>
    <row r="671">
      <c r="C671" s="31"/>
      <c r="D671" s="31"/>
      <c r="E671" s="18"/>
      <c r="F671" s="31"/>
    </row>
    <row r="672">
      <c r="C672" s="31"/>
      <c r="D672" s="31"/>
      <c r="E672" s="18"/>
      <c r="F672" s="31"/>
    </row>
    <row r="673">
      <c r="C673" s="31"/>
      <c r="D673" s="31"/>
      <c r="E673" s="18"/>
      <c r="F673" s="31"/>
    </row>
    <row r="674">
      <c r="C674" s="31"/>
      <c r="D674" s="31"/>
      <c r="E674" s="18"/>
      <c r="F674" s="31"/>
    </row>
    <row r="675">
      <c r="C675" s="31"/>
      <c r="D675" s="31"/>
      <c r="E675" s="18"/>
      <c r="F675" s="31"/>
    </row>
    <row r="676">
      <c r="C676" s="31"/>
      <c r="D676" s="31"/>
      <c r="E676" s="18"/>
      <c r="F676" s="31"/>
    </row>
    <row r="677">
      <c r="C677" s="31"/>
      <c r="D677" s="31"/>
      <c r="E677" s="18"/>
      <c r="F677" s="31"/>
    </row>
    <row r="678">
      <c r="C678" s="31"/>
      <c r="D678" s="31"/>
      <c r="E678" s="18"/>
      <c r="F678" s="31"/>
    </row>
    <row r="679">
      <c r="C679" s="31"/>
      <c r="D679" s="31"/>
      <c r="E679" s="18"/>
      <c r="F679" s="31"/>
    </row>
    <row r="680">
      <c r="C680" s="31"/>
      <c r="D680" s="31"/>
      <c r="E680" s="18"/>
      <c r="F680" s="31"/>
    </row>
    <row r="681">
      <c r="C681" s="31"/>
      <c r="D681" s="31"/>
      <c r="E681" s="18"/>
      <c r="F681" s="31"/>
    </row>
    <row r="682">
      <c r="C682" s="31"/>
      <c r="D682" s="31"/>
      <c r="E682" s="18"/>
      <c r="F682" s="31"/>
    </row>
    <row r="683">
      <c r="C683" s="31"/>
      <c r="D683" s="31"/>
      <c r="E683" s="18"/>
      <c r="F683" s="31"/>
    </row>
    <row r="684">
      <c r="C684" s="31"/>
      <c r="D684" s="31"/>
      <c r="E684" s="18"/>
      <c r="F684" s="31"/>
    </row>
    <row r="685">
      <c r="C685" s="31"/>
      <c r="D685" s="31"/>
      <c r="E685" s="18"/>
      <c r="F685" s="31"/>
    </row>
    <row r="686">
      <c r="C686" s="31"/>
      <c r="D686" s="31"/>
      <c r="E686" s="18"/>
      <c r="F686" s="31"/>
    </row>
    <row r="687">
      <c r="C687" s="31"/>
      <c r="D687" s="31"/>
      <c r="E687" s="18"/>
      <c r="F687" s="31"/>
    </row>
    <row r="688">
      <c r="C688" s="31"/>
      <c r="D688" s="31"/>
      <c r="E688" s="18"/>
      <c r="F688" s="31"/>
    </row>
    <row r="689">
      <c r="C689" s="31"/>
      <c r="D689" s="31"/>
      <c r="E689" s="18"/>
      <c r="F689" s="31"/>
    </row>
    <row r="690">
      <c r="C690" s="31"/>
      <c r="D690" s="31"/>
      <c r="E690" s="18"/>
      <c r="F690" s="31"/>
    </row>
    <row r="691">
      <c r="C691" s="31"/>
      <c r="D691" s="31"/>
      <c r="E691" s="18"/>
      <c r="F691" s="31"/>
    </row>
    <row r="692">
      <c r="C692" s="31"/>
      <c r="D692" s="31"/>
      <c r="E692" s="18"/>
      <c r="F692" s="31"/>
    </row>
    <row r="693">
      <c r="C693" s="31"/>
      <c r="D693" s="31"/>
      <c r="E693" s="18"/>
      <c r="F693" s="31"/>
    </row>
    <row r="694">
      <c r="C694" s="31"/>
      <c r="D694" s="31"/>
      <c r="E694" s="18"/>
      <c r="F694" s="31"/>
    </row>
    <row r="695">
      <c r="C695" s="31"/>
      <c r="D695" s="31"/>
      <c r="E695" s="18"/>
      <c r="F695" s="31"/>
    </row>
    <row r="696">
      <c r="C696" s="31"/>
      <c r="D696" s="31"/>
      <c r="E696" s="18"/>
      <c r="F696" s="31"/>
    </row>
    <row r="697">
      <c r="C697" s="31"/>
      <c r="D697" s="31"/>
      <c r="E697" s="18"/>
      <c r="F697" s="31"/>
    </row>
    <row r="698">
      <c r="C698" s="31"/>
      <c r="D698" s="31"/>
      <c r="E698" s="18"/>
      <c r="F698" s="31"/>
    </row>
    <row r="699">
      <c r="C699" s="31"/>
      <c r="D699" s="31"/>
      <c r="E699" s="18"/>
      <c r="F699" s="31"/>
    </row>
    <row r="700">
      <c r="C700" s="31"/>
      <c r="D700" s="31"/>
      <c r="E700" s="18"/>
      <c r="F700" s="31"/>
    </row>
    <row r="701">
      <c r="C701" s="31"/>
      <c r="D701" s="31"/>
      <c r="E701" s="18"/>
      <c r="F701" s="31"/>
    </row>
    <row r="702">
      <c r="C702" s="31"/>
      <c r="D702" s="31"/>
      <c r="E702" s="18"/>
      <c r="F702" s="31"/>
    </row>
    <row r="703">
      <c r="C703" s="31"/>
      <c r="D703" s="31"/>
      <c r="E703" s="18"/>
      <c r="F703" s="31"/>
    </row>
    <row r="704">
      <c r="C704" s="31"/>
      <c r="D704" s="31"/>
      <c r="E704" s="18"/>
      <c r="F704" s="31"/>
    </row>
    <row r="705">
      <c r="C705" s="31"/>
      <c r="D705" s="31"/>
      <c r="E705" s="18"/>
      <c r="F705" s="31"/>
    </row>
    <row r="706">
      <c r="C706" s="31"/>
      <c r="D706" s="31"/>
      <c r="E706" s="18"/>
      <c r="F706" s="31"/>
    </row>
    <row r="707">
      <c r="C707" s="31"/>
      <c r="D707" s="31"/>
      <c r="E707" s="18"/>
      <c r="F707" s="31"/>
    </row>
    <row r="708">
      <c r="C708" s="31"/>
      <c r="D708" s="31"/>
      <c r="E708" s="18"/>
      <c r="F708" s="31"/>
    </row>
    <row r="709">
      <c r="C709" s="31"/>
      <c r="D709" s="31"/>
      <c r="E709" s="18"/>
      <c r="F709" s="31"/>
    </row>
    <row r="710">
      <c r="C710" s="31"/>
      <c r="D710" s="31"/>
      <c r="E710" s="18"/>
      <c r="F710" s="31"/>
    </row>
    <row r="711">
      <c r="C711" s="31"/>
      <c r="D711" s="31"/>
      <c r="E711" s="18"/>
      <c r="F711" s="31"/>
    </row>
    <row r="712">
      <c r="C712" s="31"/>
      <c r="D712" s="31"/>
      <c r="E712" s="18"/>
      <c r="F712" s="31"/>
    </row>
    <row r="713">
      <c r="C713" s="31"/>
      <c r="D713" s="31"/>
      <c r="E713" s="18"/>
      <c r="F713" s="31"/>
    </row>
    <row r="714">
      <c r="C714" s="31"/>
      <c r="D714" s="31"/>
      <c r="E714" s="18"/>
      <c r="F714" s="31"/>
    </row>
    <row r="715">
      <c r="C715" s="31"/>
      <c r="D715" s="31"/>
      <c r="E715" s="18"/>
      <c r="F715" s="31"/>
    </row>
    <row r="716">
      <c r="C716" s="31"/>
      <c r="D716" s="31"/>
      <c r="E716" s="18"/>
      <c r="F716" s="31"/>
    </row>
    <row r="717">
      <c r="C717" s="31"/>
      <c r="D717" s="31"/>
      <c r="E717" s="18"/>
      <c r="F717" s="31"/>
    </row>
    <row r="718">
      <c r="C718" s="31"/>
      <c r="D718" s="31"/>
      <c r="E718" s="18"/>
      <c r="F718" s="31"/>
    </row>
    <row r="719">
      <c r="C719" s="31"/>
      <c r="D719" s="31"/>
      <c r="E719" s="18"/>
      <c r="F719" s="31"/>
    </row>
    <row r="720">
      <c r="C720" s="31"/>
      <c r="D720" s="31"/>
      <c r="E720" s="18"/>
      <c r="F720" s="31"/>
    </row>
    <row r="721">
      <c r="C721" s="31"/>
      <c r="D721" s="31"/>
      <c r="E721" s="18"/>
      <c r="F721" s="31"/>
    </row>
    <row r="722">
      <c r="C722" s="31"/>
      <c r="D722" s="31"/>
      <c r="E722" s="18"/>
      <c r="F722" s="31"/>
    </row>
    <row r="723">
      <c r="C723" s="31"/>
      <c r="D723" s="31"/>
      <c r="E723" s="18"/>
      <c r="F723" s="31"/>
    </row>
    <row r="724">
      <c r="C724" s="31"/>
      <c r="D724" s="31"/>
      <c r="E724" s="18"/>
      <c r="F724" s="31"/>
    </row>
    <row r="725">
      <c r="C725" s="31"/>
      <c r="D725" s="31"/>
      <c r="E725" s="18"/>
      <c r="F725" s="31"/>
    </row>
    <row r="726">
      <c r="C726" s="31"/>
      <c r="D726" s="31"/>
      <c r="E726" s="18"/>
      <c r="F726" s="31"/>
    </row>
    <row r="727">
      <c r="C727" s="31"/>
      <c r="D727" s="31"/>
      <c r="E727" s="18"/>
      <c r="F727" s="31"/>
    </row>
    <row r="728">
      <c r="C728" s="31"/>
      <c r="D728" s="31"/>
      <c r="E728" s="18"/>
      <c r="F728" s="31"/>
    </row>
    <row r="729">
      <c r="C729" s="31"/>
      <c r="D729" s="31"/>
      <c r="E729" s="18"/>
      <c r="F729" s="31"/>
    </row>
    <row r="730">
      <c r="C730" s="31"/>
      <c r="D730" s="31"/>
      <c r="E730" s="18"/>
      <c r="F730" s="31"/>
    </row>
    <row r="731">
      <c r="C731" s="31"/>
      <c r="D731" s="31"/>
      <c r="E731" s="18"/>
      <c r="F731" s="31"/>
    </row>
    <row r="732">
      <c r="C732" s="31"/>
      <c r="D732" s="31"/>
      <c r="E732" s="18"/>
      <c r="F732" s="31"/>
    </row>
    <row r="733">
      <c r="C733" s="31"/>
      <c r="D733" s="31"/>
      <c r="E733" s="18"/>
      <c r="F733" s="31"/>
    </row>
    <row r="734">
      <c r="C734" s="31"/>
      <c r="D734" s="31"/>
      <c r="E734" s="18"/>
      <c r="F734" s="31"/>
    </row>
    <row r="735">
      <c r="C735" s="31"/>
      <c r="D735" s="31"/>
      <c r="E735" s="18"/>
      <c r="F735" s="31"/>
    </row>
    <row r="736">
      <c r="C736" s="31"/>
      <c r="D736" s="31"/>
      <c r="E736" s="18"/>
      <c r="F736" s="31"/>
    </row>
    <row r="737">
      <c r="C737" s="31"/>
      <c r="D737" s="31"/>
      <c r="E737" s="18"/>
      <c r="F737" s="31"/>
    </row>
    <row r="738">
      <c r="C738" s="31"/>
      <c r="D738" s="31"/>
      <c r="E738" s="18"/>
      <c r="F738" s="31"/>
    </row>
    <row r="739">
      <c r="C739" s="31"/>
      <c r="D739" s="31"/>
      <c r="E739" s="18"/>
      <c r="F739" s="31"/>
    </row>
    <row r="740">
      <c r="C740" s="31"/>
      <c r="D740" s="31"/>
      <c r="E740" s="18"/>
      <c r="F740" s="31"/>
    </row>
    <row r="741">
      <c r="C741" s="31"/>
      <c r="D741" s="31"/>
      <c r="E741" s="18"/>
      <c r="F741" s="31"/>
    </row>
    <row r="742">
      <c r="C742" s="31"/>
      <c r="D742" s="31"/>
      <c r="E742" s="18"/>
      <c r="F742" s="31"/>
    </row>
    <row r="743">
      <c r="C743" s="31"/>
      <c r="D743" s="31"/>
      <c r="E743" s="18"/>
      <c r="F743" s="31"/>
    </row>
    <row r="744">
      <c r="C744" s="31"/>
      <c r="D744" s="31"/>
      <c r="E744" s="18"/>
      <c r="F744" s="31"/>
    </row>
    <row r="745">
      <c r="C745" s="31"/>
      <c r="D745" s="31"/>
      <c r="E745" s="18"/>
      <c r="F745" s="31"/>
    </row>
    <row r="746">
      <c r="C746" s="31"/>
      <c r="D746" s="31"/>
      <c r="E746" s="18"/>
      <c r="F746" s="31"/>
    </row>
    <row r="747">
      <c r="C747" s="31"/>
      <c r="D747" s="31"/>
      <c r="E747" s="18"/>
      <c r="F747" s="31"/>
    </row>
    <row r="748">
      <c r="C748" s="31"/>
      <c r="D748" s="31"/>
      <c r="E748" s="18"/>
      <c r="F748" s="31"/>
    </row>
    <row r="749">
      <c r="C749" s="31"/>
      <c r="D749" s="31"/>
      <c r="E749" s="18"/>
      <c r="F749" s="31"/>
    </row>
    <row r="750">
      <c r="C750" s="31"/>
      <c r="D750" s="31"/>
      <c r="E750" s="18"/>
      <c r="F750" s="31"/>
    </row>
    <row r="751">
      <c r="C751" s="31"/>
      <c r="D751" s="31"/>
      <c r="E751" s="18"/>
      <c r="F751" s="31"/>
    </row>
    <row r="752">
      <c r="C752" s="31"/>
      <c r="D752" s="31"/>
      <c r="E752" s="18"/>
      <c r="F752" s="31"/>
    </row>
    <row r="753">
      <c r="C753" s="31"/>
      <c r="D753" s="31"/>
      <c r="E753" s="18"/>
      <c r="F753" s="31"/>
    </row>
    <row r="754">
      <c r="C754" s="31"/>
      <c r="D754" s="31"/>
      <c r="E754" s="18"/>
      <c r="F754" s="31"/>
    </row>
    <row r="755">
      <c r="C755" s="31"/>
      <c r="D755" s="31"/>
      <c r="E755" s="18"/>
      <c r="F755" s="31"/>
    </row>
    <row r="756">
      <c r="C756" s="31"/>
      <c r="D756" s="31"/>
      <c r="E756" s="18"/>
      <c r="F756" s="31"/>
    </row>
    <row r="757">
      <c r="C757" s="31"/>
      <c r="D757" s="31"/>
      <c r="E757" s="18"/>
      <c r="F757" s="31"/>
    </row>
    <row r="758">
      <c r="C758" s="31"/>
      <c r="D758" s="31"/>
      <c r="E758" s="18"/>
      <c r="F758" s="31"/>
    </row>
    <row r="759">
      <c r="C759" s="31"/>
      <c r="D759" s="31"/>
      <c r="E759" s="18"/>
      <c r="F759" s="31"/>
    </row>
    <row r="760">
      <c r="C760" s="31"/>
      <c r="D760" s="31"/>
      <c r="E760" s="18"/>
      <c r="F760" s="31"/>
    </row>
    <row r="761">
      <c r="C761" s="31"/>
      <c r="D761" s="31"/>
      <c r="E761" s="18"/>
      <c r="F761" s="31"/>
    </row>
    <row r="762">
      <c r="C762" s="31"/>
      <c r="D762" s="31"/>
      <c r="E762" s="18"/>
      <c r="F762" s="31"/>
    </row>
    <row r="763">
      <c r="C763" s="31"/>
      <c r="D763" s="31"/>
      <c r="E763" s="18"/>
      <c r="F763" s="31"/>
    </row>
    <row r="764">
      <c r="C764" s="31"/>
      <c r="D764" s="31"/>
      <c r="E764" s="18"/>
      <c r="F764" s="31"/>
    </row>
    <row r="765">
      <c r="C765" s="31"/>
      <c r="D765" s="31"/>
      <c r="E765" s="18"/>
      <c r="F765" s="31"/>
    </row>
    <row r="766">
      <c r="C766" s="31"/>
      <c r="D766" s="31"/>
      <c r="E766" s="18"/>
      <c r="F766" s="31"/>
    </row>
    <row r="767">
      <c r="C767" s="31"/>
      <c r="D767" s="31"/>
      <c r="E767" s="18"/>
      <c r="F767" s="31"/>
    </row>
    <row r="768">
      <c r="C768" s="31"/>
      <c r="D768" s="31"/>
      <c r="E768" s="18"/>
      <c r="F768" s="31"/>
    </row>
    <row r="769">
      <c r="C769" s="31"/>
      <c r="D769" s="31"/>
      <c r="E769" s="18"/>
      <c r="F769" s="31"/>
    </row>
    <row r="770">
      <c r="C770" s="31"/>
      <c r="D770" s="31"/>
      <c r="E770" s="18"/>
      <c r="F770" s="31"/>
    </row>
    <row r="771">
      <c r="C771" s="31"/>
      <c r="D771" s="31"/>
      <c r="E771" s="18"/>
      <c r="F771" s="31"/>
    </row>
    <row r="772">
      <c r="C772" s="31"/>
      <c r="D772" s="31"/>
      <c r="E772" s="18"/>
      <c r="F772" s="31"/>
    </row>
    <row r="773">
      <c r="C773" s="31"/>
      <c r="D773" s="31"/>
      <c r="E773" s="18"/>
      <c r="F773" s="31"/>
    </row>
    <row r="774">
      <c r="C774" s="31"/>
      <c r="D774" s="31"/>
      <c r="E774" s="18"/>
      <c r="F774" s="31"/>
    </row>
    <row r="775">
      <c r="C775" s="31"/>
      <c r="D775" s="31"/>
      <c r="E775" s="18"/>
      <c r="F775" s="31"/>
    </row>
    <row r="776">
      <c r="C776" s="31"/>
      <c r="D776" s="31"/>
      <c r="E776" s="18"/>
      <c r="F776" s="31"/>
    </row>
    <row r="777">
      <c r="C777" s="31"/>
      <c r="D777" s="31"/>
      <c r="E777" s="18"/>
      <c r="F777" s="31"/>
    </row>
    <row r="778">
      <c r="C778" s="31"/>
      <c r="D778" s="31"/>
      <c r="E778" s="18"/>
      <c r="F778" s="31"/>
    </row>
    <row r="779">
      <c r="C779" s="31"/>
      <c r="D779" s="31"/>
      <c r="E779" s="18"/>
      <c r="F779" s="31"/>
    </row>
    <row r="780">
      <c r="C780" s="31"/>
      <c r="D780" s="31"/>
      <c r="E780" s="18"/>
      <c r="F780" s="31"/>
    </row>
    <row r="781">
      <c r="C781" s="31"/>
      <c r="D781" s="31"/>
      <c r="E781" s="18"/>
      <c r="F781" s="31"/>
    </row>
    <row r="782">
      <c r="C782" s="31"/>
      <c r="D782" s="31"/>
      <c r="E782" s="18"/>
      <c r="F782" s="31"/>
    </row>
    <row r="783">
      <c r="C783" s="31"/>
      <c r="D783" s="31"/>
      <c r="E783" s="18"/>
      <c r="F783" s="31"/>
    </row>
    <row r="784">
      <c r="C784" s="31"/>
      <c r="D784" s="31"/>
      <c r="E784" s="18"/>
      <c r="F784" s="31"/>
    </row>
    <row r="785">
      <c r="C785" s="31"/>
      <c r="D785" s="31"/>
      <c r="E785" s="18"/>
      <c r="F785" s="31"/>
    </row>
    <row r="786">
      <c r="C786" s="31"/>
      <c r="D786" s="31"/>
      <c r="E786" s="18"/>
      <c r="F786" s="31"/>
    </row>
    <row r="787">
      <c r="C787" s="31"/>
      <c r="D787" s="31"/>
      <c r="E787" s="18"/>
      <c r="F787" s="31"/>
    </row>
    <row r="788">
      <c r="C788" s="31"/>
      <c r="D788" s="31"/>
      <c r="E788" s="18"/>
      <c r="F788" s="31"/>
    </row>
    <row r="789">
      <c r="C789" s="31"/>
      <c r="D789" s="31"/>
      <c r="E789" s="18"/>
      <c r="F789" s="31"/>
    </row>
    <row r="790">
      <c r="C790" s="31"/>
      <c r="D790" s="31"/>
      <c r="E790" s="18"/>
      <c r="F790" s="31"/>
    </row>
    <row r="791">
      <c r="C791" s="31"/>
      <c r="D791" s="31"/>
      <c r="E791" s="18"/>
      <c r="F791" s="31"/>
    </row>
    <row r="792">
      <c r="C792" s="31"/>
      <c r="D792" s="31"/>
      <c r="E792" s="18"/>
      <c r="F792" s="31"/>
    </row>
    <row r="793">
      <c r="C793" s="31"/>
      <c r="D793" s="31"/>
      <c r="E793" s="18"/>
      <c r="F793" s="31"/>
    </row>
    <row r="794">
      <c r="C794" s="31"/>
      <c r="D794" s="31"/>
      <c r="E794" s="18"/>
      <c r="F794" s="31"/>
    </row>
    <row r="795">
      <c r="C795" s="31"/>
      <c r="D795" s="31"/>
      <c r="E795" s="18"/>
      <c r="F795" s="31"/>
    </row>
    <row r="796">
      <c r="C796" s="31"/>
      <c r="D796" s="31"/>
      <c r="E796" s="18"/>
      <c r="F796" s="31"/>
    </row>
    <row r="797">
      <c r="C797" s="31"/>
      <c r="D797" s="31"/>
      <c r="E797" s="18"/>
      <c r="F797" s="31"/>
    </row>
    <row r="798">
      <c r="C798" s="31"/>
      <c r="D798" s="31"/>
      <c r="E798" s="18"/>
      <c r="F798" s="31"/>
    </row>
    <row r="799">
      <c r="C799" s="31"/>
      <c r="D799" s="31"/>
      <c r="E799" s="18"/>
      <c r="F799" s="31"/>
    </row>
    <row r="800">
      <c r="C800" s="31"/>
      <c r="D800" s="31"/>
      <c r="E800" s="18"/>
      <c r="F800" s="31"/>
    </row>
    <row r="801">
      <c r="C801" s="31"/>
      <c r="D801" s="31"/>
      <c r="E801" s="18"/>
      <c r="F801" s="31"/>
    </row>
    <row r="802">
      <c r="C802" s="31"/>
      <c r="D802" s="31"/>
      <c r="E802" s="18"/>
      <c r="F802" s="31"/>
    </row>
    <row r="803">
      <c r="C803" s="31"/>
      <c r="D803" s="31"/>
      <c r="E803" s="18"/>
      <c r="F803" s="31"/>
    </row>
    <row r="804">
      <c r="C804" s="31"/>
      <c r="D804" s="31"/>
      <c r="E804" s="18"/>
      <c r="F804" s="31"/>
    </row>
    <row r="805">
      <c r="C805" s="31"/>
      <c r="D805" s="31"/>
      <c r="E805" s="18"/>
      <c r="F805" s="31"/>
    </row>
    <row r="806">
      <c r="C806" s="31"/>
      <c r="D806" s="31"/>
      <c r="E806" s="18"/>
      <c r="F806" s="31"/>
    </row>
    <row r="807">
      <c r="C807" s="31"/>
      <c r="D807" s="31"/>
      <c r="E807" s="18"/>
      <c r="F807" s="31"/>
    </row>
    <row r="808">
      <c r="C808" s="31"/>
      <c r="D808" s="31"/>
      <c r="E808" s="18"/>
      <c r="F808" s="31"/>
    </row>
    <row r="809">
      <c r="C809" s="31"/>
      <c r="D809" s="31"/>
      <c r="E809" s="18"/>
      <c r="F809" s="31"/>
    </row>
    <row r="810">
      <c r="C810" s="31"/>
      <c r="D810" s="31"/>
      <c r="E810" s="18"/>
      <c r="F810" s="31"/>
    </row>
    <row r="811">
      <c r="C811" s="31"/>
      <c r="D811" s="31"/>
      <c r="E811" s="18"/>
      <c r="F811" s="31"/>
    </row>
    <row r="812">
      <c r="C812" s="31"/>
      <c r="D812" s="31"/>
      <c r="E812" s="18"/>
      <c r="F812" s="31"/>
    </row>
    <row r="813">
      <c r="C813" s="31"/>
      <c r="D813" s="31"/>
      <c r="E813" s="18"/>
      <c r="F813" s="31"/>
    </row>
    <row r="814">
      <c r="C814" s="31"/>
      <c r="D814" s="31"/>
      <c r="E814" s="18"/>
      <c r="F814" s="31"/>
    </row>
    <row r="815">
      <c r="C815" s="31"/>
      <c r="D815" s="31"/>
      <c r="E815" s="18"/>
      <c r="F815" s="31"/>
    </row>
    <row r="816">
      <c r="C816" s="31"/>
      <c r="D816" s="31"/>
      <c r="E816" s="18"/>
      <c r="F816" s="31"/>
    </row>
    <row r="817">
      <c r="C817" s="31"/>
      <c r="D817" s="31"/>
      <c r="E817" s="18"/>
      <c r="F817" s="31"/>
    </row>
    <row r="818">
      <c r="C818" s="31"/>
      <c r="D818" s="31"/>
      <c r="E818" s="18"/>
      <c r="F818" s="31"/>
    </row>
    <row r="819">
      <c r="C819" s="31"/>
      <c r="D819" s="31"/>
      <c r="E819" s="18"/>
      <c r="F819" s="31"/>
    </row>
    <row r="820">
      <c r="C820" s="31"/>
      <c r="D820" s="31"/>
      <c r="E820" s="18"/>
      <c r="F820" s="31"/>
    </row>
    <row r="821">
      <c r="C821" s="31"/>
      <c r="D821" s="31"/>
      <c r="E821" s="18"/>
      <c r="F821" s="31"/>
    </row>
    <row r="822">
      <c r="C822" s="31"/>
      <c r="D822" s="31"/>
      <c r="E822" s="18"/>
      <c r="F822" s="31"/>
    </row>
    <row r="823">
      <c r="C823" s="31"/>
      <c r="D823" s="31"/>
      <c r="E823" s="18"/>
      <c r="F823" s="31"/>
    </row>
    <row r="824">
      <c r="C824" s="31"/>
      <c r="D824" s="31"/>
      <c r="E824" s="18"/>
      <c r="F824" s="31"/>
    </row>
    <row r="825">
      <c r="C825" s="31"/>
      <c r="D825" s="31"/>
      <c r="E825" s="18"/>
      <c r="F825" s="31"/>
    </row>
    <row r="826">
      <c r="C826" s="31"/>
      <c r="D826" s="31"/>
      <c r="E826" s="18"/>
      <c r="F826" s="31"/>
    </row>
    <row r="827">
      <c r="C827" s="31"/>
      <c r="D827" s="31"/>
      <c r="E827" s="18"/>
      <c r="F827" s="31"/>
    </row>
    <row r="828">
      <c r="C828" s="31"/>
      <c r="D828" s="31"/>
      <c r="E828" s="18"/>
      <c r="F828" s="31"/>
    </row>
    <row r="829">
      <c r="C829" s="31"/>
      <c r="D829" s="31"/>
      <c r="E829" s="18"/>
      <c r="F829" s="31"/>
    </row>
    <row r="830">
      <c r="C830" s="31"/>
      <c r="D830" s="31"/>
      <c r="E830" s="18"/>
      <c r="F830" s="31"/>
    </row>
    <row r="831">
      <c r="C831" s="31"/>
      <c r="D831" s="31"/>
      <c r="E831" s="18"/>
      <c r="F831" s="31"/>
    </row>
    <row r="832">
      <c r="C832" s="31"/>
      <c r="D832" s="31"/>
      <c r="E832" s="18"/>
      <c r="F832" s="31"/>
    </row>
    <row r="833">
      <c r="C833" s="31"/>
      <c r="D833" s="31"/>
      <c r="E833" s="18"/>
      <c r="F833" s="31"/>
    </row>
    <row r="834">
      <c r="C834" s="31"/>
      <c r="D834" s="31"/>
      <c r="E834" s="18"/>
      <c r="F834" s="31"/>
    </row>
    <row r="835">
      <c r="C835" s="31"/>
      <c r="D835" s="31"/>
      <c r="E835" s="18"/>
      <c r="F835" s="31"/>
    </row>
    <row r="836">
      <c r="C836" s="31"/>
      <c r="D836" s="31"/>
      <c r="E836" s="18"/>
      <c r="F836" s="31"/>
    </row>
    <row r="837">
      <c r="C837" s="31"/>
      <c r="D837" s="31"/>
      <c r="E837" s="18"/>
      <c r="F837" s="31"/>
    </row>
    <row r="838">
      <c r="C838" s="31"/>
      <c r="D838" s="31"/>
      <c r="E838" s="18"/>
      <c r="F838" s="31"/>
    </row>
    <row r="839">
      <c r="C839" s="31"/>
      <c r="D839" s="31"/>
      <c r="E839" s="18"/>
      <c r="F839" s="31"/>
    </row>
    <row r="840">
      <c r="C840" s="31"/>
      <c r="D840" s="31"/>
      <c r="E840" s="18"/>
      <c r="F840" s="31"/>
    </row>
    <row r="841">
      <c r="C841" s="31"/>
      <c r="D841" s="31"/>
      <c r="E841" s="18"/>
      <c r="F841" s="31"/>
    </row>
    <row r="842">
      <c r="C842" s="31"/>
      <c r="D842" s="31"/>
      <c r="E842" s="18"/>
      <c r="F842" s="31"/>
    </row>
    <row r="843">
      <c r="C843" s="31"/>
      <c r="D843" s="31"/>
      <c r="E843" s="18"/>
      <c r="F843" s="31"/>
    </row>
    <row r="844">
      <c r="C844" s="31"/>
      <c r="D844" s="31"/>
      <c r="E844" s="18"/>
      <c r="F844" s="31"/>
    </row>
    <row r="845">
      <c r="C845" s="31"/>
      <c r="D845" s="31"/>
      <c r="E845" s="18"/>
      <c r="F845" s="31"/>
    </row>
    <row r="846">
      <c r="C846" s="31"/>
      <c r="D846" s="31"/>
      <c r="E846" s="18"/>
      <c r="F846" s="31"/>
    </row>
    <row r="847">
      <c r="C847" s="31"/>
      <c r="D847" s="31"/>
      <c r="E847" s="18"/>
      <c r="F847" s="31"/>
    </row>
    <row r="848">
      <c r="C848" s="31"/>
      <c r="D848" s="31"/>
      <c r="E848" s="18"/>
      <c r="F848" s="31"/>
    </row>
    <row r="849">
      <c r="C849" s="31"/>
      <c r="D849" s="31"/>
      <c r="E849" s="18"/>
      <c r="F849" s="31"/>
    </row>
    <row r="850">
      <c r="C850" s="31"/>
      <c r="D850" s="31"/>
      <c r="E850" s="18"/>
      <c r="F850" s="31"/>
    </row>
    <row r="851">
      <c r="C851" s="31"/>
      <c r="D851" s="31"/>
      <c r="E851" s="18"/>
      <c r="F851" s="31"/>
    </row>
    <row r="852">
      <c r="C852" s="31"/>
      <c r="D852" s="31"/>
      <c r="E852" s="18"/>
      <c r="F852" s="31"/>
    </row>
    <row r="853">
      <c r="C853" s="31"/>
      <c r="D853" s="31"/>
      <c r="E853" s="18"/>
      <c r="F853" s="31"/>
    </row>
    <row r="854">
      <c r="C854" s="31"/>
      <c r="D854" s="31"/>
      <c r="E854" s="18"/>
      <c r="F854" s="31"/>
    </row>
    <row r="855">
      <c r="C855" s="31"/>
      <c r="D855" s="31"/>
      <c r="E855" s="18"/>
      <c r="F855" s="31"/>
    </row>
    <row r="856">
      <c r="C856" s="31"/>
      <c r="D856" s="31"/>
      <c r="E856" s="18"/>
      <c r="F856" s="31"/>
    </row>
    <row r="857">
      <c r="C857" s="31"/>
      <c r="D857" s="31"/>
      <c r="E857" s="18"/>
      <c r="F857" s="31"/>
    </row>
    <row r="858">
      <c r="C858" s="31"/>
      <c r="D858" s="31"/>
      <c r="E858" s="18"/>
      <c r="F858" s="31"/>
    </row>
    <row r="859">
      <c r="C859" s="31"/>
      <c r="D859" s="31"/>
      <c r="E859" s="18"/>
      <c r="F859" s="31"/>
    </row>
    <row r="860">
      <c r="C860" s="31"/>
      <c r="D860" s="31"/>
      <c r="E860" s="18"/>
      <c r="F860" s="31"/>
    </row>
    <row r="861">
      <c r="C861" s="31"/>
      <c r="D861" s="31"/>
      <c r="E861" s="18"/>
      <c r="F861" s="31"/>
    </row>
    <row r="862">
      <c r="C862" s="31"/>
      <c r="D862" s="31"/>
      <c r="E862" s="18"/>
      <c r="F862" s="31"/>
    </row>
    <row r="863">
      <c r="C863" s="31"/>
      <c r="D863" s="31"/>
      <c r="E863" s="18"/>
      <c r="F863" s="31"/>
    </row>
    <row r="864">
      <c r="C864" s="31"/>
      <c r="D864" s="31"/>
      <c r="E864" s="18"/>
      <c r="F864" s="31"/>
    </row>
    <row r="865">
      <c r="C865" s="31"/>
      <c r="D865" s="31"/>
      <c r="E865" s="18"/>
      <c r="F865" s="31"/>
    </row>
    <row r="866">
      <c r="C866" s="31"/>
      <c r="D866" s="31"/>
      <c r="E866" s="18"/>
      <c r="F866" s="31"/>
    </row>
    <row r="867">
      <c r="C867" s="31"/>
      <c r="D867" s="31"/>
      <c r="E867" s="18"/>
      <c r="F867" s="31"/>
    </row>
    <row r="868">
      <c r="C868" s="31"/>
      <c r="D868" s="31"/>
      <c r="E868" s="18"/>
      <c r="F868" s="31"/>
    </row>
    <row r="869">
      <c r="C869" s="31"/>
      <c r="D869" s="31"/>
      <c r="E869" s="18"/>
      <c r="F869" s="31"/>
    </row>
    <row r="870">
      <c r="C870" s="31"/>
      <c r="D870" s="31"/>
      <c r="E870" s="18"/>
      <c r="F870" s="31"/>
    </row>
    <row r="871">
      <c r="C871" s="31"/>
      <c r="D871" s="31"/>
      <c r="E871" s="18"/>
      <c r="F871" s="31"/>
    </row>
    <row r="872">
      <c r="C872" s="31"/>
      <c r="D872" s="31"/>
      <c r="E872" s="18"/>
      <c r="F872" s="31"/>
    </row>
    <row r="873">
      <c r="C873" s="31"/>
      <c r="D873" s="31"/>
      <c r="E873" s="18"/>
      <c r="F873" s="31"/>
    </row>
    <row r="874">
      <c r="C874" s="31"/>
      <c r="D874" s="31"/>
      <c r="E874" s="18"/>
      <c r="F874" s="31"/>
    </row>
    <row r="875">
      <c r="C875" s="31"/>
      <c r="D875" s="31"/>
      <c r="E875" s="18"/>
      <c r="F875" s="31"/>
    </row>
    <row r="876">
      <c r="C876" s="31"/>
      <c r="D876" s="31"/>
      <c r="E876" s="18"/>
      <c r="F876" s="31"/>
    </row>
    <row r="877">
      <c r="C877" s="31"/>
      <c r="D877" s="31"/>
      <c r="E877" s="18"/>
      <c r="F877" s="31"/>
    </row>
    <row r="878">
      <c r="C878" s="31"/>
      <c r="D878" s="31"/>
      <c r="E878" s="18"/>
      <c r="F878" s="31"/>
    </row>
    <row r="879">
      <c r="C879" s="31"/>
      <c r="D879" s="31"/>
      <c r="E879" s="18"/>
      <c r="F879" s="31"/>
    </row>
    <row r="880">
      <c r="C880" s="31"/>
      <c r="D880" s="31"/>
      <c r="E880" s="18"/>
      <c r="F880" s="31"/>
    </row>
    <row r="881">
      <c r="C881" s="31"/>
      <c r="D881" s="31"/>
      <c r="E881" s="18"/>
      <c r="F881" s="31"/>
    </row>
    <row r="882">
      <c r="C882" s="31"/>
      <c r="D882" s="31"/>
      <c r="E882" s="18"/>
      <c r="F882" s="31"/>
    </row>
    <row r="883">
      <c r="C883" s="31"/>
      <c r="D883" s="31"/>
      <c r="E883" s="18"/>
      <c r="F883" s="31"/>
    </row>
    <row r="884">
      <c r="C884" s="31"/>
      <c r="D884" s="31"/>
      <c r="E884" s="18"/>
      <c r="F884" s="31"/>
    </row>
    <row r="885">
      <c r="C885" s="31"/>
      <c r="D885" s="31"/>
      <c r="E885" s="18"/>
      <c r="F885" s="31"/>
    </row>
    <row r="886">
      <c r="C886" s="31"/>
      <c r="D886" s="31"/>
      <c r="E886" s="18"/>
      <c r="F886" s="31"/>
    </row>
    <row r="887">
      <c r="C887" s="31"/>
      <c r="D887" s="31"/>
      <c r="E887" s="18"/>
      <c r="F887" s="31"/>
    </row>
    <row r="888">
      <c r="C888" s="31"/>
      <c r="D888" s="31"/>
      <c r="E888" s="18"/>
      <c r="F888" s="31"/>
    </row>
    <row r="889">
      <c r="C889" s="31"/>
      <c r="D889" s="31"/>
      <c r="E889" s="18"/>
      <c r="F889" s="31"/>
    </row>
    <row r="890">
      <c r="C890" s="31"/>
      <c r="D890" s="31"/>
      <c r="E890" s="18"/>
      <c r="F890" s="31"/>
    </row>
    <row r="891">
      <c r="C891" s="31"/>
      <c r="D891" s="31"/>
      <c r="E891" s="18"/>
      <c r="F891" s="31"/>
    </row>
    <row r="892">
      <c r="C892" s="31"/>
      <c r="D892" s="31"/>
      <c r="E892" s="18"/>
      <c r="F892" s="31"/>
    </row>
    <row r="893">
      <c r="C893" s="31"/>
      <c r="D893" s="31"/>
      <c r="E893" s="18"/>
      <c r="F893" s="31"/>
    </row>
    <row r="894">
      <c r="C894" s="31"/>
      <c r="D894" s="31"/>
      <c r="E894" s="18"/>
      <c r="F894" s="31"/>
    </row>
    <row r="895">
      <c r="C895" s="31"/>
      <c r="D895" s="31"/>
      <c r="E895" s="18"/>
      <c r="F895" s="31"/>
    </row>
    <row r="896">
      <c r="C896" s="31"/>
      <c r="D896" s="31"/>
      <c r="E896" s="18"/>
      <c r="F896" s="31"/>
    </row>
    <row r="897">
      <c r="C897" s="31"/>
      <c r="D897" s="31"/>
      <c r="E897" s="18"/>
      <c r="F897" s="31"/>
    </row>
    <row r="898">
      <c r="C898" s="31"/>
      <c r="D898" s="31"/>
      <c r="E898" s="18"/>
      <c r="F898" s="31"/>
    </row>
    <row r="899">
      <c r="C899" s="31"/>
      <c r="D899" s="31"/>
      <c r="E899" s="18"/>
      <c r="F899" s="31"/>
    </row>
    <row r="900">
      <c r="C900" s="31"/>
      <c r="D900" s="31"/>
      <c r="E900" s="18"/>
      <c r="F900" s="31"/>
    </row>
    <row r="901">
      <c r="C901" s="31"/>
      <c r="D901" s="31"/>
      <c r="E901" s="18"/>
      <c r="F901" s="31"/>
    </row>
    <row r="902">
      <c r="C902" s="31"/>
      <c r="D902" s="31"/>
      <c r="E902" s="18"/>
      <c r="F902" s="31"/>
    </row>
    <row r="903">
      <c r="C903" s="31"/>
      <c r="D903" s="31"/>
      <c r="E903" s="18"/>
      <c r="F903" s="31"/>
    </row>
    <row r="904">
      <c r="C904" s="31"/>
      <c r="D904" s="31"/>
      <c r="E904" s="18"/>
      <c r="F904" s="31"/>
    </row>
    <row r="905">
      <c r="C905" s="31"/>
      <c r="D905" s="31"/>
      <c r="E905" s="18"/>
      <c r="F905" s="31"/>
    </row>
    <row r="906">
      <c r="C906" s="31"/>
      <c r="D906" s="31"/>
      <c r="E906" s="18"/>
      <c r="F906" s="31"/>
    </row>
    <row r="907">
      <c r="C907" s="31"/>
      <c r="D907" s="31"/>
      <c r="E907" s="18"/>
      <c r="F907" s="31"/>
    </row>
    <row r="908">
      <c r="C908" s="31"/>
      <c r="D908" s="31"/>
      <c r="E908" s="18"/>
      <c r="F908" s="31"/>
    </row>
    <row r="909">
      <c r="C909" s="31"/>
      <c r="D909" s="31"/>
      <c r="E909" s="18"/>
      <c r="F909" s="31"/>
    </row>
    <row r="910">
      <c r="C910" s="31"/>
      <c r="D910" s="31"/>
      <c r="E910" s="18"/>
      <c r="F910" s="31"/>
    </row>
    <row r="911">
      <c r="C911" s="31"/>
      <c r="D911" s="31"/>
      <c r="E911" s="18"/>
      <c r="F911" s="31"/>
    </row>
    <row r="912">
      <c r="C912" s="31"/>
      <c r="D912" s="31"/>
      <c r="E912" s="18"/>
      <c r="F912" s="31"/>
    </row>
    <row r="913">
      <c r="C913" s="31"/>
      <c r="D913" s="31"/>
      <c r="E913" s="18"/>
      <c r="F913" s="31"/>
    </row>
    <row r="914">
      <c r="C914" s="31"/>
      <c r="D914" s="31"/>
      <c r="E914" s="18"/>
      <c r="F914" s="31"/>
    </row>
    <row r="915">
      <c r="C915" s="31"/>
      <c r="D915" s="31"/>
      <c r="E915" s="18"/>
      <c r="F915" s="31"/>
    </row>
    <row r="916">
      <c r="C916" s="31"/>
      <c r="D916" s="31"/>
      <c r="E916" s="18"/>
      <c r="F916" s="31"/>
    </row>
    <row r="917">
      <c r="C917" s="31"/>
      <c r="D917" s="31"/>
      <c r="E917" s="18"/>
      <c r="F917" s="31"/>
    </row>
    <row r="918">
      <c r="C918" s="31"/>
      <c r="D918" s="31"/>
      <c r="E918" s="18"/>
      <c r="F918" s="31"/>
    </row>
    <row r="919">
      <c r="C919" s="31"/>
      <c r="D919" s="31"/>
      <c r="E919" s="18"/>
      <c r="F919" s="31"/>
    </row>
    <row r="920">
      <c r="C920" s="31"/>
      <c r="D920" s="31"/>
      <c r="E920" s="18"/>
      <c r="F920" s="31"/>
    </row>
    <row r="921">
      <c r="C921" s="31"/>
      <c r="D921" s="31"/>
      <c r="E921" s="18"/>
      <c r="F921" s="31"/>
    </row>
    <row r="922">
      <c r="C922" s="31"/>
      <c r="D922" s="31"/>
      <c r="E922" s="18"/>
      <c r="F922" s="31"/>
    </row>
    <row r="923">
      <c r="C923" s="31"/>
      <c r="D923" s="31"/>
      <c r="E923" s="18"/>
      <c r="F923" s="31"/>
    </row>
    <row r="924">
      <c r="C924" s="31"/>
      <c r="D924" s="31"/>
      <c r="E924" s="18"/>
      <c r="F924" s="31"/>
    </row>
    <row r="925">
      <c r="C925" s="31"/>
      <c r="D925" s="31"/>
      <c r="E925" s="18"/>
      <c r="F925" s="31"/>
    </row>
    <row r="926">
      <c r="C926" s="31"/>
      <c r="D926" s="31"/>
      <c r="E926" s="18"/>
      <c r="F926" s="31"/>
    </row>
    <row r="927">
      <c r="C927" s="31"/>
      <c r="D927" s="31"/>
      <c r="E927" s="18"/>
      <c r="F927" s="31"/>
    </row>
    <row r="928">
      <c r="C928" s="31"/>
      <c r="D928" s="31"/>
      <c r="E928" s="18"/>
      <c r="F928" s="31"/>
    </row>
    <row r="929">
      <c r="C929" s="31"/>
      <c r="D929" s="31"/>
      <c r="E929" s="18"/>
      <c r="F929" s="31"/>
    </row>
    <row r="930">
      <c r="C930" s="31"/>
      <c r="D930" s="31"/>
      <c r="E930" s="18"/>
      <c r="F930" s="31"/>
    </row>
    <row r="931">
      <c r="C931" s="31"/>
      <c r="D931" s="31"/>
      <c r="E931" s="18"/>
      <c r="F931" s="31"/>
    </row>
    <row r="932">
      <c r="C932" s="31"/>
      <c r="D932" s="31"/>
      <c r="E932" s="18"/>
      <c r="F932" s="31"/>
    </row>
    <row r="933">
      <c r="C933" s="31"/>
      <c r="D933" s="31"/>
      <c r="E933" s="18"/>
      <c r="F933" s="31"/>
    </row>
    <row r="934">
      <c r="C934" s="31"/>
      <c r="D934" s="31"/>
      <c r="E934" s="18"/>
      <c r="F934" s="31"/>
    </row>
    <row r="935">
      <c r="C935" s="31"/>
      <c r="D935" s="31"/>
      <c r="E935" s="18"/>
      <c r="F935" s="31"/>
    </row>
    <row r="936">
      <c r="C936" s="31"/>
      <c r="D936" s="31"/>
      <c r="E936" s="18"/>
      <c r="F936" s="31"/>
    </row>
    <row r="937">
      <c r="C937" s="31"/>
      <c r="D937" s="31"/>
      <c r="E937" s="18"/>
      <c r="F937" s="31"/>
    </row>
    <row r="938">
      <c r="C938" s="31"/>
      <c r="D938" s="31"/>
      <c r="E938" s="18"/>
      <c r="F938" s="31"/>
    </row>
    <row r="939">
      <c r="C939" s="31"/>
      <c r="D939" s="31"/>
      <c r="E939" s="18"/>
      <c r="F939" s="31"/>
    </row>
    <row r="940">
      <c r="C940" s="31"/>
      <c r="D940" s="31"/>
      <c r="E940" s="18"/>
      <c r="F940" s="31"/>
    </row>
    <row r="941">
      <c r="C941" s="31"/>
      <c r="D941" s="31"/>
      <c r="E941" s="18"/>
      <c r="F941" s="31"/>
    </row>
    <row r="942">
      <c r="C942" s="31"/>
      <c r="D942" s="31"/>
      <c r="E942" s="18"/>
      <c r="F942" s="31"/>
    </row>
    <row r="943">
      <c r="C943" s="31"/>
      <c r="D943" s="31"/>
      <c r="E943" s="18"/>
      <c r="F943" s="31"/>
    </row>
    <row r="944">
      <c r="C944" s="31"/>
      <c r="D944" s="31"/>
      <c r="E944" s="18"/>
      <c r="F944" s="31"/>
    </row>
    <row r="945">
      <c r="C945" s="31"/>
      <c r="D945" s="31"/>
      <c r="E945" s="18"/>
      <c r="F945" s="31"/>
    </row>
    <row r="946">
      <c r="C946" s="31"/>
      <c r="D946" s="31"/>
      <c r="E946" s="18"/>
      <c r="F946" s="31"/>
    </row>
    <row r="947">
      <c r="C947" s="31"/>
      <c r="D947" s="31"/>
      <c r="E947" s="18"/>
      <c r="F947" s="31"/>
    </row>
    <row r="948">
      <c r="C948" s="31"/>
      <c r="D948" s="31"/>
      <c r="E948" s="18"/>
      <c r="F948" s="31"/>
    </row>
    <row r="949">
      <c r="C949" s="31"/>
      <c r="D949" s="31"/>
      <c r="E949" s="18"/>
      <c r="F949" s="31"/>
    </row>
    <row r="950">
      <c r="C950" s="31"/>
      <c r="D950" s="31"/>
      <c r="E950" s="18"/>
      <c r="F950" s="31"/>
    </row>
    <row r="951">
      <c r="C951" s="31"/>
      <c r="D951" s="31"/>
      <c r="E951" s="18"/>
      <c r="F951" s="31"/>
    </row>
    <row r="952">
      <c r="C952" s="31"/>
      <c r="D952" s="31"/>
      <c r="E952" s="18"/>
      <c r="F952" s="31"/>
    </row>
    <row r="953">
      <c r="C953" s="31"/>
      <c r="D953" s="31"/>
      <c r="E953" s="18"/>
      <c r="F953" s="31"/>
    </row>
    <row r="954">
      <c r="C954" s="31"/>
      <c r="D954" s="31"/>
      <c r="E954" s="18"/>
      <c r="F954" s="31"/>
    </row>
    <row r="955">
      <c r="C955" s="31"/>
      <c r="D955" s="31"/>
      <c r="E955" s="18"/>
      <c r="F955" s="31"/>
    </row>
    <row r="956">
      <c r="C956" s="31"/>
      <c r="D956" s="31"/>
      <c r="E956" s="18"/>
      <c r="F956" s="31"/>
    </row>
    <row r="957">
      <c r="C957" s="31"/>
      <c r="D957" s="31"/>
      <c r="E957" s="18"/>
      <c r="F957" s="31"/>
    </row>
    <row r="958">
      <c r="C958" s="31"/>
      <c r="D958" s="31"/>
      <c r="E958" s="18"/>
      <c r="F958" s="31"/>
    </row>
    <row r="959">
      <c r="C959" s="31"/>
      <c r="D959" s="31"/>
      <c r="E959" s="18"/>
      <c r="F959" s="31"/>
    </row>
    <row r="960">
      <c r="C960" s="31"/>
      <c r="D960" s="31"/>
      <c r="E960" s="18"/>
      <c r="F960" s="31"/>
    </row>
    <row r="961">
      <c r="C961" s="31"/>
      <c r="D961" s="31"/>
      <c r="E961" s="18"/>
      <c r="F961" s="31"/>
    </row>
    <row r="962">
      <c r="C962" s="31"/>
      <c r="D962" s="31"/>
      <c r="E962" s="18"/>
      <c r="F962" s="31"/>
    </row>
    <row r="963">
      <c r="C963" s="31"/>
      <c r="D963" s="31"/>
      <c r="E963" s="18"/>
      <c r="F963" s="31"/>
    </row>
    <row r="964">
      <c r="C964" s="31"/>
      <c r="D964" s="31"/>
      <c r="E964" s="18"/>
      <c r="F964" s="31"/>
    </row>
    <row r="965">
      <c r="C965" s="31"/>
      <c r="D965" s="31"/>
      <c r="E965" s="18"/>
      <c r="F965" s="31"/>
    </row>
    <row r="966">
      <c r="C966" s="31"/>
      <c r="D966" s="31"/>
      <c r="E966" s="18"/>
      <c r="F966" s="31"/>
    </row>
    <row r="967">
      <c r="C967" s="31"/>
      <c r="D967" s="31"/>
      <c r="E967" s="18"/>
      <c r="F967" s="31"/>
    </row>
    <row r="968">
      <c r="C968" s="31"/>
      <c r="D968" s="31"/>
      <c r="E968" s="18"/>
      <c r="F968" s="31"/>
    </row>
    <row r="969">
      <c r="C969" s="31"/>
      <c r="D969" s="31"/>
      <c r="E969" s="18"/>
      <c r="F969" s="31"/>
    </row>
    <row r="970">
      <c r="C970" s="31"/>
      <c r="D970" s="31"/>
      <c r="E970" s="18"/>
      <c r="F970" s="31"/>
    </row>
    <row r="971">
      <c r="C971" s="31"/>
      <c r="D971" s="31"/>
      <c r="E971" s="18"/>
      <c r="F971" s="31"/>
    </row>
    <row r="972">
      <c r="C972" s="31"/>
      <c r="D972" s="31"/>
      <c r="E972" s="18"/>
      <c r="F972" s="31"/>
    </row>
    <row r="973">
      <c r="C973" s="31"/>
      <c r="D973" s="31"/>
      <c r="E973" s="18"/>
      <c r="F973" s="31"/>
    </row>
    <row r="974">
      <c r="C974" s="31"/>
      <c r="D974" s="31"/>
      <c r="E974" s="18"/>
      <c r="F974" s="31"/>
    </row>
    <row r="975">
      <c r="C975" s="31"/>
      <c r="D975" s="31"/>
      <c r="E975" s="18"/>
      <c r="F975" s="31"/>
    </row>
    <row r="976">
      <c r="C976" s="31"/>
      <c r="D976" s="31"/>
      <c r="E976" s="18"/>
      <c r="F976" s="31"/>
    </row>
    <row r="977">
      <c r="C977" s="31"/>
      <c r="D977" s="31"/>
      <c r="E977" s="18"/>
      <c r="F977" s="31"/>
    </row>
    <row r="978">
      <c r="C978" s="31"/>
      <c r="D978" s="31"/>
      <c r="E978" s="18"/>
      <c r="F978" s="31"/>
    </row>
    <row r="979">
      <c r="C979" s="31"/>
      <c r="D979" s="31"/>
      <c r="E979" s="18"/>
      <c r="F979" s="31"/>
    </row>
    <row r="980">
      <c r="C980" s="31"/>
      <c r="D980" s="31"/>
      <c r="E980" s="18"/>
      <c r="F980" s="31"/>
    </row>
    <row r="981">
      <c r="C981" s="31"/>
      <c r="D981" s="31"/>
      <c r="E981" s="18"/>
      <c r="F981" s="31"/>
    </row>
    <row r="982">
      <c r="C982" s="31"/>
      <c r="D982" s="31"/>
      <c r="E982" s="18"/>
      <c r="F982" s="31"/>
    </row>
    <row r="983">
      <c r="C983" s="31"/>
      <c r="D983" s="31"/>
      <c r="E983" s="18"/>
      <c r="F983" s="31"/>
    </row>
    <row r="984">
      <c r="C984" s="31"/>
      <c r="D984" s="31"/>
      <c r="E984" s="18"/>
      <c r="F984" s="31"/>
    </row>
    <row r="985">
      <c r="C985" s="31"/>
      <c r="D985" s="31"/>
      <c r="E985" s="18"/>
      <c r="F985" s="31"/>
    </row>
    <row r="986">
      <c r="C986" s="31"/>
      <c r="D986" s="31"/>
      <c r="E986" s="18"/>
      <c r="F986" s="31"/>
    </row>
    <row r="987">
      <c r="C987" s="31"/>
      <c r="D987" s="31"/>
      <c r="E987" s="18"/>
      <c r="F987" s="31"/>
    </row>
    <row r="988">
      <c r="C988" s="31"/>
      <c r="D988" s="31"/>
      <c r="E988" s="18"/>
      <c r="F988" s="31"/>
    </row>
    <row r="989">
      <c r="C989" s="31"/>
      <c r="D989" s="31"/>
      <c r="E989" s="18"/>
      <c r="F989" s="31"/>
    </row>
    <row r="990">
      <c r="C990" s="31"/>
      <c r="D990" s="31"/>
      <c r="E990" s="18"/>
      <c r="F990" s="31"/>
    </row>
    <row r="991">
      <c r="C991" s="31"/>
      <c r="D991" s="31"/>
      <c r="E991" s="18"/>
      <c r="F991" s="31"/>
    </row>
    <row r="992">
      <c r="C992" s="31"/>
      <c r="D992" s="31"/>
      <c r="E992" s="18"/>
      <c r="F992" s="31"/>
    </row>
    <row r="993">
      <c r="C993" s="31"/>
      <c r="D993" s="31"/>
      <c r="E993" s="18"/>
      <c r="F993" s="31"/>
    </row>
    <row r="994">
      <c r="C994" s="31"/>
      <c r="D994" s="31"/>
      <c r="E994" s="18"/>
      <c r="F994" s="31"/>
    </row>
    <row r="995">
      <c r="C995" s="31"/>
      <c r="D995" s="31"/>
      <c r="E995" s="18"/>
      <c r="F995" s="31"/>
    </row>
    <row r="996">
      <c r="C996" s="31"/>
      <c r="D996" s="31"/>
      <c r="E996" s="18"/>
      <c r="F996" s="31"/>
    </row>
    <row r="997">
      <c r="C997" s="31"/>
      <c r="D997" s="31"/>
      <c r="E997" s="18"/>
      <c r="F997" s="31"/>
    </row>
    <row r="998">
      <c r="C998" s="31"/>
      <c r="D998" s="31"/>
      <c r="E998" s="18"/>
      <c r="F998" s="31"/>
    </row>
    <row r="999">
      <c r="C999" s="31"/>
      <c r="D999" s="31"/>
      <c r="E999" s="18"/>
      <c r="F999" s="31"/>
    </row>
    <row r="1000">
      <c r="C1000" s="31"/>
      <c r="D1000" s="31"/>
      <c r="E1000" s="18"/>
      <c r="F1000" s="31"/>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2.63"/>
    <col customWidth="1" min="2" max="2" width="17.25"/>
    <col customWidth="1" min="3" max="3" width="15.0"/>
    <col customWidth="1" min="4" max="4" width="12.0"/>
    <col customWidth="1" min="5" max="5" width="108.13"/>
  </cols>
  <sheetData>
    <row r="1">
      <c r="C1" s="45" t="s">
        <v>2280</v>
      </c>
      <c r="D1" s="45" t="s">
        <v>1489</v>
      </c>
      <c r="E1" s="45" t="s">
        <v>2281</v>
      </c>
    </row>
    <row r="2">
      <c r="C2" s="17">
        <f>countif(ClusterJumps, A2)</f>
        <v>1</v>
      </c>
      <c r="D2" s="11" t="str">
        <f>If(Countif(ExcludedJumps, A2) &gt; 0, "Excluded", "Allowed")</f>
        <v>Allowed</v>
      </c>
      <c r="E2" s="46" t="s">
        <v>2282</v>
      </c>
    </row>
    <row r="3">
      <c r="C3" s="17">
        <f>countif(ClusterJumps, A3)</f>
        <v>0</v>
      </c>
      <c r="D3" s="11" t="str">
        <f>If(Countif(ExcludedJumps, A3) &gt; 0, "Excluded", "Allowed")</f>
        <v>Allowed</v>
      </c>
      <c r="E3" s="46" t="s">
        <v>436</v>
      </c>
    </row>
    <row r="4">
      <c r="C4" s="17">
        <f>countif(ClusterJumps, A4)</f>
        <v>0</v>
      </c>
      <c r="D4" s="11" t="str">
        <f>If(Countif(ExcludedJumps, A4) &gt; 0, "Excluded", "Allowed")</f>
        <v>Allowed</v>
      </c>
      <c r="E4" s="46" t="s">
        <v>2283</v>
      </c>
    </row>
    <row r="5">
      <c r="C5" s="17">
        <f>countif(ClusterJumps, A5)</f>
        <v>0</v>
      </c>
      <c r="D5" s="11" t="str">
        <f>If(Countif(ExcludedJumps, A5) &gt; 0, "Excluded", "Allowed")</f>
        <v>Allowed</v>
      </c>
      <c r="E5" s="46" t="s">
        <v>600</v>
      </c>
    </row>
    <row r="6">
      <c r="C6" s="17">
        <f>countif(ClusterJumps, A6)</f>
        <v>0</v>
      </c>
      <c r="D6" s="11" t="str">
        <f>If(Countif(ExcludedJumps, A6) &gt; 0, "Excluded", "Allowed")</f>
        <v>Allowed</v>
      </c>
      <c r="E6" s="46" t="s">
        <v>584</v>
      </c>
    </row>
    <row r="7">
      <c r="C7" s="17">
        <f>countif(ClusterJumps, A7)</f>
        <v>0</v>
      </c>
      <c r="D7" s="11" t="str">
        <f>If(Countif(ExcludedJumps, A7) &gt; 0, "Excluded", "Allowed")</f>
        <v>Excluded</v>
      </c>
      <c r="E7" s="46" t="s">
        <v>1968</v>
      </c>
    </row>
    <row r="8">
      <c r="C8" s="17">
        <f>countif(ClusterJumps, A8)</f>
        <v>0</v>
      </c>
      <c r="D8" s="11" t="str">
        <f>If(Countif(ExcludedJumps, A8) &gt; 0, "Excluded", "Allowed")</f>
        <v>Allowed</v>
      </c>
      <c r="E8" s="46" t="s">
        <v>2284</v>
      </c>
    </row>
    <row r="9">
      <c r="C9" s="17">
        <f>countif(ClusterJumps, A9)</f>
        <v>0</v>
      </c>
      <c r="D9" s="11" t="str">
        <f>If(Countif(ExcludedJumps, A9) &gt; 0, "Excluded", "Allowed")</f>
        <v>Allowed</v>
      </c>
      <c r="E9" s="46" t="s">
        <v>2285</v>
      </c>
    </row>
    <row r="10">
      <c r="C10" s="17">
        <f>countif(ClusterJumps, A10)</f>
        <v>0</v>
      </c>
      <c r="D10" s="11" t="str">
        <f>If(Countif(ExcludedJumps, A10) &gt; 0, "Excluded", "Allowed")</f>
        <v>Excluded</v>
      </c>
      <c r="E10" s="46" t="s">
        <v>2286</v>
      </c>
    </row>
    <row r="11">
      <c r="C11" s="17">
        <f>countif(ClusterJumps, A11)</f>
        <v>0</v>
      </c>
      <c r="D11" s="11" t="str">
        <f>If(Countif(ExcludedJumps, A11) &gt; 0, "Excluded", "Allowed")</f>
        <v>Excluded</v>
      </c>
      <c r="E11" s="46" t="s">
        <v>2287</v>
      </c>
    </row>
    <row r="12">
      <c r="C12" s="17">
        <f>countif(ClusterJumps, A12)</f>
        <v>0</v>
      </c>
      <c r="D12" s="11" t="str">
        <f>If(Countif(ExcludedJumps, A12) &gt; 0, "Excluded", "Allowed")</f>
        <v>Excluded</v>
      </c>
      <c r="E12" s="46" t="s">
        <v>2288</v>
      </c>
    </row>
    <row r="13">
      <c r="C13" s="17">
        <f>countif(ClusterJumps, A13)</f>
        <v>0</v>
      </c>
      <c r="D13" s="11" t="str">
        <f>If(Countif(ExcludedJumps, A13) &gt; 0, "Excluded", "Allowed")</f>
        <v>Allowed</v>
      </c>
      <c r="E13" s="46" t="s">
        <v>2289</v>
      </c>
    </row>
    <row r="14">
      <c r="C14" s="17">
        <f>countif(ClusterJumps, A14)</f>
        <v>0</v>
      </c>
      <c r="D14" s="11" t="str">
        <f>If(Countif(ExcludedJumps, A14) &gt; 0, "Excluded", "Allowed")</f>
        <v>Excluded</v>
      </c>
      <c r="E14" s="46" t="s">
        <v>2290</v>
      </c>
    </row>
    <row r="15">
      <c r="C15" s="17">
        <f>countif(ClusterJumps, A15)</f>
        <v>0</v>
      </c>
      <c r="D15" s="11" t="str">
        <f>If(Countif(ExcludedJumps, A15) &gt; 0, "Excluded", "Allowed")</f>
        <v>Allowed</v>
      </c>
      <c r="E15" s="46" t="s">
        <v>2291</v>
      </c>
    </row>
    <row r="16">
      <c r="C16" s="17">
        <f>countif(ClusterJumps, A16)</f>
        <v>0</v>
      </c>
      <c r="D16" s="11" t="str">
        <f>If(Countif(ExcludedJumps, A16) &gt; 0, "Excluded", "Allowed")</f>
        <v>Allowed</v>
      </c>
      <c r="E16" s="46" t="s">
        <v>2292</v>
      </c>
    </row>
    <row r="17">
      <c r="C17" s="17">
        <f>countif(ClusterJumps, A17)</f>
        <v>0</v>
      </c>
      <c r="D17" s="11" t="str">
        <f>If(Countif(ExcludedJumps, A17) &gt; 0, "Excluded", "Allowed")</f>
        <v>Excluded</v>
      </c>
      <c r="E17" s="46" t="s">
        <v>2293</v>
      </c>
    </row>
    <row r="18">
      <c r="C18" s="17">
        <f>countif(ClusterJumps, A18)</f>
        <v>0</v>
      </c>
      <c r="D18" s="11" t="str">
        <f>If(Countif(ExcludedJumps, A18) &gt; 0, "Excluded", "Allowed")</f>
        <v>Excluded</v>
      </c>
      <c r="E18" s="46" t="s">
        <v>2294</v>
      </c>
    </row>
    <row r="19">
      <c r="C19" s="17">
        <f>countif(ClusterJumps, A19)</f>
        <v>0</v>
      </c>
      <c r="D19" s="11" t="str">
        <f>If(Countif(ExcludedJumps, A19) &gt; 0, "Excluded", "Allowed")</f>
        <v>Allowed</v>
      </c>
      <c r="E19" s="46" t="s">
        <v>2295</v>
      </c>
    </row>
    <row r="20">
      <c r="C20" s="17">
        <f>countif(ClusterJumps, A20)</f>
        <v>1</v>
      </c>
      <c r="D20" s="11" t="str">
        <f>If(Countif(ExcludedJumps, A20) &gt; 0, "Excluded", "Allowed")</f>
        <v>Allowed</v>
      </c>
      <c r="E20" s="46" t="s">
        <v>2296</v>
      </c>
    </row>
    <row r="21">
      <c r="C21" s="17">
        <f>countif(ClusterJumps, A21)</f>
        <v>0</v>
      </c>
      <c r="D21" s="11" t="str">
        <f>If(Countif(ExcludedJumps, A21) &gt; 0, "Excluded", "Allowed")</f>
        <v>Allowed</v>
      </c>
      <c r="E21" s="46" t="s">
        <v>562</v>
      </c>
    </row>
    <row r="22">
      <c r="C22" s="17">
        <f>countif(ClusterJumps, A22)</f>
        <v>0</v>
      </c>
      <c r="D22" s="11" t="str">
        <f>If(Countif(ExcludedJumps, A22) &gt; 0, "Excluded", "Allowed")</f>
        <v>Allowed</v>
      </c>
      <c r="E22" s="46" t="s">
        <v>664</v>
      </c>
    </row>
    <row r="23">
      <c r="C23" s="17">
        <f>countif(ClusterJumps, A23)</f>
        <v>0</v>
      </c>
      <c r="D23" s="11" t="str">
        <f>If(Countif(ExcludedJumps, A23) &gt; 0, "Excluded", "Allowed")</f>
        <v>Allowed</v>
      </c>
      <c r="E23" s="46" t="s">
        <v>2297</v>
      </c>
    </row>
    <row r="24">
      <c r="C24" s="17">
        <f>countif(ClusterJumps, A24)</f>
        <v>0</v>
      </c>
      <c r="D24" s="11" t="str">
        <f>If(Countif(ExcludedJumps, A24) &gt; 0, "Excluded", "Allowed")</f>
        <v>Allowed</v>
      </c>
      <c r="E24" s="46" t="s">
        <v>1166</v>
      </c>
    </row>
    <row r="25">
      <c r="C25" s="17">
        <f>countif(ClusterJumps, A25)</f>
        <v>0</v>
      </c>
      <c r="D25" s="11" t="str">
        <f>If(Countif(ExcludedJumps, A25) &gt; 0, "Excluded", "Allowed")</f>
        <v>Excluded</v>
      </c>
      <c r="E25" s="46" t="s">
        <v>2298</v>
      </c>
    </row>
    <row r="26">
      <c r="C26" s="17">
        <f>countif(ClusterJumps, A26)</f>
        <v>0</v>
      </c>
      <c r="D26" s="11" t="str">
        <f>If(Countif(ExcludedJumps, A26) &gt; 0, "Excluded", "Allowed")</f>
        <v>Allowed</v>
      </c>
      <c r="E26" s="46" t="s">
        <v>2299</v>
      </c>
    </row>
    <row r="27">
      <c r="C27" s="17">
        <f>countif(ClusterJumps, A27)</f>
        <v>0</v>
      </c>
      <c r="D27" s="11" t="str">
        <f>If(Countif(ExcludedJumps, A27) &gt; 0, "Excluded", "Allowed")</f>
        <v>Allowed</v>
      </c>
      <c r="E27" s="46" t="s">
        <v>2300</v>
      </c>
    </row>
    <row r="28">
      <c r="C28" s="17">
        <f>countif(ClusterJumps, A28)</f>
        <v>0</v>
      </c>
      <c r="D28" s="11" t="str">
        <f>If(Countif(ExcludedJumps, A28) &gt; 0, "Excluded", "Allowed")</f>
        <v>Allowed</v>
      </c>
      <c r="E28" s="46" t="s">
        <v>2301</v>
      </c>
    </row>
    <row r="29">
      <c r="C29" s="17">
        <f>countif(ClusterJumps, A29)</f>
        <v>0</v>
      </c>
      <c r="D29" s="11" t="str">
        <f>If(Countif(ExcludedJumps, A29) &gt; 0, "Excluded", "Allowed")</f>
        <v>Allowed</v>
      </c>
      <c r="E29" s="46" t="s">
        <v>2302</v>
      </c>
    </row>
    <row r="30">
      <c r="C30" s="17">
        <f>countif(ClusterJumps, A30)</f>
        <v>0</v>
      </c>
      <c r="D30" s="11" t="str">
        <f>If(Countif(ExcludedJumps, A30) &gt; 0, "Excluded", "Allowed")</f>
        <v>Allowed</v>
      </c>
      <c r="E30" s="46" t="s">
        <v>2303</v>
      </c>
    </row>
    <row r="31">
      <c r="C31" s="17">
        <f>countif(ClusterJumps, A31)</f>
        <v>1</v>
      </c>
      <c r="D31" s="11" t="str">
        <f>If(Countif(ExcludedJumps, A31) &gt; 0, "Excluded", "Allowed")</f>
        <v>Allowed</v>
      </c>
      <c r="E31" s="46" t="s">
        <v>2304</v>
      </c>
    </row>
    <row r="32">
      <c r="C32" s="17">
        <f>countif(ClusterJumps, A32)</f>
        <v>0</v>
      </c>
      <c r="D32" s="11" t="str">
        <f>If(Countif(ExcludedJumps, A32) &gt; 0, "Excluded", "Allowed")</f>
        <v>Allowed</v>
      </c>
      <c r="E32" s="46" t="s">
        <v>2305</v>
      </c>
    </row>
    <row r="33">
      <c r="C33" s="17">
        <f>countif(ClusterJumps, A33)</f>
        <v>0</v>
      </c>
      <c r="D33" s="11" t="str">
        <f>If(Countif(ExcludedJumps, A33) &gt; 0, "Excluded", "Allowed")</f>
        <v>Allowed</v>
      </c>
      <c r="E33" s="46" t="s">
        <v>2306</v>
      </c>
    </row>
    <row r="34">
      <c r="C34" s="17">
        <f>countif(ClusterJumps, A34)</f>
        <v>0</v>
      </c>
      <c r="D34" s="11" t="str">
        <f>If(Countif(ExcludedJumps, A34) &gt; 0, "Excluded", "Allowed")</f>
        <v>Allowed</v>
      </c>
      <c r="E34" s="46" t="s">
        <v>2307</v>
      </c>
    </row>
    <row r="35">
      <c r="C35" s="17">
        <f>countif(ClusterJumps, A35)</f>
        <v>1</v>
      </c>
      <c r="D35" s="11" t="str">
        <f>If(Countif(ExcludedJumps, A35) &gt; 0, "Excluded", "Allowed")</f>
        <v>Allowed</v>
      </c>
      <c r="E35" s="46" t="s">
        <v>2308</v>
      </c>
    </row>
    <row r="36">
      <c r="C36" s="17">
        <f>countif(ClusterJumps, A36)</f>
        <v>0</v>
      </c>
      <c r="D36" s="11" t="str">
        <f>If(Countif(ExcludedJumps, A36) &gt; 0, "Excluded", "Allowed")</f>
        <v>Excluded</v>
      </c>
      <c r="E36" s="46" t="s">
        <v>2309</v>
      </c>
    </row>
    <row r="37">
      <c r="C37" s="17">
        <f>countif(ClusterJumps, A37)</f>
        <v>0</v>
      </c>
      <c r="D37" s="11" t="str">
        <f>If(Countif(ExcludedJumps, A37) &gt; 0, "Excluded", "Allowed")</f>
        <v>Allowed</v>
      </c>
      <c r="E37" s="46" t="s">
        <v>2310</v>
      </c>
    </row>
    <row r="38">
      <c r="C38" s="17">
        <f>countif(ClusterJumps, A38)</f>
        <v>0</v>
      </c>
      <c r="D38" s="11" t="str">
        <f>If(Countif(ExcludedJumps, A38) &gt; 0, "Excluded", "Allowed")</f>
        <v>Excluded</v>
      </c>
      <c r="E38" s="46" t="s">
        <v>2311</v>
      </c>
    </row>
    <row r="39">
      <c r="C39" s="17">
        <f>countif(ClusterJumps, A39)</f>
        <v>0</v>
      </c>
      <c r="D39" s="11" t="str">
        <f>If(Countif(ExcludedJumps, A39) &gt; 0, "Excluded", "Allowed")</f>
        <v>Excluded</v>
      </c>
      <c r="E39" s="46" t="s">
        <v>2312</v>
      </c>
    </row>
    <row r="40">
      <c r="C40" s="17">
        <f>countif(ClusterJumps, A40)</f>
        <v>0</v>
      </c>
      <c r="D40" s="11" t="str">
        <f>If(Countif(ExcludedJumps, A40) &gt; 0, "Excluded", "Allowed")</f>
        <v>Excluded</v>
      </c>
      <c r="E40" s="46" t="s">
        <v>2313</v>
      </c>
    </row>
    <row r="41">
      <c r="C41" s="17">
        <f>countif(ClusterJumps, A41)</f>
        <v>0</v>
      </c>
      <c r="D41" s="11" t="str">
        <f>If(Countif(ExcludedJumps, A41) &gt; 0, "Excluded", "Allowed")</f>
        <v>Excluded</v>
      </c>
      <c r="E41" s="46" t="s">
        <v>2314</v>
      </c>
    </row>
    <row r="42">
      <c r="C42" s="17">
        <f>countif(ClusterJumps, A42)</f>
        <v>0</v>
      </c>
      <c r="D42" s="11" t="str">
        <f>If(Countif(ExcludedJumps, A42) &gt; 0, "Excluded", "Allowed")</f>
        <v>Excluded</v>
      </c>
      <c r="E42" s="46" t="s">
        <v>2315</v>
      </c>
    </row>
    <row r="43">
      <c r="C43" s="17">
        <f>countif(ClusterJumps, A43)</f>
        <v>0</v>
      </c>
      <c r="D43" s="11" t="str">
        <f>If(Countif(ExcludedJumps, A43) &gt; 0, "Excluded", "Allowed")</f>
        <v>Excluded</v>
      </c>
      <c r="E43" s="46" t="s">
        <v>2316</v>
      </c>
    </row>
    <row r="44">
      <c r="C44" s="17">
        <f>countif(ClusterJumps, A44)</f>
        <v>0</v>
      </c>
      <c r="D44" s="11" t="str">
        <f>If(Countif(ExcludedJumps, A44) &gt; 0, "Excluded", "Allowed")</f>
        <v>Excluded</v>
      </c>
      <c r="E44" s="46" t="s">
        <v>1987</v>
      </c>
    </row>
    <row r="45">
      <c r="C45" s="17">
        <f>countif(ClusterJumps, A45)</f>
        <v>0</v>
      </c>
      <c r="D45" s="11" t="str">
        <f>If(Countif(ExcludedJumps, A45) &gt; 0, "Excluded", "Allowed")</f>
        <v>Allowed</v>
      </c>
      <c r="E45" s="46" t="s">
        <v>2317</v>
      </c>
    </row>
    <row r="46">
      <c r="C46" s="17">
        <f>countif(ClusterJumps, A46)</f>
        <v>0</v>
      </c>
      <c r="D46" s="11" t="str">
        <f>If(Countif(ExcludedJumps, A46) &gt; 0, "Excluded", "Allowed")</f>
        <v>Excluded</v>
      </c>
      <c r="E46" s="46" t="s">
        <v>2318</v>
      </c>
    </row>
    <row r="47">
      <c r="C47" s="17">
        <f>countif(ClusterJumps, A47)</f>
        <v>0</v>
      </c>
      <c r="D47" s="11" t="str">
        <f>If(Countif(ExcludedJumps, A47) &gt; 0, "Excluded", "Allowed")</f>
        <v>Allowed</v>
      </c>
      <c r="E47" s="46" t="s">
        <v>2319</v>
      </c>
    </row>
    <row r="48">
      <c r="C48" s="17">
        <f>countif(ClusterJumps, A48)</f>
        <v>0</v>
      </c>
      <c r="D48" s="11" t="str">
        <f>If(Countif(ExcludedJumps, A48) &gt; 0, "Excluded", "Allowed")</f>
        <v>Excluded</v>
      </c>
      <c r="E48" s="46" t="s">
        <v>2320</v>
      </c>
    </row>
    <row r="49">
      <c r="C49" s="17">
        <f>countif(ClusterJumps, A49)</f>
        <v>0</v>
      </c>
      <c r="D49" s="11" t="str">
        <f>If(Countif(ExcludedJumps, A49) &gt; 0, "Excluded", "Allowed")</f>
        <v>Allowed</v>
      </c>
      <c r="E49" s="46" t="s">
        <v>2321</v>
      </c>
    </row>
    <row r="50">
      <c r="C50" s="17">
        <f>countif(ClusterJumps, A50)</f>
        <v>0</v>
      </c>
      <c r="D50" s="11" t="str">
        <f>If(Countif(ExcludedJumps, A50) &gt; 0, "Excluded", "Allowed")</f>
        <v>Excluded</v>
      </c>
      <c r="E50" s="46" t="s">
        <v>2322</v>
      </c>
    </row>
    <row r="51">
      <c r="C51" s="17">
        <f>countif(ClusterJumps, A51)</f>
        <v>0</v>
      </c>
      <c r="D51" s="11" t="str">
        <f>If(Countif(ExcludedJumps, A51) &gt; 0, "Excluded", "Allowed")</f>
        <v>Allowed</v>
      </c>
      <c r="E51" s="46" t="s">
        <v>2323</v>
      </c>
    </row>
    <row r="52">
      <c r="C52" s="17">
        <f>countif(ClusterJumps, A52)</f>
        <v>0</v>
      </c>
      <c r="D52" s="11" t="str">
        <f>If(Countif(ExcludedJumps, A52) &gt; 0, "Excluded", "Allowed")</f>
        <v>Excluded</v>
      </c>
      <c r="E52" s="46" t="s">
        <v>2324</v>
      </c>
    </row>
    <row r="53">
      <c r="C53" s="17">
        <f>countif(ClusterJumps, A53)</f>
        <v>0</v>
      </c>
      <c r="D53" s="11" t="str">
        <f>If(Countif(ExcludedJumps, A53) &gt; 0, "Excluded", "Allowed")</f>
        <v>Excluded</v>
      </c>
      <c r="E53" s="46" t="s">
        <v>2167</v>
      </c>
    </row>
    <row r="54">
      <c r="C54" s="17">
        <f>countif(ClusterJumps, A54)</f>
        <v>0</v>
      </c>
      <c r="D54" s="11" t="str">
        <f>If(Countif(ExcludedJumps, A54) &gt; 0, "Excluded", "Allowed")</f>
        <v>Excluded</v>
      </c>
      <c r="E54" s="46" t="s">
        <v>2325</v>
      </c>
    </row>
    <row r="55">
      <c r="C55" s="17">
        <f>countif(ClusterJumps, A55)</f>
        <v>0</v>
      </c>
      <c r="D55" s="11" t="str">
        <f>If(Countif(ExcludedJumps, A55) &gt; 0, "Excluded", "Allowed")</f>
        <v>Excluded</v>
      </c>
      <c r="E55" s="46" t="s">
        <v>2326</v>
      </c>
    </row>
    <row r="56">
      <c r="C56" s="17">
        <f>countif(ClusterJumps, A56)</f>
        <v>0</v>
      </c>
      <c r="D56" s="11" t="str">
        <f>If(Countif(ExcludedJumps, A56) &gt; 0, "Excluded", "Allowed")</f>
        <v>Allowed</v>
      </c>
      <c r="E56" s="46" t="s">
        <v>2327</v>
      </c>
    </row>
    <row r="57">
      <c r="C57" s="17">
        <f>countif(ClusterJumps, A57)</f>
        <v>0</v>
      </c>
      <c r="D57" s="11" t="str">
        <f>If(Countif(ExcludedJumps, A57) &gt; 0, "Excluded", "Allowed")</f>
        <v>Allowed</v>
      </c>
      <c r="E57" s="46" t="s">
        <v>717</v>
      </c>
    </row>
    <row r="58">
      <c r="C58" s="17">
        <f>countif(ClusterJumps, A58)</f>
        <v>0</v>
      </c>
      <c r="D58" s="11" t="str">
        <f>If(Countif(ExcludedJumps, A58) &gt; 0, "Excluded", "Allowed")</f>
        <v>Allowed</v>
      </c>
      <c r="E58" s="46" t="s">
        <v>2328</v>
      </c>
    </row>
    <row r="59">
      <c r="C59" s="17">
        <f>countif(ClusterJumps, A59)</f>
        <v>0</v>
      </c>
      <c r="D59" s="11" t="str">
        <f>If(Countif(ExcludedJumps, A59) &gt; 0, "Excluded", "Allowed")</f>
        <v>Allowed</v>
      </c>
      <c r="E59" s="46" t="s">
        <v>2329</v>
      </c>
    </row>
    <row r="60">
      <c r="C60" s="17">
        <f>countif(ClusterJumps, A60)</f>
        <v>1</v>
      </c>
      <c r="D60" s="11" t="str">
        <f>If(Countif(ExcludedJumps, A60) &gt; 0, "Excluded", "Allowed")</f>
        <v>Allowed</v>
      </c>
      <c r="E60" s="46" t="s">
        <v>2330</v>
      </c>
    </row>
    <row r="61">
      <c r="C61" s="17">
        <f>countif(ClusterJumps, A61)</f>
        <v>0</v>
      </c>
      <c r="D61" s="11" t="str">
        <f>If(Countif(ExcludedJumps, A61) &gt; 0, "Excluded", "Allowed")</f>
        <v>Allowed</v>
      </c>
      <c r="E61" s="46" t="s">
        <v>2331</v>
      </c>
    </row>
    <row r="62">
      <c r="C62" s="17">
        <f>countif(ClusterJumps, A62)</f>
        <v>0</v>
      </c>
      <c r="D62" s="11" t="str">
        <f>If(Countif(ExcludedJumps, A62) &gt; 0, "Excluded", "Allowed")</f>
        <v>Allowed</v>
      </c>
      <c r="E62" s="46" t="s">
        <v>898</v>
      </c>
    </row>
    <row r="63">
      <c r="C63" s="17">
        <f>countif(ClusterJumps, A63)</f>
        <v>0</v>
      </c>
      <c r="D63" s="11" t="str">
        <f>If(Countif(ExcludedJumps, A63) &gt; 0, "Excluded", "Allowed")</f>
        <v>Allowed</v>
      </c>
      <c r="E63" s="46" t="s">
        <v>2332</v>
      </c>
    </row>
    <row r="64">
      <c r="C64" s="17">
        <f>countif(ClusterJumps, A64)</f>
        <v>1</v>
      </c>
      <c r="D64" s="11" t="str">
        <f>If(Countif(ExcludedJumps, A64) &gt; 0, "Excluded", "Allowed")</f>
        <v>Allowed</v>
      </c>
      <c r="E64" s="46" t="s">
        <v>2333</v>
      </c>
    </row>
    <row r="65">
      <c r="C65" s="17">
        <f>countif(ClusterJumps, A65)</f>
        <v>0</v>
      </c>
      <c r="D65" s="11" t="str">
        <f>If(Countif(ExcludedJumps, A65) &gt; 0, "Excluded", "Allowed")</f>
        <v>Excluded</v>
      </c>
      <c r="E65" s="46" t="s">
        <v>2334</v>
      </c>
    </row>
    <row r="66">
      <c r="C66" s="17">
        <f>countif(ClusterJumps, A66)</f>
        <v>2</v>
      </c>
      <c r="D66" s="11" t="str">
        <f>If(Countif(ExcludedJumps, A66) &gt; 0, "Excluded", "Allowed")</f>
        <v>Allowed</v>
      </c>
      <c r="E66" s="46" t="s">
        <v>2335</v>
      </c>
    </row>
    <row r="67">
      <c r="C67" s="17">
        <f>countif(ClusterJumps, A67)</f>
        <v>0</v>
      </c>
      <c r="D67" s="11" t="str">
        <f>If(Countif(ExcludedJumps, A67) &gt; 0, "Excluded", "Allowed")</f>
        <v>Excluded</v>
      </c>
      <c r="E67" s="46" t="s">
        <v>2336</v>
      </c>
    </row>
    <row r="68">
      <c r="C68" s="17">
        <f>countif(ClusterJumps, A68)</f>
        <v>0</v>
      </c>
      <c r="D68" s="11" t="str">
        <f>If(Countif(ExcludedJumps, A68) &gt; 0, "Excluded", "Allowed")</f>
        <v>Excluded</v>
      </c>
      <c r="E68" s="46" t="s">
        <v>2337</v>
      </c>
    </row>
    <row r="69">
      <c r="C69" s="17">
        <f>countif(ClusterJumps, A69)</f>
        <v>0</v>
      </c>
      <c r="D69" s="11" t="str">
        <f>If(Countif(ExcludedJumps, A69) &gt; 0, "Excluded", "Allowed")</f>
        <v>Excluded</v>
      </c>
      <c r="E69" s="46" t="s">
        <v>2338</v>
      </c>
    </row>
    <row r="70">
      <c r="C70" s="17">
        <f>countif(ClusterJumps, A70)</f>
        <v>0</v>
      </c>
      <c r="D70" s="11" t="str">
        <f>If(Countif(ExcludedJumps, A70) &gt; 0, "Excluded", "Allowed")</f>
        <v>Excluded</v>
      </c>
      <c r="E70" s="46" t="s">
        <v>2339</v>
      </c>
    </row>
    <row r="71">
      <c r="C71" s="17">
        <f>countif(ClusterJumps, A71)</f>
        <v>0</v>
      </c>
      <c r="D71" s="11" t="str">
        <f>If(Countif(ExcludedJumps, A71) &gt; 0, "Excluded", "Allowed")</f>
        <v>Excluded</v>
      </c>
      <c r="E71" s="46" t="s">
        <v>2340</v>
      </c>
    </row>
    <row r="72">
      <c r="C72" s="17">
        <f>countif(ClusterJumps, A72)</f>
        <v>0</v>
      </c>
      <c r="D72" s="11" t="str">
        <f>If(Countif(ExcludedJumps, A72) &gt; 0, "Excluded", "Allowed")</f>
        <v>Excluded</v>
      </c>
      <c r="E72" s="46" t="s">
        <v>2341</v>
      </c>
    </row>
    <row r="73">
      <c r="C73" s="17">
        <f>countif(ClusterJumps, A73)</f>
        <v>0</v>
      </c>
      <c r="D73" s="11" t="str">
        <f>If(Countif(ExcludedJumps, A73) &gt; 0, "Excluded", "Allowed")</f>
        <v>Excluded</v>
      </c>
      <c r="E73" s="46" t="s">
        <v>2341</v>
      </c>
    </row>
    <row r="74">
      <c r="C74" s="17">
        <f>countif(ClusterJumps, A74)</f>
        <v>0</v>
      </c>
      <c r="D74" s="11" t="str">
        <f>If(Countif(ExcludedJumps, A74) &gt; 0, "Excluded", "Allowed")</f>
        <v>Allowed</v>
      </c>
      <c r="E74" s="46" t="s">
        <v>1222</v>
      </c>
    </row>
    <row r="75">
      <c r="C75" s="17">
        <f>countif(ClusterJumps, A75)</f>
        <v>0</v>
      </c>
      <c r="D75" s="11" t="str">
        <f>If(Countif(ExcludedJumps, A75) &gt; 0, "Excluded", "Allowed")</f>
        <v>Allowed</v>
      </c>
      <c r="E75" s="46" t="s">
        <v>463</v>
      </c>
    </row>
    <row r="76">
      <c r="C76" s="17">
        <f>countif(ClusterJumps, A76)</f>
        <v>0</v>
      </c>
      <c r="D76" s="11" t="str">
        <f>If(Countif(ExcludedJumps, A76) &gt; 0, "Excluded", "Allowed")</f>
        <v>Excluded</v>
      </c>
      <c r="E76" s="46" t="s">
        <v>2342</v>
      </c>
    </row>
    <row r="77">
      <c r="C77" s="17">
        <f>countif(ClusterJumps, A77)</f>
        <v>0</v>
      </c>
      <c r="D77" s="11" t="str">
        <f>If(Countif(ExcludedJumps, A77) &gt; 0, "Excluded", "Allowed")</f>
        <v>Allowed</v>
      </c>
      <c r="E77" s="46" t="s">
        <v>2343</v>
      </c>
    </row>
    <row r="78">
      <c r="C78" s="17">
        <f>countif(ClusterJumps, A78)</f>
        <v>1</v>
      </c>
      <c r="D78" s="11" t="str">
        <f>If(Countif(ExcludedJumps, A78) &gt; 0, "Excluded", "Allowed")</f>
        <v>Allowed</v>
      </c>
      <c r="E78" s="46" t="s">
        <v>2344</v>
      </c>
    </row>
    <row r="79">
      <c r="C79" s="17">
        <f>countif(ClusterJumps, A79)</f>
        <v>0</v>
      </c>
      <c r="D79" s="11" t="str">
        <f>If(Countif(ExcludedJumps, A79) &gt; 0, "Excluded", "Allowed")</f>
        <v>Allowed</v>
      </c>
      <c r="E79" s="46" t="s">
        <v>1186</v>
      </c>
    </row>
    <row r="80">
      <c r="C80" s="17">
        <f>countif(ClusterJumps, A80)</f>
        <v>1</v>
      </c>
      <c r="D80" s="11" t="str">
        <f>If(Countif(ExcludedJumps, A80) &gt; 0, "Excluded", "Allowed")</f>
        <v>Allowed</v>
      </c>
      <c r="E80" s="46" t="s">
        <v>2345</v>
      </c>
    </row>
    <row r="81">
      <c r="C81" s="17">
        <f>countif(ClusterJumps, A81)</f>
        <v>0</v>
      </c>
      <c r="D81" s="11" t="str">
        <f>If(Countif(ExcludedJumps, A81) &gt; 0, "Excluded", "Allowed")</f>
        <v>Allowed</v>
      </c>
      <c r="E81" s="46" t="s">
        <v>2346</v>
      </c>
    </row>
    <row r="82">
      <c r="C82" s="17">
        <f>countif(ClusterJumps, A82)</f>
        <v>0</v>
      </c>
      <c r="D82" s="11" t="str">
        <f>If(Countif(ExcludedJumps, A82) &gt; 0, "Excluded", "Allowed")</f>
        <v>Allowed</v>
      </c>
      <c r="E82" s="46" t="s">
        <v>2347</v>
      </c>
    </row>
    <row r="83">
      <c r="C83" s="17">
        <f>countif(ClusterJumps, A83)</f>
        <v>0</v>
      </c>
      <c r="D83" s="11" t="str">
        <f>If(Countif(ExcludedJumps, A83) &gt; 0, "Excluded", "Allowed")</f>
        <v>Allowed</v>
      </c>
      <c r="E83" s="46" t="s">
        <v>498</v>
      </c>
    </row>
    <row r="84">
      <c r="C84" s="17">
        <f>countif(ClusterJumps, A84)</f>
        <v>0</v>
      </c>
      <c r="D84" s="11" t="str">
        <f>If(Countif(ExcludedJumps, A84) &gt; 0, "Excluded", "Allowed")</f>
        <v>Excluded</v>
      </c>
      <c r="E84" s="46" t="s">
        <v>2348</v>
      </c>
    </row>
    <row r="85">
      <c r="C85" s="17">
        <f>countif(ClusterJumps, A85)</f>
        <v>0</v>
      </c>
      <c r="D85" s="11" t="str">
        <f>If(Countif(ExcludedJumps, A85) &gt; 0, "Excluded", "Allowed")</f>
        <v>Allowed</v>
      </c>
      <c r="E85" s="46" t="s">
        <v>2349</v>
      </c>
    </row>
    <row r="86">
      <c r="C86" s="17">
        <f>countif(ClusterJumps, A86)</f>
        <v>0</v>
      </c>
      <c r="D86" s="11" t="str">
        <f>If(Countif(ExcludedJumps, A86) &gt; 0, "Excluded", "Allowed")</f>
        <v>Allowed</v>
      </c>
      <c r="E86" s="46" t="s">
        <v>2350</v>
      </c>
    </row>
    <row r="87">
      <c r="C87" s="17">
        <f>countif(ClusterJumps, A87)</f>
        <v>0</v>
      </c>
      <c r="D87" s="11" t="str">
        <f>If(Countif(ExcludedJumps, A87) &gt; 0, "Excluded", "Allowed")</f>
        <v>Allowed</v>
      </c>
      <c r="E87" s="46" t="s">
        <v>2351</v>
      </c>
    </row>
    <row r="88">
      <c r="C88" s="17">
        <f>countif(ClusterJumps, A88)</f>
        <v>0</v>
      </c>
      <c r="D88" s="11" t="str">
        <f>If(Countif(ExcludedJumps, A88) &gt; 0, "Excluded", "Allowed")</f>
        <v>Excluded</v>
      </c>
      <c r="E88" s="46" t="s">
        <v>2352</v>
      </c>
    </row>
    <row r="89">
      <c r="C89" s="17">
        <f>countif(ClusterJumps, A89)</f>
        <v>0</v>
      </c>
      <c r="D89" s="11" t="str">
        <f>If(Countif(ExcludedJumps, A89) &gt; 0, "Excluded", "Allowed")</f>
        <v>Excluded</v>
      </c>
      <c r="E89" s="46" t="s">
        <v>1513</v>
      </c>
    </row>
    <row r="90">
      <c r="C90" s="17">
        <f>countif(ClusterJumps, A90)</f>
        <v>0</v>
      </c>
      <c r="D90" s="11" t="str">
        <f>If(Countif(ExcludedJumps, A90) &gt; 0, "Excluded", "Allowed")</f>
        <v>Excluded</v>
      </c>
      <c r="E90" s="46" t="s">
        <v>2353</v>
      </c>
    </row>
    <row r="91">
      <c r="C91" s="17">
        <f>countif(ClusterJumps, A91)</f>
        <v>0</v>
      </c>
      <c r="D91" s="11" t="str">
        <f>If(Countif(ExcludedJumps, A91) &gt; 0, "Excluded", "Allowed")</f>
        <v>Excluded</v>
      </c>
      <c r="E91" s="46" t="s">
        <v>2354</v>
      </c>
    </row>
    <row r="92">
      <c r="C92" s="17">
        <f>countif(ClusterJumps, A92)</f>
        <v>0</v>
      </c>
      <c r="D92" s="11" t="str">
        <f>If(Countif(ExcludedJumps, A92) &gt; 0, "Excluded", "Allowed")</f>
        <v>Allowed</v>
      </c>
      <c r="E92" s="46" t="s">
        <v>2355</v>
      </c>
    </row>
    <row r="93">
      <c r="C93" s="17">
        <f>countif(ClusterJumps, A93)</f>
        <v>0</v>
      </c>
      <c r="D93" s="11" t="str">
        <f>If(Countif(ExcludedJumps, A93) &gt; 0, "Excluded", "Allowed")</f>
        <v>Allowed</v>
      </c>
      <c r="E93" s="46" t="s">
        <v>2356</v>
      </c>
    </row>
    <row r="94">
      <c r="C94" s="17">
        <f>countif(ClusterJumps, A94)</f>
        <v>0</v>
      </c>
      <c r="D94" s="11" t="str">
        <f>If(Countif(ExcludedJumps, A94) &gt; 0, "Excluded", "Allowed")</f>
        <v>Excluded</v>
      </c>
      <c r="E94" s="46" t="s">
        <v>2357</v>
      </c>
    </row>
    <row r="95">
      <c r="C95" s="17">
        <f>countif(ClusterJumps, A95)</f>
        <v>0</v>
      </c>
      <c r="D95" s="11" t="str">
        <f>If(Countif(ExcludedJumps, A95) &gt; 0, "Excluded", "Allowed")</f>
        <v>Allowed</v>
      </c>
      <c r="E95" s="46" t="s">
        <v>1571</v>
      </c>
    </row>
    <row r="96">
      <c r="C96" s="17">
        <f>countif(ClusterJumps, A96)</f>
        <v>0</v>
      </c>
      <c r="D96" s="11" t="str">
        <f>If(Countif(ExcludedJumps, A96) &gt; 0, "Excluded", "Allowed")</f>
        <v>Allowed</v>
      </c>
      <c r="E96" s="46" t="s">
        <v>2358</v>
      </c>
    </row>
    <row r="97">
      <c r="C97" s="17">
        <f>countif(ClusterJumps, A97)</f>
        <v>0</v>
      </c>
      <c r="D97" s="11" t="str">
        <f>If(Countif(ExcludedJumps, A97) &gt; 0, "Excluded", "Allowed")</f>
        <v>Allowed</v>
      </c>
      <c r="E97" s="46" t="s">
        <v>2359</v>
      </c>
    </row>
    <row r="98">
      <c r="C98" s="17">
        <f>countif(ClusterJumps, A98)</f>
        <v>0</v>
      </c>
      <c r="D98" s="11" t="str">
        <f>If(Countif(ExcludedJumps, A98) &gt; 0, "Excluded", "Allowed")</f>
        <v>Allowed</v>
      </c>
      <c r="E98" s="46" t="s">
        <v>2360</v>
      </c>
    </row>
    <row r="99">
      <c r="C99" s="17">
        <f>countif(ClusterJumps, A99)</f>
        <v>0</v>
      </c>
      <c r="D99" s="11" t="str">
        <f>If(Countif(ExcludedJumps, A99) &gt; 0, "Excluded", "Allowed")</f>
        <v>Excluded</v>
      </c>
      <c r="E99" s="46" t="s">
        <v>2361</v>
      </c>
    </row>
    <row r="100">
      <c r="C100" s="17">
        <f>countif(ClusterJumps, A100)</f>
        <v>0</v>
      </c>
      <c r="D100" s="11" t="str">
        <f>If(Countif(ExcludedJumps, A100) &gt; 0, "Excluded", "Allowed")</f>
        <v>Excluded</v>
      </c>
      <c r="E100" s="46" t="s">
        <v>1743</v>
      </c>
    </row>
    <row r="101">
      <c r="C101" s="17">
        <f>countif(ClusterJumps, A101)</f>
        <v>0</v>
      </c>
      <c r="D101" s="11" t="str">
        <f>If(Countif(ExcludedJumps, A101) &gt; 0, "Excluded", "Allowed")</f>
        <v>Allowed</v>
      </c>
      <c r="E101" s="46" t="s">
        <v>2362</v>
      </c>
    </row>
    <row r="102">
      <c r="C102" s="17">
        <f>countif(ClusterJumps, A102)</f>
        <v>0</v>
      </c>
      <c r="D102" s="11" t="str">
        <f>If(Countif(ExcludedJumps, A102) &gt; 0, "Excluded", "Allowed")</f>
        <v>Allowed</v>
      </c>
      <c r="E102" s="46" t="s">
        <v>2363</v>
      </c>
    </row>
    <row r="103">
      <c r="C103" s="17">
        <f>countif(ClusterJumps, A103)</f>
        <v>0</v>
      </c>
      <c r="D103" s="11" t="str">
        <f>If(Countif(ExcludedJumps, A103) &gt; 0, "Excluded", "Allowed")</f>
        <v>Excluded</v>
      </c>
      <c r="E103" s="46" t="s">
        <v>2011</v>
      </c>
    </row>
    <row r="104">
      <c r="C104" s="17">
        <f>countif(ClusterJumps, A104)</f>
        <v>0</v>
      </c>
      <c r="D104" s="11" t="str">
        <f>If(Countif(ExcludedJumps, A104) &gt; 0, "Excluded", "Allowed")</f>
        <v>Allowed</v>
      </c>
      <c r="E104" s="46" t="s">
        <v>671</v>
      </c>
    </row>
    <row r="105">
      <c r="C105" s="17">
        <f>countif(ClusterJumps, A105)</f>
        <v>0</v>
      </c>
      <c r="D105" s="11" t="str">
        <f>If(Countif(ExcludedJumps, A105) &gt; 0, "Excluded", "Allowed")</f>
        <v>Allowed</v>
      </c>
      <c r="E105" s="46" t="s">
        <v>2364</v>
      </c>
    </row>
    <row r="106">
      <c r="C106" s="17">
        <f>countif(ClusterJumps, A106)</f>
        <v>0</v>
      </c>
      <c r="D106" s="11" t="str">
        <f>If(Countif(ExcludedJumps, A106) &gt; 0, "Excluded", "Allowed")</f>
        <v>Excluded</v>
      </c>
      <c r="E106" s="46" t="s">
        <v>1595</v>
      </c>
    </row>
    <row r="107">
      <c r="C107" s="17">
        <f>countif(ClusterJumps, A107)</f>
        <v>0</v>
      </c>
      <c r="D107" s="11" t="str">
        <f>If(Countif(ExcludedJumps, A107) &gt; 0, "Excluded", "Allowed")</f>
        <v>Excluded</v>
      </c>
      <c r="E107" s="46" t="s">
        <v>2365</v>
      </c>
    </row>
    <row r="108">
      <c r="C108" s="17">
        <f>countif(ClusterJumps, A108)</f>
        <v>0</v>
      </c>
      <c r="D108" s="11" t="str">
        <f>If(Countif(ExcludedJumps, A108) &gt; 0, "Excluded", "Allowed")</f>
        <v>Allowed</v>
      </c>
      <c r="E108" s="46" t="s">
        <v>2366</v>
      </c>
    </row>
    <row r="109">
      <c r="C109" s="17">
        <f>countif(ClusterJumps, A109)</f>
        <v>0</v>
      </c>
      <c r="D109" s="11" t="str">
        <f>If(Countif(ExcludedJumps, A109) &gt; 0, "Excluded", "Allowed")</f>
        <v>Allowed</v>
      </c>
      <c r="E109" s="46" t="s">
        <v>2367</v>
      </c>
    </row>
    <row r="110">
      <c r="C110" s="17">
        <f>countif(ClusterJumps, A110)</f>
        <v>0</v>
      </c>
      <c r="D110" s="11" t="str">
        <f>If(Countif(ExcludedJumps, A110) &gt; 0, "Excluded", "Allowed")</f>
        <v>Allowed</v>
      </c>
      <c r="E110" s="46" t="s">
        <v>2368</v>
      </c>
    </row>
    <row r="111">
      <c r="C111" s="17">
        <f>countif(ClusterJumps, A111)</f>
        <v>0</v>
      </c>
      <c r="D111" s="11" t="str">
        <f>If(Countif(ExcludedJumps, A111) &gt; 0, "Excluded", "Allowed")</f>
        <v>Allowed</v>
      </c>
      <c r="E111" s="46" t="s">
        <v>2369</v>
      </c>
    </row>
    <row r="112">
      <c r="C112" s="17">
        <f>countif(ClusterJumps, A112)</f>
        <v>0</v>
      </c>
      <c r="D112" s="11" t="str">
        <f>If(Countif(ExcludedJumps, A112) &gt; 0, "Excluded", "Allowed")</f>
        <v>Allowed</v>
      </c>
      <c r="E112" s="46" t="s">
        <v>2370</v>
      </c>
    </row>
    <row r="113">
      <c r="C113" s="17">
        <f>countif(ClusterJumps, A113)</f>
        <v>0</v>
      </c>
      <c r="D113" s="11" t="str">
        <f>If(Countif(ExcludedJumps, A113) &gt; 0, "Excluded", "Allowed")</f>
        <v>Allowed</v>
      </c>
      <c r="E113" s="46" t="s">
        <v>2371</v>
      </c>
    </row>
    <row r="114">
      <c r="C114" s="17">
        <f>countif(ClusterJumps, A114)</f>
        <v>0</v>
      </c>
      <c r="D114" s="11" t="str">
        <f>If(Countif(ExcludedJumps, A114) &gt; 0, "Excluded", "Allowed")</f>
        <v>Excluded</v>
      </c>
      <c r="E114" s="46" t="s">
        <v>2372</v>
      </c>
    </row>
    <row r="115">
      <c r="C115" s="17">
        <f>countif(ClusterJumps, A115)</f>
        <v>0</v>
      </c>
      <c r="D115" s="11" t="str">
        <f>If(Countif(ExcludedJumps, A115) &gt; 0, "Excluded", "Allowed")</f>
        <v>Excluded</v>
      </c>
      <c r="E115" s="46" t="s">
        <v>2373</v>
      </c>
    </row>
    <row r="116">
      <c r="C116" s="17">
        <f>countif(ClusterJumps, A116)</f>
        <v>0</v>
      </c>
      <c r="D116" s="11" t="str">
        <f>If(Countif(ExcludedJumps, A116) &gt; 0, "Excluded", "Allowed")</f>
        <v>Excluded</v>
      </c>
      <c r="E116" s="46" t="s">
        <v>2374</v>
      </c>
    </row>
    <row r="117">
      <c r="C117" s="17">
        <f>countif(ClusterJumps, A117)</f>
        <v>0</v>
      </c>
      <c r="D117" s="11" t="str">
        <f>If(Countif(ExcludedJumps, A117) &gt; 0, "Excluded", "Allowed")</f>
        <v>Excluded</v>
      </c>
      <c r="E117" s="46" t="s">
        <v>2375</v>
      </c>
    </row>
    <row r="118">
      <c r="C118" s="17">
        <f>countif(ClusterJumps, A118)</f>
        <v>0</v>
      </c>
      <c r="D118" s="11" t="str">
        <f>If(Countif(ExcludedJumps, A118) &gt; 0, "Excluded", "Allowed")</f>
        <v>Allowed</v>
      </c>
      <c r="E118" s="46" t="s">
        <v>2376</v>
      </c>
    </row>
    <row r="119">
      <c r="C119" s="17">
        <f>countif(ClusterJumps, A119)</f>
        <v>0</v>
      </c>
      <c r="D119" s="11" t="str">
        <f>If(Countif(ExcludedJumps, A119) &gt; 0, "Excluded", "Allowed")</f>
        <v>Excluded</v>
      </c>
      <c r="E119" s="46" t="s">
        <v>2377</v>
      </c>
    </row>
    <row r="120">
      <c r="C120" s="17">
        <f>countif(ClusterJumps, A120)</f>
        <v>0</v>
      </c>
      <c r="D120" s="11" t="str">
        <f>If(Countif(ExcludedJumps, A120) &gt; 0, "Excluded", "Allowed")</f>
        <v>Excluded</v>
      </c>
      <c r="E120" s="46" t="s">
        <v>2378</v>
      </c>
    </row>
    <row r="121">
      <c r="C121" s="17">
        <f>countif(ClusterJumps, A121)</f>
        <v>0</v>
      </c>
      <c r="D121" s="11" t="str">
        <f>If(Countif(ExcludedJumps, A121) &gt; 0, "Excluded", "Allowed")</f>
        <v>Allowed</v>
      </c>
      <c r="E121" s="46" t="s">
        <v>2379</v>
      </c>
    </row>
    <row r="122">
      <c r="C122" s="17">
        <f>countif(ClusterJumps, A122)</f>
        <v>0</v>
      </c>
      <c r="D122" s="11" t="str">
        <f>If(Countif(ExcludedJumps, A122) &gt; 0, "Excluded", "Allowed")</f>
        <v>Allowed</v>
      </c>
      <c r="E122" s="46" t="s">
        <v>2380</v>
      </c>
    </row>
    <row r="123">
      <c r="C123" s="17">
        <f>countif(ClusterJumps, A123)</f>
        <v>0</v>
      </c>
      <c r="D123" s="11" t="str">
        <f>If(Countif(ExcludedJumps, A123) &gt; 0, "Excluded", "Allowed")</f>
        <v>Excluded</v>
      </c>
      <c r="E123" s="46" t="s">
        <v>2381</v>
      </c>
    </row>
    <row r="124">
      <c r="C124" s="17">
        <f>countif(ClusterJumps, A124)</f>
        <v>0</v>
      </c>
      <c r="D124" s="11" t="str">
        <f>If(Countif(ExcludedJumps, A124) &gt; 0, "Excluded", "Allowed")</f>
        <v>Excluded</v>
      </c>
      <c r="E124" s="46" t="s">
        <v>2382</v>
      </c>
    </row>
    <row r="125">
      <c r="C125" s="17">
        <f>countif(ClusterJumps, A125)</f>
        <v>0</v>
      </c>
      <c r="D125" s="11" t="str">
        <f>If(Countif(ExcludedJumps, A125) &gt; 0, "Excluded", "Allowed")</f>
        <v>Excluded</v>
      </c>
      <c r="E125" s="46" t="s">
        <v>2383</v>
      </c>
    </row>
    <row r="126">
      <c r="C126" s="17">
        <f>countif(ClusterJumps, A126)</f>
        <v>0</v>
      </c>
      <c r="D126" s="11" t="str">
        <f>If(Countif(ExcludedJumps, A126) &gt; 0, "Excluded", "Allowed")</f>
        <v>Allowed</v>
      </c>
      <c r="E126" s="46" t="s">
        <v>248</v>
      </c>
    </row>
    <row r="127">
      <c r="C127" s="17">
        <f>countif(ClusterJumps, A127)</f>
        <v>0</v>
      </c>
      <c r="D127" s="11" t="str">
        <f>If(Countif(ExcludedJumps, A127) &gt; 0, "Excluded", "Allowed")</f>
        <v>Allowed</v>
      </c>
      <c r="E127" s="46" t="s">
        <v>2384</v>
      </c>
    </row>
    <row r="128">
      <c r="C128" s="17">
        <f>countif(ClusterJumps, A128)</f>
        <v>1</v>
      </c>
      <c r="D128" s="11" t="str">
        <f>If(Countif(ExcludedJumps, A128) &gt; 0, "Excluded", "Allowed")</f>
        <v>Allowed</v>
      </c>
      <c r="E128" s="46" t="s">
        <v>2385</v>
      </c>
    </row>
    <row r="129">
      <c r="C129" s="17">
        <f>countif(ClusterJumps, A129)</f>
        <v>1</v>
      </c>
      <c r="D129" s="11" t="str">
        <f>If(Countif(ExcludedJumps, A129) &gt; 0, "Excluded", "Allowed")</f>
        <v>Allowed</v>
      </c>
      <c r="E129" s="46" t="s">
        <v>2386</v>
      </c>
    </row>
    <row r="130">
      <c r="C130" s="17">
        <f>countif(ClusterJumps, A130)</f>
        <v>1</v>
      </c>
      <c r="D130" s="11" t="str">
        <f>If(Countif(ExcludedJumps, A130) &gt; 0, "Excluded", "Allowed")</f>
        <v>Allowed</v>
      </c>
      <c r="E130" s="46" t="s">
        <v>2387</v>
      </c>
    </row>
    <row r="131">
      <c r="C131" s="17">
        <f>countif(ClusterJumps, A131)</f>
        <v>1</v>
      </c>
      <c r="D131" s="11" t="str">
        <f>If(Countif(ExcludedJumps, A131) &gt; 0, "Excluded", "Allowed")</f>
        <v>Allowed</v>
      </c>
      <c r="E131" s="46" t="s">
        <v>24</v>
      </c>
    </row>
    <row r="132">
      <c r="C132" s="17">
        <f>countif(ClusterJumps, A132)</f>
        <v>0</v>
      </c>
      <c r="D132" s="11" t="str">
        <f>If(Countif(ExcludedJumps, A132) &gt; 0, "Excluded", "Allowed")</f>
        <v>Excluded</v>
      </c>
      <c r="E132" s="46" t="s">
        <v>2388</v>
      </c>
    </row>
    <row r="133">
      <c r="C133" s="17">
        <f>countif(ClusterJumps, A133)</f>
        <v>0</v>
      </c>
      <c r="D133" s="11" t="str">
        <f>If(Countif(ExcludedJumps, A133) &gt; 0, "Excluded", "Allowed")</f>
        <v>Excluded</v>
      </c>
      <c r="E133" s="46" t="s">
        <v>2389</v>
      </c>
    </row>
    <row r="134">
      <c r="C134" s="17">
        <f>countif(ClusterJumps, A134)</f>
        <v>0</v>
      </c>
      <c r="D134" s="11" t="str">
        <f>If(Countif(ExcludedJumps, A134) &gt; 0, "Excluded", "Allowed")</f>
        <v>Allowed</v>
      </c>
      <c r="E134" s="46" t="s">
        <v>2390</v>
      </c>
    </row>
    <row r="135">
      <c r="C135" s="17">
        <f>countif(ClusterJumps, A135)</f>
        <v>0</v>
      </c>
      <c r="D135" s="11" t="str">
        <f>If(Countif(ExcludedJumps, A135) &gt; 0, "Excluded", "Allowed")</f>
        <v>Allowed</v>
      </c>
      <c r="E135" s="46" t="s">
        <v>2391</v>
      </c>
    </row>
    <row r="136">
      <c r="C136" s="17">
        <f>countif(ClusterJumps, A136)</f>
        <v>0</v>
      </c>
      <c r="D136" s="11" t="str">
        <f>If(Countif(ExcludedJumps, A136) &gt; 0, "Excluded", "Allowed")</f>
        <v>Allowed</v>
      </c>
      <c r="E136" s="46" t="s">
        <v>2392</v>
      </c>
    </row>
    <row r="137">
      <c r="C137" s="17">
        <f>countif(ClusterJumps, A137)</f>
        <v>0</v>
      </c>
      <c r="D137" s="11" t="str">
        <f>If(Countif(ExcludedJumps, A137) &gt; 0, "Excluded", "Allowed")</f>
        <v>Allowed</v>
      </c>
      <c r="E137" s="46" t="s">
        <v>2393</v>
      </c>
    </row>
    <row r="138">
      <c r="C138" s="17">
        <f>countif(ClusterJumps, A138)</f>
        <v>0</v>
      </c>
      <c r="D138" s="11" t="str">
        <f>If(Countif(ExcludedJumps, A138) &gt; 0, "Excluded", "Allowed")</f>
        <v>Allowed</v>
      </c>
      <c r="E138" s="46" t="s">
        <v>2394</v>
      </c>
    </row>
    <row r="139">
      <c r="C139" s="17">
        <f>countif(ClusterJumps, A139)</f>
        <v>0</v>
      </c>
      <c r="D139" s="11" t="str">
        <f>If(Countif(ExcludedJumps, A139) &gt; 0, "Excluded", "Allowed")</f>
        <v>Excluded</v>
      </c>
      <c r="E139" s="46" t="s">
        <v>2395</v>
      </c>
    </row>
    <row r="140">
      <c r="C140" s="17">
        <f>countif(ClusterJumps, A140)</f>
        <v>0</v>
      </c>
      <c r="D140" s="11" t="str">
        <f>If(Countif(ExcludedJumps, A140) &gt; 0, "Excluded", "Allowed")</f>
        <v>Allowed</v>
      </c>
      <c r="E140" s="46" t="s">
        <v>2396</v>
      </c>
    </row>
    <row r="141">
      <c r="C141" s="17">
        <f>countif(ClusterJumps, A141)</f>
        <v>0</v>
      </c>
      <c r="D141" s="11" t="str">
        <f>If(Countif(ExcludedJumps, A141) &gt; 0, "Excluded", "Allowed")</f>
        <v>Excluded</v>
      </c>
      <c r="E141" s="46" t="s">
        <v>2397</v>
      </c>
    </row>
    <row r="142">
      <c r="C142" s="17">
        <f>countif(ClusterJumps, A142)</f>
        <v>0</v>
      </c>
      <c r="D142" s="11" t="str">
        <f>If(Countif(ExcludedJumps, A142) &gt; 0, "Excluded", "Allowed")</f>
        <v>Allowed</v>
      </c>
      <c r="E142" s="46" t="s">
        <v>2398</v>
      </c>
    </row>
    <row r="143">
      <c r="C143" s="17">
        <f>countif(ClusterJumps, A143)</f>
        <v>0</v>
      </c>
      <c r="D143" s="11" t="str">
        <f>If(Countif(ExcludedJumps, A143) &gt; 0, "Excluded", "Allowed")</f>
        <v>Allowed</v>
      </c>
      <c r="E143" s="46" t="s">
        <v>2399</v>
      </c>
    </row>
    <row r="144">
      <c r="C144" s="17">
        <f>countif(ClusterJumps, A144)</f>
        <v>1</v>
      </c>
      <c r="D144" s="11" t="str">
        <f>If(Countif(ExcludedJumps, A144) &gt; 0, "Excluded", "Allowed")</f>
        <v>Allowed</v>
      </c>
      <c r="E144" s="46" t="s">
        <v>2400</v>
      </c>
    </row>
    <row r="145">
      <c r="C145" s="17">
        <f>countif(ClusterJumps, A145)</f>
        <v>27</v>
      </c>
      <c r="D145" s="11" t="str">
        <f>If(Countif(ExcludedJumps, A145) &gt; 0, "Excluded", "Allowed")</f>
        <v>Allowed</v>
      </c>
      <c r="E145" s="46" t="s">
        <v>2401</v>
      </c>
    </row>
    <row r="146">
      <c r="C146" s="17">
        <f>countif(ClusterJumps, A146)</f>
        <v>0</v>
      </c>
      <c r="D146" s="11" t="str">
        <f>If(Countif(ExcludedJumps, A146) &gt; 0, "Excluded", "Allowed")</f>
        <v>Excluded</v>
      </c>
      <c r="E146" s="46" t="s">
        <v>2402</v>
      </c>
    </row>
    <row r="147">
      <c r="C147" s="17">
        <f>countif(ClusterJumps, A147)</f>
        <v>0</v>
      </c>
      <c r="D147" s="11" t="str">
        <f>If(Countif(ExcludedJumps, A147) &gt; 0, "Excluded", "Allowed")</f>
        <v>Excluded</v>
      </c>
      <c r="E147" s="46" t="s">
        <v>2403</v>
      </c>
    </row>
    <row r="148">
      <c r="C148" s="17">
        <f>countif(ClusterJumps, A148)</f>
        <v>0</v>
      </c>
      <c r="D148" s="11" t="str">
        <f>If(Countif(ExcludedJumps, A148) &gt; 0, "Excluded", "Allowed")</f>
        <v>Excluded</v>
      </c>
      <c r="E148" s="46" t="s">
        <v>2404</v>
      </c>
    </row>
    <row r="149">
      <c r="C149" s="17">
        <f>countif(ClusterJumps, A149)</f>
        <v>1</v>
      </c>
      <c r="D149" s="11" t="str">
        <f>If(Countif(ExcludedJumps, A149) &gt; 0, "Excluded", "Allowed")</f>
        <v>Allowed</v>
      </c>
      <c r="E149" s="46" t="s">
        <v>2405</v>
      </c>
    </row>
    <row r="150">
      <c r="C150" s="17">
        <f>countif(ClusterJumps, A150)</f>
        <v>0</v>
      </c>
      <c r="D150" s="11" t="str">
        <f>If(Countif(ExcludedJumps, A150) &gt; 0, "Excluded", "Allowed")</f>
        <v>Excluded</v>
      </c>
      <c r="E150" s="46" t="s">
        <v>2406</v>
      </c>
    </row>
    <row r="151">
      <c r="C151" s="17">
        <f>countif(ClusterJumps, A151)</f>
        <v>0</v>
      </c>
      <c r="D151" s="11" t="str">
        <f>If(Countif(ExcludedJumps, A151) &gt; 0, "Excluded", "Allowed")</f>
        <v>Excluded</v>
      </c>
      <c r="E151" s="46" t="s">
        <v>2407</v>
      </c>
    </row>
    <row r="152">
      <c r="C152" s="17">
        <f>countif(ClusterJumps, A152)</f>
        <v>1</v>
      </c>
      <c r="D152" s="11" t="str">
        <f>If(Countif(ExcludedJumps, A152) &gt; 0, "Excluded", "Allowed")</f>
        <v>Allowed</v>
      </c>
      <c r="E152" s="46" t="s">
        <v>2408</v>
      </c>
    </row>
    <row r="153">
      <c r="C153" s="17">
        <f>countif(ClusterJumps, A153)</f>
        <v>0</v>
      </c>
      <c r="D153" s="11" t="str">
        <f>If(Countif(ExcludedJumps, A153) &gt; 0, "Excluded", "Allowed")</f>
        <v>Allowed</v>
      </c>
      <c r="E153" s="46" t="s">
        <v>2409</v>
      </c>
    </row>
    <row r="154">
      <c r="C154" s="17">
        <f>countif(ClusterJumps, A154)</f>
        <v>0</v>
      </c>
      <c r="D154" s="11" t="str">
        <f>If(Countif(ExcludedJumps, A154) &gt; 0, "Excluded", "Allowed")</f>
        <v>Allowed</v>
      </c>
      <c r="E154" s="46" t="s">
        <v>2410</v>
      </c>
    </row>
    <row r="155">
      <c r="C155" s="17">
        <f>countif(ClusterJumps, A155)</f>
        <v>0</v>
      </c>
      <c r="D155" s="11" t="str">
        <f>If(Countif(ExcludedJumps, A155) &gt; 0, "Excluded", "Allowed")</f>
        <v>Allowed</v>
      </c>
      <c r="E155" s="46" t="s">
        <v>2411</v>
      </c>
    </row>
    <row r="156">
      <c r="C156" s="17">
        <f>countif(ClusterJumps, A156)</f>
        <v>0</v>
      </c>
      <c r="D156" s="11" t="str">
        <f>If(Countif(ExcludedJumps, A156) &gt; 0, "Excluded", "Allowed")</f>
        <v>Excluded</v>
      </c>
      <c r="E156" s="46" t="s">
        <v>2412</v>
      </c>
    </row>
    <row r="157">
      <c r="C157" s="17">
        <f>countif(ClusterJumps, A157)</f>
        <v>0</v>
      </c>
      <c r="D157" s="11" t="str">
        <f>If(Countif(ExcludedJumps, A157) &gt; 0, "Excluded", "Allowed")</f>
        <v>Allowed</v>
      </c>
      <c r="E157" s="46" t="s">
        <v>2413</v>
      </c>
    </row>
    <row r="158">
      <c r="C158" s="17">
        <f>countif(ClusterJumps, A158)</f>
        <v>0</v>
      </c>
      <c r="D158" s="11" t="str">
        <f>If(Countif(ExcludedJumps, A158) &gt; 0, "Excluded", "Allowed")</f>
        <v>Allowed</v>
      </c>
      <c r="E158" s="46" t="s">
        <v>2414</v>
      </c>
    </row>
    <row r="159">
      <c r="C159" s="17">
        <f>countif(ClusterJumps, A159)</f>
        <v>0</v>
      </c>
      <c r="D159" s="11" t="str">
        <f>If(Countif(ExcludedJumps, A159) &gt; 0, "Excluded", "Allowed")</f>
        <v>Allowed</v>
      </c>
      <c r="E159" s="46" t="s">
        <v>2415</v>
      </c>
    </row>
    <row r="160">
      <c r="C160" s="17">
        <f>countif(ClusterJumps, A160)</f>
        <v>0</v>
      </c>
      <c r="D160" s="11" t="str">
        <f>If(Countif(ExcludedJumps, A160) &gt; 0, "Excluded", "Allowed")</f>
        <v>Allowed</v>
      </c>
      <c r="E160" s="46" t="s">
        <v>2416</v>
      </c>
    </row>
    <row r="161">
      <c r="C161" s="17">
        <f>countif(ClusterJumps, A161)</f>
        <v>0</v>
      </c>
      <c r="D161" s="11" t="str">
        <f>If(Countif(ExcludedJumps, A161) &gt; 0, "Excluded", "Allowed")</f>
        <v>Excluded</v>
      </c>
      <c r="E161" s="46" t="s">
        <v>2417</v>
      </c>
    </row>
    <row r="162">
      <c r="C162" s="17">
        <f>countif(ClusterJumps, A162)</f>
        <v>1</v>
      </c>
      <c r="D162" s="11" t="str">
        <f>If(Countif(ExcludedJumps, A162) &gt; 0, "Excluded", "Allowed")</f>
        <v>Allowed</v>
      </c>
      <c r="E162" s="46" t="s">
        <v>2418</v>
      </c>
    </row>
    <row r="163">
      <c r="C163" s="17">
        <f>countif(ClusterJumps, A163)</f>
        <v>0</v>
      </c>
      <c r="D163" s="11" t="str">
        <f>If(Countif(ExcludedJumps, A163) &gt; 0, "Excluded", "Allowed")</f>
        <v>Excluded</v>
      </c>
      <c r="E163" s="46" t="s">
        <v>2419</v>
      </c>
    </row>
    <row r="164">
      <c r="C164" s="17">
        <f>countif(ClusterJumps, A164)</f>
        <v>1</v>
      </c>
      <c r="D164" s="11" t="str">
        <f>If(Countif(ExcludedJumps, A164) &gt; 0, "Excluded", "Allowed")</f>
        <v>Allowed</v>
      </c>
      <c r="E164" s="46" t="s">
        <v>2420</v>
      </c>
    </row>
    <row r="165">
      <c r="C165" s="17">
        <f>countif(ClusterJumps, A165)</f>
        <v>0</v>
      </c>
      <c r="D165" s="11" t="str">
        <f>If(Countif(ExcludedJumps, A165) &gt; 0, "Excluded", "Allowed")</f>
        <v>Allowed</v>
      </c>
      <c r="E165" s="46" t="s">
        <v>2421</v>
      </c>
    </row>
    <row r="166">
      <c r="C166" s="17">
        <f>countif(ClusterJumps, A166)</f>
        <v>0</v>
      </c>
      <c r="D166" s="11" t="str">
        <f>If(Countif(ExcludedJumps, A166) &gt; 0, "Excluded", "Allowed")</f>
        <v>Allowed</v>
      </c>
      <c r="E166" s="46" t="s">
        <v>2422</v>
      </c>
    </row>
    <row r="167">
      <c r="C167" s="17">
        <f>countif(ClusterJumps, A167)</f>
        <v>0</v>
      </c>
      <c r="D167" s="11" t="str">
        <f>If(Countif(ExcludedJumps, A167) &gt; 0, "Excluded", "Allowed")</f>
        <v>Excluded</v>
      </c>
      <c r="E167" s="46" t="s">
        <v>2423</v>
      </c>
    </row>
    <row r="168">
      <c r="C168" s="17">
        <f>countif(ClusterJumps, A168)</f>
        <v>0</v>
      </c>
      <c r="D168" s="11" t="str">
        <f>If(Countif(ExcludedJumps, A168) &gt; 0, "Excluded", "Allowed")</f>
        <v>Allowed</v>
      </c>
      <c r="E168" s="46" t="s">
        <v>2424</v>
      </c>
    </row>
    <row r="169">
      <c r="C169" s="17">
        <f>countif(ClusterJumps, A169)</f>
        <v>0</v>
      </c>
      <c r="D169" s="11" t="str">
        <f>If(Countif(ExcludedJumps, A169) &gt; 0, "Excluded", "Allowed")</f>
        <v>Allowed</v>
      </c>
      <c r="E169" s="46" t="s">
        <v>2425</v>
      </c>
    </row>
    <row r="170">
      <c r="C170" s="17">
        <f>countif(ClusterJumps, A170)</f>
        <v>0</v>
      </c>
      <c r="D170" s="11" t="str">
        <f>If(Countif(ExcludedJumps, A170) &gt; 0, "Excluded", "Allowed")</f>
        <v>Excluded</v>
      </c>
      <c r="E170" s="46" t="s">
        <v>2426</v>
      </c>
    </row>
    <row r="171">
      <c r="C171" s="17">
        <f>countif(ClusterJumps, A171)</f>
        <v>0</v>
      </c>
      <c r="D171" s="11" t="str">
        <f>If(Countif(ExcludedJumps, A171) &gt; 0, "Excluded", "Allowed")</f>
        <v>Allowed</v>
      </c>
      <c r="E171" s="46" t="s">
        <v>2427</v>
      </c>
    </row>
    <row r="172">
      <c r="C172" s="17">
        <f>countif(ClusterJumps, A172)</f>
        <v>0</v>
      </c>
      <c r="D172" s="11" t="str">
        <f>If(Countif(ExcludedJumps, A172) &gt; 0, "Excluded", "Allowed")</f>
        <v>Excluded</v>
      </c>
      <c r="E172" s="46" t="s">
        <v>2428</v>
      </c>
    </row>
    <row r="173">
      <c r="C173" s="17">
        <f>countif(ClusterJumps, A173)</f>
        <v>0</v>
      </c>
      <c r="D173" s="11" t="str">
        <f>If(Countif(ExcludedJumps, A173) &gt; 0, "Excluded", "Allowed")</f>
        <v>Excluded</v>
      </c>
      <c r="E173" s="46" t="s">
        <v>2429</v>
      </c>
    </row>
    <row r="174">
      <c r="C174" s="17">
        <f>countif(ClusterJumps, A174)</f>
        <v>0</v>
      </c>
      <c r="D174" s="11" t="str">
        <f>If(Countif(ExcludedJumps, A174) &gt; 0, "Excluded", "Allowed")</f>
        <v>Allowed</v>
      </c>
      <c r="E174" s="46" t="s">
        <v>2430</v>
      </c>
    </row>
    <row r="175">
      <c r="C175" s="17">
        <f>countif(ClusterJumps, A175)</f>
        <v>0</v>
      </c>
      <c r="D175" s="11" t="str">
        <f>If(Countif(ExcludedJumps, A175) &gt; 0, "Excluded", "Allowed")</f>
        <v>Allowed</v>
      </c>
      <c r="E175" s="46" t="s">
        <v>2431</v>
      </c>
    </row>
    <row r="176">
      <c r="C176" s="17">
        <f>countif(ClusterJumps, A176)</f>
        <v>1</v>
      </c>
      <c r="D176" s="11" t="str">
        <f>If(Countif(ExcludedJumps, A176) &gt; 0, "Excluded", "Allowed")</f>
        <v>Allowed</v>
      </c>
      <c r="E176" s="46" t="s">
        <v>2432</v>
      </c>
    </row>
    <row r="177">
      <c r="C177" s="17">
        <f>countif(ClusterJumps, A177)</f>
        <v>0</v>
      </c>
      <c r="D177" s="11" t="str">
        <f>If(Countif(ExcludedJumps, A177) &gt; 0, "Excluded", "Allowed")</f>
        <v>Allowed</v>
      </c>
      <c r="E177" s="46" t="s">
        <v>2433</v>
      </c>
    </row>
    <row r="178">
      <c r="C178" s="17">
        <f>countif(ClusterJumps, A178)</f>
        <v>0</v>
      </c>
      <c r="D178" s="11" t="str">
        <f>If(Countif(ExcludedJumps, A178) &gt; 0, "Excluded", "Allowed")</f>
        <v>Excluded</v>
      </c>
      <c r="E178" s="46" t="s">
        <v>2434</v>
      </c>
    </row>
    <row r="179">
      <c r="C179" s="17">
        <f>countif(ClusterJumps, A179)</f>
        <v>0</v>
      </c>
      <c r="D179" s="11" t="str">
        <f>If(Countif(ExcludedJumps, A179) &gt; 0, "Excluded", "Allowed")</f>
        <v>Allowed</v>
      </c>
      <c r="E179" s="46" t="s">
        <v>2435</v>
      </c>
    </row>
    <row r="180">
      <c r="C180" s="17">
        <f>countif(ClusterJumps, A180)</f>
        <v>0</v>
      </c>
      <c r="D180" s="11" t="str">
        <f>If(Countif(ExcludedJumps, A180) &gt; 0, "Excluded", "Allowed")</f>
        <v>Excluded</v>
      </c>
      <c r="E180" s="46" t="s">
        <v>2436</v>
      </c>
    </row>
    <row r="181">
      <c r="C181" s="17">
        <f>countif(ClusterJumps, A181)</f>
        <v>0</v>
      </c>
      <c r="D181" s="11" t="str">
        <f>If(Countif(ExcludedJumps, A181) &gt; 0, "Excluded", "Allowed")</f>
        <v>Allowed</v>
      </c>
      <c r="E181" s="46" t="s">
        <v>2437</v>
      </c>
    </row>
    <row r="182">
      <c r="C182" s="17">
        <f>countif(ClusterJumps, A182)</f>
        <v>0</v>
      </c>
      <c r="D182" s="11" t="str">
        <f>If(Countif(ExcludedJumps, A182) &gt; 0, "Excluded", "Allowed")</f>
        <v>Excluded</v>
      </c>
      <c r="E182" s="46" t="s">
        <v>2438</v>
      </c>
    </row>
    <row r="183">
      <c r="C183" s="17">
        <f>countif(ClusterJumps, A183)</f>
        <v>1</v>
      </c>
      <c r="D183" s="11" t="str">
        <f>If(Countif(ExcludedJumps, A183) &gt; 0, "Excluded", "Allowed")</f>
        <v>Allowed</v>
      </c>
      <c r="E183" s="46" t="s">
        <v>165</v>
      </c>
    </row>
    <row r="184">
      <c r="C184" s="17">
        <f>countif(ClusterJumps, A184)</f>
        <v>0</v>
      </c>
      <c r="D184" s="11" t="str">
        <f>If(Countif(ExcludedJumps, A184) &gt; 0, "Excluded", "Allowed")</f>
        <v>Allowed</v>
      </c>
      <c r="E184" s="46" t="s">
        <v>2439</v>
      </c>
    </row>
    <row r="185">
      <c r="C185" s="17">
        <f>countif(ClusterJumps, A185)</f>
        <v>0</v>
      </c>
      <c r="D185" s="11" t="str">
        <f>If(Countif(ExcludedJumps, A185) &gt; 0, "Excluded", "Allowed")</f>
        <v>Allowed</v>
      </c>
      <c r="E185" s="46" t="s">
        <v>2440</v>
      </c>
    </row>
    <row r="186">
      <c r="C186" s="17">
        <f>countif(ClusterJumps, A186)</f>
        <v>0</v>
      </c>
      <c r="D186" s="11" t="str">
        <f>If(Countif(ExcludedJumps, A186) &gt; 0, "Excluded", "Allowed")</f>
        <v>Allowed</v>
      </c>
      <c r="E186" s="46" t="s">
        <v>2441</v>
      </c>
    </row>
    <row r="187">
      <c r="C187" s="17">
        <f>countif(ClusterJumps, A187)</f>
        <v>1</v>
      </c>
      <c r="D187" s="11" t="str">
        <f>If(Countif(ExcludedJumps, A187) &gt; 0, "Excluded", "Allowed")</f>
        <v>Allowed</v>
      </c>
      <c r="E187" s="46" t="s">
        <v>2442</v>
      </c>
    </row>
    <row r="188">
      <c r="C188" s="17">
        <f>countif(ClusterJumps, A188)</f>
        <v>1</v>
      </c>
      <c r="D188" s="11" t="str">
        <f>If(Countif(ExcludedJumps, A188) &gt; 0, "Excluded", "Allowed")</f>
        <v>Allowed</v>
      </c>
      <c r="E188" s="46" t="s">
        <v>60</v>
      </c>
    </row>
    <row r="189">
      <c r="C189" s="17">
        <f>countif(ClusterJumps, A189)</f>
        <v>0</v>
      </c>
      <c r="D189" s="11" t="str">
        <f>If(Countif(ExcludedJumps, A189) &gt; 0, "Excluded", "Allowed")</f>
        <v>Allowed</v>
      </c>
      <c r="E189" s="46" t="s">
        <v>579</v>
      </c>
    </row>
    <row r="190">
      <c r="C190" s="17">
        <f>countif(ClusterJumps, A190)</f>
        <v>0</v>
      </c>
      <c r="D190" s="11" t="str">
        <f>If(Countif(ExcludedJumps, A190) &gt; 0, "Excluded", "Allowed")</f>
        <v>Excluded</v>
      </c>
      <c r="E190" s="46" t="s">
        <v>2443</v>
      </c>
    </row>
    <row r="191">
      <c r="C191" s="17">
        <f>countif(ClusterJumps, A191)</f>
        <v>0</v>
      </c>
      <c r="D191" s="11" t="str">
        <f>If(Countif(ExcludedJumps, A191) &gt; 0, "Excluded", "Allowed")</f>
        <v>Allowed</v>
      </c>
      <c r="E191" s="46" t="s">
        <v>2444</v>
      </c>
    </row>
    <row r="192">
      <c r="C192" s="17">
        <f>countif(ClusterJumps, A192)</f>
        <v>0</v>
      </c>
      <c r="D192" s="11" t="str">
        <f>If(Countif(ExcludedJumps, A192) &gt; 0, "Excluded", "Allowed")</f>
        <v>Excluded</v>
      </c>
      <c r="E192" s="46" t="s">
        <v>2445</v>
      </c>
    </row>
    <row r="193">
      <c r="C193" s="17">
        <f>countif(ClusterJumps, A193)</f>
        <v>1</v>
      </c>
      <c r="D193" s="11" t="str">
        <f>If(Countif(ExcludedJumps, A193) &gt; 0, "Excluded", "Allowed")</f>
        <v>Allowed</v>
      </c>
      <c r="E193" s="46" t="s">
        <v>2446</v>
      </c>
    </row>
    <row r="194">
      <c r="C194" s="17">
        <f>countif(ClusterJumps, A194)</f>
        <v>0</v>
      </c>
      <c r="D194" s="11" t="str">
        <f>If(Countif(ExcludedJumps, A194) &gt; 0, "Excluded", "Allowed")</f>
        <v>Allowed</v>
      </c>
      <c r="E194" s="46" t="s">
        <v>2447</v>
      </c>
    </row>
    <row r="195">
      <c r="C195" s="17">
        <f>countif(ClusterJumps, A195)</f>
        <v>0</v>
      </c>
      <c r="D195" s="11" t="str">
        <f>If(Countif(ExcludedJumps, A195) &gt; 0, "Excluded", "Allowed")</f>
        <v>Excluded</v>
      </c>
      <c r="E195" s="46" t="s">
        <v>2448</v>
      </c>
    </row>
    <row r="196">
      <c r="C196" s="17">
        <f>countif(ClusterJumps, A196)</f>
        <v>0</v>
      </c>
      <c r="D196" s="11" t="str">
        <f>If(Countif(ExcludedJumps, A196) &gt; 0, "Excluded", "Allowed")</f>
        <v>Allowed</v>
      </c>
      <c r="E196" s="46" t="s">
        <v>2449</v>
      </c>
    </row>
    <row r="197">
      <c r="C197" s="17">
        <f>countif(ClusterJumps, A197)</f>
        <v>0</v>
      </c>
      <c r="D197" s="11" t="str">
        <f>If(Countif(ExcludedJumps, A197) &gt; 0, "Excluded", "Allowed")</f>
        <v>Allowed</v>
      </c>
      <c r="E197" s="46" t="s">
        <v>2450</v>
      </c>
    </row>
    <row r="198">
      <c r="C198" s="17">
        <f>countif(ClusterJumps, A198)</f>
        <v>0</v>
      </c>
      <c r="D198" s="11" t="str">
        <f>If(Countif(ExcludedJumps, A198) &gt; 0, "Excluded", "Allowed")</f>
        <v>Allowed</v>
      </c>
      <c r="E198" s="46" t="s">
        <v>2451</v>
      </c>
    </row>
    <row r="199">
      <c r="C199" s="17">
        <f>countif(ClusterJumps, A199)</f>
        <v>0</v>
      </c>
      <c r="D199" s="11" t="str">
        <f>If(Countif(ExcludedJumps, A199) &gt; 0, "Excluded", "Allowed")</f>
        <v>Excluded</v>
      </c>
      <c r="E199" s="46" t="s">
        <v>2452</v>
      </c>
    </row>
    <row r="200">
      <c r="C200" s="17">
        <f>countif(ClusterJumps, A200)</f>
        <v>2</v>
      </c>
      <c r="D200" s="11" t="str">
        <f>If(Countif(ExcludedJumps, A200) &gt; 0, "Excluded", "Allowed")</f>
        <v>Allowed</v>
      </c>
      <c r="E200" s="46" t="s">
        <v>2453</v>
      </c>
    </row>
    <row r="201">
      <c r="C201" s="17">
        <f>countif(ClusterJumps, A201)</f>
        <v>0</v>
      </c>
      <c r="D201" s="11" t="str">
        <f>If(Countif(ExcludedJumps, A201) &gt; 0, "Excluded", "Allowed")</f>
        <v>Allowed</v>
      </c>
      <c r="E201" s="46" t="s">
        <v>2454</v>
      </c>
    </row>
    <row r="202">
      <c r="C202" s="17">
        <f>countif(ClusterJumps, A202)</f>
        <v>0</v>
      </c>
      <c r="D202" s="11" t="str">
        <f>If(Countif(ExcludedJumps, A202) &gt; 0, "Excluded", "Allowed")</f>
        <v>Excluded</v>
      </c>
      <c r="E202" s="46" t="s">
        <v>2455</v>
      </c>
    </row>
    <row r="203">
      <c r="C203" s="17">
        <f>countif(ClusterJumps, A203)</f>
        <v>0</v>
      </c>
      <c r="D203" s="11" t="str">
        <f>If(Countif(ExcludedJumps, A203) &gt; 0, "Excluded", "Allowed")</f>
        <v>Allowed</v>
      </c>
      <c r="E203" s="46" t="s">
        <v>325</v>
      </c>
    </row>
    <row r="204">
      <c r="C204" s="17">
        <f>countif(ClusterJumps, A204)</f>
        <v>0</v>
      </c>
      <c r="D204" s="11" t="str">
        <f>If(Countif(ExcludedJumps, A204) &gt; 0, "Excluded", "Allowed")</f>
        <v>Allowed</v>
      </c>
      <c r="E204" s="46" t="s">
        <v>1200</v>
      </c>
    </row>
    <row r="205">
      <c r="C205" s="17">
        <f>countif(ClusterJumps, A205)</f>
        <v>0</v>
      </c>
      <c r="D205" s="11" t="str">
        <f>If(Countif(ExcludedJumps, A205) &gt; 0, "Excluded", "Allowed")</f>
        <v>Excluded</v>
      </c>
      <c r="E205" s="46" t="s">
        <v>2456</v>
      </c>
    </row>
    <row r="206">
      <c r="C206" s="17">
        <f>countif(ClusterJumps, A206)</f>
        <v>0</v>
      </c>
      <c r="D206" s="11" t="str">
        <f>If(Countif(ExcludedJumps, A206) &gt; 0, "Excluded", "Allowed")</f>
        <v>Excluded</v>
      </c>
      <c r="E206" s="46" t="s">
        <v>1781</v>
      </c>
    </row>
    <row r="207">
      <c r="C207" s="17">
        <f>countif(ClusterJumps, A207)</f>
        <v>0</v>
      </c>
      <c r="D207" s="11" t="str">
        <f>If(Countif(ExcludedJumps, A207) &gt; 0, "Excluded", "Allowed")</f>
        <v>Allowed</v>
      </c>
      <c r="E207" s="46" t="s">
        <v>2457</v>
      </c>
    </row>
    <row r="208">
      <c r="C208" s="17">
        <f>countif(ClusterJumps, A208)</f>
        <v>0</v>
      </c>
      <c r="D208" s="11" t="str">
        <f>If(Countif(ExcludedJumps, A208) &gt; 0, "Excluded", "Allowed")</f>
        <v>Allowed</v>
      </c>
      <c r="E208" s="46" t="s">
        <v>2458</v>
      </c>
    </row>
    <row r="209">
      <c r="C209" s="17">
        <f>countif(ClusterJumps, A209)</f>
        <v>0</v>
      </c>
      <c r="D209" s="11" t="str">
        <f>If(Countif(ExcludedJumps, A209) &gt; 0, "Excluded", "Allowed")</f>
        <v>Allowed</v>
      </c>
      <c r="E209" s="46" t="s">
        <v>2459</v>
      </c>
    </row>
    <row r="210">
      <c r="C210" s="17">
        <f>countif(ClusterJumps, A210)</f>
        <v>0</v>
      </c>
      <c r="D210" s="11" t="str">
        <f>If(Countif(ExcludedJumps, A210) &gt; 0, "Excluded", "Allowed")</f>
        <v>Allowed</v>
      </c>
      <c r="E210" s="46" t="s">
        <v>2460</v>
      </c>
    </row>
    <row r="211">
      <c r="C211" s="17">
        <f>countif(ClusterJumps, A211)</f>
        <v>0</v>
      </c>
      <c r="D211" s="11" t="str">
        <f>If(Countif(ExcludedJumps, A211) &gt; 0, "Excluded", "Allowed")</f>
        <v>Excluded</v>
      </c>
      <c r="E211" s="46" t="s">
        <v>2461</v>
      </c>
    </row>
    <row r="212">
      <c r="C212" s="17">
        <f>countif(ClusterJumps, A212)</f>
        <v>0</v>
      </c>
      <c r="D212" s="11" t="str">
        <f>If(Countif(ExcludedJumps, A212) &gt; 0, "Excluded", "Allowed")</f>
        <v>Excluded</v>
      </c>
      <c r="E212" s="46" t="s">
        <v>2462</v>
      </c>
    </row>
    <row r="213">
      <c r="C213" s="17">
        <f>countif(ClusterJumps, A213)</f>
        <v>0</v>
      </c>
      <c r="D213" s="11" t="str">
        <f>If(Countif(ExcludedJumps, A213) &gt; 0, "Excluded", "Allowed")</f>
        <v>Excluded</v>
      </c>
      <c r="E213" s="46" t="s">
        <v>2463</v>
      </c>
    </row>
    <row r="214">
      <c r="C214" s="17">
        <f>countif(ClusterJumps, A214)</f>
        <v>0</v>
      </c>
      <c r="D214" s="11" t="str">
        <f>If(Countif(ExcludedJumps, A214) &gt; 0, "Excluded", "Allowed")</f>
        <v>Allowed</v>
      </c>
      <c r="E214" s="46" t="s">
        <v>2464</v>
      </c>
    </row>
    <row r="215">
      <c r="C215" s="17">
        <f>countif(ClusterJumps, A215)</f>
        <v>0</v>
      </c>
      <c r="D215" s="11" t="str">
        <f>If(Countif(ExcludedJumps, A215) &gt; 0, "Excluded", "Allowed")</f>
        <v>Allowed</v>
      </c>
      <c r="E215" s="46" t="s">
        <v>2465</v>
      </c>
    </row>
    <row r="216">
      <c r="C216" s="17">
        <f>countif(ClusterJumps, A216)</f>
        <v>0</v>
      </c>
      <c r="D216" s="11" t="str">
        <f>If(Countif(ExcludedJumps, A216) &gt; 0, "Excluded", "Allowed")</f>
        <v>Allowed</v>
      </c>
      <c r="E216" s="46" t="s">
        <v>2466</v>
      </c>
    </row>
    <row r="217">
      <c r="C217" s="17">
        <f>countif(ClusterJumps, A217)</f>
        <v>0</v>
      </c>
      <c r="D217" s="11" t="str">
        <f>If(Countif(ExcludedJumps, A217) &gt; 0, "Excluded", "Allowed")</f>
        <v>Allowed</v>
      </c>
      <c r="E217" s="46" t="s">
        <v>2467</v>
      </c>
    </row>
    <row r="218">
      <c r="C218" s="47">
        <f>SUM(C2:C217)</f>
        <v>53</v>
      </c>
      <c r="D218" s="47">
        <f>COUNTIF(D2:D217,"=Allowed")</f>
        <v>135</v>
      </c>
      <c r="E218" s="47"/>
    </row>
    <row r="219">
      <c r="A219" s="31"/>
    </row>
    <row r="220">
      <c r="A220" s="31"/>
    </row>
    <row r="221">
      <c r="A221" s="31"/>
    </row>
    <row r="222">
      <c r="A222" s="31"/>
    </row>
    <row r="223">
      <c r="A223" s="31"/>
    </row>
    <row r="224">
      <c r="A224" s="31"/>
    </row>
    <row r="225">
      <c r="A225" s="31"/>
    </row>
    <row r="226">
      <c r="A226" s="31"/>
    </row>
    <row r="227">
      <c r="A227" s="31"/>
    </row>
    <row r="228">
      <c r="A228" s="31"/>
    </row>
    <row r="229">
      <c r="A229" s="31"/>
    </row>
    <row r="230">
      <c r="A230" s="31"/>
    </row>
    <row r="231">
      <c r="A231" s="31"/>
    </row>
    <row r="232">
      <c r="A232" s="31"/>
    </row>
    <row r="233">
      <c r="A233" s="31"/>
    </row>
    <row r="234">
      <c r="A234" s="31"/>
    </row>
    <row r="235">
      <c r="A235" s="31"/>
    </row>
    <row r="236">
      <c r="A236" s="31"/>
    </row>
    <row r="237">
      <c r="A237" s="31"/>
    </row>
    <row r="238">
      <c r="A238" s="31"/>
    </row>
    <row r="239">
      <c r="A239" s="31"/>
    </row>
    <row r="240">
      <c r="A240" s="31"/>
    </row>
    <row r="241">
      <c r="A241" s="31"/>
    </row>
    <row r="242">
      <c r="A242" s="31"/>
    </row>
    <row r="243">
      <c r="A243" s="31"/>
    </row>
    <row r="244">
      <c r="A244" s="31"/>
    </row>
    <row r="245">
      <c r="A245" s="31"/>
    </row>
    <row r="246">
      <c r="A246" s="31"/>
    </row>
    <row r="247">
      <c r="A247" s="31"/>
    </row>
    <row r="248">
      <c r="A248" s="31"/>
    </row>
    <row r="249">
      <c r="A249" s="31"/>
    </row>
    <row r="250">
      <c r="A250" s="31"/>
    </row>
    <row r="251">
      <c r="A251" s="31"/>
    </row>
    <row r="252">
      <c r="A252" s="31"/>
    </row>
    <row r="253">
      <c r="A253" s="31"/>
    </row>
    <row r="254">
      <c r="A254" s="31"/>
    </row>
    <row r="255">
      <c r="A255" s="31"/>
    </row>
    <row r="256">
      <c r="A256" s="31"/>
    </row>
    <row r="257">
      <c r="A257" s="31"/>
    </row>
    <row r="258">
      <c r="A258" s="31"/>
    </row>
    <row r="259">
      <c r="A259" s="31"/>
    </row>
    <row r="260">
      <c r="A260" s="31"/>
    </row>
    <row r="261">
      <c r="A261" s="31"/>
    </row>
    <row r="262">
      <c r="A262" s="31"/>
    </row>
    <row r="263">
      <c r="A263" s="31"/>
    </row>
    <row r="264">
      <c r="A264" s="31"/>
    </row>
    <row r="265">
      <c r="A265" s="31"/>
    </row>
    <row r="266">
      <c r="A266" s="31"/>
    </row>
    <row r="267">
      <c r="A267" s="31"/>
    </row>
    <row r="268">
      <c r="A268" s="31"/>
    </row>
    <row r="269">
      <c r="A269" s="31"/>
    </row>
    <row r="270">
      <c r="A270" s="31"/>
    </row>
    <row r="271">
      <c r="A271" s="31"/>
    </row>
    <row r="272">
      <c r="A272" s="31"/>
    </row>
    <row r="273">
      <c r="A273" s="31"/>
    </row>
    <row r="274">
      <c r="A274" s="31"/>
    </row>
    <row r="275">
      <c r="A275" s="31"/>
    </row>
    <row r="276">
      <c r="A276" s="31"/>
    </row>
    <row r="277">
      <c r="A277" s="31"/>
    </row>
    <row r="278">
      <c r="A278" s="31"/>
    </row>
    <row r="279">
      <c r="A279" s="31"/>
    </row>
    <row r="280">
      <c r="A280" s="31"/>
    </row>
    <row r="281">
      <c r="A281" s="31"/>
    </row>
    <row r="282">
      <c r="A282" s="31"/>
    </row>
    <row r="283">
      <c r="A283" s="31"/>
    </row>
    <row r="284">
      <c r="A284" s="31"/>
    </row>
    <row r="285">
      <c r="A285" s="31"/>
    </row>
    <row r="286">
      <c r="A286" s="31"/>
    </row>
    <row r="287">
      <c r="A287" s="31"/>
    </row>
    <row r="288">
      <c r="A288" s="31"/>
    </row>
    <row r="289">
      <c r="A289" s="31"/>
    </row>
    <row r="290">
      <c r="A290" s="31"/>
    </row>
    <row r="291">
      <c r="A291" s="31"/>
    </row>
    <row r="292">
      <c r="A292" s="31"/>
    </row>
    <row r="293">
      <c r="A293" s="31"/>
    </row>
    <row r="294">
      <c r="A294" s="31"/>
    </row>
    <row r="295">
      <c r="A295" s="31"/>
    </row>
    <row r="296">
      <c r="A296" s="31"/>
    </row>
    <row r="297">
      <c r="A297" s="31"/>
    </row>
    <row r="298">
      <c r="A298" s="31"/>
    </row>
    <row r="299">
      <c r="A299" s="31"/>
    </row>
    <row r="300">
      <c r="A300" s="31"/>
    </row>
    <row r="301">
      <c r="A301" s="31"/>
    </row>
    <row r="302">
      <c r="A302" s="31"/>
    </row>
    <row r="303">
      <c r="A303" s="31"/>
    </row>
    <row r="304">
      <c r="A304" s="31"/>
    </row>
    <row r="305">
      <c r="A305" s="31"/>
    </row>
    <row r="306">
      <c r="A306" s="31"/>
    </row>
    <row r="307">
      <c r="A307" s="31"/>
    </row>
    <row r="308">
      <c r="A308" s="31"/>
    </row>
    <row r="309">
      <c r="A309" s="31"/>
    </row>
    <row r="310">
      <c r="A310" s="31"/>
    </row>
    <row r="311">
      <c r="A311" s="31"/>
    </row>
    <row r="312">
      <c r="A312" s="31"/>
    </row>
    <row r="313">
      <c r="A313" s="31"/>
    </row>
    <row r="314">
      <c r="A314" s="31"/>
    </row>
    <row r="315">
      <c r="A315" s="31"/>
    </row>
    <row r="316">
      <c r="A316" s="31"/>
    </row>
    <row r="317">
      <c r="A317" s="31"/>
    </row>
    <row r="318">
      <c r="A318" s="31"/>
    </row>
    <row r="319">
      <c r="A319" s="31"/>
    </row>
    <row r="320">
      <c r="A320" s="31"/>
    </row>
    <row r="321">
      <c r="A321" s="31"/>
    </row>
    <row r="322">
      <c r="A322" s="31"/>
    </row>
    <row r="323">
      <c r="A323" s="31"/>
    </row>
    <row r="324">
      <c r="A324" s="31"/>
    </row>
    <row r="325">
      <c r="A325" s="31"/>
    </row>
    <row r="326">
      <c r="A326" s="31"/>
    </row>
    <row r="327">
      <c r="A327" s="31"/>
    </row>
    <row r="328">
      <c r="A328" s="31"/>
    </row>
    <row r="329">
      <c r="A329" s="31"/>
    </row>
    <row r="330">
      <c r="A330" s="31"/>
    </row>
    <row r="331">
      <c r="A331" s="31"/>
    </row>
    <row r="332">
      <c r="A332" s="31"/>
    </row>
    <row r="333">
      <c r="A333" s="31"/>
    </row>
    <row r="334">
      <c r="A334" s="31"/>
    </row>
    <row r="335">
      <c r="A335" s="31"/>
    </row>
    <row r="336">
      <c r="A336" s="31"/>
    </row>
    <row r="337">
      <c r="A337" s="31"/>
    </row>
    <row r="338">
      <c r="A338" s="31"/>
    </row>
    <row r="339">
      <c r="A339" s="31"/>
    </row>
    <row r="340">
      <c r="A340" s="31"/>
    </row>
    <row r="341">
      <c r="A341" s="31"/>
    </row>
    <row r="342">
      <c r="A342" s="31"/>
    </row>
    <row r="343">
      <c r="A343" s="31"/>
    </row>
    <row r="344">
      <c r="A344" s="31"/>
    </row>
    <row r="345">
      <c r="A345" s="31"/>
    </row>
    <row r="346">
      <c r="A346" s="31"/>
    </row>
    <row r="347">
      <c r="A347" s="31"/>
    </row>
    <row r="348">
      <c r="A348" s="31"/>
    </row>
    <row r="349">
      <c r="A349" s="31"/>
    </row>
    <row r="350">
      <c r="A350" s="31"/>
    </row>
    <row r="351">
      <c r="A351" s="31"/>
    </row>
    <row r="352">
      <c r="A352" s="31"/>
    </row>
    <row r="353">
      <c r="A353" s="31"/>
    </row>
    <row r="354">
      <c r="A354" s="31"/>
    </row>
    <row r="355">
      <c r="A355" s="31"/>
    </row>
    <row r="356">
      <c r="A356" s="31"/>
    </row>
    <row r="357">
      <c r="A357" s="31"/>
    </row>
    <row r="358">
      <c r="A358" s="31"/>
    </row>
    <row r="359">
      <c r="A359" s="31"/>
    </row>
    <row r="360">
      <c r="A360" s="31"/>
    </row>
    <row r="361">
      <c r="A361" s="31"/>
    </row>
    <row r="362">
      <c r="A362" s="31"/>
    </row>
    <row r="363">
      <c r="A363" s="31"/>
    </row>
    <row r="364">
      <c r="A364" s="31"/>
    </row>
    <row r="365">
      <c r="A365" s="31"/>
    </row>
    <row r="366">
      <c r="A366" s="31"/>
    </row>
    <row r="367">
      <c r="A367" s="31"/>
    </row>
    <row r="368">
      <c r="A368" s="31"/>
    </row>
    <row r="369">
      <c r="A369" s="31"/>
    </row>
    <row r="370">
      <c r="A370" s="31"/>
    </row>
    <row r="371">
      <c r="A371" s="31"/>
    </row>
    <row r="372">
      <c r="A372" s="31"/>
    </row>
    <row r="373">
      <c r="A373" s="31"/>
    </row>
    <row r="374">
      <c r="A374" s="31"/>
    </row>
    <row r="375">
      <c r="A375" s="31"/>
    </row>
    <row r="376">
      <c r="A376" s="31"/>
    </row>
    <row r="377">
      <c r="A377" s="31"/>
    </row>
    <row r="378">
      <c r="A378" s="31"/>
    </row>
    <row r="379">
      <c r="A379" s="31"/>
    </row>
    <row r="380">
      <c r="A380" s="31"/>
    </row>
    <row r="381">
      <c r="A381" s="31"/>
    </row>
    <row r="382">
      <c r="A382" s="31"/>
    </row>
    <row r="383">
      <c r="A383" s="31"/>
    </row>
    <row r="384">
      <c r="A384" s="31"/>
    </row>
    <row r="385">
      <c r="A385" s="31"/>
    </row>
    <row r="386">
      <c r="A386" s="31"/>
    </row>
    <row r="387">
      <c r="A387" s="31"/>
    </row>
    <row r="388">
      <c r="A388" s="31"/>
    </row>
    <row r="389">
      <c r="A389" s="31"/>
    </row>
    <row r="390">
      <c r="A390" s="31"/>
    </row>
    <row r="391">
      <c r="A391" s="31"/>
    </row>
    <row r="392">
      <c r="A392" s="31"/>
    </row>
    <row r="393">
      <c r="A393" s="31"/>
    </row>
    <row r="394">
      <c r="A394" s="31"/>
    </row>
    <row r="395">
      <c r="A395" s="31"/>
    </row>
    <row r="396">
      <c r="A396" s="31"/>
    </row>
    <row r="397">
      <c r="A397" s="31"/>
    </row>
    <row r="398">
      <c r="A398" s="31"/>
    </row>
    <row r="399">
      <c r="A399" s="31"/>
    </row>
    <row r="400">
      <c r="A400" s="31"/>
    </row>
    <row r="401">
      <c r="A401" s="31"/>
    </row>
    <row r="402">
      <c r="A402" s="31"/>
    </row>
    <row r="403">
      <c r="A403" s="31"/>
    </row>
    <row r="404">
      <c r="A404" s="31"/>
    </row>
    <row r="405">
      <c r="A405" s="31"/>
    </row>
    <row r="406">
      <c r="A406" s="31"/>
    </row>
    <row r="407">
      <c r="A407" s="31"/>
    </row>
    <row r="408">
      <c r="A408" s="31"/>
    </row>
    <row r="409">
      <c r="A409" s="31"/>
    </row>
    <row r="410">
      <c r="A410" s="31"/>
    </row>
    <row r="411">
      <c r="A411" s="31"/>
    </row>
    <row r="412">
      <c r="A412" s="31"/>
    </row>
    <row r="413">
      <c r="A413" s="31"/>
    </row>
    <row r="414">
      <c r="A414" s="31"/>
    </row>
    <row r="415">
      <c r="A415" s="31"/>
    </row>
    <row r="416">
      <c r="A416" s="31"/>
    </row>
    <row r="417">
      <c r="A417" s="31"/>
    </row>
    <row r="418">
      <c r="A418" s="31"/>
    </row>
    <row r="419">
      <c r="A419" s="31"/>
    </row>
    <row r="420">
      <c r="A420" s="31"/>
    </row>
    <row r="421">
      <c r="A421" s="31"/>
    </row>
    <row r="422">
      <c r="A422" s="31"/>
    </row>
    <row r="423">
      <c r="A423" s="31"/>
    </row>
    <row r="424">
      <c r="A424" s="31"/>
    </row>
    <row r="425">
      <c r="A425" s="31"/>
    </row>
    <row r="426">
      <c r="A426" s="31"/>
    </row>
    <row r="427">
      <c r="A427" s="31"/>
    </row>
    <row r="428">
      <c r="A428" s="31"/>
    </row>
    <row r="429">
      <c r="A429" s="31"/>
    </row>
    <row r="430">
      <c r="A430" s="31"/>
    </row>
    <row r="431">
      <c r="A431" s="31"/>
    </row>
    <row r="432">
      <c r="A432" s="31"/>
    </row>
    <row r="433">
      <c r="A433" s="31"/>
    </row>
    <row r="434">
      <c r="A434" s="31"/>
    </row>
    <row r="435">
      <c r="A435" s="31"/>
    </row>
    <row r="436">
      <c r="A436" s="31"/>
    </row>
    <row r="437">
      <c r="A437" s="31"/>
    </row>
    <row r="438">
      <c r="A438" s="31"/>
    </row>
    <row r="439">
      <c r="A439" s="31"/>
    </row>
    <row r="440">
      <c r="A440" s="31"/>
    </row>
    <row r="441">
      <c r="A441" s="31"/>
    </row>
    <row r="442">
      <c r="A442" s="31"/>
    </row>
    <row r="443">
      <c r="A443" s="31"/>
    </row>
    <row r="444">
      <c r="A444" s="31"/>
    </row>
    <row r="445">
      <c r="A445" s="31"/>
    </row>
    <row r="446">
      <c r="A446" s="31"/>
    </row>
    <row r="447">
      <c r="A447" s="31"/>
    </row>
    <row r="448">
      <c r="A448" s="31"/>
    </row>
    <row r="449">
      <c r="A449" s="31"/>
    </row>
    <row r="450">
      <c r="A450" s="31"/>
    </row>
    <row r="451">
      <c r="A451" s="31"/>
    </row>
    <row r="452">
      <c r="A452" s="31"/>
    </row>
    <row r="453">
      <c r="A453" s="31"/>
    </row>
    <row r="454">
      <c r="A454" s="31"/>
    </row>
    <row r="455">
      <c r="A455" s="31"/>
    </row>
    <row r="456">
      <c r="A456" s="31"/>
    </row>
    <row r="457">
      <c r="A457" s="31"/>
    </row>
    <row r="458">
      <c r="A458" s="31"/>
    </row>
    <row r="459">
      <c r="A459" s="31"/>
    </row>
    <row r="460">
      <c r="A460" s="31"/>
    </row>
    <row r="461">
      <c r="A461" s="31"/>
    </row>
    <row r="462">
      <c r="A462" s="31"/>
    </row>
    <row r="463">
      <c r="A463" s="31"/>
    </row>
    <row r="464">
      <c r="A464" s="31"/>
    </row>
    <row r="465">
      <c r="A465" s="31"/>
    </row>
    <row r="466">
      <c r="A466" s="31"/>
    </row>
    <row r="467">
      <c r="A467" s="31"/>
    </row>
    <row r="468">
      <c r="A468" s="31"/>
    </row>
    <row r="469">
      <c r="A469" s="31"/>
    </row>
    <row r="470">
      <c r="A470" s="31"/>
    </row>
    <row r="471">
      <c r="A471" s="31"/>
    </row>
    <row r="472">
      <c r="A472" s="31"/>
    </row>
    <row r="473">
      <c r="A473" s="31"/>
    </row>
    <row r="474">
      <c r="A474" s="31"/>
    </row>
    <row r="475">
      <c r="A475" s="31"/>
    </row>
    <row r="476">
      <c r="A476" s="31"/>
    </row>
    <row r="477">
      <c r="A477" s="31"/>
    </row>
    <row r="478">
      <c r="A478" s="31"/>
    </row>
    <row r="479">
      <c r="A479" s="31"/>
    </row>
    <row r="480">
      <c r="A480" s="31"/>
    </row>
    <row r="481">
      <c r="A481" s="31"/>
    </row>
    <row r="482">
      <c r="A482" s="31"/>
    </row>
    <row r="483">
      <c r="A483" s="31"/>
    </row>
    <row r="484">
      <c r="A484" s="31"/>
    </row>
    <row r="485">
      <c r="A485" s="31"/>
    </row>
    <row r="486">
      <c r="A486" s="31"/>
    </row>
    <row r="487">
      <c r="A487" s="31"/>
    </row>
    <row r="488">
      <c r="A488" s="31"/>
    </row>
    <row r="489">
      <c r="A489" s="31"/>
    </row>
    <row r="490">
      <c r="A490" s="31"/>
    </row>
    <row r="491">
      <c r="A491" s="31"/>
    </row>
    <row r="492">
      <c r="A492" s="31"/>
    </row>
    <row r="493">
      <c r="A493" s="31"/>
    </row>
    <row r="494">
      <c r="A494" s="31"/>
    </row>
    <row r="495">
      <c r="A495" s="31"/>
    </row>
    <row r="496">
      <c r="A496" s="31"/>
    </row>
    <row r="497">
      <c r="A497" s="31"/>
    </row>
    <row r="498">
      <c r="A498" s="31"/>
    </row>
    <row r="499">
      <c r="A499" s="31"/>
    </row>
    <row r="500">
      <c r="A500" s="31"/>
    </row>
    <row r="501">
      <c r="A501" s="31"/>
    </row>
    <row r="502">
      <c r="A502" s="31"/>
    </row>
    <row r="503">
      <c r="A503" s="31"/>
    </row>
    <row r="504">
      <c r="A504" s="31"/>
    </row>
    <row r="505">
      <c r="A505" s="31"/>
    </row>
    <row r="506">
      <c r="A506" s="31"/>
    </row>
    <row r="507">
      <c r="A507" s="31"/>
    </row>
    <row r="508">
      <c r="A508" s="31"/>
    </row>
    <row r="509">
      <c r="A509" s="31"/>
    </row>
    <row r="510">
      <c r="A510" s="31"/>
    </row>
    <row r="511">
      <c r="A511" s="31"/>
    </row>
    <row r="512">
      <c r="A512" s="31"/>
    </row>
    <row r="513">
      <c r="A513" s="31"/>
    </row>
    <row r="514">
      <c r="A514" s="31"/>
    </row>
    <row r="515">
      <c r="A515" s="31"/>
    </row>
    <row r="516">
      <c r="A516" s="31"/>
    </row>
    <row r="517">
      <c r="A517" s="31"/>
    </row>
    <row r="518">
      <c r="A518" s="31"/>
    </row>
    <row r="519">
      <c r="A519" s="31"/>
    </row>
    <row r="520">
      <c r="A520" s="31"/>
    </row>
    <row r="521">
      <c r="A521" s="31"/>
    </row>
    <row r="522">
      <c r="A522" s="31"/>
    </row>
    <row r="523">
      <c r="A523" s="31"/>
    </row>
    <row r="524">
      <c r="A524" s="31"/>
    </row>
    <row r="525">
      <c r="A525" s="31"/>
    </row>
    <row r="526">
      <c r="A526" s="31"/>
    </row>
    <row r="527">
      <c r="A527" s="31"/>
    </row>
    <row r="528">
      <c r="A528" s="31"/>
    </row>
    <row r="529">
      <c r="A529" s="31"/>
    </row>
    <row r="530">
      <c r="A530" s="31"/>
    </row>
    <row r="531">
      <c r="A531" s="31"/>
    </row>
    <row r="532">
      <c r="A532" s="31"/>
    </row>
    <row r="533">
      <c r="A533" s="31"/>
    </row>
    <row r="534">
      <c r="A534" s="31"/>
    </row>
    <row r="535">
      <c r="A535" s="31"/>
    </row>
    <row r="536">
      <c r="A536" s="31"/>
    </row>
    <row r="537">
      <c r="A537" s="31"/>
    </row>
    <row r="538">
      <c r="A538" s="31"/>
    </row>
    <row r="539">
      <c r="A539" s="31"/>
    </row>
    <row r="540">
      <c r="A540" s="31"/>
    </row>
    <row r="541">
      <c r="A541" s="31"/>
    </row>
    <row r="542">
      <c r="A542" s="31"/>
    </row>
    <row r="543">
      <c r="A543" s="31"/>
    </row>
    <row r="544">
      <c r="A544" s="31"/>
    </row>
    <row r="545">
      <c r="A545" s="31"/>
    </row>
    <row r="546">
      <c r="A546" s="31"/>
    </row>
    <row r="547">
      <c r="A547" s="31"/>
    </row>
    <row r="548">
      <c r="A548" s="31"/>
    </row>
    <row r="549">
      <c r="A549" s="31"/>
    </row>
    <row r="550">
      <c r="A550" s="31"/>
    </row>
    <row r="551">
      <c r="A551" s="31"/>
    </row>
    <row r="552">
      <c r="A552" s="31"/>
    </row>
    <row r="553">
      <c r="A553" s="31"/>
    </row>
    <row r="554">
      <c r="A554" s="31"/>
    </row>
    <row r="555">
      <c r="A555" s="31"/>
    </row>
    <row r="556">
      <c r="A556" s="31"/>
    </row>
    <row r="557">
      <c r="A557" s="31"/>
    </row>
    <row r="558">
      <c r="A558" s="31"/>
    </row>
    <row r="559">
      <c r="A559" s="31"/>
    </row>
    <row r="560">
      <c r="A560" s="31"/>
    </row>
    <row r="561">
      <c r="A561" s="31"/>
    </row>
    <row r="562">
      <c r="A562" s="31"/>
    </row>
    <row r="563">
      <c r="A563" s="31"/>
    </row>
    <row r="564">
      <c r="A564" s="31"/>
    </row>
    <row r="565">
      <c r="A565" s="31"/>
    </row>
    <row r="566">
      <c r="A566" s="31"/>
    </row>
    <row r="567">
      <c r="A567" s="31"/>
    </row>
    <row r="568">
      <c r="A568" s="31"/>
    </row>
    <row r="569">
      <c r="A569" s="31"/>
    </row>
    <row r="570">
      <c r="A570" s="31"/>
    </row>
    <row r="571">
      <c r="A571" s="31"/>
    </row>
    <row r="572">
      <c r="A572" s="31"/>
    </row>
    <row r="573">
      <c r="A573" s="31"/>
    </row>
    <row r="574">
      <c r="A574" s="31"/>
    </row>
    <row r="575">
      <c r="A575" s="31"/>
    </row>
    <row r="576">
      <c r="A576" s="31"/>
    </row>
    <row r="577">
      <c r="A577" s="31"/>
    </row>
    <row r="578">
      <c r="A578" s="31"/>
    </row>
    <row r="579">
      <c r="A579" s="31"/>
    </row>
    <row r="580">
      <c r="A580" s="31"/>
    </row>
    <row r="581">
      <c r="A581" s="31"/>
    </row>
    <row r="582">
      <c r="A582" s="31"/>
    </row>
    <row r="583">
      <c r="A583" s="31"/>
    </row>
    <row r="584">
      <c r="A584" s="31"/>
    </row>
    <row r="585">
      <c r="A585" s="31"/>
    </row>
    <row r="586">
      <c r="A586" s="31"/>
    </row>
    <row r="587">
      <c r="A587" s="31"/>
    </row>
    <row r="588">
      <c r="A588" s="31"/>
    </row>
    <row r="589">
      <c r="A589" s="31"/>
    </row>
    <row r="590">
      <c r="A590" s="31"/>
    </row>
    <row r="591">
      <c r="A591" s="31"/>
    </row>
    <row r="592">
      <c r="A592" s="31"/>
    </row>
    <row r="593">
      <c r="A593" s="31"/>
    </row>
    <row r="594">
      <c r="A594" s="31"/>
    </row>
    <row r="595">
      <c r="A595" s="31"/>
    </row>
    <row r="596">
      <c r="A596" s="31"/>
    </row>
    <row r="597">
      <c r="A597" s="31"/>
    </row>
    <row r="598">
      <c r="A598" s="31"/>
    </row>
    <row r="599">
      <c r="A599" s="31"/>
    </row>
    <row r="600">
      <c r="A600" s="31"/>
    </row>
    <row r="601">
      <c r="A601" s="31"/>
    </row>
    <row r="602">
      <c r="A602" s="31"/>
    </row>
    <row r="603">
      <c r="A603" s="31"/>
    </row>
    <row r="604">
      <c r="A604" s="31"/>
    </row>
    <row r="605">
      <c r="A605" s="31"/>
    </row>
    <row r="606">
      <c r="A606" s="31"/>
    </row>
    <row r="607">
      <c r="A607" s="31"/>
    </row>
    <row r="608">
      <c r="A608" s="31"/>
    </row>
    <row r="609">
      <c r="A609" s="31"/>
    </row>
    <row r="610">
      <c r="A610" s="31"/>
    </row>
    <row r="611">
      <c r="A611" s="31"/>
    </row>
    <row r="612">
      <c r="A612" s="31"/>
    </row>
    <row r="613">
      <c r="A613" s="31"/>
    </row>
    <row r="614">
      <c r="A614" s="31"/>
    </row>
    <row r="615">
      <c r="A615" s="31"/>
    </row>
    <row r="616">
      <c r="A616" s="31"/>
    </row>
    <row r="617">
      <c r="A617" s="31"/>
    </row>
    <row r="618">
      <c r="A618" s="31"/>
    </row>
    <row r="619">
      <c r="A619" s="31"/>
    </row>
    <row r="620">
      <c r="A620" s="31"/>
    </row>
    <row r="621">
      <c r="A621" s="31"/>
    </row>
    <row r="622">
      <c r="A622" s="31"/>
    </row>
    <row r="623">
      <c r="A623" s="31"/>
    </row>
    <row r="624">
      <c r="A624" s="31"/>
    </row>
    <row r="625">
      <c r="A625" s="31"/>
    </row>
    <row r="626">
      <c r="A626" s="31"/>
    </row>
    <row r="627">
      <c r="A627" s="31"/>
    </row>
    <row r="628">
      <c r="A628" s="31"/>
    </row>
    <row r="629">
      <c r="A629" s="31"/>
    </row>
    <row r="630">
      <c r="A630" s="31"/>
    </row>
    <row r="631">
      <c r="A631" s="31"/>
    </row>
    <row r="632">
      <c r="A632" s="31"/>
    </row>
    <row r="633">
      <c r="A633" s="31"/>
    </row>
    <row r="634">
      <c r="A634" s="31"/>
    </row>
    <row r="635">
      <c r="A635" s="31"/>
    </row>
    <row r="636">
      <c r="A636" s="31"/>
    </row>
    <row r="637">
      <c r="A637" s="31"/>
    </row>
    <row r="638">
      <c r="A638" s="31"/>
    </row>
    <row r="639">
      <c r="A639" s="31"/>
    </row>
    <row r="640">
      <c r="A640" s="31"/>
    </row>
    <row r="641">
      <c r="A641" s="31"/>
    </row>
    <row r="642">
      <c r="A642" s="31"/>
    </row>
    <row r="643">
      <c r="A643" s="31"/>
    </row>
    <row r="644">
      <c r="A644" s="31"/>
    </row>
    <row r="645">
      <c r="A645" s="31"/>
    </row>
    <row r="646">
      <c r="A646" s="31"/>
    </row>
    <row r="647">
      <c r="A647" s="31"/>
    </row>
    <row r="648">
      <c r="A648" s="31"/>
    </row>
    <row r="649">
      <c r="A649" s="31"/>
    </row>
    <row r="650">
      <c r="A650" s="31"/>
    </row>
    <row r="651">
      <c r="A651" s="31"/>
    </row>
    <row r="652">
      <c r="A652" s="31"/>
    </row>
    <row r="653">
      <c r="A653" s="31"/>
    </row>
    <row r="654">
      <c r="A654" s="31"/>
    </row>
    <row r="655">
      <c r="A655" s="31"/>
    </row>
    <row r="656">
      <c r="A656" s="31"/>
    </row>
    <row r="657">
      <c r="A657" s="31"/>
    </row>
    <row r="658">
      <c r="A658" s="31"/>
    </row>
    <row r="659">
      <c r="A659" s="31"/>
    </row>
    <row r="660">
      <c r="A660" s="31"/>
    </row>
    <row r="661">
      <c r="A661" s="31"/>
    </row>
    <row r="662">
      <c r="A662" s="31"/>
    </row>
    <row r="663">
      <c r="A663" s="31"/>
    </row>
    <row r="664">
      <c r="A664" s="31"/>
    </row>
    <row r="665">
      <c r="A665" s="31"/>
    </row>
    <row r="666">
      <c r="A666" s="31"/>
    </row>
    <row r="667">
      <c r="A667" s="31"/>
    </row>
    <row r="668">
      <c r="A668" s="31"/>
    </row>
    <row r="669">
      <c r="A669" s="31"/>
    </row>
    <row r="670">
      <c r="A670" s="31"/>
    </row>
    <row r="671">
      <c r="A671" s="31"/>
    </row>
    <row r="672">
      <c r="A672" s="31"/>
    </row>
    <row r="673">
      <c r="A673" s="31"/>
    </row>
    <row r="674">
      <c r="A674" s="31"/>
    </row>
    <row r="675">
      <c r="A675" s="31"/>
    </row>
    <row r="676">
      <c r="A676" s="31"/>
    </row>
    <row r="677">
      <c r="A677" s="31"/>
    </row>
    <row r="678">
      <c r="A678" s="31"/>
    </row>
    <row r="679">
      <c r="A679" s="31"/>
    </row>
    <row r="680">
      <c r="A680" s="31"/>
    </row>
    <row r="681">
      <c r="A681" s="31"/>
    </row>
    <row r="682">
      <c r="A682" s="31"/>
    </row>
    <row r="683">
      <c r="A683" s="31"/>
    </row>
    <row r="684">
      <c r="A684" s="31"/>
    </row>
    <row r="685">
      <c r="A685" s="31"/>
    </row>
    <row r="686">
      <c r="A686" s="31"/>
    </row>
    <row r="687">
      <c r="A687" s="31"/>
    </row>
    <row r="688">
      <c r="A688" s="31"/>
    </row>
    <row r="689">
      <c r="A689" s="31"/>
    </row>
    <row r="690">
      <c r="A690" s="31"/>
    </row>
    <row r="691">
      <c r="A691" s="31"/>
    </row>
    <row r="692">
      <c r="A692" s="31"/>
    </row>
    <row r="693">
      <c r="A693" s="31"/>
    </row>
    <row r="694">
      <c r="A694" s="31"/>
    </row>
    <row r="695">
      <c r="A695" s="31"/>
    </row>
    <row r="696">
      <c r="A696" s="31"/>
    </row>
    <row r="697">
      <c r="A697" s="31"/>
    </row>
    <row r="698">
      <c r="A698" s="31"/>
    </row>
    <row r="699">
      <c r="A699" s="31"/>
    </row>
    <row r="700">
      <c r="A700" s="31"/>
    </row>
    <row r="701">
      <c r="A701" s="31"/>
    </row>
    <row r="702">
      <c r="A702" s="31"/>
    </row>
    <row r="703">
      <c r="A703" s="31"/>
    </row>
    <row r="704">
      <c r="A704" s="31"/>
    </row>
    <row r="705">
      <c r="A705" s="31"/>
    </row>
    <row r="706">
      <c r="A706" s="31"/>
    </row>
    <row r="707">
      <c r="A707" s="31"/>
    </row>
    <row r="708">
      <c r="A708" s="31"/>
    </row>
    <row r="709">
      <c r="A709" s="31"/>
    </row>
    <row r="710">
      <c r="A710" s="31"/>
    </row>
    <row r="711">
      <c r="A711" s="31"/>
    </row>
    <row r="712">
      <c r="A712" s="31"/>
    </row>
    <row r="713">
      <c r="A713" s="31"/>
    </row>
    <row r="714">
      <c r="A714" s="31"/>
    </row>
    <row r="715">
      <c r="A715" s="31"/>
    </row>
    <row r="716">
      <c r="A716" s="31"/>
    </row>
    <row r="717">
      <c r="A717" s="31"/>
    </row>
    <row r="718">
      <c r="A718" s="31"/>
    </row>
  </sheetData>
  <customSheetViews>
    <customSheetView guid="{467F0EF2-F6B4-4DA8-9B68-64E3C29AAEA4}" filter="1" showAutoFilter="1">
      <autoFilter ref="$D$1:$D$219">
        <filterColumn colId="0">
          <filters>
            <filter val="135"/>
            <filter val="Allowed"/>
          </filters>
        </filterColumn>
      </autoFilter>
    </customSheetView>
  </customSheetViews>
  <conditionalFormatting sqref="E1:E217">
    <cfRule type="containsBlanks" dxfId="0" priority="1">
      <formula>LEN(TRIM(E1))=0</formula>
    </cfRule>
  </conditionalFormatting>
  <hyperlinks>
    <hyperlink r:id="rId2" ref="E2"/>
    <hyperlink r:id="rId3" ref="E3"/>
    <hyperlink r:id="rId4" ref="E4"/>
    <hyperlink r:id="rId5" ref="E5"/>
    <hyperlink r:id="rId6" ref="E6"/>
    <hyperlink r:id="rId7" ref="E7"/>
    <hyperlink r:id="rId8" ref="E8"/>
    <hyperlink r:id="rId9" ref="E9"/>
    <hyperlink r:id="rId10" ref="E10"/>
    <hyperlink r:id="rId11" ref="E11"/>
    <hyperlink r:id="rId12" ref="E12"/>
    <hyperlink r:id="rId13" ref="E13"/>
    <hyperlink r:id="rId14" ref="E14"/>
    <hyperlink r:id="rId15" ref="E15"/>
    <hyperlink r:id="rId16" ref="E16"/>
    <hyperlink r:id="rId17" ref="E17"/>
    <hyperlink r:id="rId18" ref="E18"/>
    <hyperlink r:id="rId19" ref="E19"/>
    <hyperlink r:id="rId20" ref="E20"/>
    <hyperlink r:id="rId21" ref="E21"/>
    <hyperlink r:id="rId22" ref="E22"/>
    <hyperlink r:id="rId23" ref="E23"/>
    <hyperlink r:id="rId24" ref="E24"/>
    <hyperlink r:id="rId25" ref="E25"/>
    <hyperlink r:id="rId26" ref="E26"/>
    <hyperlink r:id="rId27" ref="E27"/>
    <hyperlink r:id="rId28" ref="E28"/>
    <hyperlink r:id="rId29" ref="E29"/>
    <hyperlink r:id="rId30" ref="E30"/>
    <hyperlink r:id="rId31" ref="E31"/>
    <hyperlink r:id="rId32" ref="E32"/>
    <hyperlink r:id="rId33" ref="E33"/>
    <hyperlink r:id="rId34" ref="E34"/>
    <hyperlink r:id="rId35" ref="E35"/>
    <hyperlink r:id="rId36" ref="E36"/>
    <hyperlink r:id="rId37" ref="E37"/>
    <hyperlink r:id="rId38" ref="E38"/>
    <hyperlink r:id="rId39" ref="E39"/>
    <hyperlink r:id="rId40" ref="E40"/>
    <hyperlink r:id="rId41" ref="E41"/>
    <hyperlink r:id="rId42" ref="E42"/>
    <hyperlink r:id="rId43" ref="E43"/>
    <hyperlink r:id="rId44" ref="E44"/>
    <hyperlink r:id="rId45" ref="E45"/>
    <hyperlink r:id="rId46" ref="E46"/>
    <hyperlink r:id="rId47" ref="E47"/>
    <hyperlink r:id="rId48" ref="E48"/>
    <hyperlink r:id="rId49" ref="E49"/>
    <hyperlink r:id="rId50" ref="E50"/>
    <hyperlink r:id="rId51" ref="E51"/>
    <hyperlink r:id="rId52" ref="E52"/>
    <hyperlink r:id="rId53" ref="E53"/>
    <hyperlink r:id="rId54" ref="E54"/>
    <hyperlink r:id="rId55" ref="E55"/>
    <hyperlink r:id="rId56" ref="E56"/>
    <hyperlink r:id="rId57" ref="E57"/>
    <hyperlink r:id="rId58" ref="E58"/>
    <hyperlink r:id="rId59" ref="E59"/>
    <hyperlink r:id="rId60" ref="E60"/>
    <hyperlink r:id="rId61" ref="E61"/>
    <hyperlink r:id="rId62" ref="E62"/>
    <hyperlink r:id="rId63" ref="E63"/>
    <hyperlink r:id="rId64" ref="E64"/>
    <hyperlink r:id="rId65" ref="E65"/>
    <hyperlink r:id="rId66" ref="E66"/>
    <hyperlink r:id="rId67" ref="E67"/>
    <hyperlink r:id="rId68" ref="E68"/>
    <hyperlink r:id="rId69" ref="E69"/>
    <hyperlink r:id="rId70" ref="E70"/>
    <hyperlink r:id="rId71" ref="E71"/>
    <hyperlink r:id="rId72" ref="E72"/>
    <hyperlink r:id="rId73" ref="E73"/>
    <hyperlink r:id="rId74" ref="E74"/>
    <hyperlink r:id="rId75" ref="E75"/>
    <hyperlink r:id="rId76" ref="E76"/>
    <hyperlink r:id="rId77" ref="E77"/>
    <hyperlink r:id="rId78" ref="E78"/>
    <hyperlink r:id="rId79" ref="E79"/>
    <hyperlink r:id="rId80" ref="E80"/>
    <hyperlink r:id="rId81" ref="E81"/>
    <hyperlink r:id="rId82" ref="E82"/>
    <hyperlink r:id="rId83" ref="E83"/>
    <hyperlink r:id="rId84" ref="E84"/>
    <hyperlink r:id="rId85" ref="E85"/>
    <hyperlink r:id="rId86" ref="E86"/>
    <hyperlink r:id="rId87" ref="E87"/>
    <hyperlink r:id="rId88" ref="E88"/>
    <hyperlink r:id="rId89" ref="E89"/>
    <hyperlink r:id="rId90" ref="E90"/>
    <hyperlink r:id="rId91" ref="E91"/>
    <hyperlink r:id="rId92" ref="E92"/>
    <hyperlink r:id="rId93" ref="E93"/>
    <hyperlink r:id="rId94" ref="E94"/>
    <hyperlink r:id="rId95" ref="E95"/>
    <hyperlink r:id="rId96" ref="E96"/>
    <hyperlink r:id="rId97" ref="E97"/>
    <hyperlink r:id="rId98" ref="E98"/>
    <hyperlink r:id="rId99" ref="E99"/>
    <hyperlink r:id="rId100" ref="E100"/>
    <hyperlink r:id="rId101" ref="E101"/>
    <hyperlink r:id="rId102" ref="E102"/>
    <hyperlink r:id="rId103" ref="E103"/>
    <hyperlink r:id="rId104" ref="E104"/>
    <hyperlink r:id="rId105" ref="E105"/>
    <hyperlink r:id="rId106" ref="E106"/>
    <hyperlink r:id="rId107" ref="E107"/>
    <hyperlink r:id="rId108" ref="E108"/>
    <hyperlink r:id="rId109" ref="E109"/>
    <hyperlink r:id="rId110" ref="E110"/>
    <hyperlink r:id="rId111" ref="E111"/>
    <hyperlink r:id="rId112" ref="E112"/>
    <hyperlink r:id="rId113" ref="E113"/>
    <hyperlink r:id="rId114" ref="E114"/>
    <hyperlink r:id="rId115" ref="E115"/>
    <hyperlink r:id="rId116" ref="E116"/>
    <hyperlink r:id="rId117" ref="E117"/>
    <hyperlink r:id="rId118" ref="E118"/>
    <hyperlink r:id="rId119" ref="E119"/>
    <hyperlink r:id="rId120" ref="E120"/>
    <hyperlink r:id="rId121" ref="E121"/>
    <hyperlink r:id="rId122" ref="E122"/>
    <hyperlink r:id="rId123" ref="E123"/>
    <hyperlink r:id="rId124" ref="E124"/>
    <hyperlink r:id="rId125" ref="E125"/>
    <hyperlink r:id="rId126" ref="E126"/>
    <hyperlink r:id="rId127" ref="E127"/>
    <hyperlink r:id="rId128" ref="E128"/>
    <hyperlink r:id="rId129" ref="E129"/>
    <hyperlink r:id="rId130" ref="E130"/>
    <hyperlink r:id="rId131" ref="E131"/>
    <hyperlink r:id="rId132" ref="E132"/>
    <hyperlink r:id="rId133" ref="E133"/>
    <hyperlink r:id="rId134" ref="E134"/>
    <hyperlink r:id="rId135" ref="E135"/>
    <hyperlink r:id="rId136" ref="E136"/>
    <hyperlink r:id="rId137" ref="E137"/>
    <hyperlink r:id="rId138" ref="E138"/>
    <hyperlink r:id="rId139" ref="E139"/>
    <hyperlink r:id="rId140" ref="E140"/>
    <hyperlink r:id="rId141" ref="E141"/>
    <hyperlink r:id="rId142" ref="E142"/>
    <hyperlink r:id="rId143" ref="E143"/>
    <hyperlink r:id="rId144" ref="E144"/>
    <hyperlink r:id="rId145" ref="E145"/>
    <hyperlink r:id="rId146" ref="E146"/>
    <hyperlink r:id="rId147" ref="E147"/>
    <hyperlink r:id="rId148" ref="E148"/>
    <hyperlink r:id="rId149" ref="E149"/>
    <hyperlink r:id="rId150" ref="E150"/>
    <hyperlink r:id="rId151" ref="E151"/>
    <hyperlink r:id="rId152" ref="E152"/>
    <hyperlink r:id="rId153" ref="E153"/>
    <hyperlink r:id="rId154" ref="E154"/>
    <hyperlink r:id="rId155" ref="E155"/>
    <hyperlink r:id="rId156" ref="E156"/>
    <hyperlink r:id="rId157" ref="E157"/>
    <hyperlink r:id="rId158" ref="E158"/>
    <hyperlink r:id="rId159" ref="E159"/>
    <hyperlink r:id="rId160" ref="E160"/>
    <hyperlink r:id="rId161" ref="E161"/>
    <hyperlink r:id="rId162" ref="E162"/>
    <hyperlink r:id="rId163" ref="E163"/>
    <hyperlink r:id="rId164" ref="E164"/>
    <hyperlink r:id="rId165" ref="E165"/>
    <hyperlink r:id="rId166" ref="E166"/>
    <hyperlink r:id="rId167" ref="E167"/>
    <hyperlink r:id="rId168" ref="E168"/>
    <hyperlink r:id="rId169" ref="E169"/>
    <hyperlink r:id="rId170" ref="E170"/>
    <hyperlink r:id="rId171" ref="E171"/>
    <hyperlink r:id="rId172" ref="E172"/>
    <hyperlink r:id="rId173" ref="E173"/>
    <hyperlink r:id="rId174" ref="E174"/>
    <hyperlink r:id="rId175" ref="E175"/>
    <hyperlink r:id="rId176" ref="E176"/>
    <hyperlink r:id="rId177" ref="E177"/>
    <hyperlink r:id="rId178" ref="E178"/>
    <hyperlink r:id="rId179" ref="E179"/>
    <hyperlink r:id="rId180" ref="E180"/>
    <hyperlink r:id="rId181" ref="E181"/>
    <hyperlink r:id="rId182" ref="E182"/>
    <hyperlink r:id="rId183" ref="E183"/>
    <hyperlink r:id="rId184" ref="E184"/>
    <hyperlink r:id="rId185" ref="E185"/>
    <hyperlink r:id="rId186" ref="E186"/>
    <hyperlink r:id="rId187" ref="E187"/>
    <hyperlink r:id="rId188" ref="E188"/>
    <hyperlink r:id="rId189" ref="E189"/>
    <hyperlink r:id="rId190" ref="E190"/>
    <hyperlink r:id="rId191" ref="E191"/>
    <hyperlink r:id="rId192" ref="E192"/>
    <hyperlink r:id="rId193" ref="E193"/>
    <hyperlink r:id="rId194" ref="E194"/>
    <hyperlink r:id="rId195" ref="E195"/>
    <hyperlink r:id="rId196" ref="E196"/>
    <hyperlink r:id="rId197" ref="E197"/>
    <hyperlink r:id="rId198" ref="E198"/>
    <hyperlink r:id="rId199" ref="E199"/>
    <hyperlink r:id="rId200" ref="E200"/>
    <hyperlink r:id="rId201" ref="E201"/>
    <hyperlink r:id="rId202" ref="E202"/>
    <hyperlink r:id="rId203" ref="E203"/>
    <hyperlink r:id="rId204" ref="E204"/>
    <hyperlink r:id="rId205" ref="E205"/>
    <hyperlink r:id="rId206" ref="E206"/>
    <hyperlink r:id="rId207" ref="E207"/>
    <hyperlink r:id="rId208" ref="E208"/>
    <hyperlink r:id="rId209" ref="E209"/>
    <hyperlink r:id="rId210" ref="E210"/>
    <hyperlink r:id="rId211" ref="E211"/>
    <hyperlink r:id="rId212" ref="E212"/>
    <hyperlink r:id="rId213" ref="E213"/>
    <hyperlink r:id="rId214" ref="E214"/>
    <hyperlink r:id="rId215" ref="E215"/>
    <hyperlink r:id="rId216" ref="E216"/>
    <hyperlink r:id="rId217" ref="E217"/>
  </hyperlinks>
  <drawing r:id="rId218"/>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0"/>
    <col customWidth="1" min="2" max="2" width="86.25"/>
    <col customWidth="1" min="3" max="3" width="119.13"/>
  </cols>
  <sheetData>
    <row r="1">
      <c r="A1" s="11" t="s">
        <v>230</v>
      </c>
      <c r="B1" s="9" t="s">
        <v>2468</v>
      </c>
      <c r="C1" s="9" t="s">
        <v>2469</v>
      </c>
    </row>
    <row r="2">
      <c r="A2" s="11" t="s">
        <v>39</v>
      </c>
      <c r="B2" s="9" t="s">
        <v>2470</v>
      </c>
      <c r="C2" s="9" t="s">
        <v>2471</v>
      </c>
    </row>
    <row r="3">
      <c r="A3" s="11" t="s">
        <v>78</v>
      </c>
      <c r="B3" s="9" t="s">
        <v>2472</v>
      </c>
      <c r="C3" s="48" t="s">
        <v>2473</v>
      </c>
    </row>
    <row r="4">
      <c r="A4" s="11" t="s">
        <v>54</v>
      </c>
      <c r="B4" s="9" t="s">
        <v>2474</v>
      </c>
      <c r="C4" s="9" t="s">
        <v>2475</v>
      </c>
    </row>
    <row r="5">
      <c r="A5" s="11" t="s">
        <v>1434</v>
      </c>
      <c r="B5" s="9" t="s">
        <v>2476</v>
      </c>
      <c r="C5" s="31"/>
    </row>
    <row r="6">
      <c r="A6" s="11" t="s">
        <v>48</v>
      </c>
      <c r="B6" s="9" t="s">
        <v>2477</v>
      </c>
      <c r="C6" s="49" t="s">
        <v>2478</v>
      </c>
    </row>
    <row r="7">
      <c r="B7" s="31"/>
      <c r="C7" s="31"/>
    </row>
    <row r="8">
      <c r="B8" s="31"/>
      <c r="C8" s="31"/>
    </row>
    <row r="9">
      <c r="B9" s="31"/>
      <c r="C9" s="31"/>
    </row>
    <row r="10">
      <c r="B10" s="31"/>
      <c r="C10" s="31"/>
    </row>
    <row r="11">
      <c r="B11" s="31"/>
      <c r="C11" s="31"/>
    </row>
    <row r="12">
      <c r="B12" s="31"/>
      <c r="C12" s="31"/>
    </row>
    <row r="13">
      <c r="B13" s="31"/>
      <c r="C13" s="31"/>
    </row>
    <row r="14">
      <c r="B14" s="31"/>
      <c r="C14" s="31"/>
    </row>
    <row r="15">
      <c r="B15" s="31"/>
      <c r="C15" s="31"/>
    </row>
    <row r="16">
      <c r="B16" s="31"/>
      <c r="C16" s="31"/>
    </row>
    <row r="17">
      <c r="B17" s="31"/>
      <c r="C17" s="31"/>
    </row>
    <row r="18">
      <c r="B18" s="31"/>
      <c r="C18" s="31"/>
    </row>
    <row r="19">
      <c r="B19" s="31"/>
      <c r="C19" s="31"/>
    </row>
    <row r="20">
      <c r="B20" s="31"/>
      <c r="C20" s="31"/>
    </row>
    <row r="21">
      <c r="B21" s="31"/>
      <c r="C21" s="31"/>
    </row>
    <row r="22">
      <c r="B22" s="31"/>
      <c r="C22" s="31"/>
    </row>
    <row r="23">
      <c r="B23" s="31"/>
      <c r="C23" s="31"/>
    </row>
    <row r="24">
      <c r="B24" s="31"/>
      <c r="C24" s="31"/>
    </row>
    <row r="25">
      <c r="B25" s="31"/>
      <c r="C25" s="31"/>
    </row>
    <row r="26">
      <c r="B26" s="31"/>
      <c r="C26" s="31"/>
    </row>
    <row r="27">
      <c r="B27" s="31"/>
      <c r="C27" s="31"/>
    </row>
    <row r="28">
      <c r="B28" s="31"/>
      <c r="C28" s="31"/>
    </row>
    <row r="29">
      <c r="B29" s="31"/>
      <c r="C29" s="31"/>
    </row>
    <row r="30">
      <c r="B30" s="31"/>
      <c r="C30" s="31"/>
    </row>
    <row r="31">
      <c r="B31" s="31"/>
      <c r="C31" s="31"/>
    </row>
    <row r="32">
      <c r="B32" s="31"/>
      <c r="C32" s="31"/>
    </row>
    <row r="33">
      <c r="B33" s="31"/>
      <c r="C33" s="31"/>
    </row>
    <row r="34">
      <c r="B34" s="31"/>
      <c r="C34" s="31"/>
    </row>
    <row r="35">
      <c r="B35" s="31"/>
      <c r="C35" s="31"/>
    </row>
    <row r="36">
      <c r="B36" s="31"/>
      <c r="C36" s="31"/>
    </row>
    <row r="37">
      <c r="B37" s="31"/>
      <c r="C37" s="31"/>
    </row>
    <row r="38">
      <c r="B38" s="31"/>
      <c r="C38" s="31"/>
    </row>
    <row r="39">
      <c r="B39" s="31"/>
      <c r="C39" s="31"/>
    </row>
    <row r="40">
      <c r="B40" s="31"/>
      <c r="C40" s="31"/>
    </row>
    <row r="41">
      <c r="B41" s="31"/>
      <c r="C41" s="31"/>
    </row>
    <row r="42">
      <c r="B42" s="31"/>
      <c r="C42" s="31"/>
    </row>
    <row r="43">
      <c r="B43" s="31"/>
      <c r="C43" s="31"/>
    </row>
    <row r="44">
      <c r="B44" s="31"/>
      <c r="C44" s="31"/>
    </row>
    <row r="45">
      <c r="B45" s="31"/>
      <c r="C45" s="31"/>
    </row>
    <row r="46">
      <c r="B46" s="31"/>
      <c r="C46" s="31"/>
    </row>
    <row r="47">
      <c r="B47" s="31"/>
      <c r="C47" s="31"/>
    </row>
    <row r="48">
      <c r="B48" s="31"/>
      <c r="C48" s="31"/>
    </row>
    <row r="49">
      <c r="B49" s="31"/>
      <c r="C49" s="31"/>
    </row>
    <row r="50">
      <c r="B50" s="31"/>
      <c r="C50" s="31"/>
    </row>
    <row r="51">
      <c r="B51" s="31"/>
      <c r="C51" s="31"/>
    </row>
    <row r="52">
      <c r="B52" s="31"/>
      <c r="C52" s="31"/>
    </row>
    <row r="53">
      <c r="B53" s="31"/>
      <c r="C53" s="31"/>
    </row>
    <row r="54">
      <c r="B54" s="31"/>
      <c r="C54" s="31"/>
    </row>
    <row r="55">
      <c r="B55" s="31"/>
      <c r="C55" s="31"/>
    </row>
    <row r="56">
      <c r="B56" s="31"/>
      <c r="C56" s="31"/>
    </row>
    <row r="57">
      <c r="B57" s="31"/>
      <c r="C57" s="31"/>
    </row>
    <row r="58">
      <c r="B58" s="31"/>
      <c r="C58" s="31"/>
    </row>
    <row r="59">
      <c r="B59" s="31"/>
      <c r="C59" s="31"/>
    </row>
    <row r="60">
      <c r="B60" s="31"/>
      <c r="C60" s="31"/>
    </row>
    <row r="61">
      <c r="B61" s="31"/>
      <c r="C61" s="31"/>
    </row>
    <row r="62">
      <c r="B62" s="31"/>
      <c r="C62" s="31"/>
    </row>
    <row r="63">
      <c r="B63" s="31"/>
      <c r="C63" s="31"/>
    </row>
    <row r="64">
      <c r="B64" s="31"/>
      <c r="C64" s="31"/>
    </row>
    <row r="65">
      <c r="B65" s="31"/>
      <c r="C65" s="31"/>
    </row>
    <row r="66">
      <c r="B66" s="31"/>
      <c r="C66" s="31"/>
    </row>
    <row r="67">
      <c r="B67" s="31"/>
      <c r="C67" s="31"/>
    </row>
    <row r="68">
      <c r="B68" s="31"/>
      <c r="C68" s="31"/>
    </row>
    <row r="69">
      <c r="B69" s="31"/>
      <c r="C69" s="31"/>
    </row>
    <row r="70">
      <c r="B70" s="31"/>
      <c r="C70" s="31"/>
    </row>
    <row r="71">
      <c r="B71" s="31"/>
      <c r="C71" s="31"/>
    </row>
    <row r="72">
      <c r="B72" s="31"/>
      <c r="C72" s="31"/>
    </row>
    <row r="73">
      <c r="B73" s="31"/>
      <c r="C73" s="31"/>
    </row>
    <row r="74">
      <c r="B74" s="31"/>
      <c r="C74" s="31"/>
    </row>
    <row r="75">
      <c r="B75" s="31"/>
      <c r="C75" s="31"/>
    </row>
    <row r="76">
      <c r="B76" s="31"/>
      <c r="C76" s="31"/>
    </row>
    <row r="77">
      <c r="B77" s="31"/>
      <c r="C77" s="31"/>
    </row>
    <row r="78">
      <c r="B78" s="31"/>
      <c r="C78" s="31"/>
    </row>
    <row r="79">
      <c r="B79" s="31"/>
      <c r="C79" s="31"/>
    </row>
    <row r="80">
      <c r="B80" s="31"/>
      <c r="C80" s="31"/>
    </row>
    <row r="81">
      <c r="B81" s="31"/>
      <c r="C81" s="31"/>
    </row>
    <row r="82">
      <c r="B82" s="31"/>
      <c r="C82" s="31"/>
    </row>
    <row r="83">
      <c r="B83" s="31"/>
      <c r="C83" s="31"/>
    </row>
    <row r="84">
      <c r="B84" s="31"/>
      <c r="C84" s="31"/>
    </row>
    <row r="85">
      <c r="B85" s="31"/>
      <c r="C85" s="31"/>
    </row>
    <row r="86">
      <c r="B86" s="31"/>
      <c r="C86" s="31"/>
    </row>
    <row r="87">
      <c r="B87" s="31"/>
      <c r="C87" s="31"/>
    </row>
    <row r="88">
      <c r="B88" s="31"/>
      <c r="C88" s="31"/>
    </row>
    <row r="89">
      <c r="B89" s="31"/>
      <c r="C89" s="31"/>
    </row>
    <row r="90">
      <c r="B90" s="31"/>
      <c r="C90" s="31"/>
    </row>
    <row r="91">
      <c r="B91" s="31"/>
      <c r="C91" s="31"/>
    </row>
    <row r="92">
      <c r="B92" s="31"/>
      <c r="C92" s="31"/>
    </row>
    <row r="93">
      <c r="B93" s="31"/>
      <c r="C93" s="31"/>
    </row>
    <row r="94">
      <c r="B94" s="31"/>
      <c r="C94" s="31"/>
    </row>
    <row r="95">
      <c r="B95" s="31"/>
      <c r="C95" s="31"/>
    </row>
    <row r="96">
      <c r="B96" s="31"/>
      <c r="C96" s="31"/>
    </row>
    <row r="97">
      <c r="B97" s="31"/>
      <c r="C97" s="31"/>
    </row>
    <row r="98">
      <c r="B98" s="31"/>
      <c r="C98" s="31"/>
    </row>
    <row r="99">
      <c r="B99" s="31"/>
      <c r="C99" s="31"/>
    </row>
    <row r="100">
      <c r="B100" s="31"/>
      <c r="C100" s="31"/>
    </row>
    <row r="101">
      <c r="B101" s="31"/>
      <c r="C101" s="31"/>
    </row>
    <row r="102">
      <c r="B102" s="31"/>
      <c r="C102" s="31"/>
    </row>
    <row r="103">
      <c r="B103" s="31"/>
      <c r="C103" s="31"/>
    </row>
    <row r="104">
      <c r="B104" s="31"/>
      <c r="C104" s="31"/>
    </row>
    <row r="105">
      <c r="B105" s="31"/>
      <c r="C105" s="31"/>
    </row>
    <row r="106">
      <c r="B106" s="31"/>
      <c r="C106" s="31"/>
    </row>
    <row r="107">
      <c r="B107" s="31"/>
      <c r="C107" s="31"/>
    </row>
    <row r="108">
      <c r="B108" s="31"/>
      <c r="C108" s="31"/>
    </row>
    <row r="109">
      <c r="B109" s="31"/>
      <c r="C109" s="31"/>
    </row>
    <row r="110">
      <c r="B110" s="31"/>
      <c r="C110" s="31"/>
    </row>
    <row r="111">
      <c r="B111" s="31"/>
      <c r="C111" s="31"/>
    </row>
    <row r="112">
      <c r="B112" s="31"/>
      <c r="C112" s="31"/>
    </row>
    <row r="113">
      <c r="B113" s="31"/>
      <c r="C113" s="31"/>
    </row>
    <row r="114">
      <c r="B114" s="31"/>
      <c r="C114" s="31"/>
    </row>
    <row r="115">
      <c r="B115" s="31"/>
      <c r="C115" s="31"/>
    </row>
    <row r="116">
      <c r="B116" s="31"/>
      <c r="C116" s="31"/>
    </row>
    <row r="117">
      <c r="B117" s="31"/>
      <c r="C117" s="31"/>
    </row>
    <row r="118">
      <c r="B118" s="31"/>
      <c r="C118" s="31"/>
    </row>
    <row r="119">
      <c r="B119" s="31"/>
      <c r="C119" s="31"/>
    </row>
    <row r="120">
      <c r="B120" s="31"/>
      <c r="C120" s="31"/>
    </row>
    <row r="121">
      <c r="B121" s="31"/>
      <c r="C121" s="31"/>
    </row>
    <row r="122">
      <c r="B122" s="31"/>
      <c r="C122" s="31"/>
    </row>
    <row r="123">
      <c r="B123" s="31"/>
      <c r="C123" s="31"/>
    </row>
    <row r="124">
      <c r="B124" s="31"/>
      <c r="C124" s="31"/>
    </row>
    <row r="125">
      <c r="B125" s="31"/>
      <c r="C125" s="31"/>
    </row>
    <row r="126">
      <c r="B126" s="31"/>
      <c r="C126" s="31"/>
    </row>
    <row r="127">
      <c r="B127" s="31"/>
      <c r="C127" s="31"/>
    </row>
    <row r="128">
      <c r="B128" s="31"/>
      <c r="C128" s="31"/>
    </row>
    <row r="129">
      <c r="B129" s="31"/>
      <c r="C129" s="31"/>
    </row>
    <row r="130">
      <c r="B130" s="31"/>
      <c r="C130" s="31"/>
    </row>
    <row r="131">
      <c r="B131" s="31"/>
      <c r="C131" s="31"/>
    </row>
    <row r="132">
      <c r="B132" s="31"/>
      <c r="C132" s="31"/>
    </row>
    <row r="133">
      <c r="B133" s="31"/>
      <c r="C133" s="31"/>
    </row>
    <row r="134">
      <c r="B134" s="31"/>
      <c r="C134" s="31"/>
    </row>
    <row r="135">
      <c r="B135" s="31"/>
      <c r="C135" s="31"/>
    </row>
    <row r="136">
      <c r="B136" s="31"/>
      <c r="C136" s="31"/>
    </row>
    <row r="137">
      <c r="B137" s="31"/>
      <c r="C137" s="31"/>
    </row>
    <row r="138">
      <c r="B138" s="31"/>
      <c r="C138" s="31"/>
    </row>
    <row r="139">
      <c r="B139" s="31"/>
      <c r="C139" s="31"/>
    </row>
    <row r="140">
      <c r="B140" s="31"/>
      <c r="C140" s="31"/>
    </row>
    <row r="141">
      <c r="B141" s="31"/>
      <c r="C141" s="31"/>
    </row>
    <row r="142">
      <c r="B142" s="31"/>
      <c r="C142" s="31"/>
    </row>
    <row r="143">
      <c r="B143" s="31"/>
      <c r="C143" s="31"/>
    </row>
    <row r="144">
      <c r="B144" s="31"/>
      <c r="C144" s="31"/>
    </row>
    <row r="145">
      <c r="B145" s="31"/>
      <c r="C145" s="31"/>
    </row>
    <row r="146">
      <c r="B146" s="31"/>
      <c r="C146" s="31"/>
    </row>
    <row r="147">
      <c r="B147" s="31"/>
      <c r="C147" s="31"/>
    </row>
    <row r="148">
      <c r="B148" s="31"/>
      <c r="C148" s="31"/>
    </row>
    <row r="149">
      <c r="B149" s="31"/>
      <c r="C149" s="31"/>
    </row>
    <row r="150">
      <c r="B150" s="31"/>
      <c r="C150" s="31"/>
    </row>
    <row r="151">
      <c r="B151" s="31"/>
      <c r="C151" s="31"/>
    </row>
    <row r="152">
      <c r="B152" s="31"/>
      <c r="C152" s="31"/>
    </row>
    <row r="153">
      <c r="B153" s="31"/>
      <c r="C153" s="31"/>
    </row>
    <row r="154">
      <c r="B154" s="31"/>
      <c r="C154" s="31"/>
    </row>
    <row r="155">
      <c r="B155" s="31"/>
      <c r="C155" s="31"/>
    </row>
    <row r="156">
      <c r="B156" s="31"/>
      <c r="C156" s="31"/>
    </row>
    <row r="157">
      <c r="B157" s="31"/>
      <c r="C157" s="31"/>
    </row>
    <row r="158">
      <c r="B158" s="31"/>
      <c r="C158" s="31"/>
    </row>
    <row r="159">
      <c r="B159" s="31"/>
      <c r="C159" s="31"/>
    </row>
    <row r="160">
      <c r="B160" s="31"/>
      <c r="C160" s="31"/>
    </row>
    <row r="161">
      <c r="B161" s="31"/>
      <c r="C161" s="31"/>
    </row>
    <row r="162">
      <c r="B162" s="31"/>
      <c r="C162" s="31"/>
    </row>
    <row r="163">
      <c r="B163" s="31"/>
      <c r="C163" s="31"/>
    </row>
    <row r="164">
      <c r="B164" s="31"/>
      <c r="C164" s="31"/>
    </row>
    <row r="165">
      <c r="B165" s="31"/>
      <c r="C165" s="31"/>
    </row>
    <row r="166">
      <c r="B166" s="31"/>
      <c r="C166" s="31"/>
    </row>
    <row r="167">
      <c r="B167" s="31"/>
      <c r="C167" s="31"/>
    </row>
    <row r="168">
      <c r="B168" s="31"/>
      <c r="C168" s="31"/>
    </row>
    <row r="169">
      <c r="B169" s="31"/>
      <c r="C169" s="31"/>
    </row>
    <row r="170">
      <c r="B170" s="31"/>
      <c r="C170" s="31"/>
    </row>
    <row r="171">
      <c r="B171" s="31"/>
      <c r="C171" s="31"/>
    </row>
    <row r="172">
      <c r="B172" s="31"/>
      <c r="C172" s="31"/>
    </row>
    <row r="173">
      <c r="B173" s="31"/>
      <c r="C173" s="31"/>
    </row>
    <row r="174">
      <c r="B174" s="31"/>
      <c r="C174" s="31"/>
    </row>
    <row r="175">
      <c r="B175" s="31"/>
      <c r="C175" s="31"/>
    </row>
    <row r="176">
      <c r="B176" s="31"/>
      <c r="C176" s="31"/>
    </row>
    <row r="177">
      <c r="B177" s="31"/>
      <c r="C177" s="31"/>
    </row>
    <row r="178">
      <c r="B178" s="31"/>
      <c r="C178" s="31"/>
    </row>
    <row r="179">
      <c r="B179" s="31"/>
      <c r="C179" s="31"/>
    </row>
    <row r="180">
      <c r="B180" s="31"/>
      <c r="C180" s="31"/>
    </row>
    <row r="181">
      <c r="B181" s="31"/>
      <c r="C181" s="31"/>
    </row>
    <row r="182">
      <c r="B182" s="31"/>
      <c r="C182" s="31"/>
    </row>
    <row r="183">
      <c r="B183" s="31"/>
      <c r="C183" s="31"/>
    </row>
    <row r="184">
      <c r="B184" s="31"/>
      <c r="C184" s="31"/>
    </row>
    <row r="185">
      <c r="B185" s="31"/>
      <c r="C185" s="31"/>
    </row>
    <row r="186">
      <c r="B186" s="31"/>
      <c r="C186" s="31"/>
    </row>
    <row r="187">
      <c r="B187" s="31"/>
      <c r="C187" s="31"/>
    </row>
    <row r="188">
      <c r="B188" s="31"/>
      <c r="C188" s="31"/>
    </row>
    <row r="189">
      <c r="B189" s="31"/>
      <c r="C189" s="31"/>
    </row>
    <row r="190">
      <c r="B190" s="31"/>
      <c r="C190" s="31"/>
    </row>
    <row r="191">
      <c r="B191" s="31"/>
      <c r="C191" s="31"/>
    </row>
    <row r="192">
      <c r="B192" s="31"/>
      <c r="C192" s="31"/>
    </row>
    <row r="193">
      <c r="B193" s="31"/>
      <c r="C193" s="31"/>
    </row>
    <row r="194">
      <c r="B194" s="31"/>
      <c r="C194" s="31"/>
    </row>
    <row r="195">
      <c r="B195" s="31"/>
      <c r="C195" s="31"/>
    </row>
    <row r="196">
      <c r="B196" s="31"/>
      <c r="C196" s="31"/>
    </row>
    <row r="197">
      <c r="B197" s="31"/>
      <c r="C197" s="31"/>
    </row>
    <row r="198">
      <c r="B198" s="31"/>
      <c r="C198" s="31"/>
    </row>
    <row r="199">
      <c r="B199" s="31"/>
      <c r="C199" s="31"/>
    </row>
    <row r="200">
      <c r="B200" s="31"/>
      <c r="C200" s="31"/>
    </row>
    <row r="201">
      <c r="B201" s="31"/>
      <c r="C201" s="31"/>
    </row>
    <row r="202">
      <c r="B202" s="31"/>
      <c r="C202" s="31"/>
    </row>
    <row r="203">
      <c r="B203" s="31"/>
      <c r="C203" s="31"/>
    </row>
    <row r="204">
      <c r="B204" s="31"/>
      <c r="C204" s="31"/>
    </row>
    <row r="205">
      <c r="B205" s="31"/>
      <c r="C205" s="31"/>
    </row>
    <row r="206">
      <c r="B206" s="31"/>
      <c r="C206" s="31"/>
    </row>
    <row r="207">
      <c r="B207" s="31"/>
      <c r="C207" s="31"/>
    </row>
    <row r="208">
      <c r="B208" s="31"/>
      <c r="C208" s="31"/>
    </row>
    <row r="209">
      <c r="B209" s="31"/>
      <c r="C209" s="31"/>
    </row>
    <row r="210">
      <c r="B210" s="31"/>
      <c r="C210" s="31"/>
    </row>
    <row r="211">
      <c r="B211" s="31"/>
      <c r="C211" s="31"/>
    </row>
    <row r="212">
      <c r="B212" s="31"/>
      <c r="C212" s="31"/>
    </row>
    <row r="213">
      <c r="B213" s="31"/>
      <c r="C213" s="31"/>
    </row>
    <row r="214">
      <c r="B214" s="31"/>
      <c r="C214" s="31"/>
    </row>
    <row r="215">
      <c r="B215" s="31"/>
      <c r="C215" s="31"/>
    </row>
    <row r="216">
      <c r="B216" s="31"/>
      <c r="C216" s="31"/>
    </row>
    <row r="217">
      <c r="B217" s="31"/>
      <c r="C217" s="31"/>
    </row>
    <row r="218">
      <c r="B218" s="31"/>
      <c r="C218" s="31"/>
    </row>
    <row r="219">
      <c r="B219" s="31"/>
      <c r="C219" s="31"/>
    </row>
    <row r="220">
      <c r="B220" s="31"/>
      <c r="C220" s="31"/>
    </row>
    <row r="221">
      <c r="B221" s="31"/>
      <c r="C221" s="31"/>
    </row>
    <row r="222">
      <c r="B222" s="31"/>
      <c r="C222" s="31"/>
    </row>
    <row r="223">
      <c r="B223" s="31"/>
      <c r="C223" s="31"/>
    </row>
    <row r="224">
      <c r="B224" s="31"/>
      <c r="C224" s="31"/>
    </row>
    <row r="225">
      <c r="B225" s="31"/>
      <c r="C225" s="31"/>
    </row>
    <row r="226">
      <c r="B226" s="31"/>
      <c r="C226" s="31"/>
    </row>
    <row r="227">
      <c r="B227" s="31"/>
      <c r="C227" s="31"/>
    </row>
    <row r="228">
      <c r="B228" s="31"/>
      <c r="C228" s="31"/>
    </row>
    <row r="229">
      <c r="B229" s="31"/>
      <c r="C229" s="31"/>
    </row>
    <row r="230">
      <c r="B230" s="31"/>
      <c r="C230" s="31"/>
    </row>
    <row r="231">
      <c r="B231" s="31"/>
      <c r="C231" s="31"/>
    </row>
    <row r="232">
      <c r="B232" s="31"/>
      <c r="C232" s="31"/>
    </row>
    <row r="233">
      <c r="B233" s="31"/>
      <c r="C233" s="31"/>
    </row>
    <row r="234">
      <c r="B234" s="31"/>
      <c r="C234" s="31"/>
    </row>
    <row r="235">
      <c r="B235" s="31"/>
      <c r="C235" s="31"/>
    </row>
    <row r="236">
      <c r="B236" s="31"/>
      <c r="C236" s="31"/>
    </row>
    <row r="237">
      <c r="B237" s="31"/>
      <c r="C237" s="31"/>
    </row>
    <row r="238">
      <c r="B238" s="31"/>
      <c r="C238" s="31"/>
    </row>
    <row r="239">
      <c r="B239" s="31"/>
      <c r="C239" s="31"/>
    </row>
    <row r="240">
      <c r="B240" s="31"/>
      <c r="C240" s="31"/>
    </row>
    <row r="241">
      <c r="B241" s="31"/>
      <c r="C241" s="31"/>
    </row>
    <row r="242">
      <c r="B242" s="31"/>
      <c r="C242" s="31"/>
    </row>
    <row r="243">
      <c r="B243" s="31"/>
      <c r="C243" s="31"/>
    </row>
    <row r="244">
      <c r="B244" s="31"/>
      <c r="C244" s="31"/>
    </row>
    <row r="245">
      <c r="B245" s="31"/>
      <c r="C245" s="31"/>
    </row>
    <row r="246">
      <c r="B246" s="31"/>
      <c r="C246" s="31"/>
    </row>
    <row r="247">
      <c r="B247" s="31"/>
      <c r="C247" s="31"/>
    </row>
    <row r="248">
      <c r="B248" s="31"/>
      <c r="C248" s="31"/>
    </row>
    <row r="249">
      <c r="B249" s="31"/>
      <c r="C249" s="31"/>
    </row>
    <row r="250">
      <c r="B250" s="31"/>
      <c r="C250" s="31"/>
    </row>
    <row r="251">
      <c r="B251" s="31"/>
      <c r="C251" s="31"/>
    </row>
    <row r="252">
      <c r="B252" s="31"/>
      <c r="C252" s="31"/>
    </row>
    <row r="253">
      <c r="B253" s="31"/>
      <c r="C253" s="31"/>
    </row>
    <row r="254">
      <c r="B254" s="31"/>
      <c r="C254" s="31"/>
    </row>
    <row r="255">
      <c r="B255" s="31"/>
      <c r="C255" s="31"/>
    </row>
    <row r="256">
      <c r="B256" s="31"/>
      <c r="C256" s="31"/>
    </row>
    <row r="257">
      <c r="B257" s="31"/>
      <c r="C257" s="31"/>
    </row>
    <row r="258">
      <c r="B258" s="31"/>
      <c r="C258" s="31"/>
    </row>
    <row r="259">
      <c r="B259" s="31"/>
      <c r="C259" s="31"/>
    </row>
    <row r="260">
      <c r="B260" s="31"/>
      <c r="C260" s="31"/>
    </row>
    <row r="261">
      <c r="B261" s="31"/>
      <c r="C261" s="31"/>
    </row>
    <row r="262">
      <c r="B262" s="31"/>
      <c r="C262" s="31"/>
    </row>
    <row r="263">
      <c r="B263" s="31"/>
      <c r="C263" s="31"/>
    </row>
    <row r="264">
      <c r="B264" s="31"/>
      <c r="C264" s="31"/>
    </row>
    <row r="265">
      <c r="B265" s="31"/>
      <c r="C265" s="31"/>
    </row>
    <row r="266">
      <c r="B266" s="31"/>
      <c r="C266" s="31"/>
    </row>
    <row r="267">
      <c r="B267" s="31"/>
      <c r="C267" s="31"/>
    </row>
    <row r="268">
      <c r="B268" s="31"/>
      <c r="C268" s="31"/>
    </row>
    <row r="269">
      <c r="B269" s="31"/>
      <c r="C269" s="31"/>
    </row>
    <row r="270">
      <c r="B270" s="31"/>
      <c r="C270" s="31"/>
    </row>
    <row r="271">
      <c r="B271" s="31"/>
      <c r="C271" s="31"/>
    </row>
    <row r="272">
      <c r="B272" s="31"/>
      <c r="C272" s="31"/>
    </row>
    <row r="273">
      <c r="B273" s="31"/>
      <c r="C273" s="31"/>
    </row>
    <row r="274">
      <c r="B274" s="31"/>
      <c r="C274" s="31"/>
    </row>
    <row r="275">
      <c r="B275" s="31"/>
      <c r="C275" s="31"/>
    </row>
    <row r="276">
      <c r="B276" s="31"/>
      <c r="C276" s="31"/>
    </row>
    <row r="277">
      <c r="B277" s="31"/>
      <c r="C277" s="31"/>
    </row>
    <row r="278">
      <c r="B278" s="31"/>
      <c r="C278" s="31"/>
    </row>
    <row r="279">
      <c r="B279" s="31"/>
      <c r="C279" s="31"/>
    </row>
    <row r="280">
      <c r="B280" s="31"/>
      <c r="C280" s="31"/>
    </row>
    <row r="281">
      <c r="B281" s="31"/>
      <c r="C281" s="31"/>
    </row>
    <row r="282">
      <c r="B282" s="31"/>
      <c r="C282" s="31"/>
    </row>
    <row r="283">
      <c r="B283" s="31"/>
      <c r="C283" s="31"/>
    </row>
    <row r="284">
      <c r="B284" s="31"/>
      <c r="C284" s="31"/>
    </row>
    <row r="285">
      <c r="B285" s="31"/>
      <c r="C285" s="31"/>
    </row>
    <row r="286">
      <c r="B286" s="31"/>
      <c r="C286" s="31"/>
    </row>
    <row r="287">
      <c r="B287" s="31"/>
      <c r="C287" s="31"/>
    </row>
    <row r="288">
      <c r="B288" s="31"/>
      <c r="C288" s="31"/>
    </row>
    <row r="289">
      <c r="B289" s="31"/>
      <c r="C289" s="31"/>
    </row>
    <row r="290">
      <c r="B290" s="31"/>
      <c r="C290" s="31"/>
    </row>
    <row r="291">
      <c r="B291" s="31"/>
      <c r="C291" s="31"/>
    </row>
    <row r="292">
      <c r="B292" s="31"/>
      <c r="C292" s="31"/>
    </row>
    <row r="293">
      <c r="B293" s="31"/>
      <c r="C293" s="31"/>
    </row>
    <row r="294">
      <c r="B294" s="31"/>
      <c r="C294" s="31"/>
    </row>
    <row r="295">
      <c r="B295" s="31"/>
      <c r="C295" s="31"/>
    </row>
    <row r="296">
      <c r="B296" s="31"/>
      <c r="C296" s="31"/>
    </row>
    <row r="297">
      <c r="B297" s="31"/>
      <c r="C297" s="31"/>
    </row>
    <row r="298">
      <c r="B298" s="31"/>
      <c r="C298" s="31"/>
    </row>
    <row r="299">
      <c r="B299" s="31"/>
      <c r="C299" s="31"/>
    </row>
    <row r="300">
      <c r="B300" s="31"/>
      <c r="C300" s="31"/>
    </row>
    <row r="301">
      <c r="B301" s="31"/>
      <c r="C301" s="31"/>
    </row>
    <row r="302">
      <c r="B302" s="31"/>
      <c r="C302" s="31"/>
    </row>
    <row r="303">
      <c r="B303" s="31"/>
      <c r="C303" s="31"/>
    </row>
    <row r="304">
      <c r="B304" s="31"/>
      <c r="C304" s="31"/>
    </row>
    <row r="305">
      <c r="B305" s="31"/>
      <c r="C305" s="31"/>
    </row>
    <row r="306">
      <c r="B306" s="31"/>
      <c r="C306" s="31"/>
    </row>
    <row r="307">
      <c r="B307" s="31"/>
      <c r="C307" s="31"/>
    </row>
    <row r="308">
      <c r="B308" s="31"/>
      <c r="C308" s="31"/>
    </row>
    <row r="309">
      <c r="B309" s="31"/>
      <c r="C309" s="31"/>
    </row>
    <row r="310">
      <c r="B310" s="31"/>
      <c r="C310" s="31"/>
    </row>
    <row r="311">
      <c r="B311" s="31"/>
      <c r="C311" s="31"/>
    </row>
    <row r="312">
      <c r="B312" s="31"/>
      <c r="C312" s="31"/>
    </row>
    <row r="313">
      <c r="B313" s="31"/>
      <c r="C313" s="31"/>
    </row>
    <row r="314">
      <c r="B314" s="31"/>
      <c r="C314" s="31"/>
    </row>
    <row r="315">
      <c r="B315" s="31"/>
      <c r="C315" s="31"/>
    </row>
    <row r="316">
      <c r="B316" s="31"/>
      <c r="C316" s="31"/>
    </row>
    <row r="317">
      <c r="B317" s="31"/>
      <c r="C317" s="31"/>
    </row>
    <row r="318">
      <c r="B318" s="31"/>
      <c r="C318" s="31"/>
    </row>
    <row r="319">
      <c r="B319" s="31"/>
      <c r="C319" s="31"/>
    </row>
    <row r="320">
      <c r="B320" s="31"/>
      <c r="C320" s="31"/>
    </row>
    <row r="321">
      <c r="B321" s="31"/>
      <c r="C321" s="31"/>
    </row>
    <row r="322">
      <c r="B322" s="31"/>
      <c r="C322" s="31"/>
    </row>
    <row r="323">
      <c r="B323" s="31"/>
      <c r="C323" s="31"/>
    </row>
    <row r="324">
      <c r="B324" s="31"/>
      <c r="C324" s="31"/>
    </row>
    <row r="325">
      <c r="B325" s="31"/>
      <c r="C325" s="31"/>
    </row>
    <row r="326">
      <c r="B326" s="31"/>
      <c r="C326" s="31"/>
    </row>
    <row r="327">
      <c r="B327" s="31"/>
      <c r="C327" s="31"/>
    </row>
    <row r="328">
      <c r="B328" s="31"/>
      <c r="C328" s="31"/>
    </row>
    <row r="329">
      <c r="B329" s="31"/>
      <c r="C329" s="31"/>
    </row>
    <row r="330">
      <c r="B330" s="31"/>
      <c r="C330" s="31"/>
    </row>
    <row r="331">
      <c r="B331" s="31"/>
      <c r="C331" s="31"/>
    </row>
    <row r="332">
      <c r="B332" s="31"/>
      <c r="C332" s="31"/>
    </row>
    <row r="333">
      <c r="B333" s="31"/>
      <c r="C333" s="31"/>
    </row>
    <row r="334">
      <c r="B334" s="31"/>
      <c r="C334" s="31"/>
    </row>
    <row r="335">
      <c r="B335" s="31"/>
      <c r="C335" s="31"/>
    </row>
    <row r="336">
      <c r="B336" s="31"/>
      <c r="C336" s="31"/>
    </row>
    <row r="337">
      <c r="B337" s="31"/>
      <c r="C337" s="31"/>
    </row>
    <row r="338">
      <c r="B338" s="31"/>
      <c r="C338" s="31"/>
    </row>
    <row r="339">
      <c r="B339" s="31"/>
      <c r="C339" s="31"/>
    </row>
    <row r="340">
      <c r="B340" s="31"/>
      <c r="C340" s="31"/>
    </row>
    <row r="341">
      <c r="B341" s="31"/>
      <c r="C341" s="31"/>
    </row>
    <row r="342">
      <c r="B342" s="31"/>
      <c r="C342" s="31"/>
    </row>
    <row r="343">
      <c r="B343" s="31"/>
      <c r="C343" s="31"/>
    </row>
    <row r="344">
      <c r="B344" s="31"/>
      <c r="C344" s="31"/>
    </row>
    <row r="345">
      <c r="B345" s="31"/>
      <c r="C345" s="31"/>
    </row>
    <row r="346">
      <c r="B346" s="31"/>
      <c r="C346" s="31"/>
    </row>
    <row r="347">
      <c r="B347" s="31"/>
      <c r="C347" s="31"/>
    </row>
    <row r="348">
      <c r="B348" s="31"/>
      <c r="C348" s="31"/>
    </row>
    <row r="349">
      <c r="B349" s="31"/>
      <c r="C349" s="31"/>
    </row>
    <row r="350">
      <c r="B350" s="31"/>
      <c r="C350" s="31"/>
    </row>
    <row r="351">
      <c r="B351" s="31"/>
      <c r="C351" s="31"/>
    </row>
    <row r="352">
      <c r="B352" s="31"/>
      <c r="C352" s="31"/>
    </row>
    <row r="353">
      <c r="B353" s="31"/>
      <c r="C353" s="31"/>
    </row>
    <row r="354">
      <c r="B354" s="31"/>
      <c r="C354" s="31"/>
    </row>
    <row r="355">
      <c r="B355" s="31"/>
      <c r="C355" s="31"/>
    </row>
    <row r="356">
      <c r="B356" s="31"/>
      <c r="C356" s="31"/>
    </row>
    <row r="357">
      <c r="B357" s="31"/>
      <c r="C357" s="31"/>
    </row>
    <row r="358">
      <c r="B358" s="31"/>
      <c r="C358" s="31"/>
    </row>
    <row r="359">
      <c r="B359" s="31"/>
      <c r="C359" s="31"/>
    </row>
    <row r="360">
      <c r="B360" s="31"/>
      <c r="C360" s="31"/>
    </row>
    <row r="361">
      <c r="B361" s="31"/>
      <c r="C361" s="31"/>
    </row>
    <row r="362">
      <c r="B362" s="31"/>
      <c r="C362" s="31"/>
    </row>
    <row r="363">
      <c r="B363" s="31"/>
      <c r="C363" s="31"/>
    </row>
    <row r="364">
      <c r="B364" s="31"/>
      <c r="C364" s="31"/>
    </row>
    <row r="365">
      <c r="B365" s="31"/>
      <c r="C365" s="31"/>
    </row>
    <row r="366">
      <c r="B366" s="31"/>
      <c r="C366" s="31"/>
    </row>
    <row r="367">
      <c r="B367" s="31"/>
      <c r="C367" s="31"/>
    </row>
    <row r="368">
      <c r="B368" s="31"/>
      <c r="C368" s="31"/>
    </row>
    <row r="369">
      <c r="B369" s="31"/>
      <c r="C369" s="31"/>
    </row>
    <row r="370">
      <c r="B370" s="31"/>
      <c r="C370" s="31"/>
    </row>
    <row r="371">
      <c r="B371" s="31"/>
      <c r="C371" s="31"/>
    </row>
    <row r="372">
      <c r="B372" s="31"/>
      <c r="C372" s="31"/>
    </row>
    <row r="373">
      <c r="B373" s="31"/>
      <c r="C373" s="31"/>
    </row>
    <row r="374">
      <c r="B374" s="31"/>
      <c r="C374" s="31"/>
    </row>
    <row r="375">
      <c r="B375" s="31"/>
      <c r="C375" s="31"/>
    </row>
    <row r="376">
      <c r="B376" s="31"/>
      <c r="C376" s="31"/>
    </row>
    <row r="377">
      <c r="B377" s="31"/>
      <c r="C377" s="31"/>
    </row>
    <row r="378">
      <c r="B378" s="31"/>
      <c r="C378" s="31"/>
    </row>
    <row r="379">
      <c r="B379" s="31"/>
      <c r="C379" s="31"/>
    </row>
    <row r="380">
      <c r="B380" s="31"/>
      <c r="C380" s="31"/>
    </row>
    <row r="381">
      <c r="B381" s="31"/>
      <c r="C381" s="31"/>
    </row>
    <row r="382">
      <c r="B382" s="31"/>
      <c r="C382" s="31"/>
    </row>
    <row r="383">
      <c r="B383" s="31"/>
      <c r="C383" s="31"/>
    </row>
    <row r="384">
      <c r="B384" s="31"/>
      <c r="C384" s="31"/>
    </row>
    <row r="385">
      <c r="B385" s="31"/>
      <c r="C385" s="31"/>
    </row>
    <row r="386">
      <c r="B386" s="31"/>
      <c r="C386" s="31"/>
    </row>
    <row r="387">
      <c r="B387" s="31"/>
      <c r="C387" s="31"/>
    </row>
    <row r="388">
      <c r="B388" s="31"/>
      <c r="C388" s="31"/>
    </row>
    <row r="389">
      <c r="B389" s="31"/>
      <c r="C389" s="31"/>
    </row>
    <row r="390">
      <c r="B390" s="31"/>
      <c r="C390" s="31"/>
    </row>
    <row r="391">
      <c r="B391" s="31"/>
      <c r="C391" s="31"/>
    </row>
    <row r="392">
      <c r="B392" s="31"/>
      <c r="C392" s="31"/>
    </row>
    <row r="393">
      <c r="B393" s="31"/>
      <c r="C393" s="31"/>
    </row>
    <row r="394">
      <c r="B394" s="31"/>
      <c r="C394" s="31"/>
    </row>
    <row r="395">
      <c r="B395" s="31"/>
      <c r="C395" s="31"/>
    </row>
    <row r="396">
      <c r="B396" s="31"/>
      <c r="C396" s="31"/>
    </row>
    <row r="397">
      <c r="B397" s="31"/>
      <c r="C397" s="31"/>
    </row>
    <row r="398">
      <c r="B398" s="31"/>
      <c r="C398" s="31"/>
    </row>
    <row r="399">
      <c r="B399" s="31"/>
      <c r="C399" s="31"/>
    </row>
    <row r="400">
      <c r="B400" s="31"/>
      <c r="C400" s="31"/>
    </row>
    <row r="401">
      <c r="B401" s="31"/>
      <c r="C401" s="31"/>
    </row>
    <row r="402">
      <c r="B402" s="31"/>
      <c r="C402" s="31"/>
    </row>
    <row r="403">
      <c r="B403" s="31"/>
      <c r="C403" s="31"/>
    </row>
    <row r="404">
      <c r="B404" s="31"/>
      <c r="C404" s="31"/>
    </row>
    <row r="405">
      <c r="B405" s="31"/>
      <c r="C405" s="31"/>
    </row>
    <row r="406">
      <c r="B406" s="31"/>
      <c r="C406" s="31"/>
    </row>
    <row r="407">
      <c r="B407" s="31"/>
      <c r="C407" s="31"/>
    </row>
    <row r="408">
      <c r="B408" s="31"/>
      <c r="C408" s="31"/>
    </row>
    <row r="409">
      <c r="B409" s="31"/>
      <c r="C409" s="31"/>
    </row>
    <row r="410">
      <c r="B410" s="31"/>
      <c r="C410" s="31"/>
    </row>
    <row r="411">
      <c r="B411" s="31"/>
      <c r="C411" s="31"/>
    </row>
    <row r="412">
      <c r="B412" s="31"/>
      <c r="C412" s="31"/>
    </row>
    <row r="413">
      <c r="B413" s="31"/>
      <c r="C413" s="31"/>
    </row>
    <row r="414">
      <c r="B414" s="31"/>
      <c r="C414" s="31"/>
    </row>
    <row r="415">
      <c r="B415" s="31"/>
      <c r="C415" s="31"/>
    </row>
    <row r="416">
      <c r="B416" s="31"/>
      <c r="C416" s="31"/>
    </row>
    <row r="417">
      <c r="B417" s="31"/>
      <c r="C417" s="31"/>
    </row>
    <row r="418">
      <c r="B418" s="31"/>
      <c r="C418" s="31"/>
    </row>
    <row r="419">
      <c r="B419" s="31"/>
      <c r="C419" s="31"/>
    </row>
    <row r="420">
      <c r="B420" s="31"/>
      <c r="C420" s="31"/>
    </row>
    <row r="421">
      <c r="B421" s="31"/>
      <c r="C421" s="31"/>
    </row>
    <row r="422">
      <c r="B422" s="31"/>
      <c r="C422" s="31"/>
    </row>
    <row r="423">
      <c r="B423" s="31"/>
      <c r="C423" s="31"/>
    </row>
    <row r="424">
      <c r="B424" s="31"/>
      <c r="C424" s="31"/>
    </row>
    <row r="425">
      <c r="B425" s="31"/>
      <c r="C425" s="31"/>
    </row>
    <row r="426">
      <c r="B426" s="31"/>
      <c r="C426" s="31"/>
    </row>
    <row r="427">
      <c r="B427" s="31"/>
      <c r="C427" s="31"/>
    </row>
    <row r="428">
      <c r="B428" s="31"/>
      <c r="C428" s="31"/>
    </row>
    <row r="429">
      <c r="B429" s="31"/>
      <c r="C429" s="31"/>
    </row>
    <row r="430">
      <c r="B430" s="31"/>
      <c r="C430" s="31"/>
    </row>
    <row r="431">
      <c r="B431" s="31"/>
      <c r="C431" s="31"/>
    </row>
    <row r="432">
      <c r="B432" s="31"/>
      <c r="C432" s="31"/>
    </row>
    <row r="433">
      <c r="B433" s="31"/>
      <c r="C433" s="31"/>
    </row>
    <row r="434">
      <c r="B434" s="31"/>
      <c r="C434" s="31"/>
    </row>
    <row r="435">
      <c r="B435" s="31"/>
      <c r="C435" s="31"/>
    </row>
    <row r="436">
      <c r="B436" s="31"/>
      <c r="C436" s="31"/>
    </row>
    <row r="437">
      <c r="B437" s="31"/>
      <c r="C437" s="31"/>
    </row>
    <row r="438">
      <c r="B438" s="31"/>
      <c r="C438" s="31"/>
    </row>
    <row r="439">
      <c r="B439" s="31"/>
      <c r="C439" s="31"/>
    </row>
    <row r="440">
      <c r="B440" s="31"/>
      <c r="C440" s="31"/>
    </row>
    <row r="441">
      <c r="B441" s="31"/>
      <c r="C441" s="31"/>
    </row>
    <row r="442">
      <c r="B442" s="31"/>
      <c r="C442" s="31"/>
    </row>
    <row r="443">
      <c r="B443" s="31"/>
      <c r="C443" s="31"/>
    </row>
    <row r="444">
      <c r="B444" s="31"/>
      <c r="C444" s="31"/>
    </row>
    <row r="445">
      <c r="B445" s="31"/>
      <c r="C445" s="31"/>
    </row>
    <row r="446">
      <c r="B446" s="31"/>
      <c r="C446" s="31"/>
    </row>
    <row r="447">
      <c r="B447" s="31"/>
      <c r="C447" s="31"/>
    </row>
    <row r="448">
      <c r="B448" s="31"/>
      <c r="C448" s="31"/>
    </row>
    <row r="449">
      <c r="B449" s="31"/>
      <c r="C449" s="31"/>
    </row>
    <row r="450">
      <c r="B450" s="31"/>
      <c r="C450" s="31"/>
    </row>
    <row r="451">
      <c r="B451" s="31"/>
      <c r="C451" s="31"/>
    </row>
    <row r="452">
      <c r="B452" s="31"/>
      <c r="C452" s="31"/>
    </row>
    <row r="453">
      <c r="B453" s="31"/>
      <c r="C453" s="31"/>
    </row>
    <row r="454">
      <c r="B454" s="31"/>
      <c r="C454" s="31"/>
    </row>
    <row r="455">
      <c r="B455" s="31"/>
      <c r="C455" s="31"/>
    </row>
    <row r="456">
      <c r="B456" s="31"/>
      <c r="C456" s="31"/>
    </row>
    <row r="457">
      <c r="B457" s="31"/>
      <c r="C457" s="31"/>
    </row>
    <row r="458">
      <c r="B458" s="31"/>
      <c r="C458" s="31"/>
    </row>
    <row r="459">
      <c r="B459" s="31"/>
      <c r="C459" s="31"/>
    </row>
    <row r="460">
      <c r="B460" s="31"/>
      <c r="C460" s="31"/>
    </row>
    <row r="461">
      <c r="B461" s="31"/>
      <c r="C461" s="31"/>
    </row>
    <row r="462">
      <c r="B462" s="31"/>
      <c r="C462" s="31"/>
    </row>
    <row r="463">
      <c r="B463" s="31"/>
      <c r="C463" s="31"/>
    </row>
    <row r="464">
      <c r="B464" s="31"/>
      <c r="C464" s="31"/>
    </row>
    <row r="465">
      <c r="B465" s="31"/>
      <c r="C465" s="31"/>
    </row>
    <row r="466">
      <c r="B466" s="31"/>
      <c r="C466" s="31"/>
    </row>
    <row r="467">
      <c r="B467" s="31"/>
      <c r="C467" s="31"/>
    </row>
    <row r="468">
      <c r="B468" s="31"/>
      <c r="C468" s="31"/>
    </row>
    <row r="469">
      <c r="B469" s="31"/>
      <c r="C469" s="31"/>
    </row>
    <row r="470">
      <c r="B470" s="31"/>
      <c r="C470" s="31"/>
    </row>
    <row r="471">
      <c r="B471" s="31"/>
      <c r="C471" s="31"/>
    </row>
    <row r="472">
      <c r="B472" s="31"/>
      <c r="C472" s="31"/>
    </row>
    <row r="473">
      <c r="B473" s="31"/>
      <c r="C473" s="31"/>
    </row>
    <row r="474">
      <c r="B474" s="31"/>
      <c r="C474" s="31"/>
    </row>
    <row r="475">
      <c r="B475" s="31"/>
      <c r="C475" s="31"/>
    </row>
    <row r="476">
      <c r="B476" s="31"/>
      <c r="C476" s="31"/>
    </row>
    <row r="477">
      <c r="B477" s="31"/>
      <c r="C477" s="31"/>
    </row>
    <row r="478">
      <c r="B478" s="31"/>
      <c r="C478" s="31"/>
    </row>
    <row r="479">
      <c r="B479" s="31"/>
      <c r="C479" s="31"/>
    </row>
    <row r="480">
      <c r="B480" s="31"/>
      <c r="C480" s="31"/>
    </row>
    <row r="481">
      <c r="B481" s="31"/>
      <c r="C481" s="31"/>
    </row>
    <row r="482">
      <c r="B482" s="31"/>
      <c r="C482" s="31"/>
    </row>
    <row r="483">
      <c r="B483" s="31"/>
      <c r="C483" s="31"/>
    </row>
    <row r="484">
      <c r="B484" s="31"/>
      <c r="C484" s="31"/>
    </row>
    <row r="485">
      <c r="B485" s="31"/>
      <c r="C485" s="31"/>
    </row>
    <row r="486">
      <c r="B486" s="31"/>
      <c r="C486" s="31"/>
    </row>
    <row r="487">
      <c r="B487" s="31"/>
      <c r="C487" s="31"/>
    </row>
    <row r="488">
      <c r="B488" s="31"/>
      <c r="C488" s="31"/>
    </row>
    <row r="489">
      <c r="B489" s="31"/>
      <c r="C489" s="31"/>
    </row>
    <row r="490">
      <c r="B490" s="31"/>
      <c r="C490" s="31"/>
    </row>
    <row r="491">
      <c r="B491" s="31"/>
      <c r="C491" s="31"/>
    </row>
    <row r="492">
      <c r="B492" s="31"/>
      <c r="C492" s="31"/>
    </row>
    <row r="493">
      <c r="B493" s="31"/>
      <c r="C493" s="31"/>
    </row>
    <row r="494">
      <c r="B494" s="31"/>
      <c r="C494" s="31"/>
    </row>
    <row r="495">
      <c r="B495" s="31"/>
      <c r="C495" s="31"/>
    </row>
    <row r="496">
      <c r="B496" s="31"/>
      <c r="C496" s="31"/>
    </row>
    <row r="497">
      <c r="B497" s="31"/>
      <c r="C497" s="31"/>
    </row>
    <row r="498">
      <c r="B498" s="31"/>
      <c r="C498" s="31"/>
    </row>
    <row r="499">
      <c r="B499" s="31"/>
      <c r="C499" s="31"/>
    </row>
    <row r="500">
      <c r="B500" s="31"/>
      <c r="C500" s="31"/>
    </row>
    <row r="501">
      <c r="B501" s="31"/>
      <c r="C501" s="31"/>
    </row>
    <row r="502">
      <c r="B502" s="31"/>
      <c r="C502" s="31"/>
    </row>
    <row r="503">
      <c r="B503" s="31"/>
      <c r="C503" s="31"/>
    </row>
    <row r="504">
      <c r="B504" s="31"/>
      <c r="C504" s="31"/>
    </row>
    <row r="505">
      <c r="B505" s="31"/>
      <c r="C505" s="31"/>
    </row>
    <row r="506">
      <c r="B506" s="31"/>
      <c r="C506" s="31"/>
    </row>
    <row r="507">
      <c r="B507" s="31"/>
      <c r="C507" s="31"/>
    </row>
    <row r="508">
      <c r="B508" s="31"/>
      <c r="C508" s="31"/>
    </row>
    <row r="509">
      <c r="B509" s="31"/>
      <c r="C509" s="31"/>
    </row>
    <row r="510">
      <c r="B510" s="31"/>
      <c r="C510" s="31"/>
    </row>
    <row r="511">
      <c r="B511" s="31"/>
      <c r="C511" s="31"/>
    </row>
    <row r="512">
      <c r="B512" s="31"/>
      <c r="C512" s="31"/>
    </row>
    <row r="513">
      <c r="B513" s="31"/>
      <c r="C513" s="31"/>
    </row>
    <row r="514">
      <c r="B514" s="31"/>
      <c r="C514" s="31"/>
    </row>
    <row r="515">
      <c r="B515" s="31"/>
      <c r="C515" s="31"/>
    </row>
    <row r="516">
      <c r="B516" s="31"/>
      <c r="C516" s="31"/>
    </row>
    <row r="517">
      <c r="B517" s="31"/>
      <c r="C517" s="31"/>
    </row>
    <row r="518">
      <c r="B518" s="31"/>
      <c r="C518" s="31"/>
    </row>
    <row r="519">
      <c r="B519" s="31"/>
      <c r="C519" s="31"/>
    </row>
    <row r="520">
      <c r="B520" s="31"/>
      <c r="C520" s="31"/>
    </row>
    <row r="521">
      <c r="B521" s="31"/>
      <c r="C521" s="31"/>
    </row>
    <row r="522">
      <c r="B522" s="31"/>
      <c r="C522" s="31"/>
    </row>
    <row r="523">
      <c r="B523" s="31"/>
      <c r="C523" s="31"/>
    </row>
    <row r="524">
      <c r="B524" s="31"/>
      <c r="C524" s="31"/>
    </row>
    <row r="525">
      <c r="B525" s="31"/>
      <c r="C525" s="31"/>
    </row>
    <row r="526">
      <c r="B526" s="31"/>
      <c r="C526" s="31"/>
    </row>
    <row r="527">
      <c r="B527" s="31"/>
      <c r="C527" s="31"/>
    </row>
    <row r="528">
      <c r="B528" s="31"/>
      <c r="C528" s="31"/>
    </row>
    <row r="529">
      <c r="B529" s="31"/>
      <c r="C529" s="31"/>
    </row>
    <row r="530">
      <c r="B530" s="31"/>
      <c r="C530" s="31"/>
    </row>
    <row r="531">
      <c r="B531" s="31"/>
      <c r="C531" s="31"/>
    </row>
    <row r="532">
      <c r="B532" s="31"/>
      <c r="C532" s="31"/>
    </row>
    <row r="533">
      <c r="B533" s="31"/>
      <c r="C533" s="31"/>
    </row>
    <row r="534">
      <c r="B534" s="31"/>
      <c r="C534" s="31"/>
    </row>
    <row r="535">
      <c r="B535" s="31"/>
      <c r="C535" s="31"/>
    </row>
    <row r="536">
      <c r="B536" s="31"/>
      <c r="C536" s="31"/>
    </row>
    <row r="537">
      <c r="B537" s="31"/>
      <c r="C537" s="31"/>
    </row>
    <row r="538">
      <c r="B538" s="31"/>
      <c r="C538" s="31"/>
    </row>
    <row r="539">
      <c r="B539" s="31"/>
      <c r="C539" s="31"/>
    </row>
    <row r="540">
      <c r="B540" s="31"/>
      <c r="C540" s="31"/>
    </row>
    <row r="541">
      <c r="B541" s="31"/>
      <c r="C541" s="31"/>
    </row>
    <row r="542">
      <c r="B542" s="31"/>
      <c r="C542" s="31"/>
    </row>
    <row r="543">
      <c r="B543" s="31"/>
      <c r="C543" s="31"/>
    </row>
    <row r="544">
      <c r="B544" s="31"/>
      <c r="C544" s="31"/>
    </row>
    <row r="545">
      <c r="B545" s="31"/>
      <c r="C545" s="31"/>
    </row>
    <row r="546">
      <c r="B546" s="31"/>
      <c r="C546" s="31"/>
    </row>
    <row r="547">
      <c r="B547" s="31"/>
      <c r="C547" s="31"/>
    </row>
    <row r="548">
      <c r="B548" s="31"/>
      <c r="C548" s="31"/>
    </row>
    <row r="549">
      <c r="B549" s="31"/>
      <c r="C549" s="31"/>
    </row>
    <row r="550">
      <c r="B550" s="31"/>
      <c r="C550" s="31"/>
    </row>
    <row r="551">
      <c r="B551" s="31"/>
      <c r="C551" s="31"/>
    </row>
    <row r="552">
      <c r="B552" s="31"/>
      <c r="C552" s="31"/>
    </row>
    <row r="553">
      <c r="B553" s="31"/>
      <c r="C553" s="31"/>
    </row>
    <row r="554">
      <c r="B554" s="31"/>
      <c r="C554" s="31"/>
    </row>
    <row r="555">
      <c r="B555" s="31"/>
      <c r="C555" s="31"/>
    </row>
    <row r="556">
      <c r="B556" s="31"/>
      <c r="C556" s="31"/>
    </row>
    <row r="557">
      <c r="B557" s="31"/>
      <c r="C557" s="31"/>
    </row>
    <row r="558">
      <c r="B558" s="31"/>
      <c r="C558" s="31"/>
    </row>
    <row r="559">
      <c r="B559" s="31"/>
      <c r="C559" s="31"/>
    </row>
    <row r="560">
      <c r="B560" s="31"/>
      <c r="C560" s="31"/>
    </row>
    <row r="561">
      <c r="B561" s="31"/>
      <c r="C561" s="31"/>
    </row>
    <row r="562">
      <c r="B562" s="31"/>
      <c r="C562" s="31"/>
    </row>
    <row r="563">
      <c r="B563" s="31"/>
      <c r="C563" s="31"/>
    </row>
    <row r="564">
      <c r="B564" s="31"/>
      <c r="C564" s="31"/>
    </row>
    <row r="565">
      <c r="B565" s="31"/>
      <c r="C565" s="31"/>
    </row>
    <row r="566">
      <c r="B566" s="31"/>
      <c r="C566" s="31"/>
    </row>
    <row r="567">
      <c r="B567" s="31"/>
      <c r="C567" s="31"/>
    </row>
    <row r="568">
      <c r="B568" s="31"/>
      <c r="C568" s="31"/>
    </row>
    <row r="569">
      <c r="B569" s="31"/>
      <c r="C569" s="31"/>
    </row>
    <row r="570">
      <c r="B570" s="31"/>
      <c r="C570" s="31"/>
    </row>
    <row r="571">
      <c r="B571" s="31"/>
      <c r="C571" s="31"/>
    </row>
    <row r="572">
      <c r="B572" s="31"/>
      <c r="C572" s="31"/>
    </row>
    <row r="573">
      <c r="B573" s="31"/>
      <c r="C573" s="31"/>
    </row>
    <row r="574">
      <c r="B574" s="31"/>
      <c r="C574" s="31"/>
    </row>
    <row r="575">
      <c r="B575" s="31"/>
      <c r="C575" s="31"/>
    </row>
    <row r="576">
      <c r="B576" s="31"/>
      <c r="C576" s="31"/>
    </row>
    <row r="577">
      <c r="B577" s="31"/>
      <c r="C577" s="31"/>
    </row>
    <row r="578">
      <c r="B578" s="31"/>
      <c r="C578" s="31"/>
    </row>
    <row r="579">
      <c r="B579" s="31"/>
      <c r="C579" s="31"/>
    </row>
    <row r="580">
      <c r="B580" s="31"/>
      <c r="C580" s="31"/>
    </row>
    <row r="581">
      <c r="B581" s="31"/>
      <c r="C581" s="31"/>
    </row>
    <row r="582">
      <c r="B582" s="31"/>
      <c r="C582" s="31"/>
    </row>
    <row r="583">
      <c r="B583" s="31"/>
      <c r="C583" s="31"/>
    </row>
    <row r="584">
      <c r="B584" s="31"/>
      <c r="C584" s="31"/>
    </row>
    <row r="585">
      <c r="B585" s="31"/>
      <c r="C585" s="31"/>
    </row>
    <row r="586">
      <c r="B586" s="31"/>
      <c r="C586" s="31"/>
    </row>
    <row r="587">
      <c r="B587" s="31"/>
      <c r="C587" s="31"/>
    </row>
    <row r="588">
      <c r="B588" s="31"/>
      <c r="C588" s="31"/>
    </row>
    <row r="589">
      <c r="B589" s="31"/>
      <c r="C589" s="31"/>
    </row>
    <row r="590">
      <c r="B590" s="31"/>
      <c r="C590" s="31"/>
    </row>
    <row r="591">
      <c r="B591" s="31"/>
      <c r="C591" s="31"/>
    </row>
    <row r="592">
      <c r="B592" s="31"/>
      <c r="C592" s="31"/>
    </row>
    <row r="593">
      <c r="B593" s="31"/>
      <c r="C593" s="31"/>
    </row>
    <row r="594">
      <c r="B594" s="31"/>
      <c r="C594" s="31"/>
    </row>
    <row r="595">
      <c r="B595" s="31"/>
      <c r="C595" s="31"/>
    </row>
    <row r="596">
      <c r="B596" s="31"/>
      <c r="C596" s="31"/>
    </row>
    <row r="597">
      <c r="B597" s="31"/>
      <c r="C597" s="31"/>
    </row>
    <row r="598">
      <c r="B598" s="31"/>
      <c r="C598" s="31"/>
    </row>
    <row r="599">
      <c r="B599" s="31"/>
      <c r="C599" s="31"/>
    </row>
    <row r="600">
      <c r="B600" s="31"/>
      <c r="C600" s="31"/>
    </row>
    <row r="601">
      <c r="B601" s="31"/>
      <c r="C601" s="31"/>
    </row>
    <row r="602">
      <c r="B602" s="31"/>
      <c r="C602" s="31"/>
    </row>
    <row r="603">
      <c r="B603" s="31"/>
      <c r="C603" s="31"/>
    </row>
    <row r="604">
      <c r="B604" s="31"/>
      <c r="C604" s="31"/>
    </row>
    <row r="605">
      <c r="B605" s="31"/>
      <c r="C605" s="31"/>
    </row>
    <row r="606">
      <c r="B606" s="31"/>
      <c r="C606" s="31"/>
    </row>
    <row r="607">
      <c r="B607" s="31"/>
      <c r="C607" s="31"/>
    </row>
    <row r="608">
      <c r="B608" s="31"/>
      <c r="C608" s="31"/>
    </row>
    <row r="609">
      <c r="B609" s="31"/>
      <c r="C609" s="31"/>
    </row>
    <row r="610">
      <c r="B610" s="31"/>
      <c r="C610" s="31"/>
    </row>
    <row r="611">
      <c r="B611" s="31"/>
      <c r="C611" s="31"/>
    </row>
    <row r="612">
      <c r="B612" s="31"/>
      <c r="C612" s="31"/>
    </row>
    <row r="613">
      <c r="B613" s="31"/>
      <c r="C613" s="31"/>
    </row>
    <row r="614">
      <c r="B614" s="31"/>
      <c r="C614" s="31"/>
    </row>
    <row r="615">
      <c r="B615" s="31"/>
      <c r="C615" s="31"/>
    </row>
    <row r="616">
      <c r="B616" s="31"/>
      <c r="C616" s="31"/>
    </row>
    <row r="617">
      <c r="B617" s="31"/>
      <c r="C617" s="31"/>
    </row>
    <row r="618">
      <c r="B618" s="31"/>
      <c r="C618" s="31"/>
    </row>
    <row r="619">
      <c r="B619" s="31"/>
      <c r="C619" s="31"/>
    </row>
    <row r="620">
      <c r="B620" s="31"/>
      <c r="C620" s="31"/>
    </row>
    <row r="621">
      <c r="B621" s="31"/>
      <c r="C621" s="31"/>
    </row>
    <row r="622">
      <c r="B622" s="31"/>
      <c r="C622" s="31"/>
    </row>
    <row r="623">
      <c r="B623" s="31"/>
      <c r="C623" s="31"/>
    </row>
    <row r="624">
      <c r="B624" s="31"/>
      <c r="C624" s="31"/>
    </row>
    <row r="625">
      <c r="B625" s="31"/>
      <c r="C625" s="31"/>
    </row>
    <row r="626">
      <c r="B626" s="31"/>
      <c r="C626" s="31"/>
    </row>
    <row r="627">
      <c r="B627" s="31"/>
      <c r="C627" s="31"/>
    </row>
    <row r="628">
      <c r="B628" s="31"/>
      <c r="C628" s="31"/>
    </row>
    <row r="629">
      <c r="B629" s="31"/>
      <c r="C629" s="31"/>
    </row>
    <row r="630">
      <c r="B630" s="31"/>
      <c r="C630" s="31"/>
    </row>
    <row r="631">
      <c r="B631" s="31"/>
      <c r="C631" s="31"/>
    </row>
    <row r="632">
      <c r="B632" s="31"/>
      <c r="C632" s="31"/>
    </row>
    <row r="633">
      <c r="B633" s="31"/>
      <c r="C633" s="31"/>
    </row>
    <row r="634">
      <c r="B634" s="31"/>
      <c r="C634" s="31"/>
    </row>
    <row r="635">
      <c r="B635" s="31"/>
      <c r="C635" s="31"/>
    </row>
    <row r="636">
      <c r="B636" s="31"/>
      <c r="C636" s="31"/>
    </row>
    <row r="637">
      <c r="B637" s="31"/>
      <c r="C637" s="31"/>
    </row>
    <row r="638">
      <c r="B638" s="31"/>
      <c r="C638" s="31"/>
    </row>
    <row r="639">
      <c r="B639" s="31"/>
      <c r="C639" s="31"/>
    </row>
    <row r="640">
      <c r="B640" s="31"/>
      <c r="C640" s="31"/>
    </row>
    <row r="641">
      <c r="B641" s="31"/>
      <c r="C641" s="31"/>
    </row>
    <row r="642">
      <c r="B642" s="31"/>
      <c r="C642" s="31"/>
    </row>
    <row r="643">
      <c r="B643" s="31"/>
      <c r="C643" s="31"/>
    </row>
    <row r="644">
      <c r="B644" s="31"/>
      <c r="C644" s="31"/>
    </row>
    <row r="645">
      <c r="B645" s="31"/>
      <c r="C645" s="31"/>
    </row>
    <row r="646">
      <c r="B646" s="31"/>
      <c r="C646" s="31"/>
    </row>
    <row r="647">
      <c r="B647" s="31"/>
      <c r="C647" s="31"/>
    </row>
    <row r="648">
      <c r="B648" s="31"/>
      <c r="C648" s="31"/>
    </row>
    <row r="649">
      <c r="B649" s="31"/>
      <c r="C649" s="31"/>
    </row>
    <row r="650">
      <c r="B650" s="31"/>
      <c r="C650" s="31"/>
    </row>
    <row r="651">
      <c r="B651" s="31"/>
      <c r="C651" s="31"/>
    </row>
    <row r="652">
      <c r="B652" s="31"/>
      <c r="C652" s="31"/>
    </row>
    <row r="653">
      <c r="B653" s="31"/>
      <c r="C653" s="31"/>
    </row>
    <row r="654">
      <c r="B654" s="31"/>
      <c r="C654" s="31"/>
    </row>
    <row r="655">
      <c r="B655" s="31"/>
      <c r="C655" s="31"/>
    </row>
    <row r="656">
      <c r="B656" s="31"/>
      <c r="C656" s="31"/>
    </row>
    <row r="657">
      <c r="B657" s="31"/>
      <c r="C657" s="31"/>
    </row>
    <row r="658">
      <c r="B658" s="31"/>
      <c r="C658" s="31"/>
    </row>
    <row r="659">
      <c r="B659" s="31"/>
      <c r="C659" s="31"/>
    </row>
    <row r="660">
      <c r="B660" s="31"/>
      <c r="C660" s="31"/>
    </row>
    <row r="661">
      <c r="B661" s="31"/>
      <c r="C661" s="31"/>
    </row>
    <row r="662">
      <c r="B662" s="31"/>
      <c r="C662" s="31"/>
    </row>
    <row r="663">
      <c r="B663" s="31"/>
      <c r="C663" s="31"/>
    </row>
    <row r="664">
      <c r="B664" s="31"/>
      <c r="C664" s="31"/>
    </row>
    <row r="665">
      <c r="B665" s="31"/>
      <c r="C665" s="31"/>
    </row>
    <row r="666">
      <c r="B666" s="31"/>
      <c r="C666" s="31"/>
    </row>
    <row r="667">
      <c r="B667" s="31"/>
      <c r="C667" s="31"/>
    </row>
    <row r="668">
      <c r="B668" s="31"/>
      <c r="C668" s="31"/>
    </row>
    <row r="669">
      <c r="B669" s="31"/>
      <c r="C669" s="31"/>
    </row>
    <row r="670">
      <c r="B670" s="31"/>
      <c r="C670" s="31"/>
    </row>
    <row r="671">
      <c r="B671" s="31"/>
      <c r="C671" s="31"/>
    </row>
    <row r="672">
      <c r="B672" s="31"/>
      <c r="C672" s="31"/>
    </row>
    <row r="673">
      <c r="B673" s="31"/>
      <c r="C673" s="31"/>
    </row>
    <row r="674">
      <c r="B674" s="31"/>
      <c r="C674" s="31"/>
    </row>
    <row r="675">
      <c r="B675" s="31"/>
      <c r="C675" s="31"/>
    </row>
    <row r="676">
      <c r="B676" s="31"/>
      <c r="C676" s="31"/>
    </row>
    <row r="677">
      <c r="B677" s="31"/>
      <c r="C677" s="31"/>
    </row>
    <row r="678">
      <c r="B678" s="31"/>
      <c r="C678" s="31"/>
    </row>
    <row r="679">
      <c r="B679" s="31"/>
      <c r="C679" s="31"/>
    </row>
    <row r="680">
      <c r="B680" s="31"/>
      <c r="C680" s="31"/>
    </row>
    <row r="681">
      <c r="B681" s="31"/>
      <c r="C681" s="31"/>
    </row>
    <row r="682">
      <c r="B682" s="31"/>
      <c r="C682" s="31"/>
    </row>
    <row r="683">
      <c r="B683" s="31"/>
      <c r="C683" s="31"/>
    </row>
    <row r="684">
      <c r="B684" s="31"/>
      <c r="C684" s="31"/>
    </row>
    <row r="685">
      <c r="B685" s="31"/>
      <c r="C685" s="31"/>
    </row>
    <row r="686">
      <c r="B686" s="31"/>
      <c r="C686" s="31"/>
    </row>
    <row r="687">
      <c r="B687" s="31"/>
      <c r="C687" s="31"/>
    </row>
    <row r="688">
      <c r="B688" s="31"/>
      <c r="C688" s="31"/>
    </row>
    <row r="689">
      <c r="B689" s="31"/>
      <c r="C689" s="31"/>
    </row>
    <row r="690">
      <c r="B690" s="31"/>
      <c r="C690" s="31"/>
    </row>
    <row r="691">
      <c r="B691" s="31"/>
      <c r="C691" s="31"/>
    </row>
    <row r="692">
      <c r="B692" s="31"/>
      <c r="C692" s="31"/>
    </row>
    <row r="693">
      <c r="B693" s="31"/>
      <c r="C693" s="31"/>
    </row>
    <row r="694">
      <c r="B694" s="31"/>
      <c r="C694" s="31"/>
    </row>
    <row r="695">
      <c r="B695" s="31"/>
      <c r="C695" s="31"/>
    </row>
    <row r="696">
      <c r="B696" s="31"/>
      <c r="C696" s="31"/>
    </row>
    <row r="697">
      <c r="B697" s="31"/>
      <c r="C697" s="31"/>
    </row>
    <row r="698">
      <c r="B698" s="31"/>
      <c r="C698" s="31"/>
    </row>
    <row r="699">
      <c r="B699" s="31"/>
      <c r="C699" s="31"/>
    </row>
    <row r="700">
      <c r="B700" s="31"/>
      <c r="C700" s="31"/>
    </row>
    <row r="701">
      <c r="B701" s="31"/>
      <c r="C701" s="31"/>
    </row>
    <row r="702">
      <c r="B702" s="31"/>
      <c r="C702" s="31"/>
    </row>
    <row r="703">
      <c r="B703" s="31"/>
      <c r="C703" s="31"/>
    </row>
    <row r="704">
      <c r="B704" s="31"/>
      <c r="C704" s="31"/>
    </row>
    <row r="705">
      <c r="B705" s="31"/>
      <c r="C705" s="31"/>
    </row>
    <row r="706">
      <c r="B706" s="31"/>
      <c r="C706" s="31"/>
    </row>
    <row r="707">
      <c r="B707" s="31"/>
      <c r="C707" s="31"/>
    </row>
    <row r="708">
      <c r="B708" s="31"/>
      <c r="C708" s="31"/>
    </row>
    <row r="709">
      <c r="B709" s="31"/>
      <c r="C709" s="31"/>
    </row>
    <row r="710">
      <c r="B710" s="31"/>
      <c r="C710" s="31"/>
    </row>
    <row r="711">
      <c r="B711" s="31"/>
      <c r="C711" s="31"/>
    </row>
    <row r="712">
      <c r="B712" s="31"/>
      <c r="C712" s="31"/>
    </row>
    <row r="713">
      <c r="B713" s="31"/>
      <c r="C713" s="31"/>
    </row>
    <row r="714">
      <c r="B714" s="31"/>
      <c r="C714" s="31"/>
    </row>
    <row r="715">
      <c r="B715" s="31"/>
      <c r="C715" s="31"/>
    </row>
    <row r="716">
      <c r="B716" s="31"/>
      <c r="C716" s="31"/>
    </row>
    <row r="717">
      <c r="B717" s="31"/>
      <c r="C717" s="31"/>
    </row>
    <row r="718">
      <c r="B718" s="31"/>
      <c r="C718" s="31"/>
    </row>
    <row r="719">
      <c r="B719" s="31"/>
      <c r="C719" s="31"/>
    </row>
    <row r="720">
      <c r="B720" s="31"/>
      <c r="C720" s="31"/>
    </row>
    <row r="721">
      <c r="B721" s="31"/>
      <c r="C721" s="31"/>
    </row>
    <row r="722">
      <c r="B722" s="31"/>
      <c r="C722" s="31"/>
    </row>
    <row r="723">
      <c r="B723" s="31"/>
      <c r="C723" s="31"/>
    </row>
    <row r="724">
      <c r="B724" s="31"/>
      <c r="C724" s="31"/>
    </row>
    <row r="725">
      <c r="B725" s="31"/>
      <c r="C725" s="31"/>
    </row>
    <row r="726">
      <c r="B726" s="31"/>
      <c r="C726" s="31"/>
    </row>
    <row r="727">
      <c r="B727" s="31"/>
      <c r="C727" s="31"/>
    </row>
    <row r="728">
      <c r="B728" s="31"/>
      <c r="C728" s="31"/>
    </row>
    <row r="729">
      <c r="B729" s="31"/>
      <c r="C729" s="31"/>
    </row>
    <row r="730">
      <c r="B730" s="31"/>
      <c r="C730" s="31"/>
    </row>
    <row r="731">
      <c r="B731" s="31"/>
      <c r="C731" s="31"/>
    </row>
    <row r="732">
      <c r="B732" s="31"/>
      <c r="C732" s="31"/>
    </row>
    <row r="733">
      <c r="B733" s="31"/>
      <c r="C733" s="31"/>
    </row>
    <row r="734">
      <c r="B734" s="31"/>
      <c r="C734" s="31"/>
    </row>
    <row r="735">
      <c r="B735" s="31"/>
      <c r="C735" s="31"/>
    </row>
    <row r="736">
      <c r="B736" s="31"/>
      <c r="C736" s="31"/>
    </row>
    <row r="737">
      <c r="B737" s="31"/>
      <c r="C737" s="31"/>
    </row>
    <row r="738">
      <c r="B738" s="31"/>
      <c r="C738" s="31"/>
    </row>
    <row r="739">
      <c r="B739" s="31"/>
      <c r="C739" s="31"/>
    </row>
    <row r="740">
      <c r="B740" s="31"/>
      <c r="C740" s="31"/>
    </row>
    <row r="741">
      <c r="B741" s="31"/>
      <c r="C741" s="31"/>
    </row>
    <row r="742">
      <c r="B742" s="31"/>
      <c r="C742" s="31"/>
    </row>
    <row r="743">
      <c r="B743" s="31"/>
      <c r="C743" s="31"/>
    </row>
    <row r="744">
      <c r="B744" s="31"/>
      <c r="C744" s="31"/>
    </row>
    <row r="745">
      <c r="B745" s="31"/>
      <c r="C745" s="31"/>
    </row>
    <row r="746">
      <c r="B746" s="31"/>
      <c r="C746" s="31"/>
    </row>
    <row r="747">
      <c r="B747" s="31"/>
      <c r="C747" s="31"/>
    </row>
    <row r="748">
      <c r="B748" s="31"/>
      <c r="C748" s="31"/>
    </row>
    <row r="749">
      <c r="B749" s="31"/>
      <c r="C749" s="31"/>
    </row>
    <row r="750">
      <c r="B750" s="31"/>
      <c r="C750" s="31"/>
    </row>
    <row r="751">
      <c r="B751" s="31"/>
      <c r="C751" s="31"/>
    </row>
    <row r="752">
      <c r="B752" s="31"/>
      <c r="C752" s="31"/>
    </row>
    <row r="753">
      <c r="B753" s="31"/>
      <c r="C753" s="31"/>
    </row>
    <row r="754">
      <c r="B754" s="31"/>
      <c r="C754" s="31"/>
    </row>
    <row r="755">
      <c r="B755" s="31"/>
      <c r="C755" s="31"/>
    </row>
    <row r="756">
      <c r="B756" s="31"/>
      <c r="C756" s="31"/>
    </row>
    <row r="757">
      <c r="B757" s="31"/>
      <c r="C757" s="31"/>
    </row>
    <row r="758">
      <c r="B758" s="31"/>
      <c r="C758" s="31"/>
    </row>
    <row r="759">
      <c r="B759" s="31"/>
      <c r="C759" s="31"/>
    </row>
    <row r="760">
      <c r="B760" s="31"/>
      <c r="C760" s="31"/>
    </row>
    <row r="761">
      <c r="B761" s="31"/>
      <c r="C761" s="31"/>
    </row>
    <row r="762">
      <c r="B762" s="31"/>
      <c r="C762" s="31"/>
    </row>
    <row r="763">
      <c r="B763" s="31"/>
      <c r="C763" s="31"/>
    </row>
    <row r="764">
      <c r="B764" s="31"/>
      <c r="C764" s="31"/>
    </row>
    <row r="765">
      <c r="B765" s="31"/>
      <c r="C765" s="31"/>
    </row>
    <row r="766">
      <c r="B766" s="31"/>
      <c r="C766" s="31"/>
    </row>
    <row r="767">
      <c r="B767" s="31"/>
      <c r="C767" s="31"/>
    </row>
    <row r="768">
      <c r="B768" s="31"/>
      <c r="C768" s="31"/>
    </row>
    <row r="769">
      <c r="B769" s="31"/>
      <c r="C769" s="31"/>
    </row>
    <row r="770">
      <c r="B770" s="31"/>
      <c r="C770" s="31"/>
    </row>
    <row r="771">
      <c r="B771" s="31"/>
      <c r="C771" s="31"/>
    </row>
    <row r="772">
      <c r="B772" s="31"/>
      <c r="C772" s="31"/>
    </row>
    <row r="773">
      <c r="B773" s="31"/>
      <c r="C773" s="31"/>
    </row>
    <row r="774">
      <c r="B774" s="31"/>
      <c r="C774" s="31"/>
    </row>
    <row r="775">
      <c r="B775" s="31"/>
      <c r="C775" s="31"/>
    </row>
    <row r="776">
      <c r="B776" s="31"/>
      <c r="C776" s="31"/>
    </row>
    <row r="777">
      <c r="B777" s="31"/>
      <c r="C777" s="31"/>
    </row>
    <row r="778">
      <c r="B778" s="31"/>
      <c r="C778" s="31"/>
    </row>
    <row r="779">
      <c r="B779" s="31"/>
      <c r="C779" s="31"/>
    </row>
    <row r="780">
      <c r="B780" s="31"/>
      <c r="C780" s="31"/>
    </row>
    <row r="781">
      <c r="B781" s="31"/>
      <c r="C781" s="31"/>
    </row>
    <row r="782">
      <c r="B782" s="31"/>
      <c r="C782" s="31"/>
    </row>
    <row r="783">
      <c r="B783" s="31"/>
      <c r="C783" s="31"/>
    </row>
    <row r="784">
      <c r="B784" s="31"/>
      <c r="C784" s="31"/>
    </row>
    <row r="785">
      <c r="B785" s="31"/>
      <c r="C785" s="31"/>
    </row>
    <row r="786">
      <c r="B786" s="31"/>
      <c r="C786" s="31"/>
    </row>
    <row r="787">
      <c r="B787" s="31"/>
      <c r="C787" s="31"/>
    </row>
    <row r="788">
      <c r="B788" s="31"/>
      <c r="C788" s="31"/>
    </row>
    <row r="789">
      <c r="B789" s="31"/>
      <c r="C789" s="31"/>
    </row>
    <row r="790">
      <c r="B790" s="31"/>
      <c r="C790" s="31"/>
    </row>
    <row r="791">
      <c r="B791" s="31"/>
      <c r="C791" s="31"/>
    </row>
    <row r="792">
      <c r="B792" s="31"/>
      <c r="C792" s="31"/>
    </row>
    <row r="793">
      <c r="B793" s="31"/>
      <c r="C793" s="31"/>
    </row>
    <row r="794">
      <c r="B794" s="31"/>
      <c r="C794" s="31"/>
    </row>
    <row r="795">
      <c r="B795" s="31"/>
      <c r="C795" s="31"/>
    </row>
    <row r="796">
      <c r="B796" s="31"/>
      <c r="C796" s="31"/>
    </row>
    <row r="797">
      <c r="B797" s="31"/>
      <c r="C797" s="31"/>
    </row>
    <row r="798">
      <c r="B798" s="31"/>
      <c r="C798" s="31"/>
    </row>
    <row r="799">
      <c r="B799" s="31"/>
      <c r="C799" s="31"/>
    </row>
    <row r="800">
      <c r="B800" s="31"/>
      <c r="C800" s="31"/>
    </row>
    <row r="801">
      <c r="B801" s="31"/>
      <c r="C801" s="31"/>
    </row>
    <row r="802">
      <c r="B802" s="31"/>
      <c r="C802" s="31"/>
    </row>
    <row r="803">
      <c r="B803" s="31"/>
      <c r="C803" s="31"/>
    </row>
    <row r="804">
      <c r="B804" s="31"/>
      <c r="C804" s="31"/>
    </row>
    <row r="805">
      <c r="B805" s="31"/>
      <c r="C805" s="31"/>
    </row>
    <row r="806">
      <c r="B806" s="31"/>
      <c r="C806" s="31"/>
    </row>
    <row r="807">
      <c r="B807" s="31"/>
      <c r="C807" s="31"/>
    </row>
    <row r="808">
      <c r="B808" s="31"/>
      <c r="C808" s="31"/>
    </row>
    <row r="809">
      <c r="B809" s="31"/>
      <c r="C809" s="31"/>
    </row>
    <row r="810">
      <c r="B810" s="31"/>
      <c r="C810" s="31"/>
    </row>
    <row r="811">
      <c r="B811" s="31"/>
      <c r="C811" s="31"/>
    </row>
    <row r="812">
      <c r="B812" s="31"/>
      <c r="C812" s="31"/>
    </row>
    <row r="813">
      <c r="B813" s="31"/>
      <c r="C813" s="31"/>
    </row>
    <row r="814">
      <c r="B814" s="31"/>
      <c r="C814" s="31"/>
    </row>
    <row r="815">
      <c r="B815" s="31"/>
      <c r="C815" s="31"/>
    </row>
    <row r="816">
      <c r="B816" s="31"/>
      <c r="C816" s="31"/>
    </row>
    <row r="817">
      <c r="B817" s="31"/>
      <c r="C817" s="31"/>
    </row>
    <row r="818">
      <c r="B818" s="31"/>
      <c r="C818" s="31"/>
    </row>
    <row r="819">
      <c r="B819" s="31"/>
      <c r="C819" s="31"/>
    </row>
    <row r="820">
      <c r="B820" s="31"/>
      <c r="C820" s="31"/>
    </row>
    <row r="821">
      <c r="B821" s="31"/>
      <c r="C821" s="31"/>
    </row>
    <row r="822">
      <c r="B822" s="31"/>
      <c r="C822" s="31"/>
    </row>
    <row r="823">
      <c r="B823" s="31"/>
      <c r="C823" s="31"/>
    </row>
    <row r="824">
      <c r="B824" s="31"/>
      <c r="C824" s="31"/>
    </row>
    <row r="825">
      <c r="B825" s="31"/>
      <c r="C825" s="31"/>
    </row>
    <row r="826">
      <c r="B826" s="31"/>
      <c r="C826" s="31"/>
    </row>
    <row r="827">
      <c r="B827" s="31"/>
      <c r="C827" s="31"/>
    </row>
    <row r="828">
      <c r="B828" s="31"/>
      <c r="C828" s="31"/>
    </row>
    <row r="829">
      <c r="B829" s="31"/>
      <c r="C829" s="31"/>
    </row>
    <row r="830">
      <c r="B830" s="31"/>
      <c r="C830" s="31"/>
    </row>
    <row r="831">
      <c r="B831" s="31"/>
      <c r="C831" s="31"/>
    </row>
    <row r="832">
      <c r="B832" s="31"/>
      <c r="C832" s="31"/>
    </row>
    <row r="833">
      <c r="B833" s="31"/>
      <c r="C833" s="31"/>
    </row>
    <row r="834">
      <c r="B834" s="31"/>
      <c r="C834" s="31"/>
    </row>
    <row r="835">
      <c r="B835" s="31"/>
      <c r="C835" s="31"/>
    </row>
    <row r="836">
      <c r="B836" s="31"/>
      <c r="C836" s="31"/>
    </row>
    <row r="837">
      <c r="B837" s="31"/>
      <c r="C837" s="31"/>
    </row>
    <row r="838">
      <c r="B838" s="31"/>
      <c r="C838" s="31"/>
    </row>
    <row r="839">
      <c r="B839" s="31"/>
      <c r="C839" s="31"/>
    </row>
    <row r="840">
      <c r="B840" s="31"/>
      <c r="C840" s="31"/>
    </row>
    <row r="841">
      <c r="B841" s="31"/>
      <c r="C841" s="31"/>
    </row>
    <row r="842">
      <c r="B842" s="31"/>
      <c r="C842" s="31"/>
    </row>
    <row r="843">
      <c r="B843" s="31"/>
      <c r="C843" s="31"/>
    </row>
    <row r="844">
      <c r="B844" s="31"/>
      <c r="C844" s="31"/>
    </row>
    <row r="845">
      <c r="B845" s="31"/>
      <c r="C845" s="31"/>
    </row>
    <row r="846">
      <c r="B846" s="31"/>
      <c r="C846" s="31"/>
    </row>
    <row r="847">
      <c r="B847" s="31"/>
      <c r="C847" s="31"/>
    </row>
    <row r="848">
      <c r="B848" s="31"/>
      <c r="C848" s="31"/>
    </row>
    <row r="849">
      <c r="B849" s="31"/>
      <c r="C849" s="31"/>
    </row>
    <row r="850">
      <c r="B850" s="31"/>
      <c r="C850" s="31"/>
    </row>
    <row r="851">
      <c r="B851" s="31"/>
      <c r="C851" s="31"/>
    </row>
    <row r="852">
      <c r="B852" s="31"/>
      <c r="C852" s="31"/>
    </row>
    <row r="853">
      <c r="B853" s="31"/>
      <c r="C853" s="31"/>
    </row>
    <row r="854">
      <c r="B854" s="31"/>
      <c r="C854" s="31"/>
    </row>
    <row r="855">
      <c r="B855" s="31"/>
      <c r="C855" s="31"/>
    </row>
    <row r="856">
      <c r="B856" s="31"/>
      <c r="C856" s="31"/>
    </row>
    <row r="857">
      <c r="B857" s="31"/>
      <c r="C857" s="31"/>
    </row>
    <row r="858">
      <c r="B858" s="31"/>
      <c r="C858" s="31"/>
    </row>
    <row r="859">
      <c r="B859" s="31"/>
      <c r="C859" s="31"/>
    </row>
    <row r="860">
      <c r="B860" s="31"/>
      <c r="C860" s="31"/>
    </row>
    <row r="861">
      <c r="B861" s="31"/>
      <c r="C861" s="31"/>
    </row>
    <row r="862">
      <c r="B862" s="31"/>
      <c r="C862" s="31"/>
    </row>
    <row r="863">
      <c r="B863" s="31"/>
      <c r="C863" s="31"/>
    </row>
    <row r="864">
      <c r="B864" s="31"/>
      <c r="C864" s="31"/>
    </row>
    <row r="865">
      <c r="B865" s="31"/>
      <c r="C865" s="31"/>
    </row>
    <row r="866">
      <c r="B866" s="31"/>
      <c r="C866" s="31"/>
    </row>
    <row r="867">
      <c r="B867" s="31"/>
      <c r="C867" s="31"/>
    </row>
    <row r="868">
      <c r="B868" s="31"/>
      <c r="C868" s="31"/>
    </row>
    <row r="869">
      <c r="B869" s="31"/>
      <c r="C869" s="31"/>
    </row>
    <row r="870">
      <c r="B870" s="31"/>
      <c r="C870" s="31"/>
    </row>
    <row r="871">
      <c r="B871" s="31"/>
      <c r="C871" s="31"/>
    </row>
    <row r="872">
      <c r="B872" s="31"/>
      <c r="C872" s="31"/>
    </row>
    <row r="873">
      <c r="B873" s="31"/>
      <c r="C873" s="31"/>
    </row>
    <row r="874">
      <c r="B874" s="31"/>
      <c r="C874" s="31"/>
    </row>
    <row r="875">
      <c r="B875" s="31"/>
      <c r="C875" s="31"/>
    </row>
    <row r="876">
      <c r="B876" s="31"/>
      <c r="C876" s="31"/>
    </row>
    <row r="877">
      <c r="B877" s="31"/>
      <c r="C877" s="31"/>
    </row>
    <row r="878">
      <c r="B878" s="31"/>
      <c r="C878" s="31"/>
    </row>
    <row r="879">
      <c r="B879" s="31"/>
      <c r="C879" s="31"/>
    </row>
    <row r="880">
      <c r="B880" s="31"/>
      <c r="C880" s="31"/>
    </row>
    <row r="881">
      <c r="B881" s="31"/>
      <c r="C881" s="31"/>
    </row>
    <row r="882">
      <c r="B882" s="31"/>
      <c r="C882" s="31"/>
    </row>
    <row r="883">
      <c r="B883" s="31"/>
      <c r="C883" s="31"/>
    </row>
    <row r="884">
      <c r="B884" s="31"/>
      <c r="C884" s="31"/>
    </row>
    <row r="885">
      <c r="B885" s="31"/>
      <c r="C885" s="31"/>
    </row>
    <row r="886">
      <c r="B886" s="31"/>
      <c r="C886" s="31"/>
    </row>
    <row r="887">
      <c r="B887" s="31"/>
      <c r="C887" s="31"/>
    </row>
    <row r="888">
      <c r="B888" s="31"/>
      <c r="C888" s="31"/>
    </row>
    <row r="889">
      <c r="B889" s="31"/>
      <c r="C889" s="31"/>
    </row>
    <row r="890">
      <c r="B890" s="31"/>
      <c r="C890" s="31"/>
    </row>
    <row r="891">
      <c r="B891" s="31"/>
      <c r="C891" s="31"/>
    </row>
    <row r="892">
      <c r="B892" s="31"/>
      <c r="C892" s="31"/>
    </row>
    <row r="893">
      <c r="B893" s="31"/>
      <c r="C893" s="31"/>
    </row>
    <row r="894">
      <c r="B894" s="31"/>
      <c r="C894" s="31"/>
    </row>
    <row r="895">
      <c r="B895" s="31"/>
      <c r="C895" s="31"/>
    </row>
    <row r="896">
      <c r="B896" s="31"/>
      <c r="C896" s="31"/>
    </row>
    <row r="897">
      <c r="B897" s="31"/>
      <c r="C897" s="31"/>
    </row>
    <row r="898">
      <c r="B898" s="31"/>
      <c r="C898" s="31"/>
    </row>
    <row r="899">
      <c r="B899" s="31"/>
      <c r="C899" s="31"/>
    </row>
    <row r="900">
      <c r="B900" s="31"/>
      <c r="C900" s="31"/>
    </row>
    <row r="901">
      <c r="B901" s="31"/>
      <c r="C901" s="31"/>
    </row>
    <row r="902">
      <c r="B902" s="31"/>
      <c r="C902" s="31"/>
    </row>
    <row r="903">
      <c r="B903" s="31"/>
      <c r="C903" s="31"/>
    </row>
    <row r="904">
      <c r="B904" s="31"/>
      <c r="C904" s="31"/>
    </row>
    <row r="905">
      <c r="B905" s="31"/>
      <c r="C905" s="31"/>
    </row>
    <row r="906">
      <c r="B906" s="31"/>
      <c r="C906" s="31"/>
    </row>
    <row r="907">
      <c r="B907" s="31"/>
      <c r="C907" s="31"/>
    </row>
    <row r="908">
      <c r="B908" s="31"/>
      <c r="C908" s="31"/>
    </row>
    <row r="909">
      <c r="B909" s="31"/>
      <c r="C909" s="31"/>
    </row>
    <row r="910">
      <c r="B910" s="31"/>
      <c r="C910" s="31"/>
    </row>
    <row r="911">
      <c r="B911" s="31"/>
      <c r="C911" s="31"/>
    </row>
    <row r="912">
      <c r="B912" s="31"/>
      <c r="C912" s="31"/>
    </row>
    <row r="913">
      <c r="B913" s="31"/>
      <c r="C913" s="31"/>
    </row>
    <row r="914">
      <c r="B914" s="31"/>
      <c r="C914" s="31"/>
    </row>
    <row r="915">
      <c r="B915" s="31"/>
      <c r="C915" s="31"/>
    </row>
    <row r="916">
      <c r="B916" s="31"/>
      <c r="C916" s="31"/>
    </row>
    <row r="917">
      <c r="B917" s="31"/>
      <c r="C917" s="31"/>
    </row>
    <row r="918">
      <c r="B918" s="31"/>
      <c r="C918" s="31"/>
    </row>
    <row r="919">
      <c r="B919" s="31"/>
      <c r="C919" s="31"/>
    </row>
    <row r="920">
      <c r="B920" s="31"/>
      <c r="C920" s="31"/>
    </row>
    <row r="921">
      <c r="B921" s="31"/>
      <c r="C921" s="31"/>
    </row>
    <row r="922">
      <c r="B922" s="31"/>
      <c r="C922" s="31"/>
    </row>
    <row r="923">
      <c r="B923" s="31"/>
      <c r="C923" s="31"/>
    </row>
    <row r="924">
      <c r="B924" s="31"/>
      <c r="C924" s="31"/>
    </row>
    <row r="925">
      <c r="B925" s="31"/>
      <c r="C925" s="31"/>
    </row>
    <row r="926">
      <c r="B926" s="31"/>
      <c r="C926" s="31"/>
    </row>
    <row r="927">
      <c r="B927" s="31"/>
      <c r="C927" s="31"/>
    </row>
    <row r="928">
      <c r="B928" s="31"/>
      <c r="C928" s="31"/>
    </row>
    <row r="929">
      <c r="B929" s="31"/>
      <c r="C929" s="31"/>
    </row>
    <row r="930">
      <c r="B930" s="31"/>
      <c r="C930" s="31"/>
    </row>
    <row r="931">
      <c r="B931" s="31"/>
      <c r="C931" s="31"/>
    </row>
    <row r="932">
      <c r="B932" s="31"/>
      <c r="C932" s="31"/>
    </row>
    <row r="933">
      <c r="B933" s="31"/>
      <c r="C933" s="31"/>
    </row>
    <row r="934">
      <c r="B934" s="31"/>
      <c r="C934" s="31"/>
    </row>
    <row r="935">
      <c r="B935" s="31"/>
      <c r="C935" s="31"/>
    </row>
    <row r="936">
      <c r="B936" s="31"/>
      <c r="C936" s="31"/>
    </row>
    <row r="937">
      <c r="B937" s="31"/>
      <c r="C937" s="31"/>
    </row>
    <row r="938">
      <c r="B938" s="31"/>
      <c r="C938" s="31"/>
    </row>
    <row r="939">
      <c r="B939" s="31"/>
      <c r="C939" s="31"/>
    </row>
    <row r="940">
      <c r="B940" s="31"/>
      <c r="C940" s="31"/>
    </row>
    <row r="941">
      <c r="B941" s="31"/>
      <c r="C941" s="31"/>
    </row>
    <row r="942">
      <c r="B942" s="31"/>
      <c r="C942" s="31"/>
    </row>
    <row r="943">
      <c r="B943" s="31"/>
      <c r="C943" s="31"/>
    </row>
    <row r="944">
      <c r="B944" s="31"/>
      <c r="C944" s="31"/>
    </row>
    <row r="945">
      <c r="B945" s="31"/>
      <c r="C945" s="31"/>
    </row>
    <row r="946">
      <c r="B946" s="31"/>
      <c r="C946" s="31"/>
    </row>
    <row r="947">
      <c r="B947" s="31"/>
      <c r="C947" s="31"/>
    </row>
    <row r="948">
      <c r="B948" s="31"/>
      <c r="C948" s="31"/>
    </row>
    <row r="949">
      <c r="B949" s="31"/>
      <c r="C949" s="31"/>
    </row>
    <row r="950">
      <c r="B950" s="31"/>
      <c r="C950" s="31"/>
    </row>
    <row r="951">
      <c r="B951" s="31"/>
      <c r="C951" s="31"/>
    </row>
    <row r="952">
      <c r="B952" s="31"/>
      <c r="C952" s="31"/>
    </row>
    <row r="953">
      <c r="B953" s="31"/>
      <c r="C953" s="31"/>
    </row>
    <row r="954">
      <c r="B954" s="31"/>
      <c r="C954" s="31"/>
    </row>
    <row r="955">
      <c r="B955" s="31"/>
      <c r="C955" s="31"/>
    </row>
    <row r="956">
      <c r="B956" s="31"/>
      <c r="C956" s="31"/>
    </row>
    <row r="957">
      <c r="B957" s="31"/>
      <c r="C957" s="31"/>
    </row>
    <row r="958">
      <c r="B958" s="31"/>
      <c r="C958" s="31"/>
    </row>
    <row r="959">
      <c r="B959" s="31"/>
      <c r="C959" s="31"/>
    </row>
    <row r="960">
      <c r="B960" s="31"/>
      <c r="C960" s="31"/>
    </row>
    <row r="961">
      <c r="B961" s="31"/>
      <c r="C961" s="31"/>
    </row>
    <row r="962">
      <c r="B962" s="31"/>
      <c r="C962" s="31"/>
    </row>
    <row r="963">
      <c r="B963" s="31"/>
      <c r="C963" s="31"/>
    </row>
    <row r="964">
      <c r="B964" s="31"/>
      <c r="C964" s="31"/>
    </row>
    <row r="965">
      <c r="B965" s="31"/>
      <c r="C965" s="31"/>
    </row>
    <row r="966">
      <c r="B966" s="31"/>
      <c r="C966" s="31"/>
    </row>
    <row r="967">
      <c r="B967" s="31"/>
      <c r="C967" s="31"/>
    </row>
    <row r="968">
      <c r="B968" s="31"/>
      <c r="C968" s="31"/>
    </row>
    <row r="969">
      <c r="B969" s="31"/>
      <c r="C969" s="31"/>
    </row>
    <row r="970">
      <c r="B970" s="31"/>
      <c r="C970" s="31"/>
    </row>
    <row r="971">
      <c r="B971" s="31"/>
      <c r="C971" s="31"/>
    </row>
    <row r="972">
      <c r="B972" s="31"/>
      <c r="C972" s="31"/>
    </row>
    <row r="973">
      <c r="B973" s="31"/>
      <c r="C973" s="31"/>
    </row>
    <row r="974">
      <c r="B974" s="31"/>
      <c r="C974" s="31"/>
    </row>
    <row r="975">
      <c r="B975" s="31"/>
      <c r="C975" s="31"/>
    </row>
    <row r="976">
      <c r="B976" s="31"/>
      <c r="C976" s="31"/>
    </row>
    <row r="977">
      <c r="B977" s="31"/>
      <c r="C977" s="31"/>
    </row>
    <row r="978">
      <c r="B978" s="31"/>
      <c r="C978" s="31"/>
    </row>
    <row r="979">
      <c r="B979" s="31"/>
      <c r="C979" s="31"/>
    </row>
    <row r="980">
      <c r="B980" s="31"/>
      <c r="C980" s="31"/>
    </row>
    <row r="981">
      <c r="B981" s="31"/>
      <c r="C981" s="31"/>
    </row>
    <row r="982">
      <c r="B982" s="31"/>
      <c r="C982" s="31"/>
    </row>
    <row r="983">
      <c r="B983" s="31"/>
      <c r="C983" s="31"/>
    </row>
    <row r="984">
      <c r="B984" s="31"/>
      <c r="C984" s="31"/>
    </row>
    <row r="985">
      <c r="B985" s="31"/>
      <c r="C985" s="31"/>
    </row>
  </sheetData>
  <hyperlinks>
    <hyperlink r:id="rId1" ref="C3"/>
    <hyperlink r:id="rId2" ref="C6"/>
  </hyperlinks>
  <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88"/>
    <col customWidth="1" min="2" max="2" width="9.0"/>
    <col customWidth="1" min="3" max="3" width="123.0"/>
  </cols>
  <sheetData>
    <row r="1">
      <c r="A1" s="11" t="s">
        <v>230</v>
      </c>
      <c r="B1" s="9"/>
      <c r="C1" s="9" t="s">
        <v>2479</v>
      </c>
    </row>
    <row r="2">
      <c r="A2" s="11" t="s">
        <v>436</v>
      </c>
      <c r="B2" s="9"/>
      <c r="C2" s="9" t="s">
        <v>2480</v>
      </c>
    </row>
    <row r="3">
      <c r="A3" s="11" t="s">
        <v>664</v>
      </c>
      <c r="B3" s="9"/>
      <c r="C3" s="9" t="s">
        <v>2481</v>
      </c>
    </row>
    <row r="4">
      <c r="A4" s="30" t="s">
        <v>390</v>
      </c>
      <c r="B4" s="9"/>
      <c r="C4" s="9" t="s">
        <v>2482</v>
      </c>
    </row>
    <row r="5">
      <c r="A5" s="11" t="s">
        <v>84</v>
      </c>
      <c r="B5" s="9"/>
      <c r="C5" s="9" t="s">
        <v>2483</v>
      </c>
    </row>
    <row r="6">
      <c r="A6" s="11" t="s">
        <v>365</v>
      </c>
      <c r="B6" s="9"/>
      <c r="C6" s="9" t="s">
        <v>2484</v>
      </c>
    </row>
    <row r="7">
      <c r="A7" s="11" t="s">
        <v>1294</v>
      </c>
      <c r="B7" s="9"/>
      <c r="C7" s="9" t="s">
        <v>2485</v>
      </c>
    </row>
    <row r="8">
      <c r="A8" s="11" t="s">
        <v>671</v>
      </c>
      <c r="B8" s="9"/>
      <c r="C8" s="9" t="s">
        <v>2486</v>
      </c>
    </row>
    <row r="9">
      <c r="A9" s="11" t="s">
        <v>51</v>
      </c>
      <c r="B9" s="9"/>
      <c r="C9" s="9" t="s">
        <v>2487</v>
      </c>
    </row>
    <row r="10">
      <c r="A10" s="30" t="s">
        <v>851</v>
      </c>
      <c r="B10" s="9"/>
      <c r="C10" s="9" t="s">
        <v>2488</v>
      </c>
    </row>
    <row r="11">
      <c r="A11" s="11" t="s">
        <v>478</v>
      </c>
      <c r="B11" s="9"/>
      <c r="C11" s="9" t="s">
        <v>2489</v>
      </c>
    </row>
    <row r="12">
      <c r="A12" s="11" t="s">
        <v>888</v>
      </c>
      <c r="B12" s="9"/>
      <c r="C12" s="9" t="s">
        <v>2490</v>
      </c>
    </row>
    <row r="13">
      <c r="A13" s="11" t="s">
        <v>87</v>
      </c>
      <c r="B13" s="9"/>
      <c r="C13" s="9" t="s">
        <v>2491</v>
      </c>
    </row>
    <row r="14">
      <c r="A14" s="11" t="s">
        <v>325</v>
      </c>
      <c r="B14" s="9"/>
      <c r="C14" s="9" t="s">
        <v>2492</v>
      </c>
    </row>
    <row r="15">
      <c r="B15" s="31"/>
      <c r="C15" s="31"/>
    </row>
    <row r="16">
      <c r="B16" s="31"/>
      <c r="C16" s="31"/>
    </row>
    <row r="17">
      <c r="B17" s="31"/>
      <c r="C17" s="31"/>
    </row>
    <row r="18">
      <c r="B18" s="31"/>
      <c r="C18" s="31"/>
    </row>
    <row r="19">
      <c r="B19" s="31"/>
      <c r="C19" s="31"/>
    </row>
    <row r="20">
      <c r="B20" s="31"/>
      <c r="C20" s="31"/>
    </row>
    <row r="21">
      <c r="B21" s="31"/>
      <c r="C21" s="31"/>
    </row>
    <row r="22">
      <c r="B22" s="31"/>
      <c r="C22" s="31"/>
    </row>
    <row r="23">
      <c r="B23" s="31"/>
      <c r="C23" s="31"/>
    </row>
    <row r="24">
      <c r="B24" s="31"/>
      <c r="C24" s="31"/>
    </row>
    <row r="25">
      <c r="B25" s="31"/>
      <c r="C25" s="31"/>
    </row>
    <row r="26">
      <c r="B26" s="31"/>
      <c r="C26" s="31"/>
    </row>
    <row r="27">
      <c r="B27" s="31"/>
      <c r="C27" s="31"/>
    </row>
    <row r="28">
      <c r="B28" s="31"/>
      <c r="C28" s="31"/>
    </row>
    <row r="29">
      <c r="B29" s="31"/>
      <c r="C29" s="31"/>
    </row>
    <row r="30">
      <c r="B30" s="31"/>
      <c r="C30" s="31"/>
    </row>
    <row r="31">
      <c r="B31" s="31"/>
      <c r="C31" s="31"/>
    </row>
    <row r="32">
      <c r="B32" s="31"/>
      <c r="C32" s="31"/>
    </row>
    <row r="33">
      <c r="B33" s="31"/>
      <c r="C33" s="31"/>
    </row>
    <row r="34">
      <c r="B34" s="31"/>
      <c r="C34" s="31"/>
    </row>
    <row r="35">
      <c r="B35" s="31"/>
      <c r="C35" s="31"/>
    </row>
    <row r="36">
      <c r="B36" s="31"/>
      <c r="C36" s="31"/>
    </row>
    <row r="37">
      <c r="B37" s="31"/>
      <c r="C37" s="31"/>
    </row>
    <row r="38">
      <c r="B38" s="31"/>
      <c r="C38" s="31"/>
    </row>
    <row r="39">
      <c r="B39" s="31"/>
      <c r="C39" s="31"/>
    </row>
    <row r="40">
      <c r="B40" s="31"/>
      <c r="C40" s="31"/>
    </row>
    <row r="41">
      <c r="B41" s="31"/>
      <c r="C41" s="31"/>
    </row>
    <row r="42">
      <c r="B42" s="31"/>
      <c r="C42" s="31"/>
    </row>
    <row r="43">
      <c r="B43" s="31"/>
      <c r="C43" s="31"/>
    </row>
    <row r="44">
      <c r="B44" s="31"/>
      <c r="C44" s="31"/>
    </row>
    <row r="45">
      <c r="B45" s="31"/>
      <c r="C45" s="31"/>
    </row>
    <row r="46">
      <c r="B46" s="31"/>
      <c r="C46" s="31"/>
    </row>
    <row r="47">
      <c r="B47" s="31"/>
      <c r="C47" s="31"/>
    </row>
    <row r="48">
      <c r="B48" s="31"/>
      <c r="C48" s="31"/>
    </row>
    <row r="49">
      <c r="B49" s="31"/>
      <c r="C49" s="31"/>
    </row>
    <row r="50">
      <c r="B50" s="31"/>
      <c r="C50" s="31"/>
    </row>
    <row r="51">
      <c r="B51" s="31"/>
      <c r="C51" s="31"/>
    </row>
    <row r="52">
      <c r="B52" s="31"/>
      <c r="C52" s="31"/>
    </row>
    <row r="53">
      <c r="B53" s="31"/>
      <c r="C53" s="31"/>
    </row>
    <row r="54">
      <c r="B54" s="31"/>
      <c r="C54" s="31"/>
    </row>
    <row r="55">
      <c r="B55" s="31"/>
      <c r="C55" s="31"/>
    </row>
    <row r="56">
      <c r="B56" s="31"/>
      <c r="C56" s="31"/>
    </row>
    <row r="57">
      <c r="B57" s="31"/>
      <c r="C57" s="31"/>
    </row>
    <row r="58">
      <c r="B58" s="31"/>
      <c r="C58" s="31"/>
    </row>
    <row r="59">
      <c r="B59" s="31"/>
      <c r="C59" s="31"/>
    </row>
    <row r="60">
      <c r="B60" s="31"/>
      <c r="C60" s="31"/>
    </row>
    <row r="61">
      <c r="B61" s="31"/>
      <c r="C61" s="31"/>
    </row>
    <row r="62">
      <c r="B62" s="31"/>
      <c r="C62" s="31"/>
    </row>
    <row r="63">
      <c r="B63" s="31"/>
      <c r="C63" s="31"/>
    </row>
    <row r="64">
      <c r="B64" s="31"/>
      <c r="C64" s="31"/>
    </row>
    <row r="65">
      <c r="B65" s="31"/>
      <c r="C65" s="31"/>
    </row>
    <row r="66">
      <c r="B66" s="31"/>
      <c r="C66" s="31"/>
    </row>
    <row r="67">
      <c r="B67" s="31"/>
      <c r="C67" s="31"/>
    </row>
    <row r="68">
      <c r="B68" s="31"/>
      <c r="C68" s="31"/>
    </row>
    <row r="69">
      <c r="B69" s="31"/>
      <c r="C69" s="31"/>
    </row>
    <row r="70">
      <c r="B70" s="31"/>
      <c r="C70" s="31"/>
    </row>
    <row r="71">
      <c r="B71" s="31"/>
      <c r="C71" s="31"/>
    </row>
    <row r="72">
      <c r="B72" s="31"/>
      <c r="C72" s="31"/>
    </row>
    <row r="73">
      <c r="B73" s="31"/>
      <c r="C73" s="31"/>
    </row>
    <row r="74">
      <c r="B74" s="31"/>
      <c r="C74" s="31"/>
    </row>
    <row r="75">
      <c r="B75" s="31"/>
      <c r="C75" s="31"/>
    </row>
    <row r="76">
      <c r="B76" s="31"/>
      <c r="C76" s="31"/>
    </row>
    <row r="77">
      <c r="B77" s="31"/>
      <c r="C77" s="31"/>
    </row>
    <row r="78">
      <c r="B78" s="31"/>
      <c r="C78" s="31"/>
    </row>
    <row r="79">
      <c r="B79" s="31"/>
      <c r="C79" s="31"/>
    </row>
    <row r="80">
      <c r="B80" s="31"/>
      <c r="C80" s="31"/>
    </row>
    <row r="81">
      <c r="B81" s="31"/>
      <c r="C81" s="31"/>
    </row>
    <row r="82">
      <c r="B82" s="31"/>
      <c r="C82" s="31"/>
    </row>
    <row r="83">
      <c r="B83" s="31"/>
      <c r="C83" s="31"/>
    </row>
    <row r="84">
      <c r="B84" s="31"/>
      <c r="C84" s="31"/>
    </row>
    <row r="85">
      <c r="B85" s="31"/>
      <c r="C85" s="31"/>
    </row>
    <row r="86">
      <c r="B86" s="31"/>
      <c r="C86" s="31"/>
    </row>
    <row r="87">
      <c r="B87" s="31"/>
      <c r="C87" s="31"/>
    </row>
    <row r="88">
      <c r="B88" s="31"/>
      <c r="C88" s="31"/>
    </row>
    <row r="89">
      <c r="B89" s="31"/>
      <c r="C89" s="31"/>
    </row>
    <row r="90">
      <c r="B90" s="31"/>
      <c r="C90" s="31"/>
    </row>
    <row r="91">
      <c r="B91" s="31"/>
      <c r="C91" s="31"/>
    </row>
    <row r="92">
      <c r="B92" s="31"/>
      <c r="C92" s="31"/>
    </row>
    <row r="93">
      <c r="B93" s="31"/>
      <c r="C93" s="31"/>
    </row>
    <row r="94">
      <c r="B94" s="31"/>
      <c r="C94" s="31"/>
    </row>
    <row r="95">
      <c r="B95" s="31"/>
      <c r="C95" s="31"/>
    </row>
    <row r="96">
      <c r="B96" s="31"/>
      <c r="C96" s="31"/>
    </row>
    <row r="97">
      <c r="B97" s="31"/>
      <c r="C97" s="31"/>
    </row>
    <row r="98">
      <c r="B98" s="31"/>
      <c r="C98" s="31"/>
    </row>
    <row r="99">
      <c r="B99" s="31"/>
      <c r="C99" s="31"/>
    </row>
    <row r="100">
      <c r="B100" s="31"/>
      <c r="C100" s="31"/>
    </row>
    <row r="101">
      <c r="B101" s="31"/>
      <c r="C101" s="31"/>
    </row>
    <row r="102">
      <c r="B102" s="31"/>
      <c r="C102" s="31"/>
    </row>
    <row r="103">
      <c r="B103" s="31"/>
      <c r="C103" s="31"/>
    </row>
    <row r="104">
      <c r="B104" s="31"/>
      <c r="C104" s="31"/>
    </row>
    <row r="105">
      <c r="B105" s="31"/>
      <c r="C105" s="31"/>
    </row>
    <row r="106">
      <c r="B106" s="31"/>
      <c r="C106" s="31"/>
    </row>
    <row r="107">
      <c r="B107" s="31"/>
      <c r="C107" s="31"/>
    </row>
    <row r="108">
      <c r="B108" s="31"/>
      <c r="C108" s="31"/>
    </row>
    <row r="109">
      <c r="B109" s="31"/>
      <c r="C109" s="31"/>
    </row>
    <row r="110">
      <c r="B110" s="31"/>
      <c r="C110" s="31"/>
    </row>
    <row r="111">
      <c r="B111" s="31"/>
      <c r="C111" s="31"/>
    </row>
    <row r="112">
      <c r="B112" s="31"/>
      <c r="C112" s="31"/>
    </row>
    <row r="113">
      <c r="B113" s="31"/>
      <c r="C113" s="31"/>
    </row>
    <row r="114">
      <c r="B114" s="31"/>
      <c r="C114" s="31"/>
    </row>
    <row r="115">
      <c r="B115" s="31"/>
      <c r="C115" s="31"/>
    </row>
    <row r="116">
      <c r="B116" s="31"/>
      <c r="C116" s="31"/>
    </row>
    <row r="117">
      <c r="B117" s="31"/>
      <c r="C117" s="31"/>
    </row>
    <row r="118">
      <c r="B118" s="31"/>
      <c r="C118" s="31"/>
    </row>
    <row r="119">
      <c r="B119" s="31"/>
      <c r="C119" s="31"/>
    </row>
    <row r="120">
      <c r="B120" s="31"/>
      <c r="C120" s="31"/>
    </row>
    <row r="121">
      <c r="B121" s="31"/>
      <c r="C121" s="31"/>
    </row>
    <row r="122">
      <c r="B122" s="31"/>
      <c r="C122" s="31"/>
    </row>
    <row r="123">
      <c r="B123" s="31"/>
      <c r="C123" s="31"/>
    </row>
    <row r="124">
      <c r="B124" s="31"/>
      <c r="C124" s="31"/>
    </row>
    <row r="125">
      <c r="B125" s="31"/>
      <c r="C125" s="31"/>
    </row>
    <row r="126">
      <c r="B126" s="31"/>
      <c r="C126" s="31"/>
    </row>
    <row r="127">
      <c r="B127" s="31"/>
      <c r="C127" s="31"/>
    </row>
    <row r="128">
      <c r="B128" s="31"/>
      <c r="C128" s="31"/>
    </row>
    <row r="129">
      <c r="B129" s="31"/>
      <c r="C129" s="31"/>
    </row>
    <row r="130">
      <c r="B130" s="31"/>
      <c r="C130" s="31"/>
    </row>
    <row r="131">
      <c r="B131" s="31"/>
      <c r="C131" s="31"/>
    </row>
    <row r="132">
      <c r="B132" s="31"/>
      <c r="C132" s="31"/>
    </row>
    <row r="133">
      <c r="B133" s="31"/>
      <c r="C133" s="31"/>
    </row>
    <row r="134">
      <c r="B134" s="31"/>
      <c r="C134" s="31"/>
    </row>
    <row r="135">
      <c r="B135" s="31"/>
      <c r="C135" s="31"/>
    </row>
    <row r="136">
      <c r="B136" s="31"/>
      <c r="C136" s="31"/>
    </row>
    <row r="137">
      <c r="B137" s="31"/>
      <c r="C137" s="31"/>
    </row>
    <row r="138">
      <c r="B138" s="31"/>
      <c r="C138" s="31"/>
    </row>
    <row r="139">
      <c r="B139" s="31"/>
      <c r="C139" s="31"/>
    </row>
    <row r="140">
      <c r="B140" s="31"/>
      <c r="C140" s="31"/>
    </row>
    <row r="141">
      <c r="B141" s="31"/>
      <c r="C141" s="31"/>
    </row>
    <row r="142">
      <c r="B142" s="31"/>
      <c r="C142" s="31"/>
    </row>
    <row r="143">
      <c r="B143" s="31"/>
      <c r="C143" s="31"/>
    </row>
    <row r="144">
      <c r="B144" s="31"/>
      <c r="C144" s="31"/>
    </row>
    <row r="145">
      <c r="B145" s="31"/>
      <c r="C145" s="31"/>
    </row>
    <row r="146">
      <c r="B146" s="31"/>
      <c r="C146" s="31"/>
    </row>
    <row r="147">
      <c r="B147" s="31"/>
      <c r="C147" s="31"/>
    </row>
    <row r="148">
      <c r="B148" s="31"/>
      <c r="C148" s="31"/>
    </row>
    <row r="149">
      <c r="B149" s="31"/>
      <c r="C149" s="31"/>
    </row>
    <row r="150">
      <c r="B150" s="31"/>
      <c r="C150" s="31"/>
    </row>
    <row r="151">
      <c r="B151" s="31"/>
      <c r="C151" s="31"/>
    </row>
    <row r="152">
      <c r="B152" s="31"/>
      <c r="C152" s="31"/>
    </row>
    <row r="153">
      <c r="B153" s="31"/>
      <c r="C153" s="31"/>
    </row>
    <row r="154">
      <c r="B154" s="31"/>
      <c r="C154" s="31"/>
    </row>
    <row r="155">
      <c r="B155" s="31"/>
      <c r="C155" s="31"/>
    </row>
    <row r="156">
      <c r="B156" s="31"/>
      <c r="C156" s="31"/>
    </row>
    <row r="157">
      <c r="B157" s="31"/>
      <c r="C157" s="31"/>
    </row>
    <row r="158">
      <c r="B158" s="31"/>
      <c r="C158" s="31"/>
    </row>
    <row r="159">
      <c r="B159" s="31"/>
      <c r="C159" s="31"/>
    </row>
    <row r="160">
      <c r="B160" s="31"/>
      <c r="C160" s="31"/>
    </row>
    <row r="161">
      <c r="B161" s="31"/>
      <c r="C161" s="31"/>
    </row>
    <row r="162">
      <c r="B162" s="31"/>
      <c r="C162" s="31"/>
    </row>
    <row r="163">
      <c r="B163" s="31"/>
      <c r="C163" s="31"/>
    </row>
    <row r="164">
      <c r="B164" s="31"/>
      <c r="C164" s="31"/>
    </row>
    <row r="165">
      <c r="B165" s="31"/>
      <c r="C165" s="31"/>
    </row>
    <row r="166">
      <c r="B166" s="31"/>
      <c r="C166" s="31"/>
    </row>
    <row r="167">
      <c r="B167" s="31"/>
      <c r="C167" s="31"/>
    </row>
    <row r="168">
      <c r="B168" s="31"/>
      <c r="C168" s="31"/>
    </row>
    <row r="169">
      <c r="B169" s="31"/>
      <c r="C169" s="31"/>
    </row>
    <row r="170">
      <c r="B170" s="31"/>
      <c r="C170" s="31"/>
    </row>
    <row r="171">
      <c r="B171" s="31"/>
      <c r="C171" s="31"/>
    </row>
    <row r="172">
      <c r="B172" s="31"/>
      <c r="C172" s="31"/>
    </row>
    <row r="173">
      <c r="B173" s="31"/>
      <c r="C173" s="31"/>
    </row>
    <row r="174">
      <c r="B174" s="31"/>
      <c r="C174" s="31"/>
    </row>
    <row r="175">
      <c r="B175" s="31"/>
      <c r="C175" s="31"/>
    </row>
    <row r="176">
      <c r="B176" s="31"/>
      <c r="C176" s="31"/>
    </row>
    <row r="177">
      <c r="B177" s="31"/>
      <c r="C177" s="31"/>
    </row>
    <row r="178">
      <c r="B178" s="31"/>
      <c r="C178" s="31"/>
    </row>
    <row r="179">
      <c r="B179" s="31"/>
      <c r="C179" s="31"/>
    </row>
    <row r="180">
      <c r="B180" s="31"/>
      <c r="C180" s="31"/>
    </row>
    <row r="181">
      <c r="B181" s="31"/>
      <c r="C181" s="31"/>
    </row>
    <row r="182">
      <c r="B182" s="31"/>
      <c r="C182" s="31"/>
    </row>
    <row r="183">
      <c r="B183" s="31"/>
      <c r="C183" s="31"/>
    </row>
    <row r="184">
      <c r="B184" s="31"/>
      <c r="C184" s="31"/>
    </row>
    <row r="185">
      <c r="B185" s="31"/>
      <c r="C185" s="31"/>
    </row>
    <row r="186">
      <c r="B186" s="31"/>
      <c r="C186" s="31"/>
    </row>
    <row r="187">
      <c r="B187" s="31"/>
      <c r="C187" s="31"/>
    </row>
    <row r="188">
      <c r="B188" s="31"/>
      <c r="C188" s="31"/>
    </row>
    <row r="189">
      <c r="B189" s="31"/>
      <c r="C189" s="31"/>
    </row>
    <row r="190">
      <c r="B190" s="31"/>
      <c r="C190" s="31"/>
    </row>
    <row r="191">
      <c r="B191" s="31"/>
      <c r="C191" s="31"/>
    </row>
    <row r="192">
      <c r="B192" s="31"/>
      <c r="C192" s="31"/>
    </row>
    <row r="193">
      <c r="B193" s="31"/>
      <c r="C193" s="31"/>
    </row>
    <row r="194">
      <c r="B194" s="31"/>
      <c r="C194" s="31"/>
    </row>
    <row r="195">
      <c r="B195" s="31"/>
      <c r="C195" s="31"/>
    </row>
    <row r="196">
      <c r="B196" s="31"/>
      <c r="C196" s="31"/>
    </row>
    <row r="197">
      <c r="B197" s="31"/>
      <c r="C197" s="31"/>
    </row>
    <row r="198">
      <c r="B198" s="31"/>
      <c r="C198" s="31"/>
    </row>
    <row r="199">
      <c r="B199" s="31"/>
      <c r="C199" s="31"/>
    </row>
    <row r="200">
      <c r="B200" s="31"/>
      <c r="C200" s="31"/>
    </row>
    <row r="201">
      <c r="B201" s="31"/>
      <c r="C201" s="31"/>
    </row>
    <row r="202">
      <c r="B202" s="31"/>
      <c r="C202" s="31"/>
    </row>
    <row r="203">
      <c r="B203" s="31"/>
      <c r="C203" s="31"/>
    </row>
    <row r="204">
      <c r="B204" s="31"/>
      <c r="C204" s="31"/>
    </row>
    <row r="205">
      <c r="B205" s="31"/>
      <c r="C205" s="31"/>
    </row>
    <row r="206">
      <c r="B206" s="31"/>
      <c r="C206" s="31"/>
    </row>
    <row r="207">
      <c r="B207" s="31"/>
      <c r="C207" s="31"/>
    </row>
    <row r="208">
      <c r="B208" s="31"/>
      <c r="C208" s="31"/>
    </row>
    <row r="209">
      <c r="B209" s="31"/>
      <c r="C209" s="31"/>
    </row>
    <row r="210">
      <c r="B210" s="31"/>
      <c r="C210" s="31"/>
    </row>
    <row r="211">
      <c r="B211" s="31"/>
      <c r="C211" s="31"/>
    </row>
    <row r="212">
      <c r="B212" s="31"/>
      <c r="C212" s="31"/>
    </row>
    <row r="213">
      <c r="B213" s="31"/>
      <c r="C213" s="31"/>
    </row>
    <row r="214">
      <c r="B214" s="31"/>
      <c r="C214" s="31"/>
    </row>
    <row r="215">
      <c r="B215" s="31"/>
      <c r="C215" s="31"/>
    </row>
    <row r="216">
      <c r="B216" s="31"/>
      <c r="C216" s="31"/>
    </row>
    <row r="217">
      <c r="B217" s="31"/>
      <c r="C217" s="31"/>
    </row>
    <row r="218">
      <c r="B218" s="31"/>
      <c r="C218" s="31"/>
    </row>
    <row r="219">
      <c r="B219" s="31"/>
      <c r="C219" s="31"/>
    </row>
    <row r="220">
      <c r="B220" s="31"/>
      <c r="C220" s="31"/>
    </row>
    <row r="221">
      <c r="B221" s="31"/>
      <c r="C221" s="31"/>
    </row>
    <row r="222">
      <c r="B222" s="31"/>
      <c r="C222" s="31"/>
    </row>
    <row r="223">
      <c r="B223" s="31"/>
      <c r="C223" s="31"/>
    </row>
    <row r="224">
      <c r="B224" s="31"/>
      <c r="C224" s="31"/>
    </row>
    <row r="225">
      <c r="B225" s="31"/>
      <c r="C225" s="31"/>
    </row>
    <row r="226">
      <c r="B226" s="31"/>
      <c r="C226" s="31"/>
    </row>
    <row r="227">
      <c r="B227" s="31"/>
      <c r="C227" s="31"/>
    </row>
    <row r="228">
      <c r="B228" s="31"/>
      <c r="C228" s="31"/>
    </row>
    <row r="229">
      <c r="B229" s="31"/>
      <c r="C229" s="31"/>
    </row>
    <row r="230">
      <c r="B230" s="31"/>
      <c r="C230" s="31"/>
    </row>
    <row r="231">
      <c r="B231" s="31"/>
      <c r="C231" s="31"/>
    </row>
    <row r="232">
      <c r="B232" s="31"/>
      <c r="C232" s="31"/>
    </row>
    <row r="233">
      <c r="B233" s="31"/>
      <c r="C233" s="31"/>
    </row>
    <row r="234">
      <c r="B234" s="31"/>
      <c r="C234" s="31"/>
    </row>
    <row r="235">
      <c r="B235" s="31"/>
      <c r="C235" s="31"/>
    </row>
    <row r="236">
      <c r="B236" s="31"/>
      <c r="C236" s="31"/>
    </row>
    <row r="237">
      <c r="B237" s="31"/>
      <c r="C237" s="31"/>
    </row>
    <row r="238">
      <c r="B238" s="31"/>
      <c r="C238" s="31"/>
    </row>
    <row r="239">
      <c r="B239" s="31"/>
      <c r="C239" s="31"/>
    </row>
    <row r="240">
      <c r="B240" s="31"/>
      <c r="C240" s="31"/>
    </row>
    <row r="241">
      <c r="B241" s="31"/>
      <c r="C241" s="31"/>
    </row>
    <row r="242">
      <c r="B242" s="31"/>
      <c r="C242" s="31"/>
    </row>
    <row r="243">
      <c r="B243" s="31"/>
      <c r="C243" s="31"/>
    </row>
    <row r="244">
      <c r="B244" s="31"/>
      <c r="C244" s="31"/>
    </row>
    <row r="245">
      <c r="B245" s="31"/>
      <c r="C245" s="31"/>
    </row>
    <row r="246">
      <c r="B246" s="31"/>
      <c r="C246" s="31"/>
    </row>
    <row r="247">
      <c r="B247" s="31"/>
      <c r="C247" s="31"/>
    </row>
    <row r="248">
      <c r="B248" s="31"/>
      <c r="C248" s="31"/>
    </row>
    <row r="249">
      <c r="B249" s="31"/>
      <c r="C249" s="31"/>
    </row>
    <row r="250">
      <c r="B250" s="31"/>
      <c r="C250" s="31"/>
    </row>
    <row r="251">
      <c r="B251" s="31"/>
      <c r="C251" s="31"/>
    </row>
    <row r="252">
      <c r="B252" s="31"/>
      <c r="C252" s="31"/>
    </row>
    <row r="253">
      <c r="B253" s="31"/>
      <c r="C253" s="31"/>
    </row>
    <row r="254">
      <c r="B254" s="31"/>
      <c r="C254" s="31"/>
    </row>
    <row r="255">
      <c r="B255" s="31"/>
      <c r="C255" s="31"/>
    </row>
    <row r="256">
      <c r="B256" s="31"/>
      <c r="C256" s="31"/>
    </row>
    <row r="257">
      <c r="B257" s="31"/>
      <c r="C257" s="31"/>
    </row>
    <row r="258">
      <c r="B258" s="31"/>
      <c r="C258" s="31"/>
    </row>
    <row r="259">
      <c r="B259" s="31"/>
      <c r="C259" s="31"/>
    </row>
    <row r="260">
      <c r="B260" s="31"/>
      <c r="C260" s="31"/>
    </row>
    <row r="261">
      <c r="B261" s="31"/>
      <c r="C261" s="31"/>
    </row>
    <row r="262">
      <c r="B262" s="31"/>
      <c r="C262" s="31"/>
    </row>
    <row r="263">
      <c r="B263" s="31"/>
      <c r="C263" s="31"/>
    </row>
    <row r="264">
      <c r="B264" s="31"/>
      <c r="C264" s="31"/>
    </row>
    <row r="265">
      <c r="B265" s="31"/>
      <c r="C265" s="31"/>
    </row>
    <row r="266">
      <c r="B266" s="31"/>
      <c r="C266" s="31"/>
    </row>
    <row r="267">
      <c r="B267" s="31"/>
      <c r="C267" s="31"/>
    </row>
    <row r="268">
      <c r="B268" s="31"/>
      <c r="C268" s="31"/>
    </row>
    <row r="269">
      <c r="B269" s="31"/>
      <c r="C269" s="31"/>
    </row>
    <row r="270">
      <c r="B270" s="31"/>
      <c r="C270" s="31"/>
    </row>
    <row r="271">
      <c r="B271" s="31"/>
      <c r="C271" s="31"/>
    </row>
    <row r="272">
      <c r="B272" s="31"/>
      <c r="C272" s="31"/>
    </row>
    <row r="273">
      <c r="B273" s="31"/>
      <c r="C273" s="31"/>
    </row>
    <row r="274">
      <c r="B274" s="31"/>
      <c r="C274" s="31"/>
    </row>
    <row r="275">
      <c r="B275" s="31"/>
      <c r="C275" s="31"/>
    </row>
    <row r="276">
      <c r="B276" s="31"/>
      <c r="C276" s="31"/>
    </row>
    <row r="277">
      <c r="B277" s="31"/>
      <c r="C277" s="31"/>
    </row>
    <row r="278">
      <c r="B278" s="31"/>
      <c r="C278" s="31"/>
    </row>
    <row r="279">
      <c r="B279" s="31"/>
      <c r="C279" s="31"/>
    </row>
    <row r="280">
      <c r="B280" s="31"/>
      <c r="C280" s="31"/>
    </row>
    <row r="281">
      <c r="B281" s="31"/>
      <c r="C281" s="31"/>
    </row>
    <row r="282">
      <c r="B282" s="31"/>
      <c r="C282" s="31"/>
    </row>
    <row r="283">
      <c r="B283" s="31"/>
      <c r="C283" s="31"/>
    </row>
    <row r="284">
      <c r="B284" s="31"/>
      <c r="C284" s="31"/>
    </row>
    <row r="285">
      <c r="B285" s="31"/>
      <c r="C285" s="31"/>
    </row>
    <row r="286">
      <c r="B286" s="31"/>
      <c r="C286" s="31"/>
    </row>
    <row r="287">
      <c r="B287" s="31"/>
      <c r="C287" s="31"/>
    </row>
    <row r="288">
      <c r="B288" s="31"/>
      <c r="C288" s="31"/>
    </row>
    <row r="289">
      <c r="B289" s="31"/>
      <c r="C289" s="31"/>
    </row>
    <row r="290">
      <c r="B290" s="31"/>
      <c r="C290" s="31"/>
    </row>
    <row r="291">
      <c r="B291" s="31"/>
      <c r="C291" s="31"/>
    </row>
    <row r="292">
      <c r="B292" s="31"/>
      <c r="C292" s="31"/>
    </row>
    <row r="293">
      <c r="B293" s="31"/>
      <c r="C293" s="31"/>
    </row>
    <row r="294">
      <c r="B294" s="31"/>
      <c r="C294" s="31"/>
    </row>
    <row r="295">
      <c r="B295" s="31"/>
      <c r="C295" s="31"/>
    </row>
    <row r="296">
      <c r="B296" s="31"/>
      <c r="C296" s="31"/>
    </row>
    <row r="297">
      <c r="B297" s="31"/>
      <c r="C297" s="31"/>
    </row>
    <row r="298">
      <c r="B298" s="31"/>
      <c r="C298" s="31"/>
    </row>
    <row r="299">
      <c r="B299" s="31"/>
      <c r="C299" s="31"/>
    </row>
    <row r="300">
      <c r="B300" s="31"/>
      <c r="C300" s="31"/>
    </row>
    <row r="301">
      <c r="B301" s="31"/>
      <c r="C301" s="31"/>
    </row>
    <row r="302">
      <c r="B302" s="31"/>
      <c r="C302" s="31"/>
    </row>
    <row r="303">
      <c r="B303" s="31"/>
      <c r="C303" s="31"/>
    </row>
    <row r="304">
      <c r="B304" s="31"/>
      <c r="C304" s="31"/>
    </row>
    <row r="305">
      <c r="B305" s="31"/>
      <c r="C305" s="31"/>
    </row>
    <row r="306">
      <c r="B306" s="31"/>
      <c r="C306" s="31"/>
    </row>
    <row r="307">
      <c r="B307" s="31"/>
      <c r="C307" s="31"/>
    </row>
    <row r="308">
      <c r="B308" s="31"/>
      <c r="C308" s="31"/>
    </row>
    <row r="309">
      <c r="B309" s="31"/>
      <c r="C309" s="31"/>
    </row>
    <row r="310">
      <c r="B310" s="31"/>
      <c r="C310" s="31"/>
    </row>
    <row r="311">
      <c r="B311" s="31"/>
      <c r="C311" s="31"/>
    </row>
    <row r="312">
      <c r="B312" s="31"/>
      <c r="C312" s="31"/>
    </row>
    <row r="313">
      <c r="B313" s="31"/>
      <c r="C313" s="31"/>
    </row>
    <row r="314">
      <c r="B314" s="31"/>
      <c r="C314" s="31"/>
    </row>
    <row r="315">
      <c r="B315" s="31"/>
      <c r="C315" s="31"/>
    </row>
    <row r="316">
      <c r="B316" s="31"/>
      <c r="C316" s="31"/>
    </row>
    <row r="317">
      <c r="B317" s="31"/>
      <c r="C317" s="31"/>
    </row>
    <row r="318">
      <c r="B318" s="31"/>
      <c r="C318" s="31"/>
    </row>
    <row r="319">
      <c r="B319" s="31"/>
      <c r="C319" s="31"/>
    </row>
    <row r="320">
      <c r="B320" s="31"/>
      <c r="C320" s="31"/>
    </row>
    <row r="321">
      <c r="B321" s="31"/>
      <c r="C321" s="31"/>
    </row>
    <row r="322">
      <c r="B322" s="31"/>
      <c r="C322" s="31"/>
    </row>
    <row r="323">
      <c r="B323" s="31"/>
      <c r="C323" s="31"/>
    </row>
    <row r="324">
      <c r="B324" s="31"/>
      <c r="C324" s="31"/>
    </row>
    <row r="325">
      <c r="B325" s="31"/>
      <c r="C325" s="31"/>
    </row>
    <row r="326">
      <c r="B326" s="31"/>
      <c r="C326" s="31"/>
    </row>
    <row r="327">
      <c r="B327" s="31"/>
      <c r="C327" s="31"/>
    </row>
    <row r="328">
      <c r="B328" s="31"/>
      <c r="C328" s="31"/>
    </row>
    <row r="329">
      <c r="B329" s="31"/>
      <c r="C329" s="31"/>
    </row>
    <row r="330">
      <c r="B330" s="31"/>
      <c r="C330" s="31"/>
    </row>
    <row r="331">
      <c r="B331" s="31"/>
      <c r="C331" s="31"/>
    </row>
    <row r="332">
      <c r="B332" s="31"/>
      <c r="C332" s="31"/>
    </row>
    <row r="333">
      <c r="B333" s="31"/>
      <c r="C333" s="31"/>
    </row>
    <row r="334">
      <c r="B334" s="31"/>
      <c r="C334" s="31"/>
    </row>
    <row r="335">
      <c r="B335" s="31"/>
      <c r="C335" s="31"/>
    </row>
    <row r="336">
      <c r="B336" s="31"/>
      <c r="C336" s="31"/>
    </row>
    <row r="337">
      <c r="B337" s="31"/>
      <c r="C337" s="31"/>
    </row>
    <row r="338">
      <c r="B338" s="31"/>
      <c r="C338" s="31"/>
    </row>
    <row r="339">
      <c r="B339" s="31"/>
      <c r="C339" s="31"/>
    </row>
    <row r="340">
      <c r="B340" s="31"/>
      <c r="C340" s="31"/>
    </row>
    <row r="341">
      <c r="B341" s="31"/>
      <c r="C341" s="31"/>
    </row>
    <row r="342">
      <c r="B342" s="31"/>
      <c r="C342" s="31"/>
    </row>
    <row r="343">
      <c r="B343" s="31"/>
      <c r="C343" s="31"/>
    </row>
    <row r="344">
      <c r="B344" s="31"/>
      <c r="C344" s="31"/>
    </row>
    <row r="345">
      <c r="B345" s="31"/>
      <c r="C345" s="31"/>
    </row>
    <row r="346">
      <c r="B346" s="31"/>
      <c r="C346" s="31"/>
    </row>
    <row r="347">
      <c r="B347" s="31"/>
      <c r="C347" s="31"/>
    </row>
    <row r="348">
      <c r="B348" s="31"/>
      <c r="C348" s="31"/>
    </row>
    <row r="349">
      <c r="B349" s="31"/>
      <c r="C349" s="31"/>
    </row>
    <row r="350">
      <c r="B350" s="31"/>
      <c r="C350" s="31"/>
    </row>
    <row r="351">
      <c r="B351" s="31"/>
      <c r="C351" s="31"/>
    </row>
    <row r="352">
      <c r="B352" s="31"/>
      <c r="C352" s="31"/>
    </row>
    <row r="353">
      <c r="B353" s="31"/>
      <c r="C353" s="31"/>
    </row>
    <row r="354">
      <c r="B354" s="31"/>
      <c r="C354" s="31"/>
    </row>
    <row r="355">
      <c r="B355" s="31"/>
      <c r="C355" s="31"/>
    </row>
    <row r="356">
      <c r="B356" s="31"/>
      <c r="C356" s="31"/>
    </row>
    <row r="357">
      <c r="B357" s="31"/>
      <c r="C357" s="31"/>
    </row>
    <row r="358">
      <c r="B358" s="31"/>
      <c r="C358" s="31"/>
    </row>
    <row r="359">
      <c r="B359" s="31"/>
      <c r="C359" s="31"/>
    </row>
    <row r="360">
      <c r="B360" s="31"/>
      <c r="C360" s="31"/>
    </row>
    <row r="361">
      <c r="B361" s="31"/>
      <c r="C361" s="31"/>
    </row>
    <row r="362">
      <c r="B362" s="31"/>
      <c r="C362" s="31"/>
    </row>
    <row r="363">
      <c r="B363" s="31"/>
      <c r="C363" s="31"/>
    </row>
    <row r="364">
      <c r="B364" s="31"/>
      <c r="C364" s="31"/>
    </row>
    <row r="365">
      <c r="B365" s="31"/>
      <c r="C365" s="31"/>
    </row>
    <row r="366">
      <c r="B366" s="31"/>
      <c r="C366" s="31"/>
    </row>
    <row r="367">
      <c r="B367" s="31"/>
      <c r="C367" s="31"/>
    </row>
    <row r="368">
      <c r="B368" s="31"/>
      <c r="C368" s="31"/>
    </row>
    <row r="369">
      <c r="B369" s="31"/>
      <c r="C369" s="31"/>
    </row>
    <row r="370">
      <c r="B370" s="31"/>
      <c r="C370" s="31"/>
    </row>
    <row r="371">
      <c r="B371" s="31"/>
      <c r="C371" s="31"/>
    </row>
    <row r="372">
      <c r="B372" s="31"/>
      <c r="C372" s="31"/>
    </row>
    <row r="373">
      <c r="B373" s="31"/>
      <c r="C373" s="31"/>
    </row>
    <row r="374">
      <c r="B374" s="31"/>
      <c r="C374" s="31"/>
    </row>
    <row r="375">
      <c r="B375" s="31"/>
      <c r="C375" s="31"/>
    </row>
    <row r="376">
      <c r="B376" s="31"/>
      <c r="C376" s="31"/>
    </row>
    <row r="377">
      <c r="B377" s="31"/>
      <c r="C377" s="31"/>
    </row>
    <row r="378">
      <c r="B378" s="31"/>
      <c r="C378" s="31"/>
    </row>
    <row r="379">
      <c r="B379" s="31"/>
      <c r="C379" s="31"/>
    </row>
    <row r="380">
      <c r="B380" s="31"/>
      <c r="C380" s="31"/>
    </row>
    <row r="381">
      <c r="B381" s="31"/>
      <c r="C381" s="31"/>
    </row>
    <row r="382">
      <c r="B382" s="31"/>
      <c r="C382" s="31"/>
    </row>
    <row r="383">
      <c r="B383" s="31"/>
      <c r="C383" s="31"/>
    </row>
    <row r="384">
      <c r="B384" s="31"/>
      <c r="C384" s="31"/>
    </row>
    <row r="385">
      <c r="B385" s="31"/>
      <c r="C385" s="31"/>
    </row>
    <row r="386">
      <c r="B386" s="31"/>
      <c r="C386" s="31"/>
    </row>
    <row r="387">
      <c r="B387" s="31"/>
      <c r="C387" s="31"/>
    </row>
    <row r="388">
      <c r="B388" s="31"/>
      <c r="C388" s="31"/>
    </row>
    <row r="389">
      <c r="B389" s="31"/>
      <c r="C389" s="31"/>
    </row>
    <row r="390">
      <c r="B390" s="31"/>
      <c r="C390" s="31"/>
    </row>
    <row r="391">
      <c r="B391" s="31"/>
      <c r="C391" s="31"/>
    </row>
    <row r="392">
      <c r="B392" s="31"/>
      <c r="C392" s="31"/>
    </row>
    <row r="393">
      <c r="B393" s="31"/>
      <c r="C393" s="31"/>
    </row>
    <row r="394">
      <c r="B394" s="31"/>
      <c r="C394" s="31"/>
    </row>
    <row r="395">
      <c r="B395" s="31"/>
      <c r="C395" s="31"/>
    </row>
    <row r="396">
      <c r="B396" s="31"/>
      <c r="C396" s="31"/>
    </row>
    <row r="397">
      <c r="B397" s="31"/>
      <c r="C397" s="31"/>
    </row>
    <row r="398">
      <c r="B398" s="31"/>
      <c r="C398" s="31"/>
    </row>
    <row r="399">
      <c r="B399" s="31"/>
      <c r="C399" s="31"/>
    </row>
    <row r="400">
      <c r="B400" s="31"/>
      <c r="C400" s="31"/>
    </row>
    <row r="401">
      <c r="B401" s="31"/>
      <c r="C401" s="31"/>
    </row>
    <row r="402">
      <c r="B402" s="31"/>
      <c r="C402" s="31"/>
    </row>
    <row r="403">
      <c r="B403" s="31"/>
      <c r="C403" s="31"/>
    </row>
    <row r="404">
      <c r="B404" s="31"/>
      <c r="C404" s="31"/>
    </row>
    <row r="405">
      <c r="B405" s="31"/>
      <c r="C405" s="31"/>
    </row>
    <row r="406">
      <c r="B406" s="31"/>
      <c r="C406" s="31"/>
    </row>
    <row r="407">
      <c r="B407" s="31"/>
      <c r="C407" s="31"/>
    </row>
    <row r="408">
      <c r="B408" s="31"/>
      <c r="C408" s="31"/>
    </row>
    <row r="409">
      <c r="B409" s="31"/>
      <c r="C409" s="31"/>
    </row>
    <row r="410">
      <c r="B410" s="31"/>
      <c r="C410" s="31"/>
    </row>
    <row r="411">
      <c r="B411" s="31"/>
      <c r="C411" s="31"/>
    </row>
    <row r="412">
      <c r="B412" s="31"/>
      <c r="C412" s="31"/>
    </row>
    <row r="413">
      <c r="B413" s="31"/>
      <c r="C413" s="31"/>
    </row>
    <row r="414">
      <c r="B414" s="31"/>
      <c r="C414" s="31"/>
    </row>
    <row r="415">
      <c r="B415" s="31"/>
      <c r="C415" s="31"/>
    </row>
    <row r="416">
      <c r="B416" s="31"/>
      <c r="C416" s="31"/>
    </row>
    <row r="417">
      <c r="B417" s="31"/>
      <c r="C417" s="31"/>
    </row>
    <row r="418">
      <c r="B418" s="31"/>
      <c r="C418" s="31"/>
    </row>
    <row r="419">
      <c r="B419" s="31"/>
      <c r="C419" s="31"/>
    </row>
    <row r="420">
      <c r="B420" s="31"/>
      <c r="C420" s="31"/>
    </row>
    <row r="421">
      <c r="B421" s="31"/>
      <c r="C421" s="31"/>
    </row>
    <row r="422">
      <c r="B422" s="31"/>
      <c r="C422" s="31"/>
    </row>
    <row r="423">
      <c r="B423" s="31"/>
      <c r="C423" s="31"/>
    </row>
    <row r="424">
      <c r="B424" s="31"/>
      <c r="C424" s="31"/>
    </row>
    <row r="425">
      <c r="B425" s="31"/>
      <c r="C425" s="31"/>
    </row>
    <row r="426">
      <c r="B426" s="31"/>
      <c r="C426" s="31"/>
    </row>
    <row r="427">
      <c r="B427" s="31"/>
      <c r="C427" s="31"/>
    </row>
    <row r="428">
      <c r="B428" s="31"/>
      <c r="C428" s="31"/>
    </row>
    <row r="429">
      <c r="B429" s="31"/>
      <c r="C429" s="31"/>
    </row>
    <row r="430">
      <c r="B430" s="31"/>
      <c r="C430" s="31"/>
    </row>
    <row r="431">
      <c r="B431" s="31"/>
      <c r="C431" s="31"/>
    </row>
    <row r="432">
      <c r="B432" s="31"/>
      <c r="C432" s="31"/>
    </row>
    <row r="433">
      <c r="B433" s="31"/>
      <c r="C433" s="31"/>
    </row>
    <row r="434">
      <c r="B434" s="31"/>
      <c r="C434" s="31"/>
    </row>
    <row r="435">
      <c r="B435" s="31"/>
      <c r="C435" s="31"/>
    </row>
    <row r="436">
      <c r="B436" s="31"/>
      <c r="C436" s="31"/>
    </row>
    <row r="437">
      <c r="B437" s="31"/>
      <c r="C437" s="31"/>
    </row>
    <row r="438">
      <c r="B438" s="31"/>
      <c r="C438" s="31"/>
    </row>
    <row r="439">
      <c r="B439" s="31"/>
      <c r="C439" s="31"/>
    </row>
    <row r="440">
      <c r="B440" s="31"/>
      <c r="C440" s="31"/>
    </row>
    <row r="441">
      <c r="B441" s="31"/>
      <c r="C441" s="31"/>
    </row>
    <row r="442">
      <c r="B442" s="31"/>
      <c r="C442" s="31"/>
    </row>
    <row r="443">
      <c r="B443" s="31"/>
      <c r="C443" s="31"/>
    </row>
    <row r="444">
      <c r="B444" s="31"/>
      <c r="C444" s="31"/>
    </row>
    <row r="445">
      <c r="B445" s="31"/>
      <c r="C445" s="31"/>
    </row>
    <row r="446">
      <c r="B446" s="31"/>
      <c r="C446" s="31"/>
    </row>
    <row r="447">
      <c r="B447" s="31"/>
      <c r="C447" s="31"/>
    </row>
    <row r="448">
      <c r="B448" s="31"/>
      <c r="C448" s="31"/>
    </row>
    <row r="449">
      <c r="B449" s="31"/>
      <c r="C449" s="31"/>
    </row>
    <row r="450">
      <c r="B450" s="31"/>
      <c r="C450" s="31"/>
    </row>
    <row r="451">
      <c r="B451" s="31"/>
      <c r="C451" s="31"/>
    </row>
    <row r="452">
      <c r="B452" s="31"/>
      <c r="C452" s="31"/>
    </row>
    <row r="453">
      <c r="B453" s="31"/>
      <c r="C453" s="31"/>
    </row>
    <row r="454">
      <c r="B454" s="31"/>
      <c r="C454" s="31"/>
    </row>
    <row r="455">
      <c r="B455" s="31"/>
      <c r="C455" s="31"/>
    </row>
    <row r="456">
      <c r="B456" s="31"/>
      <c r="C456" s="31"/>
    </row>
    <row r="457">
      <c r="B457" s="31"/>
      <c r="C457" s="31"/>
    </row>
    <row r="458">
      <c r="B458" s="31"/>
      <c r="C458" s="31"/>
    </row>
    <row r="459">
      <c r="B459" s="31"/>
      <c r="C459" s="31"/>
    </row>
    <row r="460">
      <c r="B460" s="31"/>
      <c r="C460" s="31"/>
    </row>
    <row r="461">
      <c r="B461" s="31"/>
      <c r="C461" s="31"/>
    </row>
    <row r="462">
      <c r="B462" s="31"/>
      <c r="C462" s="31"/>
    </row>
    <row r="463">
      <c r="B463" s="31"/>
      <c r="C463" s="31"/>
    </row>
    <row r="464">
      <c r="B464" s="31"/>
      <c r="C464" s="31"/>
    </row>
    <row r="465">
      <c r="B465" s="31"/>
      <c r="C465" s="31"/>
    </row>
    <row r="466">
      <c r="B466" s="31"/>
      <c r="C466" s="31"/>
    </row>
    <row r="467">
      <c r="B467" s="31"/>
      <c r="C467" s="31"/>
    </row>
    <row r="468">
      <c r="B468" s="31"/>
      <c r="C468" s="31"/>
    </row>
    <row r="469">
      <c r="B469" s="31"/>
      <c r="C469" s="31"/>
    </row>
    <row r="470">
      <c r="B470" s="31"/>
      <c r="C470" s="31"/>
    </row>
    <row r="471">
      <c r="B471" s="31"/>
      <c r="C471" s="31"/>
    </row>
    <row r="472">
      <c r="B472" s="31"/>
      <c r="C472" s="31"/>
    </row>
    <row r="473">
      <c r="B473" s="31"/>
      <c r="C473" s="31"/>
    </row>
    <row r="474">
      <c r="B474" s="31"/>
      <c r="C474" s="31"/>
    </row>
    <row r="475">
      <c r="B475" s="31"/>
      <c r="C475" s="31"/>
    </row>
    <row r="476">
      <c r="B476" s="31"/>
      <c r="C476" s="31"/>
    </row>
    <row r="477">
      <c r="B477" s="31"/>
      <c r="C477" s="31"/>
    </row>
    <row r="478">
      <c r="B478" s="31"/>
      <c r="C478" s="31"/>
    </row>
    <row r="479">
      <c r="B479" s="31"/>
      <c r="C479" s="31"/>
    </row>
    <row r="480">
      <c r="B480" s="31"/>
      <c r="C480" s="31"/>
    </row>
    <row r="481">
      <c r="B481" s="31"/>
      <c r="C481" s="31"/>
    </row>
    <row r="482">
      <c r="B482" s="31"/>
      <c r="C482" s="31"/>
    </row>
    <row r="483">
      <c r="B483" s="31"/>
      <c r="C483" s="31"/>
    </row>
    <row r="484">
      <c r="B484" s="31"/>
      <c r="C484" s="31"/>
    </row>
    <row r="485">
      <c r="B485" s="31"/>
      <c r="C485" s="31"/>
    </row>
    <row r="486">
      <c r="B486" s="31"/>
      <c r="C486" s="31"/>
    </row>
    <row r="487">
      <c r="B487" s="31"/>
      <c r="C487" s="31"/>
    </row>
    <row r="488">
      <c r="B488" s="31"/>
      <c r="C488" s="31"/>
    </row>
    <row r="489">
      <c r="B489" s="31"/>
      <c r="C489" s="31"/>
    </row>
    <row r="490">
      <c r="B490" s="31"/>
      <c r="C490" s="31"/>
    </row>
    <row r="491">
      <c r="B491" s="31"/>
      <c r="C491" s="31"/>
    </row>
    <row r="492">
      <c r="B492" s="31"/>
      <c r="C492" s="31"/>
    </row>
    <row r="493">
      <c r="B493" s="31"/>
      <c r="C493" s="31"/>
    </row>
    <row r="494">
      <c r="B494" s="31"/>
      <c r="C494" s="31"/>
    </row>
    <row r="495">
      <c r="B495" s="31"/>
      <c r="C495" s="31"/>
    </row>
    <row r="496">
      <c r="B496" s="31"/>
      <c r="C496" s="31"/>
    </row>
    <row r="497">
      <c r="B497" s="31"/>
      <c r="C497" s="31"/>
    </row>
    <row r="498">
      <c r="B498" s="31"/>
      <c r="C498" s="31"/>
    </row>
    <row r="499">
      <c r="B499" s="31"/>
      <c r="C499" s="31"/>
    </row>
    <row r="500">
      <c r="B500" s="31"/>
      <c r="C500" s="31"/>
    </row>
    <row r="501">
      <c r="B501" s="31"/>
      <c r="C501" s="31"/>
    </row>
    <row r="502">
      <c r="B502" s="31"/>
      <c r="C502" s="31"/>
    </row>
    <row r="503">
      <c r="B503" s="31"/>
      <c r="C503" s="31"/>
    </row>
    <row r="504">
      <c r="B504" s="31"/>
      <c r="C504" s="31"/>
    </row>
    <row r="505">
      <c r="B505" s="31"/>
      <c r="C505" s="31"/>
    </row>
    <row r="506">
      <c r="B506" s="31"/>
      <c r="C506" s="31"/>
    </row>
    <row r="507">
      <c r="B507" s="31"/>
      <c r="C507" s="31"/>
    </row>
    <row r="508">
      <c r="B508" s="31"/>
      <c r="C508" s="31"/>
    </row>
    <row r="509">
      <c r="B509" s="31"/>
      <c r="C509" s="31"/>
    </row>
    <row r="510">
      <c r="B510" s="31"/>
      <c r="C510" s="31"/>
    </row>
    <row r="511">
      <c r="B511" s="31"/>
      <c r="C511" s="31"/>
    </row>
    <row r="512">
      <c r="B512" s="31"/>
      <c r="C512" s="31"/>
    </row>
    <row r="513">
      <c r="B513" s="31"/>
      <c r="C513" s="31"/>
    </row>
    <row r="514">
      <c r="B514" s="31"/>
      <c r="C514" s="31"/>
    </row>
    <row r="515">
      <c r="B515" s="31"/>
      <c r="C515" s="31"/>
    </row>
    <row r="516">
      <c r="B516" s="31"/>
      <c r="C516" s="31"/>
    </row>
    <row r="517">
      <c r="B517" s="31"/>
      <c r="C517" s="31"/>
    </row>
    <row r="518">
      <c r="B518" s="31"/>
      <c r="C518" s="31"/>
    </row>
    <row r="519">
      <c r="B519" s="31"/>
      <c r="C519" s="31"/>
    </row>
    <row r="520">
      <c r="B520" s="31"/>
      <c r="C520" s="31"/>
    </row>
    <row r="521">
      <c r="B521" s="31"/>
      <c r="C521" s="31"/>
    </row>
    <row r="522">
      <c r="B522" s="31"/>
      <c r="C522" s="31"/>
    </row>
    <row r="523">
      <c r="B523" s="31"/>
      <c r="C523" s="31"/>
    </row>
    <row r="524">
      <c r="B524" s="31"/>
      <c r="C524" s="31"/>
    </row>
    <row r="525">
      <c r="B525" s="31"/>
      <c r="C525" s="31"/>
    </row>
    <row r="526">
      <c r="B526" s="31"/>
      <c r="C526" s="31"/>
    </row>
    <row r="527">
      <c r="B527" s="31"/>
      <c r="C527" s="31"/>
    </row>
    <row r="528">
      <c r="B528" s="31"/>
      <c r="C528" s="31"/>
    </row>
    <row r="529">
      <c r="B529" s="31"/>
      <c r="C529" s="31"/>
    </row>
    <row r="530">
      <c r="B530" s="31"/>
      <c r="C530" s="31"/>
    </row>
    <row r="531">
      <c r="B531" s="31"/>
      <c r="C531" s="31"/>
    </row>
    <row r="532">
      <c r="B532" s="31"/>
      <c r="C532" s="31"/>
    </row>
    <row r="533">
      <c r="B533" s="31"/>
      <c r="C533" s="31"/>
    </row>
    <row r="534">
      <c r="B534" s="31"/>
      <c r="C534" s="31"/>
    </row>
    <row r="535">
      <c r="B535" s="31"/>
      <c r="C535" s="31"/>
    </row>
    <row r="536">
      <c r="B536" s="31"/>
      <c r="C536" s="31"/>
    </row>
    <row r="537">
      <c r="B537" s="31"/>
      <c r="C537" s="31"/>
    </row>
    <row r="538">
      <c r="B538" s="31"/>
      <c r="C538" s="31"/>
    </row>
    <row r="539">
      <c r="B539" s="31"/>
      <c r="C539" s="31"/>
    </row>
    <row r="540">
      <c r="B540" s="31"/>
      <c r="C540" s="31"/>
    </row>
    <row r="541">
      <c r="B541" s="31"/>
      <c r="C541" s="31"/>
    </row>
    <row r="542">
      <c r="B542" s="31"/>
      <c r="C542" s="31"/>
    </row>
    <row r="543">
      <c r="B543" s="31"/>
      <c r="C543" s="31"/>
    </row>
    <row r="544">
      <c r="B544" s="31"/>
      <c r="C544" s="31"/>
    </row>
    <row r="545">
      <c r="B545" s="31"/>
      <c r="C545" s="31"/>
    </row>
    <row r="546">
      <c r="B546" s="31"/>
      <c r="C546" s="31"/>
    </row>
    <row r="547">
      <c r="B547" s="31"/>
      <c r="C547" s="31"/>
    </row>
    <row r="548">
      <c r="B548" s="31"/>
      <c r="C548" s="31"/>
    </row>
    <row r="549">
      <c r="B549" s="31"/>
      <c r="C549" s="31"/>
    </row>
    <row r="550">
      <c r="B550" s="31"/>
      <c r="C550" s="31"/>
    </row>
    <row r="551">
      <c r="B551" s="31"/>
      <c r="C551" s="31"/>
    </row>
    <row r="552">
      <c r="B552" s="31"/>
      <c r="C552" s="31"/>
    </row>
    <row r="553">
      <c r="B553" s="31"/>
      <c r="C553" s="31"/>
    </row>
    <row r="554">
      <c r="B554" s="31"/>
      <c r="C554" s="31"/>
    </row>
    <row r="555">
      <c r="B555" s="31"/>
      <c r="C555" s="31"/>
    </row>
    <row r="556">
      <c r="B556" s="31"/>
      <c r="C556" s="31"/>
    </row>
    <row r="557">
      <c r="B557" s="31"/>
      <c r="C557" s="31"/>
    </row>
    <row r="558">
      <c r="B558" s="31"/>
      <c r="C558" s="31"/>
    </row>
    <row r="559">
      <c r="B559" s="31"/>
      <c r="C559" s="31"/>
    </row>
    <row r="560">
      <c r="B560" s="31"/>
      <c r="C560" s="31"/>
    </row>
    <row r="561">
      <c r="B561" s="31"/>
      <c r="C561" s="31"/>
    </row>
    <row r="562">
      <c r="B562" s="31"/>
      <c r="C562" s="31"/>
    </row>
    <row r="563">
      <c r="B563" s="31"/>
      <c r="C563" s="31"/>
    </row>
    <row r="564">
      <c r="B564" s="31"/>
      <c r="C564" s="31"/>
    </row>
    <row r="565">
      <c r="B565" s="31"/>
      <c r="C565" s="31"/>
    </row>
    <row r="566">
      <c r="B566" s="31"/>
      <c r="C566" s="31"/>
    </row>
    <row r="567">
      <c r="B567" s="31"/>
      <c r="C567" s="31"/>
    </row>
    <row r="568">
      <c r="B568" s="31"/>
      <c r="C568" s="31"/>
    </row>
    <row r="569">
      <c r="B569" s="31"/>
      <c r="C569" s="31"/>
    </row>
    <row r="570">
      <c r="B570" s="31"/>
      <c r="C570" s="31"/>
    </row>
    <row r="571">
      <c r="B571" s="31"/>
      <c r="C571" s="31"/>
    </row>
    <row r="572">
      <c r="B572" s="31"/>
      <c r="C572" s="31"/>
    </row>
    <row r="573">
      <c r="B573" s="31"/>
      <c r="C573" s="31"/>
    </row>
    <row r="574">
      <c r="B574" s="31"/>
      <c r="C574" s="31"/>
    </row>
    <row r="575">
      <c r="B575" s="31"/>
      <c r="C575" s="31"/>
    </row>
    <row r="576">
      <c r="B576" s="31"/>
      <c r="C576" s="31"/>
    </row>
    <row r="577">
      <c r="B577" s="31"/>
      <c r="C577" s="31"/>
    </row>
    <row r="578">
      <c r="B578" s="31"/>
      <c r="C578" s="31"/>
    </row>
    <row r="579">
      <c r="B579" s="31"/>
      <c r="C579" s="31"/>
    </row>
    <row r="580">
      <c r="B580" s="31"/>
      <c r="C580" s="31"/>
    </row>
    <row r="581">
      <c r="B581" s="31"/>
      <c r="C581" s="31"/>
    </row>
    <row r="582">
      <c r="B582" s="31"/>
      <c r="C582" s="31"/>
    </row>
    <row r="583">
      <c r="B583" s="31"/>
      <c r="C583" s="31"/>
    </row>
    <row r="584">
      <c r="B584" s="31"/>
      <c r="C584" s="31"/>
    </row>
    <row r="585">
      <c r="B585" s="31"/>
      <c r="C585" s="31"/>
    </row>
    <row r="586">
      <c r="B586" s="31"/>
      <c r="C586" s="31"/>
    </row>
    <row r="587">
      <c r="B587" s="31"/>
      <c r="C587" s="31"/>
    </row>
    <row r="588">
      <c r="B588" s="31"/>
      <c r="C588" s="31"/>
    </row>
    <row r="589">
      <c r="B589" s="31"/>
      <c r="C589" s="31"/>
    </row>
    <row r="590">
      <c r="B590" s="31"/>
      <c r="C590" s="31"/>
    </row>
    <row r="591">
      <c r="B591" s="31"/>
      <c r="C591" s="31"/>
    </row>
    <row r="592">
      <c r="B592" s="31"/>
      <c r="C592" s="31"/>
    </row>
    <row r="593">
      <c r="B593" s="31"/>
      <c r="C593" s="31"/>
    </row>
    <row r="594">
      <c r="B594" s="31"/>
      <c r="C594" s="31"/>
    </row>
    <row r="595">
      <c r="B595" s="31"/>
      <c r="C595" s="31"/>
    </row>
    <row r="596">
      <c r="B596" s="31"/>
      <c r="C596" s="31"/>
    </row>
    <row r="597">
      <c r="B597" s="31"/>
      <c r="C597" s="31"/>
    </row>
    <row r="598">
      <c r="B598" s="31"/>
      <c r="C598" s="31"/>
    </row>
    <row r="599">
      <c r="B599" s="31"/>
      <c r="C599" s="31"/>
    </row>
    <row r="600">
      <c r="B600" s="31"/>
      <c r="C600" s="31"/>
    </row>
    <row r="601">
      <c r="B601" s="31"/>
      <c r="C601" s="31"/>
    </row>
    <row r="602">
      <c r="B602" s="31"/>
      <c r="C602" s="31"/>
    </row>
    <row r="603">
      <c r="B603" s="31"/>
      <c r="C603" s="31"/>
    </row>
    <row r="604">
      <c r="B604" s="31"/>
      <c r="C604" s="31"/>
    </row>
    <row r="605">
      <c r="B605" s="31"/>
      <c r="C605" s="31"/>
    </row>
    <row r="606">
      <c r="B606" s="31"/>
      <c r="C606" s="31"/>
    </row>
    <row r="607">
      <c r="B607" s="31"/>
      <c r="C607" s="31"/>
    </row>
    <row r="608">
      <c r="B608" s="31"/>
      <c r="C608" s="31"/>
    </row>
    <row r="609">
      <c r="B609" s="31"/>
      <c r="C609" s="31"/>
    </row>
    <row r="610">
      <c r="B610" s="31"/>
      <c r="C610" s="31"/>
    </row>
    <row r="611">
      <c r="B611" s="31"/>
      <c r="C611" s="31"/>
    </row>
    <row r="612">
      <c r="B612" s="31"/>
      <c r="C612" s="31"/>
    </row>
    <row r="613">
      <c r="B613" s="31"/>
      <c r="C613" s="31"/>
    </row>
    <row r="614">
      <c r="B614" s="31"/>
      <c r="C614" s="31"/>
    </row>
    <row r="615">
      <c r="B615" s="31"/>
      <c r="C615" s="31"/>
    </row>
    <row r="616">
      <c r="B616" s="31"/>
      <c r="C616" s="31"/>
    </row>
    <row r="617">
      <c r="B617" s="31"/>
      <c r="C617" s="31"/>
    </row>
    <row r="618">
      <c r="B618" s="31"/>
      <c r="C618" s="31"/>
    </row>
    <row r="619">
      <c r="B619" s="31"/>
      <c r="C619" s="31"/>
    </row>
    <row r="620">
      <c r="B620" s="31"/>
      <c r="C620" s="31"/>
    </row>
    <row r="621">
      <c r="B621" s="31"/>
      <c r="C621" s="31"/>
    </row>
    <row r="622">
      <c r="B622" s="31"/>
      <c r="C622" s="31"/>
    </row>
    <row r="623">
      <c r="B623" s="31"/>
      <c r="C623" s="31"/>
    </row>
    <row r="624">
      <c r="B624" s="31"/>
      <c r="C624" s="31"/>
    </row>
    <row r="625">
      <c r="B625" s="31"/>
      <c r="C625" s="31"/>
    </row>
    <row r="626">
      <c r="B626" s="31"/>
      <c r="C626" s="31"/>
    </row>
    <row r="627">
      <c r="B627" s="31"/>
      <c r="C627" s="31"/>
    </row>
    <row r="628">
      <c r="B628" s="31"/>
      <c r="C628" s="31"/>
    </row>
    <row r="629">
      <c r="B629" s="31"/>
      <c r="C629" s="31"/>
    </row>
    <row r="630">
      <c r="B630" s="31"/>
      <c r="C630" s="31"/>
    </row>
    <row r="631">
      <c r="B631" s="31"/>
      <c r="C631" s="31"/>
    </row>
    <row r="632">
      <c r="B632" s="31"/>
      <c r="C632" s="31"/>
    </row>
    <row r="633">
      <c r="B633" s="31"/>
      <c r="C633" s="31"/>
    </row>
    <row r="634">
      <c r="B634" s="31"/>
      <c r="C634" s="31"/>
    </row>
    <row r="635">
      <c r="B635" s="31"/>
      <c r="C635" s="31"/>
    </row>
    <row r="636">
      <c r="B636" s="31"/>
      <c r="C636" s="31"/>
    </row>
    <row r="637">
      <c r="B637" s="31"/>
      <c r="C637" s="31"/>
    </row>
    <row r="638">
      <c r="B638" s="31"/>
      <c r="C638" s="31"/>
    </row>
    <row r="639">
      <c r="B639" s="31"/>
      <c r="C639" s="31"/>
    </row>
    <row r="640">
      <c r="B640" s="31"/>
      <c r="C640" s="31"/>
    </row>
    <row r="641">
      <c r="B641" s="31"/>
      <c r="C641" s="31"/>
    </row>
    <row r="642">
      <c r="B642" s="31"/>
      <c r="C642" s="31"/>
    </row>
    <row r="643">
      <c r="B643" s="31"/>
      <c r="C643" s="31"/>
    </row>
    <row r="644">
      <c r="B644" s="31"/>
      <c r="C644" s="31"/>
    </row>
    <row r="645">
      <c r="B645" s="31"/>
      <c r="C645" s="31"/>
    </row>
    <row r="646">
      <c r="B646" s="31"/>
      <c r="C646" s="31"/>
    </row>
    <row r="647">
      <c r="B647" s="31"/>
      <c r="C647" s="31"/>
    </row>
    <row r="648">
      <c r="B648" s="31"/>
      <c r="C648" s="31"/>
    </row>
    <row r="649">
      <c r="B649" s="31"/>
      <c r="C649" s="31"/>
    </row>
    <row r="650">
      <c r="B650" s="31"/>
      <c r="C650" s="31"/>
    </row>
    <row r="651">
      <c r="B651" s="31"/>
      <c r="C651" s="31"/>
    </row>
    <row r="652">
      <c r="B652" s="31"/>
      <c r="C652" s="31"/>
    </row>
    <row r="653">
      <c r="B653" s="31"/>
      <c r="C653" s="31"/>
    </row>
    <row r="654">
      <c r="B654" s="31"/>
      <c r="C654" s="31"/>
    </row>
    <row r="655">
      <c r="B655" s="31"/>
      <c r="C655" s="31"/>
    </row>
    <row r="656">
      <c r="B656" s="31"/>
      <c r="C656" s="31"/>
    </row>
    <row r="657">
      <c r="B657" s="31"/>
      <c r="C657" s="31"/>
    </row>
    <row r="658">
      <c r="B658" s="31"/>
      <c r="C658" s="31"/>
    </row>
    <row r="659">
      <c r="B659" s="31"/>
      <c r="C659" s="31"/>
    </row>
    <row r="660">
      <c r="B660" s="31"/>
      <c r="C660" s="31"/>
    </row>
    <row r="661">
      <c r="B661" s="31"/>
      <c r="C661" s="31"/>
    </row>
    <row r="662">
      <c r="B662" s="31"/>
      <c r="C662" s="31"/>
    </row>
    <row r="663">
      <c r="B663" s="31"/>
      <c r="C663" s="31"/>
    </row>
    <row r="664">
      <c r="B664" s="31"/>
      <c r="C664" s="31"/>
    </row>
    <row r="665">
      <c r="B665" s="31"/>
      <c r="C665" s="31"/>
    </row>
    <row r="666">
      <c r="B666" s="31"/>
      <c r="C666" s="31"/>
    </row>
    <row r="667">
      <c r="B667" s="31"/>
      <c r="C667" s="31"/>
    </row>
    <row r="668">
      <c r="B668" s="31"/>
      <c r="C668" s="31"/>
    </row>
    <row r="669">
      <c r="B669" s="31"/>
      <c r="C669" s="31"/>
    </row>
    <row r="670">
      <c r="B670" s="31"/>
      <c r="C670" s="31"/>
    </row>
    <row r="671">
      <c r="B671" s="31"/>
      <c r="C671" s="31"/>
    </row>
    <row r="672">
      <c r="B672" s="31"/>
      <c r="C672" s="31"/>
    </row>
    <row r="673">
      <c r="B673" s="31"/>
      <c r="C673" s="31"/>
    </row>
    <row r="674">
      <c r="B674" s="31"/>
      <c r="C674" s="31"/>
    </row>
    <row r="675">
      <c r="B675" s="31"/>
      <c r="C675" s="31"/>
    </row>
    <row r="676">
      <c r="B676" s="31"/>
      <c r="C676" s="31"/>
    </row>
    <row r="677">
      <c r="B677" s="31"/>
      <c r="C677" s="31"/>
    </row>
    <row r="678">
      <c r="B678" s="31"/>
      <c r="C678" s="31"/>
    </row>
    <row r="679">
      <c r="B679" s="31"/>
      <c r="C679" s="31"/>
    </row>
    <row r="680">
      <c r="B680" s="31"/>
      <c r="C680" s="31"/>
    </row>
    <row r="681">
      <c r="B681" s="31"/>
      <c r="C681" s="31"/>
    </row>
    <row r="682">
      <c r="B682" s="31"/>
      <c r="C682" s="31"/>
    </row>
    <row r="683">
      <c r="B683" s="31"/>
      <c r="C683" s="31"/>
    </row>
    <row r="684">
      <c r="B684" s="31"/>
      <c r="C684" s="31"/>
    </row>
    <row r="685">
      <c r="B685" s="31"/>
      <c r="C685" s="31"/>
    </row>
    <row r="686">
      <c r="B686" s="31"/>
      <c r="C686" s="31"/>
    </row>
    <row r="687">
      <c r="B687" s="31"/>
      <c r="C687" s="31"/>
    </row>
    <row r="688">
      <c r="B688" s="31"/>
      <c r="C688" s="31"/>
    </row>
    <row r="689">
      <c r="B689" s="31"/>
      <c r="C689" s="31"/>
    </row>
    <row r="690">
      <c r="B690" s="31"/>
      <c r="C690" s="31"/>
    </row>
    <row r="691">
      <c r="B691" s="31"/>
      <c r="C691" s="31"/>
    </row>
    <row r="692">
      <c r="B692" s="31"/>
      <c r="C692" s="31"/>
    </row>
    <row r="693">
      <c r="B693" s="31"/>
      <c r="C693" s="31"/>
    </row>
    <row r="694">
      <c r="B694" s="31"/>
      <c r="C694" s="31"/>
    </row>
    <row r="695">
      <c r="B695" s="31"/>
      <c r="C695" s="31"/>
    </row>
    <row r="696">
      <c r="B696" s="31"/>
      <c r="C696" s="31"/>
    </row>
    <row r="697">
      <c r="B697" s="31"/>
      <c r="C697" s="31"/>
    </row>
    <row r="698">
      <c r="B698" s="31"/>
      <c r="C698" s="31"/>
    </row>
    <row r="699">
      <c r="B699" s="31"/>
      <c r="C699" s="31"/>
    </row>
    <row r="700">
      <c r="B700" s="31"/>
      <c r="C700" s="31"/>
    </row>
    <row r="701">
      <c r="B701" s="31"/>
      <c r="C701" s="31"/>
    </row>
    <row r="702">
      <c r="B702" s="31"/>
      <c r="C702" s="31"/>
    </row>
    <row r="703">
      <c r="B703" s="31"/>
      <c r="C703" s="31"/>
    </row>
    <row r="704">
      <c r="B704" s="31"/>
      <c r="C704" s="31"/>
    </row>
    <row r="705">
      <c r="B705" s="31"/>
      <c r="C705" s="31"/>
    </row>
    <row r="706">
      <c r="B706" s="31"/>
      <c r="C706" s="31"/>
    </row>
    <row r="707">
      <c r="B707" s="31"/>
      <c r="C707" s="31"/>
    </row>
    <row r="708">
      <c r="B708" s="31"/>
      <c r="C708" s="31"/>
    </row>
    <row r="709">
      <c r="B709" s="31"/>
      <c r="C709" s="31"/>
    </row>
    <row r="710">
      <c r="B710" s="31"/>
      <c r="C710" s="31"/>
    </row>
    <row r="711">
      <c r="B711" s="31"/>
      <c r="C711" s="31"/>
    </row>
    <row r="712">
      <c r="B712" s="31"/>
      <c r="C712" s="31"/>
    </row>
    <row r="713">
      <c r="B713" s="31"/>
      <c r="C713" s="31"/>
    </row>
    <row r="714">
      <c r="B714" s="31"/>
      <c r="C714" s="31"/>
    </row>
    <row r="715">
      <c r="B715" s="31"/>
      <c r="C715" s="31"/>
    </row>
    <row r="716">
      <c r="B716" s="31"/>
      <c r="C716" s="31"/>
    </row>
    <row r="717">
      <c r="B717" s="31"/>
      <c r="C717" s="31"/>
    </row>
    <row r="718">
      <c r="B718" s="31"/>
      <c r="C718" s="31"/>
    </row>
    <row r="719">
      <c r="B719" s="31"/>
      <c r="C719" s="31"/>
    </row>
    <row r="720">
      <c r="B720" s="31"/>
      <c r="C720" s="31"/>
    </row>
    <row r="721">
      <c r="B721" s="31"/>
      <c r="C721" s="31"/>
    </row>
    <row r="722">
      <c r="B722" s="31"/>
      <c r="C722" s="31"/>
    </row>
    <row r="723">
      <c r="B723" s="31"/>
      <c r="C723" s="31"/>
    </row>
    <row r="724">
      <c r="B724" s="31"/>
      <c r="C724" s="31"/>
    </row>
    <row r="725">
      <c r="B725" s="31"/>
      <c r="C725" s="31"/>
    </row>
    <row r="726">
      <c r="B726" s="31"/>
      <c r="C726" s="31"/>
    </row>
    <row r="727">
      <c r="B727" s="31"/>
      <c r="C727" s="31"/>
    </row>
    <row r="728">
      <c r="B728" s="31"/>
      <c r="C728" s="31"/>
    </row>
    <row r="729">
      <c r="B729" s="31"/>
      <c r="C729" s="31"/>
    </row>
    <row r="730">
      <c r="B730" s="31"/>
      <c r="C730" s="31"/>
    </row>
    <row r="731">
      <c r="B731" s="31"/>
      <c r="C731" s="31"/>
    </row>
    <row r="732">
      <c r="B732" s="31"/>
      <c r="C732" s="31"/>
    </row>
    <row r="733">
      <c r="B733" s="31"/>
      <c r="C733" s="31"/>
    </row>
    <row r="734">
      <c r="B734" s="31"/>
      <c r="C734" s="31"/>
    </row>
    <row r="735">
      <c r="B735" s="31"/>
      <c r="C735" s="31"/>
    </row>
    <row r="736">
      <c r="B736" s="31"/>
      <c r="C736" s="31"/>
    </row>
    <row r="737">
      <c r="B737" s="31"/>
      <c r="C737" s="31"/>
    </row>
    <row r="738">
      <c r="B738" s="31"/>
      <c r="C738" s="31"/>
    </row>
    <row r="739">
      <c r="B739" s="31"/>
      <c r="C739" s="31"/>
    </row>
    <row r="740">
      <c r="B740" s="31"/>
      <c r="C740" s="31"/>
    </row>
    <row r="741">
      <c r="B741" s="31"/>
      <c r="C741" s="31"/>
    </row>
    <row r="742">
      <c r="B742" s="31"/>
      <c r="C742" s="31"/>
    </row>
    <row r="743">
      <c r="B743" s="31"/>
      <c r="C743" s="31"/>
    </row>
    <row r="744">
      <c r="B744" s="31"/>
      <c r="C744" s="31"/>
    </row>
    <row r="745">
      <c r="B745" s="31"/>
      <c r="C745" s="31"/>
    </row>
    <row r="746">
      <c r="B746" s="31"/>
      <c r="C746" s="31"/>
    </row>
    <row r="747">
      <c r="B747" s="31"/>
      <c r="C747" s="31"/>
    </row>
    <row r="748">
      <c r="B748" s="31"/>
      <c r="C748" s="31"/>
    </row>
    <row r="749">
      <c r="B749" s="31"/>
      <c r="C749" s="31"/>
    </row>
    <row r="750">
      <c r="B750" s="31"/>
      <c r="C750" s="31"/>
    </row>
    <row r="751">
      <c r="B751" s="31"/>
      <c r="C751" s="31"/>
    </row>
    <row r="752">
      <c r="B752" s="31"/>
      <c r="C752" s="31"/>
    </row>
    <row r="753">
      <c r="B753" s="31"/>
      <c r="C753" s="31"/>
    </row>
    <row r="754">
      <c r="B754" s="31"/>
      <c r="C754" s="31"/>
    </row>
    <row r="755">
      <c r="B755" s="31"/>
      <c r="C755" s="31"/>
    </row>
    <row r="756">
      <c r="B756" s="31"/>
      <c r="C756" s="31"/>
    </row>
    <row r="757">
      <c r="B757" s="31"/>
      <c r="C757" s="31"/>
    </row>
    <row r="758">
      <c r="B758" s="31"/>
      <c r="C758" s="31"/>
    </row>
    <row r="759">
      <c r="B759" s="31"/>
      <c r="C759" s="31"/>
    </row>
    <row r="760">
      <c r="B760" s="31"/>
      <c r="C760" s="31"/>
    </row>
    <row r="761">
      <c r="B761" s="31"/>
      <c r="C761" s="31"/>
    </row>
    <row r="762">
      <c r="B762" s="31"/>
      <c r="C762" s="31"/>
    </row>
    <row r="763">
      <c r="B763" s="31"/>
      <c r="C763" s="31"/>
    </row>
    <row r="764">
      <c r="B764" s="31"/>
      <c r="C764" s="31"/>
    </row>
    <row r="765">
      <c r="B765" s="31"/>
      <c r="C765" s="31"/>
    </row>
    <row r="766">
      <c r="B766" s="31"/>
      <c r="C766" s="31"/>
    </row>
    <row r="767">
      <c r="B767" s="31"/>
      <c r="C767" s="31"/>
    </row>
    <row r="768">
      <c r="B768" s="31"/>
      <c r="C768" s="31"/>
    </row>
    <row r="769">
      <c r="B769" s="31"/>
      <c r="C769" s="31"/>
    </row>
    <row r="770">
      <c r="B770" s="31"/>
      <c r="C770" s="31"/>
    </row>
    <row r="771">
      <c r="B771" s="31"/>
      <c r="C771" s="31"/>
    </row>
    <row r="772">
      <c r="B772" s="31"/>
      <c r="C772" s="31"/>
    </row>
    <row r="773">
      <c r="B773" s="31"/>
      <c r="C773" s="31"/>
    </row>
    <row r="774">
      <c r="B774" s="31"/>
      <c r="C774" s="31"/>
    </row>
    <row r="775">
      <c r="B775" s="31"/>
      <c r="C775" s="31"/>
    </row>
    <row r="776">
      <c r="B776" s="31"/>
      <c r="C776" s="31"/>
    </row>
    <row r="777">
      <c r="B777" s="31"/>
      <c r="C777" s="31"/>
    </row>
    <row r="778">
      <c r="B778" s="31"/>
      <c r="C778" s="31"/>
    </row>
    <row r="779">
      <c r="B779" s="31"/>
      <c r="C779" s="31"/>
    </row>
    <row r="780">
      <c r="B780" s="31"/>
      <c r="C780" s="31"/>
    </row>
    <row r="781">
      <c r="B781" s="31"/>
      <c r="C781" s="31"/>
    </row>
    <row r="782">
      <c r="B782" s="31"/>
      <c r="C782" s="31"/>
    </row>
    <row r="783">
      <c r="B783" s="31"/>
      <c r="C783" s="31"/>
    </row>
    <row r="784">
      <c r="B784" s="31"/>
      <c r="C784" s="31"/>
    </row>
    <row r="785">
      <c r="B785" s="31"/>
      <c r="C785" s="31"/>
    </row>
    <row r="786">
      <c r="B786" s="31"/>
      <c r="C786" s="31"/>
    </row>
    <row r="787">
      <c r="B787" s="31"/>
      <c r="C787" s="31"/>
    </row>
    <row r="788">
      <c r="B788" s="31"/>
      <c r="C788" s="31"/>
    </row>
    <row r="789">
      <c r="B789" s="31"/>
      <c r="C789" s="31"/>
    </row>
    <row r="790">
      <c r="B790" s="31"/>
      <c r="C790" s="31"/>
    </row>
    <row r="791">
      <c r="B791" s="31"/>
      <c r="C791" s="31"/>
    </row>
    <row r="792">
      <c r="B792" s="31"/>
      <c r="C792" s="31"/>
    </row>
    <row r="793">
      <c r="B793" s="31"/>
      <c r="C793" s="31"/>
    </row>
    <row r="794">
      <c r="B794" s="31"/>
      <c r="C794" s="31"/>
    </row>
    <row r="795">
      <c r="B795" s="31"/>
      <c r="C795" s="31"/>
    </row>
    <row r="796">
      <c r="B796" s="31"/>
      <c r="C796" s="31"/>
    </row>
    <row r="797">
      <c r="B797" s="31"/>
      <c r="C797" s="31"/>
    </row>
    <row r="798">
      <c r="B798" s="31"/>
      <c r="C798" s="31"/>
    </row>
    <row r="799">
      <c r="B799" s="31"/>
      <c r="C799" s="31"/>
    </row>
    <row r="800">
      <c r="B800" s="31"/>
      <c r="C800" s="31"/>
    </row>
    <row r="801">
      <c r="B801" s="31"/>
      <c r="C801" s="31"/>
    </row>
    <row r="802">
      <c r="B802" s="31"/>
      <c r="C802" s="31"/>
    </row>
    <row r="803">
      <c r="B803" s="31"/>
      <c r="C803" s="31"/>
    </row>
    <row r="804">
      <c r="B804" s="31"/>
      <c r="C804" s="31"/>
    </row>
    <row r="805">
      <c r="B805" s="31"/>
      <c r="C805" s="31"/>
    </row>
    <row r="806">
      <c r="B806" s="31"/>
      <c r="C806" s="31"/>
    </row>
    <row r="807">
      <c r="B807" s="31"/>
      <c r="C807" s="31"/>
    </row>
    <row r="808">
      <c r="B808" s="31"/>
      <c r="C808" s="31"/>
    </row>
    <row r="809">
      <c r="B809" s="31"/>
      <c r="C809" s="31"/>
    </row>
    <row r="810">
      <c r="B810" s="31"/>
      <c r="C810" s="31"/>
    </row>
    <row r="811">
      <c r="B811" s="31"/>
      <c r="C811" s="31"/>
    </row>
    <row r="812">
      <c r="B812" s="31"/>
      <c r="C812" s="31"/>
    </row>
    <row r="813">
      <c r="B813" s="31"/>
      <c r="C813" s="31"/>
    </row>
    <row r="814">
      <c r="B814" s="31"/>
      <c r="C814" s="31"/>
    </row>
    <row r="815">
      <c r="B815" s="31"/>
      <c r="C815" s="31"/>
    </row>
    <row r="816">
      <c r="B816" s="31"/>
      <c r="C816" s="31"/>
    </row>
    <row r="817">
      <c r="B817" s="31"/>
      <c r="C817" s="31"/>
    </row>
    <row r="818">
      <c r="B818" s="31"/>
      <c r="C818" s="31"/>
    </row>
    <row r="819">
      <c r="B819" s="31"/>
      <c r="C819" s="31"/>
    </row>
    <row r="820">
      <c r="B820" s="31"/>
      <c r="C820" s="31"/>
    </row>
    <row r="821">
      <c r="B821" s="31"/>
      <c r="C821" s="31"/>
    </row>
    <row r="822">
      <c r="B822" s="31"/>
      <c r="C822" s="31"/>
    </row>
    <row r="823">
      <c r="B823" s="31"/>
      <c r="C823" s="31"/>
    </row>
    <row r="824">
      <c r="B824" s="31"/>
      <c r="C824" s="31"/>
    </row>
    <row r="825">
      <c r="B825" s="31"/>
      <c r="C825" s="31"/>
    </row>
    <row r="826">
      <c r="B826" s="31"/>
      <c r="C826" s="31"/>
    </row>
    <row r="827">
      <c r="B827" s="31"/>
      <c r="C827" s="31"/>
    </row>
    <row r="828">
      <c r="B828" s="31"/>
      <c r="C828" s="31"/>
    </row>
    <row r="829">
      <c r="B829" s="31"/>
      <c r="C829" s="31"/>
    </row>
    <row r="830">
      <c r="B830" s="31"/>
      <c r="C830" s="31"/>
    </row>
    <row r="831">
      <c r="B831" s="31"/>
      <c r="C831" s="31"/>
    </row>
    <row r="832">
      <c r="B832" s="31"/>
      <c r="C832" s="31"/>
    </row>
    <row r="833">
      <c r="B833" s="31"/>
      <c r="C833" s="31"/>
    </row>
    <row r="834">
      <c r="B834" s="31"/>
      <c r="C834" s="31"/>
    </row>
    <row r="835">
      <c r="B835" s="31"/>
      <c r="C835" s="31"/>
    </row>
    <row r="836">
      <c r="B836" s="31"/>
      <c r="C836" s="31"/>
    </row>
    <row r="837">
      <c r="B837" s="31"/>
      <c r="C837" s="31"/>
    </row>
    <row r="838">
      <c r="B838" s="31"/>
      <c r="C838" s="31"/>
    </row>
    <row r="839">
      <c r="B839" s="31"/>
      <c r="C839" s="31"/>
    </row>
    <row r="840">
      <c r="B840" s="31"/>
      <c r="C840" s="31"/>
    </row>
    <row r="841">
      <c r="B841" s="31"/>
      <c r="C841" s="31"/>
    </row>
    <row r="842">
      <c r="B842" s="31"/>
      <c r="C842" s="31"/>
    </row>
    <row r="843">
      <c r="B843" s="31"/>
      <c r="C843" s="31"/>
    </row>
    <row r="844">
      <c r="B844" s="31"/>
      <c r="C844" s="31"/>
    </row>
    <row r="845">
      <c r="B845" s="31"/>
      <c r="C845" s="31"/>
    </row>
    <row r="846">
      <c r="B846" s="31"/>
      <c r="C846" s="31"/>
    </row>
    <row r="847">
      <c r="B847" s="31"/>
      <c r="C847" s="31"/>
    </row>
    <row r="848">
      <c r="B848" s="31"/>
      <c r="C848" s="31"/>
    </row>
    <row r="849">
      <c r="B849" s="31"/>
      <c r="C849" s="31"/>
    </row>
    <row r="850">
      <c r="B850" s="31"/>
      <c r="C850" s="31"/>
    </row>
    <row r="851">
      <c r="B851" s="31"/>
      <c r="C851" s="31"/>
    </row>
    <row r="852">
      <c r="B852" s="31"/>
      <c r="C852" s="31"/>
    </row>
    <row r="853">
      <c r="B853" s="31"/>
      <c r="C853" s="31"/>
    </row>
    <row r="854">
      <c r="B854" s="31"/>
      <c r="C854" s="31"/>
    </row>
    <row r="855">
      <c r="B855" s="31"/>
      <c r="C855" s="31"/>
    </row>
    <row r="856">
      <c r="B856" s="31"/>
      <c r="C856" s="31"/>
    </row>
    <row r="857">
      <c r="B857" s="31"/>
      <c r="C857" s="31"/>
    </row>
    <row r="858">
      <c r="B858" s="31"/>
      <c r="C858" s="31"/>
    </row>
    <row r="859">
      <c r="B859" s="31"/>
      <c r="C859" s="31"/>
    </row>
    <row r="860">
      <c r="B860" s="31"/>
      <c r="C860" s="31"/>
    </row>
    <row r="861">
      <c r="B861" s="31"/>
      <c r="C861" s="31"/>
    </row>
    <row r="862">
      <c r="B862" s="31"/>
      <c r="C862" s="31"/>
    </row>
    <row r="863">
      <c r="B863" s="31"/>
      <c r="C863" s="31"/>
    </row>
    <row r="864">
      <c r="B864" s="31"/>
      <c r="C864" s="31"/>
    </row>
    <row r="865">
      <c r="B865" s="31"/>
      <c r="C865" s="31"/>
    </row>
    <row r="866">
      <c r="B866" s="31"/>
      <c r="C866" s="31"/>
    </row>
    <row r="867">
      <c r="B867" s="31"/>
      <c r="C867" s="31"/>
    </row>
    <row r="868">
      <c r="B868" s="31"/>
      <c r="C868" s="31"/>
    </row>
    <row r="869">
      <c r="B869" s="31"/>
      <c r="C869" s="31"/>
    </row>
    <row r="870">
      <c r="B870" s="31"/>
      <c r="C870" s="31"/>
    </row>
    <row r="871">
      <c r="B871" s="31"/>
      <c r="C871" s="31"/>
    </row>
    <row r="872">
      <c r="B872" s="31"/>
      <c r="C872" s="31"/>
    </row>
    <row r="873">
      <c r="B873" s="31"/>
      <c r="C873" s="31"/>
    </row>
    <row r="874">
      <c r="B874" s="31"/>
      <c r="C874" s="31"/>
    </row>
    <row r="875">
      <c r="B875" s="31"/>
      <c r="C875" s="31"/>
    </row>
    <row r="876">
      <c r="B876" s="31"/>
      <c r="C876" s="31"/>
    </row>
    <row r="877">
      <c r="B877" s="31"/>
      <c r="C877" s="31"/>
    </row>
    <row r="878">
      <c r="B878" s="31"/>
      <c r="C878" s="31"/>
    </row>
    <row r="879">
      <c r="B879" s="31"/>
      <c r="C879" s="31"/>
    </row>
    <row r="880">
      <c r="B880" s="31"/>
      <c r="C880" s="31"/>
    </row>
    <row r="881">
      <c r="B881" s="31"/>
      <c r="C881" s="31"/>
    </row>
    <row r="882">
      <c r="B882" s="31"/>
      <c r="C882" s="31"/>
    </row>
    <row r="883">
      <c r="B883" s="31"/>
      <c r="C883" s="31"/>
    </row>
    <row r="884">
      <c r="B884" s="31"/>
      <c r="C884" s="31"/>
    </row>
    <row r="885">
      <c r="B885" s="31"/>
      <c r="C885" s="31"/>
    </row>
    <row r="886">
      <c r="B886" s="31"/>
      <c r="C886" s="31"/>
    </row>
    <row r="887">
      <c r="B887" s="31"/>
      <c r="C887" s="31"/>
    </row>
    <row r="888">
      <c r="B888" s="31"/>
      <c r="C888" s="31"/>
    </row>
    <row r="889">
      <c r="B889" s="31"/>
      <c r="C889" s="31"/>
    </row>
    <row r="890">
      <c r="B890" s="31"/>
      <c r="C890" s="31"/>
    </row>
    <row r="891">
      <c r="B891" s="31"/>
      <c r="C891" s="31"/>
    </row>
    <row r="892">
      <c r="B892" s="31"/>
      <c r="C892" s="31"/>
    </row>
    <row r="893">
      <c r="B893" s="31"/>
      <c r="C893" s="31"/>
    </row>
    <row r="894">
      <c r="B894" s="31"/>
      <c r="C894" s="31"/>
    </row>
    <row r="895">
      <c r="B895" s="31"/>
      <c r="C895" s="31"/>
    </row>
    <row r="896">
      <c r="B896" s="31"/>
      <c r="C896" s="31"/>
    </row>
    <row r="897">
      <c r="B897" s="31"/>
      <c r="C897" s="31"/>
    </row>
    <row r="898">
      <c r="B898" s="31"/>
      <c r="C898" s="31"/>
    </row>
    <row r="899">
      <c r="B899" s="31"/>
      <c r="C899" s="31"/>
    </row>
    <row r="900">
      <c r="B900" s="31"/>
      <c r="C900" s="31"/>
    </row>
    <row r="901">
      <c r="B901" s="31"/>
      <c r="C901" s="31"/>
    </row>
    <row r="902">
      <c r="B902" s="31"/>
      <c r="C902" s="31"/>
    </row>
    <row r="903">
      <c r="B903" s="31"/>
      <c r="C903" s="31"/>
    </row>
    <row r="904">
      <c r="B904" s="31"/>
      <c r="C904" s="31"/>
    </row>
    <row r="905">
      <c r="B905" s="31"/>
      <c r="C905" s="31"/>
    </row>
    <row r="906">
      <c r="B906" s="31"/>
      <c r="C906" s="31"/>
    </row>
    <row r="907">
      <c r="B907" s="31"/>
      <c r="C907" s="31"/>
    </row>
    <row r="908">
      <c r="B908" s="31"/>
      <c r="C908" s="31"/>
    </row>
    <row r="909">
      <c r="B909" s="31"/>
      <c r="C909" s="31"/>
    </row>
    <row r="910">
      <c r="B910" s="31"/>
      <c r="C910" s="31"/>
    </row>
    <row r="911">
      <c r="B911" s="31"/>
      <c r="C911" s="31"/>
    </row>
    <row r="912">
      <c r="B912" s="31"/>
      <c r="C912" s="31"/>
    </row>
    <row r="913">
      <c r="B913" s="31"/>
      <c r="C913" s="31"/>
    </row>
    <row r="914">
      <c r="B914" s="31"/>
      <c r="C914" s="31"/>
    </row>
    <row r="915">
      <c r="B915" s="31"/>
      <c r="C915" s="31"/>
    </row>
    <row r="916">
      <c r="B916" s="31"/>
      <c r="C916" s="31"/>
    </row>
    <row r="917">
      <c r="B917" s="31"/>
      <c r="C917" s="31"/>
    </row>
    <row r="918">
      <c r="B918" s="31"/>
      <c r="C918" s="31"/>
    </row>
    <row r="919">
      <c r="B919" s="31"/>
      <c r="C919" s="31"/>
    </row>
    <row r="920">
      <c r="B920" s="31"/>
      <c r="C920" s="31"/>
    </row>
    <row r="921">
      <c r="B921" s="31"/>
      <c r="C921" s="31"/>
    </row>
    <row r="922">
      <c r="B922" s="31"/>
      <c r="C922" s="31"/>
    </row>
    <row r="923">
      <c r="B923" s="31"/>
      <c r="C923" s="31"/>
    </row>
    <row r="924">
      <c r="B924" s="31"/>
      <c r="C924" s="31"/>
    </row>
    <row r="925">
      <c r="B925" s="31"/>
      <c r="C925" s="31"/>
    </row>
    <row r="926">
      <c r="B926" s="31"/>
      <c r="C926" s="31"/>
    </row>
    <row r="927">
      <c r="B927" s="31"/>
      <c r="C927" s="31"/>
    </row>
    <row r="928">
      <c r="B928" s="31"/>
      <c r="C928" s="31"/>
    </row>
    <row r="929">
      <c r="B929" s="31"/>
      <c r="C929" s="31"/>
    </row>
    <row r="930">
      <c r="B930" s="31"/>
      <c r="C930" s="31"/>
    </row>
    <row r="931">
      <c r="B931" s="31"/>
      <c r="C931" s="31"/>
    </row>
    <row r="932">
      <c r="B932" s="31"/>
      <c r="C932" s="31"/>
    </row>
    <row r="933">
      <c r="B933" s="31"/>
      <c r="C933" s="31"/>
    </row>
    <row r="934">
      <c r="B934" s="31"/>
      <c r="C934" s="31"/>
    </row>
    <row r="935">
      <c r="B935" s="31"/>
      <c r="C935" s="31"/>
    </row>
    <row r="936">
      <c r="B936" s="31"/>
      <c r="C936" s="31"/>
    </row>
    <row r="937">
      <c r="B937" s="31"/>
      <c r="C937" s="31"/>
    </row>
    <row r="938">
      <c r="B938" s="31"/>
      <c r="C938" s="31"/>
    </row>
    <row r="939">
      <c r="B939" s="31"/>
      <c r="C939" s="31"/>
    </row>
    <row r="940">
      <c r="B940" s="31"/>
      <c r="C940" s="31"/>
    </row>
    <row r="941">
      <c r="B941" s="31"/>
      <c r="C941" s="31"/>
    </row>
    <row r="942">
      <c r="B942" s="31"/>
      <c r="C942" s="31"/>
    </row>
    <row r="943">
      <c r="B943" s="31"/>
      <c r="C943" s="31"/>
    </row>
    <row r="944">
      <c r="B944" s="31"/>
      <c r="C944" s="31"/>
    </row>
    <row r="945">
      <c r="B945" s="31"/>
      <c r="C945" s="31"/>
    </row>
    <row r="946">
      <c r="B946" s="31"/>
      <c r="C946" s="31"/>
    </row>
    <row r="947">
      <c r="B947" s="31"/>
      <c r="C947" s="31"/>
    </row>
    <row r="948">
      <c r="B948" s="31"/>
      <c r="C948" s="31"/>
    </row>
    <row r="949">
      <c r="B949" s="31"/>
      <c r="C949" s="31"/>
    </row>
    <row r="950">
      <c r="B950" s="31"/>
      <c r="C950" s="31"/>
    </row>
    <row r="951">
      <c r="B951" s="31"/>
      <c r="C951" s="31"/>
    </row>
    <row r="952">
      <c r="B952" s="31"/>
      <c r="C952" s="31"/>
    </row>
    <row r="953">
      <c r="B953" s="31"/>
      <c r="C953" s="31"/>
    </row>
    <row r="954">
      <c r="B954" s="31"/>
      <c r="C954" s="31"/>
    </row>
    <row r="955">
      <c r="B955" s="31"/>
      <c r="C955" s="31"/>
    </row>
    <row r="956">
      <c r="B956" s="31"/>
      <c r="C956" s="31"/>
    </row>
    <row r="957">
      <c r="B957" s="31"/>
      <c r="C957" s="31"/>
    </row>
    <row r="958">
      <c r="B958" s="31"/>
      <c r="C958" s="31"/>
    </row>
    <row r="959">
      <c r="B959" s="31"/>
      <c r="C959" s="31"/>
    </row>
    <row r="960">
      <c r="B960" s="31"/>
      <c r="C960" s="31"/>
    </row>
    <row r="961">
      <c r="B961" s="31"/>
      <c r="C961" s="31"/>
    </row>
    <row r="962">
      <c r="B962" s="31"/>
      <c r="C962" s="31"/>
    </row>
    <row r="963">
      <c r="B963" s="31"/>
      <c r="C963" s="31"/>
    </row>
    <row r="964">
      <c r="B964" s="31"/>
      <c r="C964" s="31"/>
    </row>
    <row r="965">
      <c r="B965" s="31"/>
      <c r="C965" s="31"/>
    </row>
    <row r="966">
      <c r="B966" s="31"/>
      <c r="C966" s="31"/>
    </row>
    <row r="967">
      <c r="B967" s="31"/>
      <c r="C967" s="31"/>
    </row>
    <row r="968">
      <c r="B968" s="31"/>
      <c r="C968" s="31"/>
    </row>
    <row r="969">
      <c r="B969" s="31"/>
      <c r="C969" s="31"/>
    </row>
    <row r="970">
      <c r="B970" s="31"/>
      <c r="C970" s="31"/>
    </row>
    <row r="971">
      <c r="B971" s="31"/>
      <c r="C971" s="31"/>
    </row>
    <row r="972">
      <c r="B972" s="31"/>
      <c r="C972" s="31"/>
    </row>
    <row r="973">
      <c r="B973" s="31"/>
      <c r="C973" s="31"/>
    </row>
    <row r="974">
      <c r="B974" s="31"/>
      <c r="C974" s="31"/>
    </row>
    <row r="975">
      <c r="B975" s="31"/>
      <c r="C975" s="31"/>
    </row>
    <row r="976">
      <c r="B976" s="31"/>
      <c r="C976" s="31"/>
    </row>
    <row r="977">
      <c r="B977" s="31"/>
      <c r="C977" s="31"/>
    </row>
    <row r="978">
      <c r="B978" s="31"/>
      <c r="C978" s="31"/>
    </row>
    <row r="979">
      <c r="B979" s="31"/>
      <c r="C979" s="31"/>
    </row>
    <row r="980">
      <c r="B980" s="31"/>
      <c r="C980" s="31"/>
    </row>
    <row r="981">
      <c r="B981" s="31"/>
      <c r="C981" s="31"/>
    </row>
    <row r="982">
      <c r="B982" s="31"/>
      <c r="C982" s="31"/>
    </row>
    <row r="983">
      <c r="B983" s="31"/>
      <c r="C983" s="31"/>
    </row>
    <row r="984">
      <c r="B984" s="31"/>
      <c r="C984" s="31"/>
    </row>
    <row r="985">
      <c r="B985" s="31"/>
      <c r="C985" s="31"/>
    </row>
    <row r="986">
      <c r="B986" s="31"/>
      <c r="C986" s="31"/>
    </row>
    <row r="987">
      <c r="B987" s="31"/>
      <c r="C987" s="31"/>
    </row>
    <row r="988">
      <c r="B988" s="31"/>
      <c r="C988" s="31"/>
    </row>
    <row r="989">
      <c r="B989" s="31"/>
      <c r="C989" s="31"/>
    </row>
    <row r="990">
      <c r="B990" s="31"/>
      <c r="C990" s="31"/>
    </row>
    <row r="991">
      <c r="B991" s="31"/>
      <c r="C991" s="31"/>
    </row>
    <row r="992">
      <c r="B992" s="31"/>
      <c r="C992" s="31"/>
    </row>
    <row r="993">
      <c r="B993" s="31"/>
      <c r="C993" s="31"/>
    </row>
    <row r="994">
      <c r="B994" s="31"/>
      <c r="C994" s="31"/>
    </row>
    <row r="995">
      <c r="B995" s="31"/>
      <c r="C995" s="31"/>
    </row>
    <row r="996">
      <c r="B996" s="31"/>
      <c r="C996" s="31"/>
    </row>
    <row r="997">
      <c r="B997" s="31"/>
      <c r="C997" s="31"/>
    </row>
    <row r="998">
      <c r="B998" s="31"/>
      <c r="C998" s="31"/>
    </row>
    <row r="999">
      <c r="B999" s="31"/>
      <c r="C999" s="31"/>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24.88"/>
    <col customWidth="1" min="3" max="5" width="21.0"/>
    <col customWidth="1" min="6" max="6" width="128.25"/>
    <col customWidth="1" min="7" max="7" width="91.0"/>
  </cols>
  <sheetData>
    <row r="1">
      <c r="A1" s="11" t="s">
        <v>1489</v>
      </c>
      <c r="B1" s="11" t="s">
        <v>2493</v>
      </c>
      <c r="C1" s="9" t="s">
        <v>2494</v>
      </c>
      <c r="D1" s="9" t="s">
        <v>1</v>
      </c>
      <c r="E1" s="11" t="s">
        <v>231</v>
      </c>
      <c r="F1" s="9" t="s">
        <v>2495</v>
      </c>
      <c r="G1" s="9" t="s">
        <v>2496</v>
      </c>
    </row>
    <row r="2">
      <c r="A2" s="11" t="s">
        <v>2497</v>
      </c>
      <c r="B2" s="11" t="s">
        <v>51</v>
      </c>
      <c r="C2" s="9" t="s">
        <v>2498</v>
      </c>
      <c r="D2" s="9" t="s">
        <v>1556</v>
      </c>
      <c r="E2" s="11">
        <v>300.0</v>
      </c>
      <c r="F2" s="9" t="s">
        <v>2499</v>
      </c>
      <c r="G2" s="31"/>
    </row>
    <row r="3">
      <c r="A3" s="11" t="s">
        <v>2497</v>
      </c>
      <c r="B3" s="11" t="s">
        <v>2500</v>
      </c>
      <c r="C3" s="9" t="s">
        <v>47</v>
      </c>
      <c r="D3" s="9" t="s">
        <v>1565</v>
      </c>
      <c r="E3" s="11">
        <v>400.0</v>
      </c>
      <c r="F3" s="9" t="s">
        <v>2501</v>
      </c>
      <c r="G3" s="31"/>
    </row>
    <row r="4">
      <c r="A4" s="11" t="s">
        <v>2502</v>
      </c>
      <c r="B4" s="11" t="s">
        <v>664</v>
      </c>
      <c r="C4" s="9" t="s">
        <v>1975</v>
      </c>
      <c r="D4" s="9" t="s">
        <v>1566</v>
      </c>
      <c r="E4" s="11">
        <v>500.0</v>
      </c>
      <c r="F4" s="9" t="s">
        <v>2503</v>
      </c>
      <c r="G4" s="31"/>
    </row>
    <row r="5">
      <c r="A5" s="11" t="s">
        <v>2502</v>
      </c>
      <c r="B5" s="11" t="s">
        <v>942</v>
      </c>
      <c r="C5" s="9" t="s">
        <v>1629</v>
      </c>
      <c r="D5" s="9" t="s">
        <v>1568</v>
      </c>
      <c r="E5" s="11">
        <v>800.0</v>
      </c>
      <c r="F5" s="9" t="s">
        <v>2504</v>
      </c>
      <c r="G5" s="31"/>
    </row>
    <row r="6">
      <c r="A6" s="11" t="s">
        <v>2502</v>
      </c>
      <c r="B6" s="11" t="s">
        <v>778</v>
      </c>
      <c r="C6" s="9" t="s">
        <v>2505</v>
      </c>
      <c r="D6" s="9" t="s">
        <v>1569</v>
      </c>
      <c r="E6" s="11">
        <v>600.0</v>
      </c>
      <c r="F6" s="9" t="s">
        <v>2506</v>
      </c>
      <c r="G6" s="31"/>
    </row>
    <row r="7">
      <c r="A7" s="11" t="s">
        <v>2502</v>
      </c>
      <c r="B7" s="11" t="s">
        <v>1571</v>
      </c>
      <c r="C7" s="9" t="s">
        <v>2178</v>
      </c>
      <c r="D7" s="9" t="s">
        <v>1570</v>
      </c>
      <c r="E7" s="11">
        <v>50.0</v>
      </c>
      <c r="F7" s="9" t="s">
        <v>2507</v>
      </c>
      <c r="G7" s="31"/>
    </row>
    <row r="8">
      <c r="A8" s="11" t="s">
        <v>2502</v>
      </c>
      <c r="B8" s="11" t="s">
        <v>1571</v>
      </c>
      <c r="C8" s="9" t="s">
        <v>2178</v>
      </c>
      <c r="D8" s="9" t="s">
        <v>1572</v>
      </c>
      <c r="E8" s="11">
        <v>600.0</v>
      </c>
      <c r="F8" s="9" t="s">
        <v>2508</v>
      </c>
      <c r="G8" s="31"/>
    </row>
    <row r="9">
      <c r="A9" s="11" t="s">
        <v>2502</v>
      </c>
      <c r="B9" s="11" t="s">
        <v>635</v>
      </c>
      <c r="C9" s="9" t="s">
        <v>1639</v>
      </c>
      <c r="D9" s="41" t="s">
        <v>1573</v>
      </c>
      <c r="E9" s="11">
        <v>200.0</v>
      </c>
      <c r="F9" s="9" t="s">
        <v>2509</v>
      </c>
      <c r="G9" s="31"/>
    </row>
    <row r="10">
      <c r="A10" s="11" t="s">
        <v>2502</v>
      </c>
      <c r="B10" s="11" t="s">
        <v>635</v>
      </c>
      <c r="C10" s="9" t="s">
        <v>1639</v>
      </c>
      <c r="D10" s="9" t="s">
        <v>1574</v>
      </c>
      <c r="E10" s="11">
        <v>300.0</v>
      </c>
      <c r="F10" s="9" t="s">
        <v>2510</v>
      </c>
      <c r="G10" s="9" t="s">
        <v>2511</v>
      </c>
    </row>
    <row r="11">
      <c r="A11" s="11" t="s">
        <v>2502</v>
      </c>
      <c r="B11" s="11" t="s">
        <v>635</v>
      </c>
      <c r="C11" s="9" t="s">
        <v>1639</v>
      </c>
      <c r="D11" s="9" t="s">
        <v>1575</v>
      </c>
      <c r="E11" s="11">
        <v>400.0</v>
      </c>
      <c r="F11" s="9" t="s">
        <v>2512</v>
      </c>
      <c r="G11" s="31"/>
    </row>
    <row r="12">
      <c r="A12" s="11" t="s">
        <v>2502</v>
      </c>
      <c r="B12" s="11" t="s">
        <v>471</v>
      </c>
      <c r="C12" s="9" t="s">
        <v>1785</v>
      </c>
      <c r="D12" s="9" t="s">
        <v>1576</v>
      </c>
      <c r="E12" s="11">
        <v>800.0</v>
      </c>
      <c r="F12" s="9" t="s">
        <v>2513</v>
      </c>
      <c r="G12" s="9" t="s">
        <v>2514</v>
      </c>
    </row>
    <row r="13">
      <c r="C13" s="31"/>
      <c r="D13" s="31"/>
      <c r="F13" s="31"/>
      <c r="G13" s="31"/>
    </row>
    <row r="14">
      <c r="C14" s="31"/>
      <c r="D14" s="31"/>
      <c r="F14" s="31"/>
      <c r="G14" s="31"/>
    </row>
    <row r="15">
      <c r="C15" s="31"/>
      <c r="D15" s="31"/>
      <c r="F15" s="31"/>
      <c r="G15" s="31"/>
    </row>
    <row r="16">
      <c r="C16" s="31"/>
      <c r="D16" s="31"/>
      <c r="F16" s="31"/>
      <c r="G16" s="31"/>
    </row>
    <row r="17">
      <c r="C17" s="31"/>
      <c r="D17" s="31"/>
      <c r="F17" s="31"/>
      <c r="G17" s="31"/>
    </row>
    <row r="18">
      <c r="C18" s="31"/>
      <c r="D18" s="31"/>
      <c r="F18" s="31"/>
      <c r="G18" s="31"/>
    </row>
    <row r="19">
      <c r="C19" s="31"/>
      <c r="D19" s="31"/>
      <c r="F19" s="31"/>
      <c r="G19" s="31"/>
    </row>
    <row r="20">
      <c r="C20" s="31"/>
      <c r="D20" s="31"/>
      <c r="F20" s="31"/>
      <c r="G20" s="31"/>
    </row>
    <row r="21">
      <c r="C21" s="31"/>
      <c r="D21" s="31"/>
      <c r="F21" s="31"/>
      <c r="G21" s="31"/>
    </row>
    <row r="22">
      <c r="C22" s="31"/>
      <c r="D22" s="31"/>
      <c r="F22" s="31"/>
      <c r="G22" s="31"/>
    </row>
    <row r="23">
      <c r="C23" s="31"/>
      <c r="D23" s="31"/>
      <c r="F23" s="31"/>
      <c r="G23" s="31"/>
    </row>
    <row r="24">
      <c r="C24" s="31"/>
      <c r="D24" s="31"/>
      <c r="F24" s="31"/>
      <c r="G24" s="31"/>
    </row>
    <row r="25">
      <c r="C25" s="31"/>
      <c r="D25" s="31"/>
      <c r="F25" s="31"/>
      <c r="G25" s="31"/>
    </row>
    <row r="26">
      <c r="C26" s="31"/>
      <c r="D26" s="31"/>
      <c r="F26" s="31"/>
      <c r="G26" s="31"/>
    </row>
    <row r="27">
      <c r="C27" s="31"/>
      <c r="D27" s="31"/>
      <c r="F27" s="31"/>
      <c r="G27" s="31"/>
    </row>
    <row r="28">
      <c r="C28" s="31"/>
      <c r="D28" s="31"/>
      <c r="F28" s="31"/>
      <c r="G28" s="31"/>
    </row>
    <row r="29">
      <c r="C29" s="31"/>
      <c r="D29" s="31"/>
      <c r="F29" s="31"/>
      <c r="G29" s="31"/>
    </row>
    <row r="30">
      <c r="C30" s="31"/>
      <c r="D30" s="31"/>
      <c r="F30" s="31"/>
      <c r="G30" s="31"/>
    </row>
    <row r="31">
      <c r="C31" s="31"/>
      <c r="D31" s="31"/>
      <c r="F31" s="31"/>
      <c r="G31" s="31"/>
    </row>
    <row r="32">
      <c r="C32" s="31"/>
      <c r="D32" s="31"/>
      <c r="F32" s="31"/>
      <c r="G32" s="31"/>
    </row>
    <row r="33">
      <c r="C33" s="31"/>
      <c r="D33" s="31"/>
      <c r="F33" s="31"/>
      <c r="G33" s="31"/>
    </row>
    <row r="34">
      <c r="C34" s="31"/>
      <c r="D34" s="31"/>
      <c r="F34" s="31"/>
      <c r="G34" s="31"/>
    </row>
    <row r="35">
      <c r="C35" s="31"/>
      <c r="D35" s="31"/>
      <c r="F35" s="31"/>
      <c r="G35" s="31"/>
    </row>
    <row r="36">
      <c r="C36" s="31"/>
      <c r="D36" s="31"/>
      <c r="F36" s="31"/>
      <c r="G36" s="31"/>
    </row>
    <row r="37">
      <c r="C37" s="31"/>
      <c r="D37" s="31"/>
      <c r="F37" s="31"/>
      <c r="G37" s="31"/>
    </row>
    <row r="38">
      <c r="C38" s="31"/>
      <c r="D38" s="31"/>
      <c r="F38" s="31"/>
      <c r="G38" s="31"/>
    </row>
    <row r="39">
      <c r="C39" s="31"/>
      <c r="D39" s="31"/>
      <c r="F39" s="31"/>
      <c r="G39" s="31"/>
    </row>
    <row r="40">
      <c r="C40" s="31"/>
      <c r="D40" s="31"/>
      <c r="F40" s="31"/>
      <c r="G40" s="31"/>
    </row>
    <row r="41">
      <c r="C41" s="31"/>
      <c r="D41" s="31"/>
      <c r="F41" s="31"/>
      <c r="G41" s="31"/>
    </row>
    <row r="42">
      <c r="C42" s="31"/>
      <c r="D42" s="31"/>
      <c r="F42" s="31"/>
      <c r="G42" s="31"/>
    </row>
    <row r="43">
      <c r="C43" s="31"/>
      <c r="D43" s="31"/>
      <c r="F43" s="31"/>
      <c r="G43" s="31"/>
    </row>
    <row r="44">
      <c r="C44" s="31"/>
      <c r="D44" s="31"/>
      <c r="F44" s="31"/>
      <c r="G44" s="31"/>
    </row>
    <row r="45">
      <c r="C45" s="31"/>
      <c r="D45" s="31"/>
      <c r="F45" s="31"/>
      <c r="G45" s="31"/>
    </row>
    <row r="46">
      <c r="C46" s="31"/>
      <c r="D46" s="31"/>
      <c r="F46" s="31"/>
      <c r="G46" s="31"/>
    </row>
    <row r="47">
      <c r="C47" s="31"/>
      <c r="D47" s="31"/>
      <c r="F47" s="31"/>
      <c r="G47" s="31"/>
    </row>
    <row r="48">
      <c r="C48" s="31"/>
      <c r="D48" s="31"/>
      <c r="F48" s="31"/>
      <c r="G48" s="31"/>
    </row>
    <row r="49">
      <c r="C49" s="31"/>
      <c r="D49" s="31"/>
      <c r="F49" s="31"/>
      <c r="G49" s="31"/>
    </row>
    <row r="50">
      <c r="C50" s="31"/>
      <c r="D50" s="31"/>
      <c r="F50" s="31"/>
      <c r="G50" s="31"/>
    </row>
    <row r="51">
      <c r="C51" s="31"/>
      <c r="D51" s="31"/>
      <c r="F51" s="31"/>
      <c r="G51" s="31"/>
    </row>
    <row r="52">
      <c r="C52" s="31"/>
      <c r="D52" s="31"/>
      <c r="F52" s="31"/>
      <c r="G52" s="31"/>
    </row>
    <row r="53">
      <c r="C53" s="31"/>
      <c r="D53" s="31"/>
      <c r="F53" s="31"/>
      <c r="G53" s="31"/>
    </row>
    <row r="54">
      <c r="C54" s="31"/>
      <c r="D54" s="31"/>
      <c r="F54" s="31"/>
      <c r="G54" s="31"/>
    </row>
    <row r="55">
      <c r="C55" s="31"/>
      <c r="D55" s="31"/>
      <c r="F55" s="31"/>
      <c r="G55" s="31"/>
    </row>
    <row r="56">
      <c r="C56" s="31"/>
      <c r="D56" s="31"/>
      <c r="F56" s="31"/>
      <c r="G56" s="31"/>
    </row>
    <row r="57">
      <c r="C57" s="31"/>
      <c r="D57" s="31"/>
      <c r="F57" s="31"/>
      <c r="G57" s="31"/>
    </row>
    <row r="58">
      <c r="C58" s="31"/>
      <c r="D58" s="31"/>
      <c r="F58" s="31"/>
      <c r="G58" s="31"/>
    </row>
    <row r="59">
      <c r="C59" s="31"/>
      <c r="D59" s="31"/>
      <c r="F59" s="31"/>
      <c r="G59" s="31"/>
    </row>
    <row r="60">
      <c r="C60" s="31"/>
      <c r="D60" s="31"/>
      <c r="F60" s="31"/>
      <c r="G60" s="31"/>
    </row>
    <row r="61">
      <c r="C61" s="31"/>
      <c r="D61" s="31"/>
      <c r="F61" s="31"/>
      <c r="G61" s="31"/>
    </row>
    <row r="62">
      <c r="C62" s="31"/>
      <c r="D62" s="31"/>
      <c r="F62" s="31"/>
      <c r="G62" s="31"/>
    </row>
    <row r="63">
      <c r="C63" s="31"/>
      <c r="D63" s="31"/>
      <c r="F63" s="31"/>
      <c r="G63" s="31"/>
    </row>
    <row r="64">
      <c r="C64" s="31"/>
      <c r="D64" s="31"/>
      <c r="F64" s="31"/>
      <c r="G64" s="31"/>
    </row>
    <row r="65">
      <c r="C65" s="31"/>
      <c r="D65" s="31"/>
      <c r="F65" s="31"/>
      <c r="G65" s="31"/>
    </row>
    <row r="66">
      <c r="C66" s="31"/>
      <c r="D66" s="31"/>
      <c r="F66" s="31"/>
      <c r="G66" s="31"/>
    </row>
    <row r="67">
      <c r="C67" s="31"/>
      <c r="D67" s="31"/>
      <c r="F67" s="31"/>
      <c r="G67" s="31"/>
    </row>
    <row r="68">
      <c r="C68" s="31"/>
      <c r="D68" s="31"/>
      <c r="F68" s="31"/>
      <c r="G68" s="31"/>
    </row>
    <row r="69">
      <c r="C69" s="31"/>
      <c r="D69" s="31"/>
      <c r="F69" s="31"/>
      <c r="G69" s="31"/>
    </row>
    <row r="70">
      <c r="C70" s="31"/>
      <c r="D70" s="31"/>
      <c r="F70" s="31"/>
      <c r="G70" s="31"/>
    </row>
    <row r="71">
      <c r="C71" s="31"/>
      <c r="D71" s="31"/>
      <c r="F71" s="31"/>
      <c r="G71" s="31"/>
    </row>
    <row r="72">
      <c r="C72" s="31"/>
      <c r="D72" s="31"/>
      <c r="F72" s="31"/>
      <c r="G72" s="31"/>
    </row>
    <row r="73">
      <c r="C73" s="31"/>
      <c r="D73" s="31"/>
      <c r="F73" s="31"/>
      <c r="G73" s="31"/>
    </row>
    <row r="74">
      <c r="C74" s="31"/>
      <c r="D74" s="31"/>
      <c r="F74" s="31"/>
      <c r="G74" s="31"/>
    </row>
    <row r="75">
      <c r="C75" s="31"/>
      <c r="D75" s="31"/>
      <c r="F75" s="31"/>
      <c r="G75" s="31"/>
    </row>
    <row r="76">
      <c r="C76" s="31"/>
      <c r="D76" s="31"/>
      <c r="F76" s="31"/>
      <c r="G76" s="31"/>
    </row>
    <row r="77">
      <c r="C77" s="31"/>
      <c r="D77" s="31"/>
      <c r="F77" s="31"/>
      <c r="G77" s="31"/>
    </row>
    <row r="78">
      <c r="C78" s="31"/>
      <c r="D78" s="31"/>
      <c r="F78" s="31"/>
      <c r="G78" s="31"/>
    </row>
    <row r="79">
      <c r="C79" s="31"/>
      <c r="D79" s="31"/>
      <c r="F79" s="31"/>
      <c r="G79" s="31"/>
    </row>
    <row r="80">
      <c r="C80" s="31"/>
      <c r="D80" s="31"/>
      <c r="F80" s="31"/>
      <c r="G80" s="31"/>
    </row>
    <row r="81">
      <c r="C81" s="31"/>
      <c r="D81" s="31"/>
      <c r="F81" s="31"/>
      <c r="G81" s="31"/>
    </row>
    <row r="82">
      <c r="C82" s="31"/>
      <c r="D82" s="31"/>
      <c r="F82" s="31"/>
      <c r="G82" s="31"/>
    </row>
    <row r="83">
      <c r="C83" s="31"/>
      <c r="D83" s="31"/>
      <c r="F83" s="31"/>
      <c r="G83" s="31"/>
    </row>
    <row r="84">
      <c r="C84" s="31"/>
      <c r="D84" s="31"/>
      <c r="F84" s="31"/>
      <c r="G84" s="31"/>
    </row>
    <row r="85">
      <c r="C85" s="31"/>
      <c r="D85" s="31"/>
      <c r="F85" s="31"/>
      <c r="G85" s="31"/>
    </row>
    <row r="86">
      <c r="C86" s="31"/>
      <c r="D86" s="31"/>
      <c r="F86" s="31"/>
      <c r="G86" s="31"/>
    </row>
    <row r="87">
      <c r="C87" s="31"/>
      <c r="D87" s="31"/>
      <c r="F87" s="31"/>
      <c r="G87" s="31"/>
    </row>
    <row r="88">
      <c r="C88" s="31"/>
      <c r="D88" s="31"/>
      <c r="F88" s="31"/>
      <c r="G88" s="31"/>
    </row>
    <row r="89">
      <c r="C89" s="31"/>
      <c r="D89" s="31"/>
      <c r="F89" s="31"/>
      <c r="G89" s="31"/>
    </row>
    <row r="90">
      <c r="C90" s="31"/>
      <c r="D90" s="31"/>
      <c r="F90" s="31"/>
      <c r="G90" s="31"/>
    </row>
    <row r="91">
      <c r="C91" s="31"/>
      <c r="D91" s="31"/>
      <c r="F91" s="31"/>
      <c r="G91" s="31"/>
    </row>
    <row r="92">
      <c r="C92" s="31"/>
      <c r="D92" s="31"/>
      <c r="F92" s="31"/>
      <c r="G92" s="31"/>
    </row>
    <row r="93">
      <c r="C93" s="31"/>
      <c r="D93" s="31"/>
      <c r="F93" s="31"/>
      <c r="G93" s="31"/>
    </row>
    <row r="94">
      <c r="C94" s="31"/>
      <c r="D94" s="31"/>
      <c r="F94" s="31"/>
      <c r="G94" s="31"/>
    </row>
    <row r="95">
      <c r="C95" s="31"/>
      <c r="D95" s="31"/>
      <c r="F95" s="31"/>
      <c r="G95" s="31"/>
    </row>
    <row r="96">
      <c r="C96" s="31"/>
      <c r="D96" s="31"/>
      <c r="F96" s="31"/>
      <c r="G96" s="31"/>
    </row>
    <row r="97">
      <c r="C97" s="31"/>
      <c r="D97" s="31"/>
      <c r="F97" s="31"/>
      <c r="G97" s="31"/>
    </row>
    <row r="98">
      <c r="C98" s="31"/>
      <c r="D98" s="31"/>
      <c r="F98" s="31"/>
      <c r="G98" s="31"/>
    </row>
    <row r="99">
      <c r="C99" s="31"/>
      <c r="D99" s="31"/>
      <c r="F99" s="31"/>
      <c r="G99" s="31"/>
    </row>
    <row r="100">
      <c r="C100" s="31"/>
      <c r="D100" s="31"/>
      <c r="F100" s="31"/>
      <c r="G100" s="31"/>
    </row>
    <row r="101">
      <c r="C101" s="31"/>
      <c r="D101" s="31"/>
      <c r="F101" s="31"/>
      <c r="G101" s="31"/>
    </row>
    <row r="102">
      <c r="C102" s="31"/>
      <c r="D102" s="31"/>
      <c r="F102" s="31"/>
      <c r="G102" s="31"/>
    </row>
    <row r="103">
      <c r="C103" s="31"/>
      <c r="D103" s="31"/>
      <c r="F103" s="31"/>
      <c r="G103" s="31"/>
    </row>
    <row r="104">
      <c r="C104" s="31"/>
      <c r="D104" s="31"/>
      <c r="F104" s="31"/>
      <c r="G104" s="31"/>
    </row>
    <row r="105">
      <c r="C105" s="31"/>
      <c r="D105" s="31"/>
      <c r="F105" s="31"/>
      <c r="G105" s="31"/>
    </row>
    <row r="106">
      <c r="C106" s="31"/>
      <c r="D106" s="31"/>
      <c r="F106" s="31"/>
      <c r="G106" s="31"/>
    </row>
    <row r="107">
      <c r="C107" s="31"/>
      <c r="D107" s="31"/>
      <c r="F107" s="31"/>
      <c r="G107" s="31"/>
    </row>
    <row r="108">
      <c r="C108" s="31"/>
      <c r="D108" s="31"/>
      <c r="F108" s="31"/>
      <c r="G108" s="31"/>
    </row>
    <row r="109">
      <c r="C109" s="31"/>
      <c r="D109" s="31"/>
      <c r="F109" s="31"/>
      <c r="G109" s="31"/>
    </row>
    <row r="110">
      <c r="C110" s="31"/>
      <c r="D110" s="31"/>
      <c r="F110" s="31"/>
      <c r="G110" s="31"/>
    </row>
    <row r="111">
      <c r="C111" s="31"/>
      <c r="D111" s="31"/>
      <c r="F111" s="31"/>
      <c r="G111" s="31"/>
    </row>
    <row r="112">
      <c r="C112" s="31"/>
      <c r="D112" s="31"/>
      <c r="F112" s="31"/>
      <c r="G112" s="31"/>
    </row>
    <row r="113">
      <c r="C113" s="31"/>
      <c r="D113" s="31"/>
      <c r="F113" s="31"/>
      <c r="G113" s="31"/>
    </row>
    <row r="114">
      <c r="C114" s="31"/>
      <c r="D114" s="31"/>
      <c r="F114" s="31"/>
      <c r="G114" s="31"/>
    </row>
    <row r="115">
      <c r="C115" s="31"/>
      <c r="D115" s="31"/>
      <c r="F115" s="31"/>
      <c r="G115" s="31"/>
    </row>
    <row r="116">
      <c r="C116" s="31"/>
      <c r="D116" s="31"/>
      <c r="F116" s="31"/>
      <c r="G116" s="31"/>
    </row>
    <row r="117">
      <c r="C117" s="31"/>
      <c r="D117" s="31"/>
      <c r="F117" s="31"/>
      <c r="G117" s="31"/>
    </row>
    <row r="118">
      <c r="C118" s="31"/>
      <c r="D118" s="31"/>
      <c r="F118" s="31"/>
      <c r="G118" s="31"/>
    </row>
    <row r="119">
      <c r="C119" s="31"/>
      <c r="D119" s="31"/>
      <c r="F119" s="31"/>
      <c r="G119" s="31"/>
    </row>
    <row r="120">
      <c r="C120" s="31"/>
      <c r="D120" s="31"/>
      <c r="F120" s="31"/>
      <c r="G120" s="31"/>
    </row>
    <row r="121">
      <c r="C121" s="31"/>
      <c r="D121" s="31"/>
      <c r="F121" s="31"/>
      <c r="G121" s="31"/>
    </row>
    <row r="122">
      <c r="C122" s="31"/>
      <c r="D122" s="31"/>
      <c r="F122" s="31"/>
      <c r="G122" s="31"/>
    </row>
    <row r="123">
      <c r="C123" s="31"/>
      <c r="D123" s="31"/>
      <c r="F123" s="31"/>
      <c r="G123" s="31"/>
    </row>
    <row r="124">
      <c r="C124" s="31"/>
      <c r="D124" s="31"/>
      <c r="F124" s="31"/>
      <c r="G124" s="31"/>
    </row>
    <row r="125">
      <c r="C125" s="31"/>
      <c r="D125" s="31"/>
      <c r="F125" s="31"/>
      <c r="G125" s="31"/>
    </row>
    <row r="126">
      <c r="C126" s="31"/>
      <c r="D126" s="31"/>
      <c r="F126" s="31"/>
      <c r="G126" s="31"/>
    </row>
    <row r="127">
      <c r="C127" s="31"/>
      <c r="D127" s="31"/>
      <c r="F127" s="31"/>
      <c r="G127" s="31"/>
    </row>
    <row r="128">
      <c r="C128" s="31"/>
      <c r="D128" s="31"/>
      <c r="F128" s="31"/>
      <c r="G128" s="31"/>
    </row>
    <row r="129">
      <c r="C129" s="31"/>
      <c r="D129" s="31"/>
      <c r="F129" s="31"/>
      <c r="G129" s="31"/>
    </row>
    <row r="130">
      <c r="C130" s="31"/>
      <c r="D130" s="31"/>
      <c r="F130" s="31"/>
      <c r="G130" s="31"/>
    </row>
    <row r="131">
      <c r="C131" s="31"/>
      <c r="D131" s="31"/>
      <c r="F131" s="31"/>
      <c r="G131" s="31"/>
    </row>
    <row r="132">
      <c r="C132" s="31"/>
      <c r="D132" s="31"/>
      <c r="F132" s="31"/>
      <c r="G132" s="31"/>
    </row>
    <row r="133">
      <c r="C133" s="31"/>
      <c r="D133" s="31"/>
      <c r="F133" s="31"/>
      <c r="G133" s="31"/>
    </row>
    <row r="134">
      <c r="C134" s="31"/>
      <c r="D134" s="31"/>
      <c r="F134" s="31"/>
      <c r="G134" s="31"/>
    </row>
    <row r="135">
      <c r="C135" s="31"/>
      <c r="D135" s="31"/>
      <c r="F135" s="31"/>
      <c r="G135" s="31"/>
    </row>
    <row r="136">
      <c r="C136" s="31"/>
      <c r="D136" s="31"/>
      <c r="F136" s="31"/>
      <c r="G136" s="31"/>
    </row>
    <row r="137">
      <c r="C137" s="31"/>
      <c r="D137" s="31"/>
      <c r="F137" s="31"/>
      <c r="G137" s="31"/>
    </row>
    <row r="138">
      <c r="C138" s="31"/>
      <c r="D138" s="31"/>
      <c r="F138" s="31"/>
      <c r="G138" s="31"/>
    </row>
    <row r="139">
      <c r="C139" s="31"/>
      <c r="D139" s="31"/>
      <c r="F139" s="31"/>
      <c r="G139" s="31"/>
    </row>
    <row r="140">
      <c r="C140" s="31"/>
      <c r="D140" s="31"/>
      <c r="F140" s="31"/>
      <c r="G140" s="31"/>
    </row>
    <row r="141">
      <c r="C141" s="31"/>
      <c r="D141" s="31"/>
      <c r="F141" s="31"/>
      <c r="G141" s="31"/>
    </row>
    <row r="142">
      <c r="C142" s="31"/>
      <c r="D142" s="31"/>
      <c r="F142" s="31"/>
      <c r="G142" s="31"/>
    </row>
    <row r="143">
      <c r="C143" s="31"/>
      <c r="D143" s="31"/>
      <c r="F143" s="31"/>
      <c r="G143" s="31"/>
    </row>
    <row r="144">
      <c r="C144" s="31"/>
      <c r="D144" s="31"/>
      <c r="F144" s="31"/>
      <c r="G144" s="31"/>
    </row>
    <row r="145">
      <c r="C145" s="31"/>
      <c r="D145" s="31"/>
      <c r="F145" s="31"/>
      <c r="G145" s="31"/>
    </row>
    <row r="146">
      <c r="C146" s="31"/>
      <c r="D146" s="31"/>
      <c r="F146" s="31"/>
      <c r="G146" s="31"/>
    </row>
    <row r="147">
      <c r="C147" s="31"/>
      <c r="D147" s="31"/>
      <c r="F147" s="31"/>
      <c r="G147" s="31"/>
    </row>
    <row r="148">
      <c r="C148" s="31"/>
      <c r="D148" s="31"/>
      <c r="F148" s="31"/>
      <c r="G148" s="31"/>
    </row>
    <row r="149">
      <c r="C149" s="31"/>
      <c r="D149" s="31"/>
      <c r="F149" s="31"/>
      <c r="G149" s="31"/>
    </row>
    <row r="150">
      <c r="C150" s="31"/>
      <c r="D150" s="31"/>
      <c r="F150" s="31"/>
      <c r="G150" s="31"/>
    </row>
    <row r="151">
      <c r="C151" s="31"/>
      <c r="D151" s="31"/>
      <c r="F151" s="31"/>
      <c r="G151" s="31"/>
    </row>
    <row r="152">
      <c r="C152" s="31"/>
      <c r="D152" s="31"/>
      <c r="F152" s="31"/>
      <c r="G152" s="31"/>
    </row>
    <row r="153">
      <c r="C153" s="31"/>
      <c r="D153" s="31"/>
      <c r="F153" s="31"/>
      <c r="G153" s="31"/>
    </row>
    <row r="154">
      <c r="C154" s="31"/>
      <c r="D154" s="31"/>
      <c r="F154" s="31"/>
      <c r="G154" s="31"/>
    </row>
    <row r="155">
      <c r="C155" s="31"/>
      <c r="D155" s="31"/>
      <c r="F155" s="31"/>
      <c r="G155" s="31"/>
    </row>
    <row r="156">
      <c r="C156" s="31"/>
      <c r="D156" s="31"/>
      <c r="F156" s="31"/>
      <c r="G156" s="31"/>
    </row>
    <row r="157">
      <c r="C157" s="31"/>
      <c r="D157" s="31"/>
      <c r="F157" s="31"/>
      <c r="G157" s="31"/>
    </row>
    <row r="158">
      <c r="C158" s="31"/>
      <c r="D158" s="31"/>
      <c r="F158" s="31"/>
      <c r="G158" s="31"/>
    </row>
    <row r="159">
      <c r="C159" s="31"/>
      <c r="D159" s="31"/>
      <c r="F159" s="31"/>
      <c r="G159" s="31"/>
    </row>
    <row r="160">
      <c r="C160" s="31"/>
      <c r="D160" s="31"/>
      <c r="F160" s="31"/>
      <c r="G160" s="31"/>
    </row>
    <row r="161">
      <c r="C161" s="31"/>
      <c r="D161" s="31"/>
      <c r="F161" s="31"/>
      <c r="G161" s="31"/>
    </row>
    <row r="162">
      <c r="C162" s="31"/>
      <c r="D162" s="31"/>
      <c r="F162" s="31"/>
      <c r="G162" s="31"/>
    </row>
    <row r="163">
      <c r="C163" s="31"/>
      <c r="D163" s="31"/>
      <c r="F163" s="31"/>
      <c r="G163" s="31"/>
    </row>
    <row r="164">
      <c r="C164" s="31"/>
      <c r="D164" s="31"/>
      <c r="F164" s="31"/>
      <c r="G164" s="31"/>
    </row>
    <row r="165">
      <c r="C165" s="31"/>
      <c r="D165" s="31"/>
      <c r="F165" s="31"/>
      <c r="G165" s="31"/>
    </row>
    <row r="166">
      <c r="C166" s="31"/>
      <c r="D166" s="31"/>
      <c r="F166" s="31"/>
      <c r="G166" s="31"/>
    </row>
    <row r="167">
      <c r="C167" s="31"/>
      <c r="D167" s="31"/>
      <c r="F167" s="31"/>
      <c r="G167" s="31"/>
    </row>
    <row r="168">
      <c r="C168" s="31"/>
      <c r="D168" s="31"/>
      <c r="F168" s="31"/>
      <c r="G168" s="31"/>
    </row>
    <row r="169">
      <c r="C169" s="31"/>
      <c r="D169" s="31"/>
      <c r="F169" s="31"/>
      <c r="G169" s="31"/>
    </row>
    <row r="170">
      <c r="C170" s="31"/>
      <c r="D170" s="31"/>
      <c r="F170" s="31"/>
      <c r="G170" s="31"/>
    </row>
    <row r="171">
      <c r="C171" s="31"/>
      <c r="D171" s="31"/>
      <c r="F171" s="31"/>
      <c r="G171" s="31"/>
    </row>
    <row r="172">
      <c r="C172" s="31"/>
      <c r="D172" s="31"/>
      <c r="F172" s="31"/>
      <c r="G172" s="31"/>
    </row>
    <row r="173">
      <c r="C173" s="31"/>
      <c r="D173" s="31"/>
      <c r="F173" s="31"/>
      <c r="G173" s="31"/>
    </row>
    <row r="174">
      <c r="C174" s="31"/>
      <c r="D174" s="31"/>
      <c r="F174" s="31"/>
      <c r="G174" s="31"/>
    </row>
    <row r="175">
      <c r="C175" s="31"/>
      <c r="D175" s="31"/>
      <c r="F175" s="31"/>
      <c r="G175" s="31"/>
    </row>
    <row r="176">
      <c r="C176" s="31"/>
      <c r="D176" s="31"/>
      <c r="F176" s="31"/>
      <c r="G176" s="31"/>
    </row>
    <row r="177">
      <c r="C177" s="31"/>
      <c r="D177" s="31"/>
      <c r="F177" s="31"/>
      <c r="G177" s="31"/>
    </row>
    <row r="178">
      <c r="C178" s="31"/>
      <c r="D178" s="31"/>
      <c r="F178" s="31"/>
      <c r="G178" s="31"/>
    </row>
    <row r="179">
      <c r="C179" s="31"/>
      <c r="D179" s="31"/>
      <c r="F179" s="31"/>
      <c r="G179" s="31"/>
    </row>
    <row r="180">
      <c r="C180" s="31"/>
      <c r="D180" s="31"/>
      <c r="F180" s="31"/>
      <c r="G180" s="31"/>
    </row>
    <row r="181">
      <c r="C181" s="31"/>
      <c r="D181" s="31"/>
      <c r="F181" s="31"/>
      <c r="G181" s="31"/>
    </row>
    <row r="182">
      <c r="C182" s="31"/>
      <c r="D182" s="31"/>
      <c r="F182" s="31"/>
      <c r="G182" s="31"/>
    </row>
    <row r="183">
      <c r="C183" s="31"/>
      <c r="D183" s="31"/>
      <c r="F183" s="31"/>
      <c r="G183" s="31"/>
    </row>
    <row r="184">
      <c r="C184" s="31"/>
      <c r="D184" s="31"/>
      <c r="F184" s="31"/>
      <c r="G184" s="31"/>
    </row>
    <row r="185">
      <c r="C185" s="31"/>
      <c r="D185" s="31"/>
      <c r="F185" s="31"/>
      <c r="G185" s="31"/>
    </row>
    <row r="186">
      <c r="C186" s="31"/>
      <c r="D186" s="31"/>
      <c r="F186" s="31"/>
      <c r="G186" s="31"/>
    </row>
    <row r="187">
      <c r="C187" s="31"/>
      <c r="D187" s="31"/>
      <c r="F187" s="31"/>
      <c r="G187" s="31"/>
    </row>
    <row r="188">
      <c r="C188" s="31"/>
      <c r="D188" s="31"/>
      <c r="F188" s="31"/>
      <c r="G188" s="31"/>
    </row>
    <row r="189">
      <c r="C189" s="31"/>
      <c r="D189" s="31"/>
      <c r="F189" s="31"/>
      <c r="G189" s="31"/>
    </row>
    <row r="190">
      <c r="C190" s="31"/>
      <c r="D190" s="31"/>
      <c r="F190" s="31"/>
      <c r="G190" s="31"/>
    </row>
    <row r="191">
      <c r="C191" s="31"/>
      <c r="D191" s="31"/>
      <c r="F191" s="31"/>
      <c r="G191" s="31"/>
    </row>
    <row r="192">
      <c r="C192" s="31"/>
      <c r="D192" s="31"/>
      <c r="F192" s="31"/>
      <c r="G192" s="31"/>
    </row>
    <row r="193">
      <c r="C193" s="31"/>
      <c r="D193" s="31"/>
      <c r="F193" s="31"/>
      <c r="G193" s="31"/>
    </row>
    <row r="194">
      <c r="C194" s="31"/>
      <c r="D194" s="31"/>
      <c r="F194" s="31"/>
      <c r="G194" s="31"/>
    </row>
    <row r="195">
      <c r="C195" s="31"/>
      <c r="D195" s="31"/>
      <c r="F195" s="31"/>
      <c r="G195" s="31"/>
    </row>
    <row r="196">
      <c r="C196" s="31"/>
      <c r="D196" s="31"/>
      <c r="F196" s="31"/>
      <c r="G196" s="31"/>
    </row>
    <row r="197">
      <c r="C197" s="31"/>
      <c r="D197" s="31"/>
      <c r="F197" s="31"/>
      <c r="G197" s="31"/>
    </row>
    <row r="198">
      <c r="C198" s="31"/>
      <c r="D198" s="31"/>
      <c r="F198" s="31"/>
      <c r="G198" s="31"/>
    </row>
    <row r="199">
      <c r="C199" s="31"/>
      <c r="D199" s="31"/>
      <c r="F199" s="31"/>
      <c r="G199" s="31"/>
    </row>
    <row r="200">
      <c r="C200" s="31"/>
      <c r="D200" s="31"/>
      <c r="F200" s="31"/>
      <c r="G200" s="31"/>
    </row>
    <row r="201">
      <c r="C201" s="31"/>
      <c r="D201" s="31"/>
      <c r="F201" s="31"/>
      <c r="G201" s="31"/>
    </row>
    <row r="202">
      <c r="C202" s="31"/>
      <c r="D202" s="31"/>
      <c r="F202" s="31"/>
      <c r="G202" s="31"/>
    </row>
    <row r="203">
      <c r="C203" s="31"/>
      <c r="D203" s="31"/>
      <c r="F203" s="31"/>
      <c r="G203" s="31"/>
    </row>
    <row r="204">
      <c r="C204" s="31"/>
      <c r="D204" s="31"/>
      <c r="F204" s="31"/>
      <c r="G204" s="31"/>
    </row>
    <row r="205">
      <c r="C205" s="31"/>
      <c r="D205" s="31"/>
      <c r="F205" s="31"/>
      <c r="G205" s="31"/>
    </row>
    <row r="206">
      <c r="C206" s="31"/>
      <c r="D206" s="31"/>
      <c r="F206" s="31"/>
      <c r="G206" s="31"/>
    </row>
    <row r="207">
      <c r="C207" s="31"/>
      <c r="D207" s="31"/>
      <c r="F207" s="31"/>
      <c r="G207" s="31"/>
    </row>
    <row r="208">
      <c r="C208" s="31"/>
      <c r="D208" s="31"/>
      <c r="F208" s="31"/>
      <c r="G208" s="31"/>
    </row>
    <row r="209">
      <c r="C209" s="31"/>
      <c r="D209" s="31"/>
      <c r="F209" s="31"/>
      <c r="G209" s="31"/>
    </row>
    <row r="210">
      <c r="C210" s="31"/>
      <c r="D210" s="31"/>
      <c r="F210" s="31"/>
      <c r="G210" s="31"/>
    </row>
    <row r="211">
      <c r="C211" s="31"/>
      <c r="D211" s="31"/>
      <c r="F211" s="31"/>
      <c r="G211" s="31"/>
    </row>
    <row r="212">
      <c r="C212" s="31"/>
      <c r="D212" s="31"/>
      <c r="F212" s="31"/>
      <c r="G212" s="31"/>
    </row>
    <row r="213">
      <c r="C213" s="31"/>
      <c r="D213" s="31"/>
      <c r="F213" s="31"/>
      <c r="G213" s="31"/>
    </row>
    <row r="214">
      <c r="C214" s="31"/>
      <c r="D214" s="31"/>
      <c r="F214" s="31"/>
      <c r="G214" s="31"/>
    </row>
    <row r="215">
      <c r="C215" s="31"/>
      <c r="D215" s="31"/>
      <c r="F215" s="31"/>
      <c r="G215" s="31"/>
    </row>
    <row r="216">
      <c r="C216" s="31"/>
      <c r="D216" s="31"/>
      <c r="F216" s="31"/>
      <c r="G216" s="31"/>
    </row>
    <row r="217">
      <c r="C217" s="31"/>
      <c r="D217" s="31"/>
      <c r="F217" s="31"/>
      <c r="G217" s="31"/>
    </row>
    <row r="218">
      <c r="C218" s="31"/>
      <c r="D218" s="31"/>
      <c r="F218" s="31"/>
      <c r="G218" s="31"/>
    </row>
    <row r="219">
      <c r="C219" s="31"/>
      <c r="D219" s="31"/>
      <c r="F219" s="31"/>
      <c r="G219" s="31"/>
    </row>
    <row r="220">
      <c r="C220" s="31"/>
      <c r="D220" s="31"/>
      <c r="F220" s="31"/>
      <c r="G220" s="31"/>
    </row>
    <row r="221">
      <c r="C221" s="31"/>
      <c r="D221" s="31"/>
      <c r="F221" s="31"/>
      <c r="G221" s="31"/>
    </row>
    <row r="222">
      <c r="C222" s="31"/>
      <c r="D222" s="31"/>
      <c r="F222" s="31"/>
      <c r="G222" s="31"/>
    </row>
    <row r="223">
      <c r="C223" s="31"/>
      <c r="D223" s="31"/>
      <c r="F223" s="31"/>
      <c r="G223" s="31"/>
    </row>
    <row r="224">
      <c r="C224" s="31"/>
      <c r="D224" s="31"/>
      <c r="F224" s="31"/>
      <c r="G224" s="31"/>
    </row>
    <row r="225">
      <c r="C225" s="31"/>
      <c r="D225" s="31"/>
      <c r="F225" s="31"/>
      <c r="G225" s="31"/>
    </row>
    <row r="226">
      <c r="C226" s="31"/>
      <c r="D226" s="31"/>
      <c r="F226" s="31"/>
      <c r="G226" s="31"/>
    </row>
    <row r="227">
      <c r="C227" s="31"/>
      <c r="D227" s="31"/>
      <c r="F227" s="31"/>
      <c r="G227" s="31"/>
    </row>
    <row r="228">
      <c r="C228" s="31"/>
      <c r="D228" s="31"/>
      <c r="F228" s="31"/>
      <c r="G228" s="31"/>
    </row>
    <row r="229">
      <c r="C229" s="31"/>
      <c r="D229" s="31"/>
      <c r="F229" s="31"/>
      <c r="G229" s="31"/>
    </row>
    <row r="230">
      <c r="C230" s="31"/>
      <c r="D230" s="31"/>
      <c r="F230" s="31"/>
      <c r="G230" s="31"/>
    </row>
    <row r="231">
      <c r="C231" s="31"/>
      <c r="D231" s="31"/>
      <c r="F231" s="31"/>
      <c r="G231" s="31"/>
    </row>
    <row r="232">
      <c r="C232" s="31"/>
      <c r="D232" s="31"/>
      <c r="F232" s="31"/>
      <c r="G232" s="31"/>
    </row>
    <row r="233">
      <c r="C233" s="31"/>
      <c r="D233" s="31"/>
      <c r="F233" s="31"/>
      <c r="G233" s="31"/>
    </row>
    <row r="234">
      <c r="C234" s="31"/>
      <c r="D234" s="31"/>
      <c r="F234" s="31"/>
      <c r="G234" s="31"/>
    </row>
    <row r="235">
      <c r="C235" s="31"/>
      <c r="D235" s="31"/>
      <c r="F235" s="31"/>
      <c r="G235" s="31"/>
    </row>
    <row r="236">
      <c r="C236" s="31"/>
      <c r="D236" s="31"/>
      <c r="F236" s="31"/>
      <c r="G236" s="31"/>
    </row>
    <row r="237">
      <c r="C237" s="31"/>
      <c r="D237" s="31"/>
      <c r="F237" s="31"/>
      <c r="G237" s="31"/>
    </row>
    <row r="238">
      <c r="C238" s="31"/>
      <c r="D238" s="31"/>
      <c r="F238" s="31"/>
      <c r="G238" s="31"/>
    </row>
    <row r="239">
      <c r="C239" s="31"/>
      <c r="D239" s="31"/>
      <c r="F239" s="31"/>
      <c r="G239" s="31"/>
    </row>
    <row r="240">
      <c r="C240" s="31"/>
      <c r="D240" s="31"/>
      <c r="F240" s="31"/>
      <c r="G240" s="31"/>
    </row>
    <row r="241">
      <c r="C241" s="31"/>
      <c r="D241" s="31"/>
      <c r="F241" s="31"/>
      <c r="G241" s="31"/>
    </row>
    <row r="242">
      <c r="C242" s="31"/>
      <c r="D242" s="31"/>
      <c r="F242" s="31"/>
      <c r="G242" s="31"/>
    </row>
    <row r="243">
      <c r="C243" s="31"/>
      <c r="D243" s="31"/>
      <c r="F243" s="31"/>
      <c r="G243" s="31"/>
    </row>
    <row r="244">
      <c r="C244" s="31"/>
      <c r="D244" s="31"/>
      <c r="F244" s="31"/>
      <c r="G244" s="31"/>
    </row>
    <row r="245">
      <c r="C245" s="31"/>
      <c r="D245" s="31"/>
      <c r="F245" s="31"/>
      <c r="G245" s="31"/>
    </row>
    <row r="246">
      <c r="C246" s="31"/>
      <c r="D246" s="31"/>
      <c r="F246" s="31"/>
      <c r="G246" s="31"/>
    </row>
    <row r="247">
      <c r="C247" s="31"/>
      <c r="D247" s="31"/>
      <c r="F247" s="31"/>
      <c r="G247" s="31"/>
    </row>
    <row r="248">
      <c r="C248" s="31"/>
      <c r="D248" s="31"/>
      <c r="F248" s="31"/>
      <c r="G248" s="31"/>
    </row>
    <row r="249">
      <c r="C249" s="31"/>
      <c r="D249" s="31"/>
      <c r="F249" s="31"/>
      <c r="G249" s="31"/>
    </row>
    <row r="250">
      <c r="C250" s="31"/>
      <c r="D250" s="31"/>
      <c r="F250" s="31"/>
      <c r="G250" s="31"/>
    </row>
    <row r="251">
      <c r="C251" s="31"/>
      <c r="D251" s="31"/>
      <c r="F251" s="31"/>
      <c r="G251" s="31"/>
    </row>
    <row r="252">
      <c r="C252" s="31"/>
      <c r="D252" s="31"/>
      <c r="F252" s="31"/>
      <c r="G252" s="31"/>
    </row>
    <row r="253">
      <c r="C253" s="31"/>
      <c r="D253" s="31"/>
      <c r="F253" s="31"/>
      <c r="G253" s="31"/>
    </row>
    <row r="254">
      <c r="C254" s="31"/>
      <c r="D254" s="31"/>
      <c r="F254" s="31"/>
      <c r="G254" s="31"/>
    </row>
    <row r="255">
      <c r="C255" s="31"/>
      <c r="D255" s="31"/>
      <c r="F255" s="31"/>
      <c r="G255" s="31"/>
    </row>
    <row r="256">
      <c r="C256" s="31"/>
      <c r="D256" s="31"/>
      <c r="F256" s="31"/>
      <c r="G256" s="31"/>
    </row>
    <row r="257">
      <c r="C257" s="31"/>
      <c r="D257" s="31"/>
      <c r="F257" s="31"/>
      <c r="G257" s="31"/>
    </row>
    <row r="258">
      <c r="C258" s="31"/>
      <c r="D258" s="31"/>
      <c r="F258" s="31"/>
      <c r="G258" s="31"/>
    </row>
    <row r="259">
      <c r="C259" s="31"/>
      <c r="D259" s="31"/>
      <c r="F259" s="31"/>
      <c r="G259" s="31"/>
    </row>
    <row r="260">
      <c r="C260" s="31"/>
      <c r="D260" s="31"/>
      <c r="F260" s="31"/>
      <c r="G260" s="31"/>
    </row>
    <row r="261">
      <c r="C261" s="31"/>
      <c r="D261" s="31"/>
      <c r="F261" s="31"/>
      <c r="G261" s="31"/>
    </row>
    <row r="262">
      <c r="C262" s="31"/>
      <c r="D262" s="31"/>
      <c r="F262" s="31"/>
      <c r="G262" s="31"/>
    </row>
    <row r="263">
      <c r="C263" s="31"/>
      <c r="D263" s="31"/>
      <c r="F263" s="31"/>
      <c r="G263" s="31"/>
    </row>
    <row r="264">
      <c r="C264" s="31"/>
      <c r="D264" s="31"/>
      <c r="F264" s="31"/>
      <c r="G264" s="31"/>
    </row>
    <row r="265">
      <c r="C265" s="31"/>
      <c r="D265" s="31"/>
      <c r="F265" s="31"/>
      <c r="G265" s="31"/>
    </row>
    <row r="266">
      <c r="C266" s="31"/>
      <c r="D266" s="31"/>
      <c r="F266" s="31"/>
      <c r="G266" s="31"/>
    </row>
    <row r="267">
      <c r="C267" s="31"/>
      <c r="D267" s="31"/>
      <c r="F267" s="31"/>
      <c r="G267" s="31"/>
    </row>
    <row r="268">
      <c r="C268" s="31"/>
      <c r="D268" s="31"/>
      <c r="F268" s="31"/>
      <c r="G268" s="31"/>
    </row>
    <row r="269">
      <c r="C269" s="31"/>
      <c r="D269" s="31"/>
      <c r="F269" s="31"/>
      <c r="G269" s="31"/>
    </row>
    <row r="270">
      <c r="C270" s="31"/>
      <c r="D270" s="31"/>
      <c r="F270" s="31"/>
      <c r="G270" s="31"/>
    </row>
    <row r="271">
      <c r="C271" s="31"/>
      <c r="D271" s="31"/>
      <c r="F271" s="31"/>
      <c r="G271" s="31"/>
    </row>
    <row r="272">
      <c r="C272" s="31"/>
      <c r="D272" s="31"/>
      <c r="F272" s="31"/>
      <c r="G272" s="31"/>
    </row>
    <row r="273">
      <c r="C273" s="31"/>
      <c r="D273" s="31"/>
      <c r="F273" s="31"/>
      <c r="G273" s="31"/>
    </row>
    <row r="274">
      <c r="C274" s="31"/>
      <c r="D274" s="31"/>
      <c r="F274" s="31"/>
      <c r="G274" s="31"/>
    </row>
    <row r="275">
      <c r="C275" s="31"/>
      <c r="D275" s="31"/>
      <c r="F275" s="31"/>
      <c r="G275" s="31"/>
    </row>
    <row r="276">
      <c r="C276" s="31"/>
      <c r="D276" s="31"/>
      <c r="F276" s="31"/>
      <c r="G276" s="31"/>
    </row>
    <row r="277">
      <c r="C277" s="31"/>
      <c r="D277" s="31"/>
      <c r="F277" s="31"/>
      <c r="G277" s="31"/>
    </row>
    <row r="278">
      <c r="C278" s="31"/>
      <c r="D278" s="31"/>
      <c r="F278" s="31"/>
      <c r="G278" s="31"/>
    </row>
    <row r="279">
      <c r="C279" s="31"/>
      <c r="D279" s="31"/>
      <c r="F279" s="31"/>
      <c r="G279" s="31"/>
    </row>
    <row r="280">
      <c r="C280" s="31"/>
      <c r="D280" s="31"/>
      <c r="F280" s="31"/>
      <c r="G280" s="31"/>
    </row>
    <row r="281">
      <c r="C281" s="31"/>
      <c r="D281" s="31"/>
      <c r="F281" s="31"/>
      <c r="G281" s="31"/>
    </row>
    <row r="282">
      <c r="C282" s="31"/>
      <c r="D282" s="31"/>
      <c r="F282" s="31"/>
      <c r="G282" s="31"/>
    </row>
    <row r="283">
      <c r="C283" s="31"/>
      <c r="D283" s="31"/>
      <c r="F283" s="31"/>
      <c r="G283" s="31"/>
    </row>
    <row r="284">
      <c r="C284" s="31"/>
      <c r="D284" s="31"/>
      <c r="F284" s="31"/>
      <c r="G284" s="31"/>
    </row>
    <row r="285">
      <c r="C285" s="31"/>
      <c r="D285" s="31"/>
      <c r="F285" s="31"/>
      <c r="G285" s="31"/>
    </row>
    <row r="286">
      <c r="C286" s="31"/>
      <c r="D286" s="31"/>
      <c r="F286" s="31"/>
      <c r="G286" s="31"/>
    </row>
    <row r="287">
      <c r="C287" s="31"/>
      <c r="D287" s="31"/>
      <c r="F287" s="31"/>
      <c r="G287" s="31"/>
    </row>
    <row r="288">
      <c r="C288" s="31"/>
      <c r="D288" s="31"/>
      <c r="F288" s="31"/>
      <c r="G288" s="31"/>
    </row>
    <row r="289">
      <c r="C289" s="31"/>
      <c r="D289" s="31"/>
      <c r="F289" s="31"/>
      <c r="G289" s="31"/>
    </row>
    <row r="290">
      <c r="C290" s="31"/>
      <c r="D290" s="31"/>
      <c r="F290" s="31"/>
      <c r="G290" s="31"/>
    </row>
    <row r="291">
      <c r="C291" s="31"/>
      <c r="D291" s="31"/>
      <c r="F291" s="31"/>
      <c r="G291" s="31"/>
    </row>
    <row r="292">
      <c r="C292" s="31"/>
      <c r="D292" s="31"/>
      <c r="F292" s="31"/>
      <c r="G292" s="31"/>
    </row>
    <row r="293">
      <c r="C293" s="31"/>
      <c r="D293" s="31"/>
      <c r="F293" s="31"/>
      <c r="G293" s="31"/>
    </row>
    <row r="294">
      <c r="C294" s="31"/>
      <c r="D294" s="31"/>
      <c r="F294" s="31"/>
      <c r="G294" s="31"/>
    </row>
    <row r="295">
      <c r="C295" s="31"/>
      <c r="D295" s="31"/>
      <c r="F295" s="31"/>
      <c r="G295" s="31"/>
    </row>
    <row r="296">
      <c r="C296" s="31"/>
      <c r="D296" s="31"/>
      <c r="F296" s="31"/>
      <c r="G296" s="31"/>
    </row>
    <row r="297">
      <c r="C297" s="31"/>
      <c r="D297" s="31"/>
      <c r="F297" s="31"/>
      <c r="G297" s="31"/>
    </row>
    <row r="298">
      <c r="C298" s="31"/>
      <c r="D298" s="31"/>
      <c r="F298" s="31"/>
      <c r="G298" s="31"/>
    </row>
    <row r="299">
      <c r="C299" s="31"/>
      <c r="D299" s="31"/>
      <c r="F299" s="31"/>
      <c r="G299" s="31"/>
    </row>
    <row r="300">
      <c r="C300" s="31"/>
      <c r="D300" s="31"/>
      <c r="F300" s="31"/>
      <c r="G300" s="31"/>
    </row>
    <row r="301">
      <c r="C301" s="31"/>
      <c r="D301" s="31"/>
      <c r="F301" s="31"/>
      <c r="G301" s="31"/>
    </row>
    <row r="302">
      <c r="C302" s="31"/>
      <c r="D302" s="31"/>
      <c r="F302" s="31"/>
      <c r="G302" s="31"/>
    </row>
    <row r="303">
      <c r="C303" s="31"/>
      <c r="D303" s="31"/>
      <c r="F303" s="31"/>
      <c r="G303" s="31"/>
    </row>
    <row r="304">
      <c r="C304" s="31"/>
      <c r="D304" s="31"/>
      <c r="F304" s="31"/>
      <c r="G304" s="31"/>
    </row>
    <row r="305">
      <c r="C305" s="31"/>
      <c r="D305" s="31"/>
      <c r="F305" s="31"/>
      <c r="G305" s="31"/>
    </row>
    <row r="306">
      <c r="C306" s="31"/>
      <c r="D306" s="31"/>
      <c r="F306" s="31"/>
      <c r="G306" s="31"/>
    </row>
    <row r="307">
      <c r="C307" s="31"/>
      <c r="D307" s="31"/>
      <c r="F307" s="31"/>
      <c r="G307" s="31"/>
    </row>
    <row r="308">
      <c r="C308" s="31"/>
      <c r="D308" s="31"/>
      <c r="F308" s="31"/>
      <c r="G308" s="31"/>
    </row>
    <row r="309">
      <c r="C309" s="31"/>
      <c r="D309" s="31"/>
      <c r="F309" s="31"/>
      <c r="G309" s="31"/>
    </row>
    <row r="310">
      <c r="C310" s="31"/>
      <c r="D310" s="31"/>
      <c r="F310" s="31"/>
      <c r="G310" s="31"/>
    </row>
    <row r="311">
      <c r="C311" s="31"/>
      <c r="D311" s="31"/>
      <c r="F311" s="31"/>
      <c r="G311" s="31"/>
    </row>
    <row r="312">
      <c r="C312" s="31"/>
      <c r="D312" s="31"/>
      <c r="F312" s="31"/>
      <c r="G312" s="31"/>
    </row>
    <row r="313">
      <c r="C313" s="31"/>
      <c r="D313" s="31"/>
      <c r="F313" s="31"/>
      <c r="G313" s="31"/>
    </row>
    <row r="314">
      <c r="C314" s="31"/>
      <c r="D314" s="31"/>
      <c r="F314" s="31"/>
      <c r="G314" s="31"/>
    </row>
    <row r="315">
      <c r="C315" s="31"/>
      <c r="D315" s="31"/>
      <c r="F315" s="31"/>
      <c r="G315" s="31"/>
    </row>
    <row r="316">
      <c r="C316" s="31"/>
      <c r="D316" s="31"/>
      <c r="F316" s="31"/>
      <c r="G316" s="31"/>
    </row>
    <row r="317">
      <c r="C317" s="31"/>
      <c r="D317" s="31"/>
      <c r="F317" s="31"/>
      <c r="G317" s="31"/>
    </row>
    <row r="318">
      <c r="C318" s="31"/>
      <c r="D318" s="31"/>
      <c r="F318" s="31"/>
      <c r="G318" s="31"/>
    </row>
    <row r="319">
      <c r="C319" s="31"/>
      <c r="D319" s="31"/>
      <c r="F319" s="31"/>
      <c r="G319" s="31"/>
    </row>
    <row r="320">
      <c r="C320" s="31"/>
      <c r="D320" s="31"/>
      <c r="F320" s="31"/>
      <c r="G320" s="31"/>
    </row>
    <row r="321">
      <c r="C321" s="31"/>
      <c r="D321" s="31"/>
      <c r="F321" s="31"/>
      <c r="G321" s="31"/>
    </row>
    <row r="322">
      <c r="C322" s="31"/>
      <c r="D322" s="31"/>
      <c r="F322" s="31"/>
      <c r="G322" s="31"/>
    </row>
    <row r="323">
      <c r="C323" s="31"/>
      <c r="D323" s="31"/>
      <c r="F323" s="31"/>
      <c r="G323" s="31"/>
    </row>
    <row r="324">
      <c r="C324" s="31"/>
      <c r="D324" s="31"/>
      <c r="F324" s="31"/>
      <c r="G324" s="31"/>
    </row>
    <row r="325">
      <c r="C325" s="31"/>
      <c r="D325" s="31"/>
      <c r="F325" s="31"/>
      <c r="G325" s="31"/>
    </row>
    <row r="326">
      <c r="C326" s="31"/>
      <c r="D326" s="31"/>
      <c r="F326" s="31"/>
      <c r="G326" s="31"/>
    </row>
    <row r="327">
      <c r="C327" s="31"/>
      <c r="D327" s="31"/>
      <c r="F327" s="31"/>
      <c r="G327" s="31"/>
    </row>
    <row r="328">
      <c r="C328" s="31"/>
      <c r="D328" s="31"/>
      <c r="F328" s="31"/>
      <c r="G328" s="31"/>
    </row>
    <row r="329">
      <c r="C329" s="31"/>
      <c r="D329" s="31"/>
      <c r="F329" s="31"/>
      <c r="G329" s="31"/>
    </row>
    <row r="330">
      <c r="C330" s="31"/>
      <c r="D330" s="31"/>
      <c r="F330" s="31"/>
      <c r="G330" s="31"/>
    </row>
    <row r="331">
      <c r="C331" s="31"/>
      <c r="D331" s="31"/>
      <c r="F331" s="31"/>
      <c r="G331" s="31"/>
    </row>
    <row r="332">
      <c r="C332" s="31"/>
      <c r="D332" s="31"/>
      <c r="F332" s="31"/>
      <c r="G332" s="31"/>
    </row>
    <row r="333">
      <c r="C333" s="31"/>
      <c r="D333" s="31"/>
      <c r="F333" s="31"/>
      <c r="G333" s="31"/>
    </row>
    <row r="334">
      <c r="C334" s="31"/>
      <c r="D334" s="31"/>
      <c r="F334" s="31"/>
      <c r="G334" s="31"/>
    </row>
    <row r="335">
      <c r="C335" s="31"/>
      <c r="D335" s="31"/>
      <c r="F335" s="31"/>
      <c r="G335" s="31"/>
    </row>
    <row r="336">
      <c r="C336" s="31"/>
      <c r="D336" s="31"/>
      <c r="F336" s="31"/>
      <c r="G336" s="31"/>
    </row>
    <row r="337">
      <c r="C337" s="31"/>
      <c r="D337" s="31"/>
      <c r="F337" s="31"/>
      <c r="G337" s="31"/>
    </row>
    <row r="338">
      <c r="C338" s="31"/>
      <c r="D338" s="31"/>
      <c r="F338" s="31"/>
      <c r="G338" s="31"/>
    </row>
    <row r="339">
      <c r="C339" s="31"/>
      <c r="D339" s="31"/>
      <c r="F339" s="31"/>
      <c r="G339" s="31"/>
    </row>
    <row r="340">
      <c r="C340" s="31"/>
      <c r="D340" s="31"/>
      <c r="F340" s="31"/>
      <c r="G340" s="31"/>
    </row>
    <row r="341">
      <c r="C341" s="31"/>
      <c r="D341" s="31"/>
      <c r="F341" s="31"/>
      <c r="G341" s="31"/>
    </row>
    <row r="342">
      <c r="C342" s="31"/>
      <c r="D342" s="31"/>
      <c r="F342" s="31"/>
      <c r="G342" s="31"/>
    </row>
    <row r="343">
      <c r="C343" s="31"/>
      <c r="D343" s="31"/>
      <c r="F343" s="31"/>
      <c r="G343" s="31"/>
    </row>
    <row r="344">
      <c r="C344" s="31"/>
      <c r="D344" s="31"/>
      <c r="F344" s="31"/>
      <c r="G344" s="31"/>
    </row>
    <row r="345">
      <c r="C345" s="31"/>
      <c r="D345" s="31"/>
      <c r="F345" s="31"/>
      <c r="G345" s="31"/>
    </row>
    <row r="346">
      <c r="C346" s="31"/>
      <c r="D346" s="31"/>
      <c r="F346" s="31"/>
      <c r="G346" s="31"/>
    </row>
    <row r="347">
      <c r="C347" s="31"/>
      <c r="D347" s="31"/>
      <c r="F347" s="31"/>
      <c r="G347" s="31"/>
    </row>
    <row r="348">
      <c r="C348" s="31"/>
      <c r="D348" s="31"/>
      <c r="F348" s="31"/>
      <c r="G348" s="31"/>
    </row>
    <row r="349">
      <c r="C349" s="31"/>
      <c r="D349" s="31"/>
      <c r="F349" s="31"/>
      <c r="G349" s="31"/>
    </row>
    <row r="350">
      <c r="C350" s="31"/>
      <c r="D350" s="31"/>
      <c r="F350" s="31"/>
      <c r="G350" s="31"/>
    </row>
    <row r="351">
      <c r="C351" s="31"/>
      <c r="D351" s="31"/>
      <c r="F351" s="31"/>
      <c r="G351" s="31"/>
    </row>
    <row r="352">
      <c r="C352" s="31"/>
      <c r="D352" s="31"/>
      <c r="F352" s="31"/>
      <c r="G352" s="31"/>
    </row>
    <row r="353">
      <c r="C353" s="31"/>
      <c r="D353" s="31"/>
      <c r="F353" s="31"/>
      <c r="G353" s="31"/>
    </row>
    <row r="354">
      <c r="C354" s="31"/>
      <c r="D354" s="31"/>
      <c r="F354" s="31"/>
      <c r="G354" s="31"/>
    </row>
    <row r="355">
      <c r="C355" s="31"/>
      <c r="D355" s="31"/>
      <c r="F355" s="31"/>
      <c r="G355" s="31"/>
    </row>
    <row r="356">
      <c r="C356" s="31"/>
      <c r="D356" s="31"/>
      <c r="F356" s="31"/>
      <c r="G356" s="31"/>
    </row>
    <row r="357">
      <c r="C357" s="31"/>
      <c r="D357" s="31"/>
      <c r="F357" s="31"/>
      <c r="G357" s="31"/>
    </row>
    <row r="358">
      <c r="C358" s="31"/>
      <c r="D358" s="31"/>
      <c r="F358" s="31"/>
      <c r="G358" s="31"/>
    </row>
    <row r="359">
      <c r="C359" s="31"/>
      <c r="D359" s="31"/>
      <c r="F359" s="31"/>
      <c r="G359" s="31"/>
    </row>
    <row r="360">
      <c r="C360" s="31"/>
      <c r="D360" s="31"/>
      <c r="F360" s="31"/>
      <c r="G360" s="31"/>
    </row>
    <row r="361">
      <c r="C361" s="31"/>
      <c r="D361" s="31"/>
      <c r="F361" s="31"/>
      <c r="G361" s="31"/>
    </row>
    <row r="362">
      <c r="C362" s="31"/>
      <c r="D362" s="31"/>
      <c r="F362" s="31"/>
      <c r="G362" s="31"/>
    </row>
    <row r="363">
      <c r="C363" s="31"/>
      <c r="D363" s="31"/>
      <c r="F363" s="31"/>
      <c r="G363" s="31"/>
    </row>
    <row r="364">
      <c r="C364" s="31"/>
      <c r="D364" s="31"/>
      <c r="F364" s="31"/>
      <c r="G364" s="31"/>
    </row>
    <row r="365">
      <c r="C365" s="31"/>
      <c r="D365" s="31"/>
      <c r="F365" s="31"/>
      <c r="G365" s="31"/>
    </row>
    <row r="366">
      <c r="C366" s="31"/>
      <c r="D366" s="31"/>
      <c r="F366" s="31"/>
      <c r="G366" s="31"/>
    </row>
    <row r="367">
      <c r="C367" s="31"/>
      <c r="D367" s="31"/>
      <c r="F367" s="31"/>
      <c r="G367" s="31"/>
    </row>
    <row r="368">
      <c r="C368" s="31"/>
      <c r="D368" s="31"/>
      <c r="F368" s="31"/>
      <c r="G368" s="31"/>
    </row>
    <row r="369">
      <c r="C369" s="31"/>
      <c r="D369" s="31"/>
      <c r="F369" s="31"/>
      <c r="G369" s="31"/>
    </row>
    <row r="370">
      <c r="C370" s="31"/>
      <c r="D370" s="31"/>
      <c r="F370" s="31"/>
      <c r="G370" s="31"/>
    </row>
    <row r="371">
      <c r="C371" s="31"/>
      <c r="D371" s="31"/>
      <c r="F371" s="31"/>
      <c r="G371" s="31"/>
    </row>
    <row r="372">
      <c r="C372" s="31"/>
      <c r="D372" s="31"/>
      <c r="F372" s="31"/>
      <c r="G372" s="31"/>
    </row>
    <row r="373">
      <c r="C373" s="31"/>
      <c r="D373" s="31"/>
      <c r="F373" s="31"/>
      <c r="G373" s="31"/>
    </row>
    <row r="374">
      <c r="C374" s="31"/>
      <c r="D374" s="31"/>
      <c r="F374" s="31"/>
      <c r="G374" s="31"/>
    </row>
    <row r="375">
      <c r="C375" s="31"/>
      <c r="D375" s="31"/>
      <c r="F375" s="31"/>
      <c r="G375" s="31"/>
    </row>
    <row r="376">
      <c r="C376" s="31"/>
      <c r="D376" s="31"/>
      <c r="F376" s="31"/>
      <c r="G376" s="31"/>
    </row>
    <row r="377">
      <c r="C377" s="31"/>
      <c r="D377" s="31"/>
      <c r="F377" s="31"/>
      <c r="G377" s="31"/>
    </row>
    <row r="378">
      <c r="C378" s="31"/>
      <c r="D378" s="31"/>
      <c r="F378" s="31"/>
      <c r="G378" s="31"/>
    </row>
    <row r="379">
      <c r="C379" s="31"/>
      <c r="D379" s="31"/>
      <c r="F379" s="31"/>
      <c r="G379" s="31"/>
    </row>
    <row r="380">
      <c r="C380" s="31"/>
      <c r="D380" s="31"/>
      <c r="F380" s="31"/>
      <c r="G380" s="31"/>
    </row>
    <row r="381">
      <c r="C381" s="31"/>
      <c r="D381" s="31"/>
      <c r="F381" s="31"/>
      <c r="G381" s="31"/>
    </row>
    <row r="382">
      <c r="C382" s="31"/>
      <c r="D382" s="31"/>
      <c r="F382" s="31"/>
      <c r="G382" s="31"/>
    </row>
    <row r="383">
      <c r="C383" s="31"/>
      <c r="D383" s="31"/>
      <c r="F383" s="31"/>
      <c r="G383" s="31"/>
    </row>
    <row r="384">
      <c r="C384" s="31"/>
      <c r="D384" s="31"/>
      <c r="F384" s="31"/>
      <c r="G384" s="31"/>
    </row>
    <row r="385">
      <c r="C385" s="31"/>
      <c r="D385" s="31"/>
      <c r="F385" s="31"/>
      <c r="G385" s="31"/>
    </row>
    <row r="386">
      <c r="C386" s="31"/>
      <c r="D386" s="31"/>
      <c r="F386" s="31"/>
      <c r="G386" s="31"/>
    </row>
    <row r="387">
      <c r="C387" s="31"/>
      <c r="D387" s="31"/>
      <c r="F387" s="31"/>
      <c r="G387" s="31"/>
    </row>
    <row r="388">
      <c r="C388" s="31"/>
      <c r="D388" s="31"/>
      <c r="F388" s="31"/>
      <c r="G388" s="31"/>
    </row>
    <row r="389">
      <c r="C389" s="31"/>
      <c r="D389" s="31"/>
      <c r="F389" s="31"/>
      <c r="G389" s="31"/>
    </row>
    <row r="390">
      <c r="C390" s="31"/>
      <c r="D390" s="31"/>
      <c r="F390" s="31"/>
      <c r="G390" s="31"/>
    </row>
    <row r="391">
      <c r="C391" s="31"/>
      <c r="D391" s="31"/>
      <c r="F391" s="31"/>
      <c r="G391" s="31"/>
    </row>
    <row r="392">
      <c r="C392" s="31"/>
      <c r="D392" s="31"/>
      <c r="F392" s="31"/>
      <c r="G392" s="31"/>
    </row>
    <row r="393">
      <c r="C393" s="31"/>
      <c r="D393" s="31"/>
      <c r="F393" s="31"/>
      <c r="G393" s="31"/>
    </row>
    <row r="394">
      <c r="C394" s="31"/>
      <c r="D394" s="31"/>
      <c r="F394" s="31"/>
      <c r="G394" s="31"/>
    </row>
    <row r="395">
      <c r="C395" s="31"/>
      <c r="D395" s="31"/>
      <c r="F395" s="31"/>
      <c r="G395" s="31"/>
    </row>
    <row r="396">
      <c r="C396" s="31"/>
      <c r="D396" s="31"/>
      <c r="F396" s="31"/>
      <c r="G396" s="31"/>
    </row>
    <row r="397">
      <c r="C397" s="31"/>
      <c r="D397" s="31"/>
      <c r="F397" s="31"/>
      <c r="G397" s="31"/>
    </row>
    <row r="398">
      <c r="C398" s="31"/>
      <c r="D398" s="31"/>
      <c r="F398" s="31"/>
      <c r="G398" s="31"/>
    </row>
    <row r="399">
      <c r="C399" s="31"/>
      <c r="D399" s="31"/>
      <c r="F399" s="31"/>
      <c r="G399" s="31"/>
    </row>
    <row r="400">
      <c r="C400" s="31"/>
      <c r="D400" s="31"/>
      <c r="F400" s="31"/>
      <c r="G400" s="31"/>
    </row>
    <row r="401">
      <c r="C401" s="31"/>
      <c r="D401" s="31"/>
      <c r="F401" s="31"/>
      <c r="G401" s="31"/>
    </row>
    <row r="402">
      <c r="C402" s="31"/>
      <c r="D402" s="31"/>
      <c r="F402" s="31"/>
      <c r="G402" s="31"/>
    </row>
    <row r="403">
      <c r="C403" s="31"/>
      <c r="D403" s="31"/>
      <c r="F403" s="31"/>
      <c r="G403" s="31"/>
    </row>
    <row r="404">
      <c r="C404" s="31"/>
      <c r="D404" s="31"/>
      <c r="F404" s="31"/>
      <c r="G404" s="31"/>
    </row>
    <row r="405">
      <c r="C405" s="31"/>
      <c r="D405" s="31"/>
      <c r="F405" s="31"/>
      <c r="G405" s="31"/>
    </row>
    <row r="406">
      <c r="C406" s="31"/>
      <c r="D406" s="31"/>
      <c r="F406" s="31"/>
      <c r="G406" s="31"/>
    </row>
    <row r="407">
      <c r="C407" s="31"/>
      <c r="D407" s="31"/>
      <c r="F407" s="31"/>
      <c r="G407" s="31"/>
    </row>
    <row r="408">
      <c r="C408" s="31"/>
      <c r="D408" s="31"/>
      <c r="F408" s="31"/>
      <c r="G408" s="31"/>
    </row>
    <row r="409">
      <c r="C409" s="31"/>
      <c r="D409" s="31"/>
      <c r="F409" s="31"/>
      <c r="G409" s="31"/>
    </row>
    <row r="410">
      <c r="C410" s="31"/>
      <c r="D410" s="31"/>
      <c r="F410" s="31"/>
      <c r="G410" s="31"/>
    </row>
    <row r="411">
      <c r="C411" s="31"/>
      <c r="D411" s="31"/>
      <c r="F411" s="31"/>
      <c r="G411" s="31"/>
    </row>
    <row r="412">
      <c r="C412" s="31"/>
      <c r="D412" s="31"/>
      <c r="F412" s="31"/>
      <c r="G412" s="31"/>
    </row>
    <row r="413">
      <c r="C413" s="31"/>
      <c r="D413" s="31"/>
      <c r="F413" s="31"/>
      <c r="G413" s="31"/>
    </row>
    <row r="414">
      <c r="C414" s="31"/>
      <c r="D414" s="31"/>
      <c r="F414" s="31"/>
      <c r="G414" s="31"/>
    </row>
    <row r="415">
      <c r="C415" s="31"/>
      <c r="D415" s="31"/>
      <c r="F415" s="31"/>
      <c r="G415" s="31"/>
    </row>
    <row r="416">
      <c r="C416" s="31"/>
      <c r="D416" s="31"/>
      <c r="F416" s="31"/>
      <c r="G416" s="31"/>
    </row>
    <row r="417">
      <c r="C417" s="31"/>
      <c r="D417" s="31"/>
      <c r="F417" s="31"/>
      <c r="G417" s="31"/>
    </row>
    <row r="418">
      <c r="C418" s="31"/>
      <c r="D418" s="31"/>
      <c r="F418" s="31"/>
      <c r="G418" s="31"/>
    </row>
    <row r="419">
      <c r="C419" s="31"/>
      <c r="D419" s="31"/>
      <c r="F419" s="31"/>
      <c r="G419" s="31"/>
    </row>
    <row r="420">
      <c r="C420" s="31"/>
      <c r="D420" s="31"/>
      <c r="F420" s="31"/>
      <c r="G420" s="31"/>
    </row>
    <row r="421">
      <c r="C421" s="31"/>
      <c r="D421" s="31"/>
      <c r="F421" s="31"/>
      <c r="G421" s="31"/>
    </row>
    <row r="422">
      <c r="C422" s="31"/>
      <c r="D422" s="31"/>
      <c r="F422" s="31"/>
      <c r="G422" s="31"/>
    </row>
    <row r="423">
      <c r="C423" s="31"/>
      <c r="D423" s="31"/>
      <c r="F423" s="31"/>
      <c r="G423" s="31"/>
    </row>
    <row r="424">
      <c r="C424" s="31"/>
      <c r="D424" s="31"/>
      <c r="F424" s="31"/>
      <c r="G424" s="31"/>
    </row>
    <row r="425">
      <c r="C425" s="31"/>
      <c r="D425" s="31"/>
      <c r="F425" s="31"/>
      <c r="G425" s="31"/>
    </row>
    <row r="426">
      <c r="C426" s="31"/>
      <c r="D426" s="31"/>
      <c r="F426" s="31"/>
      <c r="G426" s="31"/>
    </row>
    <row r="427">
      <c r="C427" s="31"/>
      <c r="D427" s="31"/>
      <c r="F427" s="31"/>
      <c r="G427" s="31"/>
    </row>
    <row r="428">
      <c r="C428" s="31"/>
      <c r="D428" s="31"/>
      <c r="F428" s="31"/>
      <c r="G428" s="31"/>
    </row>
    <row r="429">
      <c r="C429" s="31"/>
      <c r="D429" s="31"/>
      <c r="F429" s="31"/>
      <c r="G429" s="31"/>
    </row>
    <row r="430">
      <c r="C430" s="31"/>
      <c r="D430" s="31"/>
      <c r="F430" s="31"/>
      <c r="G430" s="31"/>
    </row>
    <row r="431">
      <c r="C431" s="31"/>
      <c r="D431" s="31"/>
      <c r="F431" s="31"/>
      <c r="G431" s="31"/>
    </row>
    <row r="432">
      <c r="C432" s="31"/>
      <c r="D432" s="31"/>
      <c r="F432" s="31"/>
      <c r="G432" s="31"/>
    </row>
    <row r="433">
      <c r="C433" s="31"/>
      <c r="D433" s="31"/>
      <c r="F433" s="31"/>
      <c r="G433" s="31"/>
    </row>
    <row r="434">
      <c r="C434" s="31"/>
      <c r="D434" s="31"/>
      <c r="F434" s="31"/>
      <c r="G434" s="31"/>
    </row>
    <row r="435">
      <c r="C435" s="31"/>
      <c r="D435" s="31"/>
      <c r="F435" s="31"/>
      <c r="G435" s="31"/>
    </row>
    <row r="436">
      <c r="C436" s="31"/>
      <c r="D436" s="31"/>
      <c r="F436" s="31"/>
      <c r="G436" s="31"/>
    </row>
    <row r="437">
      <c r="C437" s="31"/>
      <c r="D437" s="31"/>
      <c r="F437" s="31"/>
      <c r="G437" s="31"/>
    </row>
    <row r="438">
      <c r="C438" s="31"/>
      <c r="D438" s="31"/>
      <c r="F438" s="31"/>
      <c r="G438" s="31"/>
    </row>
    <row r="439">
      <c r="C439" s="31"/>
      <c r="D439" s="31"/>
      <c r="F439" s="31"/>
      <c r="G439" s="31"/>
    </row>
    <row r="440">
      <c r="C440" s="31"/>
      <c r="D440" s="31"/>
      <c r="F440" s="31"/>
      <c r="G440" s="31"/>
    </row>
    <row r="441">
      <c r="C441" s="31"/>
      <c r="D441" s="31"/>
      <c r="F441" s="31"/>
      <c r="G441" s="31"/>
    </row>
    <row r="442">
      <c r="C442" s="31"/>
      <c r="D442" s="31"/>
      <c r="F442" s="31"/>
      <c r="G442" s="31"/>
    </row>
    <row r="443">
      <c r="C443" s="31"/>
      <c r="D443" s="31"/>
      <c r="F443" s="31"/>
      <c r="G443" s="31"/>
    </row>
    <row r="444">
      <c r="C444" s="31"/>
      <c r="D444" s="31"/>
      <c r="F444" s="31"/>
      <c r="G444" s="31"/>
    </row>
    <row r="445">
      <c r="C445" s="31"/>
      <c r="D445" s="31"/>
      <c r="F445" s="31"/>
      <c r="G445" s="31"/>
    </row>
    <row r="446">
      <c r="C446" s="31"/>
      <c r="D446" s="31"/>
      <c r="F446" s="31"/>
      <c r="G446" s="31"/>
    </row>
    <row r="447">
      <c r="C447" s="31"/>
      <c r="D447" s="31"/>
      <c r="F447" s="31"/>
      <c r="G447" s="31"/>
    </row>
    <row r="448">
      <c r="C448" s="31"/>
      <c r="D448" s="31"/>
      <c r="F448" s="31"/>
      <c r="G448" s="31"/>
    </row>
    <row r="449">
      <c r="C449" s="31"/>
      <c r="D449" s="31"/>
      <c r="F449" s="31"/>
      <c r="G449" s="31"/>
    </row>
    <row r="450">
      <c r="C450" s="31"/>
      <c r="D450" s="31"/>
      <c r="F450" s="31"/>
      <c r="G450" s="31"/>
    </row>
    <row r="451">
      <c r="C451" s="31"/>
      <c r="D451" s="31"/>
      <c r="F451" s="31"/>
      <c r="G451" s="31"/>
    </row>
    <row r="452">
      <c r="C452" s="31"/>
      <c r="D452" s="31"/>
      <c r="F452" s="31"/>
      <c r="G452" s="31"/>
    </row>
    <row r="453">
      <c r="C453" s="31"/>
      <c r="D453" s="31"/>
      <c r="F453" s="31"/>
      <c r="G453" s="31"/>
    </row>
    <row r="454">
      <c r="C454" s="31"/>
      <c r="D454" s="31"/>
      <c r="F454" s="31"/>
      <c r="G454" s="31"/>
    </row>
    <row r="455">
      <c r="C455" s="31"/>
      <c r="D455" s="31"/>
      <c r="F455" s="31"/>
      <c r="G455" s="31"/>
    </row>
    <row r="456">
      <c r="C456" s="31"/>
      <c r="D456" s="31"/>
      <c r="F456" s="31"/>
      <c r="G456" s="31"/>
    </row>
    <row r="457">
      <c r="C457" s="31"/>
      <c r="D457" s="31"/>
      <c r="F457" s="31"/>
      <c r="G457" s="31"/>
    </row>
    <row r="458">
      <c r="C458" s="31"/>
      <c r="D458" s="31"/>
      <c r="F458" s="31"/>
      <c r="G458" s="31"/>
    </row>
    <row r="459">
      <c r="C459" s="31"/>
      <c r="D459" s="31"/>
      <c r="F459" s="31"/>
      <c r="G459" s="31"/>
    </row>
    <row r="460">
      <c r="C460" s="31"/>
      <c r="D460" s="31"/>
      <c r="F460" s="31"/>
      <c r="G460" s="31"/>
    </row>
    <row r="461">
      <c r="C461" s="31"/>
      <c r="D461" s="31"/>
      <c r="F461" s="31"/>
      <c r="G461" s="31"/>
    </row>
    <row r="462">
      <c r="C462" s="31"/>
      <c r="D462" s="31"/>
      <c r="F462" s="31"/>
      <c r="G462" s="31"/>
    </row>
    <row r="463">
      <c r="C463" s="31"/>
      <c r="D463" s="31"/>
      <c r="F463" s="31"/>
      <c r="G463" s="31"/>
    </row>
    <row r="464">
      <c r="C464" s="31"/>
      <c r="D464" s="31"/>
      <c r="F464" s="31"/>
      <c r="G464" s="31"/>
    </row>
    <row r="465">
      <c r="C465" s="31"/>
      <c r="D465" s="31"/>
      <c r="F465" s="31"/>
      <c r="G465" s="31"/>
    </row>
    <row r="466">
      <c r="C466" s="31"/>
      <c r="D466" s="31"/>
      <c r="F466" s="31"/>
      <c r="G466" s="31"/>
    </row>
    <row r="467">
      <c r="C467" s="31"/>
      <c r="D467" s="31"/>
      <c r="F467" s="31"/>
      <c r="G467" s="31"/>
    </row>
    <row r="468">
      <c r="C468" s="31"/>
      <c r="D468" s="31"/>
      <c r="F468" s="31"/>
      <c r="G468" s="31"/>
    </row>
    <row r="469">
      <c r="C469" s="31"/>
      <c r="D469" s="31"/>
      <c r="F469" s="31"/>
      <c r="G469" s="31"/>
    </row>
    <row r="470">
      <c r="C470" s="31"/>
      <c r="D470" s="31"/>
      <c r="F470" s="31"/>
      <c r="G470" s="31"/>
    </row>
    <row r="471">
      <c r="C471" s="31"/>
      <c r="D471" s="31"/>
      <c r="F471" s="31"/>
      <c r="G471" s="31"/>
    </row>
    <row r="472">
      <c r="C472" s="31"/>
      <c r="D472" s="31"/>
      <c r="F472" s="31"/>
      <c r="G472" s="31"/>
    </row>
    <row r="473">
      <c r="C473" s="31"/>
      <c r="D473" s="31"/>
      <c r="F473" s="31"/>
      <c r="G473" s="31"/>
    </row>
    <row r="474">
      <c r="C474" s="31"/>
      <c r="D474" s="31"/>
      <c r="F474" s="31"/>
      <c r="G474" s="31"/>
    </row>
    <row r="475">
      <c r="C475" s="31"/>
      <c r="D475" s="31"/>
      <c r="F475" s="31"/>
      <c r="G475" s="31"/>
    </row>
    <row r="476">
      <c r="C476" s="31"/>
      <c r="D476" s="31"/>
      <c r="F476" s="31"/>
      <c r="G476" s="31"/>
    </row>
    <row r="477">
      <c r="C477" s="31"/>
      <c r="D477" s="31"/>
      <c r="F477" s="31"/>
      <c r="G477" s="31"/>
    </row>
    <row r="478">
      <c r="C478" s="31"/>
      <c r="D478" s="31"/>
      <c r="F478" s="31"/>
      <c r="G478" s="31"/>
    </row>
    <row r="479">
      <c r="C479" s="31"/>
      <c r="D479" s="31"/>
      <c r="F479" s="31"/>
      <c r="G479" s="31"/>
    </row>
    <row r="480">
      <c r="C480" s="31"/>
      <c r="D480" s="31"/>
      <c r="F480" s="31"/>
      <c r="G480" s="31"/>
    </row>
    <row r="481">
      <c r="C481" s="31"/>
      <c r="D481" s="31"/>
      <c r="F481" s="31"/>
      <c r="G481" s="31"/>
    </row>
    <row r="482">
      <c r="C482" s="31"/>
      <c r="D482" s="31"/>
      <c r="F482" s="31"/>
      <c r="G482" s="31"/>
    </row>
    <row r="483">
      <c r="C483" s="31"/>
      <c r="D483" s="31"/>
      <c r="F483" s="31"/>
      <c r="G483" s="31"/>
    </row>
    <row r="484">
      <c r="C484" s="31"/>
      <c r="D484" s="31"/>
      <c r="F484" s="31"/>
      <c r="G484" s="31"/>
    </row>
    <row r="485">
      <c r="C485" s="31"/>
      <c r="D485" s="31"/>
      <c r="F485" s="31"/>
      <c r="G485" s="31"/>
    </row>
    <row r="486">
      <c r="C486" s="31"/>
      <c r="D486" s="31"/>
      <c r="F486" s="31"/>
      <c r="G486" s="31"/>
    </row>
    <row r="487">
      <c r="C487" s="31"/>
      <c r="D487" s="31"/>
      <c r="F487" s="31"/>
      <c r="G487" s="31"/>
    </row>
    <row r="488">
      <c r="C488" s="31"/>
      <c r="D488" s="31"/>
      <c r="F488" s="31"/>
      <c r="G488" s="31"/>
    </row>
    <row r="489">
      <c r="C489" s="31"/>
      <c r="D489" s="31"/>
      <c r="F489" s="31"/>
      <c r="G489" s="31"/>
    </row>
    <row r="490">
      <c r="C490" s="31"/>
      <c r="D490" s="31"/>
      <c r="F490" s="31"/>
      <c r="G490" s="31"/>
    </row>
    <row r="491">
      <c r="C491" s="31"/>
      <c r="D491" s="31"/>
      <c r="F491" s="31"/>
      <c r="G491" s="31"/>
    </row>
    <row r="492">
      <c r="C492" s="31"/>
      <c r="D492" s="31"/>
      <c r="F492" s="31"/>
      <c r="G492" s="31"/>
    </row>
    <row r="493">
      <c r="C493" s="31"/>
      <c r="D493" s="31"/>
      <c r="F493" s="31"/>
      <c r="G493" s="31"/>
    </row>
    <row r="494">
      <c r="C494" s="31"/>
      <c r="D494" s="31"/>
      <c r="F494" s="31"/>
      <c r="G494" s="31"/>
    </row>
    <row r="495">
      <c r="C495" s="31"/>
      <c r="D495" s="31"/>
      <c r="F495" s="31"/>
      <c r="G495" s="31"/>
    </row>
    <row r="496">
      <c r="C496" s="31"/>
      <c r="D496" s="31"/>
      <c r="F496" s="31"/>
      <c r="G496" s="31"/>
    </row>
    <row r="497">
      <c r="C497" s="31"/>
      <c r="D497" s="31"/>
      <c r="F497" s="31"/>
      <c r="G497" s="31"/>
    </row>
    <row r="498">
      <c r="C498" s="31"/>
      <c r="D498" s="31"/>
      <c r="F498" s="31"/>
      <c r="G498" s="31"/>
    </row>
    <row r="499">
      <c r="C499" s="31"/>
      <c r="D499" s="31"/>
      <c r="F499" s="31"/>
      <c r="G499" s="31"/>
    </row>
    <row r="500">
      <c r="C500" s="31"/>
      <c r="D500" s="31"/>
      <c r="F500" s="31"/>
      <c r="G500" s="31"/>
    </row>
    <row r="501">
      <c r="C501" s="31"/>
      <c r="D501" s="31"/>
      <c r="F501" s="31"/>
      <c r="G501" s="31"/>
    </row>
    <row r="502">
      <c r="C502" s="31"/>
      <c r="D502" s="31"/>
      <c r="F502" s="31"/>
      <c r="G502" s="31"/>
    </row>
    <row r="503">
      <c r="C503" s="31"/>
      <c r="D503" s="31"/>
      <c r="F503" s="31"/>
      <c r="G503" s="31"/>
    </row>
    <row r="504">
      <c r="C504" s="31"/>
      <c r="D504" s="31"/>
      <c r="F504" s="31"/>
      <c r="G504" s="31"/>
    </row>
    <row r="505">
      <c r="C505" s="31"/>
      <c r="D505" s="31"/>
      <c r="F505" s="31"/>
      <c r="G505" s="31"/>
    </row>
    <row r="506">
      <c r="C506" s="31"/>
      <c r="D506" s="31"/>
      <c r="F506" s="31"/>
      <c r="G506" s="31"/>
    </row>
    <row r="507">
      <c r="C507" s="31"/>
      <c r="D507" s="31"/>
      <c r="F507" s="31"/>
      <c r="G507" s="31"/>
    </row>
    <row r="508">
      <c r="C508" s="31"/>
      <c r="D508" s="31"/>
      <c r="F508" s="31"/>
      <c r="G508" s="31"/>
    </row>
    <row r="509">
      <c r="C509" s="31"/>
      <c r="D509" s="31"/>
      <c r="F509" s="31"/>
      <c r="G509" s="31"/>
    </row>
    <row r="510">
      <c r="C510" s="31"/>
      <c r="D510" s="31"/>
      <c r="F510" s="31"/>
      <c r="G510" s="31"/>
    </row>
    <row r="511">
      <c r="C511" s="31"/>
      <c r="D511" s="31"/>
      <c r="F511" s="31"/>
      <c r="G511" s="31"/>
    </row>
    <row r="512">
      <c r="C512" s="31"/>
      <c r="D512" s="31"/>
      <c r="F512" s="31"/>
      <c r="G512" s="31"/>
    </row>
    <row r="513">
      <c r="C513" s="31"/>
      <c r="D513" s="31"/>
      <c r="F513" s="31"/>
      <c r="G513" s="31"/>
    </row>
    <row r="514">
      <c r="C514" s="31"/>
      <c r="D514" s="31"/>
      <c r="F514" s="31"/>
      <c r="G514" s="31"/>
    </row>
    <row r="515">
      <c r="C515" s="31"/>
      <c r="D515" s="31"/>
      <c r="F515" s="31"/>
      <c r="G515" s="31"/>
    </row>
    <row r="516">
      <c r="C516" s="31"/>
      <c r="D516" s="31"/>
      <c r="F516" s="31"/>
      <c r="G516" s="31"/>
    </row>
    <row r="517">
      <c r="C517" s="31"/>
      <c r="D517" s="31"/>
      <c r="F517" s="31"/>
      <c r="G517" s="31"/>
    </row>
    <row r="518">
      <c r="C518" s="31"/>
      <c r="D518" s="31"/>
      <c r="F518" s="31"/>
      <c r="G518" s="31"/>
    </row>
    <row r="519">
      <c r="C519" s="31"/>
      <c r="D519" s="31"/>
      <c r="F519" s="31"/>
      <c r="G519" s="31"/>
    </row>
    <row r="520">
      <c r="C520" s="31"/>
      <c r="D520" s="31"/>
      <c r="F520" s="31"/>
      <c r="G520" s="31"/>
    </row>
    <row r="521">
      <c r="C521" s="31"/>
      <c r="D521" s="31"/>
      <c r="F521" s="31"/>
      <c r="G521" s="31"/>
    </row>
    <row r="522">
      <c r="C522" s="31"/>
      <c r="D522" s="31"/>
      <c r="F522" s="31"/>
      <c r="G522" s="31"/>
    </row>
    <row r="523">
      <c r="C523" s="31"/>
      <c r="D523" s="31"/>
      <c r="F523" s="31"/>
      <c r="G523" s="31"/>
    </row>
    <row r="524">
      <c r="C524" s="31"/>
      <c r="D524" s="31"/>
      <c r="F524" s="31"/>
      <c r="G524" s="31"/>
    </row>
    <row r="525">
      <c r="C525" s="31"/>
      <c r="D525" s="31"/>
      <c r="F525" s="31"/>
      <c r="G525" s="31"/>
    </row>
    <row r="526">
      <c r="C526" s="31"/>
      <c r="D526" s="31"/>
      <c r="F526" s="31"/>
      <c r="G526" s="31"/>
    </row>
    <row r="527">
      <c r="C527" s="31"/>
      <c r="D527" s="31"/>
      <c r="F527" s="31"/>
      <c r="G527" s="31"/>
    </row>
    <row r="528">
      <c r="C528" s="31"/>
      <c r="D528" s="31"/>
      <c r="F528" s="31"/>
      <c r="G528" s="31"/>
    </row>
    <row r="529">
      <c r="C529" s="31"/>
      <c r="D529" s="31"/>
      <c r="F529" s="31"/>
      <c r="G529" s="31"/>
    </row>
    <row r="530">
      <c r="C530" s="31"/>
      <c r="D530" s="31"/>
      <c r="F530" s="31"/>
      <c r="G530" s="31"/>
    </row>
    <row r="531">
      <c r="C531" s="31"/>
      <c r="D531" s="31"/>
      <c r="F531" s="31"/>
      <c r="G531" s="31"/>
    </row>
    <row r="532">
      <c r="C532" s="31"/>
      <c r="D532" s="31"/>
      <c r="F532" s="31"/>
      <c r="G532" s="31"/>
    </row>
    <row r="533">
      <c r="C533" s="31"/>
      <c r="D533" s="31"/>
      <c r="F533" s="31"/>
      <c r="G533" s="31"/>
    </row>
    <row r="534">
      <c r="C534" s="31"/>
      <c r="D534" s="31"/>
      <c r="F534" s="31"/>
      <c r="G534" s="31"/>
    </row>
    <row r="535">
      <c r="C535" s="31"/>
      <c r="D535" s="31"/>
      <c r="F535" s="31"/>
      <c r="G535" s="31"/>
    </row>
    <row r="536">
      <c r="C536" s="31"/>
      <c r="D536" s="31"/>
      <c r="F536" s="31"/>
      <c r="G536" s="31"/>
    </row>
    <row r="537">
      <c r="C537" s="31"/>
      <c r="D537" s="31"/>
      <c r="F537" s="31"/>
      <c r="G537" s="31"/>
    </row>
    <row r="538">
      <c r="C538" s="31"/>
      <c r="D538" s="31"/>
      <c r="F538" s="31"/>
      <c r="G538" s="31"/>
    </row>
    <row r="539">
      <c r="C539" s="31"/>
      <c r="D539" s="31"/>
      <c r="F539" s="31"/>
      <c r="G539" s="31"/>
    </row>
    <row r="540">
      <c r="C540" s="31"/>
      <c r="D540" s="31"/>
      <c r="F540" s="31"/>
      <c r="G540" s="31"/>
    </row>
    <row r="541">
      <c r="C541" s="31"/>
      <c r="D541" s="31"/>
      <c r="F541" s="31"/>
      <c r="G541" s="31"/>
    </row>
    <row r="542">
      <c r="C542" s="31"/>
      <c r="D542" s="31"/>
      <c r="F542" s="31"/>
      <c r="G542" s="31"/>
    </row>
    <row r="543">
      <c r="C543" s="31"/>
      <c r="D543" s="31"/>
      <c r="F543" s="31"/>
      <c r="G543" s="31"/>
    </row>
    <row r="544">
      <c r="C544" s="31"/>
      <c r="D544" s="31"/>
      <c r="F544" s="31"/>
      <c r="G544" s="31"/>
    </row>
    <row r="545">
      <c r="C545" s="31"/>
      <c r="D545" s="31"/>
      <c r="F545" s="31"/>
      <c r="G545" s="31"/>
    </row>
    <row r="546">
      <c r="C546" s="31"/>
      <c r="D546" s="31"/>
      <c r="F546" s="31"/>
      <c r="G546" s="31"/>
    </row>
    <row r="547">
      <c r="C547" s="31"/>
      <c r="D547" s="31"/>
      <c r="F547" s="31"/>
      <c r="G547" s="31"/>
    </row>
    <row r="548">
      <c r="C548" s="31"/>
      <c r="D548" s="31"/>
      <c r="F548" s="31"/>
      <c r="G548" s="31"/>
    </row>
    <row r="549">
      <c r="C549" s="31"/>
      <c r="D549" s="31"/>
      <c r="F549" s="31"/>
      <c r="G549" s="31"/>
    </row>
    <row r="550">
      <c r="C550" s="31"/>
      <c r="D550" s="31"/>
      <c r="F550" s="31"/>
      <c r="G550" s="31"/>
    </row>
    <row r="551">
      <c r="C551" s="31"/>
      <c r="D551" s="31"/>
      <c r="F551" s="31"/>
      <c r="G551" s="31"/>
    </row>
    <row r="552">
      <c r="C552" s="31"/>
      <c r="D552" s="31"/>
      <c r="F552" s="31"/>
      <c r="G552" s="31"/>
    </row>
    <row r="553">
      <c r="C553" s="31"/>
      <c r="D553" s="31"/>
      <c r="F553" s="31"/>
      <c r="G553" s="31"/>
    </row>
    <row r="554">
      <c r="C554" s="31"/>
      <c r="D554" s="31"/>
      <c r="F554" s="31"/>
      <c r="G554" s="31"/>
    </row>
    <row r="555">
      <c r="C555" s="31"/>
      <c r="D555" s="31"/>
      <c r="F555" s="31"/>
      <c r="G555" s="31"/>
    </row>
    <row r="556">
      <c r="C556" s="31"/>
      <c r="D556" s="31"/>
      <c r="F556" s="31"/>
      <c r="G556" s="31"/>
    </row>
    <row r="557">
      <c r="C557" s="31"/>
      <c r="D557" s="31"/>
      <c r="F557" s="31"/>
      <c r="G557" s="31"/>
    </row>
    <row r="558">
      <c r="C558" s="31"/>
      <c r="D558" s="31"/>
      <c r="F558" s="31"/>
      <c r="G558" s="31"/>
    </row>
    <row r="559">
      <c r="C559" s="31"/>
      <c r="D559" s="31"/>
      <c r="F559" s="31"/>
      <c r="G559" s="31"/>
    </row>
    <row r="560">
      <c r="C560" s="31"/>
      <c r="D560" s="31"/>
      <c r="F560" s="31"/>
      <c r="G560" s="31"/>
    </row>
    <row r="561">
      <c r="C561" s="31"/>
      <c r="D561" s="31"/>
      <c r="F561" s="31"/>
      <c r="G561" s="31"/>
    </row>
    <row r="562">
      <c r="C562" s="31"/>
      <c r="D562" s="31"/>
      <c r="F562" s="31"/>
      <c r="G562" s="31"/>
    </row>
    <row r="563">
      <c r="C563" s="31"/>
      <c r="D563" s="31"/>
      <c r="F563" s="31"/>
      <c r="G563" s="31"/>
    </row>
    <row r="564">
      <c r="C564" s="31"/>
      <c r="D564" s="31"/>
      <c r="F564" s="31"/>
      <c r="G564" s="31"/>
    </row>
    <row r="565">
      <c r="C565" s="31"/>
      <c r="D565" s="31"/>
      <c r="F565" s="31"/>
      <c r="G565" s="31"/>
    </row>
    <row r="566">
      <c r="C566" s="31"/>
      <c r="D566" s="31"/>
      <c r="F566" s="31"/>
      <c r="G566" s="31"/>
    </row>
    <row r="567">
      <c r="C567" s="31"/>
      <c r="D567" s="31"/>
      <c r="F567" s="31"/>
      <c r="G567" s="31"/>
    </row>
    <row r="568">
      <c r="C568" s="31"/>
      <c r="D568" s="31"/>
      <c r="F568" s="31"/>
      <c r="G568" s="31"/>
    </row>
    <row r="569">
      <c r="C569" s="31"/>
      <c r="D569" s="31"/>
      <c r="F569" s="31"/>
      <c r="G569" s="31"/>
    </row>
    <row r="570">
      <c r="C570" s="31"/>
      <c r="D570" s="31"/>
      <c r="F570" s="31"/>
      <c r="G570" s="31"/>
    </row>
    <row r="571">
      <c r="C571" s="31"/>
      <c r="D571" s="31"/>
      <c r="F571" s="31"/>
      <c r="G571" s="31"/>
    </row>
    <row r="572">
      <c r="C572" s="31"/>
      <c r="D572" s="31"/>
      <c r="F572" s="31"/>
      <c r="G572" s="31"/>
    </row>
    <row r="573">
      <c r="C573" s="31"/>
      <c r="D573" s="31"/>
      <c r="F573" s="31"/>
      <c r="G573" s="31"/>
    </row>
    <row r="574">
      <c r="C574" s="31"/>
      <c r="D574" s="31"/>
      <c r="F574" s="31"/>
      <c r="G574" s="31"/>
    </row>
    <row r="575">
      <c r="C575" s="31"/>
      <c r="D575" s="31"/>
      <c r="F575" s="31"/>
      <c r="G575" s="31"/>
    </row>
    <row r="576">
      <c r="C576" s="31"/>
      <c r="D576" s="31"/>
      <c r="F576" s="31"/>
      <c r="G576" s="31"/>
    </row>
    <row r="577">
      <c r="C577" s="31"/>
      <c r="D577" s="31"/>
      <c r="F577" s="31"/>
      <c r="G577" s="31"/>
    </row>
    <row r="578">
      <c r="C578" s="31"/>
      <c r="D578" s="31"/>
      <c r="F578" s="31"/>
      <c r="G578" s="31"/>
    </row>
    <row r="579">
      <c r="C579" s="31"/>
      <c r="D579" s="31"/>
      <c r="F579" s="31"/>
      <c r="G579" s="31"/>
    </row>
    <row r="580">
      <c r="C580" s="31"/>
      <c r="D580" s="31"/>
      <c r="F580" s="31"/>
      <c r="G580" s="31"/>
    </row>
    <row r="581">
      <c r="C581" s="31"/>
      <c r="D581" s="31"/>
      <c r="F581" s="31"/>
      <c r="G581" s="31"/>
    </row>
    <row r="582">
      <c r="C582" s="31"/>
      <c r="D582" s="31"/>
      <c r="F582" s="31"/>
      <c r="G582" s="31"/>
    </row>
    <row r="583">
      <c r="C583" s="31"/>
      <c r="D583" s="31"/>
      <c r="F583" s="31"/>
      <c r="G583" s="31"/>
    </row>
    <row r="584">
      <c r="C584" s="31"/>
      <c r="D584" s="31"/>
      <c r="F584" s="31"/>
      <c r="G584" s="31"/>
    </row>
    <row r="585">
      <c r="C585" s="31"/>
      <c r="D585" s="31"/>
      <c r="F585" s="31"/>
      <c r="G585" s="31"/>
    </row>
    <row r="586">
      <c r="C586" s="31"/>
      <c r="D586" s="31"/>
      <c r="F586" s="31"/>
      <c r="G586" s="31"/>
    </row>
    <row r="587">
      <c r="C587" s="31"/>
      <c r="D587" s="31"/>
      <c r="F587" s="31"/>
      <c r="G587" s="31"/>
    </row>
    <row r="588">
      <c r="C588" s="31"/>
      <c r="D588" s="31"/>
      <c r="F588" s="31"/>
      <c r="G588" s="31"/>
    </row>
    <row r="589">
      <c r="C589" s="31"/>
      <c r="D589" s="31"/>
      <c r="F589" s="31"/>
      <c r="G589" s="31"/>
    </row>
    <row r="590">
      <c r="C590" s="31"/>
      <c r="D590" s="31"/>
      <c r="F590" s="31"/>
      <c r="G590" s="31"/>
    </row>
    <row r="591">
      <c r="C591" s="31"/>
      <c r="D591" s="31"/>
      <c r="F591" s="31"/>
      <c r="G591" s="31"/>
    </row>
    <row r="592">
      <c r="C592" s="31"/>
      <c r="D592" s="31"/>
      <c r="F592" s="31"/>
      <c r="G592" s="31"/>
    </row>
    <row r="593">
      <c r="C593" s="31"/>
      <c r="D593" s="31"/>
      <c r="F593" s="31"/>
      <c r="G593" s="31"/>
    </row>
    <row r="594">
      <c r="C594" s="31"/>
      <c r="D594" s="31"/>
      <c r="F594" s="31"/>
      <c r="G594" s="31"/>
    </row>
    <row r="595">
      <c r="C595" s="31"/>
      <c r="D595" s="31"/>
      <c r="F595" s="31"/>
      <c r="G595" s="31"/>
    </row>
    <row r="596">
      <c r="C596" s="31"/>
      <c r="D596" s="31"/>
      <c r="F596" s="31"/>
      <c r="G596" s="31"/>
    </row>
    <row r="597">
      <c r="C597" s="31"/>
      <c r="D597" s="31"/>
      <c r="F597" s="31"/>
      <c r="G597" s="31"/>
    </row>
    <row r="598">
      <c r="C598" s="31"/>
      <c r="D598" s="31"/>
      <c r="F598" s="31"/>
      <c r="G598" s="31"/>
    </row>
    <row r="599">
      <c r="C599" s="31"/>
      <c r="D599" s="31"/>
      <c r="F599" s="31"/>
      <c r="G599" s="31"/>
    </row>
    <row r="600">
      <c r="C600" s="31"/>
      <c r="D600" s="31"/>
      <c r="F600" s="31"/>
      <c r="G600" s="31"/>
    </row>
    <row r="601">
      <c r="C601" s="31"/>
      <c r="D601" s="31"/>
      <c r="F601" s="31"/>
      <c r="G601" s="31"/>
    </row>
    <row r="602">
      <c r="C602" s="31"/>
      <c r="D602" s="31"/>
      <c r="F602" s="31"/>
      <c r="G602" s="31"/>
    </row>
    <row r="603">
      <c r="C603" s="31"/>
      <c r="D603" s="31"/>
      <c r="F603" s="31"/>
      <c r="G603" s="31"/>
    </row>
    <row r="604">
      <c r="C604" s="31"/>
      <c r="D604" s="31"/>
      <c r="F604" s="31"/>
      <c r="G604" s="31"/>
    </row>
    <row r="605">
      <c r="C605" s="31"/>
      <c r="D605" s="31"/>
      <c r="F605" s="31"/>
      <c r="G605" s="31"/>
    </row>
    <row r="606">
      <c r="C606" s="31"/>
      <c r="D606" s="31"/>
      <c r="F606" s="31"/>
      <c r="G606" s="31"/>
    </row>
    <row r="607">
      <c r="C607" s="31"/>
      <c r="D607" s="31"/>
      <c r="F607" s="31"/>
      <c r="G607" s="31"/>
    </row>
    <row r="608">
      <c r="C608" s="31"/>
      <c r="D608" s="31"/>
      <c r="F608" s="31"/>
      <c r="G608" s="31"/>
    </row>
    <row r="609">
      <c r="C609" s="31"/>
      <c r="D609" s="31"/>
      <c r="F609" s="31"/>
      <c r="G609" s="31"/>
    </row>
    <row r="610">
      <c r="C610" s="31"/>
      <c r="D610" s="31"/>
      <c r="F610" s="31"/>
      <c r="G610" s="31"/>
    </row>
    <row r="611">
      <c r="C611" s="31"/>
      <c r="D611" s="31"/>
      <c r="F611" s="31"/>
      <c r="G611" s="31"/>
    </row>
    <row r="612">
      <c r="C612" s="31"/>
      <c r="D612" s="31"/>
      <c r="F612" s="31"/>
      <c r="G612" s="31"/>
    </row>
    <row r="613">
      <c r="C613" s="31"/>
      <c r="D613" s="31"/>
      <c r="F613" s="31"/>
      <c r="G613" s="31"/>
    </row>
    <row r="614">
      <c r="C614" s="31"/>
      <c r="D614" s="31"/>
      <c r="F614" s="31"/>
      <c r="G614" s="31"/>
    </row>
    <row r="615">
      <c r="C615" s="31"/>
      <c r="D615" s="31"/>
      <c r="F615" s="31"/>
      <c r="G615" s="31"/>
    </row>
    <row r="616">
      <c r="C616" s="31"/>
      <c r="D616" s="31"/>
      <c r="F616" s="31"/>
      <c r="G616" s="31"/>
    </row>
    <row r="617">
      <c r="C617" s="31"/>
      <c r="D617" s="31"/>
      <c r="F617" s="31"/>
      <c r="G617" s="31"/>
    </row>
    <row r="618">
      <c r="C618" s="31"/>
      <c r="D618" s="31"/>
      <c r="F618" s="31"/>
      <c r="G618" s="31"/>
    </row>
    <row r="619">
      <c r="C619" s="31"/>
      <c r="D619" s="31"/>
      <c r="F619" s="31"/>
      <c r="G619" s="31"/>
    </row>
    <row r="620">
      <c r="C620" s="31"/>
      <c r="D620" s="31"/>
      <c r="F620" s="31"/>
      <c r="G620" s="31"/>
    </row>
    <row r="621">
      <c r="C621" s="31"/>
      <c r="D621" s="31"/>
      <c r="F621" s="31"/>
      <c r="G621" s="31"/>
    </row>
    <row r="622">
      <c r="C622" s="31"/>
      <c r="D622" s="31"/>
      <c r="F622" s="31"/>
      <c r="G622" s="31"/>
    </row>
    <row r="623">
      <c r="C623" s="31"/>
      <c r="D623" s="31"/>
      <c r="F623" s="31"/>
      <c r="G623" s="31"/>
    </row>
    <row r="624">
      <c r="C624" s="31"/>
      <c r="D624" s="31"/>
      <c r="F624" s="31"/>
      <c r="G624" s="31"/>
    </row>
    <row r="625">
      <c r="C625" s="31"/>
      <c r="D625" s="31"/>
      <c r="F625" s="31"/>
      <c r="G625" s="31"/>
    </row>
    <row r="626">
      <c r="C626" s="31"/>
      <c r="D626" s="31"/>
      <c r="F626" s="31"/>
      <c r="G626" s="31"/>
    </row>
    <row r="627">
      <c r="C627" s="31"/>
      <c r="D627" s="31"/>
      <c r="F627" s="31"/>
      <c r="G627" s="31"/>
    </row>
    <row r="628">
      <c r="C628" s="31"/>
      <c r="D628" s="31"/>
      <c r="F628" s="31"/>
      <c r="G628" s="31"/>
    </row>
    <row r="629">
      <c r="C629" s="31"/>
      <c r="D629" s="31"/>
      <c r="F629" s="31"/>
      <c r="G629" s="31"/>
    </row>
    <row r="630">
      <c r="C630" s="31"/>
      <c r="D630" s="31"/>
      <c r="F630" s="31"/>
      <c r="G630" s="31"/>
    </row>
    <row r="631">
      <c r="C631" s="31"/>
      <c r="D631" s="31"/>
      <c r="F631" s="31"/>
      <c r="G631" s="31"/>
    </row>
    <row r="632">
      <c r="C632" s="31"/>
      <c r="D632" s="31"/>
      <c r="F632" s="31"/>
      <c r="G632" s="31"/>
    </row>
    <row r="633">
      <c r="C633" s="31"/>
      <c r="D633" s="31"/>
      <c r="F633" s="31"/>
      <c r="G633" s="31"/>
    </row>
    <row r="634">
      <c r="C634" s="31"/>
      <c r="D634" s="31"/>
      <c r="F634" s="31"/>
      <c r="G634" s="31"/>
    </row>
    <row r="635">
      <c r="C635" s="31"/>
      <c r="D635" s="31"/>
      <c r="F635" s="31"/>
      <c r="G635" s="31"/>
    </row>
    <row r="636">
      <c r="C636" s="31"/>
      <c r="D636" s="31"/>
      <c r="F636" s="31"/>
      <c r="G636" s="31"/>
    </row>
    <row r="637">
      <c r="C637" s="31"/>
      <c r="D637" s="31"/>
      <c r="F637" s="31"/>
      <c r="G637" s="31"/>
    </row>
    <row r="638">
      <c r="C638" s="31"/>
      <c r="D638" s="31"/>
      <c r="F638" s="31"/>
      <c r="G638" s="31"/>
    </row>
    <row r="639">
      <c r="C639" s="31"/>
      <c r="D639" s="31"/>
      <c r="F639" s="31"/>
      <c r="G639" s="31"/>
    </row>
    <row r="640">
      <c r="C640" s="31"/>
      <c r="D640" s="31"/>
      <c r="F640" s="31"/>
      <c r="G640" s="31"/>
    </row>
    <row r="641">
      <c r="C641" s="31"/>
      <c r="D641" s="31"/>
      <c r="F641" s="31"/>
      <c r="G641" s="31"/>
    </row>
    <row r="642">
      <c r="C642" s="31"/>
      <c r="D642" s="31"/>
      <c r="F642" s="31"/>
      <c r="G642" s="31"/>
    </row>
    <row r="643">
      <c r="C643" s="31"/>
      <c r="D643" s="31"/>
      <c r="F643" s="31"/>
      <c r="G643" s="31"/>
    </row>
    <row r="644">
      <c r="C644" s="31"/>
      <c r="D644" s="31"/>
      <c r="F644" s="31"/>
      <c r="G644" s="31"/>
    </row>
    <row r="645">
      <c r="C645" s="31"/>
      <c r="D645" s="31"/>
      <c r="F645" s="31"/>
      <c r="G645" s="31"/>
    </row>
    <row r="646">
      <c r="C646" s="31"/>
      <c r="D646" s="31"/>
      <c r="F646" s="31"/>
      <c r="G646" s="31"/>
    </row>
    <row r="647">
      <c r="C647" s="31"/>
      <c r="D647" s="31"/>
      <c r="F647" s="31"/>
      <c r="G647" s="31"/>
    </row>
    <row r="648">
      <c r="C648" s="31"/>
      <c r="D648" s="31"/>
      <c r="F648" s="31"/>
      <c r="G648" s="31"/>
    </row>
    <row r="649">
      <c r="C649" s="31"/>
      <c r="D649" s="31"/>
      <c r="F649" s="31"/>
      <c r="G649" s="31"/>
    </row>
    <row r="650">
      <c r="C650" s="31"/>
      <c r="D650" s="31"/>
      <c r="F650" s="31"/>
      <c r="G650" s="31"/>
    </row>
    <row r="651">
      <c r="C651" s="31"/>
      <c r="D651" s="31"/>
      <c r="F651" s="31"/>
      <c r="G651" s="31"/>
    </row>
    <row r="652">
      <c r="C652" s="31"/>
      <c r="D652" s="31"/>
      <c r="F652" s="31"/>
      <c r="G652" s="31"/>
    </row>
    <row r="653">
      <c r="C653" s="31"/>
      <c r="D653" s="31"/>
      <c r="F653" s="31"/>
      <c r="G653" s="31"/>
    </row>
    <row r="654">
      <c r="C654" s="31"/>
      <c r="D654" s="31"/>
      <c r="F654" s="31"/>
      <c r="G654" s="31"/>
    </row>
    <row r="655">
      <c r="C655" s="31"/>
      <c r="D655" s="31"/>
      <c r="F655" s="31"/>
      <c r="G655" s="31"/>
    </row>
    <row r="656">
      <c r="C656" s="31"/>
      <c r="D656" s="31"/>
      <c r="F656" s="31"/>
      <c r="G656" s="31"/>
    </row>
    <row r="657">
      <c r="C657" s="31"/>
      <c r="D657" s="31"/>
      <c r="F657" s="31"/>
      <c r="G657" s="31"/>
    </row>
    <row r="658">
      <c r="C658" s="31"/>
      <c r="D658" s="31"/>
      <c r="F658" s="31"/>
      <c r="G658" s="31"/>
    </row>
    <row r="659">
      <c r="C659" s="31"/>
      <c r="D659" s="31"/>
      <c r="F659" s="31"/>
      <c r="G659" s="31"/>
    </row>
    <row r="660">
      <c r="C660" s="31"/>
      <c r="D660" s="31"/>
      <c r="F660" s="31"/>
      <c r="G660" s="31"/>
    </row>
    <row r="661">
      <c r="C661" s="31"/>
      <c r="D661" s="31"/>
      <c r="F661" s="31"/>
      <c r="G661" s="31"/>
    </row>
    <row r="662">
      <c r="C662" s="31"/>
      <c r="D662" s="31"/>
      <c r="F662" s="31"/>
      <c r="G662" s="31"/>
    </row>
    <row r="663">
      <c r="C663" s="31"/>
      <c r="D663" s="31"/>
      <c r="F663" s="31"/>
      <c r="G663" s="31"/>
    </row>
    <row r="664">
      <c r="C664" s="31"/>
      <c r="D664" s="31"/>
      <c r="F664" s="31"/>
      <c r="G664" s="31"/>
    </row>
    <row r="665">
      <c r="C665" s="31"/>
      <c r="D665" s="31"/>
      <c r="F665" s="31"/>
      <c r="G665" s="31"/>
    </row>
    <row r="666">
      <c r="C666" s="31"/>
      <c r="D666" s="31"/>
      <c r="F666" s="31"/>
      <c r="G666" s="31"/>
    </row>
    <row r="667">
      <c r="C667" s="31"/>
      <c r="D667" s="31"/>
      <c r="F667" s="31"/>
      <c r="G667" s="31"/>
    </row>
    <row r="668">
      <c r="C668" s="31"/>
      <c r="D668" s="31"/>
      <c r="F668" s="31"/>
      <c r="G668" s="31"/>
    </row>
    <row r="669">
      <c r="C669" s="31"/>
      <c r="D669" s="31"/>
      <c r="F669" s="31"/>
      <c r="G669" s="31"/>
    </row>
    <row r="670">
      <c r="C670" s="31"/>
      <c r="D670" s="31"/>
      <c r="F670" s="31"/>
      <c r="G670" s="31"/>
    </row>
    <row r="671">
      <c r="C671" s="31"/>
      <c r="D671" s="31"/>
      <c r="F671" s="31"/>
      <c r="G671" s="31"/>
    </row>
    <row r="672">
      <c r="C672" s="31"/>
      <c r="D672" s="31"/>
      <c r="F672" s="31"/>
      <c r="G672" s="31"/>
    </row>
    <row r="673">
      <c r="C673" s="31"/>
      <c r="D673" s="31"/>
      <c r="F673" s="31"/>
      <c r="G673" s="31"/>
    </row>
    <row r="674">
      <c r="C674" s="31"/>
      <c r="D674" s="31"/>
      <c r="F674" s="31"/>
      <c r="G674" s="31"/>
    </row>
    <row r="675">
      <c r="C675" s="31"/>
      <c r="D675" s="31"/>
      <c r="F675" s="31"/>
      <c r="G675" s="31"/>
    </row>
    <row r="676">
      <c r="C676" s="31"/>
      <c r="D676" s="31"/>
      <c r="F676" s="31"/>
      <c r="G676" s="31"/>
    </row>
    <row r="677">
      <c r="C677" s="31"/>
      <c r="D677" s="31"/>
      <c r="F677" s="31"/>
      <c r="G677" s="31"/>
    </row>
    <row r="678">
      <c r="C678" s="31"/>
      <c r="D678" s="31"/>
      <c r="F678" s="31"/>
      <c r="G678" s="31"/>
    </row>
    <row r="679">
      <c r="C679" s="31"/>
      <c r="D679" s="31"/>
      <c r="F679" s="31"/>
      <c r="G679" s="31"/>
    </row>
    <row r="680">
      <c r="C680" s="31"/>
      <c r="D680" s="31"/>
      <c r="F680" s="31"/>
      <c r="G680" s="31"/>
    </row>
    <row r="681">
      <c r="C681" s="31"/>
      <c r="D681" s="31"/>
      <c r="F681" s="31"/>
      <c r="G681" s="31"/>
    </row>
    <row r="682">
      <c r="C682" s="31"/>
      <c r="D682" s="31"/>
      <c r="F682" s="31"/>
      <c r="G682" s="31"/>
    </row>
    <row r="683">
      <c r="C683" s="31"/>
      <c r="D683" s="31"/>
      <c r="F683" s="31"/>
      <c r="G683" s="31"/>
    </row>
    <row r="684">
      <c r="C684" s="31"/>
      <c r="D684" s="31"/>
      <c r="F684" s="31"/>
      <c r="G684" s="31"/>
    </row>
    <row r="685">
      <c r="C685" s="31"/>
      <c r="D685" s="31"/>
      <c r="F685" s="31"/>
      <c r="G685" s="31"/>
    </row>
    <row r="686">
      <c r="C686" s="31"/>
      <c r="D686" s="31"/>
      <c r="F686" s="31"/>
      <c r="G686" s="31"/>
    </row>
    <row r="687">
      <c r="C687" s="31"/>
      <c r="D687" s="31"/>
      <c r="F687" s="31"/>
      <c r="G687" s="31"/>
    </row>
    <row r="688">
      <c r="C688" s="31"/>
      <c r="D688" s="31"/>
      <c r="F688" s="31"/>
      <c r="G688" s="31"/>
    </row>
    <row r="689">
      <c r="C689" s="31"/>
      <c r="D689" s="31"/>
      <c r="F689" s="31"/>
      <c r="G689" s="31"/>
    </row>
    <row r="690">
      <c r="C690" s="31"/>
      <c r="D690" s="31"/>
      <c r="F690" s="31"/>
      <c r="G690" s="31"/>
    </row>
    <row r="691">
      <c r="C691" s="31"/>
      <c r="D691" s="31"/>
      <c r="F691" s="31"/>
      <c r="G691" s="31"/>
    </row>
    <row r="692">
      <c r="C692" s="31"/>
      <c r="D692" s="31"/>
      <c r="F692" s="31"/>
      <c r="G692" s="31"/>
    </row>
    <row r="693">
      <c r="C693" s="31"/>
      <c r="D693" s="31"/>
      <c r="F693" s="31"/>
      <c r="G693" s="31"/>
    </row>
    <row r="694">
      <c r="C694" s="31"/>
      <c r="D694" s="31"/>
      <c r="F694" s="31"/>
      <c r="G694" s="31"/>
    </row>
    <row r="695">
      <c r="C695" s="31"/>
      <c r="D695" s="31"/>
      <c r="F695" s="31"/>
      <c r="G695" s="31"/>
    </row>
    <row r="696">
      <c r="C696" s="31"/>
      <c r="D696" s="31"/>
      <c r="F696" s="31"/>
      <c r="G696" s="31"/>
    </row>
    <row r="697">
      <c r="C697" s="31"/>
      <c r="D697" s="31"/>
      <c r="F697" s="31"/>
      <c r="G697" s="31"/>
    </row>
    <row r="698">
      <c r="C698" s="31"/>
      <c r="D698" s="31"/>
      <c r="F698" s="31"/>
      <c r="G698" s="31"/>
    </row>
    <row r="699">
      <c r="C699" s="31"/>
      <c r="D699" s="31"/>
      <c r="F699" s="31"/>
      <c r="G699" s="31"/>
    </row>
    <row r="700">
      <c r="C700" s="31"/>
      <c r="D700" s="31"/>
      <c r="F700" s="31"/>
      <c r="G700" s="31"/>
    </row>
    <row r="701">
      <c r="C701" s="31"/>
      <c r="D701" s="31"/>
      <c r="F701" s="31"/>
      <c r="G701" s="31"/>
    </row>
    <row r="702">
      <c r="C702" s="31"/>
      <c r="D702" s="31"/>
      <c r="F702" s="31"/>
      <c r="G702" s="31"/>
    </row>
    <row r="703">
      <c r="C703" s="31"/>
      <c r="D703" s="31"/>
      <c r="F703" s="31"/>
      <c r="G703" s="31"/>
    </row>
    <row r="704">
      <c r="C704" s="31"/>
      <c r="D704" s="31"/>
      <c r="F704" s="31"/>
      <c r="G704" s="31"/>
    </row>
    <row r="705">
      <c r="C705" s="31"/>
      <c r="D705" s="31"/>
      <c r="F705" s="31"/>
      <c r="G705" s="31"/>
    </row>
    <row r="706">
      <c r="C706" s="31"/>
      <c r="D706" s="31"/>
      <c r="F706" s="31"/>
      <c r="G706" s="31"/>
    </row>
    <row r="707">
      <c r="C707" s="31"/>
      <c r="D707" s="31"/>
      <c r="F707" s="31"/>
      <c r="G707" s="31"/>
    </row>
    <row r="708">
      <c r="C708" s="31"/>
      <c r="D708" s="31"/>
      <c r="F708" s="31"/>
      <c r="G708" s="31"/>
    </row>
    <row r="709">
      <c r="C709" s="31"/>
      <c r="D709" s="31"/>
      <c r="F709" s="31"/>
      <c r="G709" s="31"/>
    </row>
    <row r="710">
      <c r="C710" s="31"/>
      <c r="D710" s="31"/>
      <c r="F710" s="31"/>
      <c r="G710" s="31"/>
    </row>
    <row r="711">
      <c r="C711" s="31"/>
      <c r="D711" s="31"/>
      <c r="F711" s="31"/>
      <c r="G711" s="31"/>
    </row>
    <row r="712">
      <c r="C712" s="31"/>
      <c r="D712" s="31"/>
      <c r="F712" s="31"/>
      <c r="G712" s="31"/>
    </row>
    <row r="713">
      <c r="C713" s="31"/>
      <c r="D713" s="31"/>
      <c r="F713" s="31"/>
      <c r="G713" s="31"/>
    </row>
    <row r="714">
      <c r="C714" s="31"/>
      <c r="D714" s="31"/>
      <c r="F714" s="31"/>
      <c r="G714" s="31"/>
    </row>
    <row r="715">
      <c r="C715" s="31"/>
      <c r="D715" s="31"/>
      <c r="F715" s="31"/>
      <c r="G715" s="31"/>
    </row>
    <row r="716">
      <c r="C716" s="31"/>
      <c r="D716" s="31"/>
      <c r="F716" s="31"/>
      <c r="G716" s="31"/>
    </row>
    <row r="717">
      <c r="C717" s="31"/>
      <c r="D717" s="31"/>
      <c r="F717" s="31"/>
      <c r="G717" s="31"/>
    </row>
    <row r="718">
      <c r="C718" s="31"/>
      <c r="D718" s="31"/>
      <c r="F718" s="31"/>
      <c r="G718" s="31"/>
    </row>
    <row r="719">
      <c r="C719" s="31"/>
      <c r="D719" s="31"/>
      <c r="F719" s="31"/>
      <c r="G719" s="31"/>
    </row>
    <row r="720">
      <c r="C720" s="31"/>
      <c r="D720" s="31"/>
      <c r="F720" s="31"/>
      <c r="G720" s="31"/>
    </row>
    <row r="721">
      <c r="C721" s="31"/>
      <c r="D721" s="31"/>
      <c r="F721" s="31"/>
      <c r="G721" s="31"/>
    </row>
    <row r="722">
      <c r="C722" s="31"/>
      <c r="D722" s="31"/>
      <c r="F722" s="31"/>
      <c r="G722" s="31"/>
    </row>
    <row r="723">
      <c r="C723" s="31"/>
      <c r="D723" s="31"/>
      <c r="F723" s="31"/>
      <c r="G723" s="31"/>
    </row>
    <row r="724">
      <c r="C724" s="31"/>
      <c r="D724" s="31"/>
      <c r="F724" s="31"/>
      <c r="G724" s="31"/>
    </row>
    <row r="725">
      <c r="C725" s="31"/>
      <c r="D725" s="31"/>
      <c r="F725" s="31"/>
      <c r="G725" s="31"/>
    </row>
    <row r="726">
      <c r="C726" s="31"/>
      <c r="D726" s="31"/>
      <c r="F726" s="31"/>
      <c r="G726" s="31"/>
    </row>
    <row r="727">
      <c r="C727" s="31"/>
      <c r="D727" s="31"/>
      <c r="F727" s="31"/>
      <c r="G727" s="31"/>
    </row>
    <row r="728">
      <c r="C728" s="31"/>
      <c r="D728" s="31"/>
      <c r="F728" s="31"/>
      <c r="G728" s="31"/>
    </row>
    <row r="729">
      <c r="C729" s="31"/>
      <c r="D729" s="31"/>
      <c r="F729" s="31"/>
      <c r="G729" s="31"/>
    </row>
    <row r="730">
      <c r="C730" s="31"/>
      <c r="D730" s="31"/>
      <c r="F730" s="31"/>
      <c r="G730" s="31"/>
    </row>
    <row r="731">
      <c r="C731" s="31"/>
      <c r="D731" s="31"/>
      <c r="F731" s="31"/>
      <c r="G731" s="31"/>
    </row>
    <row r="732">
      <c r="C732" s="31"/>
      <c r="D732" s="31"/>
      <c r="F732" s="31"/>
      <c r="G732" s="31"/>
    </row>
    <row r="733">
      <c r="C733" s="31"/>
      <c r="D733" s="31"/>
      <c r="F733" s="31"/>
      <c r="G733" s="31"/>
    </row>
    <row r="734">
      <c r="C734" s="31"/>
      <c r="D734" s="31"/>
      <c r="F734" s="31"/>
      <c r="G734" s="31"/>
    </row>
    <row r="735">
      <c r="C735" s="31"/>
      <c r="D735" s="31"/>
      <c r="F735" s="31"/>
      <c r="G735" s="31"/>
    </row>
    <row r="736">
      <c r="C736" s="31"/>
      <c r="D736" s="31"/>
      <c r="F736" s="31"/>
      <c r="G736" s="31"/>
    </row>
    <row r="737">
      <c r="C737" s="31"/>
      <c r="D737" s="31"/>
      <c r="F737" s="31"/>
      <c r="G737" s="31"/>
    </row>
    <row r="738">
      <c r="C738" s="31"/>
      <c r="D738" s="31"/>
      <c r="F738" s="31"/>
      <c r="G738" s="31"/>
    </row>
    <row r="739">
      <c r="C739" s="31"/>
      <c r="D739" s="31"/>
      <c r="F739" s="31"/>
      <c r="G739" s="31"/>
    </row>
    <row r="740">
      <c r="C740" s="31"/>
      <c r="D740" s="31"/>
      <c r="F740" s="31"/>
      <c r="G740" s="31"/>
    </row>
    <row r="741">
      <c r="C741" s="31"/>
      <c r="D741" s="31"/>
      <c r="F741" s="31"/>
      <c r="G741" s="31"/>
    </row>
    <row r="742">
      <c r="C742" s="31"/>
      <c r="D742" s="31"/>
      <c r="F742" s="31"/>
      <c r="G742" s="31"/>
    </row>
    <row r="743">
      <c r="C743" s="31"/>
      <c r="D743" s="31"/>
      <c r="F743" s="31"/>
      <c r="G743" s="31"/>
    </row>
    <row r="744">
      <c r="C744" s="31"/>
      <c r="D744" s="31"/>
      <c r="F744" s="31"/>
      <c r="G744" s="31"/>
    </row>
    <row r="745">
      <c r="C745" s="31"/>
      <c r="D745" s="31"/>
      <c r="F745" s="31"/>
      <c r="G745" s="31"/>
    </row>
    <row r="746">
      <c r="C746" s="31"/>
      <c r="D746" s="31"/>
      <c r="F746" s="31"/>
      <c r="G746" s="31"/>
    </row>
    <row r="747">
      <c r="C747" s="31"/>
      <c r="D747" s="31"/>
      <c r="F747" s="31"/>
      <c r="G747" s="31"/>
    </row>
    <row r="748">
      <c r="C748" s="31"/>
      <c r="D748" s="31"/>
      <c r="F748" s="31"/>
      <c r="G748" s="31"/>
    </row>
    <row r="749">
      <c r="C749" s="31"/>
      <c r="D749" s="31"/>
      <c r="F749" s="31"/>
      <c r="G749" s="31"/>
    </row>
    <row r="750">
      <c r="C750" s="31"/>
      <c r="D750" s="31"/>
      <c r="F750" s="31"/>
      <c r="G750" s="31"/>
    </row>
    <row r="751">
      <c r="C751" s="31"/>
      <c r="D751" s="31"/>
      <c r="F751" s="31"/>
      <c r="G751" s="31"/>
    </row>
    <row r="752">
      <c r="C752" s="31"/>
      <c r="D752" s="31"/>
      <c r="F752" s="31"/>
      <c r="G752" s="31"/>
    </row>
    <row r="753">
      <c r="C753" s="31"/>
      <c r="D753" s="31"/>
      <c r="F753" s="31"/>
      <c r="G753" s="31"/>
    </row>
    <row r="754">
      <c r="C754" s="31"/>
      <c r="D754" s="31"/>
      <c r="F754" s="31"/>
      <c r="G754" s="31"/>
    </row>
    <row r="755">
      <c r="C755" s="31"/>
      <c r="D755" s="31"/>
      <c r="F755" s="31"/>
      <c r="G755" s="31"/>
    </row>
    <row r="756">
      <c r="C756" s="31"/>
      <c r="D756" s="31"/>
      <c r="F756" s="31"/>
      <c r="G756" s="31"/>
    </row>
    <row r="757">
      <c r="C757" s="31"/>
      <c r="D757" s="31"/>
      <c r="F757" s="31"/>
      <c r="G757" s="31"/>
    </row>
    <row r="758">
      <c r="C758" s="31"/>
      <c r="D758" s="31"/>
      <c r="F758" s="31"/>
      <c r="G758" s="31"/>
    </row>
    <row r="759">
      <c r="C759" s="31"/>
      <c r="D759" s="31"/>
      <c r="F759" s="31"/>
      <c r="G759" s="31"/>
    </row>
    <row r="760">
      <c r="C760" s="31"/>
      <c r="D760" s="31"/>
      <c r="F760" s="31"/>
      <c r="G760" s="31"/>
    </row>
    <row r="761">
      <c r="C761" s="31"/>
      <c r="D761" s="31"/>
      <c r="F761" s="31"/>
      <c r="G761" s="31"/>
    </row>
    <row r="762">
      <c r="C762" s="31"/>
      <c r="D762" s="31"/>
      <c r="F762" s="31"/>
      <c r="G762" s="31"/>
    </row>
    <row r="763">
      <c r="C763" s="31"/>
      <c r="D763" s="31"/>
      <c r="F763" s="31"/>
      <c r="G763" s="31"/>
    </row>
    <row r="764">
      <c r="C764" s="31"/>
      <c r="D764" s="31"/>
      <c r="F764" s="31"/>
      <c r="G764" s="31"/>
    </row>
    <row r="765">
      <c r="C765" s="31"/>
      <c r="D765" s="31"/>
      <c r="F765" s="31"/>
      <c r="G765" s="31"/>
    </row>
    <row r="766">
      <c r="C766" s="31"/>
      <c r="D766" s="31"/>
      <c r="F766" s="31"/>
      <c r="G766" s="31"/>
    </row>
    <row r="767">
      <c r="C767" s="31"/>
      <c r="D767" s="31"/>
      <c r="F767" s="31"/>
      <c r="G767" s="31"/>
    </row>
    <row r="768">
      <c r="C768" s="31"/>
      <c r="D768" s="31"/>
      <c r="F768" s="31"/>
      <c r="G768" s="31"/>
    </row>
    <row r="769">
      <c r="C769" s="31"/>
      <c r="D769" s="31"/>
      <c r="F769" s="31"/>
      <c r="G769" s="31"/>
    </row>
    <row r="770">
      <c r="C770" s="31"/>
      <c r="D770" s="31"/>
      <c r="F770" s="31"/>
      <c r="G770" s="31"/>
    </row>
    <row r="771">
      <c r="C771" s="31"/>
      <c r="D771" s="31"/>
      <c r="F771" s="31"/>
      <c r="G771" s="31"/>
    </row>
    <row r="772">
      <c r="C772" s="31"/>
      <c r="D772" s="31"/>
      <c r="F772" s="31"/>
      <c r="G772" s="31"/>
    </row>
    <row r="773">
      <c r="C773" s="31"/>
      <c r="D773" s="31"/>
      <c r="F773" s="31"/>
      <c r="G773" s="31"/>
    </row>
    <row r="774">
      <c r="C774" s="31"/>
      <c r="D774" s="31"/>
      <c r="F774" s="31"/>
      <c r="G774" s="31"/>
    </row>
    <row r="775">
      <c r="C775" s="31"/>
      <c r="D775" s="31"/>
      <c r="F775" s="31"/>
      <c r="G775" s="31"/>
    </row>
    <row r="776">
      <c r="C776" s="31"/>
      <c r="D776" s="31"/>
      <c r="F776" s="31"/>
      <c r="G776" s="31"/>
    </row>
    <row r="777">
      <c r="C777" s="31"/>
      <c r="D777" s="31"/>
      <c r="F777" s="31"/>
      <c r="G777" s="31"/>
    </row>
    <row r="778">
      <c r="C778" s="31"/>
      <c r="D778" s="31"/>
      <c r="F778" s="31"/>
      <c r="G778" s="31"/>
    </row>
    <row r="779">
      <c r="C779" s="31"/>
      <c r="D779" s="31"/>
      <c r="F779" s="31"/>
      <c r="G779" s="31"/>
    </row>
    <row r="780">
      <c r="C780" s="31"/>
      <c r="D780" s="31"/>
      <c r="F780" s="31"/>
      <c r="G780" s="31"/>
    </row>
    <row r="781">
      <c r="C781" s="31"/>
      <c r="D781" s="31"/>
      <c r="F781" s="31"/>
      <c r="G781" s="31"/>
    </row>
    <row r="782">
      <c r="C782" s="31"/>
      <c r="D782" s="31"/>
      <c r="F782" s="31"/>
      <c r="G782" s="31"/>
    </row>
    <row r="783">
      <c r="C783" s="31"/>
      <c r="D783" s="31"/>
      <c r="F783" s="31"/>
      <c r="G783" s="31"/>
    </row>
    <row r="784">
      <c r="C784" s="31"/>
      <c r="D784" s="31"/>
      <c r="F784" s="31"/>
      <c r="G784" s="31"/>
    </row>
    <row r="785">
      <c r="C785" s="31"/>
      <c r="D785" s="31"/>
      <c r="F785" s="31"/>
      <c r="G785" s="31"/>
    </row>
    <row r="786">
      <c r="C786" s="31"/>
      <c r="D786" s="31"/>
      <c r="F786" s="31"/>
      <c r="G786" s="31"/>
    </row>
    <row r="787">
      <c r="C787" s="31"/>
      <c r="D787" s="31"/>
      <c r="F787" s="31"/>
      <c r="G787" s="31"/>
    </row>
    <row r="788">
      <c r="C788" s="31"/>
      <c r="D788" s="31"/>
      <c r="F788" s="31"/>
      <c r="G788" s="31"/>
    </row>
    <row r="789">
      <c r="C789" s="31"/>
      <c r="D789" s="31"/>
      <c r="F789" s="31"/>
      <c r="G789" s="31"/>
    </row>
    <row r="790">
      <c r="C790" s="31"/>
      <c r="D790" s="31"/>
      <c r="F790" s="31"/>
      <c r="G790" s="31"/>
    </row>
    <row r="791">
      <c r="C791" s="31"/>
      <c r="D791" s="31"/>
      <c r="F791" s="31"/>
      <c r="G791" s="31"/>
    </row>
    <row r="792">
      <c r="C792" s="31"/>
      <c r="D792" s="31"/>
      <c r="F792" s="31"/>
      <c r="G792" s="31"/>
    </row>
    <row r="793">
      <c r="C793" s="31"/>
      <c r="D793" s="31"/>
      <c r="F793" s="31"/>
      <c r="G793" s="31"/>
    </row>
    <row r="794">
      <c r="C794" s="31"/>
      <c r="D794" s="31"/>
      <c r="F794" s="31"/>
      <c r="G794" s="31"/>
    </row>
    <row r="795">
      <c r="C795" s="31"/>
      <c r="D795" s="31"/>
      <c r="F795" s="31"/>
      <c r="G795" s="31"/>
    </row>
    <row r="796">
      <c r="C796" s="31"/>
      <c r="D796" s="31"/>
      <c r="F796" s="31"/>
      <c r="G796" s="31"/>
    </row>
    <row r="797">
      <c r="C797" s="31"/>
      <c r="D797" s="31"/>
      <c r="F797" s="31"/>
      <c r="G797" s="31"/>
    </row>
    <row r="798">
      <c r="C798" s="31"/>
      <c r="D798" s="31"/>
      <c r="F798" s="31"/>
      <c r="G798" s="31"/>
    </row>
    <row r="799">
      <c r="C799" s="31"/>
      <c r="D799" s="31"/>
      <c r="F799" s="31"/>
      <c r="G799" s="31"/>
    </row>
    <row r="800">
      <c r="C800" s="31"/>
      <c r="D800" s="31"/>
      <c r="F800" s="31"/>
      <c r="G800" s="31"/>
    </row>
    <row r="801">
      <c r="C801" s="31"/>
      <c r="D801" s="31"/>
      <c r="F801" s="31"/>
      <c r="G801" s="31"/>
    </row>
    <row r="802">
      <c r="C802" s="31"/>
      <c r="D802" s="31"/>
      <c r="F802" s="31"/>
      <c r="G802" s="31"/>
    </row>
    <row r="803">
      <c r="C803" s="31"/>
      <c r="D803" s="31"/>
      <c r="F803" s="31"/>
      <c r="G803" s="31"/>
    </row>
    <row r="804">
      <c r="C804" s="31"/>
      <c r="D804" s="31"/>
      <c r="F804" s="31"/>
      <c r="G804" s="31"/>
    </row>
    <row r="805">
      <c r="C805" s="31"/>
      <c r="D805" s="31"/>
      <c r="F805" s="31"/>
      <c r="G805" s="31"/>
    </row>
    <row r="806">
      <c r="C806" s="31"/>
      <c r="D806" s="31"/>
      <c r="F806" s="31"/>
      <c r="G806" s="31"/>
    </row>
    <row r="807">
      <c r="C807" s="31"/>
      <c r="D807" s="31"/>
      <c r="F807" s="31"/>
      <c r="G807" s="31"/>
    </row>
    <row r="808">
      <c r="C808" s="31"/>
      <c r="D808" s="31"/>
      <c r="F808" s="31"/>
      <c r="G808" s="31"/>
    </row>
    <row r="809">
      <c r="C809" s="31"/>
      <c r="D809" s="31"/>
      <c r="F809" s="31"/>
      <c r="G809" s="31"/>
    </row>
    <row r="810">
      <c r="C810" s="31"/>
      <c r="D810" s="31"/>
      <c r="F810" s="31"/>
      <c r="G810" s="31"/>
    </row>
    <row r="811">
      <c r="C811" s="31"/>
      <c r="D811" s="31"/>
      <c r="F811" s="31"/>
      <c r="G811" s="31"/>
    </row>
    <row r="812">
      <c r="C812" s="31"/>
      <c r="D812" s="31"/>
      <c r="F812" s="31"/>
      <c r="G812" s="31"/>
    </row>
    <row r="813">
      <c r="C813" s="31"/>
      <c r="D813" s="31"/>
      <c r="F813" s="31"/>
      <c r="G813" s="31"/>
    </row>
    <row r="814">
      <c r="C814" s="31"/>
      <c r="D814" s="31"/>
      <c r="F814" s="31"/>
      <c r="G814" s="31"/>
    </row>
    <row r="815">
      <c r="C815" s="31"/>
      <c r="D815" s="31"/>
      <c r="F815" s="31"/>
      <c r="G815" s="31"/>
    </row>
    <row r="816">
      <c r="C816" s="31"/>
      <c r="D816" s="31"/>
      <c r="F816" s="31"/>
      <c r="G816" s="31"/>
    </row>
    <row r="817">
      <c r="C817" s="31"/>
      <c r="D817" s="31"/>
      <c r="F817" s="31"/>
      <c r="G817" s="31"/>
    </row>
    <row r="818">
      <c r="C818" s="31"/>
      <c r="D818" s="31"/>
      <c r="F818" s="31"/>
      <c r="G818" s="31"/>
    </row>
    <row r="819">
      <c r="C819" s="31"/>
      <c r="D819" s="31"/>
      <c r="F819" s="31"/>
      <c r="G819" s="31"/>
    </row>
    <row r="820">
      <c r="C820" s="31"/>
      <c r="D820" s="31"/>
      <c r="F820" s="31"/>
      <c r="G820" s="31"/>
    </row>
    <row r="821">
      <c r="C821" s="31"/>
      <c r="D821" s="31"/>
      <c r="F821" s="31"/>
      <c r="G821" s="31"/>
    </row>
    <row r="822">
      <c r="C822" s="31"/>
      <c r="D822" s="31"/>
      <c r="F822" s="31"/>
      <c r="G822" s="31"/>
    </row>
    <row r="823">
      <c r="C823" s="31"/>
      <c r="D823" s="31"/>
      <c r="F823" s="31"/>
      <c r="G823" s="31"/>
    </row>
    <row r="824">
      <c r="C824" s="31"/>
      <c r="D824" s="31"/>
      <c r="F824" s="31"/>
      <c r="G824" s="31"/>
    </row>
    <row r="825">
      <c r="C825" s="31"/>
      <c r="D825" s="31"/>
      <c r="F825" s="31"/>
      <c r="G825" s="31"/>
    </row>
    <row r="826">
      <c r="C826" s="31"/>
      <c r="D826" s="31"/>
      <c r="F826" s="31"/>
      <c r="G826" s="31"/>
    </row>
    <row r="827">
      <c r="C827" s="31"/>
      <c r="D827" s="31"/>
      <c r="F827" s="31"/>
      <c r="G827" s="31"/>
    </row>
    <row r="828">
      <c r="C828" s="31"/>
      <c r="D828" s="31"/>
      <c r="F828" s="31"/>
      <c r="G828" s="31"/>
    </row>
    <row r="829">
      <c r="C829" s="31"/>
      <c r="D829" s="31"/>
      <c r="F829" s="31"/>
      <c r="G829" s="31"/>
    </row>
    <row r="830">
      <c r="C830" s="31"/>
      <c r="D830" s="31"/>
      <c r="F830" s="31"/>
      <c r="G830" s="31"/>
    </row>
    <row r="831">
      <c r="C831" s="31"/>
      <c r="D831" s="31"/>
      <c r="F831" s="31"/>
      <c r="G831" s="31"/>
    </row>
    <row r="832">
      <c r="C832" s="31"/>
      <c r="D832" s="31"/>
      <c r="F832" s="31"/>
      <c r="G832" s="31"/>
    </row>
    <row r="833">
      <c r="C833" s="31"/>
      <c r="D833" s="31"/>
      <c r="F833" s="31"/>
      <c r="G833" s="31"/>
    </row>
    <row r="834">
      <c r="C834" s="31"/>
      <c r="D834" s="31"/>
      <c r="F834" s="31"/>
      <c r="G834" s="31"/>
    </row>
    <row r="835">
      <c r="C835" s="31"/>
      <c r="D835" s="31"/>
      <c r="F835" s="31"/>
      <c r="G835" s="31"/>
    </row>
    <row r="836">
      <c r="C836" s="31"/>
      <c r="D836" s="31"/>
      <c r="F836" s="31"/>
      <c r="G836" s="31"/>
    </row>
    <row r="837">
      <c r="C837" s="31"/>
      <c r="D837" s="31"/>
      <c r="F837" s="31"/>
      <c r="G837" s="31"/>
    </row>
    <row r="838">
      <c r="C838" s="31"/>
      <c r="D838" s="31"/>
      <c r="F838" s="31"/>
      <c r="G838" s="31"/>
    </row>
    <row r="839">
      <c r="C839" s="31"/>
      <c r="D839" s="31"/>
      <c r="F839" s="31"/>
      <c r="G839" s="31"/>
    </row>
    <row r="840">
      <c r="C840" s="31"/>
      <c r="D840" s="31"/>
      <c r="F840" s="31"/>
      <c r="G840" s="31"/>
    </row>
    <row r="841">
      <c r="C841" s="31"/>
      <c r="D841" s="31"/>
      <c r="F841" s="31"/>
      <c r="G841" s="31"/>
    </row>
    <row r="842">
      <c r="C842" s="31"/>
      <c r="D842" s="31"/>
      <c r="F842" s="31"/>
      <c r="G842" s="31"/>
    </row>
    <row r="843">
      <c r="C843" s="31"/>
      <c r="D843" s="31"/>
      <c r="F843" s="31"/>
      <c r="G843" s="31"/>
    </row>
    <row r="844">
      <c r="C844" s="31"/>
      <c r="D844" s="31"/>
      <c r="F844" s="31"/>
      <c r="G844" s="31"/>
    </row>
    <row r="845">
      <c r="C845" s="31"/>
      <c r="D845" s="31"/>
      <c r="F845" s="31"/>
      <c r="G845" s="31"/>
    </row>
    <row r="846">
      <c r="C846" s="31"/>
      <c r="D846" s="31"/>
      <c r="F846" s="31"/>
      <c r="G846" s="31"/>
    </row>
    <row r="847">
      <c r="C847" s="31"/>
      <c r="D847" s="31"/>
      <c r="F847" s="31"/>
      <c r="G847" s="31"/>
    </row>
    <row r="848">
      <c r="C848" s="31"/>
      <c r="D848" s="31"/>
      <c r="F848" s="31"/>
      <c r="G848" s="31"/>
    </row>
    <row r="849">
      <c r="C849" s="31"/>
      <c r="D849" s="31"/>
      <c r="F849" s="31"/>
      <c r="G849" s="31"/>
    </row>
    <row r="850">
      <c r="C850" s="31"/>
      <c r="D850" s="31"/>
      <c r="F850" s="31"/>
      <c r="G850" s="31"/>
    </row>
    <row r="851">
      <c r="C851" s="31"/>
      <c r="D851" s="31"/>
      <c r="F851" s="31"/>
      <c r="G851" s="31"/>
    </row>
    <row r="852">
      <c r="C852" s="31"/>
      <c r="D852" s="31"/>
      <c r="F852" s="31"/>
      <c r="G852" s="31"/>
    </row>
    <row r="853">
      <c r="C853" s="31"/>
      <c r="D853" s="31"/>
      <c r="F853" s="31"/>
      <c r="G853" s="31"/>
    </row>
    <row r="854">
      <c r="C854" s="31"/>
      <c r="D854" s="31"/>
      <c r="F854" s="31"/>
      <c r="G854" s="31"/>
    </row>
    <row r="855">
      <c r="C855" s="31"/>
      <c r="D855" s="31"/>
      <c r="F855" s="31"/>
      <c r="G855" s="31"/>
    </row>
    <row r="856">
      <c r="C856" s="31"/>
      <c r="D856" s="31"/>
      <c r="F856" s="31"/>
      <c r="G856" s="31"/>
    </row>
    <row r="857">
      <c r="C857" s="31"/>
      <c r="D857" s="31"/>
      <c r="F857" s="31"/>
      <c r="G857" s="31"/>
    </row>
    <row r="858">
      <c r="C858" s="31"/>
      <c r="D858" s="31"/>
      <c r="F858" s="31"/>
      <c r="G858" s="31"/>
    </row>
    <row r="859">
      <c r="C859" s="31"/>
      <c r="D859" s="31"/>
      <c r="F859" s="31"/>
      <c r="G859" s="31"/>
    </row>
    <row r="860">
      <c r="C860" s="31"/>
      <c r="D860" s="31"/>
      <c r="F860" s="31"/>
      <c r="G860" s="31"/>
    </row>
    <row r="861">
      <c r="C861" s="31"/>
      <c r="D861" s="31"/>
      <c r="F861" s="31"/>
      <c r="G861" s="31"/>
    </row>
    <row r="862">
      <c r="C862" s="31"/>
      <c r="D862" s="31"/>
      <c r="F862" s="31"/>
      <c r="G862" s="31"/>
    </row>
    <row r="863">
      <c r="C863" s="31"/>
      <c r="D863" s="31"/>
      <c r="F863" s="31"/>
      <c r="G863" s="31"/>
    </row>
    <row r="864">
      <c r="C864" s="31"/>
      <c r="D864" s="31"/>
      <c r="F864" s="31"/>
      <c r="G864" s="31"/>
    </row>
    <row r="865">
      <c r="C865" s="31"/>
      <c r="D865" s="31"/>
      <c r="F865" s="31"/>
      <c r="G865" s="31"/>
    </row>
    <row r="866">
      <c r="C866" s="31"/>
      <c r="D866" s="31"/>
      <c r="F866" s="31"/>
      <c r="G866" s="31"/>
    </row>
    <row r="867">
      <c r="C867" s="31"/>
      <c r="D867" s="31"/>
      <c r="F867" s="31"/>
      <c r="G867" s="31"/>
    </row>
    <row r="868">
      <c r="C868" s="31"/>
      <c r="D868" s="31"/>
      <c r="F868" s="31"/>
      <c r="G868" s="31"/>
    </row>
    <row r="869">
      <c r="C869" s="31"/>
      <c r="D869" s="31"/>
      <c r="F869" s="31"/>
      <c r="G869" s="31"/>
    </row>
    <row r="870">
      <c r="C870" s="31"/>
      <c r="D870" s="31"/>
      <c r="F870" s="31"/>
      <c r="G870" s="31"/>
    </row>
    <row r="871">
      <c r="C871" s="31"/>
      <c r="D871" s="31"/>
      <c r="F871" s="31"/>
      <c r="G871" s="31"/>
    </row>
    <row r="872">
      <c r="C872" s="31"/>
      <c r="D872" s="31"/>
      <c r="F872" s="31"/>
      <c r="G872" s="31"/>
    </row>
    <row r="873">
      <c r="C873" s="31"/>
      <c r="D873" s="31"/>
      <c r="F873" s="31"/>
      <c r="G873" s="31"/>
    </row>
    <row r="874">
      <c r="C874" s="31"/>
      <c r="D874" s="31"/>
      <c r="F874" s="31"/>
      <c r="G874" s="31"/>
    </row>
    <row r="875">
      <c r="C875" s="31"/>
      <c r="D875" s="31"/>
      <c r="F875" s="31"/>
      <c r="G875" s="31"/>
    </row>
    <row r="876">
      <c r="C876" s="31"/>
      <c r="D876" s="31"/>
      <c r="F876" s="31"/>
      <c r="G876" s="31"/>
    </row>
    <row r="877">
      <c r="C877" s="31"/>
      <c r="D877" s="31"/>
      <c r="F877" s="31"/>
      <c r="G877" s="31"/>
    </row>
    <row r="878">
      <c r="C878" s="31"/>
      <c r="D878" s="31"/>
      <c r="F878" s="31"/>
      <c r="G878" s="31"/>
    </row>
    <row r="879">
      <c r="C879" s="31"/>
      <c r="D879" s="31"/>
      <c r="F879" s="31"/>
      <c r="G879" s="31"/>
    </row>
    <row r="880">
      <c r="C880" s="31"/>
      <c r="D880" s="31"/>
      <c r="F880" s="31"/>
      <c r="G880" s="31"/>
    </row>
    <row r="881">
      <c r="C881" s="31"/>
      <c r="D881" s="31"/>
      <c r="F881" s="31"/>
      <c r="G881" s="31"/>
    </row>
    <row r="882">
      <c r="C882" s="31"/>
      <c r="D882" s="31"/>
      <c r="F882" s="31"/>
      <c r="G882" s="31"/>
    </row>
    <row r="883">
      <c r="C883" s="31"/>
      <c r="D883" s="31"/>
      <c r="F883" s="31"/>
      <c r="G883" s="31"/>
    </row>
    <row r="884">
      <c r="C884" s="31"/>
      <c r="D884" s="31"/>
      <c r="F884" s="31"/>
      <c r="G884" s="31"/>
    </row>
    <row r="885">
      <c r="C885" s="31"/>
      <c r="D885" s="31"/>
      <c r="F885" s="31"/>
      <c r="G885" s="31"/>
    </row>
    <row r="886">
      <c r="C886" s="31"/>
      <c r="D886" s="31"/>
      <c r="F886" s="31"/>
      <c r="G886" s="31"/>
    </row>
    <row r="887">
      <c r="C887" s="31"/>
      <c r="D887" s="31"/>
      <c r="F887" s="31"/>
      <c r="G887" s="31"/>
    </row>
    <row r="888">
      <c r="C888" s="31"/>
      <c r="D888" s="31"/>
      <c r="F888" s="31"/>
      <c r="G888" s="31"/>
    </row>
    <row r="889">
      <c r="C889" s="31"/>
      <c r="D889" s="31"/>
      <c r="F889" s="31"/>
      <c r="G889" s="31"/>
    </row>
    <row r="890">
      <c r="C890" s="31"/>
      <c r="D890" s="31"/>
      <c r="F890" s="31"/>
      <c r="G890" s="31"/>
    </row>
    <row r="891">
      <c r="C891" s="31"/>
      <c r="D891" s="31"/>
      <c r="F891" s="31"/>
      <c r="G891" s="31"/>
    </row>
    <row r="892">
      <c r="C892" s="31"/>
      <c r="D892" s="31"/>
      <c r="F892" s="31"/>
      <c r="G892" s="31"/>
    </row>
    <row r="893">
      <c r="C893" s="31"/>
      <c r="D893" s="31"/>
      <c r="F893" s="31"/>
      <c r="G893" s="31"/>
    </row>
    <row r="894">
      <c r="C894" s="31"/>
      <c r="D894" s="31"/>
      <c r="F894" s="31"/>
      <c r="G894" s="31"/>
    </row>
    <row r="895">
      <c r="C895" s="31"/>
      <c r="D895" s="31"/>
      <c r="F895" s="31"/>
      <c r="G895" s="31"/>
    </row>
    <row r="896">
      <c r="C896" s="31"/>
      <c r="D896" s="31"/>
      <c r="F896" s="31"/>
      <c r="G896" s="31"/>
    </row>
    <row r="897">
      <c r="C897" s="31"/>
      <c r="D897" s="31"/>
      <c r="F897" s="31"/>
      <c r="G897" s="31"/>
    </row>
    <row r="898">
      <c r="C898" s="31"/>
      <c r="D898" s="31"/>
      <c r="F898" s="31"/>
      <c r="G898" s="31"/>
    </row>
    <row r="899">
      <c r="C899" s="31"/>
      <c r="D899" s="31"/>
      <c r="F899" s="31"/>
      <c r="G899" s="31"/>
    </row>
    <row r="900">
      <c r="C900" s="31"/>
      <c r="D900" s="31"/>
      <c r="F900" s="31"/>
      <c r="G900" s="31"/>
    </row>
    <row r="901">
      <c r="C901" s="31"/>
      <c r="D901" s="31"/>
      <c r="F901" s="31"/>
      <c r="G901" s="31"/>
    </row>
    <row r="902">
      <c r="C902" s="31"/>
      <c r="D902" s="31"/>
      <c r="F902" s="31"/>
      <c r="G902" s="31"/>
    </row>
    <row r="903">
      <c r="C903" s="31"/>
      <c r="D903" s="31"/>
      <c r="F903" s="31"/>
      <c r="G903" s="31"/>
    </row>
    <row r="904">
      <c r="C904" s="31"/>
      <c r="D904" s="31"/>
      <c r="F904" s="31"/>
      <c r="G904" s="31"/>
    </row>
    <row r="905">
      <c r="C905" s="31"/>
      <c r="D905" s="31"/>
      <c r="F905" s="31"/>
      <c r="G905" s="31"/>
    </row>
    <row r="906">
      <c r="C906" s="31"/>
      <c r="D906" s="31"/>
      <c r="F906" s="31"/>
      <c r="G906" s="31"/>
    </row>
    <row r="907">
      <c r="C907" s="31"/>
      <c r="D907" s="31"/>
      <c r="F907" s="31"/>
      <c r="G907" s="31"/>
    </row>
    <row r="908">
      <c r="C908" s="31"/>
      <c r="D908" s="31"/>
      <c r="F908" s="31"/>
      <c r="G908" s="31"/>
    </row>
    <row r="909">
      <c r="C909" s="31"/>
      <c r="D909" s="31"/>
      <c r="F909" s="31"/>
      <c r="G909" s="31"/>
    </row>
    <row r="910">
      <c r="C910" s="31"/>
      <c r="D910" s="31"/>
      <c r="F910" s="31"/>
      <c r="G910" s="31"/>
    </row>
    <row r="911">
      <c r="C911" s="31"/>
      <c r="D911" s="31"/>
      <c r="F911" s="31"/>
      <c r="G911" s="31"/>
    </row>
    <row r="912">
      <c r="C912" s="31"/>
      <c r="D912" s="31"/>
      <c r="F912" s="31"/>
      <c r="G912" s="31"/>
    </row>
    <row r="913">
      <c r="C913" s="31"/>
      <c r="D913" s="31"/>
      <c r="F913" s="31"/>
      <c r="G913" s="31"/>
    </row>
    <row r="914">
      <c r="C914" s="31"/>
      <c r="D914" s="31"/>
      <c r="F914" s="31"/>
      <c r="G914" s="31"/>
    </row>
    <row r="915">
      <c r="C915" s="31"/>
      <c r="D915" s="31"/>
      <c r="F915" s="31"/>
      <c r="G915" s="31"/>
    </row>
    <row r="916">
      <c r="C916" s="31"/>
      <c r="D916" s="31"/>
      <c r="F916" s="31"/>
      <c r="G916" s="31"/>
    </row>
    <row r="917">
      <c r="C917" s="31"/>
      <c r="D917" s="31"/>
      <c r="F917" s="31"/>
      <c r="G917" s="31"/>
    </row>
    <row r="918">
      <c r="C918" s="31"/>
      <c r="D918" s="31"/>
      <c r="F918" s="31"/>
      <c r="G918" s="31"/>
    </row>
    <row r="919">
      <c r="C919" s="31"/>
      <c r="D919" s="31"/>
      <c r="F919" s="31"/>
      <c r="G919" s="31"/>
    </row>
    <row r="920">
      <c r="C920" s="31"/>
      <c r="D920" s="31"/>
      <c r="F920" s="31"/>
      <c r="G920" s="31"/>
    </row>
    <row r="921">
      <c r="C921" s="31"/>
      <c r="D921" s="31"/>
      <c r="F921" s="31"/>
      <c r="G921" s="31"/>
    </row>
    <row r="922">
      <c r="C922" s="31"/>
      <c r="D922" s="31"/>
      <c r="F922" s="31"/>
      <c r="G922" s="31"/>
    </row>
    <row r="923">
      <c r="C923" s="31"/>
      <c r="D923" s="31"/>
      <c r="F923" s="31"/>
      <c r="G923" s="31"/>
    </row>
    <row r="924">
      <c r="C924" s="31"/>
      <c r="D924" s="31"/>
      <c r="F924" s="31"/>
      <c r="G924" s="31"/>
    </row>
    <row r="925">
      <c r="C925" s="31"/>
      <c r="D925" s="31"/>
      <c r="F925" s="31"/>
      <c r="G925" s="31"/>
    </row>
    <row r="926">
      <c r="C926" s="31"/>
      <c r="D926" s="31"/>
      <c r="F926" s="31"/>
      <c r="G926" s="31"/>
    </row>
    <row r="927">
      <c r="C927" s="31"/>
      <c r="D927" s="31"/>
      <c r="F927" s="31"/>
      <c r="G927" s="31"/>
    </row>
    <row r="928">
      <c r="C928" s="31"/>
      <c r="D928" s="31"/>
      <c r="F928" s="31"/>
      <c r="G928" s="31"/>
    </row>
    <row r="929">
      <c r="C929" s="31"/>
      <c r="D929" s="31"/>
      <c r="F929" s="31"/>
      <c r="G929" s="31"/>
    </row>
    <row r="930">
      <c r="C930" s="31"/>
      <c r="D930" s="31"/>
      <c r="F930" s="31"/>
      <c r="G930" s="31"/>
    </row>
    <row r="931">
      <c r="C931" s="31"/>
      <c r="D931" s="31"/>
      <c r="F931" s="31"/>
      <c r="G931" s="31"/>
    </row>
    <row r="932">
      <c r="C932" s="31"/>
      <c r="D932" s="31"/>
      <c r="F932" s="31"/>
      <c r="G932" s="31"/>
    </row>
    <row r="933">
      <c r="C933" s="31"/>
      <c r="D933" s="31"/>
      <c r="F933" s="31"/>
      <c r="G933" s="31"/>
    </row>
    <row r="934">
      <c r="C934" s="31"/>
      <c r="D934" s="31"/>
      <c r="F934" s="31"/>
      <c r="G934" s="31"/>
    </row>
    <row r="935">
      <c r="C935" s="31"/>
      <c r="D935" s="31"/>
      <c r="F935" s="31"/>
      <c r="G935" s="31"/>
    </row>
    <row r="936">
      <c r="C936" s="31"/>
      <c r="D936" s="31"/>
      <c r="F936" s="31"/>
      <c r="G936" s="31"/>
    </row>
    <row r="937">
      <c r="C937" s="31"/>
      <c r="D937" s="31"/>
      <c r="F937" s="31"/>
      <c r="G937" s="31"/>
    </row>
    <row r="938">
      <c r="C938" s="31"/>
      <c r="D938" s="31"/>
      <c r="F938" s="31"/>
      <c r="G938" s="31"/>
    </row>
    <row r="939">
      <c r="C939" s="31"/>
      <c r="D939" s="31"/>
      <c r="F939" s="31"/>
      <c r="G939" s="31"/>
    </row>
    <row r="940">
      <c r="C940" s="31"/>
      <c r="D940" s="31"/>
      <c r="F940" s="31"/>
      <c r="G940" s="31"/>
    </row>
    <row r="941">
      <c r="C941" s="31"/>
      <c r="D941" s="31"/>
      <c r="F941" s="31"/>
      <c r="G941" s="31"/>
    </row>
    <row r="942">
      <c r="C942" s="31"/>
      <c r="D942" s="31"/>
      <c r="F942" s="31"/>
      <c r="G942" s="31"/>
    </row>
    <row r="943">
      <c r="C943" s="31"/>
      <c r="D943" s="31"/>
      <c r="F943" s="31"/>
      <c r="G943" s="31"/>
    </row>
    <row r="944">
      <c r="C944" s="31"/>
      <c r="D944" s="31"/>
      <c r="F944" s="31"/>
      <c r="G944" s="31"/>
    </row>
    <row r="945">
      <c r="C945" s="31"/>
      <c r="D945" s="31"/>
      <c r="F945" s="31"/>
      <c r="G945" s="31"/>
    </row>
    <row r="946">
      <c r="C946" s="31"/>
      <c r="D946" s="31"/>
      <c r="F946" s="31"/>
      <c r="G946" s="31"/>
    </row>
    <row r="947">
      <c r="C947" s="31"/>
      <c r="D947" s="31"/>
      <c r="F947" s="31"/>
      <c r="G947" s="31"/>
    </row>
    <row r="948">
      <c r="C948" s="31"/>
      <c r="D948" s="31"/>
      <c r="F948" s="31"/>
      <c r="G948" s="31"/>
    </row>
    <row r="949">
      <c r="C949" s="31"/>
      <c r="D949" s="31"/>
      <c r="F949" s="31"/>
      <c r="G949" s="31"/>
    </row>
    <row r="950">
      <c r="C950" s="31"/>
      <c r="D950" s="31"/>
      <c r="F950" s="31"/>
      <c r="G950" s="31"/>
    </row>
    <row r="951">
      <c r="C951" s="31"/>
      <c r="D951" s="31"/>
      <c r="F951" s="31"/>
      <c r="G951" s="31"/>
    </row>
    <row r="952">
      <c r="C952" s="31"/>
      <c r="D952" s="31"/>
      <c r="F952" s="31"/>
      <c r="G952" s="31"/>
    </row>
    <row r="953">
      <c r="C953" s="31"/>
      <c r="D953" s="31"/>
      <c r="F953" s="31"/>
      <c r="G953" s="31"/>
    </row>
    <row r="954">
      <c r="C954" s="31"/>
      <c r="D954" s="31"/>
      <c r="F954" s="31"/>
      <c r="G954" s="31"/>
    </row>
    <row r="955">
      <c r="C955" s="31"/>
      <c r="D955" s="31"/>
      <c r="F955" s="31"/>
      <c r="G955" s="31"/>
    </row>
    <row r="956">
      <c r="C956" s="31"/>
      <c r="D956" s="31"/>
      <c r="F956" s="31"/>
      <c r="G956" s="31"/>
    </row>
    <row r="957">
      <c r="C957" s="31"/>
      <c r="D957" s="31"/>
      <c r="F957" s="31"/>
      <c r="G957" s="31"/>
    </row>
    <row r="958">
      <c r="C958" s="31"/>
      <c r="D958" s="31"/>
      <c r="F958" s="31"/>
      <c r="G958" s="31"/>
    </row>
    <row r="959">
      <c r="C959" s="31"/>
      <c r="D959" s="31"/>
      <c r="F959" s="31"/>
      <c r="G959" s="31"/>
    </row>
    <row r="960">
      <c r="C960" s="31"/>
      <c r="D960" s="31"/>
      <c r="F960" s="31"/>
      <c r="G960" s="31"/>
    </row>
    <row r="961">
      <c r="C961" s="31"/>
      <c r="D961" s="31"/>
      <c r="F961" s="31"/>
      <c r="G961" s="31"/>
    </row>
    <row r="962">
      <c r="C962" s="31"/>
      <c r="D962" s="31"/>
      <c r="F962" s="31"/>
      <c r="G962" s="31"/>
    </row>
    <row r="963">
      <c r="C963" s="31"/>
      <c r="D963" s="31"/>
      <c r="F963" s="31"/>
      <c r="G963" s="31"/>
    </row>
    <row r="964">
      <c r="C964" s="31"/>
      <c r="D964" s="31"/>
      <c r="F964" s="31"/>
      <c r="G964" s="31"/>
    </row>
    <row r="965">
      <c r="C965" s="31"/>
      <c r="D965" s="31"/>
      <c r="F965" s="31"/>
      <c r="G965" s="31"/>
    </row>
    <row r="966">
      <c r="C966" s="31"/>
      <c r="D966" s="31"/>
      <c r="F966" s="31"/>
      <c r="G966" s="31"/>
    </row>
    <row r="967">
      <c r="C967" s="31"/>
      <c r="D967" s="31"/>
      <c r="F967" s="31"/>
      <c r="G967" s="31"/>
    </row>
    <row r="968">
      <c r="C968" s="31"/>
      <c r="D968" s="31"/>
      <c r="F968" s="31"/>
      <c r="G968" s="31"/>
    </row>
    <row r="969">
      <c r="C969" s="31"/>
      <c r="D969" s="31"/>
      <c r="F969" s="31"/>
      <c r="G969" s="31"/>
    </row>
    <row r="970">
      <c r="C970" s="31"/>
      <c r="D970" s="31"/>
      <c r="F970" s="31"/>
      <c r="G970" s="31"/>
    </row>
    <row r="971">
      <c r="C971" s="31"/>
      <c r="D971" s="31"/>
      <c r="F971" s="31"/>
      <c r="G971" s="31"/>
    </row>
    <row r="972">
      <c r="C972" s="31"/>
      <c r="D972" s="31"/>
      <c r="F972" s="31"/>
      <c r="G972" s="31"/>
    </row>
    <row r="973">
      <c r="C973" s="31"/>
      <c r="D973" s="31"/>
      <c r="F973" s="31"/>
      <c r="G973" s="31"/>
    </row>
    <row r="974">
      <c r="C974" s="31"/>
      <c r="D974" s="31"/>
      <c r="F974" s="31"/>
      <c r="G974" s="31"/>
    </row>
    <row r="975">
      <c r="C975" s="31"/>
      <c r="D975" s="31"/>
      <c r="F975" s="31"/>
      <c r="G975" s="31"/>
    </row>
    <row r="976">
      <c r="C976" s="31"/>
      <c r="D976" s="31"/>
      <c r="F976" s="31"/>
      <c r="G976" s="31"/>
    </row>
    <row r="977">
      <c r="C977" s="31"/>
      <c r="D977" s="31"/>
      <c r="F977" s="31"/>
      <c r="G977" s="31"/>
    </row>
    <row r="978">
      <c r="C978" s="31"/>
      <c r="D978" s="31"/>
      <c r="F978" s="31"/>
      <c r="G978" s="31"/>
    </row>
    <row r="979">
      <c r="C979" s="31"/>
      <c r="D979" s="31"/>
      <c r="F979" s="31"/>
      <c r="G979" s="31"/>
    </row>
    <row r="980">
      <c r="C980" s="31"/>
      <c r="D980" s="31"/>
      <c r="F980" s="31"/>
      <c r="G980" s="31"/>
    </row>
    <row r="981">
      <c r="C981" s="31"/>
      <c r="D981" s="31"/>
      <c r="F981" s="31"/>
      <c r="G981" s="31"/>
    </row>
    <row r="982">
      <c r="C982" s="31"/>
      <c r="D982" s="31"/>
      <c r="F982" s="31"/>
      <c r="G982" s="31"/>
    </row>
    <row r="983">
      <c r="C983" s="31"/>
      <c r="D983" s="31"/>
      <c r="F983" s="31"/>
      <c r="G983" s="31"/>
    </row>
    <row r="984">
      <c r="C984" s="31"/>
      <c r="D984" s="31"/>
      <c r="F984" s="31"/>
      <c r="G984" s="31"/>
    </row>
    <row r="985">
      <c r="C985" s="31"/>
      <c r="D985" s="31"/>
      <c r="F985" s="31"/>
      <c r="G985" s="31"/>
    </row>
    <row r="986">
      <c r="C986" s="31"/>
      <c r="D986" s="31"/>
      <c r="F986" s="31"/>
      <c r="G986" s="31"/>
    </row>
    <row r="987">
      <c r="C987" s="31"/>
      <c r="D987" s="31"/>
      <c r="F987" s="31"/>
      <c r="G987" s="31"/>
    </row>
    <row r="988">
      <c r="C988" s="31"/>
      <c r="D988" s="31"/>
      <c r="F988" s="31"/>
      <c r="G988" s="31"/>
    </row>
    <row r="989">
      <c r="C989" s="31"/>
      <c r="D989" s="31"/>
      <c r="F989" s="31"/>
      <c r="G989" s="31"/>
    </row>
    <row r="990">
      <c r="C990" s="31"/>
      <c r="D990" s="31"/>
      <c r="F990" s="31"/>
      <c r="G990" s="31"/>
    </row>
    <row r="991">
      <c r="C991" s="31"/>
      <c r="D991" s="31"/>
      <c r="F991" s="31"/>
      <c r="G991" s="31"/>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2.5"/>
    <col customWidth="1" min="2" max="2" width="43.25"/>
  </cols>
  <sheetData>
    <row r="1">
      <c r="A1" s="11" t="s">
        <v>2515</v>
      </c>
      <c r="B1" s="11" t="s">
        <v>2516</v>
      </c>
    </row>
    <row r="2">
      <c r="A2" s="11" t="s">
        <v>1968</v>
      </c>
      <c r="B2" s="11" t="s">
        <v>1638</v>
      </c>
    </row>
    <row r="3">
      <c r="A3" s="11" t="s">
        <v>1617</v>
      </c>
      <c r="B3" s="11" t="s">
        <v>1517</v>
      </c>
    </row>
    <row r="4">
      <c r="A4" s="11" t="s">
        <v>1974</v>
      </c>
      <c r="B4" s="11" t="s">
        <v>2021</v>
      </c>
    </row>
    <row r="5">
      <c r="A5" s="11" t="s">
        <v>1496</v>
      </c>
    </row>
    <row r="6">
      <c r="A6" s="11" t="s">
        <v>2228</v>
      </c>
    </row>
    <row r="7">
      <c r="A7" s="11" t="s">
        <v>1498</v>
      </c>
      <c r="B7" s="17" t="str">
        <f>if(ISNA(match(A7,ClusterJumps, 0)), "", "yes")</f>
        <v/>
      </c>
    </row>
    <row r="8">
      <c r="A8" s="11" t="s">
        <v>1788</v>
      </c>
      <c r="B8" s="17" t="str">
        <f>if(ISNA(match(A8,ClusterJumps, 0)), "", "yes")</f>
        <v/>
      </c>
    </row>
    <row r="9">
      <c r="A9" s="11" t="s">
        <v>1711</v>
      </c>
      <c r="B9" s="17" t="str">
        <f>if(ISNA(match(A9,ClusterJumps, 0)), "", "yes")</f>
        <v/>
      </c>
    </row>
    <row r="10">
      <c r="A10" s="11" t="s">
        <v>2234</v>
      </c>
      <c r="B10" s="17" t="str">
        <f>if(ISNA(match(A10,ClusterJumps, 0)), "", "yes")</f>
        <v/>
      </c>
    </row>
    <row r="11">
      <c r="A11" s="11" t="s">
        <v>1799</v>
      </c>
      <c r="B11" s="17" t="str">
        <f>if(ISNA(match(A11,ClusterJumps, 0)), "", "yes")</f>
        <v/>
      </c>
    </row>
    <row r="12">
      <c r="A12" s="11" t="s">
        <v>1803</v>
      </c>
      <c r="B12" s="17" t="str">
        <f>if(ISNA(match(A12,ClusterJumps, 0)), "", "yes")</f>
        <v/>
      </c>
    </row>
    <row r="13">
      <c r="A13" s="11" t="s">
        <v>1805</v>
      </c>
      <c r="B13" s="17" t="str">
        <f>if(ISNA(match(A13,ClusterJumps, 0)), "", "yes")</f>
        <v/>
      </c>
    </row>
    <row r="14">
      <c r="A14" s="11" t="s">
        <v>1807</v>
      </c>
      <c r="B14" s="17" t="str">
        <f>if(ISNA(match(A14,ClusterJumps, 0)), "", "yes")</f>
        <v/>
      </c>
    </row>
    <row r="15">
      <c r="A15" s="11" t="s">
        <v>1628</v>
      </c>
      <c r="B15" s="17" t="str">
        <f>if(ISNA(match(A15,ClusterJumps, 0)), "", "yes")</f>
        <v/>
      </c>
    </row>
    <row r="16">
      <c r="A16" s="11" t="s">
        <v>1985</v>
      </c>
      <c r="B16" s="17" t="str">
        <f>if(ISNA(match(A16,ClusterJumps, 0)), "", "yes")</f>
        <v/>
      </c>
    </row>
    <row r="17">
      <c r="A17" s="11" t="s">
        <v>1987</v>
      </c>
      <c r="B17" s="17" t="str">
        <f>if(ISNA(match(A17,ClusterJumps, 0)), "", "yes")</f>
        <v/>
      </c>
    </row>
    <row r="18">
      <c r="A18" s="11" t="s">
        <v>1856</v>
      </c>
      <c r="B18" s="17" t="str">
        <f>if(ISNA(match(A18,ClusterJumps, 0)), "", "yes")</f>
        <v/>
      </c>
    </row>
    <row r="19">
      <c r="A19" s="11" t="s">
        <v>1991</v>
      </c>
      <c r="B19" s="17" t="str">
        <f>if(ISNA(match(A19,ClusterJumps, 0)), "", "yes")</f>
        <v/>
      </c>
    </row>
    <row r="20">
      <c r="A20" s="11" t="s">
        <v>1633</v>
      </c>
      <c r="B20" s="17" t="str">
        <f>if(ISNA(match(A20,ClusterJumps, 0)), "", "yes")</f>
        <v/>
      </c>
    </row>
    <row r="21">
      <c r="A21" s="11" t="s">
        <v>1811</v>
      </c>
      <c r="B21" s="17" t="str">
        <f>if(ISNA(match(A21,ClusterJumps, 0)), "", "yes")</f>
        <v/>
      </c>
    </row>
    <row r="22">
      <c r="A22" s="11" t="s">
        <v>2167</v>
      </c>
      <c r="B22" s="17" t="str">
        <f>if(ISNA(match(A22,ClusterJumps, 0)), "", "yes")</f>
        <v/>
      </c>
    </row>
    <row r="23">
      <c r="A23" s="11" t="s">
        <v>2050</v>
      </c>
      <c r="B23" s="17" t="str">
        <f>if(ISNA(match(A23,ClusterJumps, 0)), "", "yes")</f>
        <v/>
      </c>
    </row>
    <row r="24">
      <c r="A24" s="11" t="s">
        <v>1504</v>
      </c>
      <c r="B24" s="17" t="str">
        <f>if(ISNA(match(A24,ClusterJumps, 0)), "", "yes")</f>
        <v/>
      </c>
    </row>
    <row r="25">
      <c r="A25" s="11" t="s">
        <v>1858</v>
      </c>
      <c r="B25" s="17" t="str">
        <f>if(ISNA(match(A25,ClusterJumps, 0)), "", "yes")</f>
        <v/>
      </c>
    </row>
    <row r="26">
      <c r="A26" s="11" t="s">
        <v>1586</v>
      </c>
      <c r="B26" s="17" t="str">
        <f>if(ISNA(match(A26,ClusterJumps, 0)), "", "yes")</f>
        <v/>
      </c>
    </row>
    <row r="27">
      <c r="A27" s="11" t="s">
        <v>1722</v>
      </c>
      <c r="B27" s="17" t="str">
        <f>if(ISNA(match(A27,ClusterJumps, 0)), "", "yes")</f>
        <v/>
      </c>
    </row>
    <row r="28">
      <c r="A28" s="11" t="s">
        <v>1862</v>
      </c>
      <c r="B28" s="17" t="str">
        <f>if(ISNA(match(A28,ClusterJumps, 0)), "", "yes")</f>
        <v/>
      </c>
    </row>
    <row r="29">
      <c r="A29" s="11" t="s">
        <v>2099</v>
      </c>
      <c r="B29" s="17" t="str">
        <f>if(ISNA(match(A29,ClusterJumps, 0)), "", "yes")</f>
        <v/>
      </c>
    </row>
    <row r="30">
      <c r="A30" s="11" t="s">
        <v>1864</v>
      </c>
      <c r="B30" s="17" t="str">
        <f>if(ISNA(match(A30,ClusterJumps, 0)), "", "yes")</f>
        <v/>
      </c>
    </row>
    <row r="31">
      <c r="A31" s="11" t="s">
        <v>1638</v>
      </c>
      <c r="B31" s="17" t="str">
        <f>if(ISNA(match(A31,ClusterJumps, 0)), "", "yes")</f>
        <v/>
      </c>
    </row>
    <row r="32">
      <c r="A32" s="11" t="s">
        <v>1867</v>
      </c>
    </row>
    <row r="33">
      <c r="A33" s="11" t="s">
        <v>2238</v>
      </c>
      <c r="B33" s="17" t="str">
        <f>if(ISNA(match(A33,ClusterJumps, 0)), "", "yes")</f>
        <v/>
      </c>
    </row>
    <row r="34">
      <c r="A34" s="11" t="s">
        <v>1817</v>
      </c>
      <c r="B34" s="17" t="str">
        <f>if(ISNA(match(A34,ClusterJumps, 0)), "", "yes")</f>
        <v/>
      </c>
    </row>
    <row r="35">
      <c r="A35" s="11" t="s">
        <v>1512</v>
      </c>
      <c r="B35" s="17" t="str">
        <f>if(ISNA(match(A35,ClusterJumps, 0)), "", "yes")</f>
        <v/>
      </c>
    </row>
    <row r="36">
      <c r="A36" s="11" t="s">
        <v>1513</v>
      </c>
      <c r="B36" s="17" t="str">
        <f>if(ISNA(match(A36,ClusterJumps, 0)), "", "yes")</f>
        <v/>
      </c>
    </row>
    <row r="37">
      <c r="A37" s="11" t="s">
        <v>1732</v>
      </c>
      <c r="B37" s="17" t="str">
        <f>if(ISNA(match(A37,ClusterJumps, 0)), "", "yes")</f>
        <v/>
      </c>
    </row>
    <row r="38">
      <c r="A38" s="11" t="s">
        <v>1734</v>
      </c>
      <c r="B38" s="17" t="str">
        <f>if(ISNA(match(A38,ClusterJumps, 0)), "", "yes")</f>
        <v/>
      </c>
    </row>
    <row r="39">
      <c r="A39" s="11" t="s">
        <v>1736</v>
      </c>
      <c r="B39" s="17" t="str">
        <f>if(ISNA(match(A39,ClusterJumps, 0)), "", "yes")</f>
        <v/>
      </c>
    </row>
    <row r="40">
      <c r="A40" s="11" t="s">
        <v>1741</v>
      </c>
      <c r="B40" s="17" t="str">
        <f>if(ISNA(match(A40,ClusterJumps, 0)), "", "yes")</f>
        <v/>
      </c>
    </row>
    <row r="41">
      <c r="A41" s="11" t="s">
        <v>1743</v>
      </c>
      <c r="B41" s="17" t="str">
        <f>if(ISNA(match(A41,ClusterJumps, 0)), "", "yes")</f>
        <v/>
      </c>
    </row>
    <row r="42">
      <c r="A42" s="11" t="s">
        <v>2011</v>
      </c>
      <c r="B42" s="17" t="str">
        <f>if(ISNA(match(A42,ClusterJumps, 0)), "", "yes")</f>
        <v/>
      </c>
    </row>
    <row r="43">
      <c r="A43" s="11" t="s">
        <v>1595</v>
      </c>
      <c r="B43" s="17" t="str">
        <f>if(ISNA(match(A43,ClusterJumps, 0)), "", "yes")</f>
        <v/>
      </c>
    </row>
    <row r="44">
      <c r="A44" s="11" t="s">
        <v>2183</v>
      </c>
      <c r="B44" s="17" t="str">
        <f>if(ISNA(match(A44,ClusterJumps, 0)), "", "yes")</f>
        <v/>
      </c>
    </row>
    <row r="45">
      <c r="A45" s="11" t="s">
        <v>1517</v>
      </c>
      <c r="B45" s="17" t="str">
        <f>if(ISNA(match(A45,ClusterJumps, 0)), "", "yes")</f>
        <v/>
      </c>
    </row>
    <row r="46">
      <c r="A46" s="11" t="s">
        <v>1600</v>
      </c>
      <c r="B46" s="17" t="str">
        <f>if(ISNA(match(A46,ClusterJumps, 0)), "", "yes")</f>
        <v/>
      </c>
    </row>
    <row r="47">
      <c r="A47" s="11" t="s">
        <v>1518</v>
      </c>
      <c r="B47" s="17" t="str">
        <f>if(ISNA(match(A47,ClusterJumps, 0)), "", "yes")</f>
        <v/>
      </c>
    </row>
    <row r="48">
      <c r="A48" s="11" t="s">
        <v>2108</v>
      </c>
      <c r="B48" s="17" t="str">
        <f>if(ISNA(match(A48,ClusterJumps, 0)), "", "yes")</f>
        <v/>
      </c>
    </row>
    <row r="49">
      <c r="A49" s="11" t="s">
        <v>1873</v>
      </c>
      <c r="B49" s="17" t="str">
        <f>if(ISNA(match(A49,ClusterJumps, 0)), "", "yes")</f>
        <v/>
      </c>
    </row>
    <row r="50">
      <c r="A50" s="11" t="s">
        <v>1822</v>
      </c>
      <c r="B50" s="17" t="str">
        <f>if(ISNA(match(A50,ClusterJumps, 0)), "", "yes")</f>
        <v/>
      </c>
    </row>
    <row r="51">
      <c r="A51" s="11" t="s">
        <v>2187</v>
      </c>
      <c r="B51" s="17" t="str">
        <f>if(ISNA(match(A51,ClusterJumps, 0)), "", "yes")</f>
        <v/>
      </c>
    </row>
    <row r="52">
      <c r="A52" s="11" t="s">
        <v>2251</v>
      </c>
      <c r="B52" s="17" t="str">
        <f>if(ISNA(match(A52,ClusterJumps, 0)), "", "yes")</f>
        <v/>
      </c>
    </row>
    <row r="53">
      <c r="A53" s="11" t="s">
        <v>1826</v>
      </c>
      <c r="B53" s="17" t="str">
        <f>if(ISNA(match(A53,ClusterJumps, 0)), "", "yes")</f>
        <v/>
      </c>
    </row>
    <row r="54">
      <c r="A54" s="11" t="s">
        <v>1519</v>
      </c>
      <c r="B54" s="17" t="str">
        <f>if(ISNA(match(A54,ClusterJumps, 0)), "", "yes")</f>
        <v/>
      </c>
    </row>
    <row r="55">
      <c r="A55" s="11" t="s">
        <v>2021</v>
      </c>
      <c r="B55" s="17" t="str">
        <f>if(ISNA(match(A55,ClusterJumps, 0)), "", "yes")</f>
        <v/>
      </c>
    </row>
    <row r="56">
      <c r="A56" s="11" t="s">
        <v>1751</v>
      </c>
      <c r="B56" s="17" t="str">
        <f>if(ISNA(match(A56,ClusterJumps, 0)), "", "yes")</f>
        <v/>
      </c>
    </row>
    <row r="57">
      <c r="A57" s="11" t="s">
        <v>1875</v>
      </c>
      <c r="B57" s="17" t="str">
        <f>if(ISNA(match(A57,ClusterJumps, 0)), "", "yes")</f>
        <v/>
      </c>
    </row>
    <row r="58">
      <c r="A58" s="11" t="s">
        <v>2079</v>
      </c>
      <c r="B58" s="17" t="str">
        <f>if(ISNA(match(A58,ClusterJumps, 0)), "", "yes")</f>
        <v/>
      </c>
    </row>
    <row r="59">
      <c r="A59" s="11" t="s">
        <v>2110</v>
      </c>
      <c r="B59" s="17" t="str">
        <f>if(ISNA(match(A59,ClusterJumps, 0)), "", "yes")</f>
        <v/>
      </c>
    </row>
    <row r="60">
      <c r="A60" s="11" t="s">
        <v>1836</v>
      </c>
      <c r="B60" s="17" t="str">
        <f>if(ISNA(match(A60,ClusterJumps, 0)), "", "yes")</f>
        <v/>
      </c>
    </row>
    <row r="61">
      <c r="A61" s="11" t="s">
        <v>1648</v>
      </c>
      <c r="B61" s="17" t="str">
        <f>if(ISNA(match(A61,ClusterJumps, 0)), "", "yes")</f>
        <v/>
      </c>
    </row>
    <row r="62">
      <c r="A62" s="11" t="s">
        <v>1650</v>
      </c>
      <c r="B62" s="17" t="str">
        <f>if(ISNA(match(A62,ClusterJumps, 0)), "", "yes")</f>
        <v/>
      </c>
    </row>
    <row r="63">
      <c r="A63" s="11" t="s">
        <v>2260</v>
      </c>
      <c r="B63" s="17" t="str">
        <f>if(ISNA(match(A63,ClusterJumps, 0)), "", "yes")</f>
        <v/>
      </c>
    </row>
    <row r="64">
      <c r="A64" s="11" t="s">
        <v>1527</v>
      </c>
      <c r="B64" s="17" t="str">
        <f>if(ISNA(match(A64,ClusterJumps, 0)), "", "yes")</f>
        <v/>
      </c>
    </row>
    <row r="65">
      <c r="A65" s="11" t="s">
        <v>1756</v>
      </c>
      <c r="B65" s="17" t="str">
        <f>if(ISNA(match(A65,ClusterJumps, 0)), "", "yes")</f>
        <v/>
      </c>
    </row>
    <row r="66">
      <c r="A66" s="11" t="s">
        <v>1606</v>
      </c>
      <c r="B66" s="17" t="str">
        <f>if(ISNA(match(A66,ClusterJumps, 0)), "", "yes")</f>
        <v/>
      </c>
    </row>
    <row r="67">
      <c r="A67" s="11" t="s">
        <v>1761</v>
      </c>
      <c r="B67" s="17" t="str">
        <f>if(ISNA(match(A67,ClusterJumps, 0)), "", "yes")</f>
        <v/>
      </c>
    </row>
    <row r="68">
      <c r="A68" s="11" t="s">
        <v>2084</v>
      </c>
      <c r="B68" s="17" t="str">
        <f>if(ISNA(match(A68,ClusterJumps, 0)), "", "yes")</f>
        <v/>
      </c>
    </row>
    <row r="69">
      <c r="A69" s="11" t="s">
        <v>1763</v>
      </c>
      <c r="B69" s="17" t="str">
        <f>if(ISNA(match(A69,ClusterJumps, 0)), "", "yes")</f>
        <v/>
      </c>
    </row>
    <row r="70">
      <c r="A70" s="11" t="s">
        <v>1877</v>
      </c>
      <c r="B70" s="17" t="str">
        <f>if(ISNA(match(A70,ClusterJumps, 0)), "", "yes")</f>
        <v/>
      </c>
    </row>
    <row r="71">
      <c r="A71" s="11" t="s">
        <v>2028</v>
      </c>
      <c r="B71" s="17" t="str">
        <f>if(ISNA(match(A71,ClusterJumps, 0)), "", "yes")</f>
        <v/>
      </c>
    </row>
    <row r="72">
      <c r="A72" s="11" t="s">
        <v>2265</v>
      </c>
      <c r="B72" s="17" t="str">
        <f>if(ISNA(match(A72,ClusterJumps, 0)), "", "yes")</f>
        <v/>
      </c>
    </row>
    <row r="73">
      <c r="A73" s="11" t="s">
        <v>1661</v>
      </c>
      <c r="B73" s="17" t="str">
        <f>if(ISNA(match(A73,ClusterJumps, 0)), "", "yes")</f>
        <v/>
      </c>
    </row>
    <row r="74">
      <c r="A74" s="11" t="s">
        <v>1530</v>
      </c>
      <c r="B74" s="17" t="str">
        <f>if(ISNA(match(A74,ClusterJumps, 0)), "", "yes")</f>
        <v/>
      </c>
    </row>
    <row r="75">
      <c r="A75" s="11" t="s">
        <v>1848</v>
      </c>
      <c r="B75" s="17" t="str">
        <f>if(ISNA(match(A75,ClusterJumps, 0)), "", "yes")</f>
        <v/>
      </c>
    </row>
    <row r="76">
      <c r="A76" s="11" t="s">
        <v>1880</v>
      </c>
      <c r="B76" s="17" t="str">
        <f>if(ISNA(match(A76,ClusterJumps, 0)), "", "yes")</f>
        <v/>
      </c>
    </row>
    <row r="77">
      <c r="A77" s="11" t="s">
        <v>1531</v>
      </c>
      <c r="B77" s="17" t="str">
        <f>if(ISNA(match(A77,ClusterJumps, 0)), "", "yes")</f>
        <v/>
      </c>
    </row>
    <row r="78">
      <c r="A78" s="11" t="s">
        <v>1665</v>
      </c>
      <c r="B78" s="17" t="str">
        <f>if(ISNA(match(A78,ClusterJumps, 0)), "", "yes")</f>
        <v/>
      </c>
    </row>
    <row r="79">
      <c r="A79" s="11" t="s">
        <v>1781</v>
      </c>
      <c r="B79" s="17" t="str">
        <f>if(ISNA(match(A79,ClusterJumps, 0)), "", "yes")</f>
        <v/>
      </c>
    </row>
    <row r="80">
      <c r="A80" s="11" t="s">
        <v>2035</v>
      </c>
      <c r="B80" s="17" t="str">
        <f>if(ISNA(match(A80,ClusterJumps, 0)), "", "yes")</f>
        <v/>
      </c>
    </row>
    <row r="81">
      <c r="A81" s="11" t="s">
        <v>2269</v>
      </c>
      <c r="B81" s="17" t="str">
        <f>if(ISNA(match(A81,ClusterJumps, 0)), "", "yes")</f>
        <v/>
      </c>
    </row>
    <row r="82">
      <c r="A82" s="11" t="s">
        <v>1534</v>
      </c>
      <c r="B82" s="17" t="str">
        <f>if(ISNA(match(A82,ClusterJumps, 0)), "", "yes")</f>
        <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5"/>
    <col customWidth="1" min="2" max="2" width="133.88"/>
    <col customWidth="1" min="3" max="3" width="52.75"/>
  </cols>
  <sheetData>
    <row r="1">
      <c r="A1" s="50" t="s">
        <v>2517</v>
      </c>
      <c r="B1" s="9" t="s">
        <v>2518</v>
      </c>
    </row>
    <row r="2">
      <c r="A2" s="51">
        <v>39234.0</v>
      </c>
      <c r="B2" s="9" t="s">
        <v>2519</v>
      </c>
      <c r="C2" s="11" t="s">
        <v>2520</v>
      </c>
    </row>
    <row r="3">
      <c r="A3" s="51">
        <v>39326.0</v>
      </c>
      <c r="B3" s="9" t="s">
        <v>2521</v>
      </c>
    </row>
    <row r="4">
      <c r="A4" s="51">
        <v>39753.0</v>
      </c>
      <c r="B4" s="9" t="s">
        <v>2522</v>
      </c>
    </row>
    <row r="5">
      <c r="A5" s="23" t="s">
        <v>2523</v>
      </c>
      <c r="B5" s="9" t="s">
        <v>2524</v>
      </c>
    </row>
    <row r="6">
      <c r="A6" s="51">
        <v>39904.0</v>
      </c>
      <c r="B6" s="9" t="s">
        <v>2525</v>
      </c>
    </row>
    <row r="7">
      <c r="A7" s="23" t="s">
        <v>2526</v>
      </c>
      <c r="B7" s="9" t="s">
        <v>2527</v>
      </c>
    </row>
    <row r="8">
      <c r="A8" s="51">
        <v>40422.0</v>
      </c>
      <c r="B8" s="9" t="s">
        <v>2528</v>
      </c>
    </row>
    <row r="9">
      <c r="A9" s="51">
        <v>40575.0</v>
      </c>
      <c r="B9" s="9" t="s">
        <v>2529</v>
      </c>
    </row>
    <row r="10">
      <c r="A10" s="52">
        <v>40606.0</v>
      </c>
      <c r="B10" s="9" t="s">
        <v>2530</v>
      </c>
    </row>
    <row r="11">
      <c r="A11" s="23" t="s">
        <v>2531</v>
      </c>
      <c r="B11" s="9" t="s">
        <v>2532</v>
      </c>
    </row>
    <row r="12">
      <c r="A12" s="52">
        <v>40634.0</v>
      </c>
      <c r="B12" s="9" t="s">
        <v>2533</v>
      </c>
    </row>
    <row r="13">
      <c r="A13" s="23" t="s">
        <v>2534</v>
      </c>
      <c r="B13" s="9" t="s">
        <v>2535</v>
      </c>
    </row>
    <row r="14">
      <c r="A14" s="52">
        <v>40641.0</v>
      </c>
      <c r="B14" s="9" t="s">
        <v>2536</v>
      </c>
    </row>
    <row r="15">
      <c r="A15" s="53">
        <v>40643.0</v>
      </c>
      <c r="B15" s="9" t="s">
        <v>2537</v>
      </c>
      <c r="C15" s="11" t="s">
        <v>2538</v>
      </c>
    </row>
    <row r="16">
      <c r="A16" s="53">
        <v>40647.0</v>
      </c>
      <c r="B16" s="9" t="s">
        <v>2539</v>
      </c>
    </row>
    <row r="17">
      <c r="A17" s="53">
        <v>40648.0</v>
      </c>
      <c r="B17" s="9" t="s">
        <v>2540</v>
      </c>
    </row>
    <row r="18">
      <c r="A18" s="53">
        <v>40649.0</v>
      </c>
      <c r="B18" s="9" t="s">
        <v>2541</v>
      </c>
    </row>
    <row r="19">
      <c r="A19" s="53">
        <v>40650.0</v>
      </c>
      <c r="B19" s="9" t="s">
        <v>2542</v>
      </c>
    </row>
    <row r="20">
      <c r="A20" s="53">
        <v>40651.0</v>
      </c>
      <c r="B20" s="9" t="s">
        <v>2543</v>
      </c>
    </row>
    <row r="21">
      <c r="A21" s="53">
        <v>40652.0</v>
      </c>
      <c r="B21" s="9" t="s">
        <v>2544</v>
      </c>
    </row>
    <row r="22">
      <c r="A22" s="53">
        <v>40653.0</v>
      </c>
      <c r="B22" s="9" t="s">
        <v>2545</v>
      </c>
    </row>
    <row r="23">
      <c r="A23" s="53">
        <v>40654.0</v>
      </c>
      <c r="B23" s="9" t="s">
        <v>2546</v>
      </c>
    </row>
    <row r="24">
      <c r="A24" s="53">
        <v>40655.0</v>
      </c>
      <c r="B24" s="9" t="s">
        <v>2547</v>
      </c>
    </row>
    <row r="25">
      <c r="A25" s="53">
        <v>40656.0</v>
      </c>
      <c r="B25" s="9" t="s">
        <v>2548</v>
      </c>
    </row>
    <row r="26">
      <c r="A26" s="53">
        <v>40657.0</v>
      </c>
      <c r="B26" s="9" t="s">
        <v>2549</v>
      </c>
    </row>
    <row r="27">
      <c r="A27" s="53">
        <v>40658.0</v>
      </c>
      <c r="B27" s="9" t="s">
        <v>2550</v>
      </c>
    </row>
    <row r="28">
      <c r="A28" s="53"/>
      <c r="B28" s="31"/>
    </row>
    <row r="29">
      <c r="A29" s="53"/>
      <c r="B29" s="31"/>
    </row>
    <row r="30">
      <c r="A30" s="53"/>
      <c r="B30" s="31"/>
    </row>
    <row r="31">
      <c r="A31" s="53"/>
      <c r="B31" s="31"/>
    </row>
    <row r="32">
      <c r="A32" s="53"/>
      <c r="B32" s="31"/>
    </row>
    <row r="33">
      <c r="A33" s="20"/>
      <c r="B33" s="31"/>
    </row>
    <row r="34">
      <c r="A34" s="20"/>
      <c r="B34" s="31"/>
    </row>
    <row r="35">
      <c r="A35" s="20"/>
      <c r="B35" s="31"/>
    </row>
    <row r="36">
      <c r="A36" s="20"/>
      <c r="B36" s="31"/>
    </row>
    <row r="37">
      <c r="A37" s="20"/>
      <c r="B37" s="31"/>
    </row>
    <row r="38">
      <c r="A38" s="20"/>
      <c r="B38" s="31"/>
    </row>
    <row r="39">
      <c r="A39" s="20"/>
      <c r="B39" s="31"/>
    </row>
    <row r="40">
      <c r="A40" s="20"/>
      <c r="B40" s="31"/>
    </row>
    <row r="41">
      <c r="A41" s="20"/>
      <c r="B41" s="31"/>
    </row>
    <row r="42">
      <c r="A42" s="20"/>
      <c r="B42" s="31"/>
    </row>
    <row r="43">
      <c r="A43" s="20"/>
      <c r="B43" s="31"/>
    </row>
    <row r="44">
      <c r="A44" s="20"/>
      <c r="B44" s="31"/>
    </row>
    <row r="45">
      <c r="A45" s="20"/>
      <c r="B45" s="31"/>
    </row>
    <row r="46">
      <c r="A46" s="20"/>
      <c r="B46" s="31"/>
    </row>
    <row r="47">
      <c r="A47" s="20"/>
      <c r="B47" s="31"/>
    </row>
    <row r="48">
      <c r="A48" s="20"/>
      <c r="B48" s="31"/>
    </row>
    <row r="49">
      <c r="A49" s="20"/>
      <c r="B49" s="31"/>
    </row>
    <row r="50">
      <c r="A50" s="20"/>
      <c r="B50" s="31"/>
    </row>
    <row r="51">
      <c r="A51" s="20"/>
      <c r="B51" s="31"/>
    </row>
    <row r="52">
      <c r="A52" s="20"/>
      <c r="B52" s="31"/>
    </row>
    <row r="53">
      <c r="A53" s="20"/>
      <c r="B53" s="31"/>
    </row>
    <row r="54">
      <c r="A54" s="20"/>
      <c r="B54" s="31"/>
    </row>
    <row r="55">
      <c r="A55" s="20"/>
      <c r="B55" s="31"/>
    </row>
    <row r="56">
      <c r="A56" s="20"/>
      <c r="B56" s="31"/>
    </row>
    <row r="57">
      <c r="A57" s="20"/>
      <c r="B57" s="31"/>
    </row>
    <row r="58">
      <c r="A58" s="20"/>
      <c r="B58" s="31"/>
    </row>
    <row r="59">
      <c r="A59" s="20"/>
      <c r="B59" s="31"/>
    </row>
    <row r="60">
      <c r="A60" s="20"/>
      <c r="B60" s="31"/>
    </row>
    <row r="61">
      <c r="A61" s="20"/>
      <c r="B61" s="31"/>
    </row>
    <row r="62">
      <c r="A62" s="20"/>
      <c r="B62" s="31"/>
    </row>
    <row r="63">
      <c r="A63" s="20"/>
      <c r="B63" s="31"/>
    </row>
    <row r="64">
      <c r="A64" s="20"/>
      <c r="B64" s="31"/>
    </row>
    <row r="65">
      <c r="A65" s="20"/>
      <c r="B65" s="31"/>
    </row>
    <row r="66">
      <c r="A66" s="20"/>
      <c r="B66" s="31"/>
    </row>
    <row r="67">
      <c r="A67" s="20"/>
      <c r="B67" s="31"/>
    </row>
    <row r="68">
      <c r="A68" s="20"/>
      <c r="B68" s="31"/>
    </row>
    <row r="69">
      <c r="A69" s="20"/>
      <c r="B69" s="31"/>
    </row>
    <row r="70">
      <c r="A70" s="20"/>
      <c r="B70" s="31"/>
    </row>
    <row r="71">
      <c r="A71" s="20"/>
      <c r="B71" s="31"/>
    </row>
    <row r="72">
      <c r="A72" s="20"/>
      <c r="B72" s="31"/>
    </row>
    <row r="73">
      <c r="A73" s="20"/>
      <c r="B73" s="31"/>
    </row>
    <row r="74">
      <c r="A74" s="20"/>
      <c r="B74" s="31"/>
    </row>
    <row r="75">
      <c r="A75" s="20"/>
      <c r="B75" s="31"/>
    </row>
    <row r="76">
      <c r="A76" s="20"/>
      <c r="B76" s="31"/>
    </row>
    <row r="77">
      <c r="A77" s="20"/>
      <c r="B77" s="31"/>
    </row>
    <row r="78">
      <c r="A78" s="20"/>
      <c r="B78" s="31"/>
    </row>
    <row r="79">
      <c r="A79" s="20"/>
      <c r="B79" s="31"/>
    </row>
    <row r="80">
      <c r="A80" s="20"/>
      <c r="B80" s="31"/>
    </row>
    <row r="81">
      <c r="A81" s="20"/>
      <c r="B81" s="31"/>
    </row>
    <row r="82">
      <c r="A82" s="20"/>
      <c r="B82" s="31"/>
    </row>
    <row r="83">
      <c r="A83" s="20"/>
      <c r="B83" s="31"/>
    </row>
    <row r="84">
      <c r="A84" s="20"/>
      <c r="B84" s="31"/>
    </row>
    <row r="85">
      <c r="A85" s="20"/>
      <c r="B85" s="31"/>
    </row>
    <row r="86">
      <c r="A86" s="20"/>
      <c r="B86" s="31"/>
    </row>
    <row r="87">
      <c r="A87" s="20"/>
      <c r="B87" s="31"/>
    </row>
    <row r="88">
      <c r="A88" s="20"/>
      <c r="B88" s="31"/>
    </row>
    <row r="89">
      <c r="A89" s="20"/>
      <c r="B89" s="31"/>
    </row>
    <row r="90">
      <c r="A90" s="20"/>
      <c r="B90" s="31"/>
    </row>
    <row r="91">
      <c r="A91" s="20"/>
      <c r="B91" s="31"/>
    </row>
    <row r="92">
      <c r="A92" s="20"/>
      <c r="B92" s="31"/>
    </row>
    <row r="93">
      <c r="A93" s="20"/>
      <c r="B93" s="31"/>
    </row>
    <row r="94">
      <c r="A94" s="20"/>
      <c r="B94" s="31"/>
    </row>
    <row r="95">
      <c r="A95" s="20"/>
      <c r="B95" s="31"/>
    </row>
    <row r="96">
      <c r="A96" s="20"/>
      <c r="B96" s="31"/>
    </row>
    <row r="97">
      <c r="A97" s="20"/>
      <c r="B97" s="31"/>
    </row>
    <row r="98">
      <c r="A98" s="20"/>
      <c r="B98" s="31"/>
    </row>
    <row r="99">
      <c r="A99" s="20"/>
      <c r="B99" s="31"/>
    </row>
    <row r="100">
      <c r="A100" s="20"/>
      <c r="B100" s="31"/>
    </row>
    <row r="101">
      <c r="A101" s="20"/>
      <c r="B101" s="31"/>
    </row>
    <row r="102">
      <c r="A102" s="20"/>
      <c r="B102" s="31"/>
    </row>
    <row r="103">
      <c r="A103" s="20"/>
      <c r="B103" s="31"/>
    </row>
    <row r="104">
      <c r="A104" s="20"/>
      <c r="B104" s="31"/>
    </row>
    <row r="105">
      <c r="A105" s="20"/>
      <c r="B105" s="31"/>
    </row>
    <row r="106">
      <c r="A106" s="20"/>
      <c r="B106" s="31"/>
    </row>
    <row r="107">
      <c r="A107" s="20"/>
      <c r="B107" s="31"/>
    </row>
    <row r="108">
      <c r="A108" s="20"/>
      <c r="B108" s="31"/>
    </row>
    <row r="109">
      <c r="A109" s="20"/>
      <c r="B109" s="31"/>
    </row>
    <row r="110">
      <c r="A110" s="20"/>
      <c r="B110" s="31"/>
    </row>
    <row r="111">
      <c r="A111" s="20"/>
      <c r="B111" s="31"/>
    </row>
    <row r="112">
      <c r="A112" s="20"/>
      <c r="B112" s="31"/>
    </row>
    <row r="113">
      <c r="A113" s="20"/>
      <c r="B113" s="31"/>
    </row>
    <row r="114">
      <c r="A114" s="20"/>
      <c r="B114" s="31"/>
    </row>
    <row r="115">
      <c r="A115" s="20"/>
      <c r="B115" s="31"/>
    </row>
    <row r="116">
      <c r="A116" s="20"/>
      <c r="B116" s="31"/>
    </row>
    <row r="117">
      <c r="A117" s="20"/>
      <c r="B117" s="31"/>
    </row>
    <row r="118">
      <c r="A118" s="20"/>
      <c r="B118" s="31"/>
    </row>
    <row r="119">
      <c r="A119" s="20"/>
      <c r="B119" s="31"/>
    </row>
    <row r="120">
      <c r="A120" s="20"/>
      <c r="B120" s="31"/>
    </row>
    <row r="121">
      <c r="A121" s="20"/>
      <c r="B121" s="31"/>
    </row>
    <row r="122">
      <c r="A122" s="20"/>
      <c r="B122" s="31"/>
    </row>
    <row r="123">
      <c r="A123" s="20"/>
      <c r="B123" s="31"/>
    </row>
    <row r="124">
      <c r="A124" s="20"/>
      <c r="B124" s="31"/>
    </row>
    <row r="125">
      <c r="A125" s="20"/>
      <c r="B125" s="31"/>
    </row>
    <row r="126">
      <c r="A126" s="20"/>
      <c r="B126" s="31"/>
    </row>
    <row r="127">
      <c r="A127" s="20"/>
      <c r="B127" s="31"/>
    </row>
    <row r="128">
      <c r="A128" s="20"/>
      <c r="B128" s="31"/>
    </row>
    <row r="129">
      <c r="A129" s="20"/>
      <c r="B129" s="31"/>
    </row>
    <row r="130">
      <c r="A130" s="20"/>
      <c r="B130" s="31"/>
    </row>
    <row r="131">
      <c r="A131" s="20"/>
      <c r="B131" s="31"/>
    </row>
    <row r="132">
      <c r="A132" s="20"/>
      <c r="B132" s="31"/>
    </row>
    <row r="133">
      <c r="A133" s="20"/>
      <c r="B133" s="31"/>
    </row>
    <row r="134">
      <c r="A134" s="20"/>
      <c r="B134" s="31"/>
    </row>
    <row r="135">
      <c r="A135" s="20"/>
      <c r="B135" s="31"/>
    </row>
    <row r="136">
      <c r="A136" s="20"/>
      <c r="B136" s="31"/>
    </row>
    <row r="137">
      <c r="A137" s="20"/>
      <c r="B137" s="31"/>
    </row>
    <row r="138">
      <c r="A138" s="20"/>
      <c r="B138" s="31"/>
    </row>
    <row r="139">
      <c r="A139" s="20"/>
      <c r="B139" s="31"/>
    </row>
    <row r="140">
      <c r="A140" s="20"/>
      <c r="B140" s="31"/>
    </row>
    <row r="141">
      <c r="A141" s="20"/>
      <c r="B141" s="31"/>
    </row>
    <row r="142">
      <c r="A142" s="20"/>
      <c r="B142" s="31"/>
    </row>
    <row r="143">
      <c r="A143" s="20"/>
      <c r="B143" s="31"/>
    </row>
    <row r="144">
      <c r="A144" s="20"/>
      <c r="B144" s="31"/>
    </row>
    <row r="145">
      <c r="A145" s="20"/>
      <c r="B145" s="31"/>
    </row>
    <row r="146">
      <c r="A146" s="20"/>
      <c r="B146" s="31"/>
    </row>
    <row r="147">
      <c r="A147" s="20"/>
      <c r="B147" s="31"/>
    </row>
    <row r="148">
      <c r="A148" s="20"/>
      <c r="B148" s="31"/>
    </row>
    <row r="149">
      <c r="A149" s="20"/>
      <c r="B149" s="31"/>
    </row>
    <row r="150">
      <c r="A150" s="20"/>
      <c r="B150" s="31"/>
    </row>
    <row r="151">
      <c r="A151" s="20"/>
      <c r="B151" s="31"/>
    </row>
    <row r="152">
      <c r="A152" s="20"/>
      <c r="B152" s="31"/>
    </row>
    <row r="153">
      <c r="A153" s="20"/>
      <c r="B153" s="31"/>
    </row>
    <row r="154">
      <c r="A154" s="20"/>
      <c r="B154" s="31"/>
    </row>
    <row r="155">
      <c r="A155" s="20"/>
      <c r="B155" s="31"/>
    </row>
    <row r="156">
      <c r="A156" s="20"/>
      <c r="B156" s="31"/>
    </row>
    <row r="157">
      <c r="A157" s="20"/>
      <c r="B157" s="31"/>
    </row>
    <row r="158">
      <c r="A158" s="20"/>
      <c r="B158" s="31"/>
    </row>
    <row r="159">
      <c r="A159" s="20"/>
      <c r="B159" s="31"/>
    </row>
    <row r="160">
      <c r="A160" s="20"/>
      <c r="B160" s="31"/>
    </row>
    <row r="161">
      <c r="A161" s="20"/>
      <c r="B161" s="31"/>
    </row>
    <row r="162">
      <c r="A162" s="20"/>
      <c r="B162" s="31"/>
    </row>
    <row r="163">
      <c r="A163" s="20"/>
      <c r="B163" s="31"/>
    </row>
    <row r="164">
      <c r="A164" s="20"/>
      <c r="B164" s="31"/>
    </row>
    <row r="165">
      <c r="A165" s="20"/>
      <c r="B165" s="31"/>
    </row>
    <row r="166">
      <c r="A166" s="20"/>
      <c r="B166" s="31"/>
    </row>
    <row r="167">
      <c r="A167" s="20"/>
      <c r="B167" s="31"/>
    </row>
    <row r="168">
      <c r="A168" s="20"/>
      <c r="B168" s="31"/>
    </row>
    <row r="169">
      <c r="A169" s="20"/>
      <c r="B169" s="31"/>
    </row>
    <row r="170">
      <c r="A170" s="20"/>
      <c r="B170" s="31"/>
    </row>
    <row r="171">
      <c r="A171" s="20"/>
      <c r="B171" s="31"/>
    </row>
    <row r="172">
      <c r="A172" s="20"/>
      <c r="B172" s="31"/>
    </row>
    <row r="173">
      <c r="A173" s="20"/>
      <c r="B173" s="31"/>
    </row>
    <row r="174">
      <c r="A174" s="20"/>
      <c r="B174" s="31"/>
    </row>
    <row r="175">
      <c r="A175" s="20"/>
      <c r="B175" s="31"/>
    </row>
    <row r="176">
      <c r="A176" s="20"/>
      <c r="B176" s="31"/>
    </row>
    <row r="177">
      <c r="A177" s="20"/>
      <c r="B177" s="31"/>
    </row>
    <row r="178">
      <c r="A178" s="20"/>
      <c r="B178" s="31"/>
    </row>
    <row r="179">
      <c r="A179" s="20"/>
      <c r="B179" s="31"/>
    </row>
    <row r="180">
      <c r="A180" s="20"/>
      <c r="B180" s="31"/>
    </row>
    <row r="181">
      <c r="A181" s="20"/>
      <c r="B181" s="31"/>
    </row>
    <row r="182">
      <c r="A182" s="20"/>
      <c r="B182" s="31"/>
    </row>
    <row r="183">
      <c r="A183" s="20"/>
      <c r="B183" s="31"/>
    </row>
    <row r="184">
      <c r="A184" s="20"/>
      <c r="B184" s="31"/>
    </row>
    <row r="185">
      <c r="A185" s="20"/>
      <c r="B185" s="31"/>
    </row>
    <row r="186">
      <c r="A186" s="20"/>
      <c r="B186" s="31"/>
    </row>
    <row r="187">
      <c r="A187" s="20"/>
      <c r="B187" s="31"/>
    </row>
    <row r="188">
      <c r="A188" s="20"/>
      <c r="B188" s="31"/>
    </row>
    <row r="189">
      <c r="A189" s="20"/>
      <c r="B189" s="31"/>
    </row>
    <row r="190">
      <c r="A190" s="20"/>
      <c r="B190" s="31"/>
    </row>
    <row r="191">
      <c r="A191" s="20"/>
      <c r="B191" s="31"/>
    </row>
    <row r="192">
      <c r="A192" s="20"/>
      <c r="B192" s="31"/>
    </row>
    <row r="193">
      <c r="A193" s="20"/>
      <c r="B193" s="31"/>
    </row>
    <row r="194">
      <c r="A194" s="20"/>
      <c r="B194" s="31"/>
    </row>
    <row r="195">
      <c r="A195" s="20"/>
      <c r="B195" s="31"/>
    </row>
    <row r="196">
      <c r="A196" s="20"/>
      <c r="B196" s="31"/>
    </row>
    <row r="197">
      <c r="A197" s="20"/>
      <c r="B197" s="31"/>
    </row>
    <row r="198">
      <c r="A198" s="20"/>
      <c r="B198" s="31"/>
    </row>
    <row r="199">
      <c r="A199" s="20"/>
      <c r="B199" s="31"/>
    </row>
    <row r="200">
      <c r="A200" s="20"/>
      <c r="B200" s="31"/>
    </row>
    <row r="201">
      <c r="A201" s="20"/>
      <c r="B201" s="31"/>
    </row>
    <row r="202">
      <c r="A202" s="20"/>
      <c r="B202" s="31"/>
    </row>
    <row r="203">
      <c r="A203" s="20"/>
      <c r="B203" s="31"/>
    </row>
    <row r="204">
      <c r="A204" s="20"/>
      <c r="B204" s="31"/>
    </row>
    <row r="205">
      <c r="A205" s="20"/>
      <c r="B205" s="31"/>
    </row>
    <row r="206">
      <c r="A206" s="20"/>
      <c r="B206" s="31"/>
    </row>
    <row r="207">
      <c r="A207" s="20"/>
      <c r="B207" s="31"/>
    </row>
    <row r="208">
      <c r="A208" s="20"/>
      <c r="B208" s="31"/>
    </row>
    <row r="209">
      <c r="A209" s="20"/>
      <c r="B209" s="31"/>
    </row>
    <row r="210">
      <c r="A210" s="20"/>
      <c r="B210" s="31"/>
    </row>
    <row r="211">
      <c r="A211" s="20"/>
      <c r="B211" s="31"/>
    </row>
    <row r="212">
      <c r="A212" s="20"/>
      <c r="B212" s="31"/>
    </row>
    <row r="213">
      <c r="A213" s="20"/>
      <c r="B213" s="31"/>
    </row>
    <row r="214">
      <c r="A214" s="20"/>
      <c r="B214" s="31"/>
    </row>
    <row r="215">
      <c r="A215" s="20"/>
      <c r="B215" s="31"/>
    </row>
    <row r="216">
      <c r="A216" s="20"/>
      <c r="B216" s="31"/>
    </row>
    <row r="217">
      <c r="A217" s="20"/>
      <c r="B217" s="31"/>
    </row>
    <row r="218">
      <c r="A218" s="20"/>
      <c r="B218" s="31"/>
    </row>
    <row r="219">
      <c r="A219" s="20"/>
      <c r="B219" s="31"/>
    </row>
    <row r="220">
      <c r="A220" s="20"/>
      <c r="B220" s="31"/>
    </row>
    <row r="221">
      <c r="A221" s="20"/>
      <c r="B221" s="31"/>
    </row>
    <row r="222">
      <c r="A222" s="20"/>
      <c r="B222" s="31"/>
    </row>
    <row r="223">
      <c r="A223" s="20"/>
      <c r="B223" s="31"/>
    </row>
    <row r="224">
      <c r="A224" s="20"/>
      <c r="B224" s="31"/>
    </row>
    <row r="225">
      <c r="A225" s="20"/>
      <c r="B225" s="31"/>
    </row>
    <row r="226">
      <c r="A226" s="20"/>
      <c r="B226" s="31"/>
    </row>
    <row r="227">
      <c r="A227" s="20"/>
      <c r="B227" s="31"/>
    </row>
    <row r="228">
      <c r="A228" s="20"/>
      <c r="B228" s="31"/>
    </row>
    <row r="229">
      <c r="A229" s="20"/>
      <c r="B229" s="31"/>
    </row>
    <row r="230">
      <c r="A230" s="20"/>
      <c r="B230" s="31"/>
    </row>
    <row r="231">
      <c r="A231" s="20"/>
      <c r="B231" s="31"/>
    </row>
    <row r="232">
      <c r="A232" s="20"/>
      <c r="B232" s="31"/>
    </row>
    <row r="233">
      <c r="A233" s="20"/>
      <c r="B233" s="31"/>
    </row>
    <row r="234">
      <c r="A234" s="20"/>
      <c r="B234" s="31"/>
    </row>
    <row r="235">
      <c r="A235" s="20"/>
      <c r="B235" s="31"/>
    </row>
    <row r="236">
      <c r="A236" s="20"/>
      <c r="B236" s="31"/>
    </row>
    <row r="237">
      <c r="A237" s="20"/>
      <c r="B237" s="31"/>
    </row>
    <row r="238">
      <c r="A238" s="20"/>
      <c r="B238" s="31"/>
    </row>
    <row r="239">
      <c r="A239" s="20"/>
      <c r="B239" s="31"/>
    </row>
    <row r="240">
      <c r="A240" s="20"/>
      <c r="B240" s="31"/>
    </row>
    <row r="241">
      <c r="A241" s="20"/>
      <c r="B241" s="31"/>
    </row>
    <row r="242">
      <c r="A242" s="20"/>
      <c r="B242" s="31"/>
    </row>
    <row r="243">
      <c r="A243" s="20"/>
      <c r="B243" s="31"/>
    </row>
    <row r="244">
      <c r="A244" s="20"/>
      <c r="B244" s="31"/>
    </row>
    <row r="245">
      <c r="A245" s="20"/>
      <c r="B245" s="31"/>
    </row>
    <row r="246">
      <c r="A246" s="20"/>
      <c r="B246" s="31"/>
    </row>
    <row r="247">
      <c r="A247" s="20"/>
      <c r="B247" s="31"/>
    </row>
    <row r="248">
      <c r="A248" s="20"/>
      <c r="B248" s="31"/>
    </row>
    <row r="249">
      <c r="A249" s="20"/>
      <c r="B249" s="31"/>
    </row>
    <row r="250">
      <c r="A250" s="20"/>
      <c r="B250" s="31"/>
    </row>
    <row r="251">
      <c r="A251" s="20"/>
      <c r="B251" s="31"/>
    </row>
    <row r="252">
      <c r="A252" s="20"/>
      <c r="B252" s="31"/>
    </row>
    <row r="253">
      <c r="A253" s="20"/>
      <c r="B253" s="31"/>
    </row>
    <row r="254">
      <c r="A254" s="20"/>
      <c r="B254" s="31"/>
    </row>
    <row r="255">
      <c r="A255" s="20"/>
      <c r="B255" s="31"/>
    </row>
    <row r="256">
      <c r="A256" s="20"/>
      <c r="B256" s="31"/>
    </row>
    <row r="257">
      <c r="A257" s="20"/>
      <c r="B257" s="31"/>
    </row>
    <row r="258">
      <c r="A258" s="20"/>
      <c r="B258" s="31"/>
    </row>
    <row r="259">
      <c r="A259" s="20"/>
      <c r="B259" s="31"/>
    </row>
    <row r="260">
      <c r="A260" s="20"/>
      <c r="B260" s="31"/>
    </row>
    <row r="261">
      <c r="A261" s="20"/>
      <c r="B261" s="31"/>
    </row>
    <row r="262">
      <c r="A262" s="20"/>
      <c r="B262" s="31"/>
    </row>
    <row r="263">
      <c r="A263" s="20"/>
      <c r="B263" s="31"/>
    </row>
    <row r="264">
      <c r="A264" s="20"/>
      <c r="B264" s="31"/>
    </row>
    <row r="265">
      <c r="A265" s="20"/>
      <c r="B265" s="31"/>
    </row>
    <row r="266">
      <c r="A266" s="20"/>
      <c r="B266" s="31"/>
    </row>
    <row r="267">
      <c r="A267" s="20"/>
      <c r="B267" s="31"/>
    </row>
    <row r="268">
      <c r="A268" s="20"/>
      <c r="B268" s="31"/>
    </row>
    <row r="269">
      <c r="A269" s="20"/>
      <c r="B269" s="31"/>
    </row>
    <row r="270">
      <c r="A270" s="20"/>
      <c r="B270" s="31"/>
    </row>
    <row r="271">
      <c r="A271" s="20"/>
      <c r="B271" s="31"/>
    </row>
    <row r="272">
      <c r="A272" s="20"/>
      <c r="B272" s="31"/>
    </row>
    <row r="273">
      <c r="A273" s="20"/>
      <c r="B273" s="31"/>
    </row>
    <row r="274">
      <c r="A274" s="20"/>
      <c r="B274" s="31"/>
    </row>
    <row r="275">
      <c r="A275" s="20"/>
      <c r="B275" s="31"/>
    </row>
    <row r="276">
      <c r="A276" s="20"/>
      <c r="B276" s="31"/>
    </row>
    <row r="277">
      <c r="A277" s="20"/>
      <c r="B277" s="31"/>
    </row>
    <row r="278">
      <c r="A278" s="20"/>
      <c r="B278" s="31"/>
    </row>
    <row r="279">
      <c r="A279" s="20"/>
      <c r="B279" s="31"/>
    </row>
    <row r="280">
      <c r="A280" s="20"/>
      <c r="B280" s="31"/>
    </row>
    <row r="281">
      <c r="A281" s="20"/>
      <c r="B281" s="31"/>
    </row>
    <row r="282">
      <c r="A282" s="20"/>
      <c r="B282" s="31"/>
    </row>
    <row r="283">
      <c r="A283" s="20"/>
      <c r="B283" s="31"/>
    </row>
    <row r="284">
      <c r="A284" s="20"/>
      <c r="B284" s="31"/>
    </row>
    <row r="285">
      <c r="A285" s="20"/>
      <c r="B285" s="31"/>
    </row>
    <row r="286">
      <c r="A286" s="20"/>
      <c r="B286" s="31"/>
    </row>
    <row r="287">
      <c r="A287" s="20"/>
      <c r="B287" s="31"/>
    </row>
    <row r="288">
      <c r="A288" s="20"/>
      <c r="B288" s="31"/>
    </row>
    <row r="289">
      <c r="A289" s="20"/>
      <c r="B289" s="31"/>
    </row>
    <row r="290">
      <c r="A290" s="20"/>
      <c r="B290" s="31"/>
    </row>
    <row r="291">
      <c r="A291" s="20"/>
      <c r="B291" s="31"/>
    </row>
    <row r="292">
      <c r="A292" s="20"/>
      <c r="B292" s="31"/>
    </row>
    <row r="293">
      <c r="A293" s="20"/>
      <c r="B293" s="31"/>
    </row>
    <row r="294">
      <c r="A294" s="20"/>
      <c r="B294" s="31"/>
    </row>
    <row r="295">
      <c r="A295" s="20"/>
      <c r="B295" s="31"/>
    </row>
    <row r="296">
      <c r="A296" s="20"/>
      <c r="B296" s="31"/>
    </row>
    <row r="297">
      <c r="A297" s="20"/>
      <c r="B297" s="31"/>
    </row>
    <row r="298">
      <c r="A298" s="20"/>
      <c r="B298" s="31"/>
    </row>
    <row r="299">
      <c r="A299" s="20"/>
      <c r="B299" s="31"/>
    </row>
    <row r="300">
      <c r="A300" s="20"/>
      <c r="B300" s="31"/>
    </row>
    <row r="301">
      <c r="A301" s="20"/>
      <c r="B301" s="31"/>
    </row>
    <row r="302">
      <c r="A302" s="20"/>
      <c r="B302" s="31"/>
    </row>
    <row r="303">
      <c r="A303" s="20"/>
      <c r="B303" s="31"/>
    </row>
    <row r="304">
      <c r="A304" s="20"/>
      <c r="B304" s="31"/>
    </row>
    <row r="305">
      <c r="A305" s="20"/>
      <c r="B305" s="31"/>
    </row>
    <row r="306">
      <c r="A306" s="20"/>
      <c r="B306" s="31"/>
    </row>
    <row r="307">
      <c r="A307" s="20"/>
      <c r="B307" s="31"/>
    </row>
    <row r="308">
      <c r="A308" s="20"/>
      <c r="B308" s="31"/>
    </row>
    <row r="309">
      <c r="A309" s="20"/>
      <c r="B309" s="31"/>
    </row>
    <row r="310">
      <c r="A310" s="20"/>
      <c r="B310" s="31"/>
    </row>
    <row r="311">
      <c r="A311" s="20"/>
      <c r="B311" s="31"/>
    </row>
    <row r="312">
      <c r="A312" s="20"/>
      <c r="B312" s="31"/>
    </row>
    <row r="313">
      <c r="A313" s="20"/>
      <c r="B313" s="31"/>
    </row>
    <row r="314">
      <c r="A314" s="20"/>
      <c r="B314" s="31"/>
    </row>
    <row r="315">
      <c r="A315" s="20"/>
      <c r="B315" s="31"/>
    </row>
    <row r="316">
      <c r="A316" s="20"/>
      <c r="B316" s="31"/>
    </row>
    <row r="317">
      <c r="A317" s="20"/>
      <c r="B317" s="31"/>
    </row>
    <row r="318">
      <c r="A318" s="20"/>
      <c r="B318" s="31"/>
    </row>
    <row r="319">
      <c r="A319" s="20"/>
      <c r="B319" s="31"/>
    </row>
    <row r="320">
      <c r="A320" s="20"/>
      <c r="B320" s="31"/>
    </row>
    <row r="321">
      <c r="A321" s="20"/>
      <c r="B321" s="31"/>
    </row>
    <row r="322">
      <c r="A322" s="20"/>
      <c r="B322" s="31"/>
    </row>
    <row r="323">
      <c r="A323" s="20"/>
      <c r="B323" s="31"/>
    </row>
    <row r="324">
      <c r="A324" s="20"/>
      <c r="B324" s="31"/>
    </row>
    <row r="325">
      <c r="A325" s="20"/>
      <c r="B325" s="31"/>
    </row>
    <row r="326">
      <c r="A326" s="20"/>
      <c r="B326" s="31"/>
    </row>
    <row r="327">
      <c r="A327" s="20"/>
      <c r="B327" s="31"/>
    </row>
    <row r="328">
      <c r="A328" s="20"/>
      <c r="B328" s="31"/>
    </row>
    <row r="329">
      <c r="A329" s="20"/>
      <c r="B329" s="31"/>
    </row>
    <row r="330">
      <c r="A330" s="20"/>
      <c r="B330" s="31"/>
    </row>
    <row r="331">
      <c r="A331" s="20"/>
      <c r="B331" s="31"/>
    </row>
    <row r="332">
      <c r="A332" s="20"/>
      <c r="B332" s="31"/>
    </row>
    <row r="333">
      <c r="A333" s="20"/>
      <c r="B333" s="31"/>
    </row>
    <row r="334">
      <c r="A334" s="20"/>
      <c r="B334" s="31"/>
    </row>
    <row r="335">
      <c r="A335" s="20"/>
      <c r="B335" s="31"/>
    </row>
    <row r="336">
      <c r="A336" s="20"/>
      <c r="B336" s="31"/>
    </row>
    <row r="337">
      <c r="A337" s="20"/>
      <c r="B337" s="31"/>
    </row>
    <row r="338">
      <c r="A338" s="20"/>
      <c r="B338" s="31"/>
    </row>
    <row r="339">
      <c r="A339" s="20"/>
      <c r="B339" s="31"/>
    </row>
    <row r="340">
      <c r="A340" s="20"/>
      <c r="B340" s="31"/>
    </row>
    <row r="341">
      <c r="A341" s="20"/>
      <c r="B341" s="31"/>
    </row>
    <row r="342">
      <c r="A342" s="20"/>
      <c r="B342" s="31"/>
    </row>
    <row r="343">
      <c r="A343" s="20"/>
      <c r="B343" s="31"/>
    </row>
    <row r="344">
      <c r="A344" s="20"/>
      <c r="B344" s="31"/>
    </row>
    <row r="345">
      <c r="A345" s="20"/>
      <c r="B345" s="31"/>
    </row>
    <row r="346">
      <c r="A346" s="20"/>
      <c r="B346" s="31"/>
    </row>
    <row r="347">
      <c r="A347" s="20"/>
      <c r="B347" s="31"/>
    </row>
    <row r="348">
      <c r="A348" s="20"/>
      <c r="B348" s="31"/>
    </row>
    <row r="349">
      <c r="A349" s="20"/>
      <c r="B349" s="31"/>
    </row>
    <row r="350">
      <c r="A350" s="20"/>
      <c r="B350" s="31"/>
    </row>
    <row r="351">
      <c r="A351" s="20"/>
      <c r="B351" s="31"/>
    </row>
    <row r="352">
      <c r="A352" s="20"/>
      <c r="B352" s="31"/>
    </row>
    <row r="353">
      <c r="A353" s="20"/>
      <c r="B353" s="31"/>
    </row>
    <row r="354">
      <c r="A354" s="20"/>
      <c r="B354" s="31"/>
    </row>
    <row r="355">
      <c r="A355" s="20"/>
      <c r="B355" s="31"/>
    </row>
    <row r="356">
      <c r="A356" s="20"/>
      <c r="B356" s="31"/>
    </row>
    <row r="357">
      <c r="A357" s="20"/>
      <c r="B357" s="31"/>
    </row>
    <row r="358">
      <c r="A358" s="20"/>
      <c r="B358" s="31"/>
    </row>
    <row r="359">
      <c r="A359" s="20"/>
      <c r="B359" s="31"/>
    </row>
    <row r="360">
      <c r="A360" s="20"/>
      <c r="B360" s="31"/>
    </row>
    <row r="361">
      <c r="A361" s="20"/>
      <c r="B361" s="31"/>
    </row>
    <row r="362">
      <c r="A362" s="20"/>
      <c r="B362" s="31"/>
    </row>
    <row r="363">
      <c r="A363" s="20"/>
      <c r="B363" s="31"/>
    </row>
    <row r="364">
      <c r="A364" s="20"/>
      <c r="B364" s="31"/>
    </row>
    <row r="365">
      <c r="A365" s="20"/>
      <c r="B365" s="31"/>
    </row>
    <row r="366">
      <c r="A366" s="20"/>
      <c r="B366" s="31"/>
    </row>
    <row r="367">
      <c r="A367" s="20"/>
      <c r="B367" s="31"/>
    </row>
    <row r="368">
      <c r="A368" s="20"/>
      <c r="B368" s="31"/>
    </row>
    <row r="369">
      <c r="A369" s="20"/>
      <c r="B369" s="31"/>
    </row>
    <row r="370">
      <c r="A370" s="20"/>
      <c r="B370" s="31"/>
    </row>
    <row r="371">
      <c r="A371" s="20"/>
      <c r="B371" s="31"/>
    </row>
    <row r="372">
      <c r="A372" s="20"/>
      <c r="B372" s="31"/>
    </row>
    <row r="373">
      <c r="A373" s="20"/>
      <c r="B373" s="31"/>
    </row>
    <row r="374">
      <c r="A374" s="20"/>
      <c r="B374" s="31"/>
    </row>
    <row r="375">
      <c r="A375" s="20"/>
      <c r="B375" s="31"/>
    </row>
    <row r="376">
      <c r="A376" s="20"/>
      <c r="B376" s="31"/>
    </row>
    <row r="377">
      <c r="A377" s="20"/>
      <c r="B377" s="31"/>
    </row>
    <row r="378">
      <c r="A378" s="20"/>
      <c r="B378" s="31"/>
    </row>
    <row r="379">
      <c r="A379" s="20"/>
      <c r="B379" s="31"/>
    </row>
    <row r="380">
      <c r="A380" s="20"/>
      <c r="B380" s="31"/>
    </row>
    <row r="381">
      <c r="A381" s="20"/>
      <c r="B381" s="31"/>
    </row>
    <row r="382">
      <c r="A382" s="20"/>
      <c r="B382" s="31"/>
    </row>
    <row r="383">
      <c r="A383" s="20"/>
      <c r="B383" s="31"/>
    </row>
    <row r="384">
      <c r="A384" s="20"/>
      <c r="B384" s="31"/>
    </row>
    <row r="385">
      <c r="A385" s="20"/>
      <c r="B385" s="31"/>
    </row>
    <row r="386">
      <c r="A386" s="20"/>
      <c r="B386" s="31"/>
    </row>
    <row r="387">
      <c r="A387" s="20"/>
      <c r="B387" s="31"/>
    </row>
    <row r="388">
      <c r="A388" s="20"/>
      <c r="B388" s="31"/>
    </row>
    <row r="389">
      <c r="A389" s="20"/>
      <c r="B389" s="31"/>
    </row>
    <row r="390">
      <c r="A390" s="20"/>
      <c r="B390" s="31"/>
    </row>
    <row r="391">
      <c r="A391" s="20"/>
      <c r="B391" s="31"/>
    </row>
    <row r="392">
      <c r="A392" s="20"/>
      <c r="B392" s="31"/>
    </row>
    <row r="393">
      <c r="A393" s="20"/>
      <c r="B393" s="31"/>
    </row>
    <row r="394">
      <c r="A394" s="20"/>
      <c r="B394" s="31"/>
    </row>
    <row r="395">
      <c r="A395" s="20"/>
      <c r="B395" s="31"/>
    </row>
    <row r="396">
      <c r="A396" s="20"/>
      <c r="B396" s="31"/>
    </row>
    <row r="397">
      <c r="A397" s="20"/>
      <c r="B397" s="31"/>
    </row>
    <row r="398">
      <c r="A398" s="20"/>
      <c r="B398" s="31"/>
    </row>
    <row r="399">
      <c r="A399" s="20"/>
      <c r="B399" s="31"/>
    </row>
    <row r="400">
      <c r="A400" s="20"/>
      <c r="B400" s="31"/>
    </row>
    <row r="401">
      <c r="A401" s="20"/>
      <c r="B401" s="31"/>
    </row>
    <row r="402">
      <c r="A402" s="20"/>
      <c r="B402" s="31"/>
    </row>
    <row r="403">
      <c r="A403" s="20"/>
      <c r="B403" s="31"/>
    </row>
    <row r="404">
      <c r="A404" s="20"/>
      <c r="B404" s="31"/>
    </row>
    <row r="405">
      <c r="A405" s="20"/>
      <c r="B405" s="31"/>
    </row>
    <row r="406">
      <c r="A406" s="20"/>
      <c r="B406" s="31"/>
    </row>
    <row r="407">
      <c r="A407" s="20"/>
      <c r="B407" s="31"/>
    </row>
    <row r="408">
      <c r="A408" s="20"/>
      <c r="B408" s="31"/>
    </row>
    <row r="409">
      <c r="A409" s="20"/>
      <c r="B409" s="31"/>
    </row>
    <row r="410">
      <c r="A410" s="20"/>
      <c r="B410" s="31"/>
    </row>
    <row r="411">
      <c r="A411" s="20"/>
      <c r="B411" s="31"/>
    </row>
    <row r="412">
      <c r="A412" s="20"/>
      <c r="B412" s="31"/>
    </row>
    <row r="413">
      <c r="A413" s="20"/>
      <c r="B413" s="31"/>
    </row>
    <row r="414">
      <c r="A414" s="20"/>
      <c r="B414" s="31"/>
    </row>
    <row r="415">
      <c r="A415" s="20"/>
      <c r="B415" s="31"/>
    </row>
    <row r="416">
      <c r="A416" s="20"/>
      <c r="B416" s="31"/>
    </row>
    <row r="417">
      <c r="A417" s="20"/>
      <c r="B417" s="31"/>
    </row>
    <row r="418">
      <c r="A418" s="20"/>
      <c r="B418" s="31"/>
    </row>
    <row r="419">
      <c r="A419" s="20"/>
      <c r="B419" s="31"/>
    </row>
    <row r="420">
      <c r="A420" s="20"/>
      <c r="B420" s="31"/>
    </row>
    <row r="421">
      <c r="A421" s="20"/>
      <c r="B421" s="31"/>
    </row>
    <row r="422">
      <c r="A422" s="20"/>
      <c r="B422" s="31"/>
    </row>
    <row r="423">
      <c r="A423" s="20"/>
      <c r="B423" s="31"/>
    </row>
    <row r="424">
      <c r="A424" s="20"/>
      <c r="B424" s="31"/>
    </row>
    <row r="425">
      <c r="A425" s="20"/>
      <c r="B425" s="31"/>
    </row>
    <row r="426">
      <c r="A426" s="20"/>
      <c r="B426" s="31"/>
    </row>
    <row r="427">
      <c r="A427" s="20"/>
      <c r="B427" s="31"/>
    </row>
    <row r="428">
      <c r="A428" s="20"/>
      <c r="B428" s="31"/>
    </row>
    <row r="429">
      <c r="A429" s="20"/>
      <c r="B429" s="31"/>
    </row>
    <row r="430">
      <c r="A430" s="20"/>
      <c r="B430" s="31"/>
    </row>
    <row r="431">
      <c r="A431" s="20"/>
      <c r="B431" s="31"/>
    </row>
    <row r="432">
      <c r="A432" s="20"/>
      <c r="B432" s="31"/>
    </row>
    <row r="433">
      <c r="A433" s="20"/>
      <c r="B433" s="31"/>
    </row>
    <row r="434">
      <c r="A434" s="20"/>
      <c r="B434" s="31"/>
    </row>
    <row r="435">
      <c r="A435" s="20"/>
      <c r="B435" s="31"/>
    </row>
    <row r="436">
      <c r="A436" s="20"/>
      <c r="B436" s="31"/>
    </row>
    <row r="437">
      <c r="A437" s="20"/>
      <c r="B437" s="31"/>
    </row>
    <row r="438">
      <c r="A438" s="20"/>
      <c r="B438" s="31"/>
    </row>
    <row r="439">
      <c r="A439" s="20"/>
      <c r="B439" s="31"/>
    </row>
    <row r="440">
      <c r="A440" s="20"/>
      <c r="B440" s="31"/>
    </row>
    <row r="441">
      <c r="A441" s="20"/>
      <c r="B441" s="31"/>
    </row>
    <row r="442">
      <c r="A442" s="20"/>
      <c r="B442" s="31"/>
    </row>
    <row r="443">
      <c r="A443" s="20"/>
      <c r="B443" s="31"/>
    </row>
    <row r="444">
      <c r="A444" s="20"/>
      <c r="B444" s="31"/>
    </row>
    <row r="445">
      <c r="A445" s="20"/>
      <c r="B445" s="31"/>
    </row>
    <row r="446">
      <c r="A446" s="20"/>
      <c r="B446" s="31"/>
    </row>
    <row r="447">
      <c r="A447" s="20"/>
      <c r="B447" s="31"/>
    </row>
    <row r="448">
      <c r="A448" s="20"/>
      <c r="B448" s="31"/>
    </row>
    <row r="449">
      <c r="A449" s="20"/>
      <c r="B449" s="31"/>
    </row>
    <row r="450">
      <c r="A450" s="20"/>
      <c r="B450" s="31"/>
    </row>
    <row r="451">
      <c r="A451" s="20"/>
      <c r="B451" s="31"/>
    </row>
    <row r="452">
      <c r="A452" s="20"/>
      <c r="B452" s="31"/>
    </row>
    <row r="453">
      <c r="A453" s="20"/>
      <c r="B453" s="31"/>
    </row>
    <row r="454">
      <c r="A454" s="20"/>
      <c r="B454" s="31"/>
    </row>
    <row r="455">
      <c r="A455" s="20"/>
      <c r="B455" s="31"/>
    </row>
    <row r="456">
      <c r="A456" s="20"/>
      <c r="B456" s="31"/>
    </row>
    <row r="457">
      <c r="A457" s="20"/>
      <c r="B457" s="31"/>
    </row>
    <row r="458">
      <c r="A458" s="20"/>
      <c r="B458" s="31"/>
    </row>
    <row r="459">
      <c r="A459" s="20"/>
      <c r="B459" s="31"/>
    </row>
    <row r="460">
      <c r="A460" s="20"/>
      <c r="B460" s="31"/>
    </row>
    <row r="461">
      <c r="A461" s="20"/>
      <c r="B461" s="31"/>
    </row>
    <row r="462">
      <c r="A462" s="20"/>
      <c r="B462" s="31"/>
    </row>
    <row r="463">
      <c r="A463" s="20"/>
      <c r="B463" s="31"/>
    </row>
    <row r="464">
      <c r="A464" s="20"/>
      <c r="B464" s="31"/>
    </row>
    <row r="465">
      <c r="A465" s="20"/>
      <c r="B465" s="31"/>
    </row>
    <row r="466">
      <c r="A466" s="20"/>
      <c r="B466" s="31"/>
    </row>
    <row r="467">
      <c r="A467" s="20"/>
      <c r="B467" s="31"/>
    </row>
    <row r="468">
      <c r="A468" s="20"/>
      <c r="B468" s="31"/>
    </row>
    <row r="469">
      <c r="A469" s="20"/>
      <c r="B469" s="31"/>
    </row>
    <row r="470">
      <c r="A470" s="20"/>
      <c r="B470" s="31"/>
    </row>
    <row r="471">
      <c r="A471" s="20"/>
      <c r="B471" s="31"/>
    </row>
    <row r="472">
      <c r="A472" s="20"/>
      <c r="B472" s="31"/>
    </row>
    <row r="473">
      <c r="A473" s="20"/>
      <c r="B473" s="31"/>
    </row>
    <row r="474">
      <c r="A474" s="20"/>
      <c r="B474" s="31"/>
    </row>
    <row r="475">
      <c r="A475" s="20"/>
      <c r="B475" s="31"/>
    </row>
    <row r="476">
      <c r="A476" s="20"/>
      <c r="B476" s="31"/>
    </row>
    <row r="477">
      <c r="A477" s="20"/>
      <c r="B477" s="31"/>
    </row>
    <row r="478">
      <c r="A478" s="20"/>
      <c r="B478" s="31"/>
    </row>
    <row r="479">
      <c r="A479" s="20"/>
      <c r="B479" s="31"/>
    </row>
    <row r="480">
      <c r="A480" s="20"/>
      <c r="B480" s="31"/>
    </row>
    <row r="481">
      <c r="A481" s="20"/>
      <c r="B481" s="31"/>
    </row>
    <row r="482">
      <c r="A482" s="20"/>
      <c r="B482" s="31"/>
    </row>
    <row r="483">
      <c r="A483" s="20"/>
      <c r="B483" s="31"/>
    </row>
    <row r="484">
      <c r="A484" s="20"/>
      <c r="B484" s="31"/>
    </row>
    <row r="485">
      <c r="A485" s="20"/>
      <c r="B485" s="31"/>
    </row>
    <row r="486">
      <c r="A486" s="20"/>
      <c r="B486" s="31"/>
    </row>
    <row r="487">
      <c r="A487" s="20"/>
      <c r="B487" s="31"/>
    </row>
    <row r="488">
      <c r="A488" s="20"/>
      <c r="B488" s="31"/>
    </row>
    <row r="489">
      <c r="A489" s="20"/>
      <c r="B489" s="31"/>
    </row>
    <row r="490">
      <c r="A490" s="20"/>
      <c r="B490" s="31"/>
    </row>
    <row r="491">
      <c r="A491" s="20"/>
      <c r="B491" s="31"/>
    </row>
    <row r="492">
      <c r="A492" s="20"/>
      <c r="B492" s="31"/>
    </row>
    <row r="493">
      <c r="A493" s="20"/>
      <c r="B493" s="31"/>
    </row>
    <row r="494">
      <c r="A494" s="20"/>
      <c r="B494" s="31"/>
    </row>
    <row r="495">
      <c r="A495" s="20"/>
      <c r="B495" s="31"/>
    </row>
    <row r="496">
      <c r="A496" s="20"/>
      <c r="B496" s="31"/>
    </row>
    <row r="497">
      <c r="A497" s="20"/>
      <c r="B497" s="31"/>
    </row>
    <row r="498">
      <c r="A498" s="20"/>
      <c r="B498" s="31"/>
    </row>
    <row r="499">
      <c r="A499" s="20"/>
      <c r="B499" s="31"/>
    </row>
    <row r="500">
      <c r="A500" s="20"/>
      <c r="B500" s="31"/>
    </row>
    <row r="501">
      <c r="A501" s="20"/>
      <c r="B501" s="31"/>
    </row>
    <row r="502">
      <c r="A502" s="20"/>
      <c r="B502" s="31"/>
    </row>
    <row r="503">
      <c r="A503" s="20"/>
      <c r="B503" s="31"/>
    </row>
    <row r="504">
      <c r="A504" s="20"/>
      <c r="B504" s="31"/>
    </row>
    <row r="505">
      <c r="A505" s="20"/>
      <c r="B505" s="31"/>
    </row>
    <row r="506">
      <c r="A506" s="20"/>
      <c r="B506" s="31"/>
    </row>
    <row r="507">
      <c r="A507" s="20"/>
      <c r="B507" s="31"/>
    </row>
    <row r="508">
      <c r="A508" s="20"/>
      <c r="B508" s="31"/>
    </row>
    <row r="509">
      <c r="A509" s="20"/>
      <c r="B509" s="31"/>
    </row>
    <row r="510">
      <c r="A510" s="20"/>
      <c r="B510" s="31"/>
    </row>
    <row r="511">
      <c r="A511" s="20"/>
      <c r="B511" s="31"/>
    </row>
    <row r="512">
      <c r="A512" s="20"/>
      <c r="B512" s="31"/>
    </row>
    <row r="513">
      <c r="A513" s="20"/>
      <c r="B513" s="31"/>
    </row>
    <row r="514">
      <c r="A514" s="20"/>
      <c r="B514" s="31"/>
    </row>
    <row r="515">
      <c r="A515" s="20"/>
      <c r="B515" s="31"/>
    </row>
    <row r="516">
      <c r="A516" s="20"/>
      <c r="B516" s="31"/>
    </row>
    <row r="517">
      <c r="A517" s="20"/>
      <c r="B517" s="31"/>
    </row>
    <row r="518">
      <c r="A518" s="20"/>
      <c r="B518" s="31"/>
    </row>
    <row r="519">
      <c r="A519" s="20"/>
      <c r="B519" s="31"/>
    </row>
    <row r="520">
      <c r="A520" s="20"/>
      <c r="B520" s="31"/>
    </row>
    <row r="521">
      <c r="A521" s="20"/>
      <c r="B521" s="31"/>
    </row>
    <row r="522">
      <c r="A522" s="20"/>
      <c r="B522" s="31"/>
    </row>
    <row r="523">
      <c r="A523" s="20"/>
      <c r="B523" s="31"/>
    </row>
    <row r="524">
      <c r="A524" s="20"/>
      <c r="B524" s="31"/>
    </row>
    <row r="525">
      <c r="A525" s="20"/>
      <c r="B525" s="31"/>
    </row>
    <row r="526">
      <c r="A526" s="20"/>
      <c r="B526" s="31"/>
    </row>
    <row r="527">
      <c r="A527" s="20"/>
      <c r="B527" s="31"/>
    </row>
    <row r="528">
      <c r="A528" s="20"/>
      <c r="B528" s="31"/>
    </row>
    <row r="529">
      <c r="A529" s="20"/>
      <c r="B529" s="31"/>
    </row>
    <row r="530">
      <c r="A530" s="20"/>
      <c r="B530" s="31"/>
    </row>
    <row r="531">
      <c r="A531" s="20"/>
      <c r="B531" s="31"/>
    </row>
    <row r="532">
      <c r="A532" s="20"/>
      <c r="B532" s="31"/>
    </row>
    <row r="533">
      <c r="A533" s="20"/>
      <c r="B533" s="31"/>
    </row>
    <row r="534">
      <c r="A534" s="20"/>
      <c r="B534" s="31"/>
    </row>
    <row r="535">
      <c r="A535" s="20"/>
      <c r="B535" s="31"/>
    </row>
    <row r="536">
      <c r="A536" s="20"/>
      <c r="B536" s="31"/>
    </row>
    <row r="537">
      <c r="A537" s="20"/>
      <c r="B537" s="31"/>
    </row>
    <row r="538">
      <c r="A538" s="20"/>
      <c r="B538" s="31"/>
    </row>
    <row r="539">
      <c r="A539" s="20"/>
      <c r="B539" s="31"/>
    </row>
    <row r="540">
      <c r="A540" s="20"/>
      <c r="B540" s="31"/>
    </row>
    <row r="541">
      <c r="A541" s="20"/>
      <c r="B541" s="31"/>
    </row>
    <row r="542">
      <c r="A542" s="20"/>
      <c r="B542" s="31"/>
    </row>
    <row r="543">
      <c r="A543" s="20"/>
      <c r="B543" s="31"/>
    </row>
    <row r="544">
      <c r="A544" s="20"/>
      <c r="B544" s="31"/>
    </row>
    <row r="545">
      <c r="A545" s="20"/>
      <c r="B545" s="31"/>
    </row>
    <row r="546">
      <c r="A546" s="20"/>
      <c r="B546" s="31"/>
    </row>
    <row r="547">
      <c r="A547" s="20"/>
      <c r="B547" s="31"/>
    </row>
    <row r="548">
      <c r="A548" s="20"/>
      <c r="B548" s="31"/>
    </row>
    <row r="549">
      <c r="A549" s="20"/>
      <c r="B549" s="31"/>
    </row>
    <row r="550">
      <c r="A550" s="20"/>
      <c r="B550" s="31"/>
    </row>
    <row r="551">
      <c r="A551" s="20"/>
      <c r="B551" s="31"/>
    </row>
    <row r="552">
      <c r="A552" s="20"/>
      <c r="B552" s="31"/>
    </row>
    <row r="553">
      <c r="A553" s="20"/>
      <c r="B553" s="31"/>
    </row>
    <row r="554">
      <c r="A554" s="20"/>
      <c r="B554" s="31"/>
    </row>
    <row r="555">
      <c r="A555" s="20"/>
      <c r="B555" s="31"/>
    </row>
    <row r="556">
      <c r="A556" s="20"/>
      <c r="B556" s="31"/>
    </row>
    <row r="557">
      <c r="A557" s="20"/>
      <c r="B557" s="31"/>
    </row>
    <row r="558">
      <c r="A558" s="20"/>
      <c r="B558" s="31"/>
    </row>
    <row r="559">
      <c r="A559" s="20"/>
      <c r="B559" s="31"/>
    </row>
    <row r="560">
      <c r="A560" s="20"/>
      <c r="B560" s="31"/>
    </row>
    <row r="561">
      <c r="A561" s="20"/>
      <c r="B561" s="31"/>
    </row>
    <row r="562">
      <c r="A562" s="20"/>
      <c r="B562" s="31"/>
    </row>
    <row r="563">
      <c r="A563" s="20"/>
      <c r="B563" s="31"/>
    </row>
    <row r="564">
      <c r="A564" s="20"/>
      <c r="B564" s="31"/>
    </row>
    <row r="565">
      <c r="A565" s="20"/>
      <c r="B565" s="31"/>
    </row>
    <row r="566">
      <c r="A566" s="20"/>
      <c r="B566" s="31"/>
    </row>
    <row r="567">
      <c r="A567" s="20"/>
      <c r="B567" s="31"/>
    </row>
    <row r="568">
      <c r="A568" s="20"/>
      <c r="B568" s="31"/>
    </row>
    <row r="569">
      <c r="A569" s="20"/>
      <c r="B569" s="31"/>
    </row>
    <row r="570">
      <c r="A570" s="20"/>
      <c r="B570" s="31"/>
    </row>
    <row r="571">
      <c r="A571" s="20"/>
      <c r="B571" s="31"/>
    </row>
    <row r="572">
      <c r="A572" s="20"/>
      <c r="B572" s="31"/>
    </row>
    <row r="573">
      <c r="A573" s="20"/>
      <c r="B573" s="31"/>
    </row>
    <row r="574">
      <c r="A574" s="20"/>
      <c r="B574" s="31"/>
    </row>
    <row r="575">
      <c r="A575" s="20"/>
      <c r="B575" s="31"/>
    </row>
    <row r="576">
      <c r="A576" s="20"/>
      <c r="B576" s="31"/>
    </row>
    <row r="577">
      <c r="A577" s="20"/>
      <c r="B577" s="31"/>
    </row>
    <row r="578">
      <c r="A578" s="20"/>
      <c r="B578" s="31"/>
    </row>
    <row r="579">
      <c r="A579" s="20"/>
      <c r="B579" s="31"/>
    </row>
    <row r="580">
      <c r="A580" s="20"/>
      <c r="B580" s="31"/>
    </row>
    <row r="581">
      <c r="A581" s="20"/>
      <c r="B581" s="31"/>
    </row>
    <row r="582">
      <c r="A582" s="20"/>
      <c r="B582" s="31"/>
    </row>
    <row r="583">
      <c r="A583" s="20"/>
      <c r="B583" s="31"/>
    </row>
    <row r="584">
      <c r="A584" s="20"/>
      <c r="B584" s="31"/>
    </row>
    <row r="585">
      <c r="A585" s="20"/>
      <c r="B585" s="31"/>
    </row>
    <row r="586">
      <c r="A586" s="20"/>
      <c r="B586" s="31"/>
    </row>
    <row r="587">
      <c r="A587" s="20"/>
      <c r="B587" s="31"/>
    </row>
    <row r="588">
      <c r="A588" s="20"/>
      <c r="B588" s="31"/>
    </row>
    <row r="589">
      <c r="A589" s="20"/>
      <c r="B589" s="31"/>
    </row>
    <row r="590">
      <c r="A590" s="20"/>
      <c r="B590" s="31"/>
    </row>
    <row r="591">
      <c r="A591" s="20"/>
      <c r="B591" s="31"/>
    </row>
    <row r="592">
      <c r="A592" s="20"/>
      <c r="B592" s="31"/>
    </row>
    <row r="593">
      <c r="A593" s="20"/>
      <c r="B593" s="31"/>
    </row>
    <row r="594">
      <c r="A594" s="20"/>
      <c r="B594" s="31"/>
    </row>
    <row r="595">
      <c r="A595" s="20"/>
      <c r="B595" s="31"/>
    </row>
    <row r="596">
      <c r="A596" s="20"/>
      <c r="B596" s="31"/>
    </row>
    <row r="597">
      <c r="A597" s="20"/>
      <c r="B597" s="31"/>
    </row>
    <row r="598">
      <c r="A598" s="20"/>
      <c r="B598" s="31"/>
    </row>
    <row r="599">
      <c r="A599" s="20"/>
      <c r="B599" s="31"/>
    </row>
    <row r="600">
      <c r="A600" s="20"/>
      <c r="B600" s="31"/>
    </row>
    <row r="601">
      <c r="A601" s="20"/>
      <c r="B601" s="31"/>
    </row>
    <row r="602">
      <c r="A602" s="20"/>
      <c r="B602" s="31"/>
    </row>
    <row r="603">
      <c r="A603" s="20"/>
      <c r="B603" s="31"/>
    </row>
    <row r="604">
      <c r="A604" s="20"/>
      <c r="B604" s="31"/>
    </row>
    <row r="605">
      <c r="A605" s="20"/>
      <c r="B605" s="31"/>
    </row>
    <row r="606">
      <c r="A606" s="20"/>
      <c r="B606" s="31"/>
    </row>
    <row r="607">
      <c r="A607" s="20"/>
      <c r="B607" s="31"/>
    </row>
    <row r="608">
      <c r="A608" s="20"/>
      <c r="B608" s="31"/>
    </row>
    <row r="609">
      <c r="A609" s="20"/>
      <c r="B609" s="31"/>
    </row>
    <row r="610">
      <c r="A610" s="20"/>
      <c r="B610" s="31"/>
    </row>
    <row r="611">
      <c r="A611" s="20"/>
      <c r="B611" s="31"/>
    </row>
    <row r="612">
      <c r="A612" s="20"/>
      <c r="B612" s="31"/>
    </row>
    <row r="613">
      <c r="A613" s="20"/>
      <c r="B613" s="31"/>
    </row>
    <row r="614">
      <c r="A614" s="20"/>
      <c r="B614" s="31"/>
    </row>
    <row r="615">
      <c r="A615" s="20"/>
      <c r="B615" s="31"/>
    </row>
    <row r="616">
      <c r="A616" s="20"/>
      <c r="B616" s="31"/>
    </row>
    <row r="617">
      <c r="A617" s="20"/>
      <c r="B617" s="31"/>
    </row>
    <row r="618">
      <c r="A618" s="20"/>
      <c r="B618" s="31"/>
    </row>
    <row r="619">
      <c r="A619" s="20"/>
      <c r="B619" s="31"/>
    </row>
    <row r="620">
      <c r="A620" s="20"/>
      <c r="B620" s="31"/>
    </row>
    <row r="621">
      <c r="A621" s="20"/>
      <c r="B621" s="31"/>
    </row>
    <row r="622">
      <c r="A622" s="20"/>
      <c r="B622" s="31"/>
    </row>
    <row r="623">
      <c r="A623" s="20"/>
      <c r="B623" s="31"/>
    </row>
    <row r="624">
      <c r="A624" s="20"/>
      <c r="B624" s="31"/>
    </row>
    <row r="625">
      <c r="A625" s="20"/>
      <c r="B625" s="31"/>
    </row>
    <row r="626">
      <c r="A626" s="20"/>
      <c r="B626" s="31"/>
    </row>
    <row r="627">
      <c r="A627" s="20"/>
      <c r="B627" s="31"/>
    </row>
    <row r="628">
      <c r="A628" s="20"/>
      <c r="B628" s="31"/>
    </row>
    <row r="629">
      <c r="A629" s="20"/>
      <c r="B629" s="31"/>
    </row>
    <row r="630">
      <c r="A630" s="20"/>
      <c r="B630" s="31"/>
    </row>
    <row r="631">
      <c r="A631" s="20"/>
      <c r="B631" s="31"/>
    </row>
    <row r="632">
      <c r="A632" s="20"/>
      <c r="B632" s="31"/>
    </row>
    <row r="633">
      <c r="A633" s="20"/>
      <c r="B633" s="31"/>
    </row>
    <row r="634">
      <c r="A634" s="20"/>
      <c r="B634" s="31"/>
    </row>
    <row r="635">
      <c r="A635" s="20"/>
      <c r="B635" s="31"/>
    </row>
    <row r="636">
      <c r="A636" s="20"/>
      <c r="B636" s="31"/>
    </row>
    <row r="637">
      <c r="A637" s="20"/>
      <c r="B637" s="31"/>
    </row>
    <row r="638">
      <c r="A638" s="20"/>
      <c r="B638" s="31"/>
    </row>
    <row r="639">
      <c r="A639" s="20"/>
      <c r="B639" s="31"/>
    </row>
    <row r="640">
      <c r="A640" s="20"/>
      <c r="B640" s="31"/>
    </row>
    <row r="641">
      <c r="A641" s="20"/>
      <c r="B641" s="31"/>
    </row>
    <row r="642">
      <c r="A642" s="20"/>
      <c r="B642" s="31"/>
    </row>
    <row r="643">
      <c r="A643" s="20"/>
      <c r="B643" s="31"/>
    </row>
    <row r="644">
      <c r="A644" s="20"/>
      <c r="B644" s="31"/>
    </row>
    <row r="645">
      <c r="A645" s="20"/>
      <c r="B645" s="31"/>
    </row>
    <row r="646">
      <c r="A646" s="20"/>
      <c r="B646" s="31"/>
    </row>
    <row r="647">
      <c r="A647" s="20"/>
      <c r="B647" s="31"/>
    </row>
    <row r="648">
      <c r="A648" s="20"/>
      <c r="B648" s="31"/>
    </row>
    <row r="649">
      <c r="A649" s="20"/>
      <c r="B649" s="31"/>
    </row>
    <row r="650">
      <c r="A650" s="20"/>
      <c r="B650" s="31"/>
    </row>
    <row r="651">
      <c r="A651" s="20"/>
      <c r="B651" s="31"/>
    </row>
    <row r="652">
      <c r="A652" s="20"/>
      <c r="B652" s="31"/>
    </row>
    <row r="653">
      <c r="A653" s="20"/>
      <c r="B653" s="31"/>
    </row>
    <row r="654">
      <c r="A654" s="20"/>
      <c r="B654" s="31"/>
    </row>
    <row r="655">
      <c r="A655" s="20"/>
      <c r="B655" s="31"/>
    </row>
    <row r="656">
      <c r="A656" s="20"/>
      <c r="B656" s="31"/>
    </row>
    <row r="657">
      <c r="A657" s="20"/>
      <c r="B657" s="31"/>
    </row>
    <row r="658">
      <c r="A658" s="20"/>
      <c r="B658" s="31"/>
    </row>
    <row r="659">
      <c r="A659" s="20"/>
      <c r="B659" s="31"/>
    </row>
    <row r="660">
      <c r="A660" s="20"/>
      <c r="B660" s="31"/>
    </row>
    <row r="661">
      <c r="A661" s="20"/>
      <c r="B661" s="31"/>
    </row>
    <row r="662">
      <c r="A662" s="20"/>
      <c r="B662" s="31"/>
    </row>
    <row r="663">
      <c r="A663" s="20"/>
      <c r="B663" s="31"/>
    </row>
    <row r="664">
      <c r="A664" s="20"/>
      <c r="B664" s="31"/>
    </row>
    <row r="665">
      <c r="A665" s="20"/>
      <c r="B665" s="31"/>
    </row>
    <row r="666">
      <c r="A666" s="20"/>
      <c r="B666" s="31"/>
    </row>
    <row r="667">
      <c r="A667" s="20"/>
      <c r="B667" s="31"/>
    </row>
    <row r="668">
      <c r="A668" s="20"/>
      <c r="B668" s="31"/>
    </row>
    <row r="669">
      <c r="A669" s="20"/>
      <c r="B669" s="31"/>
    </row>
    <row r="670">
      <c r="A670" s="20"/>
      <c r="B670" s="31"/>
    </row>
    <row r="671">
      <c r="A671" s="20"/>
      <c r="B671" s="31"/>
    </row>
    <row r="672">
      <c r="A672" s="20"/>
      <c r="B672" s="31"/>
    </row>
    <row r="673">
      <c r="A673" s="20"/>
      <c r="B673" s="31"/>
    </row>
    <row r="674">
      <c r="A674" s="20"/>
      <c r="B674" s="31"/>
    </row>
    <row r="675">
      <c r="A675" s="20"/>
      <c r="B675" s="31"/>
    </row>
    <row r="676">
      <c r="A676" s="20"/>
      <c r="B676" s="31"/>
    </row>
    <row r="677">
      <c r="A677" s="20"/>
      <c r="B677" s="31"/>
    </row>
    <row r="678">
      <c r="A678" s="20"/>
      <c r="B678" s="31"/>
    </row>
    <row r="679">
      <c r="A679" s="20"/>
      <c r="B679" s="31"/>
    </row>
    <row r="680">
      <c r="A680" s="20"/>
      <c r="B680" s="31"/>
    </row>
    <row r="681">
      <c r="A681" s="20"/>
      <c r="B681" s="31"/>
    </row>
    <row r="682">
      <c r="A682" s="20"/>
      <c r="B682" s="31"/>
    </row>
    <row r="683">
      <c r="A683" s="20"/>
      <c r="B683" s="31"/>
    </row>
    <row r="684">
      <c r="A684" s="20"/>
      <c r="B684" s="31"/>
    </row>
    <row r="685">
      <c r="A685" s="20"/>
      <c r="B685" s="31"/>
    </row>
    <row r="686">
      <c r="A686" s="20"/>
      <c r="B686" s="31"/>
    </row>
    <row r="687">
      <c r="A687" s="20"/>
      <c r="B687" s="31"/>
    </row>
    <row r="688">
      <c r="A688" s="20"/>
      <c r="B688" s="31"/>
    </row>
    <row r="689">
      <c r="A689" s="20"/>
      <c r="B689" s="31"/>
    </row>
    <row r="690">
      <c r="A690" s="20"/>
      <c r="B690" s="31"/>
    </row>
    <row r="691">
      <c r="A691" s="20"/>
      <c r="B691" s="31"/>
    </row>
    <row r="692">
      <c r="A692" s="20"/>
      <c r="B692" s="31"/>
    </row>
    <row r="693">
      <c r="A693" s="20"/>
      <c r="B693" s="31"/>
    </row>
    <row r="694">
      <c r="A694" s="20"/>
      <c r="B694" s="31"/>
    </row>
    <row r="695">
      <c r="A695" s="20"/>
      <c r="B695" s="31"/>
    </row>
    <row r="696">
      <c r="A696" s="20"/>
      <c r="B696" s="31"/>
    </row>
    <row r="697">
      <c r="A697" s="20"/>
      <c r="B697" s="31"/>
    </row>
    <row r="698">
      <c r="A698" s="20"/>
      <c r="B698" s="31"/>
    </row>
    <row r="699">
      <c r="A699" s="20"/>
      <c r="B699" s="31"/>
    </row>
    <row r="700">
      <c r="A700" s="20"/>
      <c r="B700" s="31"/>
    </row>
    <row r="701">
      <c r="A701" s="20"/>
      <c r="B701" s="31"/>
    </row>
    <row r="702">
      <c r="A702" s="20"/>
      <c r="B702" s="31"/>
    </row>
    <row r="703">
      <c r="A703" s="20"/>
      <c r="B703" s="31"/>
    </row>
    <row r="704">
      <c r="A704" s="20"/>
      <c r="B704" s="31"/>
    </row>
    <row r="705">
      <c r="A705" s="20"/>
      <c r="B705" s="31"/>
    </row>
    <row r="706">
      <c r="A706" s="20"/>
      <c r="B706" s="31"/>
    </row>
    <row r="707">
      <c r="A707" s="20"/>
      <c r="B707" s="31"/>
    </row>
    <row r="708">
      <c r="A708" s="20"/>
      <c r="B708" s="31"/>
    </row>
    <row r="709">
      <c r="A709" s="20"/>
      <c r="B709" s="31"/>
    </row>
    <row r="710">
      <c r="A710" s="20"/>
      <c r="B710" s="31"/>
    </row>
    <row r="711">
      <c r="A711" s="20"/>
      <c r="B711" s="31"/>
    </row>
    <row r="712">
      <c r="A712" s="20"/>
      <c r="B712" s="31"/>
    </row>
    <row r="713">
      <c r="A713" s="20"/>
      <c r="B713" s="31"/>
    </row>
    <row r="714">
      <c r="A714" s="20"/>
      <c r="B714" s="31"/>
    </row>
    <row r="715">
      <c r="A715" s="20"/>
      <c r="B715" s="31"/>
    </row>
    <row r="716">
      <c r="A716" s="20"/>
      <c r="B716" s="31"/>
    </row>
    <row r="717">
      <c r="A717" s="20"/>
      <c r="B717" s="31"/>
    </row>
    <row r="718">
      <c r="A718" s="20"/>
      <c r="B718" s="31"/>
    </row>
    <row r="719">
      <c r="A719" s="20"/>
      <c r="B719" s="31"/>
    </row>
    <row r="720">
      <c r="A720" s="20"/>
      <c r="B720" s="31"/>
    </row>
    <row r="721">
      <c r="A721" s="20"/>
      <c r="B721" s="31"/>
    </row>
    <row r="722">
      <c r="A722" s="20"/>
      <c r="B722" s="31"/>
    </row>
    <row r="723">
      <c r="A723" s="20"/>
      <c r="B723" s="31"/>
    </row>
    <row r="724">
      <c r="A724" s="20"/>
      <c r="B724" s="31"/>
    </row>
    <row r="725">
      <c r="A725" s="20"/>
      <c r="B725" s="31"/>
    </row>
    <row r="726">
      <c r="A726" s="20"/>
      <c r="B726" s="31"/>
    </row>
    <row r="727">
      <c r="A727" s="20"/>
      <c r="B727" s="31"/>
    </row>
    <row r="728">
      <c r="A728" s="20"/>
      <c r="B728" s="31"/>
    </row>
    <row r="729">
      <c r="A729" s="20"/>
      <c r="B729" s="31"/>
    </row>
    <row r="730">
      <c r="A730" s="20"/>
      <c r="B730" s="31"/>
    </row>
    <row r="731">
      <c r="A731" s="20"/>
      <c r="B731" s="31"/>
    </row>
    <row r="732">
      <c r="A732" s="20"/>
      <c r="B732" s="31"/>
    </row>
    <row r="733">
      <c r="A733" s="20"/>
      <c r="B733" s="31"/>
    </row>
    <row r="734">
      <c r="A734" s="20"/>
      <c r="B734" s="31"/>
    </row>
    <row r="735">
      <c r="A735" s="20"/>
      <c r="B735" s="31"/>
    </row>
    <row r="736">
      <c r="A736" s="20"/>
      <c r="B736" s="31"/>
    </row>
    <row r="737">
      <c r="A737" s="20"/>
      <c r="B737" s="31"/>
    </row>
    <row r="738">
      <c r="A738" s="20"/>
      <c r="B738" s="31"/>
    </row>
    <row r="739">
      <c r="A739" s="20"/>
      <c r="B739" s="31"/>
    </row>
    <row r="740">
      <c r="A740" s="20"/>
      <c r="B740" s="31"/>
    </row>
    <row r="741">
      <c r="A741" s="20"/>
      <c r="B741" s="31"/>
    </row>
    <row r="742">
      <c r="A742" s="20"/>
      <c r="B742" s="31"/>
    </row>
    <row r="743">
      <c r="A743" s="20"/>
      <c r="B743" s="31"/>
    </row>
    <row r="744">
      <c r="A744" s="20"/>
      <c r="B744" s="31"/>
    </row>
    <row r="745">
      <c r="A745" s="20"/>
      <c r="B745" s="31"/>
    </row>
    <row r="746">
      <c r="A746" s="20"/>
      <c r="B746" s="31"/>
    </row>
    <row r="747">
      <c r="A747" s="20"/>
      <c r="B747" s="31"/>
    </row>
    <row r="748">
      <c r="A748" s="20"/>
      <c r="B748" s="31"/>
    </row>
    <row r="749">
      <c r="A749" s="20"/>
      <c r="B749" s="31"/>
    </row>
    <row r="750">
      <c r="A750" s="20"/>
      <c r="B750" s="31"/>
    </row>
    <row r="751">
      <c r="A751" s="20"/>
      <c r="B751" s="31"/>
    </row>
    <row r="752">
      <c r="A752" s="20"/>
      <c r="B752" s="31"/>
    </row>
    <row r="753">
      <c r="A753" s="20"/>
      <c r="B753" s="31"/>
    </row>
    <row r="754">
      <c r="A754" s="20"/>
      <c r="B754" s="31"/>
    </row>
    <row r="755">
      <c r="A755" s="20"/>
      <c r="B755" s="31"/>
    </row>
    <row r="756">
      <c r="A756" s="20"/>
      <c r="B756" s="31"/>
    </row>
    <row r="757">
      <c r="A757" s="20"/>
      <c r="B757" s="31"/>
    </row>
    <row r="758">
      <c r="A758" s="20"/>
      <c r="B758" s="31"/>
    </row>
    <row r="759">
      <c r="A759" s="20"/>
      <c r="B759" s="31"/>
    </row>
    <row r="760">
      <c r="A760" s="20"/>
      <c r="B760" s="31"/>
    </row>
    <row r="761">
      <c r="A761" s="20"/>
      <c r="B761" s="31"/>
    </row>
    <row r="762">
      <c r="A762" s="20"/>
      <c r="B762" s="31"/>
    </row>
    <row r="763">
      <c r="A763" s="20"/>
      <c r="B763" s="31"/>
    </row>
    <row r="764">
      <c r="A764" s="20"/>
      <c r="B764" s="31"/>
    </row>
    <row r="765">
      <c r="A765" s="20"/>
      <c r="B765" s="31"/>
    </row>
    <row r="766">
      <c r="A766" s="20"/>
      <c r="B766" s="31"/>
    </row>
    <row r="767">
      <c r="A767" s="20"/>
      <c r="B767" s="31"/>
    </row>
    <row r="768">
      <c r="A768" s="20"/>
      <c r="B768" s="31"/>
    </row>
    <row r="769">
      <c r="A769" s="20"/>
      <c r="B769" s="31"/>
    </row>
    <row r="770">
      <c r="A770" s="20"/>
      <c r="B770" s="31"/>
    </row>
    <row r="771">
      <c r="A771" s="20"/>
      <c r="B771" s="31"/>
    </row>
    <row r="772">
      <c r="A772" s="20"/>
      <c r="B772" s="31"/>
    </row>
    <row r="773">
      <c r="A773" s="20"/>
      <c r="B773" s="31"/>
    </row>
    <row r="774">
      <c r="A774" s="20"/>
      <c r="B774" s="31"/>
    </row>
    <row r="775">
      <c r="A775" s="20"/>
      <c r="B775" s="31"/>
    </row>
    <row r="776">
      <c r="A776" s="20"/>
      <c r="B776" s="31"/>
    </row>
    <row r="777">
      <c r="A777" s="20"/>
      <c r="B777" s="31"/>
    </row>
    <row r="778">
      <c r="A778" s="20"/>
      <c r="B778" s="31"/>
    </row>
    <row r="779">
      <c r="A779" s="20"/>
      <c r="B779" s="31"/>
    </row>
    <row r="780">
      <c r="A780" s="20"/>
      <c r="B780" s="31"/>
    </row>
    <row r="781">
      <c r="A781" s="20"/>
      <c r="B781" s="31"/>
    </row>
    <row r="782">
      <c r="A782" s="20"/>
      <c r="B782" s="31"/>
    </row>
    <row r="783">
      <c r="A783" s="20"/>
      <c r="B783" s="31"/>
    </row>
    <row r="784">
      <c r="A784" s="20"/>
      <c r="B784" s="31"/>
    </row>
    <row r="785">
      <c r="A785" s="20"/>
      <c r="B785" s="31"/>
    </row>
    <row r="786">
      <c r="A786" s="20"/>
      <c r="B786" s="31"/>
    </row>
    <row r="787">
      <c r="A787" s="20"/>
      <c r="B787" s="31"/>
    </row>
    <row r="788">
      <c r="A788" s="20"/>
      <c r="B788" s="31"/>
    </row>
    <row r="789">
      <c r="A789" s="20"/>
      <c r="B789" s="31"/>
    </row>
    <row r="790">
      <c r="A790" s="20"/>
      <c r="B790" s="31"/>
    </row>
    <row r="791">
      <c r="A791" s="20"/>
      <c r="B791" s="31"/>
    </row>
    <row r="792">
      <c r="A792" s="20"/>
      <c r="B792" s="31"/>
    </row>
    <row r="793">
      <c r="A793" s="20"/>
      <c r="B793" s="31"/>
    </row>
    <row r="794">
      <c r="A794" s="20"/>
      <c r="B794" s="31"/>
    </row>
    <row r="795">
      <c r="A795" s="20"/>
      <c r="B795" s="31"/>
    </row>
    <row r="796">
      <c r="A796" s="20"/>
      <c r="B796" s="31"/>
    </row>
    <row r="797">
      <c r="A797" s="20"/>
      <c r="B797" s="31"/>
    </row>
    <row r="798">
      <c r="A798" s="20"/>
      <c r="B798" s="31"/>
    </row>
    <row r="799">
      <c r="A799" s="20"/>
      <c r="B799" s="31"/>
    </row>
    <row r="800">
      <c r="A800" s="20"/>
      <c r="B800" s="31"/>
    </row>
    <row r="801">
      <c r="A801" s="20"/>
      <c r="B801" s="31"/>
    </row>
    <row r="802">
      <c r="A802" s="20"/>
      <c r="B802" s="31"/>
    </row>
    <row r="803">
      <c r="A803" s="20"/>
      <c r="B803" s="31"/>
    </row>
    <row r="804">
      <c r="A804" s="20"/>
      <c r="B804" s="31"/>
    </row>
    <row r="805">
      <c r="A805" s="20"/>
      <c r="B805" s="31"/>
    </row>
    <row r="806">
      <c r="A806" s="20"/>
      <c r="B806" s="31"/>
    </row>
    <row r="807">
      <c r="A807" s="20"/>
      <c r="B807" s="31"/>
    </row>
    <row r="808">
      <c r="A808" s="20"/>
      <c r="B808" s="31"/>
    </row>
    <row r="809">
      <c r="A809" s="20"/>
      <c r="B809" s="31"/>
    </row>
    <row r="810">
      <c r="A810" s="20"/>
      <c r="B810" s="31"/>
    </row>
    <row r="811">
      <c r="A811" s="20"/>
      <c r="B811" s="31"/>
    </row>
    <row r="812">
      <c r="A812" s="20"/>
      <c r="B812" s="31"/>
    </row>
    <row r="813">
      <c r="A813" s="20"/>
      <c r="B813" s="31"/>
    </row>
    <row r="814">
      <c r="A814" s="20"/>
      <c r="B814" s="31"/>
    </row>
    <row r="815">
      <c r="A815" s="20"/>
      <c r="B815" s="31"/>
    </row>
    <row r="816">
      <c r="A816" s="20"/>
      <c r="B816" s="31"/>
    </row>
    <row r="817">
      <c r="A817" s="20"/>
      <c r="B817" s="31"/>
    </row>
    <row r="818">
      <c r="A818" s="20"/>
      <c r="B818" s="31"/>
    </row>
    <row r="819">
      <c r="A819" s="20"/>
      <c r="B819" s="31"/>
    </row>
    <row r="820">
      <c r="A820" s="20"/>
      <c r="B820" s="31"/>
    </row>
    <row r="821">
      <c r="A821" s="20"/>
      <c r="B821" s="31"/>
    </row>
    <row r="822">
      <c r="A822" s="20"/>
      <c r="B822" s="31"/>
    </row>
    <row r="823">
      <c r="A823" s="20"/>
      <c r="B823" s="31"/>
    </row>
    <row r="824">
      <c r="A824" s="20"/>
      <c r="B824" s="31"/>
    </row>
    <row r="825">
      <c r="A825" s="20"/>
      <c r="B825" s="31"/>
    </row>
    <row r="826">
      <c r="A826" s="20"/>
      <c r="B826" s="31"/>
    </row>
    <row r="827">
      <c r="A827" s="20"/>
      <c r="B827" s="31"/>
    </row>
    <row r="828">
      <c r="A828" s="20"/>
      <c r="B828" s="31"/>
    </row>
    <row r="829">
      <c r="A829" s="20"/>
      <c r="B829" s="31"/>
    </row>
    <row r="830">
      <c r="A830" s="20"/>
      <c r="B830" s="31"/>
    </row>
    <row r="831">
      <c r="A831" s="20"/>
      <c r="B831" s="31"/>
    </row>
    <row r="832">
      <c r="A832" s="20"/>
      <c r="B832" s="31"/>
    </row>
    <row r="833">
      <c r="A833" s="20"/>
      <c r="B833" s="31"/>
    </row>
    <row r="834">
      <c r="A834" s="20"/>
      <c r="B834" s="31"/>
    </row>
    <row r="835">
      <c r="A835" s="20"/>
      <c r="B835" s="31"/>
    </row>
    <row r="836">
      <c r="A836" s="20"/>
      <c r="B836" s="31"/>
    </row>
    <row r="837">
      <c r="A837" s="20"/>
      <c r="B837" s="31"/>
    </row>
    <row r="838">
      <c r="A838" s="20"/>
      <c r="B838" s="31"/>
    </row>
    <row r="839">
      <c r="A839" s="20"/>
      <c r="B839" s="31"/>
    </row>
    <row r="840">
      <c r="A840" s="20"/>
      <c r="B840" s="31"/>
    </row>
    <row r="841">
      <c r="A841" s="20"/>
      <c r="B841" s="31"/>
    </row>
    <row r="842">
      <c r="A842" s="20"/>
      <c r="B842" s="31"/>
    </row>
    <row r="843">
      <c r="A843" s="20"/>
      <c r="B843" s="31"/>
    </row>
    <row r="844">
      <c r="A844" s="20"/>
      <c r="B844" s="31"/>
    </row>
    <row r="845">
      <c r="A845" s="20"/>
      <c r="B845" s="31"/>
    </row>
    <row r="846">
      <c r="A846" s="20"/>
      <c r="B846" s="31"/>
    </row>
    <row r="847">
      <c r="A847" s="20"/>
      <c r="B847" s="31"/>
    </row>
    <row r="848">
      <c r="A848" s="20"/>
      <c r="B848" s="31"/>
    </row>
    <row r="849">
      <c r="A849" s="20"/>
      <c r="B849" s="31"/>
    </row>
    <row r="850">
      <c r="A850" s="20"/>
      <c r="B850" s="31"/>
    </row>
    <row r="851">
      <c r="A851" s="20"/>
      <c r="B851" s="31"/>
    </row>
    <row r="852">
      <c r="A852" s="20"/>
      <c r="B852" s="31"/>
    </row>
    <row r="853">
      <c r="A853" s="20"/>
      <c r="B853" s="31"/>
    </row>
    <row r="854">
      <c r="A854" s="20"/>
      <c r="B854" s="31"/>
    </row>
    <row r="855">
      <c r="A855" s="20"/>
      <c r="B855" s="31"/>
    </row>
    <row r="856">
      <c r="A856" s="20"/>
      <c r="B856" s="31"/>
    </row>
    <row r="857">
      <c r="A857" s="20"/>
      <c r="B857" s="31"/>
    </row>
    <row r="858">
      <c r="A858" s="20"/>
      <c r="B858" s="31"/>
    </row>
    <row r="859">
      <c r="A859" s="20"/>
      <c r="B859" s="31"/>
    </row>
    <row r="860">
      <c r="A860" s="20"/>
      <c r="B860" s="31"/>
    </row>
    <row r="861">
      <c r="A861" s="20"/>
      <c r="B861" s="31"/>
    </row>
    <row r="862">
      <c r="A862" s="20"/>
      <c r="B862" s="31"/>
    </row>
    <row r="863">
      <c r="A863" s="20"/>
      <c r="B863" s="31"/>
    </row>
    <row r="864">
      <c r="A864" s="20"/>
      <c r="B864" s="31"/>
    </row>
    <row r="865">
      <c r="A865" s="20"/>
      <c r="B865" s="31"/>
    </row>
    <row r="866">
      <c r="A866" s="20"/>
      <c r="B866" s="31"/>
    </row>
    <row r="867">
      <c r="A867" s="20"/>
      <c r="B867" s="31"/>
    </row>
    <row r="868">
      <c r="A868" s="20"/>
      <c r="B868" s="31"/>
    </row>
    <row r="869">
      <c r="A869" s="20"/>
      <c r="B869" s="31"/>
    </row>
    <row r="870">
      <c r="A870" s="20"/>
      <c r="B870" s="31"/>
    </row>
    <row r="871">
      <c r="A871" s="20"/>
      <c r="B871" s="31"/>
    </row>
    <row r="872">
      <c r="A872" s="20"/>
      <c r="B872" s="31"/>
    </row>
    <row r="873">
      <c r="A873" s="20"/>
      <c r="B873" s="31"/>
    </row>
    <row r="874">
      <c r="A874" s="20"/>
      <c r="B874" s="31"/>
    </row>
    <row r="875">
      <c r="A875" s="20"/>
      <c r="B875" s="31"/>
    </row>
    <row r="876">
      <c r="A876" s="20"/>
      <c r="B876" s="31"/>
    </row>
    <row r="877">
      <c r="A877" s="20"/>
      <c r="B877" s="31"/>
    </row>
    <row r="878">
      <c r="A878" s="20"/>
      <c r="B878" s="31"/>
    </row>
    <row r="879">
      <c r="A879" s="20"/>
      <c r="B879" s="31"/>
    </row>
    <row r="880">
      <c r="A880" s="20"/>
      <c r="B880" s="31"/>
    </row>
    <row r="881">
      <c r="A881" s="20"/>
      <c r="B881" s="31"/>
    </row>
    <row r="882">
      <c r="A882" s="20"/>
      <c r="B882" s="31"/>
    </row>
    <row r="883">
      <c r="A883" s="20"/>
      <c r="B883" s="31"/>
    </row>
    <row r="884">
      <c r="A884" s="20"/>
      <c r="B884" s="31"/>
    </row>
    <row r="885">
      <c r="A885" s="20"/>
      <c r="B885" s="31"/>
    </row>
    <row r="886">
      <c r="A886" s="20"/>
      <c r="B886" s="31"/>
    </row>
    <row r="887">
      <c r="A887" s="20"/>
      <c r="B887" s="31"/>
    </row>
    <row r="888">
      <c r="A888" s="20"/>
      <c r="B888" s="31"/>
    </row>
    <row r="889">
      <c r="A889" s="20"/>
      <c r="B889" s="31"/>
    </row>
    <row r="890">
      <c r="A890" s="20"/>
      <c r="B890" s="31"/>
    </row>
    <row r="891">
      <c r="A891" s="20"/>
      <c r="B891" s="31"/>
    </row>
    <row r="892">
      <c r="A892" s="20"/>
      <c r="B892" s="31"/>
    </row>
    <row r="893">
      <c r="A893" s="20"/>
      <c r="B893" s="31"/>
    </row>
    <row r="894">
      <c r="A894" s="20"/>
      <c r="B894" s="31"/>
    </row>
    <row r="895">
      <c r="A895" s="20"/>
      <c r="B895" s="31"/>
    </row>
    <row r="896">
      <c r="A896" s="20"/>
      <c r="B896" s="31"/>
    </row>
    <row r="897">
      <c r="A897" s="20"/>
      <c r="B897" s="31"/>
    </row>
    <row r="898">
      <c r="A898" s="20"/>
      <c r="B898" s="31"/>
    </row>
    <row r="899">
      <c r="A899" s="20"/>
      <c r="B899" s="31"/>
    </row>
    <row r="900">
      <c r="A900" s="20"/>
      <c r="B900" s="31"/>
    </row>
    <row r="901">
      <c r="A901" s="20"/>
      <c r="B901" s="31"/>
    </row>
    <row r="902">
      <c r="A902" s="20"/>
      <c r="B902" s="31"/>
    </row>
    <row r="903">
      <c r="A903" s="20"/>
      <c r="B903" s="31"/>
    </row>
    <row r="904">
      <c r="A904" s="20"/>
      <c r="B904" s="31"/>
    </row>
    <row r="905">
      <c r="A905" s="20"/>
      <c r="B905" s="31"/>
    </row>
    <row r="906">
      <c r="A906" s="20"/>
      <c r="B906" s="31"/>
    </row>
    <row r="907">
      <c r="A907" s="20"/>
      <c r="B907" s="31"/>
    </row>
    <row r="908">
      <c r="A908" s="20"/>
      <c r="B908" s="31"/>
    </row>
    <row r="909">
      <c r="A909" s="20"/>
      <c r="B909" s="31"/>
    </row>
    <row r="910">
      <c r="A910" s="20"/>
      <c r="B910" s="31"/>
    </row>
    <row r="911">
      <c r="A911" s="20"/>
      <c r="B911" s="31"/>
    </row>
    <row r="912">
      <c r="A912" s="20"/>
      <c r="B912" s="31"/>
    </row>
    <row r="913">
      <c r="A913" s="20"/>
      <c r="B913" s="31"/>
    </row>
    <row r="914">
      <c r="A914" s="20"/>
      <c r="B914" s="31"/>
    </row>
    <row r="915">
      <c r="A915" s="20"/>
      <c r="B915" s="31"/>
    </row>
    <row r="916">
      <c r="A916" s="20"/>
      <c r="B916" s="31"/>
    </row>
    <row r="917">
      <c r="A917" s="20"/>
      <c r="B917" s="31"/>
    </row>
    <row r="918">
      <c r="A918" s="20"/>
      <c r="B918" s="31"/>
    </row>
    <row r="919">
      <c r="A919" s="20"/>
      <c r="B919" s="31"/>
    </row>
    <row r="920">
      <c r="A920" s="20"/>
      <c r="B920" s="31"/>
    </row>
    <row r="921">
      <c r="A921" s="20"/>
      <c r="B921" s="31"/>
    </row>
    <row r="922">
      <c r="A922" s="20"/>
      <c r="B922" s="31"/>
    </row>
    <row r="923">
      <c r="A923" s="20"/>
      <c r="B923" s="31"/>
    </row>
    <row r="924">
      <c r="A924" s="20"/>
      <c r="B924" s="31"/>
    </row>
    <row r="925">
      <c r="A925" s="20"/>
      <c r="B925" s="31"/>
    </row>
    <row r="926">
      <c r="A926" s="20"/>
      <c r="B926" s="31"/>
    </row>
    <row r="927">
      <c r="A927" s="20"/>
      <c r="B927" s="31"/>
    </row>
    <row r="928">
      <c r="A928" s="20"/>
      <c r="B928" s="31"/>
    </row>
    <row r="929">
      <c r="A929" s="20"/>
      <c r="B929" s="31"/>
    </row>
    <row r="930">
      <c r="A930" s="20"/>
      <c r="B930" s="31"/>
    </row>
    <row r="931">
      <c r="A931" s="20"/>
      <c r="B931" s="31"/>
    </row>
    <row r="932">
      <c r="A932" s="20"/>
      <c r="B932" s="31"/>
    </row>
    <row r="933">
      <c r="A933" s="20"/>
      <c r="B933" s="31"/>
    </row>
    <row r="934">
      <c r="A934" s="20"/>
      <c r="B934" s="31"/>
    </row>
    <row r="935">
      <c r="A935" s="20"/>
      <c r="B935" s="31"/>
    </row>
    <row r="936">
      <c r="A936" s="20"/>
      <c r="B936" s="31"/>
    </row>
    <row r="937">
      <c r="A937" s="20"/>
      <c r="B937" s="31"/>
    </row>
    <row r="938">
      <c r="A938" s="20"/>
      <c r="B938" s="31"/>
    </row>
    <row r="939">
      <c r="A939" s="20"/>
      <c r="B939" s="31"/>
    </row>
    <row r="940">
      <c r="A940" s="20"/>
      <c r="B940" s="31"/>
    </row>
    <row r="941">
      <c r="A941" s="20"/>
      <c r="B941" s="31"/>
    </row>
    <row r="942">
      <c r="A942" s="20"/>
      <c r="B942" s="31"/>
    </row>
    <row r="943">
      <c r="A943" s="20"/>
      <c r="B943" s="31"/>
    </row>
    <row r="944">
      <c r="A944" s="20"/>
      <c r="B944" s="31"/>
    </row>
    <row r="945">
      <c r="A945" s="20"/>
      <c r="B945" s="31"/>
    </row>
    <row r="946">
      <c r="A946" s="20"/>
      <c r="B946" s="31"/>
    </row>
    <row r="947">
      <c r="A947" s="20"/>
      <c r="B947" s="31"/>
    </row>
    <row r="948">
      <c r="A948" s="20"/>
      <c r="B948" s="31"/>
    </row>
    <row r="949">
      <c r="A949" s="20"/>
      <c r="B949" s="31"/>
    </row>
    <row r="950">
      <c r="A950" s="20"/>
      <c r="B950" s="31"/>
    </row>
    <row r="951">
      <c r="A951" s="20"/>
      <c r="B951" s="31"/>
    </row>
    <row r="952">
      <c r="A952" s="20"/>
      <c r="B952" s="31"/>
    </row>
    <row r="953">
      <c r="A953" s="20"/>
      <c r="B953" s="31"/>
    </row>
    <row r="954">
      <c r="A954" s="20"/>
      <c r="B954" s="31"/>
    </row>
    <row r="955">
      <c r="A955" s="20"/>
      <c r="B955" s="31"/>
    </row>
    <row r="956">
      <c r="A956" s="20"/>
      <c r="B956" s="31"/>
    </row>
    <row r="957">
      <c r="A957" s="20"/>
      <c r="B957" s="31"/>
    </row>
    <row r="958">
      <c r="A958" s="20"/>
      <c r="B958" s="31"/>
    </row>
    <row r="959">
      <c r="A959" s="20"/>
      <c r="B959" s="31"/>
    </row>
    <row r="960">
      <c r="A960" s="20"/>
      <c r="B960" s="31"/>
    </row>
    <row r="961">
      <c r="A961" s="20"/>
      <c r="B961" s="31"/>
    </row>
    <row r="962">
      <c r="A962" s="20"/>
      <c r="B962" s="31"/>
    </row>
    <row r="963">
      <c r="A963" s="20"/>
      <c r="B963" s="31"/>
    </row>
    <row r="964">
      <c r="A964" s="20"/>
      <c r="B964" s="31"/>
    </row>
    <row r="965">
      <c r="A965" s="20"/>
      <c r="B965" s="31"/>
    </row>
    <row r="966">
      <c r="A966" s="20"/>
      <c r="B966" s="31"/>
    </row>
    <row r="967">
      <c r="A967" s="20"/>
      <c r="B967" s="31"/>
    </row>
    <row r="968">
      <c r="A968" s="20"/>
      <c r="B968" s="31"/>
    </row>
    <row r="969">
      <c r="A969" s="20"/>
      <c r="B969" s="31"/>
    </row>
    <row r="970">
      <c r="A970" s="20"/>
      <c r="B970" s="31"/>
    </row>
    <row r="971">
      <c r="A971" s="20"/>
      <c r="B971" s="31"/>
    </row>
    <row r="972">
      <c r="A972" s="20"/>
      <c r="B972" s="31"/>
    </row>
    <row r="973">
      <c r="A973" s="20"/>
      <c r="B973" s="31"/>
    </row>
    <row r="974">
      <c r="A974" s="20"/>
      <c r="B974" s="31"/>
    </row>
    <row r="975">
      <c r="A975" s="20"/>
      <c r="B975" s="31"/>
    </row>
    <row r="976">
      <c r="A976" s="20"/>
      <c r="B976" s="31"/>
    </row>
    <row r="977">
      <c r="A977" s="20"/>
      <c r="B977" s="31"/>
    </row>
    <row r="978">
      <c r="A978" s="20"/>
      <c r="B978" s="31"/>
    </row>
    <row r="979">
      <c r="A979" s="20"/>
      <c r="B979" s="31"/>
    </row>
    <row r="980">
      <c r="A980" s="20"/>
      <c r="B980" s="31"/>
    </row>
    <row r="981">
      <c r="A981" s="20"/>
      <c r="B981" s="31"/>
    </row>
    <row r="982">
      <c r="A982" s="20"/>
      <c r="B982" s="31"/>
    </row>
    <row r="983">
      <c r="A983" s="20"/>
      <c r="B983" s="31"/>
    </row>
    <row r="984">
      <c r="A984" s="20"/>
      <c r="B984" s="31"/>
    </row>
    <row r="985">
      <c r="A985" s="20"/>
      <c r="B985" s="31"/>
    </row>
    <row r="986">
      <c r="A986" s="20"/>
      <c r="B986" s="31"/>
    </row>
    <row r="987">
      <c r="A987" s="20"/>
      <c r="B987" s="31"/>
    </row>
    <row r="988">
      <c r="A988" s="20"/>
      <c r="B988" s="31"/>
    </row>
    <row r="989">
      <c r="A989" s="20"/>
      <c r="B989" s="31"/>
    </row>
    <row r="990">
      <c r="A990" s="20"/>
      <c r="B990" s="31"/>
    </row>
    <row r="991">
      <c r="A991" s="20"/>
      <c r="B991" s="31"/>
    </row>
    <row r="992">
      <c r="A992" s="20"/>
      <c r="B992" s="31"/>
    </row>
    <row r="993">
      <c r="A993" s="20"/>
      <c r="B993" s="31"/>
    </row>
    <row r="994">
      <c r="A994" s="20"/>
      <c r="B994" s="31"/>
    </row>
    <row r="995">
      <c r="A995" s="20"/>
      <c r="B995" s="31"/>
    </row>
    <row r="996">
      <c r="A996" s="20"/>
      <c r="B996" s="31"/>
    </row>
    <row r="997">
      <c r="A997" s="20"/>
      <c r="B997" s="31"/>
    </row>
    <row r="998">
      <c r="A998" s="20"/>
      <c r="B998" s="31"/>
    </row>
    <row r="999">
      <c r="A999" s="20"/>
      <c r="B999" s="31"/>
    </row>
    <row r="1000">
      <c r="A1000" s="20"/>
      <c r="B1000" s="31"/>
    </row>
    <row r="1001">
      <c r="A1001" s="20"/>
      <c r="B1001" s="31"/>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0.63"/>
    <col customWidth="1" min="6" max="6" width="36.63"/>
    <col customWidth="1" min="10" max="10" width="30.13"/>
  </cols>
  <sheetData>
    <row r="1">
      <c r="A1" s="11" t="s">
        <v>2551</v>
      </c>
      <c r="B1" s="11" t="s">
        <v>0</v>
      </c>
      <c r="C1" s="11" t="s">
        <v>2552</v>
      </c>
      <c r="D1" s="11" t="s">
        <v>231</v>
      </c>
      <c r="E1" s="11" t="s">
        <v>2553</v>
      </c>
      <c r="J1" s="11" t="s">
        <v>0</v>
      </c>
      <c r="K1" s="11" t="s">
        <v>2554</v>
      </c>
      <c r="M1" s="11" t="s">
        <v>231</v>
      </c>
      <c r="N1" s="11" t="s">
        <v>2554</v>
      </c>
    </row>
    <row r="2">
      <c r="A2" s="11">
        <v>2.0</v>
      </c>
      <c r="B2" s="11" t="s">
        <v>2555</v>
      </c>
      <c r="C2" s="11">
        <v>1.0</v>
      </c>
      <c r="D2" s="11" t="s">
        <v>2556</v>
      </c>
      <c r="F2" s="11" t="s">
        <v>2557</v>
      </c>
      <c r="J2" s="17" t="s">
        <v>10</v>
      </c>
      <c r="K2" s="11" t="s">
        <v>2558</v>
      </c>
      <c r="M2" s="11">
        <v>0.0</v>
      </c>
      <c r="N2" s="11" t="s">
        <v>2559</v>
      </c>
    </row>
    <row r="3">
      <c r="A3" s="11">
        <v>8.0</v>
      </c>
      <c r="B3" s="11" t="s">
        <v>2560</v>
      </c>
      <c r="C3" s="11">
        <v>2.0</v>
      </c>
      <c r="D3" s="11" t="s">
        <v>2561</v>
      </c>
      <c r="F3" s="11" t="s">
        <v>2562</v>
      </c>
      <c r="J3" s="17" t="s">
        <v>22</v>
      </c>
      <c r="K3" s="11" t="s">
        <v>2563</v>
      </c>
      <c r="L3" s="11" t="s">
        <v>2564</v>
      </c>
      <c r="M3" s="11">
        <v>50.0</v>
      </c>
      <c r="N3" s="11" t="s">
        <v>2565</v>
      </c>
    </row>
    <row r="4">
      <c r="A4" s="11">
        <v>9.0</v>
      </c>
      <c r="B4" s="11" t="s">
        <v>2566</v>
      </c>
      <c r="C4" s="11">
        <v>2.0</v>
      </c>
      <c r="D4" s="11" t="s">
        <v>2567</v>
      </c>
      <c r="F4" s="11" t="s">
        <v>2568</v>
      </c>
      <c r="J4" s="17" t="s">
        <v>2569</v>
      </c>
      <c r="K4" s="11" t="s">
        <v>2555</v>
      </c>
      <c r="M4" s="11">
        <v>100.0</v>
      </c>
      <c r="N4" s="11" t="s">
        <v>2561</v>
      </c>
    </row>
    <row r="5">
      <c r="A5" s="11">
        <v>25.0</v>
      </c>
      <c r="B5" s="11" t="s">
        <v>2570</v>
      </c>
      <c r="C5" s="11">
        <v>2.0</v>
      </c>
      <c r="D5" s="11" t="s">
        <v>2571</v>
      </c>
      <c r="F5" s="11" t="s">
        <v>2572</v>
      </c>
      <c r="J5" s="11" t="s">
        <v>2573</v>
      </c>
      <c r="K5" s="11" t="s">
        <v>2574</v>
      </c>
      <c r="M5" s="11">
        <v>200.0</v>
      </c>
      <c r="N5" s="11" t="s">
        <v>2556</v>
      </c>
    </row>
    <row r="6">
      <c r="A6" s="11">
        <v>27.0</v>
      </c>
      <c r="B6" s="11" t="s">
        <v>2570</v>
      </c>
      <c r="C6" s="11">
        <v>3.0</v>
      </c>
      <c r="D6" s="11" t="s">
        <v>2571</v>
      </c>
      <c r="F6" s="11" t="s">
        <v>2575</v>
      </c>
      <c r="J6" s="17" t="s">
        <v>37</v>
      </c>
      <c r="K6" s="11" t="s">
        <v>2566</v>
      </c>
      <c r="M6" s="11">
        <v>300.0</v>
      </c>
      <c r="N6" s="11" t="s">
        <v>2567</v>
      </c>
    </row>
    <row r="7">
      <c r="A7" s="11">
        <v>31.0</v>
      </c>
      <c r="B7" s="11" t="s">
        <v>2570</v>
      </c>
      <c r="C7" s="11">
        <v>5.0</v>
      </c>
      <c r="D7" s="11" t="s">
        <v>2561</v>
      </c>
      <c r="E7" s="11" t="s">
        <v>2576</v>
      </c>
      <c r="F7" s="11" t="s">
        <v>2577</v>
      </c>
      <c r="J7" s="17" t="s">
        <v>62</v>
      </c>
      <c r="K7" s="11" t="s">
        <v>2578</v>
      </c>
      <c r="M7" s="11">
        <v>400.0</v>
      </c>
      <c r="N7" s="11" t="s">
        <v>2571</v>
      </c>
    </row>
    <row r="8">
      <c r="A8" s="11">
        <v>32.0</v>
      </c>
      <c r="B8" s="11" t="s">
        <v>2570</v>
      </c>
      <c r="C8" s="11">
        <v>6.0</v>
      </c>
      <c r="D8" s="11" t="s">
        <v>2561</v>
      </c>
      <c r="E8" s="11" t="s">
        <v>2576</v>
      </c>
      <c r="F8" s="11" t="s">
        <v>2579</v>
      </c>
      <c r="J8" s="17" t="s">
        <v>69</v>
      </c>
      <c r="K8" s="11" t="s">
        <v>2580</v>
      </c>
      <c r="L8" s="11" t="s">
        <v>2564</v>
      </c>
      <c r="M8" s="11">
        <v>500.0</v>
      </c>
      <c r="N8" s="11" t="s">
        <v>2581</v>
      </c>
    </row>
    <row r="9">
      <c r="A9" s="11">
        <v>35.0</v>
      </c>
      <c r="B9" s="11" t="s">
        <v>2558</v>
      </c>
      <c r="C9" s="11">
        <v>4.0</v>
      </c>
      <c r="D9" s="11" t="s">
        <v>2556</v>
      </c>
      <c r="E9" s="11" t="s">
        <v>2582</v>
      </c>
      <c r="F9" s="11" t="s">
        <v>2583</v>
      </c>
      <c r="J9" s="17" t="s">
        <v>2584</v>
      </c>
      <c r="K9" s="11" t="s">
        <v>2585</v>
      </c>
      <c r="M9" s="11">
        <v>600.0</v>
      </c>
      <c r="N9" s="11" t="s">
        <v>2586</v>
      </c>
    </row>
    <row r="10">
      <c r="A10" s="11">
        <v>36.0</v>
      </c>
      <c r="B10" s="11" t="s">
        <v>2558</v>
      </c>
      <c r="C10" s="11">
        <v>5.0</v>
      </c>
      <c r="D10" s="11" t="s">
        <v>2559</v>
      </c>
      <c r="E10" s="11" t="s">
        <v>2587</v>
      </c>
      <c r="F10" s="11" t="s">
        <v>2588</v>
      </c>
      <c r="J10" s="11" t="s">
        <v>2589</v>
      </c>
      <c r="K10" s="11" t="s">
        <v>2590</v>
      </c>
    </row>
    <row r="11">
      <c r="A11" s="11">
        <v>37.0</v>
      </c>
      <c r="B11" s="11" t="s">
        <v>2560</v>
      </c>
      <c r="C11" s="11">
        <v>5.0</v>
      </c>
      <c r="D11" s="11" t="s">
        <v>2559</v>
      </c>
      <c r="E11" s="11" t="s">
        <v>2582</v>
      </c>
      <c r="F11" s="11" t="s">
        <v>2591</v>
      </c>
      <c r="J11" s="17" t="s">
        <v>2592</v>
      </c>
      <c r="K11" s="11" t="s">
        <v>2570</v>
      </c>
    </row>
    <row r="12">
      <c r="A12" s="11">
        <v>38.0</v>
      </c>
      <c r="B12" s="11" t="s">
        <v>2560</v>
      </c>
      <c r="C12" s="11">
        <v>6.0</v>
      </c>
      <c r="D12" s="11" t="s">
        <v>2561</v>
      </c>
      <c r="F12" s="11" t="s">
        <v>2593</v>
      </c>
      <c r="J12" s="17" t="s">
        <v>2594</v>
      </c>
      <c r="K12" s="11" t="s">
        <v>2595</v>
      </c>
    </row>
    <row r="13">
      <c r="A13" s="11">
        <v>43.0</v>
      </c>
      <c r="B13" s="11" t="s">
        <v>2574</v>
      </c>
      <c r="C13" s="11">
        <v>3.0</v>
      </c>
      <c r="D13" s="11" t="s">
        <v>2561</v>
      </c>
      <c r="F13" s="11" t="s">
        <v>2596</v>
      </c>
      <c r="J13" s="17" t="s">
        <v>163</v>
      </c>
      <c r="K13" s="11" t="s">
        <v>2560</v>
      </c>
    </row>
    <row r="14">
      <c r="A14" s="11">
        <v>44.0</v>
      </c>
      <c r="B14" s="11" t="s">
        <v>2595</v>
      </c>
      <c r="C14" s="11">
        <v>3.0</v>
      </c>
      <c r="D14" s="11" t="s">
        <v>2567</v>
      </c>
      <c r="F14" s="11" t="s">
        <v>2597</v>
      </c>
      <c r="J14" s="17" t="s">
        <v>167</v>
      </c>
      <c r="K14" s="11" t="s">
        <v>2598</v>
      </c>
    </row>
    <row r="15">
      <c r="A15" s="11">
        <v>52.0</v>
      </c>
      <c r="B15" s="11" t="s">
        <v>2574</v>
      </c>
      <c r="C15" s="11">
        <v>7.0</v>
      </c>
      <c r="D15" s="11" t="s">
        <v>2567</v>
      </c>
      <c r="F15" s="11" t="s">
        <v>2599</v>
      </c>
    </row>
    <row r="16">
      <c r="A16" s="11">
        <v>67.0</v>
      </c>
      <c r="B16" s="11" t="s">
        <v>2560</v>
      </c>
      <c r="C16" s="11">
        <v>15.0</v>
      </c>
      <c r="D16" s="11" t="s">
        <v>2556</v>
      </c>
      <c r="E16" s="11" t="s">
        <v>2582</v>
      </c>
      <c r="F16" s="11" t="s">
        <v>2600</v>
      </c>
    </row>
    <row r="17">
      <c r="A17" s="11">
        <v>71.0</v>
      </c>
      <c r="B17" s="11" t="s">
        <v>2560</v>
      </c>
      <c r="C17" s="11">
        <v>18.0</v>
      </c>
      <c r="D17" s="11" t="s">
        <v>2559</v>
      </c>
      <c r="E17" s="11" t="s">
        <v>2587</v>
      </c>
      <c r="F17" s="11" t="s">
        <v>2601</v>
      </c>
    </row>
    <row r="18">
      <c r="A18" s="11">
        <v>79.0</v>
      </c>
      <c r="B18" s="11" t="s">
        <v>2570</v>
      </c>
      <c r="C18" s="11">
        <v>9.0</v>
      </c>
      <c r="D18" s="11" t="s">
        <v>2559</v>
      </c>
      <c r="E18" s="11" t="s">
        <v>2587</v>
      </c>
      <c r="F18" s="11" t="s">
        <v>2602</v>
      </c>
    </row>
    <row r="19">
      <c r="A19" s="11">
        <v>82.0</v>
      </c>
      <c r="B19" s="11" t="s">
        <v>2585</v>
      </c>
      <c r="C19" s="11">
        <v>7.0</v>
      </c>
      <c r="D19" s="11" t="s">
        <v>2567</v>
      </c>
      <c r="F19" s="11" t="s">
        <v>2603</v>
      </c>
    </row>
    <row r="20">
      <c r="A20" s="11">
        <v>93.0</v>
      </c>
      <c r="B20" s="11" t="s">
        <v>2574</v>
      </c>
      <c r="C20" s="11">
        <v>8.0</v>
      </c>
      <c r="D20" s="11" t="s">
        <v>2561</v>
      </c>
      <c r="F20" s="11" t="s">
        <v>2604</v>
      </c>
    </row>
    <row r="21">
      <c r="A21" s="11">
        <v>97.0</v>
      </c>
      <c r="B21" s="11" t="s">
        <v>2566</v>
      </c>
      <c r="C21" s="11">
        <v>15.0</v>
      </c>
      <c r="D21" s="11" t="s">
        <v>2559</v>
      </c>
      <c r="E21" s="11" t="s">
        <v>2587</v>
      </c>
      <c r="F21" s="11" t="s">
        <v>2605</v>
      </c>
    </row>
    <row r="22">
      <c r="A22" s="11">
        <v>102.0</v>
      </c>
      <c r="B22" s="11" t="s">
        <v>2578</v>
      </c>
      <c r="C22" s="11">
        <v>4.0</v>
      </c>
      <c r="D22" s="11" t="s">
        <v>2581</v>
      </c>
      <c r="F22" s="11" t="s">
        <v>2606</v>
      </c>
    </row>
    <row r="23">
      <c r="A23" s="11">
        <v>103.0</v>
      </c>
      <c r="B23" s="11" t="s">
        <v>2585</v>
      </c>
      <c r="C23" s="11">
        <v>8.0</v>
      </c>
      <c r="D23" s="11" t="s">
        <v>2571</v>
      </c>
      <c r="F23" s="11" t="s">
        <v>2607</v>
      </c>
    </row>
    <row r="24">
      <c r="A24" s="11">
        <v>110.0</v>
      </c>
      <c r="B24" s="11" t="s">
        <v>2574</v>
      </c>
      <c r="C24" s="11">
        <v>10.0</v>
      </c>
      <c r="D24" s="11" t="s">
        <v>2567</v>
      </c>
      <c r="F24" s="11" t="s">
        <v>2608</v>
      </c>
    </row>
    <row r="25">
      <c r="A25" s="11">
        <v>117.0</v>
      </c>
      <c r="B25" s="11" t="s">
        <v>2560</v>
      </c>
      <c r="C25" s="11">
        <v>29.0</v>
      </c>
      <c r="D25" s="11" t="s">
        <v>2567</v>
      </c>
      <c r="F25" s="11" t="s">
        <v>2609</v>
      </c>
    </row>
    <row r="26">
      <c r="A26" s="11">
        <v>118.0</v>
      </c>
      <c r="B26" s="11" t="s">
        <v>2585</v>
      </c>
      <c r="C26" s="11">
        <v>9.0</v>
      </c>
      <c r="D26" s="11" t="s">
        <v>2571</v>
      </c>
      <c r="E26" s="11" t="s">
        <v>2610</v>
      </c>
      <c r="F26" s="11" t="s">
        <v>2611</v>
      </c>
    </row>
    <row r="27">
      <c r="A27" s="11">
        <v>124.0</v>
      </c>
      <c r="B27" s="11" t="s">
        <v>2590</v>
      </c>
      <c r="C27" s="11">
        <v>7.0</v>
      </c>
      <c r="D27" s="11" t="s">
        <v>2571</v>
      </c>
      <c r="F27" s="11" t="s">
        <v>2612</v>
      </c>
    </row>
    <row r="28">
      <c r="A28" s="11">
        <v>125.0</v>
      </c>
      <c r="B28" s="11" t="s">
        <v>2566</v>
      </c>
      <c r="C28" s="11">
        <v>22.0</v>
      </c>
      <c r="D28" s="11" t="s">
        <v>2567</v>
      </c>
      <c r="F28" s="11" t="s">
        <v>2613</v>
      </c>
    </row>
    <row r="29">
      <c r="A29" s="11">
        <v>133.0</v>
      </c>
      <c r="B29" s="11" t="s">
        <v>2585</v>
      </c>
      <c r="C29" s="11">
        <v>11.0</v>
      </c>
      <c r="D29" s="11" t="s">
        <v>2571</v>
      </c>
      <c r="F29" s="11" t="s">
        <v>2614</v>
      </c>
    </row>
    <row r="30">
      <c r="A30" s="11">
        <v>139.0</v>
      </c>
      <c r="B30" s="11" t="s">
        <v>2585</v>
      </c>
      <c r="C30" s="11">
        <v>12.0</v>
      </c>
      <c r="D30" s="11" t="s">
        <v>2586</v>
      </c>
      <c r="F30" s="11" t="s">
        <v>2615</v>
      </c>
    </row>
    <row r="31">
      <c r="A31" s="11">
        <v>147.0</v>
      </c>
      <c r="B31" s="11" t="s">
        <v>2558</v>
      </c>
      <c r="C31" s="11">
        <v>10.0</v>
      </c>
      <c r="D31" s="11" t="s">
        <v>2567</v>
      </c>
      <c r="F31" s="11" t="s">
        <v>2616</v>
      </c>
    </row>
    <row r="32">
      <c r="A32" s="11">
        <v>152.0</v>
      </c>
      <c r="B32" s="11" t="s">
        <v>2578</v>
      </c>
      <c r="C32" s="11">
        <v>5.0</v>
      </c>
      <c r="D32" s="11" t="s">
        <v>2556</v>
      </c>
      <c r="E32" s="11" t="s">
        <v>2582</v>
      </c>
      <c r="F32" s="11" t="s">
        <v>2617</v>
      </c>
    </row>
    <row r="33">
      <c r="A33" s="11">
        <v>160.0</v>
      </c>
      <c r="B33" s="11" t="s">
        <v>2555</v>
      </c>
      <c r="C33" s="11">
        <v>8.0</v>
      </c>
      <c r="D33" s="11" t="s">
        <v>2567</v>
      </c>
      <c r="F33" s="11" t="s">
        <v>2618</v>
      </c>
    </row>
    <row r="34">
      <c r="A34" s="11">
        <v>162.0</v>
      </c>
      <c r="B34" s="11" t="s">
        <v>2598</v>
      </c>
      <c r="C34" s="11">
        <v>9.0</v>
      </c>
      <c r="D34" s="11" t="s">
        <v>2559</v>
      </c>
      <c r="E34" s="11" t="s">
        <v>2587</v>
      </c>
      <c r="F34" s="11" t="s">
        <v>2619</v>
      </c>
    </row>
    <row r="35">
      <c r="A35" s="11">
        <v>163.0</v>
      </c>
      <c r="B35" s="11" t="s">
        <v>2598</v>
      </c>
      <c r="C35" s="11">
        <v>10.0</v>
      </c>
      <c r="D35" s="11" t="s">
        <v>2559</v>
      </c>
      <c r="E35" s="11" t="s">
        <v>2620</v>
      </c>
      <c r="F35" s="11" t="s">
        <v>2621</v>
      </c>
    </row>
    <row r="36">
      <c r="A36" s="11">
        <v>164.0</v>
      </c>
      <c r="B36" s="11" t="s">
        <v>2585</v>
      </c>
      <c r="C36" s="11">
        <v>18.0</v>
      </c>
      <c r="D36" s="11" t="s">
        <v>2571</v>
      </c>
      <c r="E36" s="11" t="s">
        <v>2582</v>
      </c>
      <c r="F36" s="11" t="s">
        <v>2622</v>
      </c>
    </row>
    <row r="37">
      <c r="A37" s="11">
        <v>166.0</v>
      </c>
      <c r="B37" s="11" t="s">
        <v>2555</v>
      </c>
      <c r="C37" s="11">
        <v>9.0</v>
      </c>
      <c r="D37" s="11" t="s">
        <v>2561</v>
      </c>
      <c r="F37" s="11" t="s">
        <v>2623</v>
      </c>
    </row>
    <row r="38">
      <c r="A38" s="11">
        <v>168.0</v>
      </c>
      <c r="B38" s="11" t="s">
        <v>2578</v>
      </c>
      <c r="C38" s="11">
        <v>7.0</v>
      </c>
      <c r="D38" s="11" t="s">
        <v>2567</v>
      </c>
      <c r="E38" s="11" t="s">
        <v>2582</v>
      </c>
      <c r="F38" s="11" t="s">
        <v>2624</v>
      </c>
    </row>
    <row r="39">
      <c r="A39" s="11">
        <v>176.0</v>
      </c>
      <c r="B39" s="11" t="s">
        <v>2585</v>
      </c>
      <c r="C39" s="11">
        <v>20.0</v>
      </c>
      <c r="D39" s="11" t="s">
        <v>2571</v>
      </c>
      <c r="E39" s="11" t="s">
        <v>2582</v>
      </c>
      <c r="F39" s="11" t="s">
        <v>2625</v>
      </c>
    </row>
    <row r="40">
      <c r="A40" s="11">
        <v>183.0</v>
      </c>
      <c r="B40" s="11" t="s">
        <v>2560</v>
      </c>
      <c r="C40" s="11">
        <v>39.0</v>
      </c>
      <c r="D40" s="11" t="s">
        <v>2571</v>
      </c>
      <c r="E40" s="11" t="s">
        <v>2582</v>
      </c>
      <c r="F40" s="11" t="s">
        <v>2626</v>
      </c>
    </row>
    <row r="41">
      <c r="A41" s="11">
        <v>185.0</v>
      </c>
      <c r="B41" s="11" t="s">
        <v>2560</v>
      </c>
      <c r="C41" s="11">
        <v>41.0</v>
      </c>
      <c r="D41" s="11" t="s">
        <v>2559</v>
      </c>
      <c r="E41" s="11" t="s">
        <v>2620</v>
      </c>
      <c r="F41" s="11" t="s">
        <v>2627</v>
      </c>
    </row>
    <row r="42">
      <c r="A42" s="11">
        <v>185.0</v>
      </c>
      <c r="B42" s="11" t="s">
        <v>2560</v>
      </c>
      <c r="C42" s="11">
        <v>41.0</v>
      </c>
      <c r="D42" s="11" t="s">
        <v>2559</v>
      </c>
      <c r="E42" s="11" t="s">
        <v>2620</v>
      </c>
      <c r="F42" s="11" t="s">
        <v>2628</v>
      </c>
    </row>
    <row r="43">
      <c r="A43" s="11">
        <v>191.0</v>
      </c>
      <c r="B43" s="11" t="s">
        <v>2585</v>
      </c>
      <c r="C43" s="11">
        <v>28.0</v>
      </c>
      <c r="D43" s="11" t="s">
        <v>2556</v>
      </c>
      <c r="E43" s="11" t="s">
        <v>2576</v>
      </c>
      <c r="F43" s="11" t="s">
        <v>2629</v>
      </c>
    </row>
    <row r="44">
      <c r="A44" s="11">
        <v>194.0</v>
      </c>
      <c r="B44" s="11" t="s">
        <v>2595</v>
      </c>
      <c r="C44" s="11">
        <v>9.0</v>
      </c>
      <c r="D44" s="11" t="s">
        <v>2586</v>
      </c>
      <c r="F44" s="11" t="s">
        <v>2630</v>
      </c>
    </row>
    <row r="45">
      <c r="A45" s="11">
        <v>195.0</v>
      </c>
      <c r="B45" s="11" t="s">
        <v>2585</v>
      </c>
      <c r="C45" s="11">
        <v>29.0</v>
      </c>
      <c r="D45" s="11" t="s">
        <v>2556</v>
      </c>
      <c r="F45" s="11" t="s">
        <v>2631</v>
      </c>
    </row>
    <row r="46">
      <c r="A46" s="11">
        <v>202.0</v>
      </c>
      <c r="B46" s="11" t="s">
        <v>2574</v>
      </c>
      <c r="C46" s="11">
        <v>14.0</v>
      </c>
      <c r="D46" s="11" t="s">
        <v>2567</v>
      </c>
      <c r="F46" s="11" t="s">
        <v>2632</v>
      </c>
    </row>
    <row r="47">
      <c r="A47" s="11">
        <v>208.0</v>
      </c>
      <c r="B47" s="11" t="s">
        <v>2595</v>
      </c>
      <c r="C47" s="11">
        <v>10.0</v>
      </c>
      <c r="D47" s="11" t="s">
        <v>2571</v>
      </c>
      <c r="F47" s="11" t="s">
        <v>2633</v>
      </c>
    </row>
    <row r="48">
      <c r="A48" s="11">
        <v>243.0</v>
      </c>
      <c r="B48" s="11" t="s">
        <v>2590</v>
      </c>
      <c r="C48" s="11">
        <v>19.0</v>
      </c>
      <c r="D48" s="11" t="s">
        <v>2567</v>
      </c>
      <c r="F48" s="11" t="s">
        <v>2634</v>
      </c>
    </row>
    <row r="49">
      <c r="A49" s="11">
        <v>247.0</v>
      </c>
      <c r="B49" s="11" t="s">
        <v>2574</v>
      </c>
      <c r="C49" s="11">
        <v>15.0</v>
      </c>
      <c r="D49" s="11" t="s">
        <v>2565</v>
      </c>
      <c r="E49" s="11" t="s">
        <v>2582</v>
      </c>
      <c r="F49" s="11" t="s">
        <v>2635</v>
      </c>
    </row>
    <row r="50">
      <c r="A50" s="11">
        <v>248.0</v>
      </c>
      <c r="B50" s="11" t="s">
        <v>2574</v>
      </c>
      <c r="C50" s="11">
        <v>16.0</v>
      </c>
      <c r="D50" s="11" t="s">
        <v>2636</v>
      </c>
      <c r="E50" s="11" t="s">
        <v>2587</v>
      </c>
      <c r="F50" s="11" t="s">
        <v>2637</v>
      </c>
    </row>
    <row r="51">
      <c r="A51" s="11">
        <v>249.0</v>
      </c>
      <c r="B51" s="11" t="s">
        <v>2574</v>
      </c>
      <c r="C51" s="11">
        <v>17.0</v>
      </c>
      <c r="D51" s="11" t="s">
        <v>2571</v>
      </c>
      <c r="E51" s="11" t="s">
        <v>2582</v>
      </c>
      <c r="F51" s="11" t="s">
        <v>2638</v>
      </c>
    </row>
    <row r="52">
      <c r="A52" s="11">
        <v>250.0</v>
      </c>
      <c r="B52" s="11" t="s">
        <v>2574</v>
      </c>
      <c r="C52" s="11">
        <v>18.0</v>
      </c>
      <c r="D52" s="11" t="s">
        <v>2559</v>
      </c>
      <c r="E52" s="11" t="s">
        <v>2587</v>
      </c>
      <c r="F52" s="11" t="s">
        <v>2639</v>
      </c>
    </row>
    <row r="53">
      <c r="A53" s="11">
        <v>253.0</v>
      </c>
      <c r="B53" s="11" t="s">
        <v>2574</v>
      </c>
      <c r="C53" s="11">
        <v>21.0</v>
      </c>
      <c r="D53" s="11" t="s">
        <v>2559</v>
      </c>
      <c r="E53" s="11" t="s">
        <v>2640</v>
      </c>
      <c r="F53" s="11" t="s">
        <v>2641</v>
      </c>
    </row>
    <row r="54">
      <c r="A54" s="11">
        <v>254.0</v>
      </c>
      <c r="B54" s="11" t="s">
        <v>2570</v>
      </c>
      <c r="C54" s="11">
        <v>14.0</v>
      </c>
      <c r="D54" s="11" t="s">
        <v>2559</v>
      </c>
      <c r="E54" s="11" t="s">
        <v>2582</v>
      </c>
      <c r="F54" s="11" t="s">
        <v>2642</v>
      </c>
    </row>
    <row r="55">
      <c r="A55" s="11">
        <v>261.0</v>
      </c>
      <c r="B55" s="11" t="s">
        <v>2578</v>
      </c>
      <c r="C55" s="11">
        <v>15.0</v>
      </c>
      <c r="D55" s="11" t="s">
        <v>2586</v>
      </c>
      <c r="E55" s="11" t="s">
        <v>2582</v>
      </c>
      <c r="F55" s="11" t="s">
        <v>2643</v>
      </c>
    </row>
    <row r="56">
      <c r="A56" s="11">
        <v>263.0</v>
      </c>
      <c r="B56" s="11" t="s">
        <v>2574</v>
      </c>
      <c r="C56" s="11">
        <v>22.0</v>
      </c>
      <c r="D56" s="11" t="s">
        <v>2556</v>
      </c>
      <c r="E56" s="11" t="s">
        <v>2582</v>
      </c>
      <c r="F56" s="11" t="s">
        <v>2644</v>
      </c>
    </row>
    <row r="57">
      <c r="A57" s="11">
        <v>269.0</v>
      </c>
      <c r="B57" s="11" t="s">
        <v>2578</v>
      </c>
      <c r="C57" s="11">
        <v>17.0</v>
      </c>
      <c r="D57" s="11" t="s">
        <v>2586</v>
      </c>
      <c r="E57" s="11" t="s">
        <v>2582</v>
      </c>
      <c r="F57" s="11" t="s">
        <v>2645</v>
      </c>
    </row>
    <row r="58">
      <c r="A58" s="11">
        <v>274.0</v>
      </c>
      <c r="B58" s="11" t="s">
        <v>2585</v>
      </c>
      <c r="C58" s="11">
        <v>43.0</v>
      </c>
      <c r="D58" s="11" t="s">
        <v>2586</v>
      </c>
      <c r="E58" s="11" t="s">
        <v>2582</v>
      </c>
      <c r="F58" s="11" t="s">
        <v>2646</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0"/>
    <col customWidth="1" min="2" max="2" width="5.63"/>
    <col customWidth="1" min="3" max="3" width="25.63"/>
    <col customWidth="1" min="4" max="4" width="23.88"/>
    <col customWidth="1" min="5" max="5" width="13.25"/>
    <col customWidth="1" min="6" max="6" width="19.25"/>
    <col customWidth="1" min="7" max="7" width="8.13"/>
    <col customWidth="1" min="8" max="8" width="53.25"/>
  </cols>
  <sheetData>
    <row r="1">
      <c r="A1" s="31" t="str">
        <f>IFERROR(__xludf.DUMMYFUNCTION("sort(unique(filter(FLATTEN('Unfiltered Perk Internals'!A1:AZ500), ARRAYFORMULA(len(FLATTEN('Unfiltered Perk Internals'!A1:AZ500)) &gt; 10))))"),"Chapter 01: 1 Introduction
Access Key (Personal Reality) Free:
This is a special key which lets you access your Personal Reality and its contents. When inserted into any lock on any door, the door opens to reveal a gateway into your Reality at a predeterm"&amp;"ined location within it. You are the only person who can take the key from the lock, the gateway remains open as long as the key is in the lock, and if key is ever lost or stolen you will find it in your pocket a few minutes later. You cannot close the do"&amp;"or as long as you are inside the Personal Reality.
Item")</f>
        <v>Chapter 01: 1 Introduction
Access Key (Personal Reality) Free:
This is a special key which lets you access your Personal Reality and its contents. When inserted into any lock on any door, the door opens to reveal a gateway into your Reality at a predetermined location within it. You are the only person who can take the key from the lock, the gateway remains open as long as the key is in the lock, and if key is ever lost or stolen you will find it in your pocket a few minutes later. You cannot close the door as long as you are inside the Personal Reality.
Item</v>
      </c>
      <c r="B1" s="17">
        <f>IFERROR(__xludf.DUMMYFUNCTION("if(len(A1)&gt;0, value(REGEXEXTRACT(A1, ""Chapter ([0-9]*):"")), """")"),1.0)</f>
        <v>1</v>
      </c>
      <c r="C1" s="31" t="str">
        <f>IFERROR(__xludf.DUMMYFUNCTION("if(len(A1) &gt;0, REGEXEXTRACT(A1, ""Chapter [0-9]*: (.*)""), """")"),"1 Introduction")</f>
        <v>1 Introduction</v>
      </c>
      <c r="D1" s="31" t="str">
        <f>IFERROR(__xludf.DUMMYFUNCTION("if(len(A1)&gt;0, REGEXEXTRACT(A1, ""\n[^\(]*""), """")"),"
Access Key ")</f>
        <v>
Access Key </v>
      </c>
      <c r="E1" s="17" t="str">
        <f>IFERROR(__xludf.DUMMYFUNCTION("if(len(A1)&gt;0, REGEXEXTRACT(A1, ""\n([^\n]*)$""), """")"),"Item")</f>
        <v>Item</v>
      </c>
      <c r="F1" s="17" t="str">
        <f>IFERROR(__xludf.DUMMYFUNCTION("if(len(A1)&gt;0, REGEXEXTRACT(A1, ""\(([^\)]*)\)""), """")"),"Personal Reality")</f>
        <v>Personal Reality</v>
      </c>
      <c r="G1" s="17" t="str">
        <f>IFERROR(__xludf.DUMMYFUNCTION("if(len(A1)&gt;0, REGEXEXTRACT(A1, ""\)([^:]*):""), """")")," Free")</f>
        <v> Free</v>
      </c>
      <c r="H1" s="31" t="str">
        <f>IFERROR(__xludf.DUMMYFUNCTION("if(len(A1) &gt; 0, JOIN(char(10), FILTER(SPLIT(A1, char(10)), split(""false false "" &amp; rept(""true "", columns(SPLIT(A1, char(10)))-3) &amp; ""false"", "" ""))), """")"),"This is a special key which lets you access your Personal Reality and its contents. When inserted into any lock on any door, the door opens to reveal a gateway into your Reality at a predetermined location within it. You are the only person who can take t"&amp;"he key from the lock, the gateway remains open as long as the key is in the lock, and if key is ever lost or stolen you will find it in your pocket a few minutes later. You cannot close the door as long as you are inside the Personal Reality.")</f>
        <v>This is a special key which lets you access your Personal Reality and its contents. When inserted into any lock on any door, the door opens to reveal a gateway into your Reality at a predetermined location within it. You are the only person who can take the key from the lock, the gateway remains open as long as the key is in the lock, and if key is ever lost or stolen you will find it in your pocket a few minutes later. You cannot close the door as long as you are inside the Personal Reality.</v>
      </c>
    </row>
    <row r="2">
      <c r="A2" s="31" t="str">
        <f>IFERROR(__xludf.DUMMYFUNCTION("""COMPUTED_VALUE"""),"Chapter 01: 1 Introduction
Entrance Hall - Joe (Personal Reality) Free:
This is the room your Access Key opens a door to. It starts off as a 5 meter cube with blank white walls, floor, and ceiling, as some doors, one leading to the current Host Reality, t"&amp;"he other into your Cosmic Warehouse, with additional doors leading to other extensions as these get added to your Personal Reality. Feel free to customize this Entrance Hall as you see fit. Additional Halls can, at your discretion, be linked only to certa"&amp;"in keys or only to certain extensions. This allows you to have an entry hall just for skiing if you want. Repeatable 
Facility")</f>
        <v>Chapter 01: 1 Introduction
Entrance Hall - Joe (Personal Reality) Free:
This is the room your Access Key opens a door to. It starts off as a 5 meter cube with blank white walls, floor, and ceiling, as some doors, one leading to the current Host Reality, the other into your Cosmic Warehouse, with additional doors leading to other extensions as these get added to your Personal Reality. Feel free to customize this Entrance Hall as you see fit. Additional Halls can, at your discretion, be linked only to certain keys or only to certain extensions. This allows you to have an entry hall just for skiing if you want. Repeatable 
Facility</v>
      </c>
      <c r="B2" s="17">
        <f>IFERROR(__xludf.DUMMYFUNCTION("if(len(A2)&gt;0, value(REGEXEXTRACT(A2, ""Chapter ([0-9]*):"")), """")"),1.0)</f>
        <v>1</v>
      </c>
      <c r="C2" s="31" t="str">
        <f>IFERROR(__xludf.DUMMYFUNCTION("if(len(A2) &gt;0, REGEXEXTRACT(A2, ""Chapter [0-9]*: (.*)""), """")"),"1 Introduction")</f>
        <v>1 Introduction</v>
      </c>
      <c r="D2" s="31" t="str">
        <f>IFERROR(__xludf.DUMMYFUNCTION("if(len(A2)&gt;0, REGEXEXTRACT(A2, ""\n[^\(]*""), """")"),"
Entrance Hall - Joe ")</f>
        <v>
Entrance Hall - Joe </v>
      </c>
      <c r="E2" s="17" t="str">
        <f>IFERROR(__xludf.DUMMYFUNCTION("if(len(A2)&gt;0, REGEXEXTRACT(A2, ""\n([^\n]*)$""), """")"),"Facility")</f>
        <v>Facility</v>
      </c>
      <c r="F2" s="17" t="str">
        <f>IFERROR(__xludf.DUMMYFUNCTION("if(len(A2)&gt;0, REGEXEXTRACT(A2, ""\(([^\)]*)\)""), """")"),"Personal Reality")</f>
        <v>Personal Reality</v>
      </c>
      <c r="G2" s="17" t="str">
        <f>IFERROR(__xludf.DUMMYFUNCTION("if(len(A2)&gt;0, REGEXEXTRACT(A2, ""\)([^:]*):""), """")")," Free")</f>
        <v> Free</v>
      </c>
      <c r="H2" s="31" t="str">
        <f>IFERROR(__xludf.DUMMYFUNCTION("if(len(A2) &gt; 0, JOIN(char(10), FILTER(SPLIT(A2, char(10)), split(""false false "" &amp; rept(""true "", columns(SPLIT(A2, char(10)))-3) &amp; ""false"", "" ""))), """")"),"This is the room your Access Key opens a door to. It starts off as a 5 meter cube with blank white walls, floor, and ceiling, as some doors, one leading to the current Host Reality, the other into your Cosmic Warehouse, with additional doors leading to ot"&amp;"her extensions as these get added to your Personal Reality. Feel free to customize this Entrance Hall as you see fit. Additional Halls can, at your discretion, be linked only to certain keys or only to certain extensions. This allows you to have an entry "&amp;"hall just for skiing if you want. Repeatable ")</f>
        <v>This is the room your Access Key opens a door to. It starts off as a 5 meter cube with blank white walls, floor, and ceiling, as some doors, one leading to the current Host Reality, the other into your Cosmic Warehouse, with additional doors leading to other extensions as these get added to your Personal Reality. Feel free to customize this Entrance Hall as you see fit. Additional Halls can, at your discretion, be linked only to certain keys or only to certain extensions. This allows you to have an entry hall just for skiing if you want. Repeatable </v>
      </c>
    </row>
    <row r="3">
      <c r="A3" s="31" t="str">
        <f>IFERROR(__xludf.DUMMYFUNCTION("""COMPUTED_VALUE"""),"Chapter 01: 1 Introduction
Workshop: Metalworking (Personal Reality) 100:
Each purchase of this adds to your Personal Reality Workshop needed to perform specific type of craft, which is to be specified when purchase is made. It comes with a basic set of t"&amp;"ools and supplies. Good for fixing or creating all sorts of things, although any complex parts or nonstandard supplies will have to be brought in from outside. Additional purchases can add different types of Workshops to your Personal Reality or expand ex"&amp;"isting ones. Anything built in one of those workshops is fiat backed to be restored to its original condition within 48 hours if damaged or destroyed. Repeatable
Facility")</f>
        <v>Chapter 01: 1 Introduction
Workshop: Metalworking (Personal Reality) 100:
Each purchase of this adds to your Personal Reality Workshop needed to perform specific type of craft, which is to be specified when purchase is made. It comes with a basic set of tools and supplies. Good for fixing or creating all sorts of things, although any complex parts or nonstandard supplies will have to be brought in from outside. Additional purchases can add different types of Workshops to your Personal Reality or expand existing ones. Anything built in one of those workshops is fiat backed to be restored to its original condition within 48 hours if damaged or destroyed. Repeatable
Facility</v>
      </c>
      <c r="B3" s="17">
        <f>IFERROR(__xludf.DUMMYFUNCTION("if(len(A3)&gt;0, value(REGEXEXTRACT(A3, ""Chapter ([0-9]*):"")), """")"),1.0)</f>
        <v>1</v>
      </c>
      <c r="C3" s="31" t="str">
        <f>IFERROR(__xludf.DUMMYFUNCTION("if(len(A3) &gt;0, REGEXEXTRACT(A3, ""Chapter [0-9]*: (.*)""), """")"),"1 Introduction")</f>
        <v>1 Introduction</v>
      </c>
      <c r="D3" s="31" t="str">
        <f>IFERROR(__xludf.DUMMYFUNCTION("if(len(A3)&gt;0, REGEXEXTRACT(A3, ""\n[^\(]*""), """")"),"
Workshop: Metalworking ")</f>
        <v>
Workshop: Metalworking </v>
      </c>
      <c r="E3" s="17" t="str">
        <f>IFERROR(__xludf.DUMMYFUNCTION("if(len(A3)&gt;0, REGEXEXTRACT(A3, ""\n([^\n]*)$""), """")"),"Facility")</f>
        <v>Facility</v>
      </c>
      <c r="F3" s="17" t="str">
        <f>IFERROR(__xludf.DUMMYFUNCTION("if(len(A3)&gt;0, REGEXEXTRACT(A3, ""\(([^\)]*)\)""), """")"),"Personal Reality")</f>
        <v>Personal Reality</v>
      </c>
      <c r="G3" s="17" t="str">
        <f>IFERROR(__xludf.DUMMYFUNCTION("if(len(A3)&gt;0, REGEXEXTRACT(A3, ""\)([^:]*):""), """")")," 100")</f>
        <v> 100</v>
      </c>
      <c r="H3" s="31" t="str">
        <f>IFERROR(__xludf.DUMMYFUNCTION("if(len(A3) &gt; 0, JOIN(char(10), FILTER(SPLIT(A3, char(10)), split(""false false "" &amp; rept(""true "", columns(SPLIT(A3, char(10)))-3) &amp; ""false"", "" ""))), """")"),"Each purchase of this adds to your Personal Reality Workshop needed to perform specific type of craft, which is to be specified when purchase is made. It comes with a basic set of tools and supplies. Good for fixing or creating all sorts of things, althou"&amp;"gh any complex parts or nonstandard supplies will have to be brought in from outside. Additional purchases can add different types of Workshops to your Personal Reality or expand existing ones. Anything built in one of those workshops is fiat backed to be"&amp;" restored to its original condition within 48 hours if damaged or destroyed. Repeatable")</f>
        <v>Each purchase of this adds to your Personal Reality Workshop needed to perform specific type of craft, which is to be specified when purchase is made. It comes with a basic set of tools and supplies. Good for fixing or creating all sorts of things, although any complex parts or nonstandard supplies will have to be brought in from outside. Additional purchases can add different types of Workshops to your Personal Reality or expand existing ones. Anything built in one of those workshops is fiat backed to be restored to its original condition within 48 hours if damaged or destroyed. Repeatable</v>
      </c>
    </row>
    <row r="4">
      <c r="A4" s="31" t="str">
        <f>IFERROR(__xludf.DUMMYFUNCTION("""COMPUTED_VALUE"""),"Chapter 02: 2 Preparation
Alchemist (Secret of Evermore) 200:
Considered a lost art, the science of Alchemy has reawakened in Evermore, and you've been trained in its use. By combining ordinary ingredients together using an alchemical formula, you can tra"&amp;"nsform them into effects that can only be described as magic. You know both Light Alchemy, the art of healing or protection, and Dark Alchemy, the art of attacking. While it's theoretically possible to learn Alchemy at a later point in Evermore, this will"&amp;" let you skip the training and get straight to the mixing and casting, and will make you significantly better at it to boot.
Set")</f>
        <v>Chapter 02: 2 Preparation
Alchemist (Secret of Evermore) 200:
Considered a lost art, the science of Alchemy has reawakened in Evermore, and you've been trained in its use. By combining ordinary ingredients together using an alchemical formula, you can transform them into effects that can only be described as magic. You know both Light Alchemy, the art of healing or protection, and Dark Alchemy, the art of attacking. While it's theoretically possible to learn Alchemy at a later point in Evermore, this will let you skip the training and get straight to the mixing and casting, and will make you significantly better at it to boot.
Set</v>
      </c>
      <c r="B4" s="17">
        <f>IFERROR(__xludf.DUMMYFUNCTION("if(len(A4)&gt;0, value(REGEXEXTRACT(A4, ""Chapter ([0-9]*):"")), """")"),2.0)</f>
        <v>2</v>
      </c>
      <c r="C4" s="31" t="str">
        <f>IFERROR(__xludf.DUMMYFUNCTION("if(len(A4) &gt;0, REGEXEXTRACT(A4, ""Chapter [0-9]*: (.*)""), """")"),"2 Preparation")</f>
        <v>2 Preparation</v>
      </c>
      <c r="D4" s="31" t="str">
        <f>IFERROR(__xludf.DUMMYFUNCTION("if(len(A4)&gt;0, REGEXEXTRACT(A4, ""\n[^\(]*""), """")"),"
Alchemist ")</f>
        <v>
Alchemist </v>
      </c>
      <c r="E4" s="17" t="str">
        <f>IFERROR(__xludf.DUMMYFUNCTION("if(len(A4)&gt;0, REGEXEXTRACT(A4, ""\n([^\n]*)$""), """")"),"Set")</f>
        <v>Set</v>
      </c>
      <c r="F4" s="17" t="str">
        <f>IFERROR(__xludf.DUMMYFUNCTION("if(len(A4)&gt;0, REGEXEXTRACT(A4, ""\(([^\)]*)\)""), """")"),"Secret of Evermore")</f>
        <v>Secret of Evermore</v>
      </c>
      <c r="G4" s="17" t="str">
        <f>IFERROR(__xludf.DUMMYFUNCTION("if(len(A4)&gt;0, REGEXEXTRACT(A4, ""\)([^:]*):""), """")")," 200")</f>
        <v> 200</v>
      </c>
      <c r="H4" s="31" t="str">
        <f>IFERROR(__xludf.DUMMYFUNCTION("if(len(A4) &gt; 0, JOIN(char(10), FILTER(SPLIT(A4, char(10)), split(""false false "" &amp; rept(""true "", columns(SPLIT(A4, char(10)))-3) &amp; ""false"", "" ""))), """")"),"Considered a lost art, the science of Alchemy has reawakened in Evermore, and you've been trained in its use. By combining ordinary ingredients together using an alchemical formula, you can transform them into effects that can only be described as magic. "&amp;"You know both Light Alchemy, the art of healing or protection, and Dark Alchemy, the art of attacking. While it's theoretically possible to learn Alchemy at a later point in Evermore, this will let you skip the training and get straight to the mixing and "&amp;"casting, and will make you significantly better at it to boot.")</f>
        <v>Considered a lost art, the science of Alchemy has reawakened in Evermore, and you've been trained in its use. By combining ordinary ingredients together using an alchemical formula, you can transform them into effects that can only be described as magic. You know both Light Alchemy, the art of healing or protection, and Dark Alchemy, the art of attacking. While it's theoretically possible to learn Alchemy at a later point in Evermore, this will let you skip the training and get straight to the mixing and casting, and will make you significantly better at it to boot.</v>
      </c>
    </row>
    <row r="5">
      <c r="A5" s="31" t="str">
        <f>IFERROR(__xludf.DUMMYFUNCTION("""COMPUTED_VALUE"""),"Chapter 02: 2 Preparation
Bling of War (Macross) 100:
It's one thing to have a weapon or vehicle of mass destruction, capable of rending an entire ground force or a squadron to shame. It's another to make it look so damn good your enemies would not dare g"&amp;"et near it if they had a lick of sense. By purchasing this perk, you can design your equipment to look much more stylish and carry a 'theme' you prefer. This can range from the clothes you wear, to the weapons you wield, to even the vehicles you pilot int"&amp;"o battle. It's all about style.
Skill")</f>
        <v>Chapter 02: 2 Preparation
Bling of War (Macross) 100:
It's one thing to have a weapon or vehicle of mass destruction, capable of rending an entire ground force or a squadron to shame. It's another to make it look so damn good your enemies would not dare get near it if they had a lick of sense. By purchasing this perk, you can design your equipment to look much more stylish and carry a 'theme' you prefer. This can range from the clothes you wear, to the weapons you wield, to even the vehicles you pilot into battle. It's all about style.
Skill</v>
      </c>
      <c r="B5" s="17">
        <f>IFERROR(__xludf.DUMMYFUNCTION("if(len(A5)&gt;0, value(REGEXEXTRACT(A5, ""Chapter ([0-9]*):"")), """")"),2.0)</f>
        <v>2</v>
      </c>
      <c r="C5" s="31" t="str">
        <f>IFERROR(__xludf.DUMMYFUNCTION("if(len(A5) &gt;0, REGEXEXTRACT(A5, ""Chapter [0-9]*: (.*)""), """")"),"2 Preparation")</f>
        <v>2 Preparation</v>
      </c>
      <c r="D5" s="31" t="str">
        <f>IFERROR(__xludf.DUMMYFUNCTION("if(len(A5)&gt;0, REGEXEXTRACT(A5, ""\n[^\(]*""), """")"),"
Bling of War ")</f>
        <v>
Bling of War </v>
      </c>
      <c r="E5" s="17" t="str">
        <f>IFERROR(__xludf.DUMMYFUNCTION("if(len(A5)&gt;0, REGEXEXTRACT(A5, ""\n([^\n]*)$""), """")"),"Skill")</f>
        <v>Skill</v>
      </c>
      <c r="F5" s="17" t="str">
        <f>IFERROR(__xludf.DUMMYFUNCTION("if(len(A5)&gt;0, REGEXEXTRACT(A5, ""\(([^\)]*)\)""), """")"),"Macross")</f>
        <v>Macross</v>
      </c>
      <c r="G5" s="17" t="str">
        <f>IFERROR(__xludf.DUMMYFUNCTION("if(len(A5)&gt;0, REGEXEXTRACT(A5, ""\)([^:]*):""), """")")," 100")</f>
        <v> 100</v>
      </c>
      <c r="H5" s="31" t="str">
        <f>IFERROR(__xludf.DUMMYFUNCTION("if(len(A5) &gt; 0, JOIN(char(10), FILTER(SPLIT(A5, char(10)), split(""false false "" &amp; rept(""true "", columns(SPLIT(A5, char(10)))-3) &amp; ""false"", "" ""))), """")"),"It's one thing to have a weapon or vehicle of mass destruction, capable of rending an entire ground force or a squadron to shame. It's another to make it look so damn good your enemies would not dare get near it if they had a lick of sense. By purchasing "&amp;"this perk, you can design your equipment to look much more stylish and carry a 'theme' you prefer. This can range from the clothes you wear, to the weapons you wield, to even the vehicles you pilot into battle. It's all about style.")</f>
        <v>It's one thing to have a weapon or vehicle of mass destruction, capable of rending an entire ground force or a squadron to shame. It's another to make it look so damn good your enemies would not dare get near it if they had a lick of sense. By purchasing this perk, you can design your equipment to look much more stylish and carry a 'theme' you prefer. This can range from the clothes you wear, to the weapons you wield, to even the vehicles you pilot into battle. It's all about style.</v>
      </c>
    </row>
    <row r="6">
      <c r="A6" s="31" t="str">
        <f>IFERROR(__xludf.DUMMYFUNCTION("""COMPUTED_VALUE"""),"Chapter 02: 2 Preparation
Fashion (Highschool of the Dead) 200:
Your clothing and entire body acquire defensive properties equal to the most superior protective items you have currently equipped. Emphasis on protective item- an iron or steel ring won’t gi"&amp;"ve you metal-tough skin- the minimum is things like knee pads from extreme sports, helmets- even an apron would count, though all that’d do is protect you from the dangers of a kitchen...
Personal")</f>
        <v>Chapter 02: 2 Preparation
Fashion (Highschool of the Dead) 200:
Your clothing and entire body acquire defensive properties equal to the most superior protective items you have currently equipped. Emphasis on protective item- an iron or steel ring won’t give you metal-tough skin- the minimum is things like knee pads from extreme sports, helmets- even an apron would count, though all that’d do is protect you from the dangers of a kitchen...
Personal</v>
      </c>
      <c r="B6" s="17">
        <f>IFERROR(__xludf.DUMMYFUNCTION("if(len(A6)&gt;0, value(REGEXEXTRACT(A6, ""Chapter ([0-9]*):"")), """")"),2.0)</f>
        <v>2</v>
      </c>
      <c r="C6" s="31" t="str">
        <f>IFERROR(__xludf.DUMMYFUNCTION("if(len(A6) &gt;0, REGEXEXTRACT(A6, ""Chapter [0-9]*: (.*)""), """")"),"2 Preparation")</f>
        <v>2 Preparation</v>
      </c>
      <c r="D6" s="31" t="str">
        <f>IFERROR(__xludf.DUMMYFUNCTION("if(len(A6)&gt;0, REGEXEXTRACT(A6, ""\n[^\(]*""), """")"),"
Fashion ")</f>
        <v>
Fashion </v>
      </c>
      <c r="E6" s="17" t="str">
        <f>IFERROR(__xludf.DUMMYFUNCTION("if(len(A6)&gt;0, REGEXEXTRACT(A6, ""\n([^\n]*)$""), """")"),"Personal")</f>
        <v>Personal</v>
      </c>
      <c r="F6" s="17" t="str">
        <f>IFERROR(__xludf.DUMMYFUNCTION("if(len(A6)&gt;0, REGEXEXTRACT(A6, ""\(([^\)]*)\)""), """")"),"Highschool of the Dead")</f>
        <v>Highschool of the Dead</v>
      </c>
      <c r="G6" s="17" t="str">
        <f>IFERROR(__xludf.DUMMYFUNCTION("if(len(A6)&gt;0, REGEXEXTRACT(A6, ""\)([^:]*):""), """")")," 200")</f>
        <v> 200</v>
      </c>
      <c r="H6" s="31" t="str">
        <f>IFERROR(__xludf.DUMMYFUNCTION("if(len(A6) &gt; 0, JOIN(char(10), FILTER(SPLIT(A6, char(10)), split(""false false "" &amp; rept(""true "", columns(SPLIT(A6, char(10)))-3) &amp; ""false"", "" ""))), """")"),"Your clothing and entire body acquire defensive properties equal to the most superior protective items you have currently equipped. Emphasis on protective item- an iron or steel ring won’t give you metal-tough skin- the minimum is things like knee pads fr"&amp;"om extreme sports, helmets- even an apron would count, though all that’d do is protect you from the dangers of a kitchen...")</f>
        <v>Your clothing and entire body acquire defensive properties equal to the most superior protective items you have currently equipped. Emphasis on protective item- an iron or steel ring won’t give you metal-tough skin- the minimum is things like knee pads from extreme sports, helmets- even an apron would count, though all that’d do is protect you from the dangers of a kitchen...</v>
      </c>
    </row>
    <row r="7">
      <c r="A7" s="31" t="str">
        <f>IFERROR(__xludf.DUMMYFUNCTION("""COMPUTED_VALUE"""),"Chapter 03: 3 First Fight
Black Thumb (Mad Max Gauntlet) 100:
You have the skills of an expert mechanic, able to keep vehicles running even in the most inhospitable conditions. Repairing and tuning up engines is your bread and butter, even while they’re s"&amp;"till operating. You also have a feel for how to upgrade cars in more esoteric ways; hey, it takes skill to add that many spikes and not hurt the handling!
Skill")</f>
        <v>Chapter 03: 3 First Fight
Black Thumb (Mad Max Gauntlet) 100:
You have the skills of an expert mechanic, able to keep vehicles running even in the most inhospitable conditions. Repairing and tuning up engines is your bread and butter, even while they’re still operating. You also have a feel for how to upgrade cars in more esoteric ways; hey, it takes skill to add that many spikes and not hurt the handling!
Skill</v>
      </c>
      <c r="B7" s="17">
        <f>IFERROR(__xludf.DUMMYFUNCTION("if(len(A7)&gt;0, value(REGEXEXTRACT(A7, ""Chapter ([0-9]*):"")), """")"),3.0)</f>
        <v>3</v>
      </c>
      <c r="C7" s="31" t="str">
        <f>IFERROR(__xludf.DUMMYFUNCTION("if(len(A7) &gt;0, REGEXEXTRACT(A7, ""Chapter [0-9]*: (.*)""), """")"),"3 First Fight")</f>
        <v>3 First Fight</v>
      </c>
      <c r="D7" s="31" t="str">
        <f>IFERROR(__xludf.DUMMYFUNCTION("if(len(A7)&gt;0, REGEXEXTRACT(A7, ""\n[^\(]*""), """")"),"
Black Thumb ")</f>
        <v>
Black Thumb </v>
      </c>
      <c r="E7" s="17" t="str">
        <f>IFERROR(__xludf.DUMMYFUNCTION("if(len(A7)&gt;0, REGEXEXTRACT(A7, ""\n([^\n]*)$""), """")"),"Skill")</f>
        <v>Skill</v>
      </c>
      <c r="F7" s="17" t="str">
        <f>IFERROR(__xludf.DUMMYFUNCTION("if(len(A7)&gt;0, REGEXEXTRACT(A7, ""\(([^\)]*)\)""), """")"),"Mad Max Gauntlet")</f>
        <v>Mad Max Gauntlet</v>
      </c>
      <c r="G7" s="17" t="str">
        <f>IFERROR(__xludf.DUMMYFUNCTION("if(len(A7)&gt;0, REGEXEXTRACT(A7, ""\)([^:]*):""), """")")," 100")</f>
        <v> 100</v>
      </c>
      <c r="H7" s="31" t="str">
        <f>IFERROR(__xludf.DUMMYFUNCTION("if(len(A7) &gt; 0, JOIN(char(10), FILTER(SPLIT(A7, char(10)), split(""false false "" &amp; rept(""true "", columns(SPLIT(A7, char(10)))-3) &amp; ""false"", "" ""))), """")"),"You have the skills of an expert mechanic, able to keep vehicles running even in the most inhospitable conditions. Repairing and tuning up engines is your bread and butter, even while they’re still operating. You also have a feel for how to upgrade cars i"&amp;"n more esoteric ways; hey, it takes skill to add that many spikes and not hurt the handling!")</f>
        <v>You have the skills of an expert mechanic, able to keep vehicles running even in the most inhospitable conditions. Repairing and tuning up engines is your bread and butter, even while they’re still operating. You also have a feel for how to upgrade cars in more esoteric ways; hey, it takes skill to add that many spikes and not hurt the handling!</v>
      </c>
    </row>
    <row r="8">
      <c r="A8" s="31" t="str">
        <f>IFERROR(__xludf.DUMMYFUNCTION("""COMPUTED_VALUE"""),"Chapter 03: 3 First Fight
Scientist: Machinery (Girl Genius) 100:
You have a DOCTORATE! And skill in ACTUAL SCIENCE! That doesn’t need you to go crazy to work! Admittedly, it won’t break the fabric of space and time, but meh. Tradeoffs everywhere you go. "&amp;"You’re highly trained in one field, and can easily apply its principles to your work. After all, building a crazed abomination upon the natural order usually requires at least a smidgen of understanding of which bones are supposed to go where (Even if you"&amp;" end up changing them around a little). At the very least, you’re also in the genius range of standard intelligence.
Skill")</f>
        <v>Chapter 03: 3 First Fight
Scientist: Machinery (Girl Genius) 100:
You have a DOCTORATE! And skill in ACTUAL SCIENCE! That doesn’t need you to go crazy to work! Admittedly, it won’t break the fabric of space and time, but meh. Tradeoffs everywhere you go. You’re highly trained in one field, and can easily apply its principles to your work. After all, building a crazed abomination upon the natural order usually requires at least a smidgen of understanding of which bones are supposed to go where (Even if you end up changing them around a little). At the very least, you’re also in the genius range of standard intelligence.
Skill</v>
      </c>
      <c r="B8" s="17">
        <f>IFERROR(__xludf.DUMMYFUNCTION("if(len(A8)&gt;0, value(REGEXEXTRACT(A8, ""Chapter ([0-9]*):"")), """")"),3.0)</f>
        <v>3</v>
      </c>
      <c r="C8" s="31" t="str">
        <f>IFERROR(__xludf.DUMMYFUNCTION("if(len(A8) &gt;0, REGEXEXTRACT(A8, ""Chapter [0-9]*: (.*)""), """")"),"3 First Fight")</f>
        <v>3 First Fight</v>
      </c>
      <c r="D8" s="31" t="str">
        <f>IFERROR(__xludf.DUMMYFUNCTION("if(len(A8)&gt;0, REGEXEXTRACT(A8, ""\n[^\(]*""), """")"),"
Scientist: Machinery ")</f>
        <v>
Scientist: Machinery </v>
      </c>
      <c r="E8" s="17" t="str">
        <f>IFERROR(__xludf.DUMMYFUNCTION("if(len(A8)&gt;0, REGEXEXTRACT(A8, ""\n([^\n]*)$""), """")"),"Skill")</f>
        <v>Skill</v>
      </c>
      <c r="F8" s="17" t="str">
        <f>IFERROR(__xludf.DUMMYFUNCTION("if(len(A8)&gt;0, REGEXEXTRACT(A8, ""\(([^\)]*)\)""), """")"),"Girl Genius")</f>
        <v>Girl Genius</v>
      </c>
      <c r="G8" s="17" t="str">
        <f>IFERROR(__xludf.DUMMYFUNCTION("if(len(A8)&gt;0, REGEXEXTRACT(A8, ""\)([^:]*):""), """")")," 100")</f>
        <v> 100</v>
      </c>
      <c r="H8" s="31" t="str">
        <f>IFERROR(__xludf.DUMMYFUNCTION("if(len(A8) &gt; 0, JOIN(char(10), FILTER(SPLIT(A8, char(10)), split(""false false "" &amp; rept(""true "", columns(SPLIT(A8, char(10)))-3) &amp; ""false"", "" ""))), """")"),"You have a DOCTORATE! And skill in ACTUAL SCIENCE! That doesn’t need you to go crazy to work! Admittedly, it won’t break the fabric of space and time, but meh. Tradeoffs everywhere you go. You’re highly trained in one field, and can easily apply its princ"&amp;"iples to your work. After all, building a crazed abomination upon the natural order usually requires at least a smidgen of understanding of which bones are supposed to go where (Even if you end up changing them around a little). At the very least, you’re "&amp;"also in the genius range of standard intelligence.")</f>
        <v>You have a DOCTORATE! And skill in ACTUAL SCIENCE! That doesn’t need you to go crazy to work! Admittedly, it won’t break the fabric of space and time, but meh. Tradeoffs everywhere you go. You’re highly trained in one field, and can easily apply its principles to your work. After all, building a crazed abomination upon the natural order usually requires at least a smidgen of understanding of which bones are supposed to go where (Even if you end up changing them around a little). At the very least, you’re also in the genius range of standard intelligence.</v>
      </c>
    </row>
    <row r="9">
      <c r="A9" s="31" t="str">
        <f>IFERROR(__xludf.DUMMYFUNCTION("""COMPUTED_VALUE"""),"Chapter 05: 4 Recovery
Grease Monkey (Bubblegum Crisis 2032) 300:
What can you fix or build? What CAN'T you fix or build? Nothing, that's what. From hyper-cars to Buma, computers to Hardsuits, with the right tools and enough time and experiments, you can "&amp;"build it all, weaponry included
System")</f>
        <v>Chapter 05: 4 Recovery
Grease Monkey (Bubblegum Crisis 2032) 300:
What can you fix or build? What CAN'T you fix or build? Nothing, that's what. From hyper-cars to Buma, computers to Hardsuits, with the right tools and enough time and experiments, you can build it all, weaponry included
System</v>
      </c>
      <c r="B9" s="17">
        <f>IFERROR(__xludf.DUMMYFUNCTION("if(len(A9)&gt;0, value(REGEXEXTRACT(A9, ""Chapter ([0-9]*):"")), """")"),5.0)</f>
        <v>5</v>
      </c>
      <c r="C9" s="31" t="str">
        <f>IFERROR(__xludf.DUMMYFUNCTION("if(len(A9) &gt;0, REGEXEXTRACT(A9, ""Chapter [0-9]*: (.*)""), """")"),"4 Recovery")</f>
        <v>4 Recovery</v>
      </c>
      <c r="D9" s="31" t="str">
        <f>IFERROR(__xludf.DUMMYFUNCTION("if(len(A9)&gt;0, REGEXEXTRACT(A9, ""\n[^\(]*""), """")"),"
Grease Monkey ")</f>
        <v>
Grease Monkey </v>
      </c>
      <c r="E9" s="17" t="str">
        <f>IFERROR(__xludf.DUMMYFUNCTION("if(len(A9)&gt;0, REGEXEXTRACT(A9, ""\n([^\n]*)$""), """")"),"System")</f>
        <v>System</v>
      </c>
      <c r="F9" s="17" t="str">
        <f>IFERROR(__xludf.DUMMYFUNCTION("if(len(A9)&gt;0, REGEXEXTRACT(A9, ""\(([^\)]*)\)""), """")"),"Bubblegum Crisis 2032")</f>
        <v>Bubblegum Crisis 2032</v>
      </c>
      <c r="G9" s="17" t="str">
        <f>IFERROR(__xludf.DUMMYFUNCTION("if(len(A9)&gt;0, REGEXEXTRACT(A9, ""\)([^:]*):""), """")")," 300")</f>
        <v> 300</v>
      </c>
      <c r="H9" s="31" t="str">
        <f>IFERROR(__xludf.DUMMYFUNCTION("if(len(A9) &gt; 0, JOIN(char(10), FILTER(SPLIT(A9, char(10)), split(""false false "" &amp; rept(""true "", columns(SPLIT(A9, char(10)))-3) &amp; ""false"", "" ""))), """")"),"What can you fix or build? What CAN'T you fix or build? Nothing, that's what. From hyper-cars to Buma, computers to Hardsuits, with the right tools and enough time and experiments, you can build it all, weaponry included")</f>
        <v>What can you fix or build? What CAN'T you fix or build? Nothing, that's what. From hyper-cars to Buma, computers to Hardsuits, with the right tools and enough time and experiments, you can build it all, weaponry included</v>
      </c>
    </row>
    <row r="10">
      <c r="A10" s="31" t="str">
        <f>IFERROR(__xludf.DUMMYFUNCTION("""COMPUTED_VALUE"""),"Chapter 05: 4 Recovery
Laboratorium (Light of Terra DLC 3 - A Grand Day Out) 100:
Ancient cogitators, arrays of auspex systems, and volume upon volume of documentation supply an Adept with the tools and information necessary to capably analyse a recovered"&amp;" technological artefact.
Facility")</f>
        <v>Chapter 05: 4 Recovery
Laboratorium (Light of Terra DLC 3 - A Grand Day Out) 100:
Ancient cogitators, arrays of auspex systems, and volume upon volume of documentation supply an Adept with the tools and information necessary to capably analyse a recovered technological artefact.
Facility</v>
      </c>
      <c r="B10" s="17">
        <f>IFERROR(__xludf.DUMMYFUNCTION("if(len(A10)&gt;0, value(REGEXEXTRACT(A10, ""Chapter ([0-9]*):"")), """")"),5.0)</f>
        <v>5</v>
      </c>
      <c r="C10" s="31" t="str">
        <f>IFERROR(__xludf.DUMMYFUNCTION("if(len(A10) &gt;0, REGEXEXTRACT(A10, ""Chapter [0-9]*: (.*)""), """")"),"4 Recovery")</f>
        <v>4 Recovery</v>
      </c>
      <c r="D10" s="31" t="str">
        <f>IFERROR(__xludf.DUMMYFUNCTION("if(len(A10)&gt;0, REGEXEXTRACT(A10, ""\n[^\(]*""), """")"),"
Laboratorium ")</f>
        <v>
Laboratorium </v>
      </c>
      <c r="E10" s="17" t="str">
        <f>IFERROR(__xludf.DUMMYFUNCTION("if(len(A10)&gt;0, REGEXEXTRACT(A10, ""\n([^\n]*)$""), """")"),"Facility")</f>
        <v>Facility</v>
      </c>
      <c r="F10" s="17" t="str">
        <f>IFERROR(__xludf.DUMMYFUNCTION("if(len(A10)&gt;0, REGEXEXTRACT(A10, ""\(([^\)]*)\)""), """")"),"Light of Terra DLC 3 - A Grand Day Out")</f>
        <v>Light of Terra DLC 3 - A Grand Day Out</v>
      </c>
      <c r="G10" s="17" t="str">
        <f>IFERROR(__xludf.DUMMYFUNCTION("if(len(A10)&gt;0, REGEXEXTRACT(A10, ""\)([^:]*):""), """")")," 100")</f>
        <v> 100</v>
      </c>
      <c r="H10" s="31" t="str">
        <f>IFERROR(__xludf.DUMMYFUNCTION("if(len(A10) &gt; 0, JOIN(char(10), FILTER(SPLIT(A10, char(10)), split(""false false "" &amp; rept(""true "", columns(SPLIT(A10, char(10)))-3) &amp; ""false"", "" ""))), """")"),"Ancient cogitators, arrays of auspex systems, and volume upon volume of documentation supply an Adept with the tools and information necessary to capably analyse a recovered technological artefact.")</f>
        <v>Ancient cogitators, arrays of auspex systems, and volume upon volume of documentation supply an Adept with the tools and information necessary to capably analyse a recovered technological artefact.</v>
      </c>
    </row>
    <row r="11">
      <c r="A11" s="31" t="str">
        <f>IFERROR(__xludf.DUMMYFUNCTION("""COMPUTED_VALUE"""),"Chapter 05: 4 Recovery
Not A Stupid Grunt (Mass Effect) 100:
That you are not. You are smart enough to be the foremost scientist in your field. This doesn't make you so, but you could get there on your own with not a terrible amount of effort. Still not a"&amp;"s smart as a drell, but hey, who is?
Personal")</f>
        <v>Chapter 05: 4 Recovery
Not A Stupid Grunt (Mass Effect) 100:
That you are not. You are smart enough to be the foremost scientist in your field. This doesn't make you so, but you could get there on your own with not a terrible amount of effort. Still not as smart as a drell, but hey, who is?
Personal</v>
      </c>
      <c r="B11" s="17">
        <f>IFERROR(__xludf.DUMMYFUNCTION("if(len(A11)&gt;0, value(REGEXEXTRACT(A11, ""Chapter ([0-9]*):"")), """")"),5.0)</f>
        <v>5</v>
      </c>
      <c r="C11" s="31" t="str">
        <f>IFERROR(__xludf.DUMMYFUNCTION("if(len(A11) &gt;0, REGEXEXTRACT(A11, ""Chapter [0-9]*: (.*)""), """")"),"4 Recovery")</f>
        <v>4 Recovery</v>
      </c>
      <c r="D11" s="31" t="str">
        <f>IFERROR(__xludf.DUMMYFUNCTION("if(len(A11)&gt;0, REGEXEXTRACT(A11, ""\n[^\(]*""), """")"),"
Not A Stupid Grunt ")</f>
        <v>
Not A Stupid Grunt </v>
      </c>
      <c r="E11" s="17" t="str">
        <f>IFERROR(__xludf.DUMMYFUNCTION("if(len(A11)&gt;0, REGEXEXTRACT(A11, ""\n([^\n]*)$""), """")"),"Personal")</f>
        <v>Personal</v>
      </c>
      <c r="F11" s="17" t="str">
        <f>IFERROR(__xludf.DUMMYFUNCTION("if(len(A11)&gt;0, REGEXEXTRACT(A11, ""\(([^\)]*)\)""), """")"),"Mass Effect")</f>
        <v>Mass Effect</v>
      </c>
      <c r="G11" s="17" t="str">
        <f>IFERROR(__xludf.DUMMYFUNCTION("if(len(A11)&gt;0, REGEXEXTRACT(A11, ""\)([^:]*):""), """")")," 100")</f>
        <v> 100</v>
      </c>
      <c r="H11" s="31" t="str">
        <f>IFERROR(__xludf.DUMMYFUNCTION("if(len(A11) &gt; 0, JOIN(char(10), FILTER(SPLIT(A11, char(10)), split(""false false "" &amp; rept(""true "", columns(SPLIT(A11, char(10)))-3) &amp; ""false"", "" ""))), """")"),"That you are not. You are smart enough to be the foremost scientist in your field. This doesn't make you so, but you could get there on your own with not a terrible amount of effort. Still not as smart as a drell, but hey, who is?")</f>
        <v>That you are not. You are smart enough to be the foremost scientist in your field. This doesn't make you so, but you could get there on your own with not a terrible amount of effort. Still not as smart as a drell, but hey, who is?</v>
      </c>
    </row>
    <row r="12">
      <c r="A12" s="31" t="str">
        <f>IFERROR(__xludf.DUMMYFUNCTION("""COMPUTED_VALUE"""),"Chapter 06: 5 Negotiation
Smithing (Thundercats 2011) 200:
The ancient art of working with metal to forge weapons and armor. You know how to make beautiful equipment that can survive countless battles and you could even forge a legendary weapon if you ded"&amp;"icated enough time to it, although it'd probably take at least several years to complete.
System")</f>
        <v>Chapter 06: 5 Negotiation
Smithing (Thundercats 2011) 200:
The ancient art of working with metal to forge weapons and armor. You know how to make beautiful equipment that can survive countless battles and you could even forge a legendary weapon if you dedicated enough time to it, although it'd probably take at least several years to complete.
System</v>
      </c>
      <c r="B12" s="17">
        <f>IFERROR(__xludf.DUMMYFUNCTION("if(len(A12)&gt;0, value(REGEXEXTRACT(A12, ""Chapter ([0-9]*):"")), """")"),6.0)</f>
        <v>6</v>
      </c>
      <c r="C12" s="31" t="str">
        <f>IFERROR(__xludf.DUMMYFUNCTION("if(len(A12) &gt;0, REGEXEXTRACT(A12, ""Chapter [0-9]*: (.*)""), """")"),"5 Negotiation")</f>
        <v>5 Negotiation</v>
      </c>
      <c r="D12" s="31" t="str">
        <f>IFERROR(__xludf.DUMMYFUNCTION("if(len(A12)&gt;0, REGEXEXTRACT(A12, ""\n[^\(]*""), """")"),"
Smithing ")</f>
        <v>
Smithing </v>
      </c>
      <c r="E12" s="17" t="str">
        <f>IFERROR(__xludf.DUMMYFUNCTION("if(len(A12)&gt;0, REGEXEXTRACT(A12, ""\n([^\n]*)$""), """")"),"System")</f>
        <v>System</v>
      </c>
      <c r="F12" s="17" t="str">
        <f>IFERROR(__xludf.DUMMYFUNCTION("if(len(A12)&gt;0, REGEXEXTRACT(A12, ""\(([^\)]*)\)""), """")"),"Thundercats 2011")</f>
        <v>Thundercats 2011</v>
      </c>
      <c r="G12" s="17" t="str">
        <f>IFERROR(__xludf.DUMMYFUNCTION("if(len(A12)&gt;0, REGEXEXTRACT(A12, ""\)([^:]*):""), """")")," 200")</f>
        <v> 200</v>
      </c>
      <c r="H12" s="31" t="str">
        <f>IFERROR(__xludf.DUMMYFUNCTION("if(len(A12) &gt; 0, JOIN(char(10), FILTER(SPLIT(A12, char(10)), split(""false false "" &amp; rept(""true "", columns(SPLIT(A12, char(10)))-3) &amp; ""false"", "" ""))), """")"),"The ancient art of working with metal to forge weapons and armor. You know how to make beautiful equipment that can survive countless battles and you could even forge a legendary weapon if you dedicated enough time to it, although it'd probably take at le"&amp;"ast several years to complete.")</f>
        <v>The ancient art of working with metal to forge weapons and armor. You know how to make beautiful equipment that can survive countless battles and you could even forge a legendary weapon if you dedicated enough time to it, although it'd probably take at least several years to complete.</v>
      </c>
    </row>
    <row r="13">
      <c r="A13" s="31" t="str">
        <f>IFERROR(__xludf.DUMMYFUNCTION("""COMPUTED_VALUE"""),"Chapter 07: 6 Commission
Aerospace Engineering Makes Things Go Fast (Kerbal Space Program) 100:
You have an intuitive grasp on the mechanics of wind-flow, material sciences, atmospheric drag, tensile strengths, rocketry, so on and so forth, and how it app"&amp;"lies to the art of designing vehicles that traverse the sky and space.
System")</f>
        <v>Chapter 07: 6 Commission
Aerospace Engineering Makes Things Go Fast (Kerbal Space Program) 100:
You have an intuitive grasp on the mechanics of wind-flow, material sciences, atmospheric drag, tensile strengths, rocketry, so on and so forth, and how it applies to the art of designing vehicles that traverse the sky and space.
System</v>
      </c>
      <c r="B13" s="17">
        <f>IFERROR(__xludf.DUMMYFUNCTION("if(len(A13)&gt;0, value(REGEXEXTRACT(A13, ""Chapter ([0-9]*):"")), """")"),7.0)</f>
        <v>7</v>
      </c>
      <c r="C13" s="31" t="str">
        <f>IFERROR(__xludf.DUMMYFUNCTION("if(len(A13) &gt;0, REGEXEXTRACT(A13, ""Chapter [0-9]*: (.*)""), """")"),"6 Commission")</f>
        <v>6 Commission</v>
      </c>
      <c r="D13" s="31" t="str">
        <f>IFERROR(__xludf.DUMMYFUNCTION("if(len(A13)&gt;0, REGEXEXTRACT(A13, ""\n[^\(]*""), """")"),"
Aerospace Engineering Makes Things Go Fast ")</f>
        <v>
Aerospace Engineering Makes Things Go Fast </v>
      </c>
      <c r="E13" s="17" t="str">
        <f>IFERROR(__xludf.DUMMYFUNCTION("if(len(A13)&gt;0, REGEXEXTRACT(A13, ""\n([^\n]*)$""), """")"),"System")</f>
        <v>System</v>
      </c>
      <c r="F13" s="17" t="str">
        <f>IFERROR(__xludf.DUMMYFUNCTION("if(len(A13)&gt;0, REGEXEXTRACT(A13, ""\(([^\)]*)\)""), """")"),"Kerbal Space Program")</f>
        <v>Kerbal Space Program</v>
      </c>
      <c r="G13" s="17" t="str">
        <f>IFERROR(__xludf.DUMMYFUNCTION("if(len(A13)&gt;0, REGEXEXTRACT(A13, ""\)([^:]*):""), """")")," 100")</f>
        <v> 100</v>
      </c>
      <c r="H13" s="31" t="str">
        <f>IFERROR(__xludf.DUMMYFUNCTION("if(len(A13) &gt; 0, JOIN(char(10), FILTER(SPLIT(A13, char(10)), split(""false false "" &amp; rept(""true "", columns(SPLIT(A13, char(10)))-3) &amp; ""false"", "" ""))), """")"),"You have an intuitive grasp on the mechanics of wind-flow, material sciences, atmospheric drag, tensile strengths, rocketry, so on and so forth, and how it applies to the art of designing vehicles that traverse the sky and space.")</f>
        <v>You have an intuitive grasp on the mechanics of wind-flow, material sciences, atmospheric drag, tensile strengths, rocketry, so on and so forth, and how it applies to the art of designing vehicles that traverse the sky and space.</v>
      </c>
    </row>
    <row r="14">
      <c r="A14" s="31" t="str">
        <f>IFERROR(__xludf.DUMMYFUNCTION("""COMPUTED_VALUE"""),"Chapter 07: 6 Commission
Magic: Enchanting (Samurai Jack) 200:
You can grant magical properties to weapons by marking them with ancient runes. Right now you only know how to give weapons elemental properties but you can learn more enchantments by studying"&amp;" other enchanted and magical weapons.
System")</f>
        <v>Chapter 07: 6 Commission
Magic: Enchanting (Samurai Jack) 200:
You can grant magical properties to weapons by marking them with ancient runes. Right now you only know how to give weapons elemental properties but you can learn more enchantments by studying other enchanted and magical weapons.
System</v>
      </c>
      <c r="B14" s="17">
        <f>IFERROR(__xludf.DUMMYFUNCTION("if(len(A14)&gt;0, value(REGEXEXTRACT(A14, ""Chapter ([0-9]*):"")), """")"),7.0)</f>
        <v>7</v>
      </c>
      <c r="C14" s="31" t="str">
        <f>IFERROR(__xludf.DUMMYFUNCTION("if(len(A14) &gt;0, REGEXEXTRACT(A14, ""Chapter [0-9]*: (.*)""), """")"),"6 Commission")</f>
        <v>6 Commission</v>
      </c>
      <c r="D14" s="31" t="str">
        <f>IFERROR(__xludf.DUMMYFUNCTION("if(len(A14)&gt;0, REGEXEXTRACT(A14, ""\n[^\(]*""), """")"),"
Magic: Enchanting ")</f>
        <v>
Magic: Enchanting </v>
      </c>
      <c r="E14" s="17" t="str">
        <f>IFERROR(__xludf.DUMMYFUNCTION("if(len(A14)&gt;0, REGEXEXTRACT(A14, ""\n([^\n]*)$""), """")"),"System")</f>
        <v>System</v>
      </c>
      <c r="F14" s="17" t="str">
        <f>IFERROR(__xludf.DUMMYFUNCTION("if(len(A14)&gt;0, REGEXEXTRACT(A14, ""\(([^\)]*)\)""), """")"),"Samurai Jack")</f>
        <v>Samurai Jack</v>
      </c>
      <c r="G14" s="17" t="str">
        <f>IFERROR(__xludf.DUMMYFUNCTION("if(len(A14)&gt;0, REGEXEXTRACT(A14, ""\)([^:]*):""), """")")," 200")</f>
        <v> 200</v>
      </c>
      <c r="H14" s="31" t="str">
        <f>IFERROR(__xludf.DUMMYFUNCTION("if(len(A14) &gt; 0, JOIN(char(10), FILTER(SPLIT(A14, char(10)), split(""false false "" &amp; rept(""true "", columns(SPLIT(A14, char(10)))-3) &amp; ""false"", "" ""))), """")"),"You can grant magical properties to weapons by marking them with ancient runes. Right now you only know how to give weapons elemental properties but you can learn more enchantments by studying other enchanted and magical weapons.")</f>
        <v>You can grant magical properties to weapons by marking them with ancient runes. Right now you only know how to give weapons elemental properties but you can learn more enchantments by studying other enchanted and magical weapons.</v>
      </c>
    </row>
    <row r="15">
      <c r="A15" s="31" t="str">
        <f>IFERROR(__xludf.DUMMYFUNCTION("""COMPUTED_VALUE"""),"Chapter 07: 6 Commission
Nanite Sciences (Generator Rex) 100:
You possess in depth knowledge of nanite technologies. With sufficient equipment and resources you could produce and control nanite machines, possibly even recreate the nanite event or maybe fi"&amp;"gure out how to reverse its effects. But that would take a long time of additional study of nanites out in the world, still you might be one of the few who could attempt this endeavor. You possess no knowledge of the meta-nanites, and understanding how th"&amp;"ey work is beyond your grasp
System")</f>
        <v>Chapter 07: 6 Commission
Nanite Sciences (Generator Rex) 100:
You possess in depth knowledge of nanite technologies. With sufficient equipment and resources you could produce and control nanite machines, possibly even recreate the nanite event or maybe figure out how to reverse its effects. But that would take a long time of additional study of nanites out in the world, still you might be one of the few who could attempt this endeavor. You possess no knowledge of the meta-nanites, and understanding how they work is beyond your grasp
System</v>
      </c>
      <c r="B15" s="17">
        <f>IFERROR(__xludf.DUMMYFUNCTION("if(len(A15)&gt;0, value(REGEXEXTRACT(A15, ""Chapter ([0-9]*):"")), """")"),7.0)</f>
        <v>7</v>
      </c>
      <c r="C15" s="31" t="str">
        <f>IFERROR(__xludf.DUMMYFUNCTION("if(len(A15) &gt;0, REGEXEXTRACT(A15, ""Chapter [0-9]*: (.*)""), """")"),"6 Commission")</f>
        <v>6 Commission</v>
      </c>
      <c r="D15" s="31" t="str">
        <f>IFERROR(__xludf.DUMMYFUNCTION("if(len(A15)&gt;0, REGEXEXTRACT(A15, ""\n[^\(]*""), """")"),"
Nanite Sciences ")</f>
        <v>
Nanite Sciences </v>
      </c>
      <c r="E15" s="17" t="str">
        <f>IFERROR(__xludf.DUMMYFUNCTION("if(len(A15)&gt;0, REGEXEXTRACT(A15, ""\n([^\n]*)$""), """")"),"System")</f>
        <v>System</v>
      </c>
      <c r="F15" s="17" t="str">
        <f>IFERROR(__xludf.DUMMYFUNCTION("if(len(A15)&gt;0, REGEXEXTRACT(A15, ""\(([^\)]*)\)""), """")"),"Generator Rex")</f>
        <v>Generator Rex</v>
      </c>
      <c r="G15" s="17" t="str">
        <f>IFERROR(__xludf.DUMMYFUNCTION("if(len(A15)&gt;0, REGEXEXTRACT(A15, ""\)([^:]*):""), """")")," 100")</f>
        <v> 100</v>
      </c>
      <c r="H15" s="31" t="str">
        <f>IFERROR(__xludf.DUMMYFUNCTION("if(len(A15) &gt; 0, JOIN(char(10), FILTER(SPLIT(A15, char(10)), split(""false false "" &amp; rept(""true "", columns(SPLIT(A15, char(10)))-3) &amp; ""false"", "" ""))), """")"),"You possess in depth knowledge of nanite technologies. With sufficient equipment and resources you could produce and control nanite machines, possibly even recreate the nanite event or maybe figure out how to reverse its effects. But that would take a lon"&amp;"g time of additional study of nanites out in the world, still you might be one of the few who could attempt this endeavor. You possess no knowledge of the meta-nanites, and understanding how they work is beyond your grasp")</f>
        <v>You possess in depth knowledge of nanite technologies. With sufficient equipment and resources you could produce and control nanite machines, possibly even recreate the nanite event or maybe figure out how to reverse its effects. But that would take a long time of additional study of nanites out in the world, still you might be one of the few who could attempt this endeavor. You possess no knowledge of the meta-nanites, and understanding how they work is beyond your grasp</v>
      </c>
    </row>
    <row r="16">
      <c r="A16" s="31" t="str">
        <f>IFERROR(__xludf.DUMMYFUNCTION("""COMPUTED_VALUE"""),"Chapter 09: 7 Accessory
Built to Last (Assassin's Creed) 300:
Whatever you personally build, be it handheld or architectural, becomes nigh-impervious to weather, rust and time. If it gets lost or buried, you can 'feel' it out too!
Fiat, Ability")</f>
        <v>Chapter 09: 7 Accessory
Built to Last (Assassin's Creed) 300:
Whatever you personally build, be it handheld or architectural, becomes nigh-impervious to weather, rust and time. If it gets lost or buried, you can 'feel' it out too!
Fiat, Ability</v>
      </c>
      <c r="B16" s="17">
        <f>IFERROR(__xludf.DUMMYFUNCTION("if(len(A16)&gt;0, value(REGEXEXTRACT(A16, ""Chapter ([0-9]*):"")), """")"),9.0)</f>
        <v>9</v>
      </c>
      <c r="C16" s="31" t="str">
        <f>IFERROR(__xludf.DUMMYFUNCTION("if(len(A16) &gt;0, REGEXEXTRACT(A16, ""Chapter [0-9]*: (.*)""), """")"),"7 Accessory")</f>
        <v>7 Accessory</v>
      </c>
      <c r="D16" s="31" t="str">
        <f>IFERROR(__xludf.DUMMYFUNCTION("if(len(A16)&gt;0, REGEXEXTRACT(A16, ""\n[^\(]*""), """")"),"
Built to Last ")</f>
        <v>
Built to Last </v>
      </c>
      <c r="E16" s="17" t="str">
        <f>IFERROR(__xludf.DUMMYFUNCTION("if(len(A16)&gt;0, REGEXEXTRACT(A16, ""\n([^\n]*)$""), """")"),"Fiat, Ability")</f>
        <v>Fiat, Ability</v>
      </c>
      <c r="F16" s="17" t="str">
        <f>IFERROR(__xludf.DUMMYFUNCTION("if(len(A16)&gt;0, REGEXEXTRACT(A16, ""\(([^\)]*)\)""), """")"),"Assassin's Creed")</f>
        <v>Assassin's Creed</v>
      </c>
      <c r="G16" s="17" t="str">
        <f>IFERROR(__xludf.DUMMYFUNCTION("if(len(A16)&gt;0, REGEXEXTRACT(A16, ""\)([^:]*):""), """")")," 300")</f>
        <v> 300</v>
      </c>
      <c r="H16" s="31" t="str">
        <f>IFERROR(__xludf.DUMMYFUNCTION("if(len(A16) &gt; 0, JOIN(char(10), FILTER(SPLIT(A16, char(10)), split(""false false "" &amp; rept(""true "", columns(SPLIT(A16, char(10)))-3) &amp; ""false"", "" ""))), """")"),"Whatever you personally build, be it handheld or architectural, becomes nigh-impervious to weather, rust and time. If it gets lost or buried, you can 'feel' it out too!")</f>
        <v>Whatever you personally build, be it handheld or architectural, becomes nigh-impervious to weather, rust and time. If it gets lost or buried, you can 'feel' it out too!</v>
      </c>
    </row>
    <row r="17">
      <c r="A17" s="31" t="str">
        <f>IFERROR(__xludf.DUMMYFUNCTION("""COMPUTED_VALUE"""),"Chapter 09: 7 Accessory
Decadence (Dune) 100:
You have the skills to sacrifice neither form nor function when you design, create, or arrange things, which is especially important in a society whose upper crust values opulence the way this society does -- "&amp;"after all, the Emperor's throne is carved out of a single massive gemstone. Whether it's interior decorating, crafting a knife or sword, building furniture or a vehicle... you can make it appeal perfectly to the most crass or the upper crust. You can also"&amp;" figure out the optimal decor for any purpose or environment, which includes the best places to hide discreet surveillance devices.
Skill")</f>
        <v>Chapter 09: 7 Accessory
Decadence (Dune) 100:
You have the skills to sacrifice neither form nor function when you design, create, or arrange things, which is especially important in a society whose upper crust values opulence the way this society does -- after all, the Emperor's throne is carved out of a single massive gemstone. Whether it's interior decorating, crafting a knife or sword, building furniture or a vehicle... you can make it appeal perfectly to the most crass or the upper crust. You can also figure out the optimal decor for any purpose or environment, which includes the best places to hide discreet surveillance devices.
Skill</v>
      </c>
      <c r="B17" s="17">
        <f>IFERROR(__xludf.DUMMYFUNCTION("if(len(A17)&gt;0, value(REGEXEXTRACT(A17, ""Chapter ([0-9]*):"")), """")"),9.0)</f>
        <v>9</v>
      </c>
      <c r="C17" s="31" t="str">
        <f>IFERROR(__xludf.DUMMYFUNCTION("if(len(A17) &gt;0, REGEXEXTRACT(A17, ""Chapter [0-9]*: (.*)""), """")"),"7 Accessory")</f>
        <v>7 Accessory</v>
      </c>
      <c r="D17" s="31" t="str">
        <f>IFERROR(__xludf.DUMMYFUNCTION("if(len(A17)&gt;0, REGEXEXTRACT(A17, ""\n[^\(]*""), """")"),"
Decadence ")</f>
        <v>
Decadence </v>
      </c>
      <c r="E17" s="17" t="str">
        <f>IFERROR(__xludf.DUMMYFUNCTION("if(len(A17)&gt;0, REGEXEXTRACT(A17, ""\n([^\n]*)$""), """")"),"Skill")</f>
        <v>Skill</v>
      </c>
      <c r="F17" s="17" t="str">
        <f>IFERROR(__xludf.DUMMYFUNCTION("if(len(A17)&gt;0, REGEXEXTRACT(A17, ""\(([^\)]*)\)""), """")"),"Dune")</f>
        <v>Dune</v>
      </c>
      <c r="G17" s="17" t="str">
        <f>IFERROR(__xludf.DUMMYFUNCTION("if(len(A17)&gt;0, REGEXEXTRACT(A17, ""\)([^:]*):""), """")")," 100")</f>
        <v> 100</v>
      </c>
      <c r="H17" s="31" t="str">
        <f>IFERROR(__xludf.DUMMYFUNCTION("if(len(A17) &gt; 0, JOIN(char(10), FILTER(SPLIT(A17, char(10)), split(""false false "" &amp; rept(""true "", columns(SPLIT(A17, char(10)))-3) &amp; ""false"", "" ""))), """")"),"You have the skills to sacrifice neither form nor function when you design, create, or arrange things, which is especially important in a society whose upper crust values opulence the way this society does -- after all, the Emperor's throne is carved out "&amp;"of a single massive gemstone. Whether it's interior decorating, crafting a knife or sword, building furniture or a vehicle... you can make it appeal perfectly to the most crass or the upper crust. You can also figure out the optimal decor for any purpose "&amp;"or environment, which includes the best places to hide discreet surveillance devices.")</f>
        <v>You have the skills to sacrifice neither form nor function when you design, create, or arrange things, which is especially important in a society whose upper crust values opulence the way this society does -- after all, the Emperor's throne is carved out of a single massive gemstone. Whether it's interior decorating, crafting a knife or sword, building furniture or a vehicle... you can make it appeal perfectly to the most crass or the upper crust. You can also figure out the optimal decor for any purpose or environment, which includes the best places to hide discreet surveillance devices.</v>
      </c>
    </row>
    <row r="18">
      <c r="A18" s="31" t="str">
        <f>IFERROR(__xludf.DUMMYFUNCTION("""COMPUTED_VALUE"""),"Chapter 10: 8 Aftermath
Machinist (Gargoyles) 200:
You are an expert mechanic. You can rebuild and improve a helicopter in 12 hours or create a functional motorcycle from spare parts. If honed, this ability will let you make nearly anything from incredibl"&amp;"y advanced robots to nanite swarms in only a few months time.
Fiat, System")</f>
        <v>Chapter 10: 8 Aftermath
Machinist (Gargoyles) 200:
You are an expert mechanic. You can rebuild and improve a helicopter in 12 hours or create a functional motorcycle from spare parts. If honed, this ability will let you make nearly anything from incredibly advanced robots to nanite swarms in only a few months time.
Fiat, System</v>
      </c>
      <c r="B18" s="17">
        <f>IFERROR(__xludf.DUMMYFUNCTION("if(len(A18)&gt;0, value(REGEXEXTRACT(A18, ""Chapter ([0-9]*):"")), """")"),10.0)</f>
        <v>10</v>
      </c>
      <c r="C18" s="31" t="str">
        <f>IFERROR(__xludf.DUMMYFUNCTION("if(len(A18) &gt;0, REGEXEXTRACT(A18, ""Chapter [0-9]*: (.*)""), """")"),"8 Aftermath")</f>
        <v>8 Aftermath</v>
      </c>
      <c r="D18" s="31" t="str">
        <f>IFERROR(__xludf.DUMMYFUNCTION("if(len(A18)&gt;0, REGEXEXTRACT(A18, ""\n[^\(]*""), """")"),"
Machinist ")</f>
        <v>
Machinist </v>
      </c>
      <c r="E18" s="17" t="str">
        <f>IFERROR(__xludf.DUMMYFUNCTION("if(len(A18)&gt;0, REGEXEXTRACT(A18, ""\n([^\n]*)$""), """")"),"Fiat, System")</f>
        <v>Fiat, System</v>
      </c>
      <c r="F18" s="17" t="str">
        <f>IFERROR(__xludf.DUMMYFUNCTION("if(len(A18)&gt;0, REGEXEXTRACT(A18, ""\(([^\)]*)\)""), """")"),"Gargoyles")</f>
        <v>Gargoyles</v>
      </c>
      <c r="G18" s="17" t="str">
        <f>IFERROR(__xludf.DUMMYFUNCTION("if(len(A18)&gt;0, REGEXEXTRACT(A18, ""\)([^:]*):""), """")")," 200")</f>
        <v> 200</v>
      </c>
      <c r="H18" s="31" t="str">
        <f>IFERROR(__xludf.DUMMYFUNCTION("if(len(A18) &gt; 0, JOIN(char(10), FILTER(SPLIT(A18, char(10)), split(""false false "" &amp; rept(""true "", columns(SPLIT(A18, char(10)))-3) &amp; ""false"", "" ""))), """")"),"You are an expert mechanic. You can rebuild and improve a helicopter in 12 hours or create a functional motorcycle from spare parts. If honed, this ability will let you make nearly anything from incredibly advanced robots to nanite swarms in only a few mo"&amp;"nths time.")</f>
        <v>You are an expert mechanic. You can rebuild and improve a helicopter in 12 hours or create a functional motorcycle from spare parts. If honed, this ability will let you make nearly anything from incredibly advanced robots to nanite swarms in only a few months time.</v>
      </c>
    </row>
    <row r="19">
      <c r="A19" s="31" t="str">
        <f>IFERROR(__xludf.DUMMYFUNCTION("""COMPUTED_VALUE"""),"Chapter 10: 8 Aftermath
Rationing (Mad Max Gauntlet) 100:
When you don’t have much, it’s important to be careful with what you’ve got. You’re very good at saving supplies, ensuring that anything you find of use stays found and that it doesn’t get wasted b"&amp;"y accident. You’ll get every last drop of fuel from a can, and never drop some plastic tubing just because you can’t think of a use at the moment.
Fiat")</f>
        <v>Chapter 10: 8 Aftermath
Rationing (Mad Max Gauntlet) 100:
When you don’t have much, it’s important to be careful with what you’ve got. You’re very good at saving supplies, ensuring that anything you find of use stays found and that it doesn’t get wasted by accident. You’ll get every last drop of fuel from a can, and never drop some plastic tubing just because you can’t think of a use at the moment.
Fiat</v>
      </c>
      <c r="B19" s="17">
        <f>IFERROR(__xludf.DUMMYFUNCTION("if(len(A19)&gt;0, value(REGEXEXTRACT(A19, ""Chapter ([0-9]*):"")), """")"),10.0)</f>
        <v>10</v>
      </c>
      <c r="C19" s="31" t="str">
        <f>IFERROR(__xludf.DUMMYFUNCTION("if(len(A19) &gt;0, REGEXEXTRACT(A19, ""Chapter [0-9]*: (.*)""), """")"),"8 Aftermath")</f>
        <v>8 Aftermath</v>
      </c>
      <c r="D19" s="31" t="str">
        <f>IFERROR(__xludf.DUMMYFUNCTION("if(len(A19)&gt;0, REGEXEXTRACT(A19, ""\n[^\(]*""), """")"),"
Rationing ")</f>
        <v>
Rationing </v>
      </c>
      <c r="E19" s="17" t="str">
        <f>IFERROR(__xludf.DUMMYFUNCTION("if(len(A19)&gt;0, REGEXEXTRACT(A19, ""\n([^\n]*)$""), """")"),"Fiat")</f>
        <v>Fiat</v>
      </c>
      <c r="F19" s="17" t="str">
        <f>IFERROR(__xludf.DUMMYFUNCTION("if(len(A19)&gt;0, REGEXEXTRACT(A19, ""\(([^\)]*)\)""), """")"),"Mad Max Gauntlet")</f>
        <v>Mad Max Gauntlet</v>
      </c>
      <c r="G19" s="17" t="str">
        <f>IFERROR(__xludf.DUMMYFUNCTION("if(len(A19)&gt;0, REGEXEXTRACT(A19, ""\)([^:]*):""), """")")," 100")</f>
        <v> 100</v>
      </c>
      <c r="H19" s="31" t="str">
        <f>IFERROR(__xludf.DUMMYFUNCTION("if(len(A19) &gt; 0, JOIN(char(10), FILTER(SPLIT(A19, char(10)), split(""false false "" &amp; rept(""true "", columns(SPLIT(A19, char(10)))-3) &amp; ""false"", "" ""))), """")"),"When you don’t have much, it’s important to be careful with what you’ve got. You’re very good at saving supplies, ensuring that anything you find of use stays found and that it doesn’t get wasted by accident. You’ll get every last drop of fuel from a can,"&amp;" and never drop some plastic tubing just because you can’t think of a use at the moment.")</f>
        <v>When you don’t have much, it’s important to be careful with what you’ve got. You’re very good at saving supplies, ensuring that anything you find of use stays found and that it doesn’t get wasted by accident. You’ll get every last drop of fuel from a can, and never drop some plastic tubing just because you can’t think of a use at the moment.</v>
      </c>
    </row>
    <row r="20">
      <c r="A20" s="31" t="str">
        <f>IFERROR(__xludf.DUMMYFUNCTION("""COMPUTED_VALUE"""),"Chapter 100: 73 Head Trip
Combination Attack (Chrono Trigger) Free:
You didn't think I'd let you go without teaching you this one, did you? Now that you're fortified with magic, or other tricks, you're going to start noticing some of them seem compatible "&amp;"with your buddies' moves. Well, that's because they are. By using them together, you can merge them into one big move that'll be greater than the sum of its parts. Fusing two spells, enhancing an attack with elemental energy, even a well-coordinated doubl"&amp;"e strike... there's a lot of possibilities, so try them out and see what works. Just keep in mind your buddy needs to know how to do this too, and not all techniques are going to be compatible.
Skill")</f>
        <v>Chapter 100: 73 Head Trip
Combination Attack (Chrono Trigger) Free:
You didn't think I'd let you go without teaching you this one, did you? Now that you're fortified with magic, or other tricks, you're going to start noticing some of them seem compatible with your buddies' moves. Well, that's because they are. By using them together, you can merge them into one big move that'll be greater than the sum of its parts. Fusing two spells, enhancing an attack with elemental energy, even a well-coordinated double strike... there's a lot of possibilities, so try them out and see what works. Just keep in mind your buddy needs to know how to do this too, and not all techniques are going to be compatible.
Skill</v>
      </c>
      <c r="B20" s="17">
        <f>IFERROR(__xludf.DUMMYFUNCTION("if(len(A20)&gt;0, value(REGEXEXTRACT(A20, ""Chapter ([0-9]*):"")), """")"),100.0)</f>
        <v>100</v>
      </c>
      <c r="C20" s="31" t="str">
        <f>IFERROR(__xludf.DUMMYFUNCTION("if(len(A20) &gt;0, REGEXEXTRACT(A20, ""Chapter [0-9]*: (.*)""), """")"),"73 Head Trip")</f>
        <v>73 Head Trip</v>
      </c>
      <c r="D20" s="31" t="str">
        <f>IFERROR(__xludf.DUMMYFUNCTION("if(len(A20)&gt;0, REGEXEXTRACT(A20, ""\n[^\(]*""), """")"),"
Combination Attack ")</f>
        <v>
Combination Attack </v>
      </c>
      <c r="E20" s="17" t="str">
        <f>IFERROR(__xludf.DUMMYFUNCTION("if(len(A20)&gt;0, REGEXEXTRACT(A20, ""\n([^\n]*)$""), """")"),"Skill")</f>
        <v>Skill</v>
      </c>
      <c r="F20" s="17" t="str">
        <f>IFERROR(__xludf.DUMMYFUNCTION("if(len(A20)&gt;0, REGEXEXTRACT(A20, ""\(([^\)]*)\)""), """")"),"Chrono Trigger")</f>
        <v>Chrono Trigger</v>
      </c>
      <c r="G20" s="17" t="str">
        <f>IFERROR(__xludf.DUMMYFUNCTION("if(len(A20)&gt;0, REGEXEXTRACT(A20, ""\)([^:]*):""), """")")," Free")</f>
        <v> Free</v>
      </c>
      <c r="H20" s="31" t="str">
        <f>IFERROR(__xludf.DUMMYFUNCTION("if(len(A20) &gt; 0, JOIN(char(10), FILTER(SPLIT(A20, char(10)), split(""false false "" &amp; rept(""true "", columns(SPLIT(A20, char(10)))-3) &amp; ""false"", "" ""))), """")"),"You didn't think I'd let you go without teaching you this one, did you? Now that you're fortified with magic, or other tricks, you're going to start noticing some of them seem compatible with your buddies' moves. Well, that's because they are. By using th"&amp;"em together, you can merge them into one big move that'll be greater than the sum of its parts. Fusing two spells, enhancing an attack with elemental energy, even a well-coordinated double strike... there's a lot of possibilities, so try them out and see "&amp;"what works. Just keep in mind your buddy needs to know how to do this too, and not all techniques are going to be compatible.")</f>
        <v>You didn't think I'd let you go without teaching you this one, did you? Now that you're fortified with magic, or other tricks, you're going to start noticing some of them seem compatible with your buddies' moves. Well, that's because they are. By using them together, you can merge them into one big move that'll be greater than the sum of its parts. Fusing two spells, enhancing an attack with elemental energy, even a well-coordinated double strike... there's a lot of possibilities, so try them out and see what works. Just keep in mind your buddy needs to know how to do this too, and not all techniques are going to be compatible.</v>
      </c>
    </row>
    <row r="21">
      <c r="A21" s="31" t="str">
        <f>IFERROR(__xludf.DUMMYFUNCTION("""COMPUTED_VALUE"""),"Chapter 100: 73 Head Trip
Digital Database (Personal Reality) 100:
This Library Upgrade automatically digitizes every text that enters your Personal Reality, even if it’s already in digital format, and does so safely (spells will contain the correct symbo"&amp;"ls but not power, memetic or conceptual texts will be rendered harmless). The entire contents of your Library are now completely searchable, indexed, and intelligently cross-referenced, allowing far easier use and accessibility.
Facility")</f>
        <v>Chapter 100: 73 Head Trip
Digital Database (Personal Reality) 100:
This Library Upgrade automatically digitizes every text that enters your Personal Reality, even if it’s already in digital format, and does so safely (spells will contain the correct symbols but not power, memetic or conceptual texts will be rendered harmless). The entire contents of your Library are now completely searchable, indexed, and intelligently cross-referenced, allowing far easier use and accessibility.
Facility</v>
      </c>
      <c r="B21" s="17">
        <f>IFERROR(__xludf.DUMMYFUNCTION("if(len(A21)&gt;0, value(REGEXEXTRACT(A21, ""Chapter ([0-9]*):"")), """")"),100.0)</f>
        <v>100</v>
      </c>
      <c r="C21" s="31" t="str">
        <f>IFERROR(__xludf.DUMMYFUNCTION("if(len(A21) &gt;0, REGEXEXTRACT(A21, ""Chapter [0-9]*: (.*)""), """")"),"73 Head Trip")</f>
        <v>73 Head Trip</v>
      </c>
      <c r="D21" s="31" t="str">
        <f>IFERROR(__xludf.DUMMYFUNCTION("if(len(A21)&gt;0, REGEXEXTRACT(A21, ""\n[^\(]*""), """")"),"
Digital Database ")</f>
        <v>
Digital Database </v>
      </c>
      <c r="E21" s="17" t="str">
        <f>IFERROR(__xludf.DUMMYFUNCTION("if(len(A21)&gt;0, REGEXEXTRACT(A21, ""\n([^\n]*)$""), """")"),"Facility")</f>
        <v>Facility</v>
      </c>
      <c r="F21" s="17" t="str">
        <f>IFERROR(__xludf.DUMMYFUNCTION("if(len(A21)&gt;0, REGEXEXTRACT(A21, ""\(([^\)]*)\)""), """")"),"Personal Reality")</f>
        <v>Personal Reality</v>
      </c>
      <c r="G21" s="17" t="str">
        <f>IFERROR(__xludf.DUMMYFUNCTION("if(len(A21)&gt;0, REGEXEXTRACT(A21, ""\)([^:]*):""), """")")," 100")</f>
        <v> 100</v>
      </c>
      <c r="H21" s="31" t="str">
        <f>IFERROR(__xludf.DUMMYFUNCTION("if(len(A21) &gt; 0, JOIN(char(10), FILTER(SPLIT(A21, char(10)), split(""false false "" &amp; rept(""true "", columns(SPLIT(A21, char(10)))-3) &amp; ""false"", "" ""))), """")"),"This Library Upgrade automatically digitizes every text that enters your Personal Reality, even if it’s already in digital format, and does so safely (spells will contain the correct symbols but not power, memetic or conceptual texts will be rendered harm"&amp;"less). The entire contents of your Library are now completely searchable, indexed, and intelligently cross-referenced, allowing far easier use and accessibility.")</f>
        <v>This Library Upgrade automatically digitizes every text that enters your Personal Reality, even if it’s already in digital format, and does so safely (spells will contain the correct symbols but not power, memetic or conceptual texts will be rendered harmless). The entire contents of your Library are now completely searchable, indexed, and intelligently cross-referenced, allowing far easier use and accessibility.</v>
      </c>
    </row>
    <row r="22">
      <c r="A22" s="31" t="str">
        <f>IFERROR(__xludf.DUMMYFUNCTION("""COMPUTED_VALUE"""),"Chapter 100: 73 Head Trip
Element (Chrono Trigger) Free:
Anyway, weak or strong, you've still got enough strength of will to you for the old guy to send you to me. I'm not just the Master of War, ya know. I'm also the keeper of Magic. Sky, Dark, Water, an"&amp;"d Fire... used to be, everyone could call on the power of the elements. But now, only those with enough determination and a strong enough heart can use it. Lucky for you, you've got some great inner strength, so I can teach you the good stuff.
Shadow: Sha"&amp;"dow's the element of darkness, covering everything from the space between the stars to the shadows in a cave. Void and gravity are two obvious uses, and curses and status magic fall within its domain as well. However, it's also the magic of harmony, so yo"&amp;"u might be able to throw around some elemental combos instead.
Skill")</f>
        <v>Chapter 100: 73 Head Trip
Element (Chrono Trigger) Free:
Anyway, weak or strong, you've still got enough strength of will to you for the old guy to send you to me. I'm not just the Master of War, ya know. I'm also the keeper of Magic. Sky, Dark, Water, and Fire... used to be, everyone could call on the power of the elements. But now, only those with enough determination and a strong enough heart can use it. Lucky for you, you've got some great inner strength, so I can teach you the good stuff.
Shadow: Shadow's the element of darkness, covering everything from the space between the stars to the shadows in a cave. Void and gravity are two obvious uses, and curses and status magic fall within its domain as well. However, it's also the magic of harmony, so you might be able to throw around some elemental combos instead.
Skill</v>
      </c>
      <c r="B22" s="17">
        <f>IFERROR(__xludf.DUMMYFUNCTION("if(len(A22)&gt;0, value(REGEXEXTRACT(A22, ""Chapter ([0-9]*):"")), """")"),100.0)</f>
        <v>100</v>
      </c>
      <c r="C22" s="31" t="str">
        <f>IFERROR(__xludf.DUMMYFUNCTION("if(len(A22) &gt;0, REGEXEXTRACT(A22, ""Chapter [0-9]*: (.*)""), """")"),"73 Head Trip")</f>
        <v>73 Head Trip</v>
      </c>
      <c r="D22" s="31" t="str">
        <f>IFERROR(__xludf.DUMMYFUNCTION("if(len(A22)&gt;0, REGEXEXTRACT(A22, ""\n[^\(]*""), """")"),"
Element ")</f>
        <v>
Element </v>
      </c>
      <c r="E22" s="17" t="str">
        <f>IFERROR(__xludf.DUMMYFUNCTION("if(len(A22)&gt;0, REGEXEXTRACT(A22, ""\n([^\n]*)$""), """")"),"Skill")</f>
        <v>Skill</v>
      </c>
      <c r="F22" s="17" t="str">
        <f>IFERROR(__xludf.DUMMYFUNCTION("if(len(A22)&gt;0, REGEXEXTRACT(A22, ""\(([^\)]*)\)""), """")"),"Chrono Trigger")</f>
        <v>Chrono Trigger</v>
      </c>
      <c r="G22" s="17" t="str">
        <f>IFERROR(__xludf.DUMMYFUNCTION("if(len(A22)&gt;0, REGEXEXTRACT(A22, ""\)([^:]*):""), """")")," Free")</f>
        <v> Free</v>
      </c>
      <c r="H22" s="31" t="str">
        <f>IFERROR(__xludf.DUMMYFUNCTION("if(len(A22) &gt; 0, JOIN(char(10), FILTER(SPLIT(A22, char(10)), split(""false false "" &amp; rept(""true "", columns(SPLIT(A22, char(10)))-3) &amp; ""false"", "" ""))), """")"),"Anyway, weak or strong, you've still got enough strength of will to you for the old guy to send you to me. I'm not just the Master of War, ya know. I'm also the keeper of Magic. Sky, Dark, Water, and Fire... used to be, everyone could call on the power of"&amp;" the elements. But now, only those with enough determination and a strong enough heart can use it. Lucky for you, you've got some great inner strength, so I can teach you the good stuff.
Shadow: Shadow's the element of darkness, covering everything from t"&amp;"he space between the stars to the shadows in a cave. Void and gravity are two obvious uses, and curses and status magic fall within its domain as well. However, it's also the magic of harmony, so you might be able to throw around some elemental combos ins"&amp;"tead.")</f>
        <v>Anyway, weak or strong, you've still got enough strength of will to you for the old guy to send you to me. I'm not just the Master of War, ya know. I'm also the keeper of Magic. Sky, Dark, Water, and Fire... used to be, everyone could call on the power of the elements. But now, only those with enough determination and a strong enough heart can use it. Lucky for you, you've got some great inner strength, so I can teach you the good stuff.
Shadow: Shadow's the element of darkness, covering everything from the space between the stars to the shadows in a cave. Void and gravity are two obvious uses, and curses and status magic fall within its domain as well. However, it's also the magic of harmony, so you might be able to throw around some elemental combos instead.</v>
      </c>
    </row>
    <row r="23">
      <c r="A23" s="31" t="str">
        <f>IFERROR(__xludf.DUMMYFUNCTION("""COMPUTED_VALUE"""),"Chapter 100: 73 Head Trip
Library (Personal Reality) 200:
A place to keep all the books and writings you and your companions might create or gather throughout your adventures, with all of them kept in pristine condition and automatically sorted based on y"&amp;"our selected scheme, no matter how harebrained. Comes with reading area that has an effect of slightly boosting concentration, reading speed, comprehension, and retention rate.
Facility")</f>
        <v>Chapter 100: 73 Head Trip
Library (Personal Reality) 200:
A place to keep all the books and writings you and your companions might create or gather throughout your adventures, with all of them kept in pristine condition and automatically sorted based on your selected scheme, no matter how harebrained. Comes with reading area that has an effect of slightly boosting concentration, reading speed, comprehension, and retention rate.
Facility</v>
      </c>
      <c r="B23" s="17">
        <f>IFERROR(__xludf.DUMMYFUNCTION("if(len(A23)&gt;0, value(REGEXEXTRACT(A23, ""Chapter ([0-9]*):"")), """")"),100.0)</f>
        <v>100</v>
      </c>
      <c r="C23" s="31" t="str">
        <f>IFERROR(__xludf.DUMMYFUNCTION("if(len(A23) &gt;0, REGEXEXTRACT(A23, ""Chapter [0-9]*: (.*)""), """")"),"73 Head Trip")</f>
        <v>73 Head Trip</v>
      </c>
      <c r="D23" s="31" t="str">
        <f>IFERROR(__xludf.DUMMYFUNCTION("if(len(A23)&gt;0, REGEXEXTRACT(A23, ""\n[^\(]*""), """")"),"
Library ")</f>
        <v>
Library </v>
      </c>
      <c r="E23" s="17" t="str">
        <f>IFERROR(__xludf.DUMMYFUNCTION("if(len(A23)&gt;0, REGEXEXTRACT(A23, ""\n([^\n]*)$""), """")"),"Facility")</f>
        <v>Facility</v>
      </c>
      <c r="F23" s="17" t="str">
        <f>IFERROR(__xludf.DUMMYFUNCTION("if(len(A23)&gt;0, REGEXEXTRACT(A23, ""\(([^\)]*)\)""), """")"),"Personal Reality")</f>
        <v>Personal Reality</v>
      </c>
      <c r="G23" s="17" t="str">
        <f>IFERROR(__xludf.DUMMYFUNCTION("if(len(A23)&gt;0, REGEXEXTRACT(A23, ""\)([^:]*):""), """")")," 200")</f>
        <v> 200</v>
      </c>
      <c r="H23" s="31" t="str">
        <f>IFERROR(__xludf.DUMMYFUNCTION("if(len(A23) &gt; 0, JOIN(char(10), FILTER(SPLIT(A23, char(10)), split(""false false "" &amp; rept(""true "", columns(SPLIT(A23, char(10)))-3) &amp; ""false"", "" ""))), """")"),"A place to keep all the books and writings you and your companions might create or gather throughout your adventures, with all of them kept in pristine condition and automatically sorted based on your selected scheme, no matter how harebrained. Comes with"&amp;" reading area that has an effect of slightly boosting concentration, reading speed, comprehension, and retention rate.")</f>
        <v>A place to keep all the books and writings you and your companions might create or gather throughout your adventures, with all of them kept in pristine condition and automatically sorted based on your selected scheme, no matter how harebrained. Comes with reading area that has an effect of slightly boosting concentration, reading speed, comprehension, and retention rate.</v>
      </c>
    </row>
    <row r="24">
      <c r="A24" s="31" t="str">
        <f>IFERROR(__xludf.DUMMYFUNCTION("""COMPUTED_VALUE"""),"Chapter 100: 73 Head Trip
Library Services (Personal Reality) 100:
This Library Upgrade means that any written text that you add to your library, assuming you or any member of your team possesses the ability to translate it, will gain an appendix that inc"&amp;"ludes all idiomatic word usage, cultural or historical references, and even scholarly explanations of the author’s background and possible inspirations. All such notes will be written from a scholastic, in setting standpoint, as if written by a learned sc"&amp;"holar writing from no more than a single century in the future from the time the original work was created. Additionally, if you request a specific book translated into a different language, it will be produced within 24 hours, and the translation will be"&amp;" written by an expert native speaker of both languages. Cover art for the new version will be similarly translated. You or a member of your team must know both languages to a high fluent level for this translation service to work properly.
Facility")</f>
        <v>Chapter 100: 73 Head Trip
Library Services (Personal Reality) 100:
This Library Upgrade means that any written text that you add to your library, assuming you or any member of your team possesses the ability to translate it, will gain an appendix that includes all idiomatic word usage, cultural or historical references, and even scholarly explanations of the author’s background and possible inspirations. All such notes will be written from a scholastic, in setting standpoint, as if written by a learned scholar writing from no more than a single century in the future from the time the original work was created. Additionally, if you request a specific book translated into a different language, it will be produced within 24 hours, and the translation will be written by an expert native speaker of both languages. Cover art for the new version will be similarly translated. You or a member of your team must know both languages to a high fluent level for this translation service to work properly.
Facility</v>
      </c>
      <c r="B24" s="17">
        <f>IFERROR(__xludf.DUMMYFUNCTION("if(len(A24)&gt;0, value(REGEXEXTRACT(A24, ""Chapter ([0-9]*):"")), """")"),100.0)</f>
        <v>100</v>
      </c>
      <c r="C24" s="31" t="str">
        <f>IFERROR(__xludf.DUMMYFUNCTION("if(len(A24) &gt;0, REGEXEXTRACT(A24, ""Chapter [0-9]*: (.*)""), """")"),"73 Head Trip")</f>
        <v>73 Head Trip</v>
      </c>
      <c r="D24" s="31" t="str">
        <f>IFERROR(__xludf.DUMMYFUNCTION("if(len(A24)&gt;0, REGEXEXTRACT(A24, ""\n[^\(]*""), """")"),"
Library Services ")</f>
        <v>
Library Services </v>
      </c>
      <c r="E24" s="17" t="str">
        <f>IFERROR(__xludf.DUMMYFUNCTION("if(len(A24)&gt;0, REGEXEXTRACT(A24, ""\n([^\n]*)$""), """")"),"Facility")</f>
        <v>Facility</v>
      </c>
      <c r="F24" s="17" t="str">
        <f>IFERROR(__xludf.DUMMYFUNCTION("if(len(A24)&gt;0, REGEXEXTRACT(A24, ""\(([^\)]*)\)""), """")"),"Personal Reality")</f>
        <v>Personal Reality</v>
      </c>
      <c r="G24" s="17" t="str">
        <f>IFERROR(__xludf.DUMMYFUNCTION("if(len(A24)&gt;0, REGEXEXTRACT(A24, ""\)([^:]*):""), """")")," 100")</f>
        <v> 100</v>
      </c>
      <c r="H24" s="31" t="str">
        <f>IFERROR(__xludf.DUMMYFUNCTION("if(len(A24) &gt; 0, JOIN(char(10), FILTER(SPLIT(A24, char(10)), split(""false false "" &amp; rept(""true "", columns(SPLIT(A24, char(10)))-3) &amp; ""false"", "" ""))), """")"),"This Library Upgrade means that any written text that you add to your library, assuming you or any member of your team possesses the ability to translate it, will gain an appendix that includes all idiomatic word usage, cultural or historical references, "&amp;"and even scholarly explanations of the author’s background and possible inspirations. All such notes will be written from a scholastic, in setting standpoint, as if written by a learned scholar writing from no more than a single century in the future from"&amp;" the time the original work was created. Additionally, if you request a specific book translated into a different language, it will be produced within 24 hours, and the translation will be written by an expert native speaker of both languages. Cover art f"&amp;"or the new version will be similarly translated. You or a member of your team must know both languages to a high fluent level for this translation service to work properly.")</f>
        <v>This Library Upgrade means that any written text that you add to your library, assuming you or any member of your team possesses the ability to translate it, will gain an appendix that includes all idiomatic word usage, cultural or historical references, and even scholarly explanations of the author’s background and possible inspirations. All such notes will be written from a scholastic, in setting standpoint, as if written by a learned scholar writing from no more than a single century in the future from the time the original work was created. Additionally, if you request a specific book translated into a different language, it will be produced within 24 hours, and the translation will be written by an expert native speaker of both languages. Cover art for the new version will be similarly translated. You or a member of your team must know both languages to a high fluent level for this translation service to work properly.</v>
      </c>
    </row>
    <row r="25">
      <c r="A25" s="31" t="str">
        <f>IFERROR(__xludf.DUMMYFUNCTION("""COMPUTED_VALUE"""),"Chapter 100: 73 Head Trip
Mega Bomb (Chrono Trigger) 600:
Magic and Technology are both capable of some pretty fantastic things. So why not put them together, and see what happens? You now understand the secret to integrating magic seamlessly into your me"&amp;"chanical devices, enabling you to create devices like bombs powered with fire magic or medkits that use healing magic. While initially your devices will be one-shots that rely on a magical charge you have to deliver, in time, you'll learn how to make much"&amp;" more advanced fusions, such machines that run on magical power sources, or automated spellcasting devices. In the end, the only limit is your skill with machinery and magic. 
System")</f>
        <v>Chapter 100: 73 Head Trip
Mega Bomb (Chrono Trigger) 600:
Magic and Technology are both capable of some pretty fantastic things. So why not put them together, and see what happens? You now understand the secret to integrating magic seamlessly into your mechanical devices, enabling you to create devices like bombs powered with fire magic or medkits that use healing magic. While initially your devices will be one-shots that rely on a magical charge you have to deliver, in time, you'll learn how to make much more advanced fusions, such machines that run on magical power sources, or automated spellcasting devices. In the end, the only limit is your skill with machinery and magic. 
System</v>
      </c>
      <c r="B25" s="17">
        <f>IFERROR(__xludf.DUMMYFUNCTION("if(len(A25)&gt;0, value(REGEXEXTRACT(A25, ""Chapter ([0-9]*):"")), """")"),100.0)</f>
        <v>100</v>
      </c>
      <c r="C25" s="31" t="str">
        <f>IFERROR(__xludf.DUMMYFUNCTION("if(len(A25) &gt;0, REGEXEXTRACT(A25, ""Chapter [0-9]*: (.*)""), """")"),"73 Head Trip")</f>
        <v>73 Head Trip</v>
      </c>
      <c r="D25" s="31" t="str">
        <f>IFERROR(__xludf.DUMMYFUNCTION("if(len(A25)&gt;0, REGEXEXTRACT(A25, ""\n[^\(]*""), """")"),"
Mega Bomb ")</f>
        <v>
Mega Bomb </v>
      </c>
      <c r="E25" s="17" t="str">
        <f>IFERROR(__xludf.DUMMYFUNCTION("if(len(A25)&gt;0, REGEXEXTRACT(A25, ""\n([^\n]*)$""), """")"),"System")</f>
        <v>System</v>
      </c>
      <c r="F25" s="17" t="str">
        <f>IFERROR(__xludf.DUMMYFUNCTION("if(len(A25)&gt;0, REGEXEXTRACT(A25, ""\(([^\)]*)\)""), """")"),"Chrono Trigger")</f>
        <v>Chrono Trigger</v>
      </c>
      <c r="G25" s="17" t="str">
        <f>IFERROR(__xludf.DUMMYFUNCTION("if(len(A25)&gt;0, REGEXEXTRACT(A25, ""\)([^:]*):""), """")")," 600")</f>
        <v> 600</v>
      </c>
      <c r="H25" s="31" t="str">
        <f>IFERROR(__xludf.DUMMYFUNCTION("if(len(A25) &gt; 0, JOIN(char(10), FILTER(SPLIT(A25, char(10)), split(""false false "" &amp; rept(""true "", columns(SPLIT(A25, char(10)))-3) &amp; ""false"", "" ""))), """")"),"Magic and Technology are both capable of some pretty fantastic things. So why not put them together, and see what happens? You now understand the secret to integrating magic seamlessly into your mechanical devices, enabling you to create devices like bomb"&amp;"s powered with fire magic or medkits that use healing magic. While initially your devices will be one-shots that rely on a magical charge you have to deliver, in time, you'll learn how to make much more advanced fusions, such machines that run on magical "&amp;"power sources, or automated spellcasting devices. In the end, the only limit is your skill with machinery and magic. ")</f>
        <v>Magic and Technology are both capable of some pretty fantastic things. So why not put them together, and see what happens? You now understand the secret to integrating magic seamlessly into your mechanical devices, enabling you to create devices like bombs powered with fire magic or medkits that use healing magic. While initially your devices will be one-shots that rely on a magical charge you have to deliver, in time, you'll learn how to make much more advanced fusions, such machines that run on magical power sources, or automated spellcasting devices. In the end, the only limit is your skill with machinery and magic. </v>
      </c>
    </row>
    <row r="26">
      <c r="A26" s="31" t="str">
        <f>IFERROR(__xludf.DUMMYFUNCTION("""COMPUTED_VALUE"""),"Chapter 100: 73 Head Trip
Starting Collection (Personal Reality) 100:
This Library Upgrade gets you pre-stocked with books you would expect to find in an average town or school library, with a nice spread of books on a variety of topics and in a language "&amp;"of your choice. This comes with 10,000 individual fiction titles and three times that number non-fiction titles covering all normal real-world subjects. Most of the books will be best sellers or classics (80%) and will cover the last hundred and fifty yea"&amp;"rs or so. The other 20% will be more esoteric works, but seldom anything particularly obscure or rare. In addition to scholarly works and literature, you’ll also get a periodicals section similar to that of a town library, containing several thousand asso"&amp;"rted magazines and newspapers. This can be purchased up to five times, each time increasing the number of titles in all three categories (fiction, non-fiction, periodicals) by a factor of ten. Additional purchases only cost 50 WP. This is the only Library"&amp;" Upgrade that includes fiction from ‘the real world’.
Facility")</f>
        <v>Chapter 100: 73 Head Trip
Starting Collection (Personal Reality) 100:
This Library Upgrade gets you pre-stocked with books you would expect to find in an average town or school library, with a nice spread of books on a variety of topics and in a language of your choice. This comes with 10,000 individual fiction titles and three times that number non-fiction titles covering all normal real-world subjects. Most of the books will be best sellers or classics (80%) and will cover the last hundred and fifty years or so. The other 20% will be more esoteric works, but seldom anything particularly obscure or rare. In addition to scholarly works and literature, you’ll also get a periodicals section similar to that of a town library, containing several thousand assorted magazines and newspapers. This can be purchased up to five times, each time increasing the number of titles in all three categories (fiction, non-fiction, periodicals) by a factor of ten. Additional purchases only cost 50 WP. This is the only Library Upgrade that includes fiction from ‘the real world’.
Facility</v>
      </c>
      <c r="B26" s="17">
        <f>IFERROR(__xludf.DUMMYFUNCTION("if(len(A26)&gt;0, value(REGEXEXTRACT(A26, ""Chapter ([0-9]*):"")), """")"),100.0)</f>
        <v>100</v>
      </c>
      <c r="C26" s="31" t="str">
        <f>IFERROR(__xludf.DUMMYFUNCTION("if(len(A26) &gt;0, REGEXEXTRACT(A26, ""Chapter [0-9]*: (.*)""), """")"),"73 Head Trip")</f>
        <v>73 Head Trip</v>
      </c>
      <c r="D26" s="31" t="str">
        <f>IFERROR(__xludf.DUMMYFUNCTION("if(len(A26)&gt;0, REGEXEXTRACT(A26, ""\n[^\(]*""), """")"),"
Starting Collection ")</f>
        <v>
Starting Collection </v>
      </c>
      <c r="E26" s="17" t="str">
        <f>IFERROR(__xludf.DUMMYFUNCTION("if(len(A26)&gt;0, REGEXEXTRACT(A26, ""\n([^\n]*)$""), """")"),"Facility")</f>
        <v>Facility</v>
      </c>
      <c r="F26" s="17" t="str">
        <f>IFERROR(__xludf.DUMMYFUNCTION("if(len(A26)&gt;0, REGEXEXTRACT(A26, ""\(([^\)]*)\)""), """")"),"Personal Reality")</f>
        <v>Personal Reality</v>
      </c>
      <c r="G26" s="17" t="str">
        <f>IFERROR(__xludf.DUMMYFUNCTION("if(len(A26)&gt;0, REGEXEXTRACT(A26, ""\)([^:]*):""), """")")," 100")</f>
        <v> 100</v>
      </c>
      <c r="H26" s="31" t="str">
        <f>IFERROR(__xludf.DUMMYFUNCTION("if(len(A26) &gt; 0, JOIN(char(10), FILTER(SPLIT(A26, char(10)), split(""false false "" &amp; rept(""true "", columns(SPLIT(A26, char(10)))-3) &amp; ""false"", "" ""))), """")"),"This Library Upgrade gets you pre-stocked with books you would expect to find in an average town or school library, with a nice spread of books on a variety of topics and in a language of your choice. This comes with 10,000 individual fiction titles and t"&amp;"hree times that number non-fiction titles covering all normal real-world subjects. Most of the books will be best sellers or classics (80%) and will cover the last hundred and fifty years or so. The other 20% will be more esoteric works, but seldom anythi"&amp;"ng particularly obscure or rare. In addition to scholarly works and literature, you’ll also get a periodicals section similar to that of a town library, containing several thousand assorted magazines and newspapers. This can be purchased up to five times,"&amp;" each time increasing the number of titles in all three categories (fiction, non-fiction, periodicals) by a factor of ten. Additional purchases only cost 50 WP. This is the only Library Upgrade that includes fiction from ‘the real world’.")</f>
        <v>This Library Upgrade gets you pre-stocked with books you would expect to find in an average town or school library, with a nice spread of books on a variety of topics and in a language of your choice. This comes with 10,000 individual fiction titles and three times that number non-fiction titles covering all normal real-world subjects. Most of the books will be best sellers or classics (80%) and will cover the last hundred and fifty years or so. The other 20% will be more esoteric works, but seldom anything particularly obscure or rare. In addition to scholarly works and literature, you’ll also get a periodicals section similar to that of a town library, containing several thousand assorted magazines and newspapers. This can be purchased up to five times, each time increasing the number of titles in all three categories (fiction, non-fiction, periodicals) by a factor of ten. Additional purchases only cost 50 WP. This is the only Library Upgrade that includes fiction from ‘the real world’.</v>
      </c>
    </row>
    <row r="27">
      <c r="A27" s="31" t="str">
        <f>IFERROR(__xludf.DUMMYFUNCTION("""COMPUTED_VALUE"""),"Chapter 101: 74 Hard Talk
Detainment (Personal Reality) 300:
This Security System Upgrade ensures that anybody without correct access authorization who attempts to break into your warehouse automatically gets detained in temporary cells, which are accesse"&amp;"d through temporary doors in your Entrance Hall. The cells are not fiat-backed to hold everyone. If you’d have to exert yourself to fight someone, then the cells aren’t going to hold them for long, at least without any upgrades. Detainment will attempt to"&amp;" work on anything that manifests anywhere in your warehouse without proper clearance… as well as anything that had proper clearance and is now clearly a threat. A Keyholder cannot be detained.
Facility")</f>
        <v>Chapter 101: 74 Hard Talk
Detainment (Personal Reality) 300:
This Security System Upgrade ensures that anybody without correct access authorization who attempts to break into your warehouse automatically gets detained in temporary cells, which are accessed through temporary doors in your Entrance Hall. The cells are not fiat-backed to hold everyone. If you’d have to exert yourself to fight someone, then the cells aren’t going to hold them for long, at least without any upgrades. Detainment will attempt to work on anything that manifests anywhere in your warehouse without proper clearance… as well as anything that had proper clearance and is now clearly a threat. A Keyholder cannot be detained.
Facility</v>
      </c>
      <c r="B27" s="17">
        <f>IFERROR(__xludf.DUMMYFUNCTION("if(len(A27)&gt;0, value(REGEXEXTRACT(A27, ""Chapter ([0-9]*):"")), """")"),101.0)</f>
        <v>101</v>
      </c>
      <c r="C27" s="31" t="str">
        <f>IFERROR(__xludf.DUMMYFUNCTION("if(len(A27) &gt;0, REGEXEXTRACT(A27, ""Chapter [0-9]*: (.*)""), """")"),"74 Hard Talk")</f>
        <v>74 Hard Talk</v>
      </c>
      <c r="D27" s="31" t="str">
        <f>IFERROR(__xludf.DUMMYFUNCTION("if(len(A27)&gt;0, REGEXEXTRACT(A27, ""\n[^\(]*""), """")"),"
Detainment ")</f>
        <v>
Detainment </v>
      </c>
      <c r="E27" s="17" t="str">
        <f>IFERROR(__xludf.DUMMYFUNCTION("if(len(A27)&gt;0, REGEXEXTRACT(A27, ""\n([^\n]*)$""), """")"),"Facility")</f>
        <v>Facility</v>
      </c>
      <c r="F27" s="17" t="str">
        <f>IFERROR(__xludf.DUMMYFUNCTION("if(len(A27)&gt;0, REGEXEXTRACT(A27, ""\(([^\)]*)\)""), """")"),"Personal Reality")</f>
        <v>Personal Reality</v>
      </c>
      <c r="G27" s="17" t="str">
        <f>IFERROR(__xludf.DUMMYFUNCTION("if(len(A27)&gt;0, REGEXEXTRACT(A27, ""\)([^:]*):""), """")")," 300")</f>
        <v> 300</v>
      </c>
      <c r="H27" s="31" t="str">
        <f>IFERROR(__xludf.DUMMYFUNCTION("if(len(A27) &gt; 0, JOIN(char(10), FILTER(SPLIT(A27, char(10)), split(""false false "" &amp; rept(""true "", columns(SPLIT(A27, char(10)))-3) &amp; ""false"", "" ""))), """")"),"This Security System Upgrade ensures that anybody without correct access authorization who attempts to break into your warehouse automatically gets detained in temporary cells, which are accessed through temporary doors in your Entrance Hall. The cells ar"&amp;"e not fiat-backed to hold everyone. If you’d have to exert yourself to fight someone, then the cells aren’t going to hold them for long, at least without any upgrades. Detainment will attempt to work on anything that manifests anywhere in your warehouse w"&amp;"ithout proper clearance… as well as anything that had proper clearance and is now clearly a threat. A Keyholder cannot be detained.")</f>
        <v>This Security System Upgrade ensures that anybody without correct access authorization who attempts to break into your warehouse automatically gets detained in temporary cells, which are accessed through temporary doors in your Entrance Hall. The cells are not fiat-backed to hold everyone. If you’d have to exert yourself to fight someone, then the cells aren’t going to hold them for long, at least without any upgrades. Detainment will attempt to work on anything that manifests anywhere in your warehouse without proper clearance… as well as anything that had proper clearance and is now clearly a threat. A Keyholder cannot be detained.</v>
      </c>
    </row>
    <row r="28">
      <c r="A28" s="31" t="str">
        <f>IFERROR(__xludf.DUMMYFUNCTION("""COMPUTED_VALUE"""),"Chapter 101: 74 Hard Talk
Force Wall (Personal Reality) 200:
This adds a force-field to the entrances and exits to your Personal Reality. Nothing unauthorized can pass through these force-fields. The field is fully permeable to anything authorized. A Keyh"&amp;"older’s Access cannot be blocked by these fields. Be aware, some enemies might conceivably be able to enter your Personal Reality without technically ‘passing through’ these force-fields. I don’t know, but don’t assume the Force Wall is utterly infallible"&amp;". It is also potentially possible that you or your companions might bring something seemingly harmless into your Reality that turns out to be some kind of threat.
Facility")</f>
        <v>Chapter 101: 74 Hard Talk
Force Wall (Personal Reality) 200:
This adds a force-field to the entrances and exits to your Personal Reality. Nothing unauthorized can pass through these force-fields. The field is fully permeable to anything authorized. A Keyholder’s Access cannot be blocked by these fields. Be aware, some enemies might conceivably be able to enter your Personal Reality without technically ‘passing through’ these force-fields. I don’t know, but don’t assume the Force Wall is utterly infallible. It is also potentially possible that you or your companions might bring something seemingly harmless into your Reality that turns out to be some kind of threat.
Facility</v>
      </c>
      <c r="B28" s="17">
        <f>IFERROR(__xludf.DUMMYFUNCTION("if(len(A28)&gt;0, value(REGEXEXTRACT(A28, ""Chapter ([0-9]*):"")), """")"),101.0)</f>
        <v>101</v>
      </c>
      <c r="C28" s="31" t="str">
        <f>IFERROR(__xludf.DUMMYFUNCTION("if(len(A28) &gt;0, REGEXEXTRACT(A28, ""Chapter [0-9]*: (.*)""), """")"),"74 Hard Talk")</f>
        <v>74 Hard Talk</v>
      </c>
      <c r="D28" s="31" t="str">
        <f>IFERROR(__xludf.DUMMYFUNCTION("if(len(A28)&gt;0, REGEXEXTRACT(A28, ""\n[^\(]*""), """")"),"
Force Wall ")</f>
        <v>
Force Wall </v>
      </c>
      <c r="E28" s="17" t="str">
        <f>IFERROR(__xludf.DUMMYFUNCTION("if(len(A28)&gt;0, REGEXEXTRACT(A28, ""\n([^\n]*)$""), """")"),"Facility")</f>
        <v>Facility</v>
      </c>
      <c r="F28" s="17" t="str">
        <f>IFERROR(__xludf.DUMMYFUNCTION("if(len(A28)&gt;0, REGEXEXTRACT(A28, ""\(([^\)]*)\)""), """")"),"Personal Reality")</f>
        <v>Personal Reality</v>
      </c>
      <c r="G28" s="17" t="str">
        <f>IFERROR(__xludf.DUMMYFUNCTION("if(len(A28)&gt;0, REGEXEXTRACT(A28, ""\)([^:]*):""), """")")," 200")</f>
        <v> 200</v>
      </c>
      <c r="H28" s="31" t="str">
        <f>IFERROR(__xludf.DUMMYFUNCTION("if(len(A28) &gt; 0, JOIN(char(10), FILTER(SPLIT(A28, char(10)), split(""false false "" &amp; rept(""true "", columns(SPLIT(A28, char(10)))-3) &amp; ""false"", "" ""))), """")"),"This adds a force-field to the entrances and exits to your Personal Reality. Nothing unauthorized can pass through these force-fields. The field is fully permeable to anything authorized. A Keyholder’s Access cannot be blocked by these fields. Be aware, s"&amp;"ome enemies might conceivably be able to enter your Personal Reality without technically ‘passing through’ these force-fields. I don’t know, but don’t assume the Force Wall is utterly infallible. It is also potentially possible that you or your companions"&amp;" might bring something seemingly harmless into your Reality that turns out to be some kind of threat.")</f>
        <v>This adds a force-field to the entrances and exits to your Personal Reality. Nothing unauthorized can pass through these force-fields. The field is fully permeable to anything authorized. A Keyholder’s Access cannot be blocked by these fields. Be aware, some enemies might conceivably be able to enter your Personal Reality without technically ‘passing through’ these force-fields. I don’t know, but don’t assume the Force Wall is utterly infallible. It is also potentially possible that you or your companions might bring something seemingly harmless into your Reality that turns out to be some kind of threat.</v>
      </c>
    </row>
    <row r="29">
      <c r="A29" s="31" t="str">
        <f>IFERROR(__xludf.DUMMYFUNCTION("""COMPUTED_VALUE"""),"Chapter 101: 74 Hard Talk
Mental Fortress (The World Ends With You) Free!:
Your sense of individuality and self is so strong that invasive influences find your mind impenetrable. Whether it's Mind Control, Emotion Manipulation, Thought Reading, or any oth"&amp;"er kind of mind-messing mojo - You are the sole master of your own psyche. You can also see through outside manipulation and illusion more easily. Your art becomes famous for its originality and unique style, whatever you decide to apply this to.
Fiat, Sk"&amp;"ill")</f>
        <v>Chapter 101: 74 Hard Talk
Mental Fortress (The World Ends With You) Free!:
Your sense of individuality and self is so strong that invasive influences find your mind impenetrable. Whether it's Mind Control, Emotion Manipulation, Thought Reading, or any other kind of mind-messing mojo - You are the sole master of your own psyche. You can also see through outside manipulation and illusion more easily. Your art becomes famous for its originality and unique style, whatever you decide to apply this to.
Fiat, Skill</v>
      </c>
      <c r="B29" s="17">
        <f>IFERROR(__xludf.DUMMYFUNCTION("if(len(A29)&gt;0, value(REGEXEXTRACT(A29, ""Chapter ([0-9]*):"")), """")"),101.0)</f>
        <v>101</v>
      </c>
      <c r="C29" s="31" t="str">
        <f>IFERROR(__xludf.DUMMYFUNCTION("if(len(A29) &gt;0, REGEXEXTRACT(A29, ""Chapter [0-9]*: (.*)""), """")"),"74 Hard Talk")</f>
        <v>74 Hard Talk</v>
      </c>
      <c r="D29" s="31" t="str">
        <f>IFERROR(__xludf.DUMMYFUNCTION("if(len(A29)&gt;0, REGEXEXTRACT(A29, ""\n[^\(]*""), """")"),"
Mental Fortress ")</f>
        <v>
Mental Fortress </v>
      </c>
      <c r="E29" s="17" t="str">
        <f>IFERROR(__xludf.DUMMYFUNCTION("if(len(A29)&gt;0, REGEXEXTRACT(A29, ""\n([^\n]*)$""), """")"),"Fiat, Skill")</f>
        <v>Fiat, Skill</v>
      </c>
      <c r="F29" s="17" t="str">
        <f>IFERROR(__xludf.DUMMYFUNCTION("if(len(A29)&gt;0, REGEXEXTRACT(A29, ""\(([^\)]*)\)""), """")"),"The World Ends With You")</f>
        <v>The World Ends With You</v>
      </c>
      <c r="G29" s="17" t="str">
        <f>IFERROR(__xludf.DUMMYFUNCTION("if(len(A29)&gt;0, REGEXEXTRACT(A29, ""\)([^:]*):""), """")")," Free!")</f>
        <v> Free!</v>
      </c>
      <c r="H29" s="31" t="str">
        <f>IFERROR(__xludf.DUMMYFUNCTION("if(len(A29) &gt; 0, JOIN(char(10), FILTER(SPLIT(A29, char(10)), split(""false false "" &amp; rept(""true "", columns(SPLIT(A29, char(10)))-3) &amp; ""false"", "" ""))), """")"),"Your sense of individuality and self is so strong that invasive influences find your mind impenetrable. Whether it's Mind Control, Emotion Manipulation, Thought Reading, or any other kind of mind-messing mojo - You are the sole master of your own psyche. "&amp;"You can also see through outside manipulation and illusion more easily. Your art becomes famous for its originality and unique style, whatever you decide to apply this to.")</f>
        <v>Your sense of individuality and self is so strong that invasive influences find your mind impenetrable. Whether it's Mind Control, Emotion Manipulation, Thought Reading, or any other kind of mind-messing mojo - You are the sole master of your own psyche. You can also see through outside manipulation and illusion more easily. Your art becomes famous for its originality and unique style, whatever you decide to apply this to.</v>
      </c>
    </row>
    <row r="30">
      <c r="A30" s="31" t="str">
        <f>IFERROR(__xludf.DUMMYFUNCTION("""COMPUTED_VALUE"""),"Chapter 101: 74 Hard Talk
Security System (Personal Reality) Free:
Anybody coming in and out of your Personal Reality is now checked for any authorization you've given them to access it; and should anything about said authorization (or a lack of it) raise"&amp;" any flags in the system, then you will receive a warning about it. This allows you to define just what sorts of authorization different individuals can have to access your Personality Reality, anything from No Access through Temporary Access and Limited "&amp;"Access to Unlimited Access is possible. All this does is notify you. It does not stop them on its own. A Keyholder’s Access cannot be limited by the Security System. Only hand out Keys to those you trust implicitly
Facility")</f>
        <v>Chapter 101: 74 Hard Talk
Security System (Personal Reality) Free:
Anybody coming in and out of your Personal Reality is now checked for any authorization you've given them to access it; and should anything about said authorization (or a lack of it) raise any flags in the system, then you will receive a warning about it. This allows you to define just what sorts of authorization different individuals can have to access your Personality Reality, anything from No Access through Temporary Access and Limited Access to Unlimited Access is possible. All this does is notify you. It does not stop them on its own. A Keyholder’s Access cannot be limited by the Security System. Only hand out Keys to those you trust implicitly
Facility</v>
      </c>
      <c r="B30" s="17">
        <f>IFERROR(__xludf.DUMMYFUNCTION("if(len(A30)&gt;0, value(REGEXEXTRACT(A30, ""Chapter ([0-9]*):"")), """")"),101.0)</f>
        <v>101</v>
      </c>
      <c r="C30" s="31" t="str">
        <f>IFERROR(__xludf.DUMMYFUNCTION("if(len(A30) &gt;0, REGEXEXTRACT(A30, ""Chapter [0-9]*: (.*)""), """")"),"74 Hard Talk")</f>
        <v>74 Hard Talk</v>
      </c>
      <c r="D30" s="31" t="str">
        <f>IFERROR(__xludf.DUMMYFUNCTION("if(len(A30)&gt;0, REGEXEXTRACT(A30, ""\n[^\(]*""), """")"),"
Security System ")</f>
        <v>
Security System </v>
      </c>
      <c r="E30" s="17" t="str">
        <f>IFERROR(__xludf.DUMMYFUNCTION("if(len(A30)&gt;0, REGEXEXTRACT(A30, ""\n([^\n]*)$""), """")"),"Facility")</f>
        <v>Facility</v>
      </c>
      <c r="F30" s="17" t="str">
        <f>IFERROR(__xludf.DUMMYFUNCTION("if(len(A30)&gt;0, REGEXEXTRACT(A30, ""\(([^\)]*)\)""), """")"),"Personal Reality")</f>
        <v>Personal Reality</v>
      </c>
      <c r="G30" s="17" t="str">
        <f>IFERROR(__xludf.DUMMYFUNCTION("if(len(A30)&gt;0, REGEXEXTRACT(A30, ""\)([^:]*):""), """")")," Free")</f>
        <v> Free</v>
      </c>
      <c r="H30" s="31" t="str">
        <f>IFERROR(__xludf.DUMMYFUNCTION("if(len(A30) &gt; 0, JOIN(char(10), FILTER(SPLIT(A30, char(10)), split(""false false "" &amp; rept(""true "", columns(SPLIT(A30, char(10)))-3) &amp; ""false"", "" ""))), """")"),"Anybody coming in and out of your Personal Reality is now checked for any authorization you've given them to access it; and should anything about said authorization (or a lack of it) raise any flags in the system, then you will receive a warning about it."&amp;" This allows you to define just what sorts of authorization different individuals can have to access your Personality Reality, anything from No Access through Temporary Access and Limited Access to Unlimited Access is possible. All this does is notify you"&amp;". It does not stop them on its own. A Keyholder’s Access cannot be limited by the Security System. Only hand out Keys to those you trust implicitly")</f>
        <v>Anybody coming in and out of your Personal Reality is now checked for any authorization you've given them to access it; and should anything about said authorization (or a lack of it) raise any flags in the system, then you will receive a warning about it. This allows you to define just what sorts of authorization different individuals can have to access your Personality Reality, anything from No Access through Temporary Access and Limited Access to Unlimited Access is possible. All this does is notify you. It does not stop them on its own. A Keyholder’s Access cannot be limited by the Security System. Only hand out Keys to those you trust implicitly</v>
      </c>
    </row>
    <row r="31">
      <c r="A31" s="31" t="str">
        <f>IFERROR(__xludf.DUMMYFUNCTION("""COMPUTED_VALUE"""),"Chapter 101: 74 Hard Talk
Skills: Engineering (Star Trek - TNG+DS9) 100:
You've been trained in the maintenance and repair of Starships. Not only do you have a significant amount of mechanical and computer knowledge, but you also know a great deal about p"&amp;"hysics.
System")</f>
        <v>Chapter 101: 74 Hard Talk
Skills: Engineering (Star Trek - TNG+DS9) 100:
You've been trained in the maintenance and repair of Starships. Not only do you have a significant amount of mechanical and computer knowledge, but you also know a great deal about physics.
System</v>
      </c>
      <c r="B31" s="17">
        <f>IFERROR(__xludf.DUMMYFUNCTION("if(len(A31)&gt;0, value(REGEXEXTRACT(A31, ""Chapter ([0-9]*):"")), """")"),101.0)</f>
        <v>101</v>
      </c>
      <c r="C31" s="31" t="str">
        <f>IFERROR(__xludf.DUMMYFUNCTION("if(len(A31) &gt;0, REGEXEXTRACT(A31, ""Chapter [0-9]*: (.*)""), """")"),"74 Hard Talk")</f>
        <v>74 Hard Talk</v>
      </c>
      <c r="D31" s="31" t="str">
        <f>IFERROR(__xludf.DUMMYFUNCTION("if(len(A31)&gt;0, REGEXEXTRACT(A31, ""\n[^\(]*""), """")"),"
Skills: Engineering ")</f>
        <v>
Skills: Engineering </v>
      </c>
      <c r="E31" s="17" t="str">
        <f>IFERROR(__xludf.DUMMYFUNCTION("if(len(A31)&gt;0, REGEXEXTRACT(A31, ""\n([^\n]*)$""), """")"),"System")</f>
        <v>System</v>
      </c>
      <c r="F31" s="17" t="str">
        <f>IFERROR(__xludf.DUMMYFUNCTION("if(len(A31)&gt;0, REGEXEXTRACT(A31, ""\(([^\)]*)\)""), """")"),"Star Trek - TNG+DS9")</f>
        <v>Star Trek - TNG+DS9</v>
      </c>
      <c r="G31" s="17" t="str">
        <f>IFERROR(__xludf.DUMMYFUNCTION("if(len(A31)&gt;0, REGEXEXTRACT(A31, ""\)([^:]*):""), """")")," 100")</f>
        <v> 100</v>
      </c>
      <c r="H31" s="31" t="str">
        <f>IFERROR(__xludf.DUMMYFUNCTION("if(len(A31) &gt; 0, JOIN(char(10), FILTER(SPLIT(A31, char(10)), split(""false false "" &amp; rept(""true "", columns(SPLIT(A31, char(10)))-3) &amp; ""false"", "" ""))), """")"),"You've been trained in the maintenance and repair of Starships. Not only do you have a significant amount of mechanical and computer knowledge, but you also know a great deal about physics.")</f>
        <v>You've been trained in the maintenance and repair of Starships. Not only do you have a significant amount of mechanical and computer knowledge, but you also know a great deal about physics.</v>
      </c>
    </row>
    <row r="32">
      <c r="A32" s="31" t="str">
        <f>IFERROR(__xludf.DUMMYFUNCTION("""COMPUTED_VALUE"""),"Chapter 101: 74 Hard Talk
Skills: Robotics (Star Trek - TNG+DS9) 100:
A combined study of mechanical engineering, and computer science. You learn how to make a wide array of machines, and you could even figure out Android or Borg technology if you studied"&amp;" it enough.
System")</f>
        <v>Chapter 101: 74 Hard Talk
Skills: Robotics (Star Trek - TNG+DS9) 100:
A combined study of mechanical engineering, and computer science. You learn how to make a wide array of machines, and you could even figure out Android or Borg technology if you studied it enough.
System</v>
      </c>
      <c r="B32" s="17">
        <f>IFERROR(__xludf.DUMMYFUNCTION("if(len(A32)&gt;0, value(REGEXEXTRACT(A32, ""Chapter ([0-9]*):"")), """")"),101.0)</f>
        <v>101</v>
      </c>
      <c r="C32" s="31" t="str">
        <f>IFERROR(__xludf.DUMMYFUNCTION("if(len(A32) &gt;0, REGEXEXTRACT(A32, ""Chapter [0-9]*: (.*)""), """")"),"74 Hard Talk")</f>
        <v>74 Hard Talk</v>
      </c>
      <c r="D32" s="31" t="str">
        <f>IFERROR(__xludf.DUMMYFUNCTION("if(len(A32)&gt;0, REGEXEXTRACT(A32, ""\n[^\(]*""), """")"),"
Skills: Robotics ")</f>
        <v>
Skills: Robotics </v>
      </c>
      <c r="E32" s="17" t="str">
        <f>IFERROR(__xludf.DUMMYFUNCTION("if(len(A32)&gt;0, REGEXEXTRACT(A32, ""\n([^\n]*)$""), """")"),"System")</f>
        <v>System</v>
      </c>
      <c r="F32" s="17" t="str">
        <f>IFERROR(__xludf.DUMMYFUNCTION("if(len(A32)&gt;0, REGEXEXTRACT(A32, ""\(([^\)]*)\)""), """")"),"Star Trek - TNG+DS9")</f>
        <v>Star Trek - TNG+DS9</v>
      </c>
      <c r="G32" s="17" t="str">
        <f>IFERROR(__xludf.DUMMYFUNCTION("if(len(A32)&gt;0, REGEXEXTRACT(A32, ""\)([^:]*):""), """")")," 100")</f>
        <v> 100</v>
      </c>
      <c r="H32" s="31" t="str">
        <f>IFERROR(__xludf.DUMMYFUNCTION("if(len(A32) &gt; 0, JOIN(char(10), FILTER(SPLIT(A32, char(10)), split(""false false "" &amp; rept(""true "", columns(SPLIT(A32, char(10)))-3) &amp; ""false"", "" ""))), """")"),"A combined study of mechanical engineering, and computer science. You learn how to make a wide array of machines, and you could even figure out Android or Borg technology if you studied it enough.")</f>
        <v>A combined study of mechanical engineering, and computer science. You learn how to make a wide array of machines, and you could even figure out Android or Borg technology if you studied it enough.</v>
      </c>
    </row>
    <row r="33">
      <c r="A33" s="31" t="str">
        <f>IFERROR(__xludf.DUMMYFUNCTION("""COMPUTED_VALUE"""),"Chapter 104: 75 Wind Down
General Level Potential (Akame ga Kill) Free:
You start with the potential to reach a level of physical and spiritual ability needed to become one of the generals of the empire. You also start out with a level of ability that man"&amp;"y Captains would envy, and skill with one weapon type in particular. While this alone does not grant you the potential on par with the most powerful people in this world, it does bring you close enough that they can't instantly kill you
Personal")</f>
        <v>Chapter 104: 75 Wind Down
General Level Potential (Akame ga Kill) Free:
You start with the potential to reach a level of physical and spiritual ability needed to become one of the generals of the empire. You also start out with a level of ability that many Captains would envy, and skill with one weapon type in particular. While this alone does not grant you the potential on par with the most powerful people in this world, it does bring you close enough that they can't instantly kill you
Personal</v>
      </c>
      <c r="B33" s="17">
        <f>IFERROR(__xludf.DUMMYFUNCTION("if(len(A33)&gt;0, value(REGEXEXTRACT(A33, ""Chapter ([0-9]*):"")), """")"),104.0)</f>
        <v>104</v>
      </c>
      <c r="C33" s="31" t="str">
        <f>IFERROR(__xludf.DUMMYFUNCTION("if(len(A33) &gt;0, REGEXEXTRACT(A33, ""Chapter [0-9]*: (.*)""), """")"),"75 Wind Down")</f>
        <v>75 Wind Down</v>
      </c>
      <c r="D33" s="31" t="str">
        <f>IFERROR(__xludf.DUMMYFUNCTION("if(len(A33)&gt;0, REGEXEXTRACT(A33, ""\n[^\(]*""), """")"),"
General Level Potential ")</f>
        <v>
General Level Potential </v>
      </c>
      <c r="E33" s="17" t="str">
        <f>IFERROR(__xludf.DUMMYFUNCTION("if(len(A33)&gt;0, REGEXEXTRACT(A33, ""\n([^\n]*)$""), """")"),"Personal")</f>
        <v>Personal</v>
      </c>
      <c r="F33" s="17" t="str">
        <f>IFERROR(__xludf.DUMMYFUNCTION("if(len(A33)&gt;0, REGEXEXTRACT(A33, ""\(([^\)]*)\)""), """")"),"Akame ga Kill")</f>
        <v>Akame ga Kill</v>
      </c>
      <c r="G33" s="17" t="str">
        <f>IFERROR(__xludf.DUMMYFUNCTION("if(len(A33)&gt;0, REGEXEXTRACT(A33, ""\)([^:]*):""), """")")," Free")</f>
        <v> Free</v>
      </c>
      <c r="H33" s="31" t="str">
        <f>IFERROR(__xludf.DUMMYFUNCTION("if(len(A33) &gt; 0, JOIN(char(10), FILTER(SPLIT(A33, char(10)), split(""false false "" &amp; rept(""true "", columns(SPLIT(A33, char(10)))-3) &amp; ""false"", "" ""))), """")"),"You start with the potential to reach a level of physical and spiritual ability needed to become one of the generals of the empire. You also start out with a level of ability that many Captains would envy, and skill with one weapon type in particular. Whi"&amp;"le this alone does not grant you the potential on par with the most powerful people in this world, it does bring you close enough that they can't instantly kill you")</f>
        <v>You start with the potential to reach a level of physical and spiritual ability needed to become one of the generals of the empire. You also start out with a level of ability that many Captains would envy, and skill with one weapon type in particular. While this alone does not grant you the potential on par with the most powerful people in this world, it does bring you close enough that they can't instantly kill you</v>
      </c>
    </row>
    <row r="34">
      <c r="A34" s="31" t="str">
        <f>IFERROR(__xludf.DUMMYFUNCTION("""COMPUTED_VALUE"""),"Chapter 104: 75 Wind Down
Imperial Arms/Teigu (Akame ga Kill) Free:
You get one free and you may determine who it would be compatible with(besides yourself), or what qualities would make one compatible with it. First though you have to select a Teigu Type"&amp;". The type of Teigu you chose will also govern what discounts you have in this section. You may also freely import an item of that type to apply the abilities of your Teigu to it(unless your Teigu is an Organism, or Extract type). Teigu options may be com"&amp;"bine how you wish, unless noted. Discounts do not stack.
Object: as an object your Teigu is a relatively mundane thing on it's own, and instead grants it's power to the user. It could be a ring, a flute, a pair of gloves or even something like a makeup ki"&amp;"t, but it can't be a practical weapon or armor. However this type of Teigu excels at special abilities, making them easier to utilize rapidly or continuously. If you import an item for this, the item may actually be of any type weapon or armor included, h"&amp;"owever it will not gain any new physical abilities(though it will be increased in durability if lacking).
Flight, Discount Object: Your Teigu holds the power of Flight, while you may be able to approximate this with other options, buying it this way will "&amp;"almost certainly be superior, due to it being far more natural and easier to use.
Awareness, Discount Object: Your Teigu gives you an awareness of it, this counts for things produced directly by your Teigu, and it's physical components. Such that you may "&amp;"know if something interacts with your Teigu directly even if that happens quite a distance from you, or that you will know the location and movement of any projectiles you produce. Not that this effect is that great without something else to enhance it, b"&amp;"ut it's enough to be aware of your traps. (Integrated into Lantern Shield)
Item")</f>
        <v>Chapter 104: 75 Wind Down
Imperial Arms/Teigu (Akame ga Kill) Free:
You get one free and you may determine who it would be compatible with(besides yourself), or what qualities would make one compatible with it. First though you have to select a Teigu Type. The type of Teigu you chose will also govern what discounts you have in this section. You may also freely import an item of that type to apply the abilities of your Teigu to it(unless your Teigu is an Organism, or Extract type). Teigu options may be combine how you wish, unless noted. Discounts do not stack.
Object: as an object your Teigu is a relatively mundane thing on it's own, and instead grants it's power to the user. It could be a ring, a flute, a pair of gloves or even something like a makeup kit, but it can't be a practical weapon or armor. However this type of Teigu excels at special abilities, making them easier to utilize rapidly or continuously. If you import an item for this, the item may actually be of any type weapon or armor included, however it will not gain any new physical abilities(though it will be increased in durability if lacking).
Flight, Discount Object: Your Teigu holds the power of Flight, while you may be able to approximate this with other options, buying it this way will almost certainly be superior, due to it being far more natural and easier to use.
Awareness, Discount Object: Your Teigu gives you an awareness of it, this counts for things produced directly by your Teigu, and it's physical components. Such that you may know if something interacts with your Teigu directly even if that happens quite a distance from you, or that you will know the location and movement of any projectiles you produce. Not that this effect is that great without something else to enhance it, but it's enough to be aware of your traps. (Integrated into Lantern Shield)
Item</v>
      </c>
      <c r="B34" s="17">
        <f>IFERROR(__xludf.DUMMYFUNCTION("if(len(A34)&gt;0, value(REGEXEXTRACT(A34, ""Chapter ([0-9]*):"")), """")"),104.0)</f>
        <v>104</v>
      </c>
      <c r="C34" s="31" t="str">
        <f>IFERROR(__xludf.DUMMYFUNCTION("if(len(A34) &gt;0, REGEXEXTRACT(A34, ""Chapter [0-9]*: (.*)""), """")"),"75 Wind Down")</f>
        <v>75 Wind Down</v>
      </c>
      <c r="D34" s="31" t="str">
        <f>IFERROR(__xludf.DUMMYFUNCTION("if(len(A34)&gt;0, REGEXEXTRACT(A34, ""\n[^\(]*""), """")"),"
Imperial Arms/Teigu ")</f>
        <v>
Imperial Arms/Teigu </v>
      </c>
      <c r="E34" s="17" t="str">
        <f>IFERROR(__xludf.DUMMYFUNCTION("if(len(A34)&gt;0, REGEXEXTRACT(A34, ""\n([^\n]*)$""), """")"),"Item")</f>
        <v>Item</v>
      </c>
      <c r="F34" s="17" t="str">
        <f>IFERROR(__xludf.DUMMYFUNCTION("if(len(A34)&gt;0, REGEXEXTRACT(A34, ""\(([^\)]*)\)""), """")"),"Akame ga Kill")</f>
        <v>Akame ga Kill</v>
      </c>
      <c r="G34" s="17" t="str">
        <f>IFERROR(__xludf.DUMMYFUNCTION("if(len(A34)&gt;0, REGEXEXTRACT(A34, ""\)([^:]*):""), """")")," Free")</f>
        <v> Free</v>
      </c>
      <c r="H34" s="31" t="str">
        <f>IFERROR(__xludf.DUMMYFUNCTION("if(len(A34) &gt; 0, JOIN(char(10), FILTER(SPLIT(A34, char(10)), split(""false false "" &amp; rept(""true "", columns(SPLIT(A34, char(10)))-3) &amp; ""false"", "" ""))), """")"),"You get one free and you may determine who it would be compatible with(besides yourself), or what qualities would make one compatible with it. First though you have to select a Teigu Type. The type of Teigu you chose will also govern what discounts you ha"&amp;"ve in this section. You may also freely import an item of that type to apply the abilities of your Teigu to it(unless your Teigu is an Organism, or Extract type). Teigu options may be combine how you wish, unless noted. Discounts do not stack.
Object: as "&amp;"an object your Teigu is a relatively mundane thing on it's own, and instead grants it's power to the user. It could be a ring, a flute, a pair of gloves or even something like a makeup kit, but it can't be a practical weapon or armor. However this type of"&amp;" Teigu excels at special abilities, making them easier to utilize rapidly or continuously. If you import an item for this, the item may actually be of any type weapon or armor included, however it will not gain any new physical abilities(though it will be"&amp;" increased in durability if lacking).
Flight, Discount Object: Your Teigu holds the power of Flight, while you may be able to approximate this with other options, buying it this way will almost certainly be superior, due to it being far more natural and e"&amp;"asier to use.
Awareness, Discount Object: Your Teigu gives you an awareness of it, this counts for things produced directly by your Teigu, and it's physical components. Such that you may know if something interacts with your Teigu directly even if that ha"&amp;"ppens quite a distance from you, or that you will know the location and movement of any projectiles you produce. Not that this effect is that great without something else to enhance it, but it's enough to be aware of your traps. (Integrated into Lantern S"&amp;"hield)")</f>
        <v>You get one free and you may determine who it would be compatible with(besides yourself), or what qualities would make one compatible with it. First though you have to select a Teigu Type. The type of Teigu you chose will also govern what discounts you have in this section. You may also freely import an item of that type to apply the abilities of your Teigu to it(unless your Teigu is an Organism, or Extract type). Teigu options may be combine how you wish, unless noted. Discounts do not stack.
Object: as an object your Teigu is a relatively mundane thing on it's own, and instead grants it's power to the user. It could be a ring, a flute, a pair of gloves or even something like a makeup kit, but it can't be a practical weapon or armor. However this type of Teigu excels at special abilities, making them easier to utilize rapidly or continuously. If you import an item for this, the item may actually be of any type weapon or armor included, however it will not gain any new physical abilities(though it will be increased in durability if lacking).
Flight, Discount Object: Your Teigu holds the power of Flight, while you may be able to approximate this with other options, buying it this way will almost certainly be superior, due to it being far more natural and easier to use.
Awareness, Discount Object: Your Teigu gives you an awareness of it, this counts for things produced directly by your Teigu, and it's physical components. Such that you may know if something interacts with your Teigu directly even if that happens quite a distance from you, or that you will know the location and movement of any projectiles you produce. Not that this effect is that great without something else to enhance it, but it's enough to be aware of your traps. (Integrated into Lantern Shield)</v>
      </c>
    </row>
    <row r="35">
      <c r="A35" s="31" t="str">
        <f>IFERROR(__xludf.DUMMYFUNCTION("""COMPUTED_VALUE"""),"Chapter 104: 75 Wind Down
Incredibly Craftsmanship (Akame ga Kill) 600:
While the method of creating Teigu is long lost you are able to create things almost at their level, with some research and a couple other skilled people you might even be able to rec"&amp;"reate the lost arts that created the Teigu long ago. You also have all the skills to repair Teigu or other incredible items from near destruction.
System")</f>
        <v>Chapter 104: 75 Wind Down
Incredibly Craftsmanship (Akame ga Kill) 600:
While the method of creating Teigu is long lost you are able to create things almost at their level, with some research and a couple other skilled people you might even be able to recreate the lost arts that created the Teigu long ago. You also have all the skills to repair Teigu or other incredible items from near destruction.
System</v>
      </c>
      <c r="B35" s="17">
        <f>IFERROR(__xludf.DUMMYFUNCTION("if(len(A35)&gt;0, value(REGEXEXTRACT(A35, ""Chapter ([0-9]*):"")), """")"),104.0)</f>
        <v>104</v>
      </c>
      <c r="C35" s="31" t="str">
        <f>IFERROR(__xludf.DUMMYFUNCTION("if(len(A35) &gt;0, REGEXEXTRACT(A35, ""Chapter [0-9]*: (.*)""), """")"),"75 Wind Down")</f>
        <v>75 Wind Down</v>
      </c>
      <c r="D35" s="31" t="str">
        <f>IFERROR(__xludf.DUMMYFUNCTION("if(len(A35)&gt;0, REGEXEXTRACT(A35, ""\n[^\(]*""), """")"),"
Incredibly Craftsmanship ")</f>
        <v>
Incredibly Craftsmanship </v>
      </c>
      <c r="E35" s="17" t="str">
        <f>IFERROR(__xludf.DUMMYFUNCTION("if(len(A35)&gt;0, REGEXEXTRACT(A35, ""\n([^\n]*)$""), """")"),"System")</f>
        <v>System</v>
      </c>
      <c r="F35" s="17" t="str">
        <f>IFERROR(__xludf.DUMMYFUNCTION("if(len(A35)&gt;0, REGEXEXTRACT(A35, ""\(([^\)]*)\)""), """")"),"Akame ga Kill")</f>
        <v>Akame ga Kill</v>
      </c>
      <c r="G35" s="17" t="str">
        <f>IFERROR(__xludf.DUMMYFUNCTION("if(len(A35)&gt;0, REGEXEXTRACT(A35, ""\)([^:]*):""), """")")," 600")</f>
        <v> 600</v>
      </c>
      <c r="H35" s="31" t="str">
        <f>IFERROR(__xludf.DUMMYFUNCTION("if(len(A35) &gt; 0, JOIN(char(10), FILTER(SPLIT(A35, char(10)), split(""false false "" &amp; rept(""true "", columns(SPLIT(A35, char(10)))-3) &amp; ""false"", "" ""))), """")"),"While the method of creating Teigu is long lost you are able to create things almost at their level, with some research and a couple other skilled people you might even be able to recreate the lost arts that created the Teigu long ago. You also have all t"&amp;"he skills to repair Teigu or other incredible items from near destruction.")</f>
        <v>While the method of creating Teigu is long lost you are able to create things almost at their level, with some research and a couple other skilled people you might even be able to recreate the lost arts that created the Teigu long ago. You also have all the skills to repair Teigu or other incredible items from near destruction.</v>
      </c>
    </row>
    <row r="36">
      <c r="A36" s="31" t="str">
        <f>IFERROR(__xludf.DUMMYFUNCTION("""COMPUTED_VALUE"""),"Chapter 104: 75 Wind Down
Perfect Hair (Akame ga Kill) Free:
Your hair is perfect, no matter how long, no matter what conditions, explosions constantly around you and getting beaten into the deck of a boat by water can do nothing to your perfect hair. It'"&amp;"s never an impediment, nor will it every be damaged in a battle, even if someone shoots and hits your hair, there will be no evidence that your hair was shot. If your hairdo gets dramatically altered, it will only make you look better and take a comb and "&amp;"a moment to restore it.
Personal")</f>
        <v>Chapter 104: 75 Wind Down
Perfect Hair (Akame ga Kill) Free:
Your hair is perfect, no matter how long, no matter what conditions, explosions constantly around you and getting beaten into the deck of a boat by water can do nothing to your perfect hair. It's never an impediment, nor will it every be damaged in a battle, even if someone shoots and hits your hair, there will be no evidence that your hair was shot. If your hairdo gets dramatically altered, it will only make you look better and take a comb and a moment to restore it.
Personal</v>
      </c>
      <c r="B36" s="17">
        <f>IFERROR(__xludf.DUMMYFUNCTION("if(len(A36)&gt;0, value(REGEXEXTRACT(A36, ""Chapter ([0-9]*):"")), """")"),104.0)</f>
        <v>104</v>
      </c>
      <c r="C36" s="31" t="str">
        <f>IFERROR(__xludf.DUMMYFUNCTION("if(len(A36) &gt;0, REGEXEXTRACT(A36, ""Chapter [0-9]*: (.*)""), """")"),"75 Wind Down")</f>
        <v>75 Wind Down</v>
      </c>
      <c r="D36" s="31" t="str">
        <f>IFERROR(__xludf.DUMMYFUNCTION("if(len(A36)&gt;0, REGEXEXTRACT(A36, ""\n[^\(]*""), """")"),"
Perfect Hair ")</f>
        <v>
Perfect Hair </v>
      </c>
      <c r="E36" s="17" t="str">
        <f>IFERROR(__xludf.DUMMYFUNCTION("if(len(A36)&gt;0, REGEXEXTRACT(A36, ""\n([^\n]*)$""), """")"),"Personal")</f>
        <v>Personal</v>
      </c>
      <c r="F36" s="17" t="str">
        <f>IFERROR(__xludf.DUMMYFUNCTION("if(len(A36)&gt;0, REGEXEXTRACT(A36, ""\(([^\)]*)\)""), """")"),"Akame ga Kill")</f>
        <v>Akame ga Kill</v>
      </c>
      <c r="G36" s="17" t="str">
        <f>IFERROR(__xludf.DUMMYFUNCTION("if(len(A36)&gt;0, REGEXEXTRACT(A36, ""\)([^:]*):""), """")")," Free")</f>
        <v> Free</v>
      </c>
      <c r="H36" s="31" t="str">
        <f>IFERROR(__xludf.DUMMYFUNCTION("if(len(A36) &gt; 0, JOIN(char(10), FILTER(SPLIT(A36, char(10)), split(""false false "" &amp; rept(""true "", columns(SPLIT(A36, char(10)))-3) &amp; ""false"", "" ""))), """")"),"Your hair is perfect, no matter how long, no matter what conditions, explosions constantly around you and getting beaten into the deck of a boat by water can do nothing to your perfect hair. It's never an impediment, nor will it every be damaged in a batt"&amp;"le, even if someone shoots and hits your hair, there will be no evidence that your hair was shot. If your hairdo gets dramatically altered, it will only make you look better and take a comb and a moment to restore it.")</f>
        <v>Your hair is perfect, no matter how long, no matter what conditions, explosions constantly around you and getting beaten into the deck of a boat by water can do nothing to your perfect hair. It's never an impediment, nor will it every be damaged in a battle, even if someone shoots and hits your hair, there will be no evidence that your hair was shot. If your hairdo gets dramatically altered, it will only make you look better and take a comb and a moment to restore it.</v>
      </c>
    </row>
    <row r="37">
      <c r="A37" s="31" t="str">
        <f>IFERROR(__xludf.DUMMYFUNCTION("""COMPUTED_VALUE"""),"Chapter 104: 75 Wind Down
POWER OVERWHELMING (Personal Reality) 400:
Not enough power? Okay, this Who’s Got the Powa Upgrade means that your Personal Reality is now hooked up to the full power of a Sol-Class Star encased in a Dyson Sphere. Congratulations"&amp;", you’re now a Kardashev II civilization. If this isn’t enough power, you need an intervention.
Facility")</f>
        <v>Chapter 104: 75 Wind Down
POWER OVERWHELMING (Personal Reality) 400:
Not enough power? Okay, this Who’s Got the Powa Upgrade means that your Personal Reality is now hooked up to the full power of a Sol-Class Star encased in a Dyson Sphere. Congratulations, you’re now a Kardashev II civilization. If this isn’t enough power, you need an intervention.
Facility</v>
      </c>
      <c r="B37" s="17">
        <f>IFERROR(__xludf.DUMMYFUNCTION("if(len(A37)&gt;0, value(REGEXEXTRACT(A37, ""Chapter ([0-9]*):"")), """")"),104.0)</f>
        <v>104</v>
      </c>
      <c r="C37" s="31" t="str">
        <f>IFERROR(__xludf.DUMMYFUNCTION("if(len(A37) &gt;0, REGEXEXTRACT(A37, ""Chapter [0-9]*: (.*)""), """")"),"75 Wind Down")</f>
        <v>75 Wind Down</v>
      </c>
      <c r="D37" s="31" t="str">
        <f>IFERROR(__xludf.DUMMYFUNCTION("if(len(A37)&gt;0, REGEXEXTRACT(A37, ""\n[^\(]*""), """")"),"
POWER OVERWHELMING ")</f>
        <v>
POWER OVERWHELMING </v>
      </c>
      <c r="E37" s="17" t="str">
        <f>IFERROR(__xludf.DUMMYFUNCTION("if(len(A37)&gt;0, REGEXEXTRACT(A37, ""\n([^\n]*)$""), """")"),"Facility")</f>
        <v>Facility</v>
      </c>
      <c r="F37" s="17" t="str">
        <f>IFERROR(__xludf.DUMMYFUNCTION("if(len(A37)&gt;0, REGEXEXTRACT(A37, ""\(([^\)]*)\)""), """")"),"Personal Reality")</f>
        <v>Personal Reality</v>
      </c>
      <c r="G37" s="17" t="str">
        <f>IFERROR(__xludf.DUMMYFUNCTION("if(len(A37)&gt;0, REGEXEXTRACT(A37, ""\)([^:]*):""), """")")," 400")</f>
        <v> 400</v>
      </c>
      <c r="H37" s="31" t="str">
        <f>IFERROR(__xludf.DUMMYFUNCTION("if(len(A37) &gt; 0, JOIN(char(10), FILTER(SPLIT(A37, char(10)), split(""false false "" &amp; rept(""true "", columns(SPLIT(A37, char(10)))-3) &amp; ""false"", "" ""))), """")"),"Not enough power? Okay, this Who’s Got the Powa Upgrade means that your Personal Reality is now hooked up to the full power of a Sol-Class Star encased in a Dyson Sphere. Congratulations, you’re now a Kardashev II civilization. If this isn’t enough power,"&amp;" you need an intervention.")</f>
        <v>Not enough power? Okay, this Who’s Got the Powa Upgrade means that your Personal Reality is now hooked up to the full power of a Sol-Class Star encased in a Dyson Sphere. Congratulations, you’re now a Kardashev II civilization. If this isn’t enough power, you need an intervention.</v>
      </c>
    </row>
    <row r="38">
      <c r="A38" s="31" t="str">
        <f>IFERROR(__xludf.DUMMYFUNCTION("""COMPUTED_VALUE"""),"Chapter 104: 75 Wind Down
Simple Sturdy Weapon (Akame ga Kill) Free:
This is a simple weapon that could withstand combat against Teigu, it's nowhere near as durable, but it isn't likely to break unless faced with active effects of a Teigu. This weapon can"&amp;" be of any type you like, from guns to swords, whips to spears, gun-clubs or rifle-glaive, it could even be a pair of swords or similarly paired weapon. If you pick a gun, bow, or other projectile weapon you get a sizable amount of ammo to go with it, cer"&amp;"tain to last you a while before you need to get more. (Short Sword Chosen)
Item")</f>
        <v>Chapter 104: 75 Wind Down
Simple Sturdy Weapon (Akame ga Kill) Free:
This is a simple weapon that could withstand combat against Teigu, it's nowhere near as durable, but it isn't likely to break unless faced with active effects of a Teigu. This weapon can be of any type you like, from guns to swords, whips to spears, gun-clubs or rifle-glaive, it could even be a pair of swords or similarly paired weapon. If you pick a gun, bow, or other projectile weapon you get a sizable amount of ammo to go with it, certain to last you a while before you need to get more. (Short Sword Chosen)
Item</v>
      </c>
      <c r="B38" s="17">
        <f>IFERROR(__xludf.DUMMYFUNCTION("if(len(A38)&gt;0, value(REGEXEXTRACT(A38, ""Chapter ([0-9]*):"")), """")"),104.0)</f>
        <v>104</v>
      </c>
      <c r="C38" s="31" t="str">
        <f>IFERROR(__xludf.DUMMYFUNCTION("if(len(A38) &gt;0, REGEXEXTRACT(A38, ""Chapter [0-9]*: (.*)""), """")"),"75 Wind Down")</f>
        <v>75 Wind Down</v>
      </c>
      <c r="D38" s="31" t="str">
        <f>IFERROR(__xludf.DUMMYFUNCTION("if(len(A38)&gt;0, REGEXEXTRACT(A38, ""\n[^\(]*""), """")"),"
Simple Sturdy Weapon ")</f>
        <v>
Simple Sturdy Weapon </v>
      </c>
      <c r="E38" s="17" t="str">
        <f>IFERROR(__xludf.DUMMYFUNCTION("if(len(A38)&gt;0, REGEXEXTRACT(A38, ""\n([^\n]*)$""), """")"),"Item")</f>
        <v>Item</v>
      </c>
      <c r="F38" s="17" t="str">
        <f>IFERROR(__xludf.DUMMYFUNCTION("if(len(A38)&gt;0, REGEXEXTRACT(A38, ""\(([^\)]*)\)""), """")"),"Akame ga Kill")</f>
        <v>Akame ga Kill</v>
      </c>
      <c r="G38" s="17" t="str">
        <f>IFERROR(__xludf.DUMMYFUNCTION("if(len(A38)&gt;0, REGEXEXTRACT(A38, ""\)([^:]*):""), """")")," Free")</f>
        <v> Free</v>
      </c>
      <c r="H38" s="31" t="str">
        <f>IFERROR(__xludf.DUMMYFUNCTION("if(len(A38) &gt; 0, JOIN(char(10), FILTER(SPLIT(A38, char(10)), split(""false false "" &amp; rept(""true "", columns(SPLIT(A38, char(10)))-3) &amp; ""false"", "" ""))), """")"),"This is a simple weapon that could withstand combat against Teigu, it's nowhere near as durable, but it isn't likely to break unless faced with active effects of a Teigu. This weapon can be of any type you like, from guns to swords, whips to spears, gun-c"&amp;"lubs or rifle-glaive, it could even be a pair of swords or similarly paired weapon. If you pick a gun, bow, or other projectile weapon you get a sizable amount of ammo to go with it, certain to last you a while before you need to get more. (Short Sword Ch"&amp;"osen)")</f>
        <v>This is a simple weapon that could withstand combat against Teigu, it's nowhere near as durable, but it isn't likely to break unless faced with active effects of a Teigu. This weapon can be of any type you like, from guns to swords, whips to spears, gun-clubs or rifle-glaive, it could even be a pair of swords or similarly paired weapon. If you pick a gun, bow, or other projectile weapon you get a sizable amount of ammo to go with it, certain to last you a while before you need to get more. (Short Sword Chosen)</v>
      </c>
    </row>
    <row r="39">
      <c r="A39" s="31" t="str">
        <f>IFERROR(__xludf.DUMMYFUNCTION("""COMPUTED_VALUE"""),"Chapter 104: 75 Wind Down
Who’s Got the Powa (Personal Reality) 100:
This provides enough electricity to power a city the size of New York City or London, forever, with nary a brown out or power fluctuation ever. It also comes with all the basic wiring ho"&amp;"okups, surge protectors, outlets, circuit-breakers, routers, etc you might need… but you’ll probably want to get a qualified electrician in at some point… or pick up a companion who does that kind of thing. Purchase of this supplies all facilities inside "&amp;"your Personal Reality with electrical hookups.
Facility")</f>
        <v>Chapter 104: 75 Wind Down
Who’s Got the Powa (Personal Reality) 100:
This provides enough electricity to power a city the size of New York City or London, forever, with nary a brown out or power fluctuation ever. It also comes with all the basic wiring hookups, surge protectors, outlets, circuit-breakers, routers, etc you might need… but you’ll probably want to get a qualified electrician in at some point… or pick up a companion who does that kind of thing. Purchase of this supplies all facilities inside your Personal Reality with electrical hookups.
Facility</v>
      </c>
      <c r="B39" s="17">
        <f>IFERROR(__xludf.DUMMYFUNCTION("if(len(A39)&gt;0, value(REGEXEXTRACT(A39, ""Chapter ([0-9]*):"")), """")"),104.0)</f>
        <v>104</v>
      </c>
      <c r="C39" s="31" t="str">
        <f>IFERROR(__xludf.DUMMYFUNCTION("if(len(A39) &gt;0, REGEXEXTRACT(A39, ""Chapter [0-9]*: (.*)""), """")"),"75 Wind Down")</f>
        <v>75 Wind Down</v>
      </c>
      <c r="D39" s="31" t="str">
        <f>IFERROR(__xludf.DUMMYFUNCTION("if(len(A39)&gt;0, REGEXEXTRACT(A39, ""\n[^\(]*""), """")"),"
Who’s Got the Powa ")</f>
        <v>
Who’s Got the Powa </v>
      </c>
      <c r="E39" s="17" t="str">
        <f>IFERROR(__xludf.DUMMYFUNCTION("if(len(A39)&gt;0, REGEXEXTRACT(A39, ""\n([^\n]*)$""), """")"),"Facility")</f>
        <v>Facility</v>
      </c>
      <c r="F39" s="17" t="str">
        <f>IFERROR(__xludf.DUMMYFUNCTION("if(len(A39)&gt;0, REGEXEXTRACT(A39, ""\(([^\)]*)\)""), """")"),"Personal Reality")</f>
        <v>Personal Reality</v>
      </c>
      <c r="G39" s="17" t="str">
        <f>IFERROR(__xludf.DUMMYFUNCTION("if(len(A39)&gt;0, REGEXEXTRACT(A39, ""\)([^:]*):""), """")")," 100")</f>
        <v> 100</v>
      </c>
      <c r="H39" s="31" t="str">
        <f>IFERROR(__xludf.DUMMYFUNCTION("if(len(A39) &gt; 0, JOIN(char(10), FILTER(SPLIT(A39, char(10)), split(""false false "" &amp; rept(""true "", columns(SPLIT(A39, char(10)))-3) &amp; ""false"", "" ""))), """")"),"This provides enough electricity to power a city the size of New York City or London, forever, with nary a brown out or power fluctuation ever. It also comes with all the basic wiring hookups, surge protectors, outlets, circuit-breakers, routers, etc you "&amp;"might need… but you’ll probably want to get a qualified electrician in at some point… or pick up a companion who does that kind of thing. Purchase of this supplies all facilities inside your Personal Reality with electrical hookups.")</f>
        <v>This provides enough electricity to power a city the size of New York City or London, forever, with nary a brown out or power fluctuation ever. It also comes with all the basic wiring hookups, surge protectors, outlets, circuit-breakers, routers, etc you might need… but you’ll probably want to get a qualified electrician in at some point… or pick up a companion who does that kind of thing. Purchase of this supplies all facilities inside your Personal Reality with electrical hookups.</v>
      </c>
    </row>
    <row r="40">
      <c r="A40" s="31" t="str">
        <f>IFERROR(__xludf.DUMMYFUNCTION("""COMPUTED_VALUE"""),"Chapter 108: 77 Determination - Preamble Mimi
Catsuit (Totally Spies/Martin Mystery) Free:
A nearly skintight catsuit in a color of your choice.
Item")</f>
        <v>Chapter 108: 77 Determination - Preamble Mimi
Catsuit (Totally Spies/Martin Mystery) Free:
A nearly skintight catsuit in a color of your choice.
Item</v>
      </c>
      <c r="B40" s="17">
        <f>IFERROR(__xludf.DUMMYFUNCTION("if(len(A40)&gt;0, value(REGEXEXTRACT(A40, ""Chapter ([0-9]*):"")), """")"),108.0)</f>
        <v>108</v>
      </c>
      <c r="C40" s="31" t="str">
        <f>IFERROR(__xludf.DUMMYFUNCTION("if(len(A40) &gt;0, REGEXEXTRACT(A40, ""Chapter [0-9]*: (.*)""), """")"),"77 Determination - Preamble Mimi")</f>
        <v>77 Determination - Preamble Mimi</v>
      </c>
      <c r="D40" s="31" t="str">
        <f>IFERROR(__xludf.DUMMYFUNCTION("if(len(A40)&gt;0, REGEXEXTRACT(A40, ""\n[^\(]*""), """")"),"
Catsuit ")</f>
        <v>
Catsuit </v>
      </c>
      <c r="E40" s="17" t="str">
        <f>IFERROR(__xludf.DUMMYFUNCTION("if(len(A40)&gt;0, REGEXEXTRACT(A40, ""\n([^\n]*)$""), """")"),"Item")</f>
        <v>Item</v>
      </c>
      <c r="F40" s="17" t="str">
        <f>IFERROR(__xludf.DUMMYFUNCTION("if(len(A40)&gt;0, REGEXEXTRACT(A40, ""\(([^\)]*)\)""), """")"),"Totally Spies/Martin Mystery")</f>
        <v>Totally Spies/Martin Mystery</v>
      </c>
      <c r="G40" s="17" t="str">
        <f>IFERROR(__xludf.DUMMYFUNCTION("if(len(A40)&gt;0, REGEXEXTRACT(A40, ""\)([^:]*):""), """")")," Free")</f>
        <v> Free</v>
      </c>
      <c r="H40" s="31" t="str">
        <f>IFERROR(__xludf.DUMMYFUNCTION("if(len(A40) &gt; 0, JOIN(char(10), FILTER(SPLIT(A40, char(10)), split(""false false "" &amp; rept(""true "", columns(SPLIT(A40, char(10)))-3) &amp; ""false"", "" ""))), """")"),"A nearly skintight catsuit in a color of your choice.")</f>
        <v>A nearly skintight catsuit in a color of your choice.</v>
      </c>
    </row>
    <row r="41">
      <c r="A41" s="31" t="str">
        <f>IFERROR(__xludf.DUMMYFUNCTION("""COMPUTED_VALUE"""),"Chapter 108: 77 Determination - Preamble Mimi
Gadgeteer (Totally Spies/Martin Mystery) 600:
Not only do you have the knowledge and resources to produce all of WOOHP and the Center's gadgets quickly and efficiently, but you'll never run out of ideas for ne"&amp;"w gadgets, and you'll be able to incorporate any other technologies you know seamlessly
System")</f>
        <v>Chapter 108: 77 Determination - Preamble Mimi
Gadgeteer (Totally Spies/Martin Mystery) 600:
Not only do you have the knowledge and resources to produce all of WOOHP and the Center's gadgets quickly and efficiently, but you'll never run out of ideas for new gadgets, and you'll be able to incorporate any other technologies you know seamlessly
System</v>
      </c>
      <c r="B41" s="17">
        <f>IFERROR(__xludf.DUMMYFUNCTION("if(len(A41)&gt;0, value(REGEXEXTRACT(A41, ""Chapter ([0-9]*):"")), """")"),108.0)</f>
        <v>108</v>
      </c>
      <c r="C41" s="31" t="str">
        <f>IFERROR(__xludf.DUMMYFUNCTION("if(len(A41) &gt;0, REGEXEXTRACT(A41, ""Chapter [0-9]*: (.*)""), """")"),"77 Determination - Preamble Mimi")</f>
        <v>77 Determination - Preamble Mimi</v>
      </c>
      <c r="D41" s="31" t="str">
        <f>IFERROR(__xludf.DUMMYFUNCTION("if(len(A41)&gt;0, REGEXEXTRACT(A41, ""\n[^\(]*""), """")"),"
Gadgeteer ")</f>
        <v>
Gadgeteer </v>
      </c>
      <c r="E41" s="17" t="str">
        <f>IFERROR(__xludf.DUMMYFUNCTION("if(len(A41)&gt;0, REGEXEXTRACT(A41, ""\n([^\n]*)$""), """")"),"System")</f>
        <v>System</v>
      </c>
      <c r="F41" s="17" t="str">
        <f>IFERROR(__xludf.DUMMYFUNCTION("if(len(A41)&gt;0, REGEXEXTRACT(A41, ""\(([^\)]*)\)""), """")"),"Totally Spies/Martin Mystery")</f>
        <v>Totally Spies/Martin Mystery</v>
      </c>
      <c r="G41" s="17" t="str">
        <f>IFERROR(__xludf.DUMMYFUNCTION("if(len(A41)&gt;0, REGEXEXTRACT(A41, ""\)([^:]*):""), """")")," 600")</f>
        <v> 600</v>
      </c>
      <c r="H41" s="31" t="str">
        <f>IFERROR(__xludf.DUMMYFUNCTION("if(len(A41) &gt; 0, JOIN(char(10), FILTER(SPLIT(A41, char(10)), split(""false false "" &amp; rept(""true "", columns(SPLIT(A41, char(10)))-3) &amp; ""false"", "" ""))), """")"),"Not only do you have the knowledge and resources to produce all of WOOHP and the Center's gadgets quickly and efficiently, but you'll never run out of ideas for new gadgets, and you'll be able to incorporate any other technologies you know seamlessly")</f>
        <v>Not only do you have the knowledge and resources to produce all of WOOHP and the Center's gadgets quickly and efficiently, but you'll never run out of ideas for new gadgets, and you'll be able to incorporate any other technologies you know seamlessly</v>
      </c>
    </row>
    <row r="42">
      <c r="A42" s="31" t="str">
        <f>IFERROR(__xludf.DUMMYFUNCTION("""COMPUTED_VALUE"""),"Chapter 109: 78 Consolidation
Additional Space (Personal Reality) 200:
This Starting Space Upgrade expands your Personal Reality by a factor of 10 in each dimension… or rather the standard three dimensions, you rabid cheeselord. This can be purchased mult"&amp;"iple times. Additional Space also upgrades various expansion options. The first purchase of this brings you to 64 Million Cubic Meters, then 64 Billion Cubic Meters, then 64 Trillion Cubic Meters. Earth’s volume, for reference, is 1 Hexillion Cubic Meters"&amp;" and it’s surface area is 510 Quadrillion Square Meters. Cover the Earth in storage facilities 100 meters high and you get 51 Quintillion Cubic Meters of Storage space.
Facility")</f>
        <v>Chapter 109: 78 Consolidation
Additional Space (Personal Reality) 200:
This Starting Space Upgrade expands your Personal Reality by a factor of 10 in each dimension… or rather the standard three dimensions, you rabid cheeselord. This can be purchased multiple times. Additional Space also upgrades various expansion options. The first purchase of this brings you to 64 Million Cubic Meters, then 64 Billion Cubic Meters, then 64 Trillion Cubic Meters. Earth’s volume, for reference, is 1 Hexillion Cubic Meters and it’s surface area is 510 Quadrillion Square Meters. Cover the Earth in storage facilities 100 meters high and you get 51 Quintillion Cubic Meters of Storage space.
Facility</v>
      </c>
      <c r="B42" s="17">
        <f>IFERROR(__xludf.DUMMYFUNCTION("if(len(A42)&gt;0, value(REGEXEXTRACT(A42, ""Chapter ([0-9]*):"")), """")"),109.0)</f>
        <v>109</v>
      </c>
      <c r="C42" s="31" t="str">
        <f>IFERROR(__xludf.DUMMYFUNCTION("if(len(A42) &gt;0, REGEXEXTRACT(A42, ""Chapter [0-9]*: (.*)""), """")"),"78 Consolidation")</f>
        <v>78 Consolidation</v>
      </c>
      <c r="D42" s="31" t="str">
        <f>IFERROR(__xludf.DUMMYFUNCTION("if(len(A42)&gt;0, REGEXEXTRACT(A42, ""\n[^\(]*""), """")"),"
Additional Space ")</f>
        <v>
Additional Space </v>
      </c>
      <c r="E42" s="17" t="str">
        <f>IFERROR(__xludf.DUMMYFUNCTION("if(len(A42)&gt;0, REGEXEXTRACT(A42, ""\n([^\n]*)$""), """")"),"Facility")</f>
        <v>Facility</v>
      </c>
      <c r="F42" s="17" t="str">
        <f>IFERROR(__xludf.DUMMYFUNCTION("if(len(A42)&gt;0, REGEXEXTRACT(A42, ""\(([^\)]*)\)""), """")"),"Personal Reality")</f>
        <v>Personal Reality</v>
      </c>
      <c r="G42" s="17" t="str">
        <f>IFERROR(__xludf.DUMMYFUNCTION("if(len(A42)&gt;0, REGEXEXTRACT(A42, ""\)([^:]*):""), """")")," 200")</f>
        <v> 200</v>
      </c>
      <c r="H42" s="31" t="str">
        <f>IFERROR(__xludf.DUMMYFUNCTION("if(len(A42) &gt; 0, JOIN(char(10), FILTER(SPLIT(A42, char(10)), split(""false false "" &amp; rept(""true "", columns(SPLIT(A42, char(10)))-3) &amp; ""false"", "" ""))), """")"),"This Starting Space Upgrade expands your Personal Reality by a factor of 10 in each dimension… or rather the standard three dimensions, you rabid cheeselord. This can be purchased multiple times. Additional Space also upgrades various expansion options. T"&amp;"he first purchase of this brings you to 64 Million Cubic Meters, then 64 Billion Cubic Meters, then 64 Trillion Cubic Meters. Earth’s volume, for reference, is 1 Hexillion Cubic Meters and it’s surface area is 510 Quadrillion Square Meters. Cover the Eart"&amp;"h in storage facilities 100 meters high and you get 51 Quintillion Cubic Meters of Storage space.")</f>
        <v>This Starting Space Upgrade expands your Personal Reality by a factor of 10 in each dimension… or rather the standard three dimensions, you rabid cheeselord. This can be purchased multiple times. Additional Space also upgrades various expansion options. The first purchase of this brings you to 64 Million Cubic Meters, then 64 Billion Cubic Meters, then 64 Trillion Cubic Meters. Earth’s volume, for reference, is 1 Hexillion Cubic Meters and it’s surface area is 510 Quadrillion Square Meters. Cover the Earth in storage facilities 100 meters high and you get 51 Quintillion Cubic Meters of Storage space.</v>
      </c>
    </row>
    <row r="43">
      <c r="A43" s="31" t="str">
        <f>IFERROR(__xludf.DUMMYFUNCTION("""COMPUTED_VALUE"""),"Chapter 109: 78 Consolidation
Workshop: Robotics (Personal Reality) 100:
Each purchase of this adds to your Personal Reality Workshop needed to perform specific type of craft, which is to be specified when purchase is made. It comes with a basic set of to"&amp;"ols and supplies. Good for fixing or creating all sorts of things, although any complex parts or nonstandard supplies will have to be brought in from outside. Additional purchases can add different types of Workshops to your Personal Reality or expand exi"&amp;"sting ones. Anything built in one of those workshops is fiat backed to be restored to its original condition within 48 hours if damaged or destroyed.
Facility")</f>
        <v>Chapter 109: 78 Consolidation
Workshop: Robotics (Personal Reality) 100:
Each purchase of this adds to your Personal Reality Workshop needed to perform specific type of craft, which is to be specified when purchase is made. It comes with a basic set of tools and supplies. Good for fixing or creating all sorts of things, although any complex parts or nonstandard supplies will have to be brought in from outside. Additional purchases can add different types of Workshops to your Personal Reality or expand existing ones. Anything built in one of those workshops is fiat backed to be restored to its original condition within 48 hours if damaged or destroyed.
Facility</v>
      </c>
      <c r="B43" s="17">
        <f>IFERROR(__xludf.DUMMYFUNCTION("if(len(A43)&gt;0, value(REGEXEXTRACT(A43, ""Chapter ([0-9]*):"")), """")"),109.0)</f>
        <v>109</v>
      </c>
      <c r="C43" s="31" t="str">
        <f>IFERROR(__xludf.DUMMYFUNCTION("if(len(A43) &gt;0, REGEXEXTRACT(A43, ""Chapter [0-9]*: (.*)""), """")"),"78 Consolidation")</f>
        <v>78 Consolidation</v>
      </c>
      <c r="D43" s="31" t="str">
        <f>IFERROR(__xludf.DUMMYFUNCTION("if(len(A43)&gt;0, REGEXEXTRACT(A43, ""\n[^\(]*""), """")"),"
Workshop: Robotics ")</f>
        <v>
Workshop: Robotics </v>
      </c>
      <c r="E43" s="17" t="str">
        <f>IFERROR(__xludf.DUMMYFUNCTION("if(len(A43)&gt;0, REGEXEXTRACT(A43, ""\n([^\n]*)$""), """")"),"Facility")</f>
        <v>Facility</v>
      </c>
      <c r="F43" s="17" t="str">
        <f>IFERROR(__xludf.DUMMYFUNCTION("if(len(A43)&gt;0, REGEXEXTRACT(A43, ""\(([^\)]*)\)""), """")"),"Personal Reality")</f>
        <v>Personal Reality</v>
      </c>
      <c r="G43" s="17" t="str">
        <f>IFERROR(__xludf.DUMMYFUNCTION("if(len(A43)&gt;0, REGEXEXTRACT(A43, ""\)([^:]*):""), """")")," 100")</f>
        <v> 100</v>
      </c>
      <c r="H43" s="31" t="str">
        <f>IFERROR(__xludf.DUMMYFUNCTION("if(len(A43) &gt; 0, JOIN(char(10), FILTER(SPLIT(A43, char(10)), split(""false false "" &amp; rept(""true "", columns(SPLIT(A43, char(10)))-3) &amp; ""false"", "" ""))), """")"),"Each purchase of this adds to your Personal Reality Workshop needed to perform specific type of craft, which is to be specified when purchase is made. It comes with a basic set of tools and supplies. Good for fixing or creating all sorts of things, althou"&amp;"gh any complex parts or nonstandard supplies will have to be brought in from outside. Additional purchases can add different types of Workshops to your Personal Reality or expand existing ones. Anything built in one of those workshops is fiat backed to be"&amp;" restored to its original condition within 48 hours if damaged or destroyed.")</f>
        <v>Each purchase of this adds to your Personal Reality Workshop needed to perform specific type of craft, which is to be specified when purchase is made. It comes with a basic set of tools and supplies. Good for fixing or creating all sorts of things, although any complex parts or nonstandard supplies will have to be brought in from outside. Additional purchases can add different types of Workshops to your Personal Reality or expand existing ones. Anything built in one of those workshops is fiat backed to be restored to its original condition within 48 hours if damaged or destroyed.</v>
      </c>
    </row>
    <row r="44">
      <c r="A44" s="31" t="str">
        <f>IFERROR(__xludf.DUMMYFUNCTION("""COMPUTED_VALUE"""),"Chapter 110: 79 Preliminary Work
Core Ability - Amp Core (Titanfall) Free:
A Titan’s core ability is essentially it’s trump card. Far too powerful to be charged off of standard munitions, a core is charged off of excess power from the Titan’s reactor core"&amp;" until it is ready to be unleashed. Once activated, the Titan must be committed to using it, otherwise the excess energy will fry it’s internal systems.
Amp Core - Some Pilots don’t want fancy attacks or extra missiles. Instead, they’d simply rather their"&amp;" Titan’s performance was boosted for a set period of time. The Amp Core provides this. A single parameter of the Titan may be boosted or extended for a set period of time, such as increasing the strength of bodyshields massively or granted indefinite dash"&amp;"ing for a short period. Titan accuracy may be boosted, or firing rate may be increased, as examples.
Vehicle")</f>
        <v>Chapter 110: 79 Preliminary Work
Core Ability - Amp Core (Titanfall) Free:
A Titan’s core ability is essentially it’s trump card. Far too powerful to be charged off of standard munitions, a core is charged off of excess power from the Titan’s reactor core until it is ready to be unleashed. Once activated, the Titan must be committed to using it, otherwise the excess energy will fry it’s internal systems.
Amp Core - Some Pilots don’t want fancy attacks or extra missiles. Instead, they’d simply rather their Titan’s performance was boosted for a set period of time. The Amp Core provides this. A single parameter of the Titan may be boosted or extended for a set period of time, such as increasing the strength of bodyshields massively or granted indefinite dashing for a short period. Titan accuracy may be boosted, or firing rate may be increased, as examples.
Vehicle</v>
      </c>
      <c r="B44" s="17">
        <f>IFERROR(__xludf.DUMMYFUNCTION("if(len(A44)&gt;0, value(REGEXEXTRACT(A44, ""Chapter ([0-9]*):"")), """")"),110.0)</f>
        <v>110</v>
      </c>
      <c r="C44" s="31" t="str">
        <f>IFERROR(__xludf.DUMMYFUNCTION("if(len(A44) &gt;0, REGEXEXTRACT(A44, ""Chapter [0-9]*: (.*)""), """")"),"79 Preliminary Work")</f>
        <v>79 Preliminary Work</v>
      </c>
      <c r="D44" s="31" t="str">
        <f>IFERROR(__xludf.DUMMYFUNCTION("if(len(A44)&gt;0, REGEXEXTRACT(A44, ""\n[^\(]*""), """")"),"
Core Ability - Amp Core ")</f>
        <v>
Core Ability - Amp Core </v>
      </c>
      <c r="E44" s="17" t="str">
        <f>IFERROR(__xludf.DUMMYFUNCTION("if(len(A44)&gt;0, REGEXEXTRACT(A44, ""\n([^\n]*)$""), """")"),"Vehicle")</f>
        <v>Vehicle</v>
      </c>
      <c r="F44" s="17" t="str">
        <f>IFERROR(__xludf.DUMMYFUNCTION("if(len(A44)&gt;0, REGEXEXTRACT(A44, ""\(([^\)]*)\)""), """")"),"Titanfall")</f>
        <v>Titanfall</v>
      </c>
      <c r="G44" s="17" t="str">
        <f>IFERROR(__xludf.DUMMYFUNCTION("if(len(A44)&gt;0, REGEXEXTRACT(A44, ""\)([^:]*):""), """")")," Free")</f>
        <v> Free</v>
      </c>
      <c r="H44" s="31" t="str">
        <f>IFERROR(__xludf.DUMMYFUNCTION("if(len(A44) &gt; 0, JOIN(char(10), FILTER(SPLIT(A44, char(10)), split(""false false "" &amp; rept(""true "", columns(SPLIT(A44, char(10)))-3) &amp; ""false"", "" ""))), """")"),"A Titan’s core ability is essentially it’s trump card. Far too powerful to be charged off of standard munitions, a core is charged off of excess power from the Titan’s reactor core until it is ready to be unleashed. Once activated, the Titan must be commi"&amp;"tted to using it, otherwise the excess energy will fry it’s internal systems.
Amp Core - Some Pilots don’t want fancy attacks or extra missiles. Instead, they’d simply rather their Titan’s performance was boosted for a set period of time. The Amp Core pro"&amp;"vides this. A single parameter of the Titan may be boosted or extended for a set period of time, such as increasing the strength of bodyshields massively or granted indefinite dashing for a short period. Titan accuracy may be boosted, or firing rate may b"&amp;"e increased, as examples.")</f>
        <v>A Titan’s core ability is essentially it’s trump card. Far too powerful to be charged off of standard munitions, a core is charged off of excess power from the Titan’s reactor core until it is ready to be unleashed. Once activated, the Titan must be committed to using it, otherwise the excess energy will fry it’s internal systems.
Amp Core - Some Pilots don’t want fancy attacks or extra missiles. Instead, they’d simply rather their Titan’s performance was boosted for a set period of time. The Amp Core provides this. A single parameter of the Titan may be boosted or extended for a set period of time, such as increasing the strength of bodyshields massively or granted indefinite dashing for a short period. Titan accuracy may be boosted, or firing rate may be increased, as examples.</v>
      </c>
    </row>
    <row r="45">
      <c r="A45" s="31" t="str">
        <f>IFERROR(__xludf.DUMMYFUNCTION("""COMPUTED_VALUE"""),"Chapter 110: 79 Preliminary Work
Loft (Personal Reality) Free: 
What’s the point of having a room 10 meters tall if you can’t build upwards. Feel free to stack things up to the ceiling if you like.
Facility")</f>
        <v>Chapter 110: 79 Preliminary Work
Loft (Personal Reality) Free: 
What’s the point of having a room 10 meters tall if you can’t build upwards. Feel free to stack things up to the ceiling if you like.
Facility</v>
      </c>
      <c r="B45" s="17">
        <f>IFERROR(__xludf.DUMMYFUNCTION("if(len(A45)&gt;0, value(REGEXEXTRACT(A45, ""Chapter ([0-9]*):"")), """")"),110.0)</f>
        <v>110</v>
      </c>
      <c r="C45" s="31" t="str">
        <f>IFERROR(__xludf.DUMMYFUNCTION("if(len(A45) &gt;0, REGEXEXTRACT(A45, ""Chapter [0-9]*: (.*)""), """")"),"79 Preliminary Work")</f>
        <v>79 Preliminary Work</v>
      </c>
      <c r="D45" s="31" t="str">
        <f>IFERROR(__xludf.DUMMYFUNCTION("if(len(A45)&gt;0, REGEXEXTRACT(A45, ""\n[^\(]*""), """")"),"
Loft ")</f>
        <v>
Loft </v>
      </c>
      <c r="E45" s="17" t="str">
        <f>IFERROR(__xludf.DUMMYFUNCTION("if(len(A45)&gt;0, REGEXEXTRACT(A45, ""\n([^\n]*)$""), """")"),"Facility")</f>
        <v>Facility</v>
      </c>
      <c r="F45" s="17" t="str">
        <f>IFERROR(__xludf.DUMMYFUNCTION("if(len(A45)&gt;0, REGEXEXTRACT(A45, ""\(([^\)]*)\)""), """")"),"Personal Reality")</f>
        <v>Personal Reality</v>
      </c>
      <c r="G45" s="17" t="str">
        <f>IFERROR(__xludf.DUMMYFUNCTION("if(len(A45)&gt;0, REGEXEXTRACT(A45, ""\)([^:]*):""), """")")," Free")</f>
        <v> Free</v>
      </c>
      <c r="H45" s="31" t="str">
        <f>IFERROR(__xludf.DUMMYFUNCTION("if(len(A45) &gt; 0, JOIN(char(10), FILTER(SPLIT(A45, char(10)), split(""false false "" &amp; rept(""true "", columns(SPLIT(A45, char(10)))-3) &amp; ""false"", "" ""))), """")"),"What’s the point of having a room 10 meters tall if you can’t build upwards. Feel free to stack things up to the ceiling if you like.")</f>
        <v>What’s the point of having a room 10 meters tall if you can’t build upwards. Feel free to stack things up to the ceiling if you like.</v>
      </c>
    </row>
    <row r="46">
      <c r="A46" s="31" t="str">
        <f>IFERROR(__xludf.DUMMYFUNCTION("""COMPUTED_VALUE"""),"Chapter 110: 79 Preliminary Work
Lofty Loft (Personal Reality) 100:
Is it depressing having your home surrounded by storage space? You gain an area the same size as your starting space that is reserved entirely for housing and luxury facilities, such as p"&amp;"ools and sports fields. It is situated either next to your Cosmic Warehouse or above your Cosmic Warehouse. Separate purchases of Additional Space applied to it instead of Cosmic Warehouse can be used to expand it. You’ll have to decide if Warehouse mods "&amp;"from jumps are applied to the Lofty Loft or the Cosmic Warehouse.
Facility")</f>
        <v>Chapter 110: 79 Preliminary Work
Lofty Loft (Personal Reality) 100:
Is it depressing having your home surrounded by storage space? You gain an area the same size as your starting space that is reserved entirely for housing and luxury facilities, such as pools and sports fields. It is situated either next to your Cosmic Warehouse or above your Cosmic Warehouse. Separate purchases of Additional Space applied to it instead of Cosmic Warehouse can be used to expand it. You’ll have to decide if Warehouse mods from jumps are applied to the Lofty Loft or the Cosmic Warehouse.
Facility</v>
      </c>
      <c r="B46" s="17">
        <f>IFERROR(__xludf.DUMMYFUNCTION("if(len(A46)&gt;0, value(REGEXEXTRACT(A46, ""Chapter ([0-9]*):"")), """")"),110.0)</f>
        <v>110</v>
      </c>
      <c r="C46" s="31" t="str">
        <f>IFERROR(__xludf.DUMMYFUNCTION("if(len(A46) &gt;0, REGEXEXTRACT(A46, ""Chapter [0-9]*: (.*)""), """")"),"79 Preliminary Work")</f>
        <v>79 Preliminary Work</v>
      </c>
      <c r="D46" s="31" t="str">
        <f>IFERROR(__xludf.DUMMYFUNCTION("if(len(A46)&gt;0, REGEXEXTRACT(A46, ""\n[^\(]*""), """")"),"
Lofty Loft ")</f>
        <v>
Lofty Loft </v>
      </c>
      <c r="E46" s="17" t="str">
        <f>IFERROR(__xludf.DUMMYFUNCTION("if(len(A46)&gt;0, REGEXEXTRACT(A46, ""\n([^\n]*)$""), """")"),"Facility")</f>
        <v>Facility</v>
      </c>
      <c r="F46" s="17" t="str">
        <f>IFERROR(__xludf.DUMMYFUNCTION("if(len(A46)&gt;0, REGEXEXTRACT(A46, ""\(([^\)]*)\)""), """")"),"Personal Reality")</f>
        <v>Personal Reality</v>
      </c>
      <c r="G46" s="17" t="str">
        <f>IFERROR(__xludf.DUMMYFUNCTION("if(len(A46)&gt;0, REGEXEXTRACT(A46, ""\)([^:]*):""), """")")," 100")</f>
        <v> 100</v>
      </c>
      <c r="H46" s="31" t="str">
        <f>IFERROR(__xludf.DUMMYFUNCTION("if(len(A46) &gt; 0, JOIN(char(10), FILTER(SPLIT(A46, char(10)), split(""false false "" &amp; rept(""true "", columns(SPLIT(A46, char(10)))-3) &amp; ""false"", "" ""))), """")"),"Is it depressing having your home surrounded by storage space? You gain an area the same size as your starting space that is reserved entirely for housing and luxury facilities, such as pools and sports fields. It is situated either next to your Cosmic Wa"&amp;"rehouse or above your Cosmic Warehouse. Separate purchases of Additional Space applied to it instead of Cosmic Warehouse can be used to expand it. You’ll have to decide if Warehouse mods from jumps are applied to the Lofty Loft or the Cosmic Warehouse.")</f>
        <v>Is it depressing having your home surrounded by storage space? You gain an area the same size as your starting space that is reserved entirely for housing and luxury facilities, such as pools and sports fields. It is situated either next to your Cosmic Warehouse or above your Cosmic Warehouse. Separate purchases of Additional Space applied to it instead of Cosmic Warehouse can be used to expand it. You’ll have to decide if Warehouse mods from jumps are applied to the Lofty Loft or the Cosmic Warehouse.</v>
      </c>
    </row>
    <row r="47">
      <c r="A47" s="31" t="str">
        <f>IFERROR(__xludf.DUMMYFUNCTION("""COMPUTED_VALUE"""),"Chapter 110: 79 Preliminary Work
Oi! (Titanfall) Free:
The funny thing about accents is how divisive they are on the frontier. The IMC troops- who come from the Core Systems, all speak with a very distinct British accent. Meanwhile, the Militia have stron"&amp;"g American accents, and strangely, any ex-IMC defectors seem to lose the accent in a matter of weeks. Now, you have the ability to alter your own accent, which seems to spread like wildfire to anyone that follows you, so it becomes an identifier of your f"&amp;"action.
Ability")</f>
        <v>Chapter 110: 79 Preliminary Work
Oi! (Titanfall) Free:
The funny thing about accents is how divisive they are on the frontier. The IMC troops- who come from the Core Systems, all speak with a very distinct British accent. Meanwhile, the Militia have strong American accents, and strangely, any ex-IMC defectors seem to lose the accent in a matter of weeks. Now, you have the ability to alter your own accent, which seems to spread like wildfire to anyone that follows you, so it becomes an identifier of your faction.
Ability</v>
      </c>
      <c r="B47" s="17">
        <f>IFERROR(__xludf.DUMMYFUNCTION("if(len(A47)&gt;0, value(REGEXEXTRACT(A47, ""Chapter ([0-9]*):"")), """")"),110.0)</f>
        <v>110</v>
      </c>
      <c r="C47" s="31" t="str">
        <f>IFERROR(__xludf.DUMMYFUNCTION("if(len(A47) &gt;0, REGEXEXTRACT(A47, ""Chapter [0-9]*: (.*)""), """")"),"79 Preliminary Work")</f>
        <v>79 Preliminary Work</v>
      </c>
      <c r="D47" s="31" t="str">
        <f>IFERROR(__xludf.DUMMYFUNCTION("if(len(A47)&gt;0, REGEXEXTRACT(A47, ""\n[^\(]*""), """")"),"
Oi! ")</f>
        <v>
Oi! </v>
      </c>
      <c r="E47" s="17" t="str">
        <f>IFERROR(__xludf.DUMMYFUNCTION("if(len(A47)&gt;0, REGEXEXTRACT(A47, ""\n([^\n]*)$""), """")"),"Ability")</f>
        <v>Ability</v>
      </c>
      <c r="F47" s="17" t="str">
        <f>IFERROR(__xludf.DUMMYFUNCTION("if(len(A47)&gt;0, REGEXEXTRACT(A47, ""\(([^\)]*)\)""), """")"),"Titanfall")</f>
        <v>Titanfall</v>
      </c>
      <c r="G47" s="17" t="str">
        <f>IFERROR(__xludf.DUMMYFUNCTION("if(len(A47)&gt;0, REGEXEXTRACT(A47, ""\)([^:]*):""), """")")," Free")</f>
        <v> Free</v>
      </c>
      <c r="H47" s="31" t="str">
        <f>IFERROR(__xludf.DUMMYFUNCTION("if(len(A47) &gt; 0, JOIN(char(10), FILTER(SPLIT(A47, char(10)), split(""false false "" &amp; rept(""true "", columns(SPLIT(A47, char(10)))-3) &amp; ""false"", "" ""))), """")"),"The funny thing about accents is how divisive they are on the frontier. The IMC troops- who come from the Core Systems, all speak with a very distinct British accent. Meanwhile, the Militia have strong American accents, and strangely, any ex-IMC defectors"&amp;" seem to lose the accent in a matter of weeks. Now, you have the ability to alter your own accent, which seems to spread like wildfire to anyone that follows you, so it becomes an identifier of your faction.")</f>
        <v>The funny thing about accents is how divisive they are on the frontier. The IMC troops- who come from the Core Systems, all speak with a very distinct British accent. Meanwhile, the Militia have strong American accents, and strangely, any ex-IMC defectors seem to lose the accent in a matter of weeks. Now, you have the ability to alter your own accent, which seems to spread like wildfire to anyone that follows you, so it becomes an identifier of your faction.</v>
      </c>
    </row>
    <row r="48">
      <c r="A48" s="31" t="str">
        <f>IFERROR(__xludf.DUMMYFUNCTION("""COMPUTED_VALUE"""),"Chapter 110: 79 Preliminary Work
Underside (Personal Reality) 200:
This allows you to create Basement Spaces in your Personal Reality. The maximum volume of all ‘underground’ spaces is equal to ½ the volume of your Personal Reality, but these spaces need "&amp;"not be contiguous. Connections such as chutes, corridors, or elevator shafts are not counted for that total unless you start trying to cheese it by creating an infinitely long corridor to store things in.
Facility")</f>
        <v>Chapter 110: 79 Preliminary Work
Underside (Personal Reality) 200:
This allows you to create Basement Spaces in your Personal Reality. The maximum volume of all ‘underground’ spaces is equal to ½ the volume of your Personal Reality, but these spaces need not be contiguous. Connections such as chutes, corridors, or elevator shafts are not counted for that total unless you start trying to cheese it by creating an infinitely long corridor to store things in.
Facility</v>
      </c>
      <c r="B48" s="17">
        <f>IFERROR(__xludf.DUMMYFUNCTION("if(len(A48)&gt;0, value(REGEXEXTRACT(A48, ""Chapter ([0-9]*):"")), """")"),110.0)</f>
        <v>110</v>
      </c>
      <c r="C48" s="31" t="str">
        <f>IFERROR(__xludf.DUMMYFUNCTION("if(len(A48) &gt;0, REGEXEXTRACT(A48, ""Chapter [0-9]*: (.*)""), """")"),"79 Preliminary Work")</f>
        <v>79 Preliminary Work</v>
      </c>
      <c r="D48" s="31" t="str">
        <f>IFERROR(__xludf.DUMMYFUNCTION("if(len(A48)&gt;0, REGEXEXTRACT(A48, ""\n[^\(]*""), """")"),"
Underside ")</f>
        <v>
Underside </v>
      </c>
      <c r="E48" s="17" t="str">
        <f>IFERROR(__xludf.DUMMYFUNCTION("if(len(A48)&gt;0, REGEXEXTRACT(A48, ""\n([^\n]*)$""), """")"),"Facility")</f>
        <v>Facility</v>
      </c>
      <c r="F48" s="17" t="str">
        <f>IFERROR(__xludf.DUMMYFUNCTION("if(len(A48)&gt;0, REGEXEXTRACT(A48, ""\(([^\)]*)\)""), """")"),"Personal Reality")</f>
        <v>Personal Reality</v>
      </c>
      <c r="G48" s="17" t="str">
        <f>IFERROR(__xludf.DUMMYFUNCTION("if(len(A48)&gt;0, REGEXEXTRACT(A48, ""\)([^:]*):""), """")")," 200")</f>
        <v> 200</v>
      </c>
      <c r="H48" s="31" t="str">
        <f>IFERROR(__xludf.DUMMYFUNCTION("if(len(A48) &gt; 0, JOIN(char(10), FILTER(SPLIT(A48, char(10)), split(""false false "" &amp; rept(""true "", columns(SPLIT(A48, char(10)))-3) &amp; ""false"", "" ""))), """")"),"This allows you to create Basement Spaces in your Personal Reality. The maximum volume of all ‘underground’ spaces is equal to ½ the volume of your Personal Reality, but these spaces need not be contiguous. Connections such as chutes, corridors, or elevat"&amp;"or shafts are not counted for that total unless you start trying to cheese it by creating an infinitely long corridor to store things in.")</f>
        <v>This allows you to create Basement Spaces in your Personal Reality. The maximum volume of all ‘underground’ spaces is equal to ½ the volume of your Personal Reality, but these spaces need not be contiguous. Connections such as chutes, corridors, or elevator shafts are not counted for that total unless you start trying to cheese it by creating an infinitely long corridor to store things in.</v>
      </c>
    </row>
    <row r="49">
      <c r="A49" s="31" t="str">
        <f>IFERROR(__xludf.DUMMYFUNCTION("""COMPUTED_VALUE"""),"Chapter 110: 79 Preliminary Work
What's This Do? (Titanfall) 200:
The technology used in the frontier can be so complex and advanced it takes years for even the most brilliant minds to understand. Really now? That's good, you needed something to do after "&amp;"lunch today. Now, even if your in a dropship in the middle of a fire fight, you can decipher the inner workings of technology so long as you have the controls to scre- I mean analyze.
Analysis")</f>
        <v>Chapter 110: 79 Preliminary Work
What's This Do? (Titanfall) 200:
The technology used in the frontier can be so complex and advanced it takes years for even the most brilliant minds to understand. Really now? That's good, you needed something to do after lunch today. Now, even if your in a dropship in the middle of a fire fight, you can decipher the inner workings of technology so long as you have the controls to scre- I mean analyze.
Analysis</v>
      </c>
      <c r="B49" s="17">
        <f>IFERROR(__xludf.DUMMYFUNCTION("if(len(A49)&gt;0, value(REGEXEXTRACT(A49, ""Chapter ([0-9]*):"")), """")"),110.0)</f>
        <v>110</v>
      </c>
      <c r="C49" s="31" t="str">
        <f>IFERROR(__xludf.DUMMYFUNCTION("if(len(A49) &gt;0, REGEXEXTRACT(A49, ""Chapter [0-9]*: (.*)""), """")"),"79 Preliminary Work")</f>
        <v>79 Preliminary Work</v>
      </c>
      <c r="D49" s="31" t="str">
        <f>IFERROR(__xludf.DUMMYFUNCTION("if(len(A49)&gt;0, REGEXEXTRACT(A49, ""\n[^\(]*""), """")"),"
What's This Do? ")</f>
        <v>
What's This Do? </v>
      </c>
      <c r="E49" s="17" t="str">
        <f>IFERROR(__xludf.DUMMYFUNCTION("if(len(A49)&gt;0, REGEXEXTRACT(A49, ""\n([^\n]*)$""), """")"),"Analysis")</f>
        <v>Analysis</v>
      </c>
      <c r="F49" s="17" t="str">
        <f>IFERROR(__xludf.DUMMYFUNCTION("if(len(A49)&gt;0, REGEXEXTRACT(A49, ""\(([^\)]*)\)""), """")"),"Titanfall")</f>
        <v>Titanfall</v>
      </c>
      <c r="G49" s="17" t="str">
        <f>IFERROR(__xludf.DUMMYFUNCTION("if(len(A49)&gt;0, REGEXEXTRACT(A49, ""\)([^:]*):""), """")")," 200")</f>
        <v> 200</v>
      </c>
      <c r="H49" s="31" t="str">
        <f>IFERROR(__xludf.DUMMYFUNCTION("if(len(A49) &gt; 0, JOIN(char(10), FILTER(SPLIT(A49, char(10)), split(""false false "" &amp; rept(""true "", columns(SPLIT(A49, char(10)))-3) &amp; ""false"", "" ""))), """")"),"The technology used in the frontier can be so complex and advanced it takes years for even the most brilliant minds to understand. Really now? That's good, you needed something to do after lunch today. Now, even if your in a dropship in the middle of a fi"&amp;"re fight, you can decipher the inner workings of technology so long as you have the controls to scre- I mean analyze.")</f>
        <v>The technology used in the frontier can be so complex and advanced it takes years for even the most brilliant minds to understand. Really now? That's good, you needed something to do after lunch today. Now, even if your in a dropship in the middle of a fire fight, you can decipher the inner workings of technology so long as you have the controls to scre- I mean analyze.</v>
      </c>
    </row>
    <row r="50">
      <c r="A50" s="31" t="str">
        <f>IFERROR(__xludf.DUMMYFUNCTION("""COMPUTED_VALUE"""),"Chapter 111: 80 Analysis and Reflections
Deadbeat Holiday (Binbougami Ga!) Free:
WHAT WAS THAT YOU ARROGANT, ENTITLED SH-... oh, sorry. Was practicing for something else. As you can no doubt guess, this will help you figure out just how to overreact to a "&amp;"situation for comedic effect, as well as WHEN to enact those very moments. You'll get used to it in time, unless you're like a certain grumpy pants. Yeah I said it, GRUMPY PAAAANTS.
Ability")</f>
        <v>Chapter 111: 80 Analysis and Reflections
Deadbeat Holiday (Binbougami Ga!) Free:
WHAT WAS THAT YOU ARROGANT, ENTITLED SH-... oh, sorry. Was practicing for something else. As you can no doubt guess, this will help you figure out just how to overreact to a situation for comedic effect, as well as WHEN to enact those very moments. You'll get used to it in time, unless you're like a certain grumpy pants. Yeah I said it, GRUMPY PAAAANTS.
Ability</v>
      </c>
      <c r="B50" s="17">
        <f>IFERROR(__xludf.DUMMYFUNCTION("if(len(A50)&gt;0, value(REGEXEXTRACT(A50, ""Chapter ([0-9]*):"")), """")"),111.0)</f>
        <v>111</v>
      </c>
      <c r="C50" s="31" t="str">
        <f>IFERROR(__xludf.DUMMYFUNCTION("if(len(A50) &gt;0, REGEXEXTRACT(A50, ""Chapter [0-9]*: (.*)""), """")"),"80 Analysis and Reflections")</f>
        <v>80 Analysis and Reflections</v>
      </c>
      <c r="D50" s="31" t="str">
        <f>IFERROR(__xludf.DUMMYFUNCTION("if(len(A50)&gt;0, REGEXEXTRACT(A50, ""\n[^\(]*""), """")"),"
Deadbeat Holiday ")</f>
        <v>
Deadbeat Holiday </v>
      </c>
      <c r="E50" s="17" t="str">
        <f>IFERROR(__xludf.DUMMYFUNCTION("if(len(A50)&gt;0, REGEXEXTRACT(A50, ""\n([^\n]*)$""), """")"),"Ability")</f>
        <v>Ability</v>
      </c>
      <c r="F50" s="17" t="str">
        <f>IFERROR(__xludf.DUMMYFUNCTION("if(len(A50)&gt;0, REGEXEXTRACT(A50, ""\(([^\)]*)\)""), """")"),"Binbougami Ga!")</f>
        <v>Binbougami Ga!</v>
      </c>
      <c r="G50" s="17" t="str">
        <f>IFERROR(__xludf.DUMMYFUNCTION("if(len(A50)&gt;0, REGEXEXTRACT(A50, ""\)([^:]*):""), """")")," Free")</f>
        <v> Free</v>
      </c>
      <c r="H50" s="31" t="str">
        <f>IFERROR(__xludf.DUMMYFUNCTION("if(len(A50) &gt; 0, JOIN(char(10), FILTER(SPLIT(A50, char(10)), split(""false false "" &amp; rept(""true "", columns(SPLIT(A50, char(10)))-3) &amp; ""false"", "" ""))), """")"),"WHAT WAS THAT YOU ARROGANT, ENTITLED SH-... oh, sorry. Was practicing for something else. As you can no doubt guess, this will help you figure out just how to overreact to a situation for comedic effect, as well as WHEN to enact those very moments. You'll"&amp;" get used to it in time, unless you're like a certain grumpy pants. Yeah I said it, GRUMPY PAAAANTS.")</f>
        <v>WHAT WAS THAT YOU ARROGANT, ENTITLED SH-... oh, sorry. Was practicing for something else. As you can no doubt guess, this will help you figure out just how to overreact to a situation for comedic effect, as well as WHEN to enact those very moments. You'll get used to it in time, unless you're like a certain grumpy pants. Yeah I said it, GRUMPY PAAAANTS.</v>
      </c>
    </row>
    <row r="51">
      <c r="A51" s="31" t="str">
        <f>IFERROR(__xludf.DUMMYFUNCTION("""COMPUTED_VALUE"""),"Chapter 111: 80 Analysis and Reflections
Glove of the East (Binbougami Ga!) 300:
This hand of mine glows with an awesome power! It's burning gri-... oh! Sorry, wrong show. This single glove comes in any color and style, and is actually quite useful! You c"&amp;"an channel your spiritual energies through it to help you with mundane tasks; your cooking might turn out excellent, cleaning takes less work for better results, and massages work WONDERS when you hit those points. If you channel a LOT of spiritual energy"&amp;", you might even imbue items and equipment to improve them and be more receptive to your spiritual/chi powers! Heart symbol optional.
Item")</f>
        <v>Chapter 111: 80 Analysis and Reflections
Glove of the East (Binbougami Ga!) 300:
This hand of mine glows with an awesome power! It's burning gri-... oh! Sorry, wrong show. This single glove comes in any color and style, and is actually quite useful! You can channel your spiritual energies through it to help you with mundane tasks; your cooking might turn out excellent, cleaning takes less work for better results, and massages work WONDERS when you hit those points. If you channel a LOT of spiritual energy, you might even imbue items and equipment to improve them and be more receptive to your spiritual/chi powers! Heart symbol optional.
Item</v>
      </c>
      <c r="B51" s="17">
        <f>IFERROR(__xludf.DUMMYFUNCTION("if(len(A51)&gt;0, value(REGEXEXTRACT(A51, ""Chapter ([0-9]*):"")), """")"),111.0)</f>
        <v>111</v>
      </c>
      <c r="C51" s="31" t="str">
        <f>IFERROR(__xludf.DUMMYFUNCTION("if(len(A51) &gt;0, REGEXEXTRACT(A51, ""Chapter [0-9]*: (.*)""), """")"),"80 Analysis and Reflections")</f>
        <v>80 Analysis and Reflections</v>
      </c>
      <c r="D51" s="31" t="str">
        <f>IFERROR(__xludf.DUMMYFUNCTION("if(len(A51)&gt;0, REGEXEXTRACT(A51, ""\n[^\(]*""), """")"),"
Glove of the East ")</f>
        <v>
Glove of the East </v>
      </c>
      <c r="E51" s="17" t="str">
        <f>IFERROR(__xludf.DUMMYFUNCTION("if(len(A51)&gt;0, REGEXEXTRACT(A51, ""\n([^\n]*)$""), """")"),"Item")</f>
        <v>Item</v>
      </c>
      <c r="F51" s="17" t="str">
        <f>IFERROR(__xludf.DUMMYFUNCTION("if(len(A51)&gt;0, REGEXEXTRACT(A51, ""\(([^\)]*)\)""), """")"),"Binbougami Ga!")</f>
        <v>Binbougami Ga!</v>
      </c>
      <c r="G51" s="17" t="str">
        <f>IFERROR(__xludf.DUMMYFUNCTION("if(len(A51)&gt;0, REGEXEXTRACT(A51, ""\)([^:]*):""), """")")," 300")</f>
        <v> 300</v>
      </c>
      <c r="H51" s="31" t="str">
        <f>IFERROR(__xludf.DUMMYFUNCTION("if(len(A51) &gt; 0, JOIN(char(10), FILTER(SPLIT(A51, char(10)), split(""false false "" &amp; rept(""true "", columns(SPLIT(A51, char(10)))-3) &amp; ""false"", "" ""))), """")"),"This hand of mine glows with an awesome power! It's burning gri-... oh! Sorry, wrong show. This single glove comes in any color and style, and is actually quite useful! You can channel your spiritual energies through it to help you with mundane tasks; you"&amp;"r cooking might turn out excellent, cleaning takes less work for better results, and massages work WONDERS when you hit those points. If you channel a LOT of spiritual energy, you might even imbue items and equipment to improve them and be more receptive "&amp;"to your spiritual/chi powers! Heart symbol optional.")</f>
        <v>This hand of mine glows with an awesome power! It's burning gri-... oh! Sorry, wrong show. This single glove comes in any color and style, and is actually quite useful! You can channel your spiritual energies through it to help you with mundane tasks; your cooking might turn out excellent, cleaning takes less work for better results, and massages work WONDERS when you hit those points. If you channel a LOT of spiritual energy, you might even imbue items and equipment to improve them and be more receptive to your spiritual/chi powers! Heart symbol optional.</v>
      </c>
    </row>
    <row r="52">
      <c r="A52" s="31" t="str">
        <f>IFERROR(__xludf.DUMMYFUNCTION("""COMPUTED_VALUE"""),"Chapter 111: 80 Analysis and Reflections
Burning Bright (Binbougami Ga!) 300:
The powers of Fortune Energy are great within you; so great that it defies logic. Your energies are so bountiful that your techniques/effects using them are greatly increased,"&amp;" and your overall luck with them has likewise increased. Why, it's likely that given time to train you can unlock different abilities and methods to use the amount of Fortune Energy you possess. Furthermore, you gain the ability to toggle on or off a 'pas"&amp;"sive' absorbing ability to slowly drain the fortune energy of others and pull them into yourself. Just be wary about staying around people too long with this power. Cannot take with 'A Song For The Hopeless'.
-The maximum Fortune Energy/Misfortune Energy"&amp;" capacity one may possess will only grow slowly with age, and cannot be increased with training. 'A Song For The Hopeless' or 'Burning Bright' will increase the rate your maximum capacity grows, but it will always be at a fixed rate due to age.
-'Burning"&amp;" Bright' likewise is limited in that while you can temporarily supercharge yourself, your maximum Fortune Energy reservoir can only increase with age and not training. In addition, while you can try to supercharge yourself enough to become a god, you will"&amp;" only become a low-level one in the beginning. It will take hundreds of years for your reservoir to grow truly impressive
-'Burning Bright' grants an AoE Fortune Energy-draining field that is a 10-15 feet radius around you, and cannot be improved. Howeve"&amp;"r, the more people around you the more you will drain by volume. A temporary timespan of 3-12 hours will not harm the person, but the more time you spend around others with the field on, the more detrimental it will be to them. Spending 8-10 years around "&amp;"a person constantly with the field on will likely result in their death, if they are mortal. The more powerful the entity, the less likely this will occur.
Ability")</f>
        <v>Chapter 111: 80 Analysis and Reflections
Burning Bright (Binbougami Ga!) 300:
The powers of Fortune Energy are great within you; so great that it defies logic. Your energies are so bountiful that your techniques/effects using them are greatly increased, and your overall luck with them has likewise increased. Why, it's likely that given time to train you can unlock different abilities and methods to use the amount of Fortune Energy you possess. Furthermore, you gain the ability to toggle on or off a 'passive' absorbing ability to slowly drain the fortune energy of others and pull them into yourself. Just be wary about staying around people too long with this power. Cannot take with 'A Song For The Hopeless'.
-The maximum Fortune Energy/Misfortune Energy capacity one may possess will only grow slowly with age, and cannot be increased with training. 'A Song For The Hopeless' or 'Burning Bright' will increase the rate your maximum capacity grows, but it will always be at a fixed rate due to age.
-'Burning Bright' likewise is limited in that while you can temporarily supercharge yourself, your maximum Fortune Energy reservoir can only increase with age and not training. In addition, while you can try to supercharge yourself enough to become a god, you will only become a low-level one in the beginning. It will take hundreds of years for your reservoir to grow truly impressive
-'Burning Bright' grants an AoE Fortune Energy-draining field that is a 10-15 feet radius around you, and cannot be improved. However, the more people around you the more you will drain by volume. A temporary timespan of 3-12 hours will not harm the person, but the more time you spend around others with the field on, the more detrimental it will be to them. Spending 8-10 years around a person constantly with the field on will likely result in their death, if they are mortal. The more powerful the entity, the less likely this will occur.
Ability</v>
      </c>
      <c r="B52" s="17">
        <f>IFERROR(__xludf.DUMMYFUNCTION("if(len(A52)&gt;0, value(REGEXEXTRACT(A52, ""Chapter ([0-9]*):"")), """")"),111.0)</f>
        <v>111</v>
      </c>
      <c r="C52" s="31" t="str">
        <f>IFERROR(__xludf.DUMMYFUNCTION("if(len(A52) &gt;0, REGEXEXTRACT(A52, ""Chapter [0-9]*: (.*)""), """")"),"80 Analysis and Reflections
")</f>
        <v>80 Analysis and Reflections
</v>
      </c>
      <c r="D52" s="31" t="str">
        <f>IFERROR(__xludf.DUMMYFUNCTION("if(len(A52)&gt;0, REGEXEXTRACT(A52, ""\n[^\(]*""), """")"),"
Burning Bright ")</f>
        <v>
Burning Bright </v>
      </c>
      <c r="E52" s="17" t="str">
        <f>IFERROR(__xludf.DUMMYFUNCTION("if(len(A52)&gt;0, REGEXEXTRACT(A52, ""\n([^\n]*)$""), """")"),"Ability")</f>
        <v>Ability</v>
      </c>
      <c r="F52" s="17" t="str">
        <f>IFERROR(__xludf.DUMMYFUNCTION("if(len(A52)&gt;0, REGEXEXTRACT(A52, ""\(([^\)]*)\)""), """")"),"Binbougami Ga!")</f>
        <v>Binbougami Ga!</v>
      </c>
      <c r="G52" s="17" t="str">
        <f>IFERROR(__xludf.DUMMYFUNCTION("if(len(A52)&gt;0, REGEXEXTRACT(A52, ""\)([^:]*):""), """")")," 300")</f>
        <v> 300</v>
      </c>
      <c r="H52" s="31" t="str">
        <f>IFERROR(__xludf.DUMMYFUNCTION("if(len(A52) &gt; 0, JOIN(char(10), FILTER(SPLIT(A52, char(10)), split(""false false "" &amp; rept(""true "", columns(SPLIT(A52, char(10)))-3) &amp; ""false"", "" ""))), """")"),"The powers of Fortune Energy are great within you; so great that it defies logic. Your energies are so bountiful that your techniques/effects using them are greatly increased, and your overall luck with them has likewise increased. Why, it's likely that g"&amp;"iven time to train you can unlock different abilities and methods to use the amount of Fortune Energy you possess. Furthermore, you gain the ability to toggle on or off a 'passive' absorbing ability to slowly drain the fortune energy of others and pull th"&amp;"em into yourself. Just be wary about staying around people too long with this power. Cannot take with 'A Song For The Hopeless'.
-The maximum Fortune Energy/Misfortune Energy capacity one may possess will only grow slowly with age, and cannot be increase"&amp;"d with training. 'A Song For The Hopeless' or 'Burning Bright' will increase the rate your maximum capacity grows, but it will always be at a fixed rate due to age.
-'Burning Bright' likewise is limited in that while you can temporarily supercharge yours"&amp;"elf, your maximum Fortune Energy reservoir can only increase with age and not training. In addition, while you can try to supercharge yourself enough to become a god, you will only become a low-level one in the beginning. It will take hundreds of years fo"&amp;"r your reservoir to grow truly impressive
-'Burning Bright' grants an AoE Fortune Energy-draining field that is a 10-15 feet radius around you, and cannot be improved. However, the more people around you the more you will drain by volume. A temporary tim"&amp;"espan of 3-12 hours will not harm the person, but the more time you spend around others with the field on, the more detrimental it will be to them. Spending 8-10 years around a person constantly with the field on will likely result in their death, if they"&amp;" are mortal. The more powerful the entity, the less likely this will occur.")</f>
        <v>The powers of Fortune Energy are great within you; so great that it defies logic. Your energies are so bountiful that your techniques/effects using them are greatly increased, and your overall luck with them has likewise increased. Why, it's likely that given time to train you can unlock different abilities and methods to use the amount of Fortune Energy you possess. Furthermore, you gain the ability to toggle on or off a 'passive' absorbing ability to slowly drain the fortune energy of others and pull them into yourself. Just be wary about staying around people too long with this power. Cannot take with 'A Song For The Hopeless'.
-The maximum Fortune Energy/Misfortune Energy capacity one may possess will only grow slowly with age, and cannot be increased with training. 'A Song For The Hopeless' or 'Burning Bright' will increase the rate your maximum capacity grows, but it will always be at a fixed rate due to age.
-'Burning Bright' likewise is limited in that while you can temporarily supercharge yourself, your maximum Fortune Energy reservoir can only increase with age and not training. In addition, while you can try to supercharge yourself enough to become a god, you will only become a low-level one in the beginning. It will take hundreds of years for your reservoir to grow truly impressive
-'Burning Bright' grants an AoE Fortune Energy-draining field that is a 10-15 feet radius around you, and cannot be improved. However, the more people around you the more you will drain by volume. A temporary timespan of 3-12 hours will not harm the person, but the more time you spend around others with the field on, the more detrimental it will be to them. Spending 8-10 years around a person constantly with the field on will likely result in their death, if they are mortal. The more powerful the entity, the less likely this will occur.</v>
      </c>
    </row>
    <row r="53">
      <c r="A53" s="31" t="str">
        <f>IFERROR(__xludf.DUMMYFUNCTION("""COMPUTED_VALUE"""),"Chapter 112: 81 Augmentations
Auditorium (Personal Reality) 50:
This Entertainment Room Upgrade adds an auditorium to your complex with stage for bigger productions and comfortable seating for viewers. the Auditorium can seat up to 400 in comfort and the "&amp;"followspots always follow, the lights always change on cue, and the props and sets are always in the proper order and condition.
Facility")</f>
        <v>Chapter 112: 81 Augmentations
Auditorium (Personal Reality) 50:
This Entertainment Room Upgrade adds an auditorium to your complex with stage for bigger productions and comfortable seating for viewers. the Auditorium can seat up to 400 in comfort and the followspots always follow, the lights always change on cue, and the props and sets are always in the proper order and condition.
Facility</v>
      </c>
      <c r="B53" s="17">
        <f>IFERROR(__xludf.DUMMYFUNCTION("if(len(A53)&gt;0, value(REGEXEXTRACT(A53, ""Chapter ([0-9]*):"")), """")"),112.0)</f>
        <v>112</v>
      </c>
      <c r="C53" s="31" t="str">
        <f>IFERROR(__xludf.DUMMYFUNCTION("if(len(A53) &gt;0, REGEXEXTRACT(A53, ""Chapter [0-9]*: (.*)""), """")"),"81 Augmentations")</f>
        <v>81 Augmentations</v>
      </c>
      <c r="D53" s="31" t="str">
        <f>IFERROR(__xludf.DUMMYFUNCTION("if(len(A53)&gt;0, REGEXEXTRACT(A53, ""\n[^\(]*""), """")"),"
Auditorium ")</f>
        <v>
Auditorium </v>
      </c>
      <c r="E53" s="17" t="str">
        <f>IFERROR(__xludf.DUMMYFUNCTION("if(len(A53)&gt;0, REGEXEXTRACT(A53, ""\n([^\n]*)$""), """")"),"Facility")</f>
        <v>Facility</v>
      </c>
      <c r="F53" s="17" t="str">
        <f>IFERROR(__xludf.DUMMYFUNCTION("if(len(A53)&gt;0, REGEXEXTRACT(A53, ""\(([^\)]*)\)""), """")"),"Personal Reality")</f>
        <v>Personal Reality</v>
      </c>
      <c r="G53" s="17" t="str">
        <f>IFERROR(__xludf.DUMMYFUNCTION("if(len(A53)&gt;0, REGEXEXTRACT(A53, ""\)([^:]*):""), """")")," 50")</f>
        <v> 50</v>
      </c>
      <c r="H53" s="31" t="str">
        <f>IFERROR(__xludf.DUMMYFUNCTION("if(len(A53) &gt; 0, JOIN(char(10), FILTER(SPLIT(A53, char(10)), split(""false false "" &amp; rept(""true "", columns(SPLIT(A53, char(10)))-3) &amp; ""false"", "" ""))), """")"),"This Entertainment Room Upgrade adds an auditorium to your complex with stage for bigger productions and comfortable seating for viewers. the Auditorium can seat up to 400 in comfort and the followspots always follow, the lights always change on cue, and "&amp;"the props and sets are always in the proper order and condition.")</f>
        <v>This Entertainment Room Upgrade adds an auditorium to your complex with stage for bigger productions and comfortable seating for viewers. the Auditorium can seat up to 400 in comfort and the followspots always follow, the lights always change on cue, and the props and sets are always in the proper order and condition.</v>
      </c>
    </row>
    <row r="54">
      <c r="A54" s="31" t="str">
        <f>IFERROR(__xludf.DUMMYFUNCTION("""COMPUTED_VALUE"""),"Chapter 112: 81 Augmentations
Costume Closet (Personal Reality) 50:
This Entertainment Room Upgrade adds a closet full of costumes, exactly what you need to perform your various acts or routines. The contents will adjust to the wearer and will be as comfo"&amp;"rtable as reasonable. They’re self-cleaning and self-repairing, but they cannot be removed from the Warehouse without the Extruder.
Facility")</f>
        <v>Chapter 112: 81 Augmentations
Costume Closet (Personal Reality) 50:
This Entertainment Room Upgrade adds a closet full of costumes, exactly what you need to perform your various acts or routines. The contents will adjust to the wearer and will be as comfortable as reasonable. They’re self-cleaning and self-repairing, but they cannot be removed from the Warehouse without the Extruder.
Facility</v>
      </c>
      <c r="B54" s="17">
        <f>IFERROR(__xludf.DUMMYFUNCTION("if(len(A54)&gt;0, value(REGEXEXTRACT(A54, ""Chapter ([0-9]*):"")), """")"),112.0)</f>
        <v>112</v>
      </c>
      <c r="C54" s="31" t="str">
        <f>IFERROR(__xludf.DUMMYFUNCTION("if(len(A54) &gt;0, REGEXEXTRACT(A54, ""Chapter [0-9]*: (.*)""), """")"),"81 Augmentations")</f>
        <v>81 Augmentations</v>
      </c>
      <c r="D54" s="31" t="str">
        <f>IFERROR(__xludf.DUMMYFUNCTION("if(len(A54)&gt;0, REGEXEXTRACT(A54, ""\n[^\(]*""), """")"),"
Costume Closet ")</f>
        <v>
Costume Closet </v>
      </c>
      <c r="E54" s="17" t="str">
        <f>IFERROR(__xludf.DUMMYFUNCTION("if(len(A54)&gt;0, REGEXEXTRACT(A54, ""\n([^\n]*)$""), """")"),"Facility")</f>
        <v>Facility</v>
      </c>
      <c r="F54" s="17" t="str">
        <f>IFERROR(__xludf.DUMMYFUNCTION("if(len(A54)&gt;0, REGEXEXTRACT(A54, ""\(([^\)]*)\)""), """")"),"Personal Reality")</f>
        <v>Personal Reality</v>
      </c>
      <c r="G54" s="17" t="str">
        <f>IFERROR(__xludf.DUMMYFUNCTION("if(len(A54)&gt;0, REGEXEXTRACT(A54, ""\)([^:]*):""), """")")," 50")</f>
        <v> 50</v>
      </c>
      <c r="H54" s="31" t="str">
        <f>IFERROR(__xludf.DUMMYFUNCTION("if(len(A54) &gt; 0, JOIN(char(10), FILTER(SPLIT(A54, char(10)), split(""false false "" &amp; rept(""true "", columns(SPLIT(A54, char(10)))-3) &amp; ""false"", "" ""))), """")"),"This Entertainment Room Upgrade adds a closet full of costumes, exactly what you need to perform your various acts or routines. The contents will adjust to the wearer and will be as comfortable as reasonable. They’re self-cleaning and self-repairing, but "&amp;"they cannot be removed from the Warehouse without the Extruder.")</f>
        <v>This Entertainment Room Upgrade adds a closet full of costumes, exactly what you need to perform your various acts or routines. The contents will adjust to the wearer and will be as comfortable as reasonable. They’re self-cleaning and self-repairing, but they cannot be removed from the Warehouse without the Extruder.</v>
      </c>
    </row>
    <row r="55">
      <c r="A55" s="31" t="str">
        <f>IFERROR(__xludf.DUMMYFUNCTION("""COMPUTED_VALUE"""),"Chapter 112: 81 Augmentations
Entertainment Room (Personal Reality) 200:
Keeping yourself busy isn’t always easy, and sometimes you just want to relax and listen to some music or watch a movie. This is for you. A six room complex is added to your Personal"&amp;" Reality. Each room is an almost perfect movie theatre, music room, video-gaming theatre, sound stage, or miniature live theatre. There are 24 comfortable chairs in each (the exact level of luxury depends on your housing level). A popcorn and generic cand"&amp;"y vendor and off-brand soda dispenser (self-service) are provided at the basic, but will upgrade to name-brands with any housing upgrade.
Facility")</f>
        <v>Chapter 112: 81 Augmentations
Entertainment Room (Personal Reality) 200:
Keeping yourself busy isn’t always easy, and sometimes you just want to relax and listen to some music or watch a movie. This is for you. A six room complex is added to your Personal Reality. Each room is an almost perfect movie theatre, music room, video-gaming theatre, sound stage, or miniature live theatre. There are 24 comfortable chairs in each (the exact level of luxury depends on your housing level). A popcorn and generic candy vendor and off-brand soda dispenser (self-service) are provided at the basic, but will upgrade to name-brands with any housing upgrade.
Facility</v>
      </c>
      <c r="B55" s="17">
        <f>IFERROR(__xludf.DUMMYFUNCTION("if(len(A55)&gt;0, value(REGEXEXTRACT(A55, ""Chapter ([0-9]*):"")), """")"),112.0)</f>
        <v>112</v>
      </c>
      <c r="C55" s="31" t="str">
        <f>IFERROR(__xludf.DUMMYFUNCTION("if(len(A55) &gt;0, REGEXEXTRACT(A55, ""Chapter [0-9]*: (.*)""), """")"),"81 Augmentations")</f>
        <v>81 Augmentations</v>
      </c>
      <c r="D55" s="31" t="str">
        <f>IFERROR(__xludf.DUMMYFUNCTION("if(len(A55)&gt;0, REGEXEXTRACT(A55, ""\n[^\(]*""), """")"),"
Entertainment Room ")</f>
        <v>
Entertainment Room </v>
      </c>
      <c r="E55" s="17" t="str">
        <f>IFERROR(__xludf.DUMMYFUNCTION("if(len(A55)&gt;0, REGEXEXTRACT(A55, ""\n([^\n]*)$""), """")"),"Facility")</f>
        <v>Facility</v>
      </c>
      <c r="F55" s="17" t="str">
        <f>IFERROR(__xludf.DUMMYFUNCTION("if(len(A55)&gt;0, REGEXEXTRACT(A55, ""\(([^\)]*)\)""), """")"),"Personal Reality")</f>
        <v>Personal Reality</v>
      </c>
      <c r="G55" s="17" t="str">
        <f>IFERROR(__xludf.DUMMYFUNCTION("if(len(A55)&gt;0, REGEXEXTRACT(A55, ""\)([^:]*):""), """")")," 200")</f>
        <v> 200</v>
      </c>
      <c r="H55" s="31" t="str">
        <f>IFERROR(__xludf.DUMMYFUNCTION("if(len(A55) &gt; 0, JOIN(char(10), FILTER(SPLIT(A55, char(10)), split(""false false "" &amp; rept(""true "", columns(SPLIT(A55, char(10)))-3) &amp; ""false"", "" ""))), """")"),"Keeping yourself busy isn’t always easy, and sometimes you just want to relax and listen to some music or watch a movie. This is for you. A six room complex is added to your Personal Reality. Each room is an almost perfect movie theatre, music room, video"&amp;"-gaming theatre, sound stage, or miniature live theatre. There are 24 comfortable chairs in each (the exact level of luxury depends on your housing level). A popcorn and generic candy vendor and off-brand soda dispenser (self-service) are provided at the "&amp;"basic, but will upgrade to name-brands with any housing upgrade.")</f>
        <v>Keeping yourself busy isn’t always easy, and sometimes you just want to relax and listen to some music or watch a movie. This is for you. A six room complex is added to your Personal Reality. Each room is an almost perfect movie theatre, music room, video-gaming theatre, sound stage, or miniature live theatre. There are 24 comfortable chairs in each (the exact level of luxury depends on your housing level). A popcorn and generic candy vendor and off-brand soda dispenser (self-service) are provided at the basic, but will upgrade to name-brands with any housing upgrade.</v>
      </c>
    </row>
    <row r="56">
      <c r="A56" s="31" t="str">
        <f>IFERROR(__xludf.DUMMYFUNCTION("""COMPUTED_VALUE"""),"Chapter 112: 81 Augmentations
Kit and Kaboodle (Personal Reality) 50:
There’s not much purpose in having a sound-stage if you don’t have recording equipment and instruments. While not the best, this Entertainment Room Upgrade provides you with professiona"&amp;"l grade musical instruments of any kind found on Earth, and a professional mixing board and easy to follow instructions on how to make best use of it. The instruments from this can’t be removed from the Warehouse without the Extruder.
Facility")</f>
        <v>Chapter 112: 81 Augmentations
Kit and Kaboodle (Personal Reality) 50:
There’s not much purpose in having a sound-stage if you don’t have recording equipment and instruments. While not the best, this Entertainment Room Upgrade provides you with professional grade musical instruments of any kind found on Earth, and a professional mixing board and easy to follow instructions on how to make best use of it. The instruments from this can’t be removed from the Warehouse without the Extruder.
Facility</v>
      </c>
      <c r="B56" s="17">
        <f>IFERROR(__xludf.DUMMYFUNCTION("if(len(A56)&gt;0, value(REGEXEXTRACT(A56, ""Chapter ([0-9]*):"")), """")"),112.0)</f>
        <v>112</v>
      </c>
      <c r="C56" s="31" t="str">
        <f>IFERROR(__xludf.DUMMYFUNCTION("if(len(A56) &gt;0, REGEXEXTRACT(A56, ""Chapter [0-9]*: (.*)""), """")"),"81 Augmentations")</f>
        <v>81 Augmentations</v>
      </c>
      <c r="D56" s="31" t="str">
        <f>IFERROR(__xludf.DUMMYFUNCTION("if(len(A56)&gt;0, REGEXEXTRACT(A56, ""\n[^\(]*""), """")"),"
Kit and Kaboodle ")</f>
        <v>
Kit and Kaboodle </v>
      </c>
      <c r="E56" s="17" t="str">
        <f>IFERROR(__xludf.DUMMYFUNCTION("if(len(A56)&gt;0, REGEXEXTRACT(A56, ""\n([^\n]*)$""), """")"),"Facility")</f>
        <v>Facility</v>
      </c>
      <c r="F56" s="17" t="str">
        <f>IFERROR(__xludf.DUMMYFUNCTION("if(len(A56)&gt;0, REGEXEXTRACT(A56, ""\(([^\)]*)\)""), """")"),"Personal Reality")</f>
        <v>Personal Reality</v>
      </c>
      <c r="G56" s="17" t="str">
        <f>IFERROR(__xludf.DUMMYFUNCTION("if(len(A56)&gt;0, REGEXEXTRACT(A56, ""\)([^:]*):""), """")")," 50")</f>
        <v> 50</v>
      </c>
      <c r="H56" s="31" t="str">
        <f>IFERROR(__xludf.DUMMYFUNCTION("if(len(A56) &gt; 0, JOIN(char(10), FILTER(SPLIT(A56, char(10)), split(""false false "" &amp; rept(""true "", columns(SPLIT(A56, char(10)))-3) &amp; ""false"", "" ""))), """")"),"There’s not much purpose in having a sound-stage if you don’t have recording equipment and instruments. While not the best, this Entertainment Room Upgrade provides you with professional grade musical instruments of any kind found on Earth, and a professi"&amp;"onal mixing board and easy to follow instructions on how to make best use of it. The instruments from this can’t be removed from the Warehouse without the Extruder.")</f>
        <v>There’s not much purpose in having a sound-stage if you don’t have recording equipment and instruments. While not the best, this Entertainment Room Upgrade provides you with professional grade musical instruments of any kind found on Earth, and a professional mixing board and easy to follow instructions on how to make best use of it. The instruments from this can’t be removed from the Warehouse without the Extruder.</v>
      </c>
    </row>
    <row r="57">
      <c r="A57" s="31" t="str">
        <f>IFERROR(__xludf.DUMMYFUNCTION("""COMPUTED_VALUE"""),"Chapter 112: 81 Augmentations
Music Collection (Personal Reality) 50:
You receive a collection of 500 albums (EPS or LPS) based on personalized criteria such as genre, artists, or themes (big band, love songs, acapella, etc.). Liner-notes, sheet-music, an"&amp;"d creator commentary / explanations are provided, as well as live performances, remixes, and covers. Total guaranteed run time not to be less than 2,000 hours. Every month you’ll get a new album. This can be purchased multiple times and only music from pr"&amp;"evious Host Realities is available. If you find that, upon listening to an album for the first time that you do not like it, it will be replaced… but since perfect memory perks are a dime a dozen, asking for a replacement will result in a mental block bei"&amp;"ng placed over the music. You’ll still be able to remember you heard that album and didn’t enjoy it, but not the actual music. This block is fiat backed until you hear the album again someplace else or gain your spark. Repeatable 
Facility")</f>
        <v>Chapter 112: 81 Augmentations
Music Collection (Personal Reality) 50:
You receive a collection of 500 albums (EPS or LPS) based on personalized criteria such as genre, artists, or themes (big band, love songs, acapella, etc.). Liner-notes, sheet-music, and creator commentary / explanations are provided, as well as live performances, remixes, and covers. Total guaranteed run time not to be less than 2,000 hours. Every month you’ll get a new album. This can be purchased multiple times and only music from previous Host Realities is available. If you find that, upon listening to an album for the first time that you do not like it, it will be replaced… but since perfect memory perks are a dime a dozen, asking for a replacement will result in a mental block being placed over the music. You’ll still be able to remember you heard that album and didn’t enjoy it, but not the actual music. This block is fiat backed until you hear the album again someplace else or gain your spark. Repeatable 
Facility</v>
      </c>
      <c r="B57" s="17">
        <f>IFERROR(__xludf.DUMMYFUNCTION("if(len(A57)&gt;0, value(REGEXEXTRACT(A57, ""Chapter ([0-9]*):"")), """")"),112.0)</f>
        <v>112</v>
      </c>
      <c r="C57" s="31" t="str">
        <f>IFERROR(__xludf.DUMMYFUNCTION("if(len(A57) &gt;0, REGEXEXTRACT(A57, ""Chapter [0-9]*: (.*)""), """")"),"81 Augmentations")</f>
        <v>81 Augmentations</v>
      </c>
      <c r="D57" s="31" t="str">
        <f>IFERROR(__xludf.DUMMYFUNCTION("if(len(A57)&gt;0, REGEXEXTRACT(A57, ""\n[^\(]*""), """")"),"
Music Collection ")</f>
        <v>
Music Collection </v>
      </c>
      <c r="E57" s="17" t="str">
        <f>IFERROR(__xludf.DUMMYFUNCTION("if(len(A57)&gt;0, REGEXEXTRACT(A57, ""\n([^\n]*)$""), """")"),"Facility")</f>
        <v>Facility</v>
      </c>
      <c r="F57" s="17" t="str">
        <f>IFERROR(__xludf.DUMMYFUNCTION("if(len(A57)&gt;0, REGEXEXTRACT(A57, ""\(([^\)]*)\)""), """")"),"Personal Reality")</f>
        <v>Personal Reality</v>
      </c>
      <c r="G57" s="17" t="str">
        <f>IFERROR(__xludf.DUMMYFUNCTION("if(len(A57)&gt;0, REGEXEXTRACT(A57, ""\)([^:]*):""), """")")," 50")</f>
        <v> 50</v>
      </c>
      <c r="H57" s="31" t="str">
        <f>IFERROR(__xludf.DUMMYFUNCTION("if(len(A57) &gt; 0, JOIN(char(10), FILTER(SPLIT(A57, char(10)), split(""false false "" &amp; rept(""true "", columns(SPLIT(A57, char(10)))-3) &amp; ""false"", "" ""))), """")"),"You receive a collection of 500 albums (EPS or LPS) based on personalized criteria such as genre, artists, or themes (big band, love songs, acapella, etc.). Liner-notes, sheet-music, and creator commentary / explanations are provided, as well as live perf"&amp;"ormances, remixes, and covers. Total guaranteed run time not to be less than 2,000 hours. Every month you’ll get a new album. This can be purchased multiple times and only music from previous Host Realities is available. If you find that, upon listening t"&amp;"o an album for the first time that you do not like it, it will be replaced… but since perfect memory perks are a dime a dozen, asking for a replacement will result in a mental block being placed over the music. You’ll still be able to remember you heard t"&amp;"hat album and didn’t enjoy it, but not the actual music. This block is fiat backed until you hear the album again someplace else or gain your spark. Repeatable ")</f>
        <v>You receive a collection of 500 albums (EPS or LPS) based on personalized criteria such as genre, artists, or themes (big band, love songs, acapella, etc.). Liner-notes, sheet-music, and creator commentary / explanations are provided, as well as live performances, remixes, and covers. Total guaranteed run time not to be less than 2,000 hours. Every month you’ll get a new album. This can be purchased multiple times and only music from previous Host Realities is available. If you find that, upon listening to an album for the first time that you do not like it, it will be replaced… but since perfect memory perks are a dime a dozen, asking for a replacement will result in a mental block being placed over the music. You’ll still be able to remember you heard that album and didn’t enjoy it, but not the actual music. This block is fiat backed until you hear the album again someplace else or gain your spark. Repeatable </v>
      </c>
    </row>
    <row r="58">
      <c r="A58" s="31" t="str">
        <f>IFERROR(__xludf.DUMMYFUNCTION("""COMPUTED_VALUE"""),"Chapter 113: 82 Bargaining - Addendum Uppercrust
ARM SLAVE M6 Bushnell (Full Metal Panic) Free:
A bulky Arm Slave constructed by the United States. This is a Generation 2 mech that requires less rigorous piloting, but its loud noise makes it a problem wit"&amp;"h stealth. To make up for its slowness it has thicker armor.
Vehicle")</f>
        <v>Chapter 113: 82 Bargaining - Addendum Uppercrust
ARM SLAVE M6 Bushnell (Full Metal Panic) Free:
A bulky Arm Slave constructed by the United States. This is a Generation 2 mech that requires less rigorous piloting, but its loud noise makes it a problem with stealth. To make up for its slowness it has thicker armor.
Vehicle</v>
      </c>
      <c r="B58" s="17">
        <f>IFERROR(__xludf.DUMMYFUNCTION("if(len(A58)&gt;0, value(REGEXEXTRACT(A58, ""Chapter ([0-9]*):"")), """")"),113.0)</f>
        <v>113</v>
      </c>
      <c r="C58" s="31" t="str">
        <f>IFERROR(__xludf.DUMMYFUNCTION("if(len(A58) &gt;0, REGEXEXTRACT(A58, ""Chapter [0-9]*: (.*)""), """")"),"82 Bargaining - Addendum Uppercrust")</f>
        <v>82 Bargaining - Addendum Uppercrust</v>
      </c>
      <c r="D58" s="31" t="str">
        <f>IFERROR(__xludf.DUMMYFUNCTION("if(len(A58)&gt;0, REGEXEXTRACT(A58, ""\n[^\(]*""), """")"),"
ARM SLAVE M6 Bushnell ")</f>
        <v>
ARM SLAVE M6 Bushnell </v>
      </c>
      <c r="E58" s="17" t="str">
        <f>IFERROR(__xludf.DUMMYFUNCTION("if(len(A58)&gt;0, REGEXEXTRACT(A58, ""\n([^\n]*)$""), """")"),"Vehicle")</f>
        <v>Vehicle</v>
      </c>
      <c r="F58" s="17" t="str">
        <f>IFERROR(__xludf.DUMMYFUNCTION("if(len(A58)&gt;0, REGEXEXTRACT(A58, ""\(([^\)]*)\)""), """")"),"Full Metal Panic")</f>
        <v>Full Metal Panic</v>
      </c>
      <c r="G58" s="17" t="str">
        <f>IFERROR(__xludf.DUMMYFUNCTION("if(len(A58)&gt;0, REGEXEXTRACT(A58, ""\)([^:]*):""), """")")," Free")</f>
        <v> Free</v>
      </c>
      <c r="H58" s="31" t="str">
        <f>IFERROR(__xludf.DUMMYFUNCTION("if(len(A58) &gt; 0, JOIN(char(10), FILTER(SPLIT(A58, char(10)), split(""false false "" &amp; rept(""true "", columns(SPLIT(A58, char(10)))-3) &amp; ""false"", "" ""))), """")"),"A bulky Arm Slave constructed by the United States. This is a Generation 2 mech that requires less rigorous piloting, but its loud noise makes it a problem with stealth. To make up for its slowness it has thicker armor.")</f>
        <v>A bulky Arm Slave constructed by the United States. This is a Generation 2 mech that requires less rigorous piloting, but its loud noise makes it a problem with stealth. To make up for its slowness it has thicker armor.</v>
      </c>
    </row>
    <row r="59">
      <c r="A59" s="31" t="str">
        <f>IFERROR(__xludf.DUMMYFUNCTION("""COMPUTED_VALUE"""),"Chapter 113: 82 Bargaining - Addendum Uppercrust
Craftsman of the Gods (Viking Saga) 600:
Things you make yourself from base components gain properties far beyond what they should. Belts that increase strength several times over or a spear that never miss"&amp;"es are well within your skill, and you will only get better.
System")</f>
        <v>Chapter 113: 82 Bargaining - Addendum Uppercrust
Craftsman of the Gods (Viking Saga) 600:
Things you make yourself from base components gain properties far beyond what they should. Belts that increase strength several times over or a spear that never misses are well within your skill, and you will only get better.
System</v>
      </c>
      <c r="B59" s="17">
        <f>IFERROR(__xludf.DUMMYFUNCTION("if(len(A59)&gt;0, value(REGEXEXTRACT(A59, ""Chapter ([0-9]*):"")), """")"),113.0)</f>
        <v>113</v>
      </c>
      <c r="C59" s="31" t="str">
        <f>IFERROR(__xludf.DUMMYFUNCTION("if(len(A59) &gt;0, REGEXEXTRACT(A59, ""Chapter [0-9]*: (.*)""), """")"),"82 Bargaining - Addendum Uppercrust")</f>
        <v>82 Bargaining - Addendum Uppercrust</v>
      </c>
      <c r="D59" s="31" t="str">
        <f>IFERROR(__xludf.DUMMYFUNCTION("if(len(A59)&gt;0, REGEXEXTRACT(A59, ""\n[^\(]*""), """")"),"
Craftsman of the Gods ")</f>
        <v>
Craftsman of the Gods </v>
      </c>
      <c r="E59" s="17" t="str">
        <f>IFERROR(__xludf.DUMMYFUNCTION("if(len(A59)&gt;0, REGEXEXTRACT(A59, ""\n([^\n]*)$""), """")"),"System")</f>
        <v>System</v>
      </c>
      <c r="F59" s="17" t="str">
        <f>IFERROR(__xludf.DUMMYFUNCTION("if(len(A59)&gt;0, REGEXEXTRACT(A59, ""\(([^\)]*)\)""), """")"),"Viking Saga")</f>
        <v>Viking Saga</v>
      </c>
      <c r="G59" s="17" t="str">
        <f>IFERROR(__xludf.DUMMYFUNCTION("if(len(A59)&gt;0, REGEXEXTRACT(A59, ""\)([^:]*):""), """")")," 600")</f>
        <v> 600</v>
      </c>
      <c r="H59" s="31" t="str">
        <f>IFERROR(__xludf.DUMMYFUNCTION("if(len(A59) &gt; 0, JOIN(char(10), FILTER(SPLIT(A59, char(10)), split(""false false "" &amp; rept(""true "", columns(SPLIT(A59, char(10)))-3) &amp; ""false"", "" ""))), """")"),"Things you make yourself from base components gain properties far beyond what they should. Belts that increase strength several times over or a spear that never misses are well within your skill, and you will only get better.")</f>
        <v>Things you make yourself from base components gain properties far beyond what they should. Belts that increase strength several times over or a spear that never misses are well within your skill, and you will only get better.</v>
      </c>
    </row>
    <row r="60">
      <c r="A60" s="31" t="str">
        <f>IFERROR(__xludf.DUMMYFUNCTION("""COMPUTED_VALUE"""),"Chapter 113: 82 Bargaining - Addendum Uppercrust
Dig it (Personal Reality) 100:
You now have 40 meters of foundation material under your RGC. Why? Gardening? Graves? Whatever. It’s just rocks and dirt down there, but all buildings you buy in this suppleme"&amp;"nt have perfectly decent foundations installed under them. If you bought the Underside, all that space is diggable too. You might even find some weird or cool stuff buried. Nothing amazing, but you’ll be amused.
Facility")</f>
        <v>Chapter 113: 82 Bargaining - Addendum Uppercrust
Dig it (Personal Reality) 100:
You now have 40 meters of foundation material under your RGC. Why? Gardening? Graves? Whatever. It’s just rocks and dirt down there, but all buildings you buy in this supplement have perfectly decent foundations installed under them. If you bought the Underside, all that space is diggable too. You might even find some weird or cool stuff buried. Nothing amazing, but you’ll be amused.
Facility</v>
      </c>
      <c r="B60" s="17">
        <f>IFERROR(__xludf.DUMMYFUNCTION("if(len(A60)&gt;0, value(REGEXEXTRACT(A60, ""Chapter ([0-9]*):"")), """")"),113.0)</f>
        <v>113</v>
      </c>
      <c r="C60" s="31" t="str">
        <f>IFERROR(__xludf.DUMMYFUNCTION("if(len(A60) &gt;0, REGEXEXTRACT(A60, ""Chapter [0-9]*: (.*)""), """")"),"82 Bargaining - Addendum Uppercrust")</f>
        <v>82 Bargaining - Addendum Uppercrust</v>
      </c>
      <c r="D60" s="31" t="str">
        <f>IFERROR(__xludf.DUMMYFUNCTION("if(len(A60)&gt;0, REGEXEXTRACT(A60, ""\n[^\(]*""), """")"),"
Dig it ")</f>
        <v>
Dig it </v>
      </c>
      <c r="E60" s="17" t="str">
        <f>IFERROR(__xludf.DUMMYFUNCTION("if(len(A60)&gt;0, REGEXEXTRACT(A60, ""\n([^\n]*)$""), """")"),"Facility")</f>
        <v>Facility</v>
      </c>
      <c r="F60" s="17" t="str">
        <f>IFERROR(__xludf.DUMMYFUNCTION("if(len(A60)&gt;0, REGEXEXTRACT(A60, ""\(([^\)]*)\)""), """")"),"Personal Reality")</f>
        <v>Personal Reality</v>
      </c>
      <c r="G60" s="17" t="str">
        <f>IFERROR(__xludf.DUMMYFUNCTION("if(len(A60)&gt;0, REGEXEXTRACT(A60, ""\)([^:]*):""), """")")," 100")</f>
        <v> 100</v>
      </c>
      <c r="H60" s="31" t="str">
        <f>IFERROR(__xludf.DUMMYFUNCTION("if(len(A60) &gt; 0, JOIN(char(10), FILTER(SPLIT(A60, char(10)), split(""false false "" &amp; rept(""true "", columns(SPLIT(A60, char(10)))-3) &amp; ""false"", "" ""))), """")"),"You now have 40 meters of foundation material under your RGC. Why? Gardening? Graves? Whatever. It’s just rocks and dirt down there, but all buildings you buy in this supplement have perfectly decent foundations installed under them. If you bought the Und"&amp;"erside, all that space is diggable too. You might even find some weird or cool stuff buried. Nothing amazing, but you’ll be amused.")</f>
        <v>You now have 40 meters of foundation material under your RGC. Why? Gardening? Graves? Whatever. It’s just rocks and dirt down there, but all buildings you buy in this supplement have perfectly decent foundations installed under them. If you bought the Underside, all that space is diggable too. You might even find some weird or cool stuff buried. Nothing amazing, but you’ll be amused.</v>
      </c>
    </row>
    <row r="61">
      <c r="A61" s="31" t="str">
        <f>IFERROR(__xludf.DUMMYFUNCTION("""COMPUTED_VALUE"""),"Chapter 113: 82 Bargaining - Addendum Uppercrust
Farming tool (Viking Saga) Free:
Hit ho’s with hos.
Item")</f>
        <v>Chapter 113: 82 Bargaining - Addendum Uppercrust
Farming tool (Viking Saga) Free:
Hit ho’s with hos.
Item</v>
      </c>
      <c r="B61" s="17">
        <f>IFERROR(__xludf.DUMMYFUNCTION("if(len(A61)&gt;0, value(REGEXEXTRACT(A61, ""Chapter ([0-9]*):"")), """")"),113.0)</f>
        <v>113</v>
      </c>
      <c r="C61" s="31" t="str">
        <f>IFERROR(__xludf.DUMMYFUNCTION("if(len(A61) &gt;0, REGEXEXTRACT(A61, ""Chapter [0-9]*: (.*)""), """")"),"82 Bargaining - Addendum Uppercrust")</f>
        <v>82 Bargaining - Addendum Uppercrust</v>
      </c>
      <c r="D61" s="31" t="str">
        <f>IFERROR(__xludf.DUMMYFUNCTION("if(len(A61)&gt;0, REGEXEXTRACT(A61, ""\n[^\(]*""), """")"),"
Farming tool ")</f>
        <v>
Farming tool </v>
      </c>
      <c r="E61" s="17" t="str">
        <f>IFERROR(__xludf.DUMMYFUNCTION("if(len(A61)&gt;0, REGEXEXTRACT(A61, ""\n([^\n]*)$""), """")"),"Item")</f>
        <v>Item</v>
      </c>
      <c r="F61" s="17" t="str">
        <f>IFERROR(__xludf.DUMMYFUNCTION("if(len(A61)&gt;0, REGEXEXTRACT(A61, ""\(([^\)]*)\)""), """")"),"Viking Saga")</f>
        <v>Viking Saga</v>
      </c>
      <c r="G61" s="17" t="str">
        <f>IFERROR(__xludf.DUMMYFUNCTION("if(len(A61)&gt;0, REGEXEXTRACT(A61, ""\)([^:]*):""), """")")," Free")</f>
        <v> Free</v>
      </c>
      <c r="H61" s="31" t="str">
        <f>IFERROR(__xludf.DUMMYFUNCTION("if(len(A61) &gt; 0, JOIN(char(10), FILTER(SPLIT(A61, char(10)), split(""false false "" &amp; rept(""true "", columns(SPLIT(A61, char(10)))-3) &amp; ""false"", "" ""))), """")"),"Hit ho’s with hos.")</f>
        <v>Hit ho’s with hos.</v>
      </c>
    </row>
    <row r="62">
      <c r="A62" s="31" t="str">
        <f>IFERROR(__xludf.DUMMYFUNCTION("""COMPUTED_VALUE"""),"Chapter 113: 82 Bargaining - Addendum Uppercrust
Office (Personal Reality) 50:
A personal office specifically for you, so that you can perform your white collar paper-shuffling in relative privacy. A decent sized office, it comes with all the basic suppli"&amp;"es and equipment, such as notepads, paper clips, ink pens, filing cabinets and a desk. If you purchased Computer Hub it comes equipped with computer equipment as well. If you have VOWP it has a phone with an outside line that always direct dials whoever y"&amp;"ou want to reach in your current Host Reality… even if they don’t have a phone… you may not use this ability to locate them or translocate to their location or tag them with any power or ability or technology. You can ask them where they are, but they don"&amp;"’t have to tell you. This office has the effect of slightly boosting your focus, reading speed, reading comprehension, and retention rate, but only as long as you’re alone in it. Alternatively, it can be set up as a cubicle farm with 20 individual cubicle"&amp;"s.. but honestly… why would you? If you do, each cubicle gets a potted plant, an executive desk toy involving magnets or chrome balls, and a japanese lucky cat statue sized to fit on a desk. All are completely mundane. Additional purchases are allowed, ea"&amp;"ch adding the next Fibonacci number of offices (or 20 cubicles per office). Thus, the second purchase will get you a second office, while the third purchase will get you 2 more offices, and the fourth will get you 3 offices and the fifth will get you 5 of"&amp;"fices… please tell me you aren’t seriously going to waste WP on OFFICE SPACE? What part of ‘Keep this entertaining’ escaped you, CPA Man!? Repeatable
Facility")</f>
        <v>Chapter 113: 82 Bargaining - Addendum Uppercrust
Office (Personal Reality) 50:
A personal office specifically for you, so that you can perform your white collar paper-shuffling in relative privacy. A decent sized office, it comes with all the basic supplies and equipment, such as notepads, paper clips, ink pens, filing cabinets and a desk. If you purchased Computer Hub it comes equipped with computer equipment as well. If you have VOWP it has a phone with an outside line that always direct dials whoever you want to reach in your current Host Reality… even if they don’t have a phone… you may not use this ability to locate them or translocate to their location or tag them with any power or ability or technology. You can ask them where they are, but they don’t have to tell you. This office has the effect of slightly boosting your focus, reading speed, reading comprehension, and retention rate, but only as long as you’re alone in it. Alternatively, it can be set up as a cubicle farm with 20 individual cubicles.. but honestly… why would you? If you do, each cubicle gets a potted plant, an executive desk toy involving magnets or chrome balls, and a japanese lucky cat statue sized to fit on a desk. All are completely mundane. Additional purchases are allowed, each adding the next Fibonacci number of offices (or 20 cubicles per office). Thus, the second purchase will get you a second office, while the third purchase will get you 2 more offices, and the fourth will get you 3 offices and the fifth will get you 5 offices… please tell me you aren’t seriously going to waste WP on OFFICE SPACE? What part of ‘Keep this entertaining’ escaped you, CPA Man!? Repeatable
Facility</v>
      </c>
      <c r="B62" s="17">
        <f>IFERROR(__xludf.DUMMYFUNCTION("if(len(A62)&gt;0, value(REGEXEXTRACT(A62, ""Chapter ([0-9]*):"")), """")"),113.0)</f>
        <v>113</v>
      </c>
      <c r="C62" s="31" t="str">
        <f>IFERROR(__xludf.DUMMYFUNCTION("if(len(A62) &gt;0, REGEXEXTRACT(A62, ""Chapter [0-9]*: (.*)""), """")"),"82 Bargaining - Addendum Uppercrust")</f>
        <v>82 Bargaining - Addendum Uppercrust</v>
      </c>
      <c r="D62" s="31" t="str">
        <f>IFERROR(__xludf.DUMMYFUNCTION("if(len(A62)&gt;0, REGEXEXTRACT(A62, ""\n[^\(]*""), """")"),"
Office ")</f>
        <v>
Office </v>
      </c>
      <c r="E62" s="17" t="str">
        <f>IFERROR(__xludf.DUMMYFUNCTION("if(len(A62)&gt;0, REGEXEXTRACT(A62, ""\n([^\n]*)$""), """")"),"Facility")</f>
        <v>Facility</v>
      </c>
      <c r="F62" s="17" t="str">
        <f>IFERROR(__xludf.DUMMYFUNCTION("if(len(A62)&gt;0, REGEXEXTRACT(A62, ""\(([^\)]*)\)""), """")"),"Personal Reality")</f>
        <v>Personal Reality</v>
      </c>
      <c r="G62" s="17" t="str">
        <f>IFERROR(__xludf.DUMMYFUNCTION("if(len(A62)&gt;0, REGEXEXTRACT(A62, ""\)([^:]*):""), """")")," 50")</f>
        <v> 50</v>
      </c>
      <c r="H62" s="31" t="str">
        <f>IFERROR(__xludf.DUMMYFUNCTION("if(len(A62) &gt; 0, JOIN(char(10), FILTER(SPLIT(A62, char(10)), split(""false false "" &amp; rept(""true "", columns(SPLIT(A62, char(10)))-3) &amp; ""false"", "" ""))), """")"),"A personal office specifically for you, so that you can perform your white collar paper-shuffling in relative privacy. A decent sized office, it comes with all the basic supplies and equipment, such as notepads, paper clips, ink pens, filing cabinets and "&amp;"a desk. If you purchased Computer Hub it comes equipped with computer equipment as well. If you have VOWP it has a phone with an outside line that always direct dials whoever you want to reach in your current Host Reality… even if they don’t have a phone…"&amp;" you may not use this ability to locate them or translocate to their location or tag them with any power or ability or technology. You can ask them where they are, but they don’t have to tell you. This office has the effect of slightly boosting your focus"&amp;", reading speed, reading comprehension, and retention rate, but only as long as you’re alone in it. Alternatively, it can be set up as a cubicle farm with 20 individual cubicles.. but honestly… why would you? If you do, each cubicle gets a potted plant, a"&amp;"n executive desk toy involving magnets or chrome balls, and a japanese lucky cat statue sized to fit on a desk. All are completely mundane. Additional purchases are allowed, each adding the next Fibonacci number of offices (or 20 cubicles per office). Thu"&amp;"s, the second purchase will get you a second office, while the third purchase will get you 2 more offices, and the fourth will get you 3 offices and the fifth will get you 5 offices… please tell me you aren’t seriously going to waste WP on OFFICE SPACE? W"&amp;"hat part of ‘Keep this entertaining’ escaped you, CPA Man!? Repeatable")</f>
        <v>A personal office specifically for you, so that you can perform your white collar paper-shuffling in relative privacy. A decent sized office, it comes with all the basic supplies and equipment, such as notepads, paper clips, ink pens, filing cabinets and a desk. If you purchased Computer Hub it comes equipped with computer equipment as well. If you have VOWP it has a phone with an outside line that always direct dials whoever you want to reach in your current Host Reality… even if they don’t have a phone… you may not use this ability to locate them or translocate to their location or tag them with any power or ability or technology. You can ask them where they are, but they don’t have to tell you. This office has the effect of slightly boosting your focus, reading speed, reading comprehension, and retention rate, but only as long as you’re alone in it. Alternatively, it can be set up as a cubicle farm with 20 individual cubicles.. but honestly… why would you? If you do, each cubicle gets a potted plant, an executive desk toy involving magnets or chrome balls, and a japanese lucky cat statue sized to fit on a desk. All are completely mundane. Additional purchases are allowed, each adding the next Fibonacci number of offices (or 20 cubicles per office). Thus, the second purchase will get you a second office, while the third purchase will get you 2 more offices, and the fourth will get you 3 offices and the fifth will get you 5 offices… please tell me you aren’t seriously going to waste WP on OFFICE SPACE? What part of ‘Keep this entertaining’ escaped you, CPA Man!? Repeatable</v>
      </c>
    </row>
    <row r="63">
      <c r="A63" s="31" t="str">
        <f>IFERROR(__xludf.DUMMYFUNCTION("""COMPUTED_VALUE"""),"Chapter 113: 82 Bargaining - Addendum Uppercrust
Realistic Ground Cover (Personal Reality) 100:
Sick and tired of linoleum or concrete? This is the one for you. Now your Personal Reality floor can be turned into any naturally occurring terrain type, in se"&amp;"ctions, or roads and paths of your design. Any dirt or dust that would be created by this is magically taken care of… unless you don’t want it to be.
Facility")</f>
        <v>Chapter 113: 82 Bargaining - Addendum Uppercrust
Realistic Ground Cover (Personal Reality) 100:
Sick and tired of linoleum or concrete? This is the one for you. Now your Personal Reality floor can be turned into any naturally occurring terrain type, in sections, or roads and paths of your design. Any dirt or dust that would be created by this is magically taken care of… unless you don’t want it to be.
Facility</v>
      </c>
      <c r="B63" s="17">
        <f>IFERROR(__xludf.DUMMYFUNCTION("if(len(A63)&gt;0, value(REGEXEXTRACT(A63, ""Chapter ([0-9]*):"")), """")"),113.0)</f>
        <v>113</v>
      </c>
      <c r="C63" s="31" t="str">
        <f>IFERROR(__xludf.DUMMYFUNCTION("if(len(A63) &gt;0, REGEXEXTRACT(A63, ""Chapter [0-9]*: (.*)""), """")"),"82 Bargaining - Addendum Uppercrust")</f>
        <v>82 Bargaining - Addendum Uppercrust</v>
      </c>
      <c r="D63" s="31" t="str">
        <f>IFERROR(__xludf.DUMMYFUNCTION("if(len(A63)&gt;0, REGEXEXTRACT(A63, ""\n[^\(]*""), """")"),"
Realistic Ground Cover ")</f>
        <v>
Realistic Ground Cover </v>
      </c>
      <c r="E63" s="17" t="str">
        <f>IFERROR(__xludf.DUMMYFUNCTION("if(len(A63)&gt;0, REGEXEXTRACT(A63, ""\n([^\n]*)$""), """")"),"Facility")</f>
        <v>Facility</v>
      </c>
      <c r="F63" s="17" t="str">
        <f>IFERROR(__xludf.DUMMYFUNCTION("if(len(A63)&gt;0, REGEXEXTRACT(A63, ""\(([^\)]*)\)""), """")"),"Personal Reality")</f>
        <v>Personal Reality</v>
      </c>
      <c r="G63" s="17" t="str">
        <f>IFERROR(__xludf.DUMMYFUNCTION("if(len(A63)&gt;0, REGEXEXTRACT(A63, ""\)([^:]*):""), """")")," 100")</f>
        <v> 100</v>
      </c>
      <c r="H63" s="31" t="str">
        <f>IFERROR(__xludf.DUMMYFUNCTION("if(len(A63) &gt; 0, JOIN(char(10), FILTER(SPLIT(A63, char(10)), split(""false false "" &amp; rept(""true "", columns(SPLIT(A63, char(10)))-3) &amp; ""false"", "" ""))), """")"),"Sick and tired of linoleum or concrete? This is the one for you. Now your Personal Reality floor can be turned into any naturally occurring terrain type, in sections, or roads and paths of your design. Any dirt or dust that would be created by this is mag"&amp;"ically taken care of… unless you don’t want it to be.")</f>
        <v>Sick and tired of linoleum or concrete? This is the one for you. Now your Personal Reality floor can be turned into any naturally occurring terrain type, in sections, or roads and paths of your design. Any dirt or dust that would be created by this is magically taken care of… unless you don’t want it to be.</v>
      </c>
    </row>
    <row r="64">
      <c r="A64" s="31" t="str">
        <f>IFERROR(__xludf.DUMMYFUNCTION("""COMPUTED_VALUE"""),"Chapter 113: 82 Bargaining - Addendum Uppercrust
Whispered (Full Metal Panic) 600:
Due to a Soviet experiment a while ago, you're one of the exceptionally rare people known as the Whispered. they have an incredibly advanced knowledge of math, science, eng"&amp;"ineering, etc though each Whispered only specializes in a single area. If they take the time to learn or supplement this with other technical skills, it's possible to potentially create Black Technology of their own. -The 'Whispered' trait alone is not en"&amp;"ough to create Black Technology, but additional tech perks will make this a very real possibility.
System")</f>
        <v>Chapter 113: 82 Bargaining - Addendum Uppercrust
Whispered (Full Metal Panic) 600:
Due to a Soviet experiment a while ago, you're one of the exceptionally rare people known as the Whispered. they have an incredibly advanced knowledge of math, science, engineering, etc though each Whispered only specializes in a single area. If they take the time to learn or supplement this with other technical skills, it's possible to potentially create Black Technology of their own. -The 'Whispered' trait alone is not enough to create Black Technology, but additional tech perks will make this a very real possibility.
System</v>
      </c>
      <c r="B64" s="17">
        <f>IFERROR(__xludf.DUMMYFUNCTION("if(len(A64)&gt;0, value(REGEXEXTRACT(A64, ""Chapter ([0-9]*):"")), """")"),113.0)</f>
        <v>113</v>
      </c>
      <c r="C64" s="31" t="str">
        <f>IFERROR(__xludf.DUMMYFUNCTION("if(len(A64) &gt;0, REGEXEXTRACT(A64, ""Chapter [0-9]*: (.*)""), """")"),"82 Bargaining - Addendum Uppercrust")</f>
        <v>82 Bargaining - Addendum Uppercrust</v>
      </c>
      <c r="D64" s="31" t="str">
        <f>IFERROR(__xludf.DUMMYFUNCTION("if(len(A64)&gt;0, REGEXEXTRACT(A64, ""\n[^\(]*""), """")"),"
Whispered ")</f>
        <v>
Whispered </v>
      </c>
      <c r="E64" s="17" t="str">
        <f>IFERROR(__xludf.DUMMYFUNCTION("if(len(A64)&gt;0, REGEXEXTRACT(A64, ""\n([^\n]*)$""), """")"),"System")</f>
        <v>System</v>
      </c>
      <c r="F64" s="17" t="str">
        <f>IFERROR(__xludf.DUMMYFUNCTION("if(len(A64)&gt;0, REGEXEXTRACT(A64, ""\(([^\)]*)\)""), """")"),"Full Metal Panic")</f>
        <v>Full Metal Panic</v>
      </c>
      <c r="G64" s="17" t="str">
        <f>IFERROR(__xludf.DUMMYFUNCTION("if(len(A64)&gt;0, REGEXEXTRACT(A64, ""\)([^:]*):""), """")")," 600")</f>
        <v> 600</v>
      </c>
      <c r="H64" s="31" t="str">
        <f>IFERROR(__xludf.DUMMYFUNCTION("if(len(A64) &gt; 0, JOIN(char(10), FILTER(SPLIT(A64, char(10)), split(""false false "" &amp; rept(""true "", columns(SPLIT(A64, char(10)))-3) &amp; ""false"", "" ""))), """")"),"Due to a Soviet experiment a while ago, you're one of the exceptionally rare people known as the Whispered. they have an incredibly advanced knowledge of math, science, engineering, etc though each Whispered only specializes in a single area. If they take"&amp;" the time to learn or supplement this with other technical skills, it's possible to potentially create Black Technology of their own. -The 'Whispered' trait alone is not enough to create Black Technology, but additional tech perks will make this a very re"&amp;"al possibility.")</f>
        <v>Due to a Soviet experiment a while ago, you're one of the exceptionally rare people known as the Whispered. they have an incredibly advanced knowledge of math, science, engineering, etc though each Whispered only specializes in a single area. If they take the time to learn or supplement this with other technical skills, it's possible to potentially create Black Technology of their own. -The 'Whispered' trait alone is not enough to create Black Technology, but additional tech perks will make this a very real possibility.</v>
      </c>
    </row>
    <row r="65">
      <c r="A65" s="31" t="str">
        <f>IFERROR(__xludf.DUMMYFUNCTION("""COMPUTED_VALUE"""),"Chapter 113: 82 Bargaining - Addendum Uppercrust
Computer Hub (Personal Reality) 50:
A top-of-the-line mainframe / supercomputer with basic additional equipment, like scanners (2D and 3D, standard- and poster-sized) and printers (color, black and white,"&amp;" bulk printer, 3D printer, blueprint-printer), and binding equipment. Perfectly assimilates any upgrades done to it. Comes with operating system of your choice, be it Windows, Linux, Android, iOS, etc. You and each companion receive their own personal des"&amp;"ktop computer, laptop, and tablet. With the Extranet, all the computers in the Personal Reality are linked via an internal Intranet as well. If you have Central Control and Robots, they’re linked into the Intranet. All printing supplies (filament, paper, "&amp;"ink) must be supplied by the Jumper, but if you have the Mall, you can always find a print supply shop within without having to assign one of your slots to it.
Facility")</f>
        <v>Chapter 113: 82 Bargaining - Addendum Uppercrust
Computer Hub (Personal Reality) 50:
A top-of-the-line mainframe / supercomputer with basic additional equipment, like scanners (2D and 3D, standard- and poster-sized) and printers (color, black and white, bulk printer, 3D printer, blueprint-printer), and binding equipment. Perfectly assimilates any upgrades done to it. Comes with operating system of your choice, be it Windows, Linux, Android, iOS, etc. You and each companion receive their own personal desktop computer, laptop, and tablet. With the Extranet, all the computers in the Personal Reality are linked via an internal Intranet as well. If you have Central Control and Robots, they’re linked into the Intranet. All printing supplies (filament, paper, ink) must be supplied by the Jumper, but if you have the Mall, you can always find a print supply shop within without having to assign one of your slots to it.
Facility</v>
      </c>
      <c r="B65" s="17">
        <f>IFERROR(__xludf.DUMMYFUNCTION("if(len(A65)&gt;0, value(REGEXEXTRACT(A65, ""Chapter ([0-9]*):"")), """")"),113.0)</f>
        <v>113</v>
      </c>
      <c r="C65" s="31" t="str">
        <f>IFERROR(__xludf.DUMMYFUNCTION("if(len(A65) &gt;0, REGEXEXTRACT(A65, ""Chapter [0-9]*: (.*)""), """")"),"82 Bargaining - Addendum Uppercrust
")</f>
        <v>82 Bargaining - Addendum Uppercrust
</v>
      </c>
      <c r="D65" s="31" t="str">
        <f>IFERROR(__xludf.DUMMYFUNCTION("if(len(A65)&gt;0, REGEXEXTRACT(A65, ""\n[^\(]*""), """")"),"
Computer Hub ")</f>
        <v>
Computer Hub </v>
      </c>
      <c r="E65" s="17" t="str">
        <f>IFERROR(__xludf.DUMMYFUNCTION("if(len(A65)&gt;0, REGEXEXTRACT(A65, ""\n([^\n]*)$""), """")"),"Facility")</f>
        <v>Facility</v>
      </c>
      <c r="F65" s="17" t="str">
        <f>IFERROR(__xludf.DUMMYFUNCTION("if(len(A65)&gt;0, REGEXEXTRACT(A65, ""\(([^\)]*)\)""), """")"),"Personal Reality")</f>
        <v>Personal Reality</v>
      </c>
      <c r="G65" s="17" t="str">
        <f>IFERROR(__xludf.DUMMYFUNCTION("if(len(A65)&gt;0, REGEXEXTRACT(A65, ""\)([^:]*):""), """")")," 50")</f>
        <v> 50</v>
      </c>
      <c r="H65" s="31" t="str">
        <f>IFERROR(__xludf.DUMMYFUNCTION("if(len(A65) &gt; 0, JOIN(char(10), FILTER(SPLIT(A65, char(10)), split(""false false "" &amp; rept(""true "", columns(SPLIT(A65, char(10)))-3) &amp; ""false"", "" ""))), """")"),"A top-of-the-line mainframe / supercomputer with basic additional equipment, like scanners (2D and 3D, standard- and poster-sized) and printers (color, black and white, bulk printer, 3D printer, blueprint-printer), and binding equipment. Perfectly assimil"&amp;"ates any upgrades done to it. Comes with operating system of your choice, be it Windows, Linux, Android, iOS, etc. You and each companion receive their own personal desktop computer, laptop, and tablet. With the Extranet, all the computers in the Personal"&amp;" Reality are linked via an internal Intranet as well. If you have Central Control and Robots, they’re linked into the Intranet. All printing supplies (filament, paper, ink) must be supplied by the Jumper, but if you have the Mall, you can always find a pr"&amp;"int supply shop within without having to assign one of your slots to it.")</f>
        <v>A top-of-the-line mainframe / supercomputer with basic additional equipment, like scanners (2D and 3D, standard- and poster-sized) and printers (color, black and white, bulk printer, 3D printer, blueprint-printer), and binding equipment. Perfectly assimilates any upgrades done to it. Comes with operating system of your choice, be it Windows, Linux, Android, iOS, etc. You and each companion receive their own personal desktop computer, laptop, and tablet. With the Extranet, all the computers in the Personal Reality are linked via an internal Intranet as well. If you have Central Control and Robots, they’re linked into the Intranet. All printing supplies (filament, paper, ink) must be supplied by the Jumper, but if you have the Mall, you can always find a print supply shop within without having to assign one of your slots to it.</v>
      </c>
    </row>
    <row r="66">
      <c r="A66" s="31" t="str">
        <f>IFERROR(__xludf.DUMMYFUNCTION("""COMPUTED_VALUE"""),"Chapter 114: 82.1 Interlude Uppercrust
Dynamic Waterworks (Personal Reality) 100:
This is a strange one, but say you have an infinite source of some liquid and you want it pumped from wherever you source it through your Personal Reality, this Pipes Pipes "&amp;"Pipes Upgrade is for you. The plumbing hookups for your Reality now support up to six additional inputs from sources you must personally supply, and run those feeds through your Reality. If you have Central Control, they can even be mixed in precise ratio"&amp;"s at each distribution point. So, say you had an infinite supply of cocoa and an infinite supply of peppermint schnapps… you could set the system to dispense cocoa from all the brown faucets, peppermint schnapps from all the red &amp; white faucets, and spike"&amp;"d hot chocolate toddies from the brown &amp; red faucets… and could even tell it to make the mix in your office stronger than the mix in the staff break-room. While this can be combined with Water World to a degree, that degree is only to use the hose network"&amp;" to dispense a reasonably vast quantity of ‘unlimited liquid x’... say enough chocolate to make a small river… not to flood the planet… unless your source for that unlimited liquid specifies ‘absolutely unlimited’... generally speaking, if it’s for person"&amp;"al or even industrial use… it’s not good enough. Global usage at the very limit required for full Water World Integration. An additional 6 hook-ups costs -50 WP.
Facility")</f>
        <v>Chapter 114: 82.1 Interlude Uppercrust
Dynamic Waterworks (Personal Reality) 100:
This is a strange one, but say you have an infinite source of some liquid and you want it pumped from wherever you source it through your Personal Reality, this Pipes Pipes Pipes Upgrade is for you. The plumbing hookups for your Reality now support up to six additional inputs from sources you must personally supply, and run those feeds through your Reality. If you have Central Control, they can even be mixed in precise ratios at each distribution point. So, say you had an infinite supply of cocoa and an infinite supply of peppermint schnapps… you could set the system to dispense cocoa from all the brown faucets, peppermint schnapps from all the red &amp; white faucets, and spiked hot chocolate toddies from the brown &amp; red faucets… and could even tell it to make the mix in your office stronger than the mix in the staff break-room. While this can be combined with Water World to a degree, that degree is only to use the hose network to dispense a reasonably vast quantity of ‘unlimited liquid x’... say enough chocolate to make a small river… not to flood the planet… unless your source for that unlimited liquid specifies ‘absolutely unlimited’... generally speaking, if it’s for personal or even industrial use… it’s not good enough. Global usage at the very limit required for full Water World Integration. An additional 6 hook-ups costs -50 WP.
Facility</v>
      </c>
      <c r="B66" s="17">
        <f>IFERROR(__xludf.DUMMYFUNCTION("if(len(A66)&gt;0, value(REGEXEXTRACT(A66, ""Chapter ([0-9]*):"")), """")"),114.0)</f>
        <v>114</v>
      </c>
      <c r="C66" s="31" t="str">
        <f>IFERROR(__xludf.DUMMYFUNCTION("if(len(A66) &gt;0, REGEXEXTRACT(A66, ""Chapter [0-9]*: (.*)""), """")"),"82.1 Interlude Uppercrust")</f>
        <v>82.1 Interlude Uppercrust</v>
      </c>
      <c r="D66" s="31" t="str">
        <f>IFERROR(__xludf.DUMMYFUNCTION("if(len(A66)&gt;0, REGEXEXTRACT(A66, ""\n[^\(]*""), """")"),"
Dynamic Waterworks ")</f>
        <v>
Dynamic Waterworks </v>
      </c>
      <c r="E66" s="17" t="str">
        <f>IFERROR(__xludf.DUMMYFUNCTION("if(len(A66)&gt;0, REGEXEXTRACT(A66, ""\n([^\n]*)$""), """")"),"Facility")</f>
        <v>Facility</v>
      </c>
      <c r="F66" s="17" t="str">
        <f>IFERROR(__xludf.DUMMYFUNCTION("if(len(A66)&gt;0, REGEXEXTRACT(A66, ""\(([^\)]*)\)""), """")"),"Personal Reality")</f>
        <v>Personal Reality</v>
      </c>
      <c r="G66" s="17" t="str">
        <f>IFERROR(__xludf.DUMMYFUNCTION("if(len(A66)&gt;0, REGEXEXTRACT(A66, ""\)([^:]*):""), """")")," 100")</f>
        <v> 100</v>
      </c>
      <c r="H66" s="31" t="str">
        <f>IFERROR(__xludf.DUMMYFUNCTION("if(len(A66) &gt; 0, JOIN(char(10), FILTER(SPLIT(A66, char(10)), split(""false false "" &amp; rept(""true "", columns(SPLIT(A66, char(10)))-3) &amp; ""false"", "" ""))), """")"),"This is a strange one, but say you have an infinite source of some liquid and you want it pumped from wherever you source it through your Personal Reality, this Pipes Pipes Pipes Upgrade is for you. The plumbing hookups for your Reality now support up to "&amp;"six additional inputs from sources you must personally supply, and run those feeds through your Reality. If you have Central Control, they can even be mixed in precise ratios at each distribution point. So, say you had an infinite supply of cocoa and an i"&amp;"nfinite supply of peppermint schnapps… you could set the system to dispense cocoa from all the brown faucets, peppermint schnapps from all the red &amp; white faucets, and spiked hot chocolate toddies from the brown &amp; red faucets… and could even tell it to ma"&amp;"ke the mix in your office stronger than the mix in the staff break-room. While this can be combined with Water World to a degree, that degree is only to use the hose network to dispense a reasonably vast quantity of ‘unlimited liquid x’... say enough choc"&amp;"olate to make a small river… not to flood the planet… unless your source for that unlimited liquid specifies ‘absolutely unlimited’... generally speaking, if it’s for personal or even industrial use… it’s not good enough. Global usage at the very limit re"&amp;"quired for full Water World Integration. An additional 6 hook-ups costs -50 WP.")</f>
        <v>This is a strange one, but say you have an infinite source of some liquid and you want it pumped from wherever you source it through your Personal Reality, this Pipes Pipes Pipes Upgrade is for you. The plumbing hookups for your Reality now support up to six additional inputs from sources you must personally supply, and run those feeds through your Reality. If you have Central Control, they can even be mixed in precise ratios at each distribution point. So, say you had an infinite supply of cocoa and an infinite supply of peppermint schnapps… you could set the system to dispense cocoa from all the brown faucets, peppermint schnapps from all the red &amp; white faucets, and spiked hot chocolate toddies from the brown &amp; red faucets… and could even tell it to make the mix in your office stronger than the mix in the staff break-room. While this can be combined with Water World to a degree, that degree is only to use the hose network to dispense a reasonably vast quantity of ‘unlimited liquid x’... say enough chocolate to make a small river… not to flood the planet… unless your source for that unlimited liquid specifies ‘absolutely unlimited’... generally speaking, if it’s for personal or even industrial use… it’s not good enough. Global usage at the very limit required for full Water World Integration. An additional 6 hook-ups costs -50 WP.</v>
      </c>
    </row>
    <row r="67">
      <c r="A67" s="31" t="str">
        <f>IFERROR(__xludf.DUMMYFUNCTION("""COMPUTED_VALUE"""),"Chapter 114: 82.1 Interlude Uppercrust
Pipes Pipes Pipes (Personal Reality) 100:
Purchasing this provides your Warehouse with enough plumbing fixtures to turn the entire volume of your Personal Reality into one massive pool… or anything below that. This p"&amp;"rovides clean running water with any reasonably common additives you like (chlorine, glacial milk, fluoride), but does not provide a limitless supply, nor does it heat the water. By default, the amount of water this system can produce per day is 1 billion"&amp;" liters or one megaton of water or a block of water 100 meters on a side, and the default temperature of this water is 25 degrees Celsius. It can support any civilian infrastructure on the same scale as Mexico City or Tokyo. Comes only with the basic hook"&amp;"ups. You’ll need a plumber to do the actual piping. We hear Mario’s very good. Bathrooms not included. Purchasing this supplies all facilities inside your Personal Reality with water feeds, and if you’ve Got the Powa, it will supply hot and cold running w"&amp;"ater as well.
Facility")</f>
        <v>Chapter 114: 82.1 Interlude Uppercrust
Pipes Pipes Pipes (Personal Reality) 100:
Purchasing this provides your Warehouse with enough plumbing fixtures to turn the entire volume of your Personal Reality into one massive pool… or anything below that. This provides clean running water with any reasonably common additives you like (chlorine, glacial milk, fluoride), but does not provide a limitless supply, nor does it heat the water. By default, the amount of water this system can produce per day is 1 billion liters or one megaton of water or a block of water 100 meters on a side, and the default temperature of this water is 25 degrees Celsius. It can support any civilian infrastructure on the same scale as Mexico City or Tokyo. Comes only with the basic hookups. You’ll need a plumber to do the actual piping. We hear Mario’s very good. Bathrooms not included. Purchasing this supplies all facilities inside your Personal Reality with water feeds, and if you’ve Got the Powa, it will supply hot and cold running water as well.
Facility</v>
      </c>
      <c r="B67" s="17">
        <f>IFERROR(__xludf.DUMMYFUNCTION("if(len(A67)&gt;0, value(REGEXEXTRACT(A67, ""Chapter ([0-9]*):"")), """")"),114.0)</f>
        <v>114</v>
      </c>
      <c r="C67" s="31" t="str">
        <f>IFERROR(__xludf.DUMMYFUNCTION("if(len(A67) &gt;0, REGEXEXTRACT(A67, ""Chapter [0-9]*: (.*)""), """")"),"82.1 Interlude Uppercrust")</f>
        <v>82.1 Interlude Uppercrust</v>
      </c>
      <c r="D67" s="31" t="str">
        <f>IFERROR(__xludf.DUMMYFUNCTION("if(len(A67)&gt;0, REGEXEXTRACT(A67, ""\n[^\(]*""), """")"),"
Pipes Pipes Pipes ")</f>
        <v>
Pipes Pipes Pipes </v>
      </c>
      <c r="E67" s="17" t="str">
        <f>IFERROR(__xludf.DUMMYFUNCTION("if(len(A67)&gt;0, REGEXEXTRACT(A67, ""\n([^\n]*)$""), """")"),"Facility")</f>
        <v>Facility</v>
      </c>
      <c r="F67" s="17" t="str">
        <f>IFERROR(__xludf.DUMMYFUNCTION("if(len(A67)&gt;0, REGEXEXTRACT(A67, ""\(([^\)]*)\)""), """")"),"Personal Reality")</f>
        <v>Personal Reality</v>
      </c>
      <c r="G67" s="17" t="str">
        <f>IFERROR(__xludf.DUMMYFUNCTION("if(len(A67)&gt;0, REGEXEXTRACT(A67, ""\)([^:]*):""), """")")," 100")</f>
        <v> 100</v>
      </c>
      <c r="H67" s="31" t="str">
        <f>IFERROR(__xludf.DUMMYFUNCTION("if(len(A67) &gt; 0, JOIN(char(10), FILTER(SPLIT(A67, char(10)), split(""false false "" &amp; rept(""true "", columns(SPLIT(A67, char(10)))-3) &amp; ""false"", "" ""))), """")"),"Purchasing this provides your Warehouse with enough plumbing fixtures to turn the entire volume of your Personal Reality into one massive pool… or anything below that. This provides clean running water with any reasonably common additives you like (chlori"&amp;"ne, glacial milk, fluoride), but does not provide a limitless supply, nor does it heat the water. By default, the amount of water this system can produce per day is 1 billion liters or one megaton of water or a block of water 100 meters on a side, and the"&amp;" default temperature of this water is 25 degrees Celsius. It can support any civilian infrastructure on the same scale as Mexico City or Tokyo. Comes only with the basic hookups. You’ll need a plumber to do the actual piping. We hear Mario’s very good. Ba"&amp;"throoms not included. Purchasing this supplies all facilities inside your Personal Reality with water feeds, and if you’ve Got the Powa, it will supply hot and cold running water as well.")</f>
        <v>Purchasing this provides your Warehouse with enough plumbing fixtures to turn the entire volume of your Personal Reality into one massive pool… or anything below that. This provides clean running water with any reasonably common additives you like (chlorine, glacial milk, fluoride), but does not provide a limitless supply, nor does it heat the water. By default, the amount of water this system can produce per day is 1 billion liters or one megaton of water or a block of water 100 meters on a side, and the default temperature of this water is 25 degrees Celsius. It can support any civilian infrastructure on the same scale as Mexico City or Tokyo. Comes only with the basic hookups. You’ll need a plumber to do the actual piping. We hear Mario’s very good. Bathrooms not included. Purchasing this supplies all facilities inside your Personal Reality with water feeds, and if you’ve Got the Powa, it will supply hot and cold running water as well.</v>
      </c>
    </row>
    <row r="68">
      <c r="A68" s="31" t="str">
        <f>IFERROR(__xludf.DUMMYFUNCTION("""COMPUTED_VALUE"""),"Chapter 114: 82.1 Interlude Uppercrust
Waterworld (Personal Reality) 300:
This Pipes Pipes Pipes Upgrade provides you with all the water you’ll ever need. Every day this massive Hydrocore Tap can generate enough H2O in any natural form to cover Luna in se"&amp;"as 10 meters deep… let’s call it 500,000,000 cubic kilometers of water. Of course, throughput is going to be a bitch, so the Hydrocore comes with a Global targeting computer and up to a million hoses each capable of pumping out 500 cubic kilometers of wat"&amp;"er a day… or 5.8 million tons of water a second… or 29 times the flow rate of the Amazon River… each. If this isn’t enough water for you, you might be obsessed.
Facility")</f>
        <v>Chapter 114: 82.1 Interlude Uppercrust
Waterworld (Personal Reality) 300:
This Pipes Pipes Pipes Upgrade provides you with all the water you’ll ever need. Every day this massive Hydrocore Tap can generate enough H2O in any natural form to cover Luna in seas 10 meters deep… let’s call it 500,000,000 cubic kilometers of water. Of course, throughput is going to be a bitch, so the Hydrocore comes with a Global targeting computer and up to a million hoses each capable of pumping out 500 cubic kilometers of water a day… or 5.8 million tons of water a second… or 29 times the flow rate of the Amazon River… each. If this isn’t enough water for you, you might be obsessed.
Facility</v>
      </c>
      <c r="B68" s="17">
        <f>IFERROR(__xludf.DUMMYFUNCTION("if(len(A68)&gt;0, value(REGEXEXTRACT(A68, ""Chapter ([0-9]*):"")), """")"),114.0)</f>
        <v>114</v>
      </c>
      <c r="C68" s="31" t="str">
        <f>IFERROR(__xludf.DUMMYFUNCTION("if(len(A68) &gt;0, REGEXEXTRACT(A68, ""Chapter [0-9]*: (.*)""), """")"),"82.1 Interlude Uppercrust")</f>
        <v>82.1 Interlude Uppercrust</v>
      </c>
      <c r="D68" s="31" t="str">
        <f>IFERROR(__xludf.DUMMYFUNCTION("if(len(A68)&gt;0, REGEXEXTRACT(A68, ""\n[^\(]*""), """")"),"
Waterworld ")</f>
        <v>
Waterworld </v>
      </c>
      <c r="E68" s="17" t="str">
        <f>IFERROR(__xludf.DUMMYFUNCTION("if(len(A68)&gt;0, REGEXEXTRACT(A68, ""\n([^\n]*)$""), """")"),"Facility")</f>
        <v>Facility</v>
      </c>
      <c r="F68" s="17" t="str">
        <f>IFERROR(__xludf.DUMMYFUNCTION("if(len(A68)&gt;0, REGEXEXTRACT(A68, ""\(([^\)]*)\)""), """")"),"Personal Reality")</f>
        <v>Personal Reality</v>
      </c>
      <c r="G68" s="17" t="str">
        <f>IFERROR(__xludf.DUMMYFUNCTION("if(len(A68)&gt;0, REGEXEXTRACT(A68, ""\)([^:]*):""), """")")," 300")</f>
        <v> 300</v>
      </c>
      <c r="H68" s="31" t="str">
        <f>IFERROR(__xludf.DUMMYFUNCTION("if(len(A68) &gt; 0, JOIN(char(10), FILTER(SPLIT(A68, char(10)), split(""false false "" &amp; rept(""true "", columns(SPLIT(A68, char(10)))-3) &amp; ""false"", "" ""))), """")"),"This Pipes Pipes Pipes Upgrade provides you with all the water you’ll ever need. Every day this massive Hydrocore Tap can generate enough H2O in any natural form to cover Luna in seas 10 meters deep… let’s call it 500,000,000 cubic kilometers of water. Of"&amp;" course, throughput is going to be a bitch, so the Hydrocore comes with a Global targeting computer and up to a million hoses each capable of pumping out 500 cubic kilometers of water a day… or 5.8 million tons of water a second… or 29 times the flow rate"&amp;" of the Amazon River… each. If this isn’t enough water for you, you might be obsessed.")</f>
        <v>This Pipes Pipes Pipes Upgrade provides you with all the water you’ll ever need. Every day this massive Hydrocore Tap can generate enough H2O in any natural form to cover Luna in seas 10 meters deep… let’s call it 500,000,000 cubic kilometers of water. Of course, throughput is going to be a bitch, so the Hydrocore comes with a Global targeting computer and up to a million hoses each capable of pumping out 500 cubic kilometers of water a day… or 5.8 million tons of water a second… or 29 times the flow rate of the Amazon River… each. If this isn’t enough water for you, you might be obsessed.</v>
      </c>
    </row>
    <row r="69">
      <c r="A69" s="31" t="str">
        <f>IFERROR(__xludf.DUMMYFUNCTION("""COMPUTED_VALUE"""),"Chapter 114: 82.1 Interlude Uppercrust
Divine Weapon (Asura's Wrath) 300:
You have a legendary weapon forged by the smiths of heaven or found in the hot blood of the earth. In either case, it is nighunbreakable and has a unique quality or power.
As an "&amp;"example Wailing Dark, Argus’s sword, can extend to an outlandish length and with sufficient mantra, cut through a moon. Mooncutting feats require Mantra Level 5 at minimum.
Item")</f>
        <v>Chapter 114: 82.1 Interlude Uppercrust
Divine Weapon (Asura's Wrath) 300:
You have a legendary weapon forged by the smiths of heaven or found in the hot blood of the earth. In either case, it is nighunbreakable and has a unique quality or power.
As an example Wailing Dark, Argus’s sword, can extend to an outlandish length and with sufficient mantra, cut through a moon. Mooncutting feats require Mantra Level 5 at minimum.
Item</v>
      </c>
      <c r="B69" s="17">
        <f>IFERROR(__xludf.DUMMYFUNCTION("if(len(A69)&gt;0, value(REGEXEXTRACT(A69, ""Chapter ([0-9]*):"")), """")"),114.0)</f>
        <v>114</v>
      </c>
      <c r="C69" s="31" t="str">
        <f>IFERROR(__xludf.DUMMYFUNCTION("if(len(A69) &gt;0, REGEXEXTRACT(A69, ""Chapter [0-9]*: (.*)""), """")"),"82.1 Interlude Uppercrust
")</f>
        <v>82.1 Interlude Uppercrust
</v>
      </c>
      <c r="D69" s="31" t="str">
        <f>IFERROR(__xludf.DUMMYFUNCTION("if(len(A69)&gt;0, REGEXEXTRACT(A69, ""\n[^\(]*""), """")"),"
Divine Weapon ")</f>
        <v>
Divine Weapon </v>
      </c>
      <c r="E69" s="17" t="str">
        <f>IFERROR(__xludf.DUMMYFUNCTION("if(len(A69)&gt;0, REGEXEXTRACT(A69, ""\n([^\n]*)$""), """")"),"Item")</f>
        <v>Item</v>
      </c>
      <c r="F69" s="17" t="str">
        <f>IFERROR(__xludf.DUMMYFUNCTION("if(len(A69)&gt;0, REGEXEXTRACT(A69, ""\(([^\)]*)\)""), """")"),"Asura's Wrath")</f>
        <v>Asura's Wrath</v>
      </c>
      <c r="G69" s="17" t="str">
        <f>IFERROR(__xludf.DUMMYFUNCTION("if(len(A69)&gt;0, REGEXEXTRACT(A69, ""\)([^:]*):""), """")")," 300")</f>
        <v> 300</v>
      </c>
      <c r="H69" s="31" t="str">
        <f>IFERROR(__xludf.DUMMYFUNCTION("if(len(A69) &gt; 0, JOIN(char(10), FILTER(SPLIT(A69, char(10)), split(""false false "" &amp; rept(""true "", columns(SPLIT(A69, char(10)))-3) &amp; ""false"", "" ""))), """")"),"You have a legendary weapon forged by the smiths of heaven or found in the hot blood of the earth. In either case, it is nighunbreakable and has a unique quality or power.
As an example Wailing Dark, Argus’s sword, can extend to an outlandish length and "&amp;"with sufficient mantra, cut through a moon. Mooncutting feats require Mantra Level 5 at minimum.")</f>
        <v>You have a legendary weapon forged by the smiths of heaven or found in the hot blood of the earth. In either case, it is nighunbreakable and has a unique quality or power.
As an example Wailing Dark, Argus’s sword, can extend to an outlandish length and with sufficient mantra, cut through a moon. Mooncutting feats require Mantra Level 5 at minimum.</v>
      </c>
    </row>
    <row r="70">
      <c r="A70" s="31" t="str">
        <f>IFERROR(__xludf.DUMMYFUNCTION("""COMPUTED_VALUE"""),"Chapter 115: 83 Check In
Additional Keys (Personal Reality) 50:
This Access Key Upgrade gives you an additional keys to your Personal Reality. These keys attune to whomever you give them to and cannot be used by anyone other than them or someone they free"&amp;"ly and without duress or coercion of any kind allow to use the key. If they lose the key, it will return to them if they are still alive, or to you if they are currently dead. If they die in possession of the key, their body will be transported to your Me"&amp;"dical Bay, if you have one.
Item")</f>
        <v>Chapter 115: 83 Check In
Additional Keys (Personal Reality) 50:
This Access Key Upgrade gives you an additional keys to your Personal Reality. These keys attune to whomever you give them to and cannot be used by anyone other than them or someone they freely and without duress or coercion of any kind allow to use the key. If they lose the key, it will return to them if they are still alive, or to you if they are currently dead. If they die in possession of the key, their body will be transported to your Medical Bay, if you have one.
Item</v>
      </c>
      <c r="B70" s="17">
        <f>IFERROR(__xludf.DUMMYFUNCTION("if(len(A70)&gt;0, value(REGEXEXTRACT(A70, ""Chapter ([0-9]*):"")), """")"),115.0)</f>
        <v>115</v>
      </c>
      <c r="C70" s="31" t="str">
        <f>IFERROR(__xludf.DUMMYFUNCTION("if(len(A70) &gt;0, REGEXEXTRACT(A70, ""Chapter [0-9]*: (.*)""), """")"),"83 Check In")</f>
        <v>83 Check In</v>
      </c>
      <c r="D70" s="31" t="str">
        <f>IFERROR(__xludf.DUMMYFUNCTION("if(len(A70)&gt;0, REGEXEXTRACT(A70, ""\n[^\(]*""), """")"),"
Additional Keys ")</f>
        <v>
Additional Keys </v>
      </c>
      <c r="E70" s="17" t="str">
        <f>IFERROR(__xludf.DUMMYFUNCTION("if(len(A70)&gt;0, REGEXEXTRACT(A70, ""\n([^\n]*)$""), """")"),"Item")</f>
        <v>Item</v>
      </c>
      <c r="F70" s="17" t="str">
        <f>IFERROR(__xludf.DUMMYFUNCTION("if(len(A70)&gt;0, REGEXEXTRACT(A70, ""\(([^\)]*)\)""), """")"),"Personal Reality")</f>
        <v>Personal Reality</v>
      </c>
      <c r="G70" s="17" t="str">
        <f>IFERROR(__xludf.DUMMYFUNCTION("if(len(A70)&gt;0, REGEXEXTRACT(A70, ""\)([^:]*):""), """")")," 50")</f>
        <v> 50</v>
      </c>
      <c r="H70" s="31" t="str">
        <f>IFERROR(__xludf.DUMMYFUNCTION("if(len(A70) &gt; 0, JOIN(char(10), FILTER(SPLIT(A70, char(10)), split(""false false "" &amp; rept(""true "", columns(SPLIT(A70, char(10)))-3) &amp; ""false"", "" ""))), """")"),"This Access Key Upgrade gives you an additional keys to your Personal Reality. These keys attune to whomever you give them to and cannot be used by anyone other than them or someone they freely and without duress or coercion of any kind allow to use the k"&amp;"ey. If they lose the key, it will return to them if they are still alive, or to you if they are currently dead. If they die in possession of the key, their body will be transported to your Medical Bay, if you have one.")</f>
        <v>This Access Key Upgrade gives you an additional keys to your Personal Reality. These keys attune to whomever you give them to and cannot be used by anyone other than them or someone they freely and without duress or coercion of any kind allow to use the key. If they lose the key, it will return to them if they are still alive, or to you if they are currently dead. If they die in possession of the key, their body will be transported to your Medical Bay, if you have one.</v>
      </c>
    </row>
    <row r="71">
      <c r="A71" s="31" t="str">
        <f>IFERROR(__xludf.DUMMYFUNCTION("""COMPUTED_VALUE"""),"Chapter 115: 83 Check In
Entrance Hall - Garment (Personal Reality) 50:
This is the room your Access Key opens a door to.
Facility")</f>
        <v>Chapter 115: 83 Check In
Entrance Hall - Garment (Personal Reality) 50:
This is the room your Access Key opens a door to.
Facility</v>
      </c>
      <c r="B71" s="17">
        <f>IFERROR(__xludf.DUMMYFUNCTION("if(len(A71)&gt;0, value(REGEXEXTRACT(A71, ""Chapter ([0-9]*):"")), """")"),115.0)</f>
        <v>115</v>
      </c>
      <c r="C71" s="31" t="str">
        <f>IFERROR(__xludf.DUMMYFUNCTION("if(len(A71) &gt;0, REGEXEXTRACT(A71, ""Chapter [0-9]*: (.*)""), """")"),"83 Check In")</f>
        <v>83 Check In</v>
      </c>
      <c r="D71" s="31" t="str">
        <f>IFERROR(__xludf.DUMMYFUNCTION("if(len(A71)&gt;0, REGEXEXTRACT(A71, ""\n[^\(]*""), """")"),"
Entrance Hall - Garment ")</f>
        <v>
Entrance Hall - Garment </v>
      </c>
      <c r="E71" s="17" t="str">
        <f>IFERROR(__xludf.DUMMYFUNCTION("if(len(A71)&gt;0, REGEXEXTRACT(A71, ""\n([^\n]*)$""), """")"),"Facility")</f>
        <v>Facility</v>
      </c>
      <c r="F71" s="17" t="str">
        <f>IFERROR(__xludf.DUMMYFUNCTION("if(len(A71)&gt;0, REGEXEXTRACT(A71, ""\(([^\)]*)\)""), """")"),"Personal Reality")</f>
        <v>Personal Reality</v>
      </c>
      <c r="G71" s="17" t="str">
        <f>IFERROR(__xludf.DUMMYFUNCTION("if(len(A71)&gt;0, REGEXEXTRACT(A71, ""\)([^:]*):""), """")")," 50")</f>
        <v> 50</v>
      </c>
      <c r="H71" s="31" t="str">
        <f>IFERROR(__xludf.DUMMYFUNCTION("if(len(A71) &gt; 0, JOIN(char(10), FILTER(SPLIT(A71, char(10)), split(""false false "" &amp; rept(""true "", columns(SPLIT(A71, char(10)))-3) &amp; ""false"", "" ""))), """")"),"This is the room your Access Key opens a door to.")</f>
        <v>This is the room your Access Key opens a door to.</v>
      </c>
    </row>
    <row r="72">
      <c r="A72" s="31" t="str">
        <f>IFERROR(__xludf.DUMMYFUNCTION("""COMPUTED_VALUE"""),"Chapter 116: 83.1 Interlude Alec - Addendum Joe
Armsthrift (Fire Emblem: Awakening) 400:
Your weapons just don’t seem to break and you know how to care for them well. Even immensely fragile things are unlikely to break in your care. Guns won’t jam and s"&amp;"words never lose their edge.
Fiat")</f>
        <v>Chapter 116: 83.1 Interlude Alec - Addendum Joe
Armsthrift (Fire Emblem: Awakening) 400:
Your weapons just don’t seem to break and you know how to care for them well. Even immensely fragile things are unlikely to break in your care. Guns won’t jam and swords never lose their edge.
Fiat</v>
      </c>
      <c r="B72" s="17">
        <f>IFERROR(__xludf.DUMMYFUNCTION("if(len(A72)&gt;0, value(REGEXEXTRACT(A72, ""Chapter ([0-9]*):"")), """")"),116.0)</f>
        <v>116</v>
      </c>
      <c r="C72" s="31" t="str">
        <f>IFERROR(__xludf.DUMMYFUNCTION("if(len(A72) &gt;0, REGEXEXTRACT(A72, ""Chapter [0-9]*: (.*)""), """")"),"83.1 Interlude Alec - Addendum Joe
")</f>
        <v>83.1 Interlude Alec - Addendum Joe
</v>
      </c>
      <c r="D72" s="31" t="str">
        <f>IFERROR(__xludf.DUMMYFUNCTION("if(len(A72)&gt;0, REGEXEXTRACT(A72, ""\n[^\(]*""), """")"),"
Armsthrift ")</f>
        <v>
Armsthrift </v>
      </c>
      <c r="E72" s="17" t="str">
        <f>IFERROR(__xludf.DUMMYFUNCTION("if(len(A72)&gt;0, REGEXEXTRACT(A72, ""\n([^\n]*)$""), """")"),"Fiat")</f>
        <v>Fiat</v>
      </c>
      <c r="F72" s="17" t="str">
        <f>IFERROR(__xludf.DUMMYFUNCTION("if(len(A72)&gt;0, REGEXEXTRACT(A72, ""\(([^\)]*)\)""), """")"),"Fire Emblem: Awakening")</f>
        <v>Fire Emblem: Awakening</v>
      </c>
      <c r="G72" s="17" t="str">
        <f>IFERROR(__xludf.DUMMYFUNCTION("if(len(A72)&gt;0, REGEXEXTRACT(A72, ""\)([^:]*):""), """")")," 400")</f>
        <v> 400</v>
      </c>
      <c r="H72" s="31" t="str">
        <f>IFERROR(__xludf.DUMMYFUNCTION("if(len(A72) &gt; 0, JOIN(char(10), FILTER(SPLIT(A72, char(10)), split(""false false "" &amp; rept(""true "", columns(SPLIT(A72, char(10)))-3) &amp; ""false"", "" ""))), """")"),"Your weapons just don’t seem to break and you know how to care for them well. Even immensely fragile things are unlikely to break in your care. Guns won’t jam and swords never lose their edge.")</f>
        <v>Your weapons just don’t seem to break and you know how to care for them well. Even immensely fragile things are unlikely to break in your care. Guns won’t jam and swords never lose their edge.</v>
      </c>
    </row>
    <row r="73">
      <c r="A73" s="31" t="str">
        <f>IFERROR(__xludf.DUMMYFUNCTION("""COMPUTED_VALUE"""),"Chapter 117: 84 Pick Up
One-Man Assembly Line (XCOM) 600:
You really liked playing with building blocks as a kid. Now that you're all grown up, the world is your playground. Your knowledge of construction and engineering is unprecedented, and making a je"&amp;"t engine from spare parts over a weekend is your idea of fun.
Fiat")</f>
        <v>Chapter 117: 84 Pick Up
One-Man Assembly Line (XCOM) 600:
You really liked playing with building blocks as a kid. Now that you're all grown up, the world is your playground. Your knowledge of construction and engineering is unprecedented, and making a jet engine from spare parts over a weekend is your idea of fun.
Fiat</v>
      </c>
      <c r="B73" s="17">
        <f>IFERROR(__xludf.DUMMYFUNCTION("if(len(A73)&gt;0, value(REGEXEXTRACT(A73, ""Chapter ([0-9]*):"")), """")"),117.0)</f>
        <v>117</v>
      </c>
      <c r="C73" s="31" t="str">
        <f>IFERROR(__xludf.DUMMYFUNCTION("if(len(A73) &gt;0, REGEXEXTRACT(A73, ""Chapter [0-9]*: (.*)""), """")"),"84 Pick Up")</f>
        <v>84 Pick Up</v>
      </c>
      <c r="D73" s="31" t="str">
        <f>IFERROR(__xludf.DUMMYFUNCTION("if(len(A73)&gt;0, REGEXEXTRACT(A73, ""\n[^\(]*""), """")"),"
One-Man Assembly Line ")</f>
        <v>
One-Man Assembly Line </v>
      </c>
      <c r="E73" s="17" t="str">
        <f>IFERROR(__xludf.DUMMYFUNCTION("if(len(A73)&gt;0, REGEXEXTRACT(A73, ""\n([^\n]*)$""), """")"),"Fiat")</f>
        <v>Fiat</v>
      </c>
      <c r="F73" s="17" t="str">
        <f>IFERROR(__xludf.DUMMYFUNCTION("if(len(A73)&gt;0, REGEXEXTRACT(A73, ""\(([^\)]*)\)""), """")"),"XCOM")</f>
        <v>XCOM</v>
      </c>
      <c r="G73" s="17" t="str">
        <f>IFERROR(__xludf.DUMMYFUNCTION("if(len(A73)&gt;0, REGEXEXTRACT(A73, ""\)([^:]*):""), """")")," 600")</f>
        <v> 600</v>
      </c>
      <c r="H73" s="31" t="str">
        <f>IFERROR(__xludf.DUMMYFUNCTION("if(len(A73) &gt; 0, JOIN(char(10), FILTER(SPLIT(A73, char(10)), split(""false false "" &amp; rept(""true "", columns(SPLIT(A73, char(10)))-3) &amp; ""false"", "" ""))), """")"),"You really liked playing with building blocks as a kid. Now that you're all grown up, the world is your playground. Your knowledge of construction and engineering is unprecedented, and making a jet engine from spare parts over a weekend is your idea of fu"&amp;"n.")</f>
        <v>You really liked playing with building blocks as a kid. Now that you're all grown up, the world is your playground. Your knowledge of construction and engineering is unprecedented, and making a jet engine from spare parts over a weekend is your idea of fun.</v>
      </c>
    </row>
    <row r="74">
      <c r="A74" s="31" t="str">
        <f>IFERROR(__xludf.DUMMYFUNCTION("""COMPUTED_VALUE"""),"Chapter 118: 85 Drop Off
Additional Space - Starting Area (Personal Reality) 200:
This Starting Space Upgrade expands your Personal Reality by a factor of 10 in each dimension… or rather the standard three dimensions, you rabid cheeselord. This can be pur"&amp;"chased multiple times. Additional Space also upgrades various expansion options. The first purchase of this brings you to 64 Million Cubic Meters, then 64 Billion Cubic Meters, then 64 Trillion Cubic Meters. Earth’s volume, for reference, is 1 Hexillion C"&amp;"ubic Meters and it’s surface area is 510 Quadrillion Square Meters. Cover the Earth in storage facilities 100 meters high and you get 51 Quintillion Cubic Meters of Storage space.
Facility")</f>
        <v>Chapter 118: 85 Drop Off
Additional Space - Starting Area (Personal Reality) 200:
This Starting Space Upgrade expands your Personal Reality by a factor of 10 in each dimension… or rather the standard three dimensions, you rabid cheeselord. This can be purchased multiple times. Additional Space also upgrades various expansion options. The first purchase of this brings you to 64 Million Cubic Meters, then 64 Billion Cubic Meters, then 64 Trillion Cubic Meters. Earth’s volume, for reference, is 1 Hexillion Cubic Meters and it’s surface area is 510 Quadrillion Square Meters. Cover the Earth in storage facilities 100 meters high and you get 51 Quintillion Cubic Meters of Storage space.
Facility</v>
      </c>
      <c r="B74" s="17">
        <f>IFERROR(__xludf.DUMMYFUNCTION("if(len(A74)&gt;0, value(REGEXEXTRACT(A74, ""Chapter ([0-9]*):"")), """")"),118.0)</f>
        <v>118</v>
      </c>
      <c r="C74" s="31" t="str">
        <f>IFERROR(__xludf.DUMMYFUNCTION("if(len(A74) &gt;0, REGEXEXTRACT(A74, ""Chapter [0-9]*: (.*)""), """")"),"85 Drop Off")</f>
        <v>85 Drop Off</v>
      </c>
      <c r="D74" s="31" t="str">
        <f>IFERROR(__xludf.DUMMYFUNCTION("if(len(A74)&gt;0, REGEXEXTRACT(A74, ""\n[^\(]*""), """")"),"
Additional Space - Starting Area ")</f>
        <v>
Additional Space - Starting Area </v>
      </c>
      <c r="E74" s="17" t="str">
        <f>IFERROR(__xludf.DUMMYFUNCTION("if(len(A74)&gt;0, REGEXEXTRACT(A74, ""\n([^\n]*)$""), """")"),"Facility")</f>
        <v>Facility</v>
      </c>
      <c r="F74" s="17" t="str">
        <f>IFERROR(__xludf.DUMMYFUNCTION("if(len(A74)&gt;0, REGEXEXTRACT(A74, ""\(([^\)]*)\)""), """")"),"Personal Reality")</f>
        <v>Personal Reality</v>
      </c>
      <c r="G74" s="17" t="str">
        <f>IFERROR(__xludf.DUMMYFUNCTION("if(len(A74)&gt;0, REGEXEXTRACT(A74, ""\)([^:]*):""), """")")," 200")</f>
        <v> 200</v>
      </c>
      <c r="H74" s="31" t="str">
        <f>IFERROR(__xludf.DUMMYFUNCTION("if(len(A74) &gt; 0, JOIN(char(10), FILTER(SPLIT(A74, char(10)), split(""false false "" &amp; rept(""true "", columns(SPLIT(A74, char(10)))-3) &amp; ""false"", "" ""))), """")"),"This Starting Space Upgrade expands your Personal Reality by a factor of 10 in each dimension… or rather the standard three dimensions, you rabid cheeselord. This can be purchased multiple times. Additional Space also upgrades various expansion options. T"&amp;"he first purchase of this brings you to 64 Million Cubic Meters, then 64 Billion Cubic Meters, then 64 Trillion Cubic Meters. Earth’s volume, for reference, is 1 Hexillion Cubic Meters and it’s surface area is 510 Quadrillion Square Meters. Cover the Eart"&amp;"h in storage facilities 100 meters high and you get 51 Quintillion Cubic Meters of Storage space.")</f>
        <v>This Starting Space Upgrade expands your Personal Reality by a factor of 10 in each dimension… or rather the standard three dimensions, you rabid cheeselord. This can be purchased multiple times. Additional Space also upgrades various expansion options. The first purchase of this brings you to 64 Million Cubic Meters, then 64 Billion Cubic Meters, then 64 Trillion Cubic Meters. Earth’s volume, for reference, is 1 Hexillion Cubic Meters and it’s surface area is 510 Quadrillion Square Meters. Cover the Earth in storage facilities 100 meters high and you get 51 Quintillion Cubic Meters of Storage space.</v>
      </c>
    </row>
    <row r="75">
      <c r="A75" s="31" t="str">
        <f>IFERROR(__xludf.DUMMYFUNCTION("""COMPUTED_VALUE"""),"Chapter 118: 85 Drop Off
Additional Space – Lofty Loft (Personal Reality) 200:
This Starting Space Upgrade expands your Personal Reality by a factor of 10 in each dimension… or rather the standard three dimensions, you rabid cheeselord. This can be purcha"&amp;"sed multiple times. Additional Space also upgrades various expansion options. The first purchase of this brings you to 64 Million Cubic Meters, then 64 Billion Cubic Meters, then 64 Trillion Cubic Meters. Earth’s volume, for reference, is 1 Hexillion Cubi"&amp;"c Meters and it’s surface area is 510 Quadrillion Square Meters. Cover the Earth in storage facilities 100 meters high and you get 51 Quintillion Cubic Meters of Storage space.
Facility")</f>
        <v>Chapter 118: 85 Drop Off
Additional Space – Lofty Loft (Personal Reality) 200:
This Starting Space Upgrade expands your Personal Reality by a factor of 10 in each dimension… or rather the standard three dimensions, you rabid cheeselord. This can be purchased multiple times. Additional Space also upgrades various expansion options. The first purchase of this brings you to 64 Million Cubic Meters, then 64 Billion Cubic Meters, then 64 Trillion Cubic Meters. Earth’s volume, for reference, is 1 Hexillion Cubic Meters and it’s surface area is 510 Quadrillion Square Meters. Cover the Earth in storage facilities 100 meters high and you get 51 Quintillion Cubic Meters of Storage space.
Facility</v>
      </c>
      <c r="B75" s="17">
        <f>IFERROR(__xludf.DUMMYFUNCTION("if(len(A75)&gt;0, value(REGEXEXTRACT(A75, ""Chapter ([0-9]*):"")), """")"),118.0)</f>
        <v>118</v>
      </c>
      <c r="C75" s="31" t="str">
        <f>IFERROR(__xludf.DUMMYFUNCTION("if(len(A75) &gt;0, REGEXEXTRACT(A75, ""Chapter [0-9]*: (.*)""), """")"),"85 Drop Off")</f>
        <v>85 Drop Off</v>
      </c>
      <c r="D75" s="31" t="str">
        <f>IFERROR(__xludf.DUMMYFUNCTION("if(len(A75)&gt;0, REGEXEXTRACT(A75, ""\n[^\(]*""), """")"),"
Additional Space – Lofty Loft ")</f>
        <v>
Additional Space – Lofty Loft </v>
      </c>
      <c r="E75" s="17" t="str">
        <f>IFERROR(__xludf.DUMMYFUNCTION("if(len(A75)&gt;0, REGEXEXTRACT(A75, ""\n([^\n]*)$""), """")"),"Facility")</f>
        <v>Facility</v>
      </c>
      <c r="F75" s="17" t="str">
        <f>IFERROR(__xludf.DUMMYFUNCTION("if(len(A75)&gt;0, REGEXEXTRACT(A75, ""\(([^\)]*)\)""), """")"),"Personal Reality")</f>
        <v>Personal Reality</v>
      </c>
      <c r="G75" s="17" t="str">
        <f>IFERROR(__xludf.DUMMYFUNCTION("if(len(A75)&gt;0, REGEXEXTRACT(A75, ""\)([^:]*):""), """")")," 200")</f>
        <v> 200</v>
      </c>
      <c r="H75" s="31" t="str">
        <f>IFERROR(__xludf.DUMMYFUNCTION("if(len(A75) &gt; 0, JOIN(char(10), FILTER(SPLIT(A75, char(10)), split(""false false "" &amp; rept(""true "", columns(SPLIT(A75, char(10)))-3) &amp; ""false"", "" ""))), """")"),"This Starting Space Upgrade expands your Personal Reality by a factor of 10 in each dimension… or rather the standard three dimensions, you rabid cheeselord. This can be purchased multiple times. Additional Space also upgrades various expansion options. T"&amp;"he first purchase of this brings you to 64 Million Cubic Meters, then 64 Billion Cubic Meters, then 64 Trillion Cubic Meters. Earth’s volume, for reference, is 1 Hexillion Cubic Meters and it’s surface area is 510 Quadrillion Square Meters. Cover the Eart"&amp;"h in storage facilities 100 meters high and you get 51 Quintillion Cubic Meters of Storage space.")</f>
        <v>This Starting Space Upgrade expands your Personal Reality by a factor of 10 in each dimension… or rather the standard three dimensions, you rabid cheeselord. This can be purchased multiple times. Additional Space also upgrades various expansion options. The first purchase of this brings you to 64 Million Cubic Meters, then 64 Billion Cubic Meters, then 64 Trillion Cubic Meters. Earth’s volume, for reference, is 1 Hexillion Cubic Meters and it’s surface area is 510 Quadrillion Square Meters. Cover the Earth in storage facilities 100 meters high and you get 51 Quintillion Cubic Meters of Storage space.</v>
      </c>
    </row>
    <row r="76">
      <c r="A76" s="31" t="str">
        <f>IFERROR(__xludf.DUMMYFUNCTION("""COMPUTED_VALUE"""),"Chapter 12: 9 Acquisitions
Alchemy (Banjo-Kazooie) 100:
You are incredibly capable at mixing together mundane ingredients to create effects that can only be described as magical. For a short time these potions can create temporary copies of you, turn you "&amp;"invisible, or give you shielding.
Set")</f>
        <v>Chapter 12: 9 Acquisitions
Alchemy (Banjo-Kazooie) 100:
You are incredibly capable at mixing together mundane ingredients to create effects that can only be described as magical. For a short time these potions can create temporary copies of you, turn you invisible, or give you shielding.
Set</v>
      </c>
      <c r="B76" s="17">
        <f>IFERROR(__xludf.DUMMYFUNCTION("if(len(A76)&gt;0, value(REGEXEXTRACT(A76, ""Chapter ([0-9]*):"")), """")"),12.0)</f>
        <v>12</v>
      </c>
      <c r="C76" s="31" t="str">
        <f>IFERROR(__xludf.DUMMYFUNCTION("if(len(A76) &gt;0, REGEXEXTRACT(A76, ""Chapter [0-9]*: (.*)""), """")"),"9 Acquisitions")</f>
        <v>9 Acquisitions</v>
      </c>
      <c r="D76" s="31" t="str">
        <f>IFERROR(__xludf.DUMMYFUNCTION("if(len(A76)&gt;0, REGEXEXTRACT(A76, ""\n[^\(]*""), """")"),"
Alchemy ")</f>
        <v>
Alchemy </v>
      </c>
      <c r="E76" s="17" t="str">
        <f>IFERROR(__xludf.DUMMYFUNCTION("if(len(A76)&gt;0, REGEXEXTRACT(A76, ""\n([^\n]*)$""), """")"),"Set")</f>
        <v>Set</v>
      </c>
      <c r="F76" s="17" t="str">
        <f>IFERROR(__xludf.DUMMYFUNCTION("if(len(A76)&gt;0, REGEXEXTRACT(A76, ""\(([^\)]*)\)""), """")"),"Banjo-Kazooie")</f>
        <v>Banjo-Kazooie</v>
      </c>
      <c r="G76" s="17" t="str">
        <f>IFERROR(__xludf.DUMMYFUNCTION("if(len(A76)&gt;0, REGEXEXTRACT(A76, ""\)([^:]*):""), """")")," 100")</f>
        <v> 100</v>
      </c>
      <c r="H76" s="31" t="str">
        <f>IFERROR(__xludf.DUMMYFUNCTION("if(len(A76) &gt; 0, JOIN(char(10), FILTER(SPLIT(A76, char(10)), split(""false false "" &amp; rept(""true "", columns(SPLIT(A76, char(10)))-3) &amp; ""false"", "" ""))), """")"),"You are incredibly capable at mixing together mundane ingredients to create effects that can only be described as magical. For a short time these potions can create temporary copies of you, turn you invisible, or give you shielding.")</f>
        <v>You are incredibly capable at mixing together mundane ingredients to create effects that can only be described as magical. For a short time these potions can create temporary copies of you, turn you invisible, or give you shielding.</v>
      </c>
    </row>
    <row r="77">
      <c r="A77" s="31" t="str">
        <f>IFERROR(__xludf.DUMMYFUNCTION("""COMPUTED_VALUE"""),"Chapter 12: 9 Acquisitions
Garment Gloves (Dodgeball) 200:
These are a pair of pure white gloves. Bound to them is an intelligence with a mind for fashion: a designer, seamstress, clothier, and tailor without mortal peer. It has the ability to scry for fa"&amp;"shion based information from international trends to precise measurements. Given materials and orders, it will industriously produce fine apparel, producing any modifications, clothing, footwear, accessories, etc that is within theoretical mortal ability."&amp;" It has sufficient telekinesis to move itself and to independently suspend materials. It must be provided with materials, though it may be provided a lump sum or budget with which to magically acquire materials at cost.
You may wear the gloves to channel "&amp;"the skills (but not powers) of the entity, perhaps even learning from it.
Entity")</f>
        <v>Chapter 12: 9 Acquisitions
Garment Gloves (Dodgeball) 200:
These are a pair of pure white gloves. Bound to them is an intelligence with a mind for fashion: a designer, seamstress, clothier, and tailor without mortal peer. It has the ability to scry for fashion based information from international trends to precise measurements. Given materials and orders, it will industriously produce fine apparel, producing any modifications, clothing, footwear, accessories, etc that is within theoretical mortal ability. It has sufficient telekinesis to move itself and to independently suspend materials. It must be provided with materials, though it may be provided a lump sum or budget with which to magically acquire materials at cost.
You may wear the gloves to channel the skills (but not powers) of the entity, perhaps even learning from it.
Entity</v>
      </c>
      <c r="B77" s="17">
        <f>IFERROR(__xludf.DUMMYFUNCTION("if(len(A77)&gt;0, value(REGEXEXTRACT(A77, ""Chapter ([0-9]*):"")), """")"),12.0)</f>
        <v>12</v>
      </c>
      <c r="C77" s="31" t="str">
        <f>IFERROR(__xludf.DUMMYFUNCTION("if(len(A77) &gt;0, REGEXEXTRACT(A77, ""Chapter [0-9]*: (.*)""), """")"),"9 Acquisitions")</f>
        <v>9 Acquisitions</v>
      </c>
      <c r="D77" s="31" t="str">
        <f>IFERROR(__xludf.DUMMYFUNCTION("if(len(A77)&gt;0, REGEXEXTRACT(A77, ""\n[^\(]*""), """")"),"
Garment Gloves ")</f>
        <v>
Garment Gloves </v>
      </c>
      <c r="E77" s="17" t="str">
        <f>IFERROR(__xludf.DUMMYFUNCTION("if(len(A77)&gt;0, REGEXEXTRACT(A77, ""\n([^\n]*)$""), """")"),"Entity")</f>
        <v>Entity</v>
      </c>
      <c r="F77" s="17" t="str">
        <f>IFERROR(__xludf.DUMMYFUNCTION("if(len(A77)&gt;0, REGEXEXTRACT(A77, ""\(([^\)]*)\)""), """")"),"Dodgeball")</f>
        <v>Dodgeball</v>
      </c>
      <c r="G77" s="17" t="str">
        <f>IFERROR(__xludf.DUMMYFUNCTION("if(len(A77)&gt;0, REGEXEXTRACT(A77, ""\)([^:]*):""), """")")," 200")</f>
        <v> 200</v>
      </c>
      <c r="H77" s="31" t="str">
        <f>IFERROR(__xludf.DUMMYFUNCTION("if(len(A77) &gt; 0, JOIN(char(10), FILTER(SPLIT(A77, char(10)), split(""false false "" &amp; rept(""true "", columns(SPLIT(A77, char(10)))-3) &amp; ""false"", "" ""))), """")"),"These are a pair of pure white gloves. Bound to them is an intelligence with a mind for fashion: a designer, seamstress, clothier, and tailor without mortal peer. It has the ability to scry for fashion based information from international trends to precis"&amp;"e measurements. Given materials and orders, it will industriously produce fine apparel, producing any modifications, clothing, footwear, accessories, etc that is within theoretical mortal ability. It has sufficient telekinesis to move itself and to indepe"&amp;"ndently suspend materials. It must be provided with materials, though it may be provided a lump sum or budget with which to magically acquire materials at cost.
You may wear the gloves to channel the skills (but not powers) of the entity, perhaps even lea"&amp;"rning from it.")</f>
        <v>These are a pair of pure white gloves. Bound to them is an intelligence with a mind for fashion: a designer, seamstress, clothier, and tailor without mortal peer. It has the ability to scry for fashion based information from international trends to precise measurements. Given materials and orders, it will industriously produce fine apparel, producing any modifications, clothing, footwear, accessories, etc that is within theoretical mortal ability. It has sufficient telekinesis to move itself and to independently suspend materials. It must be provided with materials, though it may be provided a lump sum or budget with which to magically acquire materials at cost.
You may wear the gloves to channel the skills (but not powers) of the entity, perhaps even learning from it.</v>
      </c>
    </row>
    <row r="78">
      <c r="A78" s="31" t="str">
        <f>IFERROR(__xludf.DUMMYFUNCTION("""COMPUTED_VALUE"""),"Chapter 12: 9 Acquisitions
Life Fiber Spool (Kill la Kill) 400:
A medium-sized spool of Life Fiber. It's only enough to maybe make a pair of gloves out of, but with the proper knowledge, one could create Goku Uniforms- Or enhance existing articles of clot"&amp;"hing to be like Goku Uniforms. One spool of thread is enough to make several one-star outfits, three two-star outfits, or a single three-star outfit, assuming you have the knowledge of how to work with Life Fibers
Entity")</f>
        <v>Chapter 12: 9 Acquisitions
Life Fiber Spool (Kill la Kill) 400:
A medium-sized spool of Life Fiber. It's only enough to maybe make a pair of gloves out of, but with the proper knowledge, one could create Goku Uniforms- Or enhance existing articles of clothing to be like Goku Uniforms. One spool of thread is enough to make several one-star outfits, three two-star outfits, or a single three-star outfit, assuming you have the knowledge of how to work with Life Fibers
Entity</v>
      </c>
      <c r="B78" s="17">
        <f>IFERROR(__xludf.DUMMYFUNCTION("if(len(A78)&gt;0, value(REGEXEXTRACT(A78, ""Chapter ([0-9]*):"")), """")"),12.0)</f>
        <v>12</v>
      </c>
      <c r="C78" s="31" t="str">
        <f>IFERROR(__xludf.DUMMYFUNCTION("if(len(A78) &gt;0, REGEXEXTRACT(A78, ""Chapter [0-9]*: (.*)""), """")"),"9 Acquisitions")</f>
        <v>9 Acquisitions</v>
      </c>
      <c r="D78" s="31" t="str">
        <f>IFERROR(__xludf.DUMMYFUNCTION("if(len(A78)&gt;0, REGEXEXTRACT(A78, ""\n[^\(]*""), """")"),"
Life Fiber Spool ")</f>
        <v>
Life Fiber Spool </v>
      </c>
      <c r="E78" s="17" t="str">
        <f>IFERROR(__xludf.DUMMYFUNCTION("if(len(A78)&gt;0, REGEXEXTRACT(A78, ""\n([^\n]*)$""), """")"),"Entity")</f>
        <v>Entity</v>
      </c>
      <c r="F78" s="17" t="str">
        <f>IFERROR(__xludf.DUMMYFUNCTION("if(len(A78)&gt;0, REGEXEXTRACT(A78, ""\(([^\)]*)\)""), """")"),"Kill la Kill")</f>
        <v>Kill la Kill</v>
      </c>
      <c r="G78" s="17" t="str">
        <f>IFERROR(__xludf.DUMMYFUNCTION("if(len(A78)&gt;0, REGEXEXTRACT(A78, ""\)([^:]*):""), """")")," 400")</f>
        <v> 400</v>
      </c>
      <c r="H78" s="31" t="str">
        <f>IFERROR(__xludf.DUMMYFUNCTION("if(len(A78) &gt; 0, JOIN(char(10), FILTER(SPLIT(A78, char(10)), split(""false false "" &amp; rept(""true "", columns(SPLIT(A78, char(10)))-3) &amp; ""false"", "" ""))), """")"),"A medium-sized spool of Life Fiber. It's only enough to maybe make a pair of gloves out of, but with the proper knowledge, one could create Goku Uniforms- Or enhance existing articles of clothing to be like Goku Uniforms. One spool of thread is enough to "&amp;"make several one-star outfits, three two-star outfits, or a single three-star outfit, assuming you have the knowledge of how to work with Life Fibers")</f>
        <v>A medium-sized spool of Life Fiber. It's only enough to maybe make a pair of gloves out of, but with the proper knowledge, one could create Goku Uniforms- Or enhance existing articles of clothing to be like Goku Uniforms. One spool of thread is enough to make several one-star outfits, three two-star outfits, or a single three-star outfit, assuming you have the knowledge of how to work with Life Fibers</v>
      </c>
    </row>
    <row r="79">
      <c r="A79" s="31" t="str">
        <f>IFERROR(__xludf.DUMMYFUNCTION("""COMPUTED_VALUE"""),"Chapter 120: 86 Pack Up
Minor Blessing Dionysus - Libations (Percy Jackson) 100:
For one reason or another you've got a god who cares slightly about you and has seen fit to grant you some minor boon within their domains.
System")</f>
        <v>Chapter 120: 86 Pack Up
Minor Blessing Dionysus - Libations (Percy Jackson) 100:
For one reason or another you've got a god who cares slightly about you and has seen fit to grant you some minor boon within their domains.
System</v>
      </c>
      <c r="B79" s="17">
        <f>IFERROR(__xludf.DUMMYFUNCTION("if(len(A79)&gt;0, value(REGEXEXTRACT(A79, ""Chapter ([0-9]*):"")), """")"),120.0)</f>
        <v>120</v>
      </c>
      <c r="C79" s="31" t="str">
        <f>IFERROR(__xludf.DUMMYFUNCTION("if(len(A79) &gt;0, REGEXEXTRACT(A79, ""Chapter [0-9]*: (.*)""), """")"),"86 Pack Up")</f>
        <v>86 Pack Up</v>
      </c>
      <c r="D79" s="31" t="str">
        <f>IFERROR(__xludf.DUMMYFUNCTION("if(len(A79)&gt;0, REGEXEXTRACT(A79, ""\n[^\(]*""), """")"),"
Minor Blessing Dionysus - Libations ")</f>
        <v>
Minor Blessing Dionysus - Libations </v>
      </c>
      <c r="E79" s="17" t="str">
        <f>IFERROR(__xludf.DUMMYFUNCTION("if(len(A79)&gt;0, REGEXEXTRACT(A79, ""\n([^\n]*)$""), """")"),"System")</f>
        <v>System</v>
      </c>
      <c r="F79" s="17" t="str">
        <f>IFERROR(__xludf.DUMMYFUNCTION("if(len(A79)&gt;0, REGEXEXTRACT(A79, ""\(([^\)]*)\)""), """")"),"Percy Jackson")</f>
        <v>Percy Jackson</v>
      </c>
      <c r="G79" s="17" t="str">
        <f>IFERROR(__xludf.DUMMYFUNCTION("if(len(A79)&gt;0, REGEXEXTRACT(A79, ""\)([^:]*):""), """")")," 100")</f>
        <v> 100</v>
      </c>
      <c r="H79" s="31" t="str">
        <f>IFERROR(__xludf.DUMMYFUNCTION("if(len(A79) &gt; 0, JOIN(char(10), FILTER(SPLIT(A79, char(10)), split(""false false "" &amp; rept(""true "", columns(SPLIT(A79, char(10)))-3) &amp; ""false"", "" ""))), """")"),"For one reason or another you've got a god who cares slightly about you and has seen fit to grant you some minor boon within their domains.")</f>
        <v>For one reason or another you've got a god who cares slightly about you and has seen fit to grant you some minor boon within their domains.</v>
      </c>
    </row>
    <row r="80">
      <c r="A80" s="31" t="str">
        <f>IFERROR(__xludf.DUMMYFUNCTION("""COMPUTED_VALUE"""),"Chapter 120: 86 Pack Up
Unnatural Skill: Firecraft (Percy Jackson) 200:
Whether from your heritage or just being that good you've got one particular mundane skill that your feats with border on supernatural.
System")</f>
        <v>Chapter 120: 86 Pack Up
Unnatural Skill: Firecraft (Percy Jackson) 200:
Whether from your heritage or just being that good you've got one particular mundane skill that your feats with border on supernatural.
System</v>
      </c>
      <c r="B80" s="17">
        <f>IFERROR(__xludf.DUMMYFUNCTION("if(len(A80)&gt;0, value(REGEXEXTRACT(A80, ""Chapter ([0-9]*):"")), """")"),120.0)</f>
        <v>120</v>
      </c>
      <c r="C80" s="31" t="str">
        <f>IFERROR(__xludf.DUMMYFUNCTION("if(len(A80) &gt;0, REGEXEXTRACT(A80, ""Chapter [0-9]*: (.*)""), """")"),"86 Pack Up")</f>
        <v>86 Pack Up</v>
      </c>
      <c r="D80" s="31" t="str">
        <f>IFERROR(__xludf.DUMMYFUNCTION("if(len(A80)&gt;0, REGEXEXTRACT(A80, ""\n[^\(]*""), """")"),"
Unnatural Skill: Firecraft ")</f>
        <v>
Unnatural Skill: Firecraft </v>
      </c>
      <c r="E80" s="17" t="str">
        <f>IFERROR(__xludf.DUMMYFUNCTION("if(len(A80)&gt;0, REGEXEXTRACT(A80, ""\n([^\n]*)$""), """")"),"System")</f>
        <v>System</v>
      </c>
      <c r="F80" s="17" t="str">
        <f>IFERROR(__xludf.DUMMYFUNCTION("if(len(A80)&gt;0, REGEXEXTRACT(A80, ""\(([^\)]*)\)""), """")"),"Percy Jackson")</f>
        <v>Percy Jackson</v>
      </c>
      <c r="G80" s="17" t="str">
        <f>IFERROR(__xludf.DUMMYFUNCTION("if(len(A80)&gt;0, REGEXEXTRACT(A80, ""\)([^:]*):""), """")")," 200")</f>
        <v> 200</v>
      </c>
      <c r="H80" s="31" t="str">
        <f>IFERROR(__xludf.DUMMYFUNCTION("if(len(A80) &gt; 0, JOIN(char(10), FILTER(SPLIT(A80, char(10)), split(""false false "" &amp; rept(""true "", columns(SPLIT(A80, char(10)))-3) &amp; ""false"", "" ""))), """")"),"Whether from your heritage or just being that good you've got one particular mundane skill that your feats with border on supernatural.")</f>
        <v>Whether from your heritage or just being that good you've got one particular mundane skill that your feats with border on supernatural.</v>
      </c>
    </row>
    <row r="81">
      <c r="A81" s="31" t="str">
        <f>IFERROR(__xludf.DUMMYFUNCTION("""COMPUTED_VALUE"""),"Chapter 121: 87 Close Out
Greenhouse (Personal Reality) 100:
A greenhouse in which you can now grow some of your own vegetables and fruits. I hear that strawberries are especially popular this season. The Greenhouse requires Pipes, Pipes, Pipes and either"&amp;" Natural Lighting or Powa. It is set up for soil-ponics, hydroponics, or aeroponics and is contained in a separate structure that has a footprint of exactly half your Starting Size in all dimensions. Any increase in size to your main space multiplies your"&amp;" Greenhouse’s space by a factor of 5.
Facility")</f>
        <v>Chapter 121: 87 Close Out
Greenhouse (Personal Reality) 100:
A greenhouse in which you can now grow some of your own vegetables and fruits. I hear that strawberries are especially popular this season. The Greenhouse requires Pipes, Pipes, Pipes and either Natural Lighting or Powa. It is set up for soil-ponics, hydroponics, or aeroponics and is contained in a separate structure that has a footprint of exactly half your Starting Size in all dimensions. Any increase in size to your main space multiplies your Greenhouse’s space by a factor of 5.
Facility</v>
      </c>
      <c r="B81" s="17">
        <f>IFERROR(__xludf.DUMMYFUNCTION("if(len(A81)&gt;0, value(REGEXEXTRACT(A81, ""Chapter ([0-9]*):"")), """")"),121.0)</f>
        <v>121</v>
      </c>
      <c r="C81" s="31" t="str">
        <f>IFERROR(__xludf.DUMMYFUNCTION("if(len(A81) &gt;0, REGEXEXTRACT(A81, ""Chapter [0-9]*: (.*)""), """")"),"87 Close Out")</f>
        <v>87 Close Out</v>
      </c>
      <c r="D81" s="31" t="str">
        <f>IFERROR(__xludf.DUMMYFUNCTION("if(len(A81)&gt;0, REGEXEXTRACT(A81, ""\n[^\(]*""), """")"),"
Greenhouse ")</f>
        <v>
Greenhouse </v>
      </c>
      <c r="E81" s="17" t="str">
        <f>IFERROR(__xludf.DUMMYFUNCTION("if(len(A81)&gt;0, REGEXEXTRACT(A81, ""\n([^\n]*)$""), """")"),"Facility")</f>
        <v>Facility</v>
      </c>
      <c r="F81" s="17" t="str">
        <f>IFERROR(__xludf.DUMMYFUNCTION("if(len(A81)&gt;0, REGEXEXTRACT(A81, ""\(([^\)]*)\)""), """")"),"Personal Reality")</f>
        <v>Personal Reality</v>
      </c>
      <c r="G81" s="17" t="str">
        <f>IFERROR(__xludf.DUMMYFUNCTION("if(len(A81)&gt;0, REGEXEXTRACT(A81, ""\)([^:]*):""), """")")," 100")</f>
        <v> 100</v>
      </c>
      <c r="H81" s="31" t="str">
        <f>IFERROR(__xludf.DUMMYFUNCTION("if(len(A81) &gt; 0, JOIN(char(10), FILTER(SPLIT(A81, char(10)), split(""false false "" &amp; rept(""true "", columns(SPLIT(A81, char(10)))-3) &amp; ""false"", "" ""))), """")"),"A greenhouse in which you can now grow some of your own vegetables and fruits. I hear that strawberries are especially popular this season. The Greenhouse requires Pipes, Pipes, Pipes and either Natural Lighting or Powa. It is set up for soil-ponics, hydr"&amp;"oponics, or aeroponics and is contained in a separate structure that has a footprint of exactly half your Starting Size in all dimensions. Any increase in size to your main space multiplies your Greenhouse’s space by a factor of 5.")</f>
        <v>A greenhouse in which you can now grow some of your own vegetables and fruits. I hear that strawberries are especially popular this season. The Greenhouse requires Pipes, Pipes, Pipes and either Natural Lighting or Powa. It is set up for soil-ponics, hydroponics, or aeroponics and is contained in a separate structure that has a footprint of exactly half your Starting Size in all dimensions. Any increase in size to your main space multiplies your Greenhouse’s space by a factor of 5.</v>
      </c>
    </row>
    <row r="82">
      <c r="A82" s="31" t="str">
        <f>IFERROR(__xludf.DUMMYFUNCTION("""COMPUTED_VALUE"""),"Chapter 123: 88 Perspectives
Free Portal (Personal Reality) 100:
This Portal Upgrade removes the limitation on a portal having to be opened on a flat surface… or on any surface at all. It also allows you to open the portals to any part of your Personal Re"&amp;"ality simply by picturing where you want the portal to open. Without the Control Rod, the portals must be opened within 2 meters of you.
Ability")</f>
        <v>Chapter 123: 88 Perspectives
Free Portal (Personal Reality) 100:
This Portal Upgrade removes the limitation on a portal having to be opened on a flat surface… or on any surface at all. It also allows you to open the portals to any part of your Personal Reality simply by picturing where you want the portal to open. Without the Control Rod, the portals must be opened within 2 meters of you.
Ability</v>
      </c>
      <c r="B82" s="17">
        <f>IFERROR(__xludf.DUMMYFUNCTION("if(len(A82)&gt;0, value(REGEXEXTRACT(A82, ""Chapter ([0-9]*):"")), """")"),123.0)</f>
        <v>123</v>
      </c>
      <c r="C82" s="31" t="str">
        <f>IFERROR(__xludf.DUMMYFUNCTION("if(len(A82) &gt;0, REGEXEXTRACT(A82, ""Chapter [0-9]*: (.*)""), """")"),"88 Perspectives")</f>
        <v>88 Perspectives</v>
      </c>
      <c r="D82" s="31" t="str">
        <f>IFERROR(__xludf.DUMMYFUNCTION("if(len(A82)&gt;0, REGEXEXTRACT(A82, ""\n[^\(]*""), """")"),"
Free Portal ")</f>
        <v>
Free Portal </v>
      </c>
      <c r="E82" s="17" t="str">
        <f>IFERROR(__xludf.DUMMYFUNCTION("if(len(A82)&gt;0, REGEXEXTRACT(A82, ""\n([^\n]*)$""), """")"),"Ability")</f>
        <v>Ability</v>
      </c>
      <c r="F82" s="17" t="str">
        <f>IFERROR(__xludf.DUMMYFUNCTION("if(len(A82)&gt;0, REGEXEXTRACT(A82, ""\(([^\)]*)\)""), """")"),"Personal Reality")</f>
        <v>Personal Reality</v>
      </c>
      <c r="G82" s="17" t="str">
        <f>IFERROR(__xludf.DUMMYFUNCTION("if(len(A82)&gt;0, REGEXEXTRACT(A82, ""\)([^:]*):""), """")")," 100")</f>
        <v> 100</v>
      </c>
      <c r="H82" s="31" t="str">
        <f>IFERROR(__xludf.DUMMYFUNCTION("if(len(A82) &gt; 0, JOIN(char(10), FILTER(SPLIT(A82, char(10)), split(""false false "" &amp; rept(""true "", columns(SPLIT(A82, char(10)))-3) &amp; ""false"", "" ""))), """")"),"This Portal Upgrade removes the limitation on a portal having to be opened on a flat surface… or on any surface at all. It also allows you to open the portals to any part of your Personal Reality simply by picturing where you want the portal to open. With"&amp;"out the Control Rod, the portals must be opened within 2 meters of you.")</f>
        <v>This Portal Upgrade removes the limitation on a portal having to be opened on a flat surface… or on any surface at all. It also allows you to open the portals to any part of your Personal Reality simply by picturing where you want the portal to open. Without the Control Rod, the portals must be opened within 2 meters of you.</v>
      </c>
    </row>
    <row r="83">
      <c r="A83" s="31" t="str">
        <f>IFERROR(__xludf.DUMMYFUNCTION("""COMPUTED_VALUE"""),"Chapter 123: 88 Perspectives
Portal (Personal Reality) 300:
This optional extra removes the need for use of Access Key, instead allowing you to open a rectangular or circular portal that leads into your Personal Reality on any flat surface big enough to e"&amp;"ncompass the portal. You can open the portal on any surface you are in contact with or that your vehicle is in contact with… or that your vehicle will be in contact with in less than 5 seconds and within 100 meters if you don’t open the portal. The portal"&amp;" can be any size between 8 square meters and 80 square meters. The portal opens to the same place in your Personal Reality as the Door does and you may still use your Access Key if you want to open a door larger or smaller than the limits of the Portal. A"&amp;"ny Companion with a copy of the key may also open such a portal. These portals open at their lowest size instantly and expand at the to maximum size over 10 seconds. This portal cannot be closed while you are inside your Personal Reality. Portals will slo"&amp;"wly close over a period of 3 minutes if you leave them open and move more than 10 meters from one without closing it yourself, as long as you are outside your Personal Reality. This closure effect can be disabled, but you can’t open a portal if another is"&amp;" open.
Ability")</f>
        <v>Chapter 123: 88 Perspectives
Portal (Personal Reality) 300:
This optional extra removes the need for use of Access Key, instead allowing you to open a rectangular or circular portal that leads into your Personal Reality on any flat surface big enough to encompass the portal. You can open the portal on any surface you are in contact with or that your vehicle is in contact with… or that your vehicle will be in contact with in less than 5 seconds and within 100 meters if you don’t open the portal. The portal can be any size between 8 square meters and 80 square meters. The portal opens to the same place in your Personal Reality as the Door does and you may still use your Access Key if you want to open a door larger or smaller than the limits of the Portal. Any Companion with a copy of the key may also open such a portal. These portals open at their lowest size instantly and expand at the to maximum size over 10 seconds. This portal cannot be closed while you are inside your Personal Reality. Portals will slowly close over a period of 3 minutes if you leave them open and move more than 10 meters from one without closing it yourself, as long as you are outside your Personal Reality. This closure effect can be disabled, but you can’t open a portal if another is open.
Ability</v>
      </c>
      <c r="B83" s="17">
        <f>IFERROR(__xludf.DUMMYFUNCTION("if(len(A83)&gt;0, value(REGEXEXTRACT(A83, ""Chapter ([0-9]*):"")), """")"),123.0)</f>
        <v>123</v>
      </c>
      <c r="C83" s="31" t="str">
        <f>IFERROR(__xludf.DUMMYFUNCTION("if(len(A83) &gt;0, REGEXEXTRACT(A83, ""Chapter [0-9]*: (.*)""), """")"),"88 Perspectives")</f>
        <v>88 Perspectives</v>
      </c>
      <c r="D83" s="31" t="str">
        <f>IFERROR(__xludf.DUMMYFUNCTION("if(len(A83)&gt;0, REGEXEXTRACT(A83, ""\n[^\(]*""), """")"),"
Portal ")</f>
        <v>
Portal </v>
      </c>
      <c r="E83" s="17" t="str">
        <f>IFERROR(__xludf.DUMMYFUNCTION("if(len(A83)&gt;0, REGEXEXTRACT(A83, ""\n([^\n]*)$""), """")"),"Ability")</f>
        <v>Ability</v>
      </c>
      <c r="F83" s="17" t="str">
        <f>IFERROR(__xludf.DUMMYFUNCTION("if(len(A83)&gt;0, REGEXEXTRACT(A83, ""\(([^\)]*)\)""), """")"),"Personal Reality")</f>
        <v>Personal Reality</v>
      </c>
      <c r="G83" s="17" t="str">
        <f>IFERROR(__xludf.DUMMYFUNCTION("if(len(A83)&gt;0, REGEXEXTRACT(A83, ""\)([^:]*):""), """")")," 300")</f>
        <v> 300</v>
      </c>
      <c r="H83" s="31" t="str">
        <f>IFERROR(__xludf.DUMMYFUNCTION("if(len(A83) &gt; 0, JOIN(char(10), FILTER(SPLIT(A83, char(10)), split(""false false "" &amp; rept(""true "", columns(SPLIT(A83, char(10)))-3) &amp; ""false"", "" ""))), """")"),"This optional extra removes the need for use of Access Key, instead allowing you to open a rectangular or circular portal that leads into your Personal Reality on any flat surface big enough to encompass the portal. You can open the portal on any surface "&amp;"you are in contact with or that your vehicle is in contact with… or that your vehicle will be in contact with in less than 5 seconds and within 100 meters if you don’t open the portal. The portal can be any size between 8 square meters and 80 square meter"&amp;"s. The portal opens to the same place in your Personal Reality as the Door does and you may still use your Access Key if you want to open a door larger or smaller than the limits of the Portal. Any Companion with a copy of the key may also open such a por"&amp;"tal. These portals open at their lowest size instantly and expand at the to maximum size over 10 seconds. This portal cannot be closed while you are inside your Personal Reality. Portals will slowly close over a period of 3 minutes if you leave them open "&amp;"and move more than 10 meters from one without closing it yourself, as long as you are outside your Personal Reality. This closure effect can be disabled, but you can’t open a portal if another is open.")</f>
        <v>This optional extra removes the need for use of Access Key, instead allowing you to open a rectangular or circular portal that leads into your Personal Reality on any flat surface big enough to encompass the portal. You can open the portal on any surface you are in contact with or that your vehicle is in contact with… or that your vehicle will be in contact with in less than 5 seconds and within 100 meters if you don’t open the portal. The portal can be any size between 8 square meters and 80 square meters. The portal opens to the same place in your Personal Reality as the Door does and you may still use your Access Key if you want to open a door larger or smaller than the limits of the Portal. Any Companion with a copy of the key may also open such a portal. These portals open at their lowest size instantly and expand at the to maximum size over 10 seconds. This portal cannot be closed while you are inside your Personal Reality. Portals will slowly close over a period of 3 minutes if you leave them open and move more than 10 meters from one without closing it yourself, as long as you are outside your Personal Reality. This closure effect can be disabled, but you can’t open a portal if another is open.</v>
      </c>
    </row>
    <row r="84">
      <c r="A84" s="31" t="str">
        <f>IFERROR(__xludf.DUMMYFUNCTION("""COMPUTED_VALUE"""),"Chapter 123: 88 Perspectives
Mechanical Genius (Star Wars – Clone Wars) 600:
You're the leading expert at designing droids and starships. Given the right resources you could create fully autonomous starfighters with built in hyperdrives, battle droids w"&amp;"ith cheap, stronger and longer lasting shields, hover tanks as fast as landspeeders, androids indistinguishable from organics, and combat droids capable of killing jedi.
System")</f>
        <v>Chapter 123: 88 Perspectives
Mechanical Genius (Star Wars – Clone Wars) 600:
You're the leading expert at designing droids and starships. Given the right resources you could create fully autonomous starfighters with built in hyperdrives, battle droids with cheap, stronger and longer lasting shields, hover tanks as fast as landspeeders, androids indistinguishable from organics, and combat droids capable of killing jedi.
System</v>
      </c>
      <c r="B84" s="17">
        <f>IFERROR(__xludf.DUMMYFUNCTION("if(len(A84)&gt;0, value(REGEXEXTRACT(A84, ""Chapter ([0-9]*):"")), """")"),123.0)</f>
        <v>123</v>
      </c>
      <c r="C84" s="31" t="str">
        <f>IFERROR(__xludf.DUMMYFUNCTION("if(len(A84) &gt;0, REGEXEXTRACT(A84, ""Chapter [0-9]*: (.*)""), """")"),"88 Perspectives
")</f>
        <v>88 Perspectives
</v>
      </c>
      <c r="D84" s="31" t="str">
        <f>IFERROR(__xludf.DUMMYFUNCTION("if(len(A84)&gt;0, REGEXEXTRACT(A84, ""\n[^\(]*""), """")"),"
Mechanical Genius ")</f>
        <v>
Mechanical Genius </v>
      </c>
      <c r="E84" s="17" t="str">
        <f>IFERROR(__xludf.DUMMYFUNCTION("if(len(A84)&gt;0, REGEXEXTRACT(A84, ""\n([^\n]*)$""), """")"),"System")</f>
        <v>System</v>
      </c>
      <c r="F84" s="17" t="str">
        <f>IFERROR(__xludf.DUMMYFUNCTION("if(len(A84)&gt;0, REGEXEXTRACT(A84, ""\(([^\)]*)\)""), """")"),"Star Wars – Clone Wars")</f>
        <v>Star Wars – Clone Wars</v>
      </c>
      <c r="G84" s="17" t="str">
        <f>IFERROR(__xludf.DUMMYFUNCTION("if(len(A84)&gt;0, REGEXEXTRACT(A84, ""\)([^:]*):""), """")")," 600")</f>
        <v> 600</v>
      </c>
      <c r="H84" s="31" t="str">
        <f>IFERROR(__xludf.DUMMYFUNCTION("if(len(A84) &gt; 0, JOIN(char(10), FILTER(SPLIT(A84, char(10)), split(""false false "" &amp; rept(""true "", columns(SPLIT(A84, char(10)))-3) &amp; ""false"", "" ""))), """")"),"You're the leading expert at designing droids and starships. Given the right resources you could create fully autonomous starfighters with built in hyperdrives, battle droids with cheap, stronger and longer lasting shields, hover tanks as fast as landspee"&amp;"ders, androids indistinguishable from organics, and combat droids capable of killing jedi.")</f>
        <v>You're the leading expert at designing droids and starships. Given the right resources you could create fully autonomous starfighters with built in hyperdrives, battle droids with cheap, stronger and longer lasting shields, hover tanks as fast as landspeeders, androids indistinguishable from organics, and combat droids capable of killing jedi.</v>
      </c>
    </row>
    <row r="85">
      <c r="A85" s="31" t="str">
        <f>IFERROR(__xludf.DUMMYFUNCTION("""COMPUTED_VALUE"""),"Chapter 123: 88 Perspectives
Monstrous Strength (Percy Jackson) 100:
Whether by oddity of birth, ancestry, or mystical experiments you have gained an inhuman form. On the plus side this boosts your physical abilities in proportion to how obviously unnat"&amp;"ural your current form is. Generally your form will be some terrifying fusion of various aspects of animals and humans, it is your choice on the particulars though. This boost also applies to other monster discounted perks. Generally you can interact with"&amp;" mortals without their notice so long as you stick to actions that can be reasonably explained by the Mist but even then most of those familiar with the true nature of the world will be able to spot various tells.
Personal")</f>
        <v>Chapter 123: 88 Perspectives
Monstrous Strength (Percy Jackson) 100:
Whether by oddity of birth, ancestry, or mystical experiments you have gained an inhuman form. On the plus side this boosts your physical abilities in proportion to how obviously unnatural your current form is. Generally your form will be some terrifying fusion of various aspects of animals and humans, it is your choice on the particulars though. This boost also applies to other monster discounted perks. Generally you can interact with mortals without their notice so long as you stick to actions that can be reasonably explained by the Mist but even then most of those familiar with the true nature of the world will be able to spot various tells.
Personal</v>
      </c>
      <c r="B85" s="17">
        <f>IFERROR(__xludf.DUMMYFUNCTION("if(len(A85)&gt;0, value(REGEXEXTRACT(A85, ""Chapter ([0-9]*):"")), """")"),123.0)</f>
        <v>123</v>
      </c>
      <c r="C85" s="31" t="str">
        <f>IFERROR(__xludf.DUMMYFUNCTION("if(len(A85) &gt;0, REGEXEXTRACT(A85, ""Chapter [0-9]*: (.*)""), """")"),"88 Perspectives
")</f>
        <v>88 Perspectives
</v>
      </c>
      <c r="D85" s="31" t="str">
        <f>IFERROR(__xludf.DUMMYFUNCTION("if(len(A85)&gt;0, REGEXEXTRACT(A85, ""\n[^\(]*""), """")"),"
Monstrous Strength ")</f>
        <v>
Monstrous Strength </v>
      </c>
      <c r="E85" s="17" t="str">
        <f>IFERROR(__xludf.DUMMYFUNCTION("if(len(A85)&gt;0, REGEXEXTRACT(A85, ""\n([^\n]*)$""), """")"),"Personal")</f>
        <v>Personal</v>
      </c>
      <c r="F85" s="17" t="str">
        <f>IFERROR(__xludf.DUMMYFUNCTION("if(len(A85)&gt;0, REGEXEXTRACT(A85, ""\(([^\)]*)\)""), """")"),"Percy Jackson")</f>
        <v>Percy Jackson</v>
      </c>
      <c r="G85" s="17" t="str">
        <f>IFERROR(__xludf.DUMMYFUNCTION("if(len(A85)&gt;0, REGEXEXTRACT(A85, ""\)([^:]*):""), """")")," 100")</f>
        <v> 100</v>
      </c>
      <c r="H85" s="31" t="str">
        <f>IFERROR(__xludf.DUMMYFUNCTION("if(len(A85) &gt; 0, JOIN(char(10), FILTER(SPLIT(A85, char(10)), split(""false false "" &amp; rept(""true "", columns(SPLIT(A85, char(10)))-3) &amp; ""false"", "" ""))), """")"),"Whether by oddity of birth, ancestry, or mystical experiments you have gained an inhuman form. On the plus side this boosts your physical abilities in proportion to how obviously unnatural your current form is. Generally your form will be some terrifying "&amp;"fusion of various aspects of animals and humans, it is your choice on the particulars though. This boost also applies to other monster discounted perks. Generally you can interact with mortals without their notice so long as you stick to actions that can "&amp;"be reasonably explained by the Mist but even then most of those familiar with the true nature of the world will be able to spot various tells.")</f>
        <v>Whether by oddity of birth, ancestry, or mystical experiments you have gained an inhuman form. On the plus side this boosts your physical abilities in proportion to how obviously unnatural your current form is. Generally your form will be some terrifying fusion of various aspects of animals and humans, it is your choice on the particulars though. This boost also applies to other monster discounted perks. Generally you can interact with mortals without their notice so long as you stick to actions that can be reasonably explained by the Mist but even then most of those familiar with the true nature of the world will be able to spot various tells.</v>
      </c>
    </row>
    <row r="86">
      <c r="A86" s="31" t="str">
        <f>IFERROR(__xludf.DUMMYFUNCTION("""COMPUTED_VALUE"""),"Chapter 123: 88 Perspectives
Synchronicity Event (F.E.A.R.) 300:
Curiouser and curiouser. Due to coming into contact with... well, SOMETHING, your psionic abilities have noticeably increased. Psychic powers you may have had are stronger now, with contro"&amp;"l and development coming more quickly with practice. There is also a boon to this; by taking a few days to 'attune' a person, you may impart upon them the beginning of psionic abilities of their own. You may only gift one school at a time, and they start "&amp;"at the very beginning; if they are to grow and learn as you have, it would be wise to teach them. On the plus side, they’ll eventually become as strong as you are, so you’ll have quite the pupil on your hands.
Synchronicity Event boosts psychic powers fr"&amp;"om outside this setting by a decent amount. It's nothing like Alma, but it's a decent boost. At the same time, you may also unlock the following abilities:
-Taking 'Feel It Out' increases your understanding of technologies and different items, dramatical"&amp;"ly cutting down the time needed to analyze the object in question and improving defenses should any psionic traps be laid. You can also 'attune' objects to better channel psionic abilities and become a powerful focus for them.
Psionic schools from F.E.A."&amp;"R. include Telekinesis, Telepathy, Pyrokinesis, Possession, Teleportation, and Manifestation.
System")</f>
        <v>Chapter 123: 88 Perspectives
Synchronicity Event (F.E.A.R.) 300:
Curiouser and curiouser. Due to coming into contact with... well, SOMETHING, your psionic abilities have noticeably increased. Psychic powers you may have had are stronger now, with control and development coming more quickly with practice. There is also a boon to this; by taking a few days to 'attune' a person, you may impart upon them the beginning of psionic abilities of their own. You may only gift one school at a time, and they start at the very beginning; if they are to grow and learn as you have, it would be wise to teach them. On the plus side, they’ll eventually become as strong as you are, so you’ll have quite the pupil on your hands.
Synchronicity Event boosts psychic powers from outside this setting by a decent amount. It's nothing like Alma, but it's a decent boost. At the same time, you may also unlock the following abilities:
-Taking 'Feel It Out' increases your understanding of technologies and different items, dramatically cutting down the time needed to analyze the object in question and improving defenses should any psionic traps be laid. You can also 'attune' objects to better channel psionic abilities and become a powerful focus for them.
Psionic schools from F.E.A.R. include Telekinesis, Telepathy, Pyrokinesis, Possession, Teleportation, and Manifestation.
System</v>
      </c>
      <c r="B86" s="17">
        <f>IFERROR(__xludf.DUMMYFUNCTION("if(len(A86)&gt;0, value(REGEXEXTRACT(A86, ""Chapter ([0-9]*):"")), """")"),123.0)</f>
        <v>123</v>
      </c>
      <c r="C86" s="31" t="str">
        <f>IFERROR(__xludf.DUMMYFUNCTION("if(len(A86) &gt;0, REGEXEXTRACT(A86, ""Chapter [0-9]*: (.*)""), """")"),"88 Perspectives
")</f>
        <v>88 Perspectives
</v>
      </c>
      <c r="D86" s="31" t="str">
        <f>IFERROR(__xludf.DUMMYFUNCTION("if(len(A86)&gt;0, REGEXEXTRACT(A86, ""\n[^\(]*""), """")"),"
Synchronicity Event ")</f>
        <v>
Synchronicity Event </v>
      </c>
      <c r="E86" s="17" t="str">
        <f>IFERROR(__xludf.DUMMYFUNCTION("if(len(A86)&gt;0, REGEXEXTRACT(A86, ""\n([^\n]*)$""), """")"),"System")</f>
        <v>System</v>
      </c>
      <c r="F86" s="17" t="str">
        <f>IFERROR(__xludf.DUMMYFUNCTION("if(len(A86)&gt;0, REGEXEXTRACT(A86, ""\(([^\)]*)\)""), """")"),"F.E.A.R.")</f>
        <v>F.E.A.R.</v>
      </c>
      <c r="G86" s="17" t="str">
        <f>IFERROR(__xludf.DUMMYFUNCTION("if(len(A86)&gt;0, REGEXEXTRACT(A86, ""\)([^:]*):""), """")")," 300")</f>
        <v> 300</v>
      </c>
      <c r="H86" s="31" t="str">
        <f>IFERROR(__xludf.DUMMYFUNCTION("if(len(A86) &gt; 0, JOIN(char(10), FILTER(SPLIT(A86, char(10)), split(""false false "" &amp; rept(""true "", columns(SPLIT(A86, char(10)))-3) &amp; ""false"", "" ""))), """")"),"Curiouser and curiouser. Due to coming into contact with... well, SOMETHING, your psionic abilities have noticeably increased. Psychic powers you may have had are stronger now, with control and development coming more quickly with practice. There is also "&amp;"a boon to this; by taking a few days to 'attune' a person, you may impart upon them the beginning of psionic abilities of their own. You may only gift one school at a time, and they start at the very beginning; if they are to grow and learn as you have, i"&amp;"t would be wise to teach them. On the plus side, they’ll eventually become as strong as you are, so you’ll have quite the pupil on your hands.
Synchronicity Event boosts psychic powers from outside this setting by a decent amount. It's nothing like Alma,"&amp;" but it's a decent boost. At the same time, you may also unlock the following abilities:
-Taking 'Feel It Out' increases your understanding of technologies and different items, dramatically cutting down the time needed to analyze the object in question a"&amp;"nd improving defenses should any psionic traps be laid. You can also 'attune' objects to better channel psionic abilities and become a powerful focus for them.
Psionic schools from F.E.A.R. include Telekinesis, Telepathy, Pyrokinesis, Possession, Telepor"&amp;"tation, and Manifestation.")</f>
        <v>Curiouser and curiouser. Due to coming into contact with... well, SOMETHING, your psionic abilities have noticeably increased. Psychic powers you may have had are stronger now, with control and development coming more quickly with practice. There is also a boon to this; by taking a few days to 'attune' a person, you may impart upon them the beginning of psionic abilities of their own. You may only gift one school at a time, and they start at the very beginning; if they are to grow and learn as you have, it would be wise to teach them. On the plus side, they’ll eventually become as strong as you are, so you’ll have quite the pupil on your hands.
Synchronicity Event boosts psychic powers from outside this setting by a decent amount. It's nothing like Alma, but it's a decent boost. At the same time, you may also unlock the following abilities:
-Taking 'Feel It Out' increases your understanding of technologies and different items, dramatically cutting down the time needed to analyze the object in question and improving defenses should any psionic traps be laid. You can also 'attune' objects to better channel psionic abilities and become a powerful focus for them.
Psionic schools from F.E.A.R. include Telekinesis, Telepathy, Pyrokinesis, Possession, Teleportation, and Manifestation.</v>
      </c>
    </row>
    <row r="87">
      <c r="A87" s="31" t="str">
        <f>IFERROR(__xludf.DUMMYFUNCTION("""COMPUTED_VALUE"""),"Chapter 125: 89 Divine Mechanics
Hallowed Earth (Personal Reality) 400:
Every inch of your Personal Reality is sanctified. By who? Well… you, I guess. All those within (besides you obviously) are subject to a constant minor blessing that persists for up"&amp;" to a day after leaving that makes them a little luckier and healthier. In D&amp;D terms, a general +1 Morale bonus. Those who worship you as divine may show up here when they die or see visions of you in this, your place of power… though these visions may be"&amp;" merely metaphors for what lies within if they lack the mental or cultural framework to understand. With Linked Portals you may appear anywhere inside your Personal Reality without having to walk there and with Eye Spy you are aware of everything that hap"&amp;"pens in this Reality. With Central Control, you are constantly aware of the contents of the PR.
Facility")</f>
        <v>Chapter 125: 89 Divine Mechanics
Hallowed Earth (Personal Reality) 400:
Every inch of your Personal Reality is sanctified. By who? Well… you, I guess. All those within (besides you obviously) are subject to a constant minor blessing that persists for up to a day after leaving that makes them a little luckier and healthier. In D&amp;D terms, a general +1 Morale bonus. Those who worship you as divine may show up here when they die or see visions of you in this, your place of power… though these visions may be merely metaphors for what lies within if they lack the mental or cultural framework to understand. With Linked Portals you may appear anywhere inside your Personal Reality without having to walk there and with Eye Spy you are aware of everything that happens in this Reality. With Central Control, you are constantly aware of the contents of the PR.
Facility</v>
      </c>
      <c r="B87" s="17">
        <f>IFERROR(__xludf.DUMMYFUNCTION("if(len(A87)&gt;0, value(REGEXEXTRACT(A87, ""Chapter ([0-9]*):"")), """")"),125.0)</f>
        <v>125</v>
      </c>
      <c r="C87" s="31" t="str">
        <f>IFERROR(__xludf.DUMMYFUNCTION("if(len(A87) &gt;0, REGEXEXTRACT(A87, ""Chapter [0-9]*: (.*)""), """")"),"89 Divine Mechanics
")</f>
        <v>89 Divine Mechanics
</v>
      </c>
      <c r="D87" s="31" t="str">
        <f>IFERROR(__xludf.DUMMYFUNCTION("if(len(A87)&gt;0, REGEXEXTRACT(A87, ""\n[^\(]*""), """")"),"
Hallowed Earth ")</f>
        <v>
Hallowed Earth </v>
      </c>
      <c r="E87" s="17" t="str">
        <f>IFERROR(__xludf.DUMMYFUNCTION("if(len(A87)&gt;0, REGEXEXTRACT(A87, ""\n([^\n]*)$""), """")"),"Facility")</f>
        <v>Facility</v>
      </c>
      <c r="F87" s="17" t="str">
        <f>IFERROR(__xludf.DUMMYFUNCTION("if(len(A87)&gt;0, REGEXEXTRACT(A87, ""\(([^\)]*)\)""), """")"),"Personal Reality")</f>
        <v>Personal Reality</v>
      </c>
      <c r="G87" s="17" t="str">
        <f>IFERROR(__xludf.DUMMYFUNCTION("if(len(A87)&gt;0, REGEXEXTRACT(A87, ""\)([^:]*):""), """")")," 400")</f>
        <v> 400</v>
      </c>
      <c r="H87" s="31" t="str">
        <f>IFERROR(__xludf.DUMMYFUNCTION("if(len(A87) &gt; 0, JOIN(char(10), FILTER(SPLIT(A87, char(10)), split(""false false "" &amp; rept(""true "", columns(SPLIT(A87, char(10)))-3) &amp; ""false"", "" ""))), """")"),"Every inch of your Personal Reality is sanctified. By who? Well… you, I guess. All those within (besides you obviously) are subject to a constant minor blessing that persists for up to a day after leaving that makes them a little luckier and healthier. In"&amp;" D&amp;D terms, a general +1 Morale bonus. Those who worship you as divine may show up here when they die or see visions of you in this, your place of power… though these visions may be merely metaphors for what lies within if they lack the mental or cultural"&amp;" framework to understand. With Linked Portals you may appear anywhere inside your Personal Reality without having to walk there and with Eye Spy you are aware of everything that happens in this Reality. With Central Control, you are constantly aware of th"&amp;"e contents of the PR.")</f>
        <v>Every inch of your Personal Reality is sanctified. By who? Well… you, I guess. All those within (besides you obviously) are subject to a constant minor blessing that persists for up to a day after leaving that makes them a little luckier and healthier. In D&amp;D terms, a general +1 Morale bonus. Those who worship you as divine may show up here when they die or see visions of you in this, your place of power… though these visions may be merely metaphors for what lies within if they lack the mental or cultural framework to understand. With Linked Portals you may appear anywhere inside your Personal Reality without having to walk there and with Eye Spy you are aware of everything that happens in this Reality. With Central Control, you are constantly aware of the contents of the PR.</v>
      </c>
    </row>
    <row r="88">
      <c r="A88" s="31" t="str">
        <f>IFERROR(__xludf.DUMMYFUNCTION("""COMPUTED_VALUE"""),"Chapter 125: 89 Divine Mechanics
Titan's Blood (God of War) 500:
What a curious thing you are, to have become such a thing. One of your ancestors was a Titan, a primordial being of great power and ability that was responsible with shaping the world as i"&amp;"t is. You are not full-blooded, but the effects have been prevalent on you nonetheless; your size may be increased up to fifteen meters in height, with your strength as such that you could throw pieces of buildings one-handed at your enemies. You may also"&amp;" choose one Titan you are a descendent from, gaining aesthetic appearance changes similar to them. But more importantly, you may relax yourself and 'commune' with the world and nature around you; by opening your mind to the world you can learn about it an"&amp;"d its secrets quite quickly, along with finding what is the largest threat to the balance of nature. You are of the planet, child. It is your birthright to know these things.
‘Titan’s Blood’ only gives physical boons and an impressive aesthetic relating "&amp;"to your Titan ancestor. You do not get minor powers from your parent, such as Cronos and his time powers.
Titan's Blood also grants access to the following boosts for capstones you've purchased:
'Daedalus' Student': Your crafting has undergone a dramati"&amp;"c improvement, to the point where you can make incredible works with the strength of an army within them. You have also gleamed into a new type of crafting, and you can forge energy constructs such as Zeus' Lightning to be used in your wishes.
Personal")</f>
        <v>Chapter 125: 89 Divine Mechanics
Titan's Blood (God of War) 500:
What a curious thing you are, to have become such a thing. One of your ancestors was a Titan, a primordial being of great power and ability that was responsible with shaping the world as it is. You are not full-blooded, but the effects have been prevalent on you nonetheless; your size may be increased up to fifteen meters in height, with your strength as such that you could throw pieces of buildings one-handed at your enemies. You may also choose one Titan you are a descendent from, gaining aesthetic appearance changes similar to them. But more importantly, you may relax yourself and 'commune' with the world and nature around you; by opening your mind to the world you can learn about it and its secrets quite quickly, along with finding what is the largest threat to the balance of nature. You are of the planet, child. It is your birthright to know these things.
‘Titan’s Blood’ only gives physical boons and an impressive aesthetic relating to your Titan ancestor. You do not get minor powers from your parent, such as Cronos and his time powers.
Titan's Blood also grants access to the following boosts for capstones you've purchased:
'Daedalus' Student': Your crafting has undergone a dramatic improvement, to the point where you can make incredible works with the strength of an army within them. You have also gleamed into a new type of crafting, and you can forge energy constructs such as Zeus' Lightning to be used in your wishes.
Personal</v>
      </c>
      <c r="B88" s="17">
        <f>IFERROR(__xludf.DUMMYFUNCTION("if(len(A88)&gt;0, value(REGEXEXTRACT(A88, ""Chapter ([0-9]*):"")), """")"),125.0)</f>
        <v>125</v>
      </c>
      <c r="C88" s="31" t="str">
        <f>IFERROR(__xludf.DUMMYFUNCTION("if(len(A88) &gt;0, REGEXEXTRACT(A88, ""Chapter [0-9]*: (.*)""), """")"),"89 Divine Mechanics
")</f>
        <v>89 Divine Mechanics
</v>
      </c>
      <c r="D88" s="31" t="str">
        <f>IFERROR(__xludf.DUMMYFUNCTION("if(len(A88)&gt;0, REGEXEXTRACT(A88, ""\n[^\(]*""), """")"),"
Titan's Blood ")</f>
        <v>
Titan's Blood </v>
      </c>
      <c r="E88" s="17" t="str">
        <f>IFERROR(__xludf.DUMMYFUNCTION("if(len(A88)&gt;0, REGEXEXTRACT(A88, ""\n([^\n]*)$""), """")"),"Personal")</f>
        <v>Personal</v>
      </c>
      <c r="F88" s="17" t="str">
        <f>IFERROR(__xludf.DUMMYFUNCTION("if(len(A88)&gt;0, REGEXEXTRACT(A88, ""\(([^\)]*)\)""), """")"),"God of War")</f>
        <v>God of War</v>
      </c>
      <c r="G88" s="17" t="str">
        <f>IFERROR(__xludf.DUMMYFUNCTION("if(len(A88)&gt;0, REGEXEXTRACT(A88, ""\)([^:]*):""), """")")," 500")</f>
        <v> 500</v>
      </c>
      <c r="H88" s="31" t="str">
        <f>IFERROR(__xludf.DUMMYFUNCTION("if(len(A88) &gt; 0, JOIN(char(10), FILTER(SPLIT(A88, char(10)), split(""false false "" &amp; rept(""true "", columns(SPLIT(A88, char(10)))-3) &amp; ""false"", "" ""))), """")"),"What a curious thing you are, to have become such a thing. One of your ancestors was a Titan, a primordial being of great power and ability that was responsible with shaping the world as it is. You are not full-blooded, but the effects have been prevalent"&amp;" on you nonetheless; your size may be increased up to fifteen meters in height, with your strength as such that you could throw pieces of buildings one-handed at your enemies. You may also choose one Titan you are a descendent from, gaining aesthetic appe"&amp;"arance changes similar to them. But more importantly, you may relax yourself and 'commune' with the world and nature around you; by opening your mind to the world you can learn about it and its secrets quite quickly, along with finding what is the largest"&amp;" threat to the balance of nature. You are of the planet, child. It is your birthright to know these things.
‘Titan’s Blood’ only gives physical boons and an impressive aesthetic relating to your Titan ancestor. You do not get minor powers from your paren"&amp;"t, such as Cronos and his time powers.
Titan's Blood also grants access to the following boosts for capstones you've purchased:
Daedalus' Student': Your crafting has undergone a dramatic improvement, to the point where you can make incredible works with"&amp;" the strength of an army within them. You have also gleamed into a new type of crafting, and you can forge energy constructs such as Zeus' Lightning to be used in your wishes.")</f>
        <v>What a curious thing you are, to have become such a thing. One of your ancestors was a Titan, a primordial being of great power and ability that was responsible with shaping the world as it is. You are not full-blooded, but the effects have been prevalent on you nonetheless; your size may be increased up to fifteen meters in height, with your strength as such that you could throw pieces of buildings one-handed at your enemies. You may also choose one Titan you are a descendent from, gaining aesthetic appearance changes similar to them. But more importantly, you may relax yourself and 'commune' with the world and nature around you; by opening your mind to the world you can learn about it and its secrets quite quickly, along with finding what is the largest threat to the balance of nature. You are of the planet, child. It is your birthright to know these things.
‘Titan’s Blood’ only gives physical boons and an impressive aesthetic relating to your Titan ancestor. You do not get minor powers from your parent, such as Cronos and his time powers.
Titan's Blood also grants access to the following boosts for capstones you've purchased:
Daedalus' Student': Your crafting has undergone a dramatic improvement, to the point where you can make incredible works with the strength of an army within them. You have also gleamed into a new type of crafting, and you can forge energy constructs such as Zeus' Lightning to be used in your wishes.</v>
      </c>
    </row>
    <row r="89">
      <c r="A89" s="31" t="str">
        <f>IFERROR(__xludf.DUMMYFUNCTION("""COMPUTED_VALUE"""),"Chapter 127: 90 Outreach - Addendum Taylor
Housing Complex (Personal Reality) 200:
Having space for all your Companions and Followers can be tricky. Sure, you could pay to have some houses built, but with this option you and each Companion and every child"&amp;" of yours or of a Companion gains their own bedroom. Every three bedrooms gain a full bathroom and your bedroom has a master bath. It’s not luxurious by any means, but this house (or houses) have 1 kitchen &amp; dining room, 2 half baths, two general purpose "&amp;"rooms (offices, living rooms, game rooms), a few of small closets, and a pantry for every 6 people. Individual rooms tailor themselves to the general likes of the individual and come with basic but not quality furniture. Companions who decide to share a r"&amp;"oom can cause their rooms to merge to create a larger room, but each basic room defaults to 4 meters by 5 meters by 3 meters. Non-bedrooms are on the small side but large enough to function. Floors are basic linoleum and walls are basic low grade paint. A"&amp;"ppliances and fixtures are pretty bare bones and the walls are little more than plywood and wood frame. The bedrooms don’t have closets. Any other Personal Reality Extensions can be made part of the Housing Complex or kept separated. Each house must have "&amp;"a kitchen. That’s the rule. No more houses than total number of kitchens. A house may, of course, have more than one kitchen.
Facility")</f>
        <v>Chapter 127: 90 Outreach - Addendum Taylor
Housing Complex (Personal Reality) 200:
Having space for all your Companions and Followers can be tricky. Sure, you could pay to have some houses built, but with this option you and each Companion and every child of yours or of a Companion gains their own bedroom. Every three bedrooms gain a full bathroom and your bedroom has a master bath. It’s not luxurious by any means, but this house (or houses) have 1 kitchen &amp; dining room, 2 half baths, two general purpose rooms (offices, living rooms, game rooms), a few of small closets, and a pantry for every 6 people. Individual rooms tailor themselves to the general likes of the individual and come with basic but not quality furniture. Companions who decide to share a room can cause their rooms to merge to create a larger room, but each basic room defaults to 4 meters by 5 meters by 3 meters. Non-bedrooms are on the small side but large enough to function. Floors are basic linoleum and walls are basic low grade paint. Appliances and fixtures are pretty bare bones and the walls are little more than plywood and wood frame. The bedrooms don’t have closets. Any other Personal Reality Extensions can be made part of the Housing Complex or kept separated. Each house must have a kitchen. That’s the rule. No more houses than total number of kitchens. A house may, of course, have more than one kitchen.
Facility</v>
      </c>
      <c r="B89" s="17">
        <f>IFERROR(__xludf.DUMMYFUNCTION("if(len(A89)&gt;0, value(REGEXEXTRACT(A89, ""Chapter ([0-9]*):"")), """")"),127.0)</f>
        <v>127</v>
      </c>
      <c r="C89" s="31" t="str">
        <f>IFERROR(__xludf.DUMMYFUNCTION("if(len(A89) &gt;0, REGEXEXTRACT(A89, ""Chapter [0-9]*: (.*)""), """")"),"90 Outreach - Addendum Taylor")</f>
        <v>90 Outreach - Addendum Taylor</v>
      </c>
      <c r="D89" s="31" t="str">
        <f>IFERROR(__xludf.DUMMYFUNCTION("if(len(A89)&gt;0, REGEXEXTRACT(A89, ""\n[^\(]*""), """")"),"
Housing Complex ")</f>
        <v>
Housing Complex </v>
      </c>
      <c r="E89" s="17" t="str">
        <f>IFERROR(__xludf.DUMMYFUNCTION("if(len(A89)&gt;0, REGEXEXTRACT(A89, ""\n([^\n]*)$""), """")"),"Facility")</f>
        <v>Facility</v>
      </c>
      <c r="F89" s="17" t="str">
        <f>IFERROR(__xludf.DUMMYFUNCTION("if(len(A89)&gt;0, REGEXEXTRACT(A89, ""\(([^\)]*)\)""), """")"),"Personal Reality")</f>
        <v>Personal Reality</v>
      </c>
      <c r="G89" s="17" t="str">
        <f>IFERROR(__xludf.DUMMYFUNCTION("if(len(A89)&gt;0, REGEXEXTRACT(A89, ""\)([^:]*):""), """")")," 200")</f>
        <v> 200</v>
      </c>
      <c r="H89" s="31" t="str">
        <f>IFERROR(__xludf.DUMMYFUNCTION("if(len(A89) &gt; 0, JOIN(char(10), FILTER(SPLIT(A89, char(10)), split(""false false "" &amp; rept(""true "", columns(SPLIT(A89, char(10)))-3) &amp; ""false"", "" ""))), """")"),"Having space for all your Companions and Followers can be tricky. Sure, you could pay to have some houses built, but with this option you and each Companion and every child of yours or of a Companion gains their own bedroom. Every three bedrooms gain a fu"&amp;"ll bathroom and your bedroom has a master bath. It’s not luxurious by any means, but this house (or houses) have 1 kitchen &amp; dining room, 2 half baths, two general purpose rooms (offices, living rooms, game rooms), a few of small closets, and a pantry for"&amp;" every 6 people. Individual rooms tailor themselves to the general likes of the individual and come with basic but not quality furniture. Companions who decide to share a room can cause their rooms to merge to create a larger room, but each basic room def"&amp;"aults to 4 meters by 5 meters by 3 meters. Non-bedrooms are on the small side but large enough to function. Floors are basic linoleum and walls are basic low grade paint. Appliances and fixtures are pretty bare bones and the walls are little more than ply"&amp;"wood and wood frame. The bedrooms don’t have closets. Any other Personal Reality Extensions can be made part of the Housing Complex or kept separated. Each house must have a kitchen. That’s the rule. No more houses than total number of kitchens. A house m"&amp;"ay, of course, have more than one kitchen.")</f>
        <v>Having space for all your Companions and Followers can be tricky. Sure, you could pay to have some houses built, but with this option you and each Companion and every child of yours or of a Companion gains their own bedroom. Every three bedrooms gain a full bathroom and your bedroom has a master bath. It’s not luxurious by any means, but this house (or houses) have 1 kitchen &amp; dining room, 2 half baths, two general purpose rooms (offices, living rooms, game rooms), a few of small closets, and a pantry for every 6 people. Individual rooms tailor themselves to the general likes of the individual and come with basic but not quality furniture. Companions who decide to share a room can cause their rooms to merge to create a larger room, but each basic room defaults to 4 meters by 5 meters by 3 meters. Non-bedrooms are on the small side but large enough to function. Floors are basic linoleum and walls are basic low grade paint. Appliances and fixtures are pretty bare bones and the walls are little more than plywood and wood frame. The bedrooms don’t have closets. Any other Personal Reality Extensions can be made part of the Housing Complex or kept separated. Each house must have a kitchen. That’s the rule. No more houses than total number of kitchens. A house may, of course, have more than one kitchen.</v>
      </c>
    </row>
    <row r="90">
      <c r="A90" s="31" t="str">
        <f>IFERROR(__xludf.DUMMYFUNCTION("""COMPUTED_VALUE"""),"Chapter 127: 90 Outreach - Addendum Taylor
Opulent Housing (Personal Reality) 300:
This Housing Complex Upgrade does everything that Luxury does and does it better. Rooms are frankly too big, fixtures and furniture are all unique handcrafted pieces, the w"&amp;"alls have murals, the floor mosaics… everything isn’t just top of the line, it passed that miles back. High Ceilings, beautiful feng shui, custom decor for each room… huge closets. Additional Rooms generated every three persons. All Bedrooms are now Maste"&amp;"r Bedrooms and come with ensuite saunas, day spas, and personal office with reading nook. If you have an incremental purchase scheme, you do not get a refund if you bought Upscale Housing or Luxury Housing first. Opulent does not require Upscale or Luxury"&amp;" to be bought first.
Facility")</f>
        <v>Chapter 127: 90 Outreach - Addendum Taylor
Opulent Housing (Personal Reality) 300:
This Housing Complex Upgrade does everything that Luxury does and does it better. Rooms are frankly too big, fixtures and furniture are all unique handcrafted pieces, the walls have murals, the floor mosaics… everything isn’t just top of the line, it passed that miles back. High Ceilings, beautiful feng shui, custom decor for each room… huge closets. Additional Rooms generated every three persons. All Bedrooms are now Master Bedrooms and come with ensuite saunas, day spas, and personal office with reading nook. If you have an incremental purchase scheme, you do not get a refund if you bought Upscale Housing or Luxury Housing first. Opulent does not require Upscale or Luxury to be bought first.
Facility</v>
      </c>
      <c r="B90" s="17">
        <f>IFERROR(__xludf.DUMMYFUNCTION("if(len(A90)&gt;0, value(REGEXEXTRACT(A90, ""Chapter ([0-9]*):"")), """")"),127.0)</f>
        <v>127</v>
      </c>
      <c r="C90" s="31" t="str">
        <f>IFERROR(__xludf.DUMMYFUNCTION("if(len(A90) &gt;0, REGEXEXTRACT(A90, ""Chapter [0-9]*: (.*)""), """")"),"90 Outreach - Addendum Taylor")</f>
        <v>90 Outreach - Addendum Taylor</v>
      </c>
      <c r="D90" s="31" t="str">
        <f>IFERROR(__xludf.DUMMYFUNCTION("if(len(A90)&gt;0, REGEXEXTRACT(A90, ""\n[^\(]*""), """")"),"
Opulent Housing ")</f>
        <v>
Opulent Housing </v>
      </c>
      <c r="E90" s="17" t="str">
        <f>IFERROR(__xludf.DUMMYFUNCTION("if(len(A90)&gt;0, REGEXEXTRACT(A90, ""\n([^\n]*)$""), """")"),"Facility")</f>
        <v>Facility</v>
      </c>
      <c r="F90" s="17" t="str">
        <f>IFERROR(__xludf.DUMMYFUNCTION("if(len(A90)&gt;0, REGEXEXTRACT(A90, ""\(([^\)]*)\)""), """")"),"Personal Reality")</f>
        <v>Personal Reality</v>
      </c>
      <c r="G90" s="17" t="str">
        <f>IFERROR(__xludf.DUMMYFUNCTION("if(len(A90)&gt;0, REGEXEXTRACT(A90, ""\)([^:]*):""), """")")," 300")</f>
        <v> 300</v>
      </c>
      <c r="H90" s="31" t="str">
        <f>IFERROR(__xludf.DUMMYFUNCTION("if(len(A90) &gt; 0, JOIN(char(10), FILTER(SPLIT(A90, char(10)), split(""false false "" &amp; rept(""true "", columns(SPLIT(A90, char(10)))-3) &amp; ""false"", "" ""))), """")"),"This Housing Complex Upgrade does everything that Luxury does and does it better. Rooms are frankly too big, fixtures and furniture are all unique handcrafted pieces, the walls have murals, the floor mosaics… everything isn’t just top of the line, it pass"&amp;"ed that miles back. High Ceilings, beautiful feng shui, custom decor for each room… huge closets. Additional Rooms generated every three persons. All Bedrooms are now Master Bedrooms and come with ensuite saunas, day spas, and personal office with reading"&amp;" nook. If you have an incremental purchase scheme, you do not get a refund if you bought Upscale Housing or Luxury Housing first. Opulent does not require Upscale or Luxury to be bought first.")</f>
        <v>This Housing Complex Upgrade does everything that Luxury does and does it better. Rooms are frankly too big, fixtures and furniture are all unique handcrafted pieces, the walls have murals, the floor mosaics… everything isn’t just top of the line, it passed that miles back. High Ceilings, beautiful feng shui, custom decor for each room… huge closets. Additional Rooms generated every three persons. All Bedrooms are now Master Bedrooms and come with ensuite saunas, day spas, and personal office with reading nook. If you have an incremental purchase scheme, you do not get a refund if you bought Upscale Housing or Luxury Housing first. Opulent does not require Upscale or Luxury to be bought first.</v>
      </c>
    </row>
    <row r="91">
      <c r="A91" s="31" t="str">
        <f>IFERROR(__xludf.DUMMYFUNCTION("""COMPUTED_VALUE"""),"Chapter 128: 91 Callout
Primo Victoria (Sabaton) Free:
In all of these cases, a CD will appear in your hand once you make your choice – a single by Sabaton in both English and Swedish concerning one of your previous adventures.
Item")</f>
        <v>Chapter 128: 91 Callout
Primo Victoria (Sabaton) Free:
In all of these cases, a CD will appear in your hand once you make your choice – a single by Sabaton in both English and Swedish concerning one of your previous adventures.
Item</v>
      </c>
      <c r="B91" s="17">
        <f>IFERROR(__xludf.DUMMYFUNCTION("if(len(A91)&gt;0, value(REGEXEXTRACT(A91, ""Chapter ([0-9]*):"")), """")"),128.0)</f>
        <v>128</v>
      </c>
      <c r="C91" s="31" t="str">
        <f>IFERROR(__xludf.DUMMYFUNCTION("if(len(A91) &gt;0, REGEXEXTRACT(A91, ""Chapter [0-9]*: (.*)""), """")"),"91 Callout")</f>
        <v>91 Callout</v>
      </c>
      <c r="D91" s="31" t="str">
        <f>IFERROR(__xludf.DUMMYFUNCTION("if(len(A91)&gt;0, REGEXEXTRACT(A91, ""\n[^\(]*""), """")"),"
Primo Victoria ")</f>
        <v>
Primo Victoria </v>
      </c>
      <c r="E91" s="17" t="str">
        <f>IFERROR(__xludf.DUMMYFUNCTION("if(len(A91)&gt;0, REGEXEXTRACT(A91, ""\n([^\n]*)$""), """")"),"Item")</f>
        <v>Item</v>
      </c>
      <c r="F91" s="17" t="str">
        <f>IFERROR(__xludf.DUMMYFUNCTION("if(len(A91)&gt;0, REGEXEXTRACT(A91, ""\(([^\)]*)\)""), """")"),"Sabaton")</f>
        <v>Sabaton</v>
      </c>
      <c r="G91" s="17" t="str">
        <f>IFERROR(__xludf.DUMMYFUNCTION("if(len(A91)&gt;0, REGEXEXTRACT(A91, ""\)([^:]*):""), """")")," Free")</f>
        <v> Free</v>
      </c>
      <c r="H91" s="31" t="str">
        <f>IFERROR(__xludf.DUMMYFUNCTION("if(len(A91) &gt; 0, JOIN(char(10), FILTER(SPLIT(A91, char(10)), split(""false false "" &amp; rept(""true "", columns(SPLIT(A91, char(10)))-3) &amp; ""false"", "" ""))), """")"),"In all of these cases, a CD will appear in your hand once you make your choice – a single by Sabaton in both English and Swedish concerning one of your previous adventures.")</f>
        <v>In all of these cases, a CD will appear in your hand once you make your choice – a single by Sabaton in both English and Swedish concerning one of your previous adventures.</v>
      </c>
    </row>
    <row r="92">
      <c r="A92" s="31" t="str">
        <f>IFERROR(__xludf.DUMMYFUNCTION("""COMPUTED_VALUE"""),"Chapter 128: 91 Callout
The Toolkit (Sabaton) 100:
When wielding this toolkit, you can repair devices most would think broken beyond salvation. You could find two twisted armor plates and a couple of treads and before you know it, you have a tank that's a"&amp;"s good as new.
Item")</f>
        <v>Chapter 128: 91 Callout
The Toolkit (Sabaton) 100:
When wielding this toolkit, you can repair devices most would think broken beyond salvation. You could find two twisted armor plates and a couple of treads and before you know it, you have a tank that's as good as new.
Item</v>
      </c>
      <c r="B92" s="17">
        <f>IFERROR(__xludf.DUMMYFUNCTION("if(len(A92)&gt;0, value(REGEXEXTRACT(A92, ""Chapter ([0-9]*):"")), """")"),128.0)</f>
        <v>128</v>
      </c>
      <c r="C92" s="31" t="str">
        <f>IFERROR(__xludf.DUMMYFUNCTION("if(len(A92) &gt;0, REGEXEXTRACT(A92, ""Chapter [0-9]*: (.*)""), """")"),"91 Callout")</f>
        <v>91 Callout</v>
      </c>
      <c r="D92" s="31" t="str">
        <f>IFERROR(__xludf.DUMMYFUNCTION("if(len(A92)&gt;0, REGEXEXTRACT(A92, ""\n[^\(]*""), """")"),"
The Toolkit ")</f>
        <v>
The Toolkit </v>
      </c>
      <c r="E92" s="17" t="str">
        <f>IFERROR(__xludf.DUMMYFUNCTION("if(len(A92)&gt;0, REGEXEXTRACT(A92, ""\n([^\n]*)$""), """")"),"Item")</f>
        <v>Item</v>
      </c>
      <c r="F92" s="17" t="str">
        <f>IFERROR(__xludf.DUMMYFUNCTION("if(len(A92)&gt;0, REGEXEXTRACT(A92, ""\(([^\)]*)\)""), """")"),"Sabaton")</f>
        <v>Sabaton</v>
      </c>
      <c r="G92" s="17" t="str">
        <f>IFERROR(__xludf.DUMMYFUNCTION("if(len(A92)&gt;0, REGEXEXTRACT(A92, ""\)([^:]*):""), """")")," 100")</f>
        <v> 100</v>
      </c>
      <c r="H92" s="31" t="str">
        <f>IFERROR(__xludf.DUMMYFUNCTION("if(len(A92) &gt; 0, JOIN(char(10), FILTER(SPLIT(A92, char(10)), split(""false false "" &amp; rept(""true "", columns(SPLIT(A92, char(10)))-3) &amp; ""false"", "" ""))), """")"),"When wielding this toolkit, you can repair devices most would think broken beyond salvation. You could find two twisted armor plates and a couple of treads and before you know it, you have a tank that's as good as new.")</f>
        <v>When wielding this toolkit, you can repair devices most would think broken beyond salvation. You could find two twisted armor plates and a couple of treads and before you know it, you have a tank that's as good as new.</v>
      </c>
    </row>
    <row r="93">
      <c r="A93" s="31" t="str">
        <f>IFERROR(__xludf.DUMMYFUNCTION("""COMPUTED_VALUE"""),"Chapter 129: 92 Opened Discourse
Altmode (Transformers) Free:
All Transformers have an Altmode which is either an animal or machine. You can turn into any animals or machine that you fits your Chassis type. You can choose to change into any animal or vehi"&amp;"cle form that you’ve seen in your previous adventures, or for the future you can scan it. For maximum size in your Alt form you take your robot form and add +2m (6ft 6in) to its maximum height or in case of planes, wingspan. Beast Wars Era Transformers ca"&amp;"n only choose animal or beast like forms, they’ve lost their ability to change into vehicles or other machines.
Ability
")</f>
        <v>Chapter 129: 92 Opened Discourse
Altmode (Transformers) Free:
All Transformers have an Altmode which is either an animal or machine. You can turn into any animals or machine that you fits your Chassis type. You can choose to change into any animal or vehicle form that you’ve seen in your previous adventures, or for the future you can scan it. For maximum size in your Alt form you take your robot form and add +2m (6ft 6in) to its maximum height or in case of planes, wingspan. Beast Wars Era Transformers can only choose animal or beast like forms, they’ve lost their ability to change into vehicles or other machines.
Ability
</v>
      </c>
      <c r="B93" s="17">
        <f>IFERROR(__xludf.DUMMYFUNCTION("if(len(A93)&gt;0, value(REGEXEXTRACT(A93, ""Chapter ([0-9]*):"")), """")"),129.0)</f>
        <v>129</v>
      </c>
      <c r="C93" s="31" t="str">
        <f>IFERROR(__xludf.DUMMYFUNCTION("if(len(A93) &gt;0, REGEXEXTRACT(A93, ""Chapter [0-9]*: (.*)""), """")"),"92 Opened Discourse")</f>
        <v>92 Opened Discourse</v>
      </c>
      <c r="D93" s="31" t="str">
        <f>IFERROR(__xludf.DUMMYFUNCTION("if(len(A93)&gt;0, REGEXEXTRACT(A93, ""\n[^\(]*""), """")"),"
Altmode ")</f>
        <v>
Altmode </v>
      </c>
      <c r="E93" s="17" t="str">
        <f>IFERROR(__xludf.DUMMYFUNCTION("if(len(A93)&gt;0, REGEXEXTRACT(A93, ""\n([^\n]*)$""), """")"),"Ability
")</f>
        <v>Ability
</v>
      </c>
      <c r="F93" s="17" t="str">
        <f>IFERROR(__xludf.DUMMYFUNCTION("if(len(A93)&gt;0, REGEXEXTRACT(A93, ""\(([^\)]*)\)""), """")"),"Transformers")</f>
        <v>Transformers</v>
      </c>
      <c r="G93" s="17" t="str">
        <f>IFERROR(__xludf.DUMMYFUNCTION("if(len(A93)&gt;0, REGEXEXTRACT(A93, ""\)([^:]*):""), """")")," Free")</f>
        <v> Free</v>
      </c>
      <c r="H93" s="31" t="str">
        <f>IFERROR(__xludf.DUMMYFUNCTION("if(len(A93) &gt; 0, JOIN(char(10), FILTER(SPLIT(A93, char(10)), split(""false false "" &amp; rept(""true "", columns(SPLIT(A93, char(10)))-3) &amp; ""false"", "" ""))), """")"),"All Transformers have an Altmode which is either an animal or machine. You can turn into any animals or machine that you fits your Chassis type. You can choose to change into any animal or vehicle form that you’ve seen in your previous adventures, or for "&amp;"the future you can scan it. For maximum size in your Alt form you take your robot form and add +2m (6ft 6in) to its maximum height or in case of planes, wingspan. Beast Wars Era Transformers can only choose animal or beast like forms, they’ve lost their a"&amp;"bility to change into vehicles or other machines.")</f>
        <v>All Transformers have an Altmode which is either an animal or machine. You can turn into any animals or machine that you fits your Chassis type. You can choose to change into any animal or vehicle form that you’ve seen in your previous adventures, or for the future you can scan it. For maximum size in your Alt form you take your robot form and add +2m (6ft 6in) to its maximum height or in case of planes, wingspan. Beast Wars Era Transformers can only choose animal or beast like forms, they’ve lost their ability to change into vehicles or other machines.</v>
      </c>
    </row>
    <row r="94">
      <c r="A94" s="31" t="str">
        <f>IFERROR(__xludf.DUMMYFUNCTION("""COMPUTED_VALUE"""),"Chapter 129: 92 Opened Discourse
Cybertronian Forge (Transformers) 600:
Somehow a good portion of your warehouse is now a mini cybertronian factory. This automatic factory prints out Cybertonium, a material that Transformers bodies are made out of. This i"&amp;"s a room temperature super conductor and is the basis of all Cybertronian technology. It also functions as a 3D printer, but its programming is blank ready for input.
Facility
")</f>
        <v>Chapter 129: 92 Opened Discourse
Cybertronian Forge (Transformers) 600:
Somehow a good portion of your warehouse is now a mini cybertronian factory. This automatic factory prints out Cybertonium, a material that Transformers bodies are made out of. This is a room temperature super conductor and is the basis of all Cybertronian technology. It also functions as a 3D printer, but its programming is blank ready for input.
Facility
</v>
      </c>
      <c r="B94" s="17">
        <f>IFERROR(__xludf.DUMMYFUNCTION("if(len(A94)&gt;0, value(REGEXEXTRACT(A94, ""Chapter ([0-9]*):"")), """")"),129.0)</f>
        <v>129</v>
      </c>
      <c r="C94" s="31" t="str">
        <f>IFERROR(__xludf.DUMMYFUNCTION("if(len(A94) &gt;0, REGEXEXTRACT(A94, ""Chapter [0-9]*: (.*)""), """")"),"92 Opened Discourse")</f>
        <v>92 Opened Discourse</v>
      </c>
      <c r="D94" s="31" t="str">
        <f>IFERROR(__xludf.DUMMYFUNCTION("if(len(A94)&gt;0, REGEXEXTRACT(A94, ""\n[^\(]*""), """")"),"
Cybertronian Forge ")</f>
        <v>
Cybertronian Forge </v>
      </c>
      <c r="E94" s="17" t="str">
        <f>IFERROR(__xludf.DUMMYFUNCTION("if(len(A94)&gt;0, REGEXEXTRACT(A94, ""\n([^\n]*)$""), """")"),"Facility
")</f>
        <v>Facility
</v>
      </c>
      <c r="F94" s="17" t="str">
        <f>IFERROR(__xludf.DUMMYFUNCTION("if(len(A94)&gt;0, REGEXEXTRACT(A94, ""\(([^\)]*)\)""), """")"),"Transformers")</f>
        <v>Transformers</v>
      </c>
      <c r="G94" s="17" t="str">
        <f>IFERROR(__xludf.DUMMYFUNCTION("if(len(A94)&gt;0, REGEXEXTRACT(A94, ""\)([^:]*):""), """")")," 600")</f>
        <v> 600</v>
      </c>
      <c r="H94" s="31" t="str">
        <f>IFERROR(__xludf.DUMMYFUNCTION("if(len(A94) &gt; 0, JOIN(char(10), FILTER(SPLIT(A94, char(10)), split(""false false "" &amp; rept(""true "", columns(SPLIT(A94, char(10)))-3) &amp; ""false"", "" ""))), """")"),"Somehow a good portion of your warehouse is now a mini cybertronian factory. This automatic factory prints out Cybertonium, a material that Transformers bodies are made out of. This is a room temperature super conductor and is the basis of all Cybertronia"&amp;"n technology. It also functions as a 3D printer, but its programming is blank ready for input.")</f>
        <v>Somehow a good portion of your warehouse is now a mini cybertronian factory. This automatic factory prints out Cybertonium, a material that Transformers bodies are made out of. This is a room temperature super conductor and is the basis of all Cybertronian technology. It also functions as a 3D printer, but its programming is blank ready for input.</v>
      </c>
    </row>
    <row r="95">
      <c r="A95" s="31" t="str">
        <f>IFERROR(__xludf.DUMMYFUNCTION("""COMPUTED_VALUE"""),"Chapter 129: 92 Opened Discourse
Decepticon Terrorize! (Transformers) Free:
You've retained your robotic body, but now can switch between human and whatever form you choose and back. You'll never run out of Energon and routine maintenance is no longer a t"&amp;"hing. You can store your robotic body in your warehouse and jump into it at any point; or ride around/on top of its alternative form. Either way it's up to you which you choose, and switching out is easy as dropping off equipment.
Ability")</f>
        <v>Chapter 129: 92 Opened Discourse
Decepticon Terrorize! (Transformers) Free:
You've retained your robotic body, but now can switch between human and whatever form you choose and back. You'll never run out of Energon and routine maintenance is no longer a thing. You can store your robotic body in your warehouse and jump into it at any point; or ride around/on top of its alternative form. Either way it's up to you which you choose, and switching out is easy as dropping off equipment.
Ability</v>
      </c>
      <c r="B95" s="17">
        <f>IFERROR(__xludf.DUMMYFUNCTION("if(len(A95)&gt;0, value(REGEXEXTRACT(A95, ""Chapter ([0-9]*):"")), """")"),129.0)</f>
        <v>129</v>
      </c>
      <c r="C95" s="31" t="str">
        <f>IFERROR(__xludf.DUMMYFUNCTION("if(len(A95) &gt;0, REGEXEXTRACT(A95, ""Chapter [0-9]*: (.*)""), """")"),"92 Opened Discourse")</f>
        <v>92 Opened Discourse</v>
      </c>
      <c r="D95" s="31" t="str">
        <f>IFERROR(__xludf.DUMMYFUNCTION("if(len(A95)&gt;0, REGEXEXTRACT(A95, ""\n[^\(]*""), """")"),"
Decepticon Terrorize! ")</f>
        <v>
Decepticon Terrorize! </v>
      </c>
      <c r="E95" s="17" t="str">
        <f>IFERROR(__xludf.DUMMYFUNCTION("if(len(A95)&gt;0, REGEXEXTRACT(A95, ""\n([^\n]*)$""), """")"),"Ability")</f>
        <v>Ability</v>
      </c>
      <c r="F95" s="17" t="str">
        <f>IFERROR(__xludf.DUMMYFUNCTION("if(len(A95)&gt;0, REGEXEXTRACT(A95, ""\(([^\)]*)\)""), """")"),"Transformers")</f>
        <v>Transformers</v>
      </c>
      <c r="G95" s="17" t="str">
        <f>IFERROR(__xludf.DUMMYFUNCTION("if(len(A95)&gt;0, REGEXEXTRACT(A95, ""\)([^:]*):""), """")")," Free")</f>
        <v> Free</v>
      </c>
      <c r="H95" s="31" t="str">
        <f>IFERROR(__xludf.DUMMYFUNCTION("if(len(A95) &gt; 0, JOIN(char(10), FILTER(SPLIT(A95, char(10)), split(""false false "" &amp; rept(""true "", columns(SPLIT(A95, char(10)))-3) &amp; ""false"", "" ""))), """")"),"You've retained your robotic body, but now can switch between human and whatever form you choose and back. You'll never run out of Energon and routine maintenance is no longer a thing. You can store your robotic body in your warehouse and jump into it at "&amp;"any point; or ride around/on top of its alternative form. Either way it's up to you which you choose, and switching out is easy as dropping off equipment.")</f>
        <v>You've retained your robotic body, but now can switch between human and whatever form you choose and back. You'll never run out of Energon and routine maintenance is no longer a thing. You can store your robotic body in your warehouse and jump into it at any point; or ride around/on top of its alternative form. Either way it's up to you which you choose, and switching out is easy as dropping off equipment.</v>
      </c>
    </row>
    <row r="96">
      <c r="A96" s="31" t="str">
        <f>IFERROR(__xludf.DUMMYFUNCTION("""COMPUTED_VALUE"""),"Chapter 129: 92 Opened Discourse
Energon (Transformers) Free:
In your warehouse an Energon Cube appears every 24hrs. Don’t worry about your Transformers body, Post-Jump you don’t require Energon for it. Normal transformers need an Energon Cube, which is e"&amp;"quivalent of 1000 barrels of oil, every day. This is like the 4000 calories active duty soldiers take in. Beast Wars era, they can subsist off of an Energon Cube for 1 month. You can convert other forms of energy into Energon, but it’s very inefficient. A"&amp;"ny other fuel source other than Energon corrodes the systems of a Transformer, it’s like poison.
Item
")</f>
        <v>Chapter 129: 92 Opened Discourse
Energon (Transformers) Free:
In your warehouse an Energon Cube appears every 24hrs. Don’t worry about your Transformers body, Post-Jump you don’t require Energon for it. Normal transformers need an Energon Cube, which is equivalent of 1000 barrels of oil, every day. This is like the 4000 calories active duty soldiers take in. Beast Wars era, they can subsist off of an Energon Cube for 1 month. You can convert other forms of energy into Energon, but it’s very inefficient. Any other fuel source other than Energon corrodes the systems of a Transformer, it’s like poison.
Item
</v>
      </c>
      <c r="B96" s="17">
        <f>IFERROR(__xludf.DUMMYFUNCTION("if(len(A96)&gt;0, value(REGEXEXTRACT(A96, ""Chapter ([0-9]*):"")), """")"),129.0)</f>
        <v>129</v>
      </c>
      <c r="C96" s="31" t="str">
        <f>IFERROR(__xludf.DUMMYFUNCTION("if(len(A96) &gt;0, REGEXEXTRACT(A96, ""Chapter [0-9]*: (.*)""), """")"),"92 Opened Discourse")</f>
        <v>92 Opened Discourse</v>
      </c>
      <c r="D96" s="31" t="str">
        <f>IFERROR(__xludf.DUMMYFUNCTION("if(len(A96)&gt;0, REGEXEXTRACT(A96, ""\n[^\(]*""), """")"),"
Energon ")</f>
        <v>
Energon </v>
      </c>
      <c r="E96" s="17" t="str">
        <f>IFERROR(__xludf.DUMMYFUNCTION("if(len(A96)&gt;0, REGEXEXTRACT(A96, ""\n([^\n]*)$""), """")"),"Item
")</f>
        <v>Item
</v>
      </c>
      <c r="F96" s="17" t="str">
        <f>IFERROR(__xludf.DUMMYFUNCTION("if(len(A96)&gt;0, REGEXEXTRACT(A96, ""\(([^\)]*)\)""), """")"),"Transformers")</f>
        <v>Transformers</v>
      </c>
      <c r="G96" s="17" t="str">
        <f>IFERROR(__xludf.DUMMYFUNCTION("if(len(A96)&gt;0, REGEXEXTRACT(A96, ""\)([^:]*):""), """")")," Free")</f>
        <v> Free</v>
      </c>
      <c r="H96" s="31" t="str">
        <f>IFERROR(__xludf.DUMMYFUNCTION("if(len(A96) &gt; 0, JOIN(char(10), FILTER(SPLIT(A96, char(10)), split(""false false "" &amp; rept(""true "", columns(SPLIT(A96, char(10)))-3) &amp; ""false"", "" ""))), """")"),"In your warehouse an Energon Cube appears every 24hrs. Don’t worry about your Transformers body, Post-Jump you don’t require Energon for it. Normal transformers need an Energon Cube, which is equivalent of 1000 barrels of oil, every day. This is like the "&amp;"4000 calories active duty soldiers take in. Beast Wars era, they can subsist off of an Energon Cube for 1 month. You can convert other forms of energy into Energon, but it’s very inefficient. Any other fuel source other than Energon corrodes the systems o"&amp;"f a Transformer, it’s like poison.")</f>
        <v>In your warehouse an Energon Cube appears every 24hrs. Don’t worry about your Transformers body, Post-Jump you don’t require Energon for it. Normal transformers need an Energon Cube, which is equivalent of 1000 barrels of oil, every day. This is like the 4000 calories active duty soldiers take in. Beast Wars era, they can subsist off of an Energon Cube for 1 month. You can convert other forms of energy into Energon, but it’s very inefficient. Any other fuel source other than Energon corrodes the systems of a Transformer, it’s like poison.</v>
      </c>
    </row>
    <row r="97">
      <c r="A97" s="31" t="str">
        <f>IFERROR(__xludf.DUMMYFUNCTION("""COMPUTED_VALUE"""),"Chapter 129: 92 Opened Discourse
Energon Battle Pistol (Transformers) Free:
This is a pistol. Reload required after 8 shots. Comes with 5x zoom.
Item
")</f>
        <v>Chapter 129: 92 Opened Discourse
Energon Battle Pistol (Transformers) Free:
This is a pistol. Reload required after 8 shots. Comes with 5x zoom.
Item
</v>
      </c>
      <c r="B97" s="17">
        <f>IFERROR(__xludf.DUMMYFUNCTION("if(len(A97)&gt;0, value(REGEXEXTRACT(A97, ""Chapter ([0-9]*):"")), """")"),129.0)</f>
        <v>129</v>
      </c>
      <c r="C97" s="31" t="str">
        <f>IFERROR(__xludf.DUMMYFUNCTION("if(len(A97) &gt;0, REGEXEXTRACT(A97, ""Chapter [0-9]*: (.*)""), """")"),"92 Opened Discourse")</f>
        <v>92 Opened Discourse</v>
      </c>
      <c r="D97" s="31" t="str">
        <f>IFERROR(__xludf.DUMMYFUNCTION("if(len(A97)&gt;0, REGEXEXTRACT(A97, ""\n[^\(]*""), """")"),"
Energon Battle Pistol ")</f>
        <v>
Energon Battle Pistol </v>
      </c>
      <c r="E97" s="17" t="str">
        <f>IFERROR(__xludf.DUMMYFUNCTION("if(len(A97)&gt;0, REGEXEXTRACT(A97, ""\n([^\n]*)$""), """")"),"Item
")</f>
        <v>Item
</v>
      </c>
      <c r="F97" s="17" t="str">
        <f>IFERROR(__xludf.DUMMYFUNCTION("if(len(A97)&gt;0, REGEXEXTRACT(A97, ""\(([^\)]*)\)""), """")"),"Transformers")</f>
        <v>Transformers</v>
      </c>
      <c r="G97" s="17" t="str">
        <f>IFERROR(__xludf.DUMMYFUNCTION("if(len(A97)&gt;0, REGEXEXTRACT(A97, ""\)([^:]*):""), """")")," Free")</f>
        <v> Free</v>
      </c>
      <c r="H97" s="31" t="str">
        <f>IFERROR(__xludf.DUMMYFUNCTION("if(len(A97) &gt; 0, JOIN(char(10), FILTER(SPLIT(A97, char(10)), split(""false false "" &amp; rept(""true "", columns(SPLIT(A97, char(10)))-3) &amp; ""false"", "" ""))), """")"),"This is a pistol. Reload required after 8 shots. Comes with 5x zoom.")</f>
        <v>This is a pistol. Reload required after 8 shots. Comes with 5x zoom.</v>
      </c>
    </row>
    <row r="98">
      <c r="A98" s="31" t="str">
        <f>IFERROR(__xludf.DUMMYFUNCTION("""COMPUTED_VALUE"""),"Chapter 129: 92 Opened Discourse
Energon Melee Weapon (Transformers) Free:
Every bot worth their Energon has a melee weapon, these weapons like everything else runs on Energon but are very efficient and practically never run out of Energon.
Item
")</f>
        <v>Chapter 129: 92 Opened Discourse
Energon Melee Weapon (Transformers) Free:
Every bot worth their Energon has a melee weapon, these weapons like everything else runs on Energon but are very efficient and practically never run out of Energon.
Item
</v>
      </c>
      <c r="B98" s="17">
        <f>IFERROR(__xludf.DUMMYFUNCTION("if(len(A98)&gt;0, value(REGEXEXTRACT(A98, ""Chapter ([0-9]*):"")), """")"),129.0)</f>
        <v>129</v>
      </c>
      <c r="C98" s="31" t="str">
        <f>IFERROR(__xludf.DUMMYFUNCTION("if(len(A98) &gt;0, REGEXEXTRACT(A98, ""Chapter [0-9]*: (.*)""), """")"),"92 Opened Discourse")</f>
        <v>92 Opened Discourse</v>
      </c>
      <c r="D98" s="31" t="str">
        <f>IFERROR(__xludf.DUMMYFUNCTION("if(len(A98)&gt;0, REGEXEXTRACT(A98, ""\n[^\(]*""), """")"),"
Energon Melee Weapon ")</f>
        <v>
Energon Melee Weapon </v>
      </c>
      <c r="E98" s="17" t="str">
        <f>IFERROR(__xludf.DUMMYFUNCTION("if(len(A98)&gt;0, REGEXEXTRACT(A98, ""\n([^\n]*)$""), """")"),"Item
")</f>
        <v>Item
</v>
      </c>
      <c r="F98" s="17" t="str">
        <f>IFERROR(__xludf.DUMMYFUNCTION("if(len(A98)&gt;0, REGEXEXTRACT(A98, ""\(([^\)]*)\)""), """")"),"Transformers")</f>
        <v>Transformers</v>
      </c>
      <c r="G98" s="17" t="str">
        <f>IFERROR(__xludf.DUMMYFUNCTION("if(len(A98)&gt;0, REGEXEXTRACT(A98, ""\)([^:]*):""), """")")," Free")</f>
        <v> Free</v>
      </c>
      <c r="H98" s="31" t="str">
        <f>IFERROR(__xludf.DUMMYFUNCTION("if(len(A98) &gt; 0, JOIN(char(10), FILTER(SPLIT(A98, char(10)), split(""false false "" &amp; rept(""true "", columns(SPLIT(A98, char(10)))-3) &amp; ""false"", "" ""))), """")"),"Every bot worth their Energon has a melee weapon, these weapons like everything else runs on Energon but are very efficient and practically never run out of Energon.")</f>
        <v>Every bot worth their Energon has a melee weapon, these weapons like everything else runs on Energon but are very efficient and practically never run out of Energon.</v>
      </c>
    </row>
    <row r="99">
      <c r="A99" s="31" t="str">
        <f>IFERROR(__xludf.DUMMYFUNCTION("""COMPUTED_VALUE"""),"Chapter 129: 92 Opened Discourse
ROBOTS IN DISGUISE! - Medium Chassis (Transformers) Free:
Medium Chassis, Size: 5m (16ft 5in) to 8m (26ft 2in). You're a robot now; as such you don't need to breathe, eat, or sleep. You do require Energon to survive, witho"&amp;"ut it you'll go into stasis lock. This stasis lock last forever unless your spark (lifeforce) is extinguished or you get enough Energon back in your systems. As a Transformer your strength depends on your chassis, Small Chassis can lift 25tons (22t), Medi"&amp;"um Chassis can lift 50tons (45t), and Large Chassis can lift 100tons (90t). Transformers brain circuits are not unlike a highly advanced super computer, giving the average transformer a level of intelligence similar to that of human geniuses. Your robot b"&amp;"ody is extremely tough to damage, military grade anti- materiel weapons and Energon weapons are only thing that are capable of damaging you. Even then the average transformer can take a beating and survive.
Item
")</f>
        <v>Chapter 129: 92 Opened Discourse
ROBOTS IN DISGUISE! - Medium Chassis (Transformers) Free:
Medium Chassis, Size: 5m (16ft 5in) to 8m (26ft 2in). You're a robot now; as such you don't need to breathe, eat, or sleep. You do require Energon to survive, without it you'll go into stasis lock. This stasis lock last forever unless your spark (lifeforce) is extinguished or you get enough Energon back in your systems. As a Transformer your strength depends on your chassis, Small Chassis can lift 25tons (22t), Medium Chassis can lift 50tons (45t), and Large Chassis can lift 100tons (90t). Transformers brain circuits are not unlike a highly advanced super computer, giving the average transformer a level of intelligence similar to that of human geniuses. Your robot body is extremely tough to damage, military grade anti- materiel weapons and Energon weapons are only thing that are capable of damaging you. Even then the average transformer can take a beating and survive.
Item
</v>
      </c>
      <c r="B99" s="17">
        <f>IFERROR(__xludf.DUMMYFUNCTION("if(len(A99)&gt;0, value(REGEXEXTRACT(A99, ""Chapter ([0-9]*):"")), """")"),129.0)</f>
        <v>129</v>
      </c>
      <c r="C99" s="31" t="str">
        <f>IFERROR(__xludf.DUMMYFUNCTION("if(len(A99) &gt;0, REGEXEXTRACT(A99, ""Chapter [0-9]*: (.*)""), """")"),"92 Opened Discourse")</f>
        <v>92 Opened Discourse</v>
      </c>
      <c r="D99" s="31" t="str">
        <f>IFERROR(__xludf.DUMMYFUNCTION("if(len(A99)&gt;0, REGEXEXTRACT(A99, ""\n[^\(]*""), """")"),"
ROBOTS IN DISGUISE! - Medium Chassis ")</f>
        <v>
ROBOTS IN DISGUISE! - Medium Chassis </v>
      </c>
      <c r="E99" s="17" t="str">
        <f>IFERROR(__xludf.DUMMYFUNCTION("if(len(A99)&gt;0, REGEXEXTRACT(A99, ""\n([^\n]*)$""), """")"),"Item
")</f>
        <v>Item
</v>
      </c>
      <c r="F99" s="17" t="str">
        <f>IFERROR(__xludf.DUMMYFUNCTION("if(len(A99)&gt;0, REGEXEXTRACT(A99, ""\(([^\)]*)\)""), """")"),"Transformers")</f>
        <v>Transformers</v>
      </c>
      <c r="G99" s="17" t="str">
        <f>IFERROR(__xludf.DUMMYFUNCTION("if(len(A99)&gt;0, REGEXEXTRACT(A99, ""\)([^:]*):""), """")")," Free")</f>
        <v> Free</v>
      </c>
      <c r="H99" s="31" t="str">
        <f>IFERROR(__xludf.DUMMYFUNCTION("if(len(A99) &gt; 0, JOIN(char(10), FILTER(SPLIT(A99, char(10)), split(""false false "" &amp; rept(""true "", columns(SPLIT(A99, char(10)))-3) &amp; ""false"", "" ""))), """")"),"Medium Chassis, Size: 5m (16ft 5in) to 8m (26ft 2in). You're a robot now; as such you don't need to breathe, eat, or sleep. You do require Energon to survive, without it you'll go into stasis lock. This stasis lock last forever unless your spark (lifeforc"&amp;"e) is extinguished or you get enough Energon back in your systems. As a Transformer your strength depends on your chassis, Small Chassis can lift 25tons (22t), Medium Chassis can lift 50tons (45t), and Large Chassis can lift 100tons (90t). Transformers br"&amp;"ain circuits are not unlike a highly advanced super computer, giving the average transformer a level of intelligence similar to that of human geniuses. Your robot body is extremely tough to damage, military grade anti- materiel weapons and Energon weapons"&amp;" are only thing that are capable of damaging you. Even then the average transformer can take a beating and survive.")</f>
        <v>Medium Chassis, Size: 5m (16ft 5in) to 8m (26ft 2in). You're a robot now; as such you don't need to breathe, eat, or sleep. You do require Energon to survive, without it you'll go into stasis lock. This stasis lock last forever unless your spark (lifeforce) is extinguished or you get enough Energon back in your systems. As a Transformer your strength depends on your chassis, Small Chassis can lift 25tons (22t), Medium Chassis can lift 50tons (45t), and Large Chassis can lift 100tons (90t). Transformers brain circuits are not unlike a highly advanced super computer, giving the average transformer a level of intelligence similar to that of human geniuses. Your robot body is extremely tough to damage, military grade anti- materiel weapons and Energon weapons are only thing that are capable of damaging you. Even then the average transformer can take a beating and survive.</v>
      </c>
    </row>
    <row r="100">
      <c r="A100" s="31" t="str">
        <f>IFERROR(__xludf.DUMMYFUNCTION("""COMPUTED_VALUE"""),"Chapter 13: 10 Overhaul
Mechanist (Final Fantasy VI) 100:
You know how regular technology and magitek function and can repair it if it breaks down. You'll still need the tools and supplies, but at least with this you'll know what you're doing with mechani"&amp;"cal technology. This knowledge can be used to build basic examples of it too, but don't expect to be able to copy anything too complex without getting your hands on the blueprints.
System")</f>
        <v>Chapter 13: 10 Overhaul
Mechanist (Final Fantasy VI) 100:
You know how regular technology and magitek function and can repair it if it breaks down. You'll still need the tools and supplies, but at least with this you'll know what you're doing with mechanical technology. This knowledge can be used to build basic examples of it too, but don't expect to be able to copy anything too complex without getting your hands on the blueprints.
System</v>
      </c>
      <c r="B100" s="17">
        <f>IFERROR(__xludf.DUMMYFUNCTION("if(len(A100)&gt;0, value(REGEXEXTRACT(A100, ""Chapter ([0-9]*):"")), """")"),13.0)</f>
        <v>13</v>
      </c>
      <c r="C100" s="31" t="str">
        <f>IFERROR(__xludf.DUMMYFUNCTION("if(len(A100) &gt;0, REGEXEXTRACT(A100, ""Chapter [0-9]*: (.*)""), """")"),"10 Overhaul")</f>
        <v>10 Overhaul</v>
      </c>
      <c r="D100" s="31" t="str">
        <f>IFERROR(__xludf.DUMMYFUNCTION("if(len(A100)&gt;0, REGEXEXTRACT(A100, ""\n[^\(]*""), """")"),"
Mechanist ")</f>
        <v>
Mechanist </v>
      </c>
      <c r="E100" s="17" t="str">
        <f>IFERROR(__xludf.DUMMYFUNCTION("if(len(A100)&gt;0, REGEXEXTRACT(A100, ""\n([^\n]*)$""), """")"),"System")</f>
        <v>System</v>
      </c>
      <c r="F100" s="17" t="str">
        <f>IFERROR(__xludf.DUMMYFUNCTION("if(len(A100)&gt;0, REGEXEXTRACT(A100, ""\(([^\)]*)\)""), """")"),"Final Fantasy VI")</f>
        <v>Final Fantasy VI</v>
      </c>
      <c r="G100" s="17" t="str">
        <f>IFERROR(__xludf.DUMMYFUNCTION("if(len(A100)&gt;0, REGEXEXTRACT(A100, ""\)([^:]*):""), """")")," 100")</f>
        <v> 100</v>
      </c>
      <c r="H100" s="31" t="str">
        <f>IFERROR(__xludf.DUMMYFUNCTION("if(len(A100) &gt; 0, JOIN(char(10), FILTER(SPLIT(A100, char(10)), split(""false false "" &amp; rept(""true "", columns(SPLIT(A100, char(10)))-3) &amp; ""false"", "" ""))), """")"),"You know how regular technology and magitek function and can repair it if it breaks down. You'll still need the tools and supplies, but at least with this you'll know what you're doing with mechanical technology. This knowledge can be used to build basic "&amp;"examples of it too, but don't expect to be able to copy anything too complex without getting your hands on the blueprints.")</f>
        <v>You know how regular technology and magitek function and can repair it if it breaks down. You'll still need the tools and supplies, but at least with this you'll know what you're doing with mechanical technology. This knowledge can be used to build basic examples of it too, but don't expect to be able to copy anything too complex without getting your hands on the blueprints.</v>
      </c>
    </row>
    <row r="101">
      <c r="A101" s="31" t="str">
        <f>IFERROR(__xludf.DUMMYFUNCTION("""COMPUTED_VALUE"""),"Chapter 13: 10 Overhaul
Repair Savvy (Outlaw Star) 100:
Your skills in mechanics are top notch. Your weapons, armor, and personal equipment are all easy to repair, and maintenance of all of them takes mere minutes instead of hours.
Fiat")</f>
        <v>Chapter 13: 10 Overhaul
Repair Savvy (Outlaw Star) 100:
Your skills in mechanics are top notch. Your weapons, armor, and personal equipment are all easy to repair, and maintenance of all of them takes mere minutes instead of hours.
Fiat</v>
      </c>
      <c r="B101" s="17">
        <f>IFERROR(__xludf.DUMMYFUNCTION("if(len(A101)&gt;0, value(REGEXEXTRACT(A101, ""Chapter ([0-9]*):"")), """")"),13.0)</f>
        <v>13</v>
      </c>
      <c r="C101" s="31" t="str">
        <f>IFERROR(__xludf.DUMMYFUNCTION("if(len(A101) &gt;0, REGEXEXTRACT(A101, ""Chapter [0-9]*: (.*)""), """")"),"10 Overhaul")</f>
        <v>10 Overhaul</v>
      </c>
      <c r="D101" s="31" t="str">
        <f>IFERROR(__xludf.DUMMYFUNCTION("if(len(A101)&gt;0, REGEXEXTRACT(A101, ""\n[^\(]*""), """")"),"
Repair Savvy ")</f>
        <v>
Repair Savvy </v>
      </c>
      <c r="E101" s="17" t="str">
        <f>IFERROR(__xludf.DUMMYFUNCTION("if(len(A101)&gt;0, REGEXEXTRACT(A101, ""\n([^\n]*)$""), """")"),"Fiat")</f>
        <v>Fiat</v>
      </c>
      <c r="F101" s="17" t="str">
        <f>IFERROR(__xludf.DUMMYFUNCTION("if(len(A101)&gt;0, REGEXEXTRACT(A101, ""\(([^\)]*)\)""), """")"),"Outlaw Star")</f>
        <v>Outlaw Star</v>
      </c>
      <c r="G101" s="17" t="str">
        <f>IFERROR(__xludf.DUMMYFUNCTION("if(len(A101)&gt;0, REGEXEXTRACT(A101, ""\)([^:]*):""), """")")," 100")</f>
        <v> 100</v>
      </c>
      <c r="H101" s="31" t="str">
        <f>IFERROR(__xludf.DUMMYFUNCTION("if(len(A101) &gt; 0, JOIN(char(10), FILTER(SPLIT(A101, char(10)), split(""false false "" &amp; rept(""true "", columns(SPLIT(A101, char(10)))-3) &amp; ""false"", "" ""))), """")"),"Your skills in mechanics are top notch. Your weapons, armor, and personal equipment are all easy to repair, and maintenance of all of them takes mere minutes instead of hours.")</f>
        <v>Your skills in mechanics are top notch. Your weapons, armor, and personal equipment are all easy to repair, and maintenance of all of them takes mere minutes instead of hours.</v>
      </c>
    </row>
    <row r="102">
      <c r="A102" s="31" t="str">
        <f>IFERROR(__xludf.DUMMYFUNCTION("""COMPUTED_VALUE"""),"Chapter 13: 10 Overhaul
Stylish Mechanic (Gurren Lagann) 100:
In addition to knowing how to repair and create mechanical devices you also have quite a knack at making anything you work on look good. Any time you fix something it'll end up clean and pleasa"&amp;"nt to look at, and you can easily come up with humorous or awe-inspiring designs for vehicles and devices.
Fiat")</f>
        <v>Chapter 13: 10 Overhaul
Stylish Mechanic (Gurren Lagann) 100:
In addition to knowing how to repair and create mechanical devices you also have quite a knack at making anything you work on look good. Any time you fix something it'll end up clean and pleasant to look at, and you can easily come up with humorous or awe-inspiring designs for vehicles and devices.
Fiat</v>
      </c>
      <c r="B102" s="17">
        <f>IFERROR(__xludf.DUMMYFUNCTION("if(len(A102)&gt;0, value(REGEXEXTRACT(A102, ""Chapter ([0-9]*):"")), """")"),13.0)</f>
        <v>13</v>
      </c>
      <c r="C102" s="31" t="str">
        <f>IFERROR(__xludf.DUMMYFUNCTION("if(len(A102) &gt;0, REGEXEXTRACT(A102, ""Chapter [0-9]*: (.*)""), """")"),"10 Overhaul")</f>
        <v>10 Overhaul</v>
      </c>
      <c r="D102" s="31" t="str">
        <f>IFERROR(__xludf.DUMMYFUNCTION("if(len(A102)&gt;0, REGEXEXTRACT(A102, ""\n[^\(]*""), """")"),"
Stylish Mechanic ")</f>
        <v>
Stylish Mechanic </v>
      </c>
      <c r="E102" s="17" t="str">
        <f>IFERROR(__xludf.DUMMYFUNCTION("if(len(A102)&gt;0, REGEXEXTRACT(A102, ""\n([^\n]*)$""), """")"),"Fiat")</f>
        <v>Fiat</v>
      </c>
      <c r="F102" s="17" t="str">
        <f>IFERROR(__xludf.DUMMYFUNCTION("if(len(A102)&gt;0, REGEXEXTRACT(A102, ""\(([^\)]*)\)""), """")"),"Gurren Lagann")</f>
        <v>Gurren Lagann</v>
      </c>
      <c r="G102" s="17" t="str">
        <f>IFERROR(__xludf.DUMMYFUNCTION("if(len(A102)&gt;0, REGEXEXTRACT(A102, ""\)([^:]*):""), """")")," 100")</f>
        <v> 100</v>
      </c>
      <c r="H102" s="31" t="str">
        <f>IFERROR(__xludf.DUMMYFUNCTION("if(len(A102) &gt; 0, JOIN(char(10), FILTER(SPLIT(A102, char(10)), split(""false false "" &amp; rept(""true "", columns(SPLIT(A102, char(10)))-3) &amp; ""false"", "" ""))), """")"),"In addition to knowing how to repair and create mechanical devices you also have quite a knack at making anything you work on look good. Any time you fix something it'll end up clean and pleasant to look at, and you can easily come up with humorous or awe"&amp;"-inspiring designs for vehicles and devices.")</f>
        <v>In addition to knowing how to repair and create mechanical devices you also have quite a knack at making anything you work on look good. Any time you fix something it'll end up clean and pleasant to look at, and you can easily come up with humorous or awe-inspiring designs for vehicles and devices.</v>
      </c>
    </row>
    <row r="103">
      <c r="A103" s="31" t="str">
        <f>IFERROR(__xludf.DUMMYFUNCTION("""COMPUTED_VALUE"""),"Chapter 130: 93 Loom and Thread
Minor Blessing Ares – Armaments (Percy Jackson) 100:
For one reason or another you've got a god who cares slightly about you and has seen fit to grant you some minor boon within their domains.
Skill")</f>
        <v>Chapter 130: 93 Loom and Thread
Minor Blessing Ares – Armaments (Percy Jackson) 100:
For one reason or another you've got a god who cares slightly about you and has seen fit to grant you some minor boon within their domains.
Skill</v>
      </c>
      <c r="B103" s="17">
        <f>IFERROR(__xludf.DUMMYFUNCTION("if(len(A103)&gt;0, value(REGEXEXTRACT(A103, ""Chapter ([0-9]*):"")), """")"),130.0)</f>
        <v>130</v>
      </c>
      <c r="C103" s="31" t="str">
        <f>IFERROR(__xludf.DUMMYFUNCTION("if(len(A103) &gt;0, REGEXEXTRACT(A103, ""Chapter [0-9]*: (.*)""), """")"),"93 Loom and Thread")</f>
        <v>93 Loom and Thread</v>
      </c>
      <c r="D103" s="31" t="str">
        <f>IFERROR(__xludf.DUMMYFUNCTION("if(len(A103)&gt;0, REGEXEXTRACT(A103, ""\n[^\(]*""), """")"),"
Minor Blessing Ares – Armaments ")</f>
        <v>
Minor Blessing Ares – Armaments </v>
      </c>
      <c r="E103" s="17" t="str">
        <f>IFERROR(__xludf.DUMMYFUNCTION("if(len(A103)&gt;0, REGEXEXTRACT(A103, ""\n([^\n]*)$""), """")"),"Skill")</f>
        <v>Skill</v>
      </c>
      <c r="F103" s="17" t="str">
        <f>IFERROR(__xludf.DUMMYFUNCTION("if(len(A103)&gt;0, REGEXEXTRACT(A103, ""\(([^\)]*)\)""), """")"),"Percy Jackson")</f>
        <v>Percy Jackson</v>
      </c>
      <c r="G103" s="17" t="str">
        <f>IFERROR(__xludf.DUMMYFUNCTION("if(len(A103)&gt;0, REGEXEXTRACT(A103, ""\)([^:]*):""), """")")," 100")</f>
        <v> 100</v>
      </c>
      <c r="H103" s="31" t="str">
        <f>IFERROR(__xludf.DUMMYFUNCTION("if(len(A103) &gt; 0, JOIN(char(10), FILTER(SPLIT(A103, char(10)), split(""false false "" &amp; rept(""true "", columns(SPLIT(A103, char(10)))-3) &amp; ""false"", "" ""))), """")"),"For one reason or another you've got a god who cares slightly about you and has seen fit to grant you some minor boon within their domains.")</f>
        <v>For one reason or another you've got a god who cares slightly about you and has seen fit to grant you some minor boon within their domains.</v>
      </c>
    </row>
    <row r="104">
      <c r="A104" s="31" t="str">
        <f>IFERROR(__xludf.DUMMYFUNCTION("""COMPUTED_VALUE"""),"Chapter 130: 93 Loom and Thread
The Village (Personal Reality) Free with Sky and Ground plus Trees or Pond on all four sides:
Your Personal Reality now looks like a town in the middle of the woods, or in a mountain valley, or on a cliffside or seaside / l"&amp;"akeside. Not only that, but you can divide up sections of Warehouse by placing paths or bits of forest or water between them. This includes all Personal Reality expansions you buy, so if you want your Olympian Temple on an island off the coast of your vil"&amp;"lage, that’s fine. The dividing space can be up to 100x the total footprint of your Personal Reality space, but dividing zones and paths can’t be used to store stuff… it’s purely aesthetic
Facility")</f>
        <v>Chapter 130: 93 Loom and Thread
The Village (Personal Reality) Free with Sky and Ground plus Trees or Pond on all four sides:
Your Personal Reality now looks like a town in the middle of the woods, or in a mountain valley, or on a cliffside or seaside / lakeside. Not only that, but you can divide up sections of Warehouse by placing paths or bits of forest or water between them. This includes all Personal Reality expansions you buy, so if you want your Olympian Temple on an island off the coast of your village, that’s fine. The dividing space can be up to 100x the total footprint of your Personal Reality space, but dividing zones and paths can’t be used to store stuff… it’s purely aesthetic
Facility</v>
      </c>
      <c r="B104" s="17">
        <f>IFERROR(__xludf.DUMMYFUNCTION("if(len(A104)&gt;0, value(REGEXEXTRACT(A104, ""Chapter ([0-9]*):"")), """")"),130.0)</f>
        <v>130</v>
      </c>
      <c r="C104" s="31" t="str">
        <f>IFERROR(__xludf.DUMMYFUNCTION("if(len(A104) &gt;0, REGEXEXTRACT(A104, ""Chapter [0-9]*: (.*)""), """")"),"93 Loom and Thread")</f>
        <v>93 Loom and Thread</v>
      </c>
      <c r="D104" s="31" t="str">
        <f>IFERROR(__xludf.DUMMYFUNCTION("if(len(A104)&gt;0, REGEXEXTRACT(A104, ""\n[^\(]*""), """")"),"
The Village ")</f>
        <v>
The Village </v>
      </c>
      <c r="E104" s="17" t="str">
        <f>IFERROR(__xludf.DUMMYFUNCTION("if(len(A104)&gt;0, REGEXEXTRACT(A104, ""\n([^\n]*)$""), """")"),"Facility")</f>
        <v>Facility</v>
      </c>
      <c r="F104" s="17" t="str">
        <f>IFERROR(__xludf.DUMMYFUNCTION("if(len(A104)&gt;0, REGEXEXTRACT(A104, ""\(([^\)]*)\)""), """")"),"Personal Reality")</f>
        <v>Personal Reality</v>
      </c>
      <c r="G104" s="17" t="str">
        <f>IFERROR(__xludf.DUMMYFUNCTION("if(len(A104)&gt;0, REGEXEXTRACT(A104, ""\)([^:]*):""), """")")," Free with Sky and Ground plus Trees or Pond on all four sides")</f>
        <v> Free with Sky and Ground plus Trees or Pond on all four sides</v>
      </c>
      <c r="H104" s="31" t="str">
        <f>IFERROR(__xludf.DUMMYFUNCTION("if(len(A104) &gt; 0, JOIN(char(10), FILTER(SPLIT(A104, char(10)), split(""false false "" &amp; rept(""true "", columns(SPLIT(A104, char(10)))-3) &amp; ""false"", "" ""))), """")"),"Your Personal Reality now looks like a town in the middle of the woods, or in a mountain valley, or on a cliffside or seaside / lakeside. Not only that, but you can divide up sections of Warehouse by placing paths or bits of forest or water between them. "&amp;"This includes all Personal Reality expansions you buy, so if you want your Olympian Temple on an island off the coast of your village, that’s fine. The dividing space can be up to 100x the total footprint of your Personal Reality space, but dividing zones"&amp;" and paths can’t be used to store stuff… it’s purely aesthetic")</f>
        <v>Your Personal Reality now looks like a town in the middle of the woods, or in a mountain valley, or on a cliffside or seaside / lakeside. Not only that, but you can divide up sections of Warehouse by placing paths or bits of forest or water between them. This includes all Personal Reality expansions you buy, so if you want your Olympian Temple on an island off the coast of your village, that’s fine. The dividing space can be up to 100x the total footprint of your Personal Reality space, but dividing zones and paths can’t be used to store stuff… it’s purely aesthetic</v>
      </c>
    </row>
    <row r="105">
      <c r="A105" s="31" t="str">
        <f>IFERROR(__xludf.DUMMYFUNCTION("""COMPUTED_VALUE"""),"Chapter 130: 93 Loom and Thread
Treeline (Personal Reality) 200:
Walls getting you down? Well, you’re in luck. Not only does this replace your walls with trees, there’s actually a bit of a forest out there. Not useable for storage, but you can walk throug"&amp;"h the woods or cut down trees at the edge of the line for lumber or firewood. Any trees cut down regrow overnight and the stumps can never be cleared. You can walk as far into the woods as you like, but you’ll eventually come out on the other side of your"&amp;" Personal Reality. The trees are a mix of common trees from Earth and you can customize them to your liking with sliders to control how many pines, oaks, poplars, palms, apple trees, etc. The trees will naturally cycle through a year over the course of a "&amp;"year.
Facility")</f>
        <v>Chapter 130: 93 Loom and Thread
Treeline (Personal Reality) 200:
Walls getting you down? Well, you’re in luck. Not only does this replace your walls with trees, there’s actually a bit of a forest out there. Not useable for storage, but you can walk through the woods or cut down trees at the edge of the line for lumber or firewood. Any trees cut down regrow overnight and the stumps can never be cleared. You can walk as far into the woods as you like, but you’ll eventually come out on the other side of your Personal Reality. The trees are a mix of common trees from Earth and you can customize them to your liking with sliders to control how many pines, oaks, poplars, palms, apple trees, etc. The trees will naturally cycle through a year over the course of a year.
Facility</v>
      </c>
      <c r="B105" s="17">
        <f>IFERROR(__xludf.DUMMYFUNCTION("if(len(A105)&gt;0, value(REGEXEXTRACT(A105, ""Chapter ([0-9]*):"")), """")"),130.0)</f>
        <v>130</v>
      </c>
      <c r="C105" s="31" t="str">
        <f>IFERROR(__xludf.DUMMYFUNCTION("if(len(A105) &gt;0, REGEXEXTRACT(A105, ""Chapter [0-9]*: (.*)""), """")"),"93 Loom and Thread")</f>
        <v>93 Loom and Thread</v>
      </c>
      <c r="D105" s="31" t="str">
        <f>IFERROR(__xludf.DUMMYFUNCTION("if(len(A105)&gt;0, REGEXEXTRACT(A105, ""\n[^\(]*""), """")"),"
Treeline ")</f>
        <v>
Treeline </v>
      </c>
      <c r="E105" s="17" t="str">
        <f>IFERROR(__xludf.DUMMYFUNCTION("if(len(A105)&gt;0, REGEXEXTRACT(A105, ""\n([^\n]*)$""), """")"),"Facility")</f>
        <v>Facility</v>
      </c>
      <c r="F105" s="17" t="str">
        <f>IFERROR(__xludf.DUMMYFUNCTION("if(len(A105)&gt;0, REGEXEXTRACT(A105, ""\(([^\)]*)\)""), """")"),"Personal Reality")</f>
        <v>Personal Reality</v>
      </c>
      <c r="G105" s="17" t="str">
        <f>IFERROR(__xludf.DUMMYFUNCTION("if(len(A105)&gt;0, REGEXEXTRACT(A105, ""\)([^:]*):""), """")")," 200")</f>
        <v> 200</v>
      </c>
      <c r="H105" s="31" t="str">
        <f>IFERROR(__xludf.DUMMYFUNCTION("if(len(A105) &gt; 0, JOIN(char(10), FILTER(SPLIT(A105, char(10)), split(""false false "" &amp; rept(""true "", columns(SPLIT(A105, char(10)))-3) &amp; ""false"", "" ""))), """")"),"Walls getting you down? Well, you’re in luck. Not only does this replace your walls with trees, there’s actually a bit of a forest out there. Not useable for storage, but you can walk through the woods or cut down trees at the edge of the line for lumber "&amp;"or firewood. Any trees cut down regrow overnight and the stumps can never be cleared. You can walk as far into the woods as you like, but you’ll eventually come out on the other side of your Personal Reality. The trees are a mix of common trees from Earth"&amp;" and you can customize them to your liking with sliders to control how many pines, oaks, poplars, palms, apple trees, etc. The trees will naturally cycle through a year over the course of a year.")</f>
        <v>Walls getting you down? Well, you’re in luck. Not only does this replace your walls with trees, there’s actually a bit of a forest out there. Not useable for storage, but you can walk through the woods or cut down trees at the edge of the line for lumber or firewood. Any trees cut down regrow overnight and the stumps can never be cleared. You can walk as far into the woods as you like, but you’ll eventually come out on the other side of your Personal Reality. The trees are a mix of common trees from Earth and you can customize them to your liking with sliders to control how many pines, oaks, poplars, palms, apple trees, etc. The trees will naturally cycle through a year over the course of a year.</v>
      </c>
    </row>
    <row r="106">
      <c r="A106" s="31" t="str">
        <f>IFERROR(__xludf.DUMMYFUNCTION("""COMPUTED_VALUE"""),"Chapter 130: 93 Loom and Thread
Unnatural Skill: Ritual (Percy Jackson) 200:
Whether from your heritage or just being that good you've got one particular mundane skill that your feats with border on supernatural.
System")</f>
        <v>Chapter 130: 93 Loom and Thread
Unnatural Skill: Ritual (Percy Jackson) 200:
Whether from your heritage or just being that good you've got one particular mundane skill that your feats with border on supernatural.
System</v>
      </c>
      <c r="B106" s="17">
        <f>IFERROR(__xludf.DUMMYFUNCTION("if(len(A106)&gt;0, value(REGEXEXTRACT(A106, ""Chapter ([0-9]*):"")), """")"),130.0)</f>
        <v>130</v>
      </c>
      <c r="C106" s="31" t="str">
        <f>IFERROR(__xludf.DUMMYFUNCTION("if(len(A106) &gt;0, REGEXEXTRACT(A106, ""Chapter [0-9]*: (.*)""), """")"),"93 Loom and Thread")</f>
        <v>93 Loom and Thread</v>
      </c>
      <c r="D106" s="31" t="str">
        <f>IFERROR(__xludf.DUMMYFUNCTION("if(len(A106)&gt;0, REGEXEXTRACT(A106, ""\n[^\(]*""), """")"),"
Unnatural Skill: Ritual ")</f>
        <v>
Unnatural Skill: Ritual </v>
      </c>
      <c r="E106" s="17" t="str">
        <f>IFERROR(__xludf.DUMMYFUNCTION("if(len(A106)&gt;0, REGEXEXTRACT(A106, ""\n([^\n]*)$""), """")"),"System")</f>
        <v>System</v>
      </c>
      <c r="F106" s="17" t="str">
        <f>IFERROR(__xludf.DUMMYFUNCTION("if(len(A106)&gt;0, REGEXEXTRACT(A106, ""\(([^\)]*)\)""), """")"),"Percy Jackson")</f>
        <v>Percy Jackson</v>
      </c>
      <c r="G106" s="17" t="str">
        <f>IFERROR(__xludf.DUMMYFUNCTION("if(len(A106)&gt;0, REGEXEXTRACT(A106, ""\)([^:]*):""), """")")," 200")</f>
        <v> 200</v>
      </c>
      <c r="H106" s="31" t="str">
        <f>IFERROR(__xludf.DUMMYFUNCTION("if(len(A106) &gt; 0, JOIN(char(10), FILTER(SPLIT(A106, char(10)), split(""false false "" &amp; rept(""true "", columns(SPLIT(A106, char(10)))-3) &amp; ""false"", "" ""))), """")"),"Whether from your heritage or just being that good you've got one particular mundane skill that your feats with border on supernatural.")</f>
        <v>Whether from your heritage or just being that good you've got one particular mundane skill that your feats with border on supernatural.</v>
      </c>
    </row>
    <row r="107">
      <c r="A107" s="31" t="str">
        <f>IFERROR(__xludf.DUMMYFUNCTION("""COMPUTED_VALUE"""),"Chapter 130: 93 Loom and Thread
Wildlife (Personal Reality) 100:
This Treeline upgrade adds in small forest creatures like rabbits, squirrels, wolves, and bears. Ferrets too, but they’re not actually wild-animals… except the black-foot ferret, which is. O"&amp;"h, yeah. birds too, I guess. And bugs… but only mostly harmless ones. Bees yes, Wasps no.
Facility")</f>
        <v>Chapter 130: 93 Loom and Thread
Wildlife (Personal Reality) 100:
This Treeline upgrade adds in small forest creatures like rabbits, squirrels, wolves, and bears. Ferrets too, but they’re not actually wild-animals… except the black-foot ferret, which is. Oh, yeah. birds too, I guess. And bugs… but only mostly harmless ones. Bees yes, Wasps no.
Facility</v>
      </c>
      <c r="B107" s="17">
        <f>IFERROR(__xludf.DUMMYFUNCTION("if(len(A107)&gt;0, value(REGEXEXTRACT(A107, ""Chapter ([0-9]*):"")), """")"),130.0)</f>
        <v>130</v>
      </c>
      <c r="C107" s="31" t="str">
        <f>IFERROR(__xludf.DUMMYFUNCTION("if(len(A107) &gt;0, REGEXEXTRACT(A107, ""Chapter [0-9]*: (.*)""), """")"),"93 Loom and Thread")</f>
        <v>93 Loom and Thread</v>
      </c>
      <c r="D107" s="31" t="str">
        <f>IFERROR(__xludf.DUMMYFUNCTION("if(len(A107)&gt;0, REGEXEXTRACT(A107, ""\n[^\(]*""), """")"),"
Wildlife ")</f>
        <v>
Wildlife </v>
      </c>
      <c r="E107" s="17" t="str">
        <f>IFERROR(__xludf.DUMMYFUNCTION("if(len(A107)&gt;0, REGEXEXTRACT(A107, ""\n([^\n]*)$""), """")"),"Facility")</f>
        <v>Facility</v>
      </c>
      <c r="F107" s="17" t="str">
        <f>IFERROR(__xludf.DUMMYFUNCTION("if(len(A107)&gt;0, REGEXEXTRACT(A107, ""\(([^\)]*)\)""), """")"),"Personal Reality")</f>
        <v>Personal Reality</v>
      </c>
      <c r="G107" s="17" t="str">
        <f>IFERROR(__xludf.DUMMYFUNCTION("if(len(A107)&gt;0, REGEXEXTRACT(A107, ""\)([^:]*):""), """")")," 100")</f>
        <v> 100</v>
      </c>
      <c r="H107" s="31" t="str">
        <f>IFERROR(__xludf.DUMMYFUNCTION("if(len(A107) &gt; 0, JOIN(char(10), FILTER(SPLIT(A107, char(10)), split(""false false "" &amp; rept(""true "", columns(SPLIT(A107, char(10)))-3) &amp; ""false"", "" ""))), """")"),"This Treeline upgrade adds in small forest creatures like rabbits, squirrels, wolves, and bears. Ferrets too, but they’re not actually wild-animals… except the black-foot ferret, which is. Oh, yeah. birds too, I guess. And bugs… but only mostly harmless o"&amp;"nes. Bees yes, Wasps no.")</f>
        <v>This Treeline upgrade adds in small forest creatures like rabbits, squirrels, wolves, and bears. Ferrets too, but they’re not actually wild-animals… except the black-foot ferret, which is. Oh, yeah. birds too, I guess. And bugs… but only mostly harmless ones. Bees yes, Wasps no.</v>
      </c>
    </row>
    <row r="108">
      <c r="A108" s="31" t="str">
        <f>IFERROR(__xludf.DUMMYFUNCTION("""COMPUTED_VALUE"""),"Chapter 133: 95 Instant Replay
Erudition (Halo) 600:
Ever since the rise of Dr. Catherine Halsey, many were on the lookout for who might become the next intellectual prodigy. Someone who was able to perform as well as she could, someone who could help tu"&amp;"rn the tide of the war. With this, that someone is now you. Your cognitive capabilities are on par with the good doctor now, making you exceptionally well-versed in nearly all modern human sciences while holding specialties in at least a few fields. Of co"&amp;"urse, thanks to that you are also rather exceptional at reverse-engineering technology, which allows you to do such things like obtain working knowledge of the mechanics behind Covenant technology and even begin to understand the 'hows' behind some of the"&amp;" mundane pieces of Forerunner technology currently littering the galaxy. Perhaps you could eventually reclaim them. 'Erudition' allows you to make Smart A.I.s
System")</f>
        <v>Chapter 133: 95 Instant Replay
Erudition (Halo) 600:
Ever since the rise of Dr. Catherine Halsey, many were on the lookout for who might become the next intellectual prodigy. Someone who was able to perform as well as she could, someone who could help turn the tide of the war. With this, that someone is now you. Your cognitive capabilities are on par with the good doctor now, making you exceptionally well-versed in nearly all modern human sciences while holding specialties in at least a few fields. Of course, thanks to that you are also rather exceptional at reverse-engineering technology, which allows you to do such things like obtain working knowledge of the mechanics behind Covenant technology and even begin to understand the 'hows' behind some of the mundane pieces of Forerunner technology currently littering the galaxy. Perhaps you could eventually reclaim them. 'Erudition' allows you to make Smart A.I.s
System</v>
      </c>
      <c r="B108" s="17">
        <f>IFERROR(__xludf.DUMMYFUNCTION("if(len(A108)&gt;0, value(REGEXEXTRACT(A108, ""Chapter ([0-9]*):"")), """")"),133.0)</f>
        <v>133</v>
      </c>
      <c r="C108" s="31" t="str">
        <f>IFERROR(__xludf.DUMMYFUNCTION("if(len(A108) &gt;0, REGEXEXTRACT(A108, ""Chapter [0-9]*: (.*)""), """")"),"95 Instant Replay")</f>
        <v>95 Instant Replay</v>
      </c>
      <c r="D108" s="31" t="str">
        <f>IFERROR(__xludf.DUMMYFUNCTION("if(len(A108)&gt;0, REGEXEXTRACT(A108, ""\n[^\(]*""), """")"),"
Erudition ")</f>
        <v>
Erudition </v>
      </c>
      <c r="E108" s="17" t="str">
        <f>IFERROR(__xludf.DUMMYFUNCTION("if(len(A108)&gt;0, REGEXEXTRACT(A108, ""\n([^\n]*)$""), """")"),"System")</f>
        <v>System</v>
      </c>
      <c r="F108" s="17" t="str">
        <f>IFERROR(__xludf.DUMMYFUNCTION("if(len(A108)&gt;0, REGEXEXTRACT(A108, ""\(([^\)]*)\)""), """")"),"Halo")</f>
        <v>Halo</v>
      </c>
      <c r="G108" s="17" t="str">
        <f>IFERROR(__xludf.DUMMYFUNCTION("if(len(A108)&gt;0, REGEXEXTRACT(A108, ""\)([^:]*):""), """")")," 600")</f>
        <v> 600</v>
      </c>
      <c r="H108" s="31" t="str">
        <f>IFERROR(__xludf.DUMMYFUNCTION("if(len(A108) &gt; 0, JOIN(char(10), FILTER(SPLIT(A108, char(10)), split(""false false "" &amp; rept(""true "", columns(SPLIT(A108, char(10)))-3) &amp; ""false"", "" ""))), """")"),"Ever since the rise of Dr. Catherine Halsey, many were on the lookout for who might become the next intellectual prodigy. Someone who was able to perform as well as she could, someone who could help turn the tide of the war. With this, that someone is now"&amp;" you. Your cognitive capabilities are on par with the good doctor now, making you exceptionally well-versed in nearly all modern human sciences while holding specialties in at least a few fields. Of course, thanks to that you are also rather exceptional a"&amp;"t reverse-engineering technology, which allows you to do such things like obtain working knowledge of the mechanics behind Covenant technology and even begin to understand the 'hows' behind some of the mundane pieces of Forerunner technology currently lit"&amp;"tering the galaxy. Perhaps you could eventually reclaim them. 'Erudition' allows you to make Smart A.I.s")</f>
        <v>Ever since the rise of Dr. Catherine Halsey, many were on the lookout for who might become the next intellectual prodigy. Someone who was able to perform as well as she could, someone who could help turn the tide of the war. With this, that someone is now you. Your cognitive capabilities are on par with the good doctor now, making you exceptionally well-versed in nearly all modern human sciences while holding specialties in at least a few fields. Of course, thanks to that you are also rather exceptional at reverse-engineering technology, which allows you to do such things like obtain working knowledge of the mechanics behind Covenant technology and even begin to understand the 'hows' behind some of the mundane pieces of Forerunner technology currently littering the galaxy. Perhaps you could eventually reclaim them. 'Erudition' allows you to make Smart A.I.s</v>
      </c>
    </row>
    <row r="109">
      <c r="A109" s="31" t="str">
        <f>IFERROR(__xludf.DUMMYFUNCTION("""COMPUTED_VALUE"""),"Chapter 133: 95 Instant Replay
Gladius-class Heavy Corvette (Halo) Free:
While this ship is more meant for patrols and security roles rather than an actual ship of war, the Gladius-class serves its function well. Its armaments are somewhat smaller than m"&amp;"ost ships as a result, carrying only one small Magnetic Accelerator Cannon and two Archer missile pods with six Rampart point-defense cannons, but it does come with an extensive sensor suite to scan for anomalies and actively track targets for other ships"&amp;" to find and utterly obliterate. Seeing as it’s two hundred and forty-three meters in length however, it would be wise to simply retreat from any Covenant space presence.
-Slipspace Drive: The Shaw-Fujikawa Translight Engine finally allowed Humanity acce"&amp;"ss to fasterthan-light travel in the form of Slipstream Space, and thus opened their path to the stars themselves. This device works by creating ruptures in between normal space and Slipspace while surrounding the ship in a quantum field to protect them f"&amp;"rom the dangers of the alternate dimension. The engine itself does not propel the vessel through Slipspace however; it relies on the engines to do so. The more powerful the traditional propulsion of the ship, the faster it goes. However, normal models ten"&amp;"d to be erratic and jumps can take from several weeks to months of travel time depending on the distance, with exit destinations becoming off by a matter of hundreds of thousands of kilometers. A dangerous gambit, but it’s better than nothing.
-Self-Dest"&amp;"ruct Function: When it was clear that the Covenant were engaging in a war of extermination rather than one of conquest, the Cole Protocol was initiated. One of those requirements was that in the event of capture, a UNSC ship is to self-destruct to prevent"&amp;" the alien menace from collecting vital data such as navigation coordinates. It’s a drastic measure, but ultimately necessary to prevent them from finding the most important of Human worlds like Reach or Earth.
-Escape Pods/Life Boats: While going down w"&amp;"ith the ship is often seen as an honorable act so that the Covenant do not gleam anything useful from your mind, that doesn’t always have to be the case with everyone else. What if you’re transporting some VIPs or you want the rest of your crew to survive"&amp;"? Don’t make the same mistake as the ships of old. This gives your ship a slew of escape pods and lifeboats dotted all along the vessel, allowing the whole crew to evacuate on a moment’s notice if something goes wrong. It could be a lifesaver.
-Life Supp"&amp;"ort System: People need air to breathe. There’s just no way of getting around this, as even the mighty SPARTAN soldiers have an air requirement. That’s why every ship has air scrubbers and environmental control so that not only can you keep a stable atmos"&amp;"phere going but also to stay comfortable while on these long journeys as well.
Vehicle")</f>
        <v>Chapter 133: 95 Instant Replay
Gladius-class Heavy Corvette (Halo) Free:
While this ship is more meant for patrols and security roles rather than an actual ship of war, the Gladius-class serves its function well. Its armaments are somewhat smaller than most ships as a result, carrying only one small Magnetic Accelerator Cannon and two Archer missile pods with six Rampart point-defense cannons, but it does come with an extensive sensor suite to scan for anomalies and actively track targets for other ships to find and utterly obliterate. Seeing as it’s two hundred and forty-three meters in length however, it would be wise to simply retreat from any Covenant space presence.
-Slipspace Drive: The Shaw-Fujikawa Translight Engine finally allowed Humanity access to fasterthan-light travel in the form of Slipstream Space, and thus opened their path to the stars themselves. This device works by creating ruptures in between normal space and Slipspace while surrounding the ship in a quantum field to protect them from the dangers of the alternate dimension. The engine itself does not propel the vessel through Slipspace however; it relies on the engines to do so. The more powerful the traditional propulsion of the ship, the faster it goes. However, normal models tend to be erratic and jumps can take from several weeks to months of travel time depending on the distance, with exit destinations becoming off by a matter of hundreds of thousands of kilometers. A dangerous gambit, but it’s better than nothing.
-Self-Destruct Function: When it was clear that the Covenant were engaging in a war of extermination rather than one of conquest, the Cole Protocol was initiated. One of those requirements was that in the event of capture, a UNSC ship is to self-destruct to prevent the alien menace from collecting vital data such as navigation coordinates. It’s a drastic measure, but ultimately necessary to prevent them from finding the most important of Human worlds like Reach or Earth.
-Escape Pods/Life Boats: While going down with the ship is often seen as an honorable act so that the Covenant do not gleam anything useful from your mind, that doesn’t always have to be the case with everyone else. What if you’re transporting some VIPs or you want the rest of your crew to survive? Don’t make the same mistake as the ships of old. This gives your ship a slew of escape pods and lifeboats dotted all along the vessel, allowing the whole crew to evacuate on a moment’s notice if something goes wrong. It could be a lifesaver.
-Life Support System: People need air to breathe. There’s just no way of getting around this, as even the mighty SPARTAN soldiers have an air requirement. That’s why every ship has air scrubbers and environmental control so that not only can you keep a stable atmosphere going but also to stay comfortable while on these long journeys as well.
Vehicle</v>
      </c>
      <c r="B109" s="17">
        <f>IFERROR(__xludf.DUMMYFUNCTION("if(len(A109)&gt;0, value(REGEXEXTRACT(A109, ""Chapter ([0-9]*):"")), """")"),133.0)</f>
        <v>133</v>
      </c>
      <c r="C109" s="31" t="str">
        <f>IFERROR(__xludf.DUMMYFUNCTION("if(len(A109) &gt;0, REGEXEXTRACT(A109, ""Chapter [0-9]*: (.*)""), """")"),"95 Instant Replay")</f>
        <v>95 Instant Replay</v>
      </c>
      <c r="D109" s="31" t="str">
        <f>IFERROR(__xludf.DUMMYFUNCTION("if(len(A109)&gt;0, REGEXEXTRACT(A109, ""\n[^\(]*""), """")"),"
Gladius-class Heavy Corvette ")</f>
        <v>
Gladius-class Heavy Corvette </v>
      </c>
      <c r="E109" s="17" t="str">
        <f>IFERROR(__xludf.DUMMYFUNCTION("if(len(A109)&gt;0, REGEXEXTRACT(A109, ""\n([^\n]*)$""), """")"),"Vehicle")</f>
        <v>Vehicle</v>
      </c>
      <c r="F109" s="17" t="str">
        <f>IFERROR(__xludf.DUMMYFUNCTION("if(len(A109)&gt;0, REGEXEXTRACT(A109, ""\(([^\)]*)\)""), """")"),"Halo")</f>
        <v>Halo</v>
      </c>
      <c r="G109" s="17" t="str">
        <f>IFERROR(__xludf.DUMMYFUNCTION("if(len(A109)&gt;0, REGEXEXTRACT(A109, ""\)([^:]*):""), """")")," Free")</f>
        <v> Free</v>
      </c>
      <c r="H109" s="31" t="str">
        <f>IFERROR(__xludf.DUMMYFUNCTION("if(len(A109) &gt; 0, JOIN(char(10), FILTER(SPLIT(A109, char(10)), split(""false false "" &amp; rept(""true "", columns(SPLIT(A109, char(10)))-3) &amp; ""false"", "" ""))), """")"),"While this ship is more meant for patrols and security roles rather than an actual ship of war, the Gladius-class serves its function well. Its armaments are somewhat smaller than most ships as a result, carrying only one small Magnetic Accelerator Cannon"&amp;" and two Archer missile pods with six Rampart point-defense cannons, but it does come with an extensive sensor suite to scan for anomalies and actively track targets for other ships to find and utterly obliterate. Seeing as it’s two hundred and forty-thre"&amp;"e meters in length however, it would be wise to simply retreat from any Covenant space presence.
-Slipspace Drive: The Shaw-Fujikawa Translight Engine finally allowed Humanity access to fasterthan-light travel in the form of Slipstream Space, and thus op"&amp;"ened their path to the stars themselves. This device works by creating ruptures in between normal space and Slipspace while surrounding the ship in a quantum field to protect them from the dangers of the alternate dimension. The engine itself does not pro"&amp;"pel the vessel through Slipspace however; it relies on the engines to do so. The more powerful the traditional propulsion of the ship, the faster it goes. However, normal models tend to be erratic and jumps can take from several weeks to months of travel "&amp;"time depending on the distance, with exit destinations becoming off by a matter of hundreds of thousands of kilometers. A dangerous gambit, but it’s better than nothing.
-Self-Destruct Function: When it was clear that the Covenant were engaging in a war "&amp;"of extermination rather than one of conquest, the Cole Protocol was initiated. One of those requirements was that in the event of capture, a UNSC ship is to self-destruct to prevent the alien menace from collecting vital data such as navigation coordinate"&amp;"s. It’s a drastic measure, but ultimately necessary to prevent them from finding the most important of Human worlds like Reach or Earth.
-Escape Pods/Life Boats: While going down with the ship is often seen as an honorable act so that the Covenant do not"&amp;" gleam anything useful from your mind, that doesn’t always have to be the case with everyone else. What if you’re transporting some VIPs or you want the rest of your crew to survive? Don’t make the same mistake as the ships of old. This gives your ship a "&amp;"slew of escape pods and lifeboats dotted all along the vessel, allowing the whole crew to evacuate on a moment’s notice if something goes wrong. It could be a lifesaver.
-Life Support System: People need air to breathe. There’s just no way of getting aro"&amp;"und this, as even the mighty SPARTAN soldiers have an air requirement. That’s why every ship has air scrubbers and environmental control so that not only can you keep a stable atmosphere going but also to stay comfortable while on these long journeys as w"&amp;"ell.")</f>
        <v>While this ship is more meant for patrols and security roles rather than an actual ship of war, the Gladius-class serves its function well. Its armaments are somewhat smaller than most ships as a result, carrying only one small Magnetic Accelerator Cannon and two Archer missile pods with six Rampart point-defense cannons, but it does come with an extensive sensor suite to scan for anomalies and actively track targets for other ships to find and utterly obliterate. Seeing as it’s two hundred and forty-three meters in length however, it would be wise to simply retreat from any Covenant space presence.
-Slipspace Drive: The Shaw-Fujikawa Translight Engine finally allowed Humanity access to fasterthan-light travel in the form of Slipstream Space, and thus opened their path to the stars themselves. This device works by creating ruptures in between normal space and Slipspace while surrounding the ship in a quantum field to protect them from the dangers of the alternate dimension. The engine itself does not propel the vessel through Slipspace however; it relies on the engines to do so. The more powerful the traditional propulsion of the ship, the faster it goes. However, normal models tend to be erratic and jumps can take from several weeks to months of travel time depending on the distance, with exit destinations becoming off by a matter of hundreds of thousands of kilometers. A dangerous gambit, but it’s better than nothing.
-Self-Destruct Function: When it was clear that the Covenant were engaging in a war of extermination rather than one of conquest, the Cole Protocol was initiated. One of those requirements was that in the event of capture, a UNSC ship is to self-destruct to prevent the alien menace from collecting vital data such as navigation coordinates. It’s a drastic measure, but ultimately necessary to prevent them from finding the most important of Human worlds like Reach or Earth.
-Escape Pods/Life Boats: While going down with the ship is often seen as an honorable act so that the Covenant do not gleam anything useful from your mind, that doesn’t always have to be the case with everyone else. What if you’re transporting some VIPs or you want the rest of your crew to survive? Don’t make the same mistake as the ships of old. This gives your ship a slew of escape pods and lifeboats dotted all along the vessel, allowing the whole crew to evacuate on a moment’s notice if something goes wrong. It could be a lifesaver.
-Life Support System: People need air to breathe. There’s just no way of getting around this, as even the mighty SPARTAN soldiers have an air requirement. That’s why every ship has air scrubbers and environmental control so that not only can you keep a stable atmosphere going but also to stay comfortable while on these long journeys as well.</v>
      </c>
    </row>
    <row r="110">
      <c r="A110" s="31" t="str">
        <f>IFERROR(__xludf.DUMMYFUNCTION("""COMPUTED_VALUE"""),"Chapter 138: 95 Interlude Gregor - Shawn
Minor Blessing Zeus – Lightning (Percy Jackson) 100:
For one reason or another you've got a god who cares slightly about you and has seen fit to grant you some minor boon within their domains.
System")</f>
        <v>Chapter 138: 95 Interlude Gregor - Shawn
Minor Blessing Zeus – Lightning (Percy Jackson) 100:
For one reason or another you've got a god who cares slightly about you and has seen fit to grant you some minor boon within their domains.
System</v>
      </c>
      <c r="B110" s="17">
        <f>IFERROR(__xludf.DUMMYFUNCTION("if(len(A110)&gt;0, value(REGEXEXTRACT(A110, ""Chapter ([0-9]*):"")), """")"),138.0)</f>
        <v>138</v>
      </c>
      <c r="C110" s="31" t="str">
        <f>IFERROR(__xludf.DUMMYFUNCTION("if(len(A110) &gt;0, REGEXEXTRACT(A110, ""Chapter [0-9]*: (.*)""), """")"),"95 Interlude Gregor - Shawn")</f>
        <v>95 Interlude Gregor - Shawn</v>
      </c>
      <c r="D110" s="31" t="str">
        <f>IFERROR(__xludf.DUMMYFUNCTION("if(len(A110)&gt;0, REGEXEXTRACT(A110, ""\n[^\(]*""), """")"),"
Minor Blessing Zeus – Lightning ")</f>
        <v>
Minor Blessing Zeus – Lightning </v>
      </c>
      <c r="E110" s="17" t="str">
        <f>IFERROR(__xludf.DUMMYFUNCTION("if(len(A110)&gt;0, REGEXEXTRACT(A110, ""\n([^\n]*)$""), """")"),"System")</f>
        <v>System</v>
      </c>
      <c r="F110" s="17" t="str">
        <f>IFERROR(__xludf.DUMMYFUNCTION("if(len(A110)&gt;0, REGEXEXTRACT(A110, ""\(([^\)]*)\)""), """")"),"Percy Jackson")</f>
        <v>Percy Jackson</v>
      </c>
      <c r="G110" s="17" t="str">
        <f>IFERROR(__xludf.DUMMYFUNCTION("if(len(A110)&gt;0, REGEXEXTRACT(A110, ""\)([^:]*):""), """")")," 100")</f>
        <v> 100</v>
      </c>
      <c r="H110" s="31" t="str">
        <f>IFERROR(__xludf.DUMMYFUNCTION("if(len(A110) &gt; 0, JOIN(char(10), FILTER(SPLIT(A110, char(10)), split(""false false "" &amp; rept(""true "", columns(SPLIT(A110, char(10)))-3) &amp; ""false"", "" ""))), """")"),"For one reason or another you've got a god who cares slightly about you and has seen fit to grant you some minor boon within their domains.")</f>
        <v>For one reason or another you've got a god who cares slightly about you and has seen fit to grant you some minor boon within their domains.</v>
      </c>
    </row>
    <row r="111">
      <c r="A111" s="31" t="str">
        <f>IFERROR(__xludf.DUMMYFUNCTION("""COMPUTED_VALUE"""),"Chapter 138: 95 Interlude Gregor - Shawn
Unnatural Skill: Curses (Percy Jackson) 200:
Whether from your heritage or just being that good you've got one particular mundane skill that your feats with border on supernatural.
System")</f>
        <v>Chapter 138: 95 Interlude Gregor - Shawn
Unnatural Skill: Curses (Percy Jackson) 200:
Whether from your heritage or just being that good you've got one particular mundane skill that your feats with border on supernatural.
System</v>
      </c>
      <c r="B111" s="17">
        <f>IFERROR(__xludf.DUMMYFUNCTION("if(len(A111)&gt;0, value(REGEXEXTRACT(A111, ""Chapter ([0-9]*):"")), """")"),138.0)</f>
        <v>138</v>
      </c>
      <c r="C111" s="31" t="str">
        <f>IFERROR(__xludf.DUMMYFUNCTION("if(len(A111) &gt;0, REGEXEXTRACT(A111, ""Chapter [0-9]*: (.*)""), """")"),"95 Interlude Gregor - Shawn")</f>
        <v>95 Interlude Gregor - Shawn</v>
      </c>
      <c r="D111" s="31" t="str">
        <f>IFERROR(__xludf.DUMMYFUNCTION("if(len(A111)&gt;0, REGEXEXTRACT(A111, ""\n[^\(]*""), """")"),"
Unnatural Skill: Curses ")</f>
        <v>
Unnatural Skill: Curses </v>
      </c>
      <c r="E111" s="17" t="str">
        <f>IFERROR(__xludf.DUMMYFUNCTION("if(len(A111)&gt;0, REGEXEXTRACT(A111, ""\n([^\n]*)$""), """")"),"System")</f>
        <v>System</v>
      </c>
      <c r="F111" s="17" t="str">
        <f>IFERROR(__xludf.DUMMYFUNCTION("if(len(A111)&gt;0, REGEXEXTRACT(A111, ""\(([^\)]*)\)""), """")"),"Percy Jackson")</f>
        <v>Percy Jackson</v>
      </c>
      <c r="G111" s="17" t="str">
        <f>IFERROR(__xludf.DUMMYFUNCTION("if(len(A111)&gt;0, REGEXEXTRACT(A111, ""\)([^:]*):""), """")")," 200")</f>
        <v> 200</v>
      </c>
      <c r="H111" s="31" t="str">
        <f>IFERROR(__xludf.DUMMYFUNCTION("if(len(A111) &gt; 0, JOIN(char(10), FILTER(SPLIT(A111, char(10)), split(""false false "" &amp; rept(""true "", columns(SPLIT(A111, char(10)))-3) &amp; ""false"", "" ""))), """")"),"Whether from your heritage or just being that good you've got one particular mundane skill that your feats with border on supernatural.")</f>
        <v>Whether from your heritage or just being that good you've got one particular mundane skill that your feats with border on supernatural.</v>
      </c>
    </row>
    <row r="112">
      <c r="A112" s="31" t="str">
        <f>IFERROR(__xludf.DUMMYFUNCTION("""COMPUTED_VALUE"""),"Chapter 138: 95.5 Interlude Gregor - Shawn
Arena (Personal Reality) 200:
This Gym Upgrade that Requires Central Control and Robots removes the limiter on what can be trained and now it can be used to train anyone to any physical potential they might have."&amp;" The sparring pit is now outfitted with duplodroids, sparring partners that can duplicate the fighting strength and style of anyone you’ve ever fought… or even combine enemies and styles to attempt to throw you curves. Every fight you’ve ever been in and "&amp;"every fight you’re in from now on can be replayed by the Arena. Fights in the Arena are never fatal, like Pokemon Battles, they only result in KOs. If you choose to use the Arena Supplement, you may incorporate it with this Arena for an additional -100 WP"&amp;".
Facility")</f>
        <v>Chapter 138: 95.5 Interlude Gregor - Shawn
Arena (Personal Reality) 200:
This Gym Upgrade that Requires Central Control and Robots removes the limiter on what can be trained and now it can be used to train anyone to any physical potential they might have. The sparring pit is now outfitted with duplodroids, sparring partners that can duplicate the fighting strength and style of anyone you’ve ever fought… or even combine enemies and styles to attempt to throw you curves. Every fight you’ve ever been in and every fight you’re in from now on can be replayed by the Arena. Fights in the Arena are never fatal, like Pokemon Battles, they only result in KOs. If you choose to use the Arena Supplement, you may incorporate it with this Arena for an additional -100 WP.
Facility</v>
      </c>
      <c r="B112" s="17">
        <f>IFERROR(__xludf.DUMMYFUNCTION("if(len(A112)&gt;0, value(REGEXEXTRACT(A112, ""Chapter ([0-9]*):"")), """")"),138.0)</f>
        <v>138</v>
      </c>
      <c r="C112" s="31" t="str">
        <f>IFERROR(__xludf.DUMMYFUNCTION("if(len(A112) &gt;0, REGEXEXTRACT(A112, ""Chapter [0-9]*: (.*)""), """")"),"95.5 Interlude Gregor - Shawn")</f>
        <v>95.5 Interlude Gregor - Shawn</v>
      </c>
      <c r="D112" s="31" t="str">
        <f>IFERROR(__xludf.DUMMYFUNCTION("if(len(A112)&gt;0, REGEXEXTRACT(A112, ""\n[^\(]*""), """")"),"
Arena ")</f>
        <v>
Arena </v>
      </c>
      <c r="E112" s="17" t="str">
        <f>IFERROR(__xludf.DUMMYFUNCTION("if(len(A112)&gt;0, REGEXEXTRACT(A112, ""\n([^\n]*)$""), """")"),"Facility")</f>
        <v>Facility</v>
      </c>
      <c r="F112" s="17" t="str">
        <f>IFERROR(__xludf.DUMMYFUNCTION("if(len(A112)&gt;0, REGEXEXTRACT(A112, ""\(([^\)]*)\)""), """")"),"Personal Reality")</f>
        <v>Personal Reality</v>
      </c>
      <c r="G112" s="17" t="str">
        <f>IFERROR(__xludf.DUMMYFUNCTION("if(len(A112)&gt;0, REGEXEXTRACT(A112, ""\)([^:]*):""), """")")," 200")</f>
        <v> 200</v>
      </c>
      <c r="H112" s="31" t="str">
        <f>IFERROR(__xludf.DUMMYFUNCTION("if(len(A112) &gt; 0, JOIN(char(10), FILTER(SPLIT(A112, char(10)), split(""false false "" &amp; rept(""true "", columns(SPLIT(A112, char(10)))-3) &amp; ""false"", "" ""))), """")"),"This Gym Upgrade that Requires Central Control and Robots removes the limiter on what can be trained and now it can be used to train anyone to any physical potential they might have. The sparring pit is now outfitted with duplodroids, sparring partners th"&amp;"at can duplicate the fighting strength and style of anyone you’ve ever fought… or even combine enemies and styles to attempt to throw you curves. Every fight you’ve ever been in and every fight you’re in from now on can be replayed by the Arena. Fights in"&amp;" the Arena are never fatal, like Pokemon Battles, they only result in KOs. If you choose to use the Arena Supplement, you may incorporate it with this Arena for an additional -100 WP.")</f>
        <v>This Gym Upgrade that Requires Central Control and Robots removes the limiter on what can be trained and now it can be used to train anyone to any physical potential they might have. The sparring pit is now outfitted with duplodroids, sparring partners that can duplicate the fighting strength and style of anyone you’ve ever fought… or even combine enemies and styles to attempt to throw you curves. Every fight you’ve ever been in and every fight you’re in from now on can be replayed by the Arena. Fights in the Arena are never fatal, like Pokemon Battles, they only result in KOs. If you choose to use the Arena Supplement, you may incorporate it with this Arena for an additional -100 WP.</v>
      </c>
    </row>
    <row r="113">
      <c r="A113" s="31" t="str">
        <f>IFERROR(__xludf.DUMMYFUNCTION("""COMPUTED_VALUE"""),"Chapter 138: 95.5 Interlude Gregor - Shawn
Central Control (Personal Reality) 100:
This optional purchase hooks your Personal Reality up with a Smart Pseudo-Intelligent Computer System that tracks the location and condition of all items brought into the P"&amp;"ersonal Reality. It will share that information with you or anyone you authorize to use the system. They do not have to have a key and you can set up varying levels of access. Central Control can also recall your companions to the Personal Reality if you "&amp;"have Portal and command it to or they are killed and you’ve set up automated recall. It can open your Personal Reality Door from the inside if you’ve given it permission to do so, but will only admit those it believes will assist you. It can only open doo"&amp;"rs on which Access Key has been used on, but the key need not be still in that door for the door to be opened.
Facility")</f>
        <v>Chapter 138: 95.5 Interlude Gregor - Shawn
Central Control (Personal Reality) 100:
This optional purchase hooks your Personal Reality up with a Smart Pseudo-Intelligent Computer System that tracks the location and condition of all items brought into the Personal Reality. It will share that information with you or anyone you authorize to use the system. They do not have to have a key and you can set up varying levels of access. Central Control can also recall your companions to the Personal Reality if you have Portal and command it to or they are killed and you’ve set up automated recall. It can open your Personal Reality Door from the inside if you’ve given it permission to do so, but will only admit those it believes will assist you. It can only open doors on which Access Key has been used on, but the key need not be still in that door for the door to be opened.
Facility</v>
      </c>
      <c r="B113" s="17">
        <f>IFERROR(__xludf.DUMMYFUNCTION("if(len(A113)&gt;0, value(REGEXEXTRACT(A113, ""Chapter ([0-9]*):"")), """")"),138.0)</f>
        <v>138</v>
      </c>
      <c r="C113" s="31" t="str">
        <f>IFERROR(__xludf.DUMMYFUNCTION("if(len(A113) &gt;0, REGEXEXTRACT(A113, ""Chapter [0-9]*: (.*)""), """")"),"95.5 Interlude Gregor - Shawn")</f>
        <v>95.5 Interlude Gregor - Shawn</v>
      </c>
      <c r="D113" s="31" t="str">
        <f>IFERROR(__xludf.DUMMYFUNCTION("if(len(A113)&gt;0, REGEXEXTRACT(A113, ""\n[^\(]*""), """")"),"
Central Control ")</f>
        <v>
Central Control </v>
      </c>
      <c r="E113" s="17" t="str">
        <f>IFERROR(__xludf.DUMMYFUNCTION("if(len(A113)&gt;0, REGEXEXTRACT(A113, ""\n([^\n]*)$""), """")"),"Facility")</f>
        <v>Facility</v>
      </c>
      <c r="F113" s="17" t="str">
        <f>IFERROR(__xludf.DUMMYFUNCTION("if(len(A113)&gt;0, REGEXEXTRACT(A113, ""\(([^\)]*)\)""), """")"),"Personal Reality")</f>
        <v>Personal Reality</v>
      </c>
      <c r="G113" s="17" t="str">
        <f>IFERROR(__xludf.DUMMYFUNCTION("if(len(A113)&gt;0, REGEXEXTRACT(A113, ""\)([^:]*):""), """")")," 100")</f>
        <v> 100</v>
      </c>
      <c r="H113" s="31" t="str">
        <f>IFERROR(__xludf.DUMMYFUNCTION("if(len(A113) &gt; 0, JOIN(char(10), FILTER(SPLIT(A113, char(10)), split(""false false "" &amp; rept(""true "", columns(SPLIT(A113, char(10)))-3) &amp; ""false"", "" ""))), """")"),"This optional purchase hooks your Personal Reality up with a Smart Pseudo-Intelligent Computer System that tracks the location and condition of all items brought into the Personal Reality. It will share that information with you or anyone you authorize to"&amp;" use the system. They do not have to have a key and you can set up varying levels of access. Central Control can also recall your companions to the Personal Reality if you have Portal and command it to or they are killed and you’ve set up automated recall"&amp;". It can open your Personal Reality Door from the inside if you’ve given it permission to do so, but will only admit those it believes will assist you. It can only open doors on which Access Key has been used on, but the key need not be still in that door"&amp;" for the door to be opened.")</f>
        <v>This optional purchase hooks your Personal Reality up with a Smart Pseudo-Intelligent Computer System that tracks the location and condition of all items brought into the Personal Reality. It will share that information with you or anyone you authorize to use the system. They do not have to have a key and you can set up varying levels of access. Central Control can also recall your companions to the Personal Reality if you have Portal and command it to or they are killed and you’ve set up automated recall. It can open your Personal Reality Door from the inside if you’ve given it permission to do so, but will only admit those it believes will assist you. It can only open doors on which Access Key has been used on, but the key need not be still in that door for the door to be opened.</v>
      </c>
    </row>
    <row r="114">
      <c r="A114" s="31" t="str">
        <f>IFERROR(__xludf.DUMMYFUNCTION("""COMPUTED_VALUE"""),"Chapter 138: 95.5 Interlude Gregor - Shawn
Gym (Personal Reality) 100:
This provides your Personal Reality with a large open training room for physical exercise. It comes with exercise equipment that can be used to train almost anyone dedicated enough to "&amp;"the limits of their potential (as long as that potential is no more than 150% of peak human potential) fitness. It can be easily converted into a sparring pit. If you have Robots, this includes extremely durable sparring automatons to learn from in your p"&amp;"it. Anybody using the Gym will find that training physical abilities is slightly less fatiguing than it otherwise would be.
Facility")</f>
        <v>Chapter 138: 95.5 Interlude Gregor - Shawn
Gym (Personal Reality) 100:
This provides your Personal Reality with a large open training room for physical exercise. It comes with exercise equipment that can be used to train almost anyone dedicated enough to the limits of their potential (as long as that potential is no more than 150% of peak human potential) fitness. It can be easily converted into a sparring pit. If you have Robots, this includes extremely durable sparring automatons to learn from in your pit. Anybody using the Gym will find that training physical abilities is slightly less fatiguing than it otherwise would be.
Facility</v>
      </c>
      <c r="B114" s="17">
        <f>IFERROR(__xludf.DUMMYFUNCTION("if(len(A114)&gt;0, value(REGEXEXTRACT(A114, ""Chapter ([0-9]*):"")), """")"),138.0)</f>
        <v>138</v>
      </c>
      <c r="C114" s="31" t="str">
        <f>IFERROR(__xludf.DUMMYFUNCTION("if(len(A114) &gt;0, REGEXEXTRACT(A114, ""Chapter [0-9]*: (.*)""), """")"),"95.5 Interlude Gregor - Shawn")</f>
        <v>95.5 Interlude Gregor - Shawn</v>
      </c>
      <c r="D114" s="31" t="str">
        <f>IFERROR(__xludf.DUMMYFUNCTION("if(len(A114)&gt;0, REGEXEXTRACT(A114, ""\n[^\(]*""), """")"),"
Gym ")</f>
        <v>
Gym </v>
      </c>
      <c r="E114" s="17" t="str">
        <f>IFERROR(__xludf.DUMMYFUNCTION("if(len(A114)&gt;0, REGEXEXTRACT(A114, ""\n([^\n]*)$""), """")"),"Facility")</f>
        <v>Facility</v>
      </c>
      <c r="F114" s="17" t="str">
        <f>IFERROR(__xludf.DUMMYFUNCTION("if(len(A114)&gt;0, REGEXEXTRACT(A114, ""\(([^\)]*)\)""), """")"),"Personal Reality")</f>
        <v>Personal Reality</v>
      </c>
      <c r="G114" s="17" t="str">
        <f>IFERROR(__xludf.DUMMYFUNCTION("if(len(A114)&gt;0, REGEXEXTRACT(A114, ""\)([^:]*):""), """")")," 100")</f>
        <v> 100</v>
      </c>
      <c r="H114" s="31" t="str">
        <f>IFERROR(__xludf.DUMMYFUNCTION("if(len(A114) &gt; 0, JOIN(char(10), FILTER(SPLIT(A114, char(10)), split(""false false "" &amp; rept(""true "", columns(SPLIT(A114, char(10)))-3) &amp; ""false"", "" ""))), """")"),"This provides your Personal Reality with a large open training room for physical exercise. It comes with exercise equipment that can be used to train almost anyone dedicated enough to the limits of their potential (as long as that potential is no more tha"&amp;"n 150% of peak human potential) fitness. It can be easily converted into a sparring pit. If you have Robots, this includes extremely durable sparring automatons to learn from in your pit. Anybody using the Gym will find that training physical abilities is"&amp;" slightly less fatiguing than it otherwise would be.")</f>
        <v>This provides your Personal Reality with a large open training room for physical exercise. It comes with exercise equipment that can be used to train almost anyone dedicated enough to the limits of their potential (as long as that potential is no more than 150% of peak human potential) fitness. It can be easily converted into a sparring pit. If you have Robots, this includes extremely durable sparring automatons to learn from in your pit. Anybody using the Gym will find that training physical abilities is slightly less fatiguing than it otherwise would be.</v>
      </c>
    </row>
    <row r="115">
      <c r="A115" s="31" t="str">
        <f>IFERROR(__xludf.DUMMYFUNCTION("""COMPUTED_VALUE"""),"Chapter 138: 95.5 Interlude Gregor - Shawn
Your Robots (Personal Reality) 200:
This Central Control Upgrade provides you with an automated sorting system that sorts and automatically retrieves anything stored in your Personal Reality. These Robots are com"&amp;"pletely upgradeable and programmable, so you can keep them out of key areas or tell them not to disturb certain potentially explosive experiments if you want. You get twenty of them and instructions on how to make more.
Facility")</f>
        <v>Chapter 138: 95.5 Interlude Gregor - Shawn
Your Robots (Personal Reality) 200:
This Central Control Upgrade provides you with an automated sorting system that sorts and automatically retrieves anything stored in your Personal Reality. These Robots are completely upgradeable and programmable, so you can keep them out of key areas or tell them not to disturb certain potentially explosive experiments if you want. You get twenty of them and instructions on how to make more.
Facility</v>
      </c>
      <c r="B115" s="17">
        <f>IFERROR(__xludf.DUMMYFUNCTION("if(len(A115)&gt;0, value(REGEXEXTRACT(A115, ""Chapter ([0-9]*):"")), """")"),138.0)</f>
        <v>138</v>
      </c>
      <c r="C115" s="31" t="str">
        <f>IFERROR(__xludf.DUMMYFUNCTION("if(len(A115) &gt;0, REGEXEXTRACT(A115, ""Chapter [0-9]*: (.*)""), """")"),"95.5 Interlude Gregor - Shawn")</f>
        <v>95.5 Interlude Gregor - Shawn</v>
      </c>
      <c r="D115" s="31" t="str">
        <f>IFERROR(__xludf.DUMMYFUNCTION("if(len(A115)&gt;0, REGEXEXTRACT(A115, ""\n[^\(]*""), """")"),"
Your Robots ")</f>
        <v>
Your Robots </v>
      </c>
      <c r="E115" s="17" t="str">
        <f>IFERROR(__xludf.DUMMYFUNCTION("if(len(A115)&gt;0, REGEXEXTRACT(A115, ""\n([^\n]*)$""), """")"),"Facility")</f>
        <v>Facility</v>
      </c>
      <c r="F115" s="17" t="str">
        <f>IFERROR(__xludf.DUMMYFUNCTION("if(len(A115)&gt;0, REGEXEXTRACT(A115, ""\(([^\)]*)\)""), """")"),"Personal Reality")</f>
        <v>Personal Reality</v>
      </c>
      <c r="G115" s="17" t="str">
        <f>IFERROR(__xludf.DUMMYFUNCTION("if(len(A115)&gt;0, REGEXEXTRACT(A115, ""\)([^:]*):""), """")")," 200")</f>
        <v> 200</v>
      </c>
      <c r="H115" s="31" t="str">
        <f>IFERROR(__xludf.DUMMYFUNCTION("if(len(A115) &gt; 0, JOIN(char(10), FILTER(SPLIT(A115, char(10)), split(""false false "" &amp; rept(""true "", columns(SPLIT(A115, char(10)))-3) &amp; ""false"", "" ""))), """")"),"This Central Control Upgrade provides you with an automated sorting system that sorts and automatically retrieves anything stored in your Personal Reality. These Robots are completely upgradeable and programmable, so you can keep them out of key areas or "&amp;"tell them not to disturb certain potentially explosive experiments if you want. You get twenty of them and instructions on how to make more.")</f>
        <v>This Central Control Upgrade provides you with an automated sorting system that sorts and automatically retrieves anything stored in your Personal Reality. These Robots are completely upgradeable and programmable, so you can keep them out of key areas or tell them not to disturb certain potentially explosive experiments if you want. You get twenty of them and instructions on how to make more.</v>
      </c>
    </row>
    <row r="116">
      <c r="A116" s="31" t="str">
        <f>IFERROR(__xludf.DUMMYFUNCTION("""COMPUTED_VALUE"""),"Chapter 139: 95.6 Interlude Rey
Emblems (Kerbal Space Program) Free:
You'll not only find your creations and rocketships neatly emblazoned with a flag/symbol of your choice, but you'll also be able to fashion cloth emblems for Kerbals(and companions) to u"&amp;"tilize to represent various mission types. However, you'll only be able to gift the patches so made to those whom directly participated in the mission itself. While they offer no bonuses, they do make a nice keepsake and reminder of the glories you and yo"&amp;"ur Kerbals(and companions) achieved - wether it's landing on the Mun or going to the stars.
Ability")</f>
        <v>Chapter 139: 95.6 Interlude Rey
Emblems (Kerbal Space Program) Free:
You'll not only find your creations and rocketships neatly emblazoned with a flag/symbol of your choice, but you'll also be able to fashion cloth emblems for Kerbals(and companions) to utilize to represent various mission types. However, you'll only be able to gift the patches so made to those whom directly participated in the mission itself. While they offer no bonuses, they do make a nice keepsake and reminder of the glories you and your Kerbals(and companions) achieved - wether it's landing on the Mun or going to the stars.
Ability</v>
      </c>
      <c r="B116" s="17">
        <f>IFERROR(__xludf.DUMMYFUNCTION("if(len(A116)&gt;0, value(REGEXEXTRACT(A116, ""Chapter ([0-9]*):"")), """")"),139.0)</f>
        <v>139</v>
      </c>
      <c r="C116" s="31" t="str">
        <f>IFERROR(__xludf.DUMMYFUNCTION("if(len(A116) &gt;0, REGEXEXTRACT(A116, ""Chapter [0-9]*: (.*)""), """")"),"95.6 Interlude Rey")</f>
        <v>95.6 Interlude Rey</v>
      </c>
      <c r="D116" s="31" t="str">
        <f>IFERROR(__xludf.DUMMYFUNCTION("if(len(A116)&gt;0, REGEXEXTRACT(A116, ""\n[^\(]*""), """")"),"
Emblems ")</f>
        <v>
Emblems </v>
      </c>
      <c r="E116" s="17" t="str">
        <f>IFERROR(__xludf.DUMMYFUNCTION("if(len(A116)&gt;0, REGEXEXTRACT(A116, ""\n([^\n]*)$""), """")"),"Ability")</f>
        <v>Ability</v>
      </c>
      <c r="F116" s="17" t="str">
        <f>IFERROR(__xludf.DUMMYFUNCTION("if(len(A116)&gt;0, REGEXEXTRACT(A116, ""\(([^\)]*)\)""), """")"),"Kerbal Space Program")</f>
        <v>Kerbal Space Program</v>
      </c>
      <c r="G116" s="17" t="str">
        <f>IFERROR(__xludf.DUMMYFUNCTION("if(len(A116)&gt;0, REGEXEXTRACT(A116, ""\)([^:]*):""), """")")," Free")</f>
        <v> Free</v>
      </c>
      <c r="H116" s="31" t="str">
        <f>IFERROR(__xludf.DUMMYFUNCTION("if(len(A116) &gt; 0, JOIN(char(10), FILTER(SPLIT(A116, char(10)), split(""false false "" &amp; rept(""true "", columns(SPLIT(A116, char(10)))-3) &amp; ""false"", "" ""))), """")"),"You'll not only find your creations and rocketships neatly emblazoned with a flag/symbol of your choice, but you'll also be able to fashion cloth emblems for Kerbals(and companions) to utilize to represent various mission types. However, you'll only be ab"&amp;"le to gift the patches so made to those whom directly participated in the mission itself. While they offer no bonuses, they do make a nice keepsake and reminder of the glories you and your Kerbals(and companions) achieved - wether it's landing on the Mun "&amp;"or going to the stars.")</f>
        <v>You'll not only find your creations and rocketships neatly emblazoned with a flag/symbol of your choice, but you'll also be able to fashion cloth emblems for Kerbals(and companions) to utilize to represent various mission types. However, you'll only be able to gift the patches so made to those whom directly participated in the mission itself. While they offer no bonuses, they do make a nice keepsake and reminder of the glories you and your Kerbals(and companions) achieved - wether it's landing on the Mun or going to the stars.</v>
      </c>
    </row>
    <row r="117">
      <c r="A117" s="31" t="str">
        <f>IFERROR(__xludf.DUMMYFUNCTION("""COMPUTED_VALUE"""),"Chapter 139: 95.6 Interlude Rey
Espirit de Kerbal (Kerbal Space Program) Free:
While you're going to have no end of volunteers of Kerbals to go into space (seriously, where the hell are they all coming from?), it's understandable that you're going to want"&amp;" a special group of Kerbals to count on in a pinch - an elite force you can trust to get the job done. Twenty Kerbals have stepped up to the plate to fill that role. This group of Kerbals doesn't seem to let mishaps keep them down; while crashes, explosio"&amp;"ns, and other shenanigans will, uh, result in Critical Kerbal Existence Failure, they'll pop back up in a week or so, right as rain and raring to go for another try. All 20 of these Kerbals will automatically gain whatever perk you purchase in this jump f"&amp;"rom the Pilot, Engineer, and Scientist perk tree - Drop-In, however, doesn't count for this. Kerbals regard such things as 'sleep', 'water', 'food', and 'oxygen' as quaint, outdated suggestions. Relevant perks: Aerospace Engineering Makes Things Go Fast. "&amp;"They're Like Legos, Right? This Is How I Want It
Entity")</f>
        <v>Chapter 139: 95.6 Interlude Rey
Espirit de Kerbal (Kerbal Space Program) Free:
While you're going to have no end of volunteers of Kerbals to go into space (seriously, where the hell are they all coming from?), it's understandable that you're going to want a special group of Kerbals to count on in a pinch - an elite force you can trust to get the job done. Twenty Kerbals have stepped up to the plate to fill that role. This group of Kerbals doesn't seem to let mishaps keep them down; while crashes, explosions, and other shenanigans will, uh, result in Critical Kerbal Existence Failure, they'll pop back up in a week or so, right as rain and raring to go for another try. All 20 of these Kerbals will automatically gain whatever perk you purchase in this jump from the Pilot, Engineer, and Scientist perk tree - Drop-In, however, doesn't count for this. Kerbals regard such things as 'sleep', 'water', 'food', and 'oxygen' as quaint, outdated suggestions. Relevant perks: Aerospace Engineering Makes Things Go Fast. They're Like Legos, Right? This Is How I Want It
Entity</v>
      </c>
      <c r="B117" s="17">
        <f>IFERROR(__xludf.DUMMYFUNCTION("if(len(A117)&gt;0, value(REGEXEXTRACT(A117, ""Chapter ([0-9]*):"")), """")"),139.0)</f>
        <v>139</v>
      </c>
      <c r="C117" s="31" t="str">
        <f>IFERROR(__xludf.DUMMYFUNCTION("if(len(A117) &gt;0, REGEXEXTRACT(A117, ""Chapter [0-9]*: (.*)""), """")"),"95.6 Interlude Rey")</f>
        <v>95.6 Interlude Rey</v>
      </c>
      <c r="D117" s="31" t="str">
        <f>IFERROR(__xludf.DUMMYFUNCTION("if(len(A117)&gt;0, REGEXEXTRACT(A117, ""\n[^\(]*""), """")"),"
Espirit de Kerbal ")</f>
        <v>
Espirit de Kerbal </v>
      </c>
      <c r="E117" s="17" t="str">
        <f>IFERROR(__xludf.DUMMYFUNCTION("if(len(A117)&gt;0, REGEXEXTRACT(A117, ""\n([^\n]*)$""), """")"),"Entity")</f>
        <v>Entity</v>
      </c>
      <c r="F117" s="17" t="str">
        <f>IFERROR(__xludf.DUMMYFUNCTION("if(len(A117)&gt;0, REGEXEXTRACT(A117, ""\(([^\)]*)\)""), """")"),"Kerbal Space Program")</f>
        <v>Kerbal Space Program</v>
      </c>
      <c r="G117" s="17" t="str">
        <f>IFERROR(__xludf.DUMMYFUNCTION("if(len(A117)&gt;0, REGEXEXTRACT(A117, ""\)([^:]*):""), """")")," Free")</f>
        <v> Free</v>
      </c>
      <c r="H117" s="31" t="str">
        <f>IFERROR(__xludf.DUMMYFUNCTION("if(len(A117) &gt; 0, JOIN(char(10), FILTER(SPLIT(A117, char(10)), split(""false false "" &amp; rept(""true "", columns(SPLIT(A117, char(10)))-3) &amp; ""false"", "" ""))), """")"),"While you're going to have no end of volunteers of Kerbals to go into space (seriously, where the hell are they all coming from?), it's understandable that you're going to want a special group of Kerbals to count on in a pinch - an elite force you can tru"&amp;"st to get the job done. Twenty Kerbals have stepped up to the plate to fill that role. This group of Kerbals doesn't seem to let mishaps keep them down; while crashes, explosions, and other shenanigans will, uh, result in Critical Kerbal Existence Failure"&amp;", they'll pop back up in a week or so, right as rain and raring to go for another try. All 20 of these Kerbals will automatically gain whatever perk you purchase in this jump from the Pilot, Engineer, and Scientist perk tree - Drop-In, however, doesn't co"&amp;"unt for this. Kerbals regard such things as 'sleep', 'water', 'food', and 'oxygen' as quaint, outdated suggestions. Relevant perks: Aerospace Engineering Makes Things Go Fast. They're Like Legos, Right? This Is How I Want It")</f>
        <v>While you're going to have no end of volunteers of Kerbals to go into space (seriously, where the hell are they all coming from?), it's understandable that you're going to want a special group of Kerbals to count on in a pinch - an elite force you can trust to get the job done. Twenty Kerbals have stepped up to the plate to fill that role. This group of Kerbals doesn't seem to let mishaps keep them down; while crashes, explosions, and other shenanigans will, uh, result in Critical Kerbal Existence Failure, they'll pop back up in a week or so, right as rain and raring to go for another try. All 20 of these Kerbals will automatically gain whatever perk you purchase in this jump from the Pilot, Engineer, and Scientist perk tree - Drop-In, however, doesn't count for this. Kerbals regard such things as 'sleep', 'water', 'food', and 'oxygen' as quaint, outdated suggestions. Relevant perks: Aerospace Engineering Makes Things Go Fast. They're Like Legos, Right? This Is How I Want It</v>
      </c>
    </row>
    <row r="118">
      <c r="A118" s="31" t="str">
        <f>IFERROR(__xludf.DUMMYFUNCTION("""COMPUTED_VALUE"""),"Chapter 139: 95.6 Interlude Rey
Some Old Friends (Kerbal Space Program) Free:
Hey, what are you - wait a minute! How did you four get in here!? Oh, well. Looks like you're going to get some help in this jump, whether you want to, or no - Bill, Bob, Jebedi"&amp;"ah, and Valentina are all up and raring to go. As a bonus, all four come with the 'I Am A Pilot, Actually' perk for free. I Am A Pilot, Actually - All the engineering and mathematics in the world doesn't mean much if you can't actually fly the damn things"&amp;". You're far from being supernatural in skill, but you're not a weekend warrior, either - you effectively have the piloting skill of Neil Armstrong when it comes to piloting rockets, spaceships, and aeroplanes
Entity")</f>
        <v>Chapter 139: 95.6 Interlude Rey
Some Old Friends (Kerbal Space Program) Free:
Hey, what are you - wait a minute! How did you four get in here!? Oh, well. Looks like you're going to get some help in this jump, whether you want to, or no - Bill, Bob, Jebediah, and Valentina are all up and raring to go. As a bonus, all four come with the 'I Am A Pilot, Actually' perk for free. I Am A Pilot, Actually - All the engineering and mathematics in the world doesn't mean much if you can't actually fly the damn things. You're far from being supernatural in skill, but you're not a weekend warrior, either - you effectively have the piloting skill of Neil Armstrong when it comes to piloting rockets, spaceships, and aeroplanes
Entity</v>
      </c>
      <c r="B118" s="17">
        <f>IFERROR(__xludf.DUMMYFUNCTION("if(len(A118)&gt;0, value(REGEXEXTRACT(A118, ""Chapter ([0-9]*):"")), """")"),139.0)</f>
        <v>139</v>
      </c>
      <c r="C118" s="31" t="str">
        <f>IFERROR(__xludf.DUMMYFUNCTION("if(len(A118) &gt;0, REGEXEXTRACT(A118, ""Chapter [0-9]*: (.*)""), """")"),"95.6 Interlude Rey")</f>
        <v>95.6 Interlude Rey</v>
      </c>
      <c r="D118" s="31" t="str">
        <f>IFERROR(__xludf.DUMMYFUNCTION("if(len(A118)&gt;0, REGEXEXTRACT(A118, ""\n[^\(]*""), """")"),"
Some Old Friends ")</f>
        <v>
Some Old Friends </v>
      </c>
      <c r="E118" s="17" t="str">
        <f>IFERROR(__xludf.DUMMYFUNCTION("if(len(A118)&gt;0, REGEXEXTRACT(A118, ""\n([^\n]*)$""), """")"),"Entity")</f>
        <v>Entity</v>
      </c>
      <c r="F118" s="17" t="str">
        <f>IFERROR(__xludf.DUMMYFUNCTION("if(len(A118)&gt;0, REGEXEXTRACT(A118, ""\(([^\)]*)\)""), """")"),"Kerbal Space Program")</f>
        <v>Kerbal Space Program</v>
      </c>
      <c r="G118" s="17" t="str">
        <f>IFERROR(__xludf.DUMMYFUNCTION("if(len(A118)&gt;0, REGEXEXTRACT(A118, ""\)([^:]*):""), """")")," Free")</f>
        <v> Free</v>
      </c>
      <c r="H118" s="31" t="str">
        <f>IFERROR(__xludf.DUMMYFUNCTION("if(len(A118) &gt; 0, JOIN(char(10), FILTER(SPLIT(A118, char(10)), split(""false false "" &amp; rept(""true "", columns(SPLIT(A118, char(10)))-3) &amp; ""false"", "" ""))), """")"),"Hey, what are you - wait a minute! How did you four get in here!? Oh, well. Looks like you're going to get some help in this jump, whether you want to, or no - Bill, Bob, Jebediah, and Valentina are all up and raring to go. As a bonus, all four come with "&amp;"the 'I Am A Pilot, Actually' perk for free. I Am A Pilot, Actually - All the engineering and mathematics in the world doesn't mean much if you can't actually fly the damn things. You're far from being supernatural in skill, but you're not a weekend warrio"&amp;"r, either - you effectively have the piloting skill of Neil Armstrong when it comes to piloting rockets, spaceships, and aeroplanes")</f>
        <v>Hey, what are you - wait a minute! How did you four get in here!? Oh, well. Looks like you're going to get some help in this jump, whether you want to, or no - Bill, Bob, Jebediah, and Valentina are all up and raring to go. As a bonus, all four come with the 'I Am A Pilot, Actually' perk for free. I Am A Pilot, Actually - All the engineering and mathematics in the world doesn't mean much if you can't actually fly the damn things. You're far from being supernatural in skill, but you're not a weekend warrior, either - you effectively have the piloting skill of Neil Armstrong when it comes to piloting rockets, spaceships, and aeroplanes</v>
      </c>
    </row>
    <row r="119">
      <c r="A119" s="31" t="str">
        <f>IFERROR(__xludf.DUMMYFUNCTION("""COMPUTED_VALUE"""),"Chapter 139: 95.6 Interlude Rey
Speak English, Dammit! (Kerbal Space Program) Free:
You gain perfect understanding of Kerbals and the way they speak in thier burbling, whack-ass mix of swedish meatball chef... something. Conversely, you can pick this to h"&amp;"ave them all speak english.
Ability")</f>
        <v>Chapter 139: 95.6 Interlude Rey
Speak English, Dammit! (Kerbal Space Program) Free:
You gain perfect understanding of Kerbals and the way they speak in thier burbling, whack-ass mix of swedish meatball chef... something. Conversely, you can pick this to have them all speak english.
Ability</v>
      </c>
      <c r="B119" s="17">
        <f>IFERROR(__xludf.DUMMYFUNCTION("if(len(A119)&gt;0, value(REGEXEXTRACT(A119, ""Chapter ([0-9]*):"")), """")"),139.0)</f>
        <v>139</v>
      </c>
      <c r="C119" s="31" t="str">
        <f>IFERROR(__xludf.DUMMYFUNCTION("if(len(A119) &gt;0, REGEXEXTRACT(A119, ""Chapter [0-9]*: (.*)""), """")"),"95.6 Interlude Rey")</f>
        <v>95.6 Interlude Rey</v>
      </c>
      <c r="D119" s="31" t="str">
        <f>IFERROR(__xludf.DUMMYFUNCTION("if(len(A119)&gt;0, REGEXEXTRACT(A119, ""\n[^\(]*""), """")"),"
Speak English, Dammit! ")</f>
        <v>
Speak English, Dammit! </v>
      </c>
      <c r="E119" s="17" t="str">
        <f>IFERROR(__xludf.DUMMYFUNCTION("if(len(A119)&gt;0, REGEXEXTRACT(A119, ""\n([^\n]*)$""), """")"),"Ability")</f>
        <v>Ability</v>
      </c>
      <c r="F119" s="17" t="str">
        <f>IFERROR(__xludf.DUMMYFUNCTION("if(len(A119)&gt;0, REGEXEXTRACT(A119, ""\(([^\)]*)\)""), """")"),"Kerbal Space Program")</f>
        <v>Kerbal Space Program</v>
      </c>
      <c r="G119" s="17" t="str">
        <f>IFERROR(__xludf.DUMMYFUNCTION("if(len(A119)&gt;0, REGEXEXTRACT(A119, ""\)([^:]*):""), """")")," Free")</f>
        <v> Free</v>
      </c>
      <c r="H119" s="31" t="str">
        <f>IFERROR(__xludf.DUMMYFUNCTION("if(len(A119) &gt; 0, JOIN(char(10), FILTER(SPLIT(A119, char(10)), split(""false false "" &amp; rept(""true "", columns(SPLIT(A119, char(10)))-3) &amp; ""false"", "" ""))), """")"),"You gain perfect understanding of Kerbals and the way they speak in thier burbling, whack-ass mix of swedish meatball chef... something. Conversely, you can pick this to have them all speak english.")</f>
        <v>You gain perfect understanding of Kerbals and the way they speak in thier burbling, whack-ass mix of swedish meatball chef... something. Conversely, you can pick this to have them all speak english.</v>
      </c>
    </row>
    <row r="120">
      <c r="A120" s="31" t="str">
        <f>IFERROR(__xludf.DUMMYFUNCTION("""COMPUTED_VALUE"""),"Chapter 139: 95.6 Interlude Rey
This Is How I Want It (Kerbal Space Program) 400:
Your capability of mentally designing items is vastly boosted. It's almost as if you have a mental idea space in the fashion of a construction bay with a lists of parts you "&amp;"have on hand that gives you an idea of what you can build at that moment... actually, that's pretty much what you have. As a bonus, you can mix and match parts in a manner roughly akin to legos, and giving you an idea of what would work and what wouldn't "&amp;"(and how much resources it would take to build). Mind, this doesn't mean that your mental creation will perform successfully, but it will function. As a final bonus, you can mentally hand-off the resultant creation to your Kerbals to build, and they'll do"&amp;" so without a mistake or screwup - meaning any snafu that results will be on your own head.
Ability")</f>
        <v>Chapter 139: 95.6 Interlude Rey
This Is How I Want It (Kerbal Space Program) 400:
Your capability of mentally designing items is vastly boosted. It's almost as if you have a mental idea space in the fashion of a construction bay with a lists of parts you have on hand that gives you an idea of what you can build at that moment... actually, that's pretty much what you have. As a bonus, you can mix and match parts in a manner roughly akin to legos, and giving you an idea of what would work and what wouldn't (and how much resources it would take to build). Mind, this doesn't mean that your mental creation will perform successfully, but it will function. As a final bonus, you can mentally hand-off the resultant creation to your Kerbals to build, and they'll do so without a mistake or screwup - meaning any snafu that results will be on your own head.
Ability</v>
      </c>
      <c r="B120" s="17">
        <f>IFERROR(__xludf.DUMMYFUNCTION("if(len(A120)&gt;0, value(REGEXEXTRACT(A120, ""Chapter ([0-9]*):"")), """")"),139.0)</f>
        <v>139</v>
      </c>
      <c r="C120" s="31" t="str">
        <f>IFERROR(__xludf.DUMMYFUNCTION("if(len(A120) &gt;0, REGEXEXTRACT(A120, ""Chapter [0-9]*: (.*)""), """")"),"95.6 Interlude Rey")</f>
        <v>95.6 Interlude Rey</v>
      </c>
      <c r="D120" s="31" t="str">
        <f>IFERROR(__xludf.DUMMYFUNCTION("if(len(A120)&gt;0, REGEXEXTRACT(A120, ""\n[^\(]*""), """")"),"
This Is How I Want It ")</f>
        <v>
This Is How I Want It </v>
      </c>
      <c r="E120" s="17" t="str">
        <f>IFERROR(__xludf.DUMMYFUNCTION("if(len(A120)&gt;0, REGEXEXTRACT(A120, ""\n([^\n]*)$""), """")"),"Ability")</f>
        <v>Ability</v>
      </c>
      <c r="F120" s="17" t="str">
        <f>IFERROR(__xludf.DUMMYFUNCTION("if(len(A120)&gt;0, REGEXEXTRACT(A120, ""\(([^\)]*)\)""), """")"),"Kerbal Space Program")</f>
        <v>Kerbal Space Program</v>
      </c>
      <c r="G120" s="17" t="str">
        <f>IFERROR(__xludf.DUMMYFUNCTION("if(len(A120)&gt;0, REGEXEXTRACT(A120, ""\)([^:]*):""), """")")," 400")</f>
        <v> 400</v>
      </c>
      <c r="H120" s="31" t="str">
        <f>IFERROR(__xludf.DUMMYFUNCTION("if(len(A120) &gt; 0, JOIN(char(10), FILTER(SPLIT(A120, char(10)), split(""false false "" &amp; rept(""true "", columns(SPLIT(A120, char(10)))-3) &amp; ""false"", "" ""))), """")"),"Your capability of mentally designing items is vastly boosted. It's almost as if you have a mental idea space in the fashion of a construction bay with a lists of parts you have on hand that gives you an idea of what you can build at that moment... actual"&amp;"ly, that's pretty much what you have. As a bonus, you can mix and match parts in a manner roughly akin to legos, and giving you an idea of what would work and what wouldn't (and how much resources it would take to build). Mind, this doesn't mean that your"&amp;" mental creation will perform successfully, but it will function. As a final bonus, you can mentally hand-off the resultant creation to your Kerbals to build, and they'll do so without a mistake or screwup - meaning any snafu that results will be on your "&amp;"own head.")</f>
        <v>Your capability of mentally designing items is vastly boosted. It's almost as if you have a mental idea space in the fashion of a construction bay with a lists of parts you have on hand that gives you an idea of what you can build at that moment... actually, that's pretty much what you have. As a bonus, you can mix and match parts in a manner roughly akin to legos, and giving you an idea of what would work and what wouldn't (and how much resources it would take to build). Mind, this doesn't mean that your mental creation will perform successfully, but it will function. As a final bonus, you can mentally hand-off the resultant creation to your Kerbals to build, and they'll do so without a mistake or screwup - meaning any snafu that results will be on your own head.</v>
      </c>
    </row>
    <row r="121">
      <c r="A121" s="31" t="str">
        <f>IFERROR(__xludf.DUMMYFUNCTION("""COMPUTED_VALUE"""),"Chapter 139: 95.6 Interlude Rey
This Is, Actually, Rocket Science (Kerbal Space Program) Free:
You gain an instinctive grasp and understanding of Delta V and orbital mechanics.
Skill")</f>
        <v>Chapter 139: 95.6 Interlude Rey
This Is, Actually, Rocket Science (Kerbal Space Program) Free:
You gain an instinctive grasp and understanding of Delta V and orbital mechanics.
Skill</v>
      </c>
      <c r="B121" s="17">
        <f>IFERROR(__xludf.DUMMYFUNCTION("if(len(A121)&gt;0, value(REGEXEXTRACT(A121, ""Chapter ([0-9]*):"")), """")"),139.0)</f>
        <v>139</v>
      </c>
      <c r="C121" s="31" t="str">
        <f>IFERROR(__xludf.DUMMYFUNCTION("if(len(A121) &gt;0, REGEXEXTRACT(A121, ""Chapter [0-9]*: (.*)""), """")"),"95.6 Interlude Rey")</f>
        <v>95.6 Interlude Rey</v>
      </c>
      <c r="D121" s="31" t="str">
        <f>IFERROR(__xludf.DUMMYFUNCTION("if(len(A121)&gt;0, REGEXEXTRACT(A121, ""\n[^\(]*""), """")"),"
This Is, Actually, Rocket Science ")</f>
        <v>
This Is, Actually, Rocket Science </v>
      </c>
      <c r="E121" s="17" t="str">
        <f>IFERROR(__xludf.DUMMYFUNCTION("if(len(A121)&gt;0, REGEXEXTRACT(A121, ""\n([^\n]*)$""), """")"),"Skill")</f>
        <v>Skill</v>
      </c>
      <c r="F121" s="17" t="str">
        <f>IFERROR(__xludf.DUMMYFUNCTION("if(len(A121)&gt;0, REGEXEXTRACT(A121, ""\(([^\)]*)\)""), """")"),"Kerbal Space Program")</f>
        <v>Kerbal Space Program</v>
      </c>
      <c r="G121" s="17" t="str">
        <f>IFERROR(__xludf.DUMMYFUNCTION("if(len(A121)&gt;0, REGEXEXTRACT(A121, ""\)([^:]*):""), """")")," Free")</f>
        <v> Free</v>
      </c>
      <c r="H121" s="31" t="str">
        <f>IFERROR(__xludf.DUMMYFUNCTION("if(len(A121) &gt; 0, JOIN(char(10), FILTER(SPLIT(A121, char(10)), split(""false false "" &amp; rept(""true "", columns(SPLIT(A121, char(10)))-3) &amp; ""false"", "" ""))), """")"),"You gain an instinctive grasp and understanding of Delta V and orbital mechanics.")</f>
        <v>You gain an instinctive grasp and understanding of Delta V and orbital mechanics.</v>
      </c>
    </row>
    <row r="122">
      <c r="A122" s="31" t="str">
        <f>IFERROR(__xludf.DUMMYFUNCTION("""COMPUTED_VALUE"""),"Chapter 14: 11 Power Trip
Deranged Alchemist (Van Helsing) 300:
You have mastered the medieval forerunner of chemistry, and know the transformation of matter via elaborate rituals and mysticism on top of your scientific approach. The greatest secrets of A"&amp;"lchemy still elude you, such as the fabled Panacea, but that can be found in due time. (Hint: Nobody’s found it. At all.) However, you are capable of transmutation of many materials (although it requires that said materials be the same base) and can creat"&amp;"e Homunculi from following Paracelsus’ studies into alchemy.
System")</f>
        <v>Chapter 14: 11 Power Trip
Deranged Alchemist (Van Helsing) 300:
You have mastered the medieval forerunner of chemistry, and know the transformation of matter via elaborate rituals and mysticism on top of your scientific approach. The greatest secrets of Alchemy still elude you, such as the fabled Panacea, but that can be found in due time. (Hint: Nobody’s found it. At all.) However, you are capable of transmutation of many materials (although it requires that said materials be the same base) and can create Homunculi from following Paracelsus’ studies into alchemy.
System</v>
      </c>
      <c r="B122" s="17">
        <f>IFERROR(__xludf.DUMMYFUNCTION("if(len(A122)&gt;0, value(REGEXEXTRACT(A122, ""Chapter ([0-9]*):"")), """")"),14.0)</f>
        <v>14</v>
      </c>
      <c r="C122" s="31" t="str">
        <f>IFERROR(__xludf.DUMMYFUNCTION("if(len(A122) &gt;0, REGEXEXTRACT(A122, ""Chapter [0-9]*: (.*)""), """")"),"11 Power Trip")</f>
        <v>11 Power Trip</v>
      </c>
      <c r="D122" s="31" t="str">
        <f>IFERROR(__xludf.DUMMYFUNCTION("if(len(A122)&gt;0, REGEXEXTRACT(A122, ""\n[^\(]*""), """")"),"
Deranged Alchemist ")</f>
        <v>
Deranged Alchemist </v>
      </c>
      <c r="E122" s="17" t="str">
        <f>IFERROR(__xludf.DUMMYFUNCTION("if(len(A122)&gt;0, REGEXEXTRACT(A122, ""\n([^\n]*)$""), """")"),"System")</f>
        <v>System</v>
      </c>
      <c r="F122" s="17" t="str">
        <f>IFERROR(__xludf.DUMMYFUNCTION("if(len(A122)&gt;0, REGEXEXTRACT(A122, ""\(([^\)]*)\)""), """")"),"Van Helsing")</f>
        <v>Van Helsing</v>
      </c>
      <c r="G122" s="17" t="str">
        <f>IFERROR(__xludf.DUMMYFUNCTION("if(len(A122)&gt;0, REGEXEXTRACT(A122, ""\)([^:]*):""), """")")," 300")</f>
        <v> 300</v>
      </c>
      <c r="H122" s="31" t="str">
        <f>IFERROR(__xludf.DUMMYFUNCTION("if(len(A122) &gt; 0, JOIN(char(10), FILTER(SPLIT(A122, char(10)), split(""false false "" &amp; rept(""true "", columns(SPLIT(A122, char(10)))-3) &amp; ""false"", "" ""))), """")"),"You have mastered the medieval forerunner of chemistry, and know the transformation of matter via elaborate rituals and mysticism on top of your scientific approach. The greatest secrets of Alchemy still elude you, such as the fabled Panacea, but that can"&amp;" be found in due time. (Hint: Nobody’s found it. At all.) However, you are capable of transmutation of many materials (although it requires that said materials be the same base) and can create Homunculi from following Paracelsus’ studies into alchemy.")</f>
        <v>You have mastered the medieval forerunner of chemistry, and know the transformation of matter via elaborate rituals and mysticism on top of your scientific approach. The greatest secrets of Alchemy still elude you, such as the fabled Panacea, but that can be found in due time. (Hint: Nobody’s found it. At all.) However, you are capable of transmutation of many materials (although it requires that said materials be the same base) and can create Homunculi from following Paracelsus’ studies into alchemy.</v>
      </c>
    </row>
    <row r="123">
      <c r="A123" s="31" t="str">
        <f>IFERROR(__xludf.DUMMYFUNCTION("""COMPUTED_VALUE"""),"Chapter 14: 11 Power Trip
Master Builder (Transformers) 400:
You’ve been programmed with mastery of Cybertronian science allowing you jury rig any tech you see, as well allowing you to quickly build even the most complex Cybertronian tech within a reasona"&amp;"ble time period. Smaller devices are almost instant, larger devices take some time and more components. However with enough material you can build a temporary space bridge. Despite your mastery of Cybertonian science, creation of a Spark and therefore int"&amp;"elligent life, organic or inorganic is beyond you.
System")</f>
        <v>Chapter 14: 11 Power Trip
Master Builder (Transformers) 400:
You’ve been programmed with mastery of Cybertronian science allowing you jury rig any tech you see, as well allowing you to quickly build even the most complex Cybertronian tech within a reasonable time period. Smaller devices are almost instant, larger devices take some time and more components. However with enough material you can build a temporary space bridge. Despite your mastery of Cybertonian science, creation of a Spark and therefore intelligent life, organic or inorganic is beyond you.
System</v>
      </c>
      <c r="B123" s="17">
        <f>IFERROR(__xludf.DUMMYFUNCTION("if(len(A123)&gt;0, value(REGEXEXTRACT(A123, ""Chapter ([0-9]*):"")), """")"),14.0)</f>
        <v>14</v>
      </c>
      <c r="C123" s="31" t="str">
        <f>IFERROR(__xludf.DUMMYFUNCTION("if(len(A123) &gt;0, REGEXEXTRACT(A123, ""Chapter [0-9]*: (.*)""), """")"),"11 Power Trip")</f>
        <v>11 Power Trip</v>
      </c>
      <c r="D123" s="31" t="str">
        <f>IFERROR(__xludf.DUMMYFUNCTION("if(len(A123)&gt;0, REGEXEXTRACT(A123, ""\n[^\(]*""), """")"),"
Master Builder ")</f>
        <v>
Master Builder </v>
      </c>
      <c r="E123" s="17" t="str">
        <f>IFERROR(__xludf.DUMMYFUNCTION("if(len(A123)&gt;0, REGEXEXTRACT(A123, ""\n([^\n]*)$""), """")"),"System")</f>
        <v>System</v>
      </c>
      <c r="F123" s="17" t="str">
        <f>IFERROR(__xludf.DUMMYFUNCTION("if(len(A123)&gt;0, REGEXEXTRACT(A123, ""\(([^\)]*)\)""), """")"),"Transformers")</f>
        <v>Transformers</v>
      </c>
      <c r="G123" s="17" t="str">
        <f>IFERROR(__xludf.DUMMYFUNCTION("if(len(A123)&gt;0, REGEXEXTRACT(A123, ""\)([^:]*):""), """")")," 400")</f>
        <v> 400</v>
      </c>
      <c r="H123" s="31" t="str">
        <f>IFERROR(__xludf.DUMMYFUNCTION("if(len(A123) &gt; 0, JOIN(char(10), FILTER(SPLIT(A123, char(10)), split(""false false "" &amp; rept(""true "", columns(SPLIT(A123, char(10)))-3) &amp; ""false"", "" ""))), """")"),"You’ve been programmed with mastery of Cybertronian science allowing you jury rig any tech you see, as well allowing you to quickly build even the most complex Cybertronian tech within a reasonable time period. Smaller devices are almost instant, larger d"&amp;"evices take some time and more components. However with enough material you can build a temporary space bridge. Despite your mastery of Cybertonian science, creation of a Spark and therefore intelligent life, organic or inorganic is beyond you.")</f>
        <v>You’ve been programmed with mastery of Cybertronian science allowing you jury rig any tech you see, as well allowing you to quickly build even the most complex Cybertronian tech within a reasonable time period. Smaller devices are almost instant, larger devices take some time and more components. However with enough material you can build a temporary space bridge. Despite your mastery of Cybertonian science, creation of a Spark and therefore intelligent life, organic or inorganic is beyond you.</v>
      </c>
    </row>
    <row r="124">
      <c r="A124" s="31" t="str">
        <f>IFERROR(__xludf.DUMMYFUNCTION("""COMPUTED_VALUE"""),"Chapter 14: 11 Power Trip
Mechanic (Fast and Furious) 100:
Machines, especially ones that go fast, just speak to you. You have no problem fixing up and tuning any motor vehicle, and can rebuild them after the most devastating crashes. You can keep anythin"&amp;"g in top condition with just a few simple tools. Of course, you also need to understand the electronics, so hotwiring cars (and sometimes, alarm systems) is not a problem either.
Fiat")</f>
        <v>Chapter 14: 11 Power Trip
Mechanic (Fast and Furious) 100:
Machines, especially ones that go fast, just speak to you. You have no problem fixing up and tuning any motor vehicle, and can rebuild them after the most devastating crashes. You can keep anything in top condition with just a few simple tools. Of course, you also need to understand the electronics, so hotwiring cars (and sometimes, alarm systems) is not a problem either.
Fiat</v>
      </c>
      <c r="B124" s="17">
        <f>IFERROR(__xludf.DUMMYFUNCTION("if(len(A124)&gt;0, value(REGEXEXTRACT(A124, ""Chapter ([0-9]*):"")), """")"),14.0)</f>
        <v>14</v>
      </c>
      <c r="C124" s="31" t="str">
        <f>IFERROR(__xludf.DUMMYFUNCTION("if(len(A124) &gt;0, REGEXEXTRACT(A124, ""Chapter [0-9]*: (.*)""), """")"),"11 Power Trip")</f>
        <v>11 Power Trip</v>
      </c>
      <c r="D124" s="31" t="str">
        <f>IFERROR(__xludf.DUMMYFUNCTION("if(len(A124)&gt;0, REGEXEXTRACT(A124, ""\n[^\(]*""), """")"),"
Mechanic ")</f>
        <v>
Mechanic </v>
      </c>
      <c r="E124" s="17" t="str">
        <f>IFERROR(__xludf.DUMMYFUNCTION("if(len(A124)&gt;0, REGEXEXTRACT(A124, ""\n([^\n]*)$""), """")"),"Fiat")</f>
        <v>Fiat</v>
      </c>
      <c r="F124" s="17" t="str">
        <f>IFERROR(__xludf.DUMMYFUNCTION("if(len(A124)&gt;0, REGEXEXTRACT(A124, ""\(([^\)]*)\)""), """")"),"Fast and Furious")</f>
        <v>Fast and Furious</v>
      </c>
      <c r="G124" s="17" t="str">
        <f>IFERROR(__xludf.DUMMYFUNCTION("if(len(A124)&gt;0, REGEXEXTRACT(A124, ""\)([^:]*):""), """")")," 100")</f>
        <v> 100</v>
      </c>
      <c r="H124" s="31" t="str">
        <f>IFERROR(__xludf.DUMMYFUNCTION("if(len(A124) &gt; 0, JOIN(char(10), FILTER(SPLIT(A124, char(10)), split(""false false "" &amp; rept(""true "", columns(SPLIT(A124, char(10)))-3) &amp; ""false"", "" ""))), """")"),"Machines, especially ones that go fast, just speak to you. You have no problem fixing up and tuning any motor vehicle, and can rebuild them after the most devastating crashes. You can keep anything in top condition with just a few simple tools. Of course,"&amp;" you also need to understand the electronics, so hotwiring cars (and sometimes, alarm systems) is not a problem either.")</f>
        <v>Machines, especially ones that go fast, just speak to you. You have no problem fixing up and tuning any motor vehicle, and can rebuild them after the most devastating crashes. You can keep anything in top condition with just a few simple tools. Of course, you also need to understand the electronics, so hotwiring cars (and sometimes, alarm systems) is not a problem either.</v>
      </c>
    </row>
    <row r="125">
      <c r="A125" s="31" t="str">
        <f>IFERROR(__xludf.DUMMYFUNCTION("""COMPUTED_VALUE"""),"Chapter 140: 96 Breakthrough
Minor Blessing Poseidon – Water (Percy Jackson) 100:
For one reason or another you've got a god who cares slightly about you and has seen fit to grant you some minor boon within their domains.
System")</f>
        <v>Chapter 140: 96 Breakthrough
Minor Blessing Poseidon – Water (Percy Jackson) 100:
For one reason or another you've got a god who cares slightly about you and has seen fit to grant you some minor boon within their domains.
System</v>
      </c>
      <c r="B125" s="17">
        <f>IFERROR(__xludf.DUMMYFUNCTION("if(len(A125)&gt;0, value(REGEXEXTRACT(A125, ""Chapter ([0-9]*):"")), """")"),140.0)</f>
        <v>140</v>
      </c>
      <c r="C125" s="31" t="str">
        <f>IFERROR(__xludf.DUMMYFUNCTION("if(len(A125) &gt;0, REGEXEXTRACT(A125, ""Chapter [0-9]*: (.*)""), """")"),"96 Breakthrough")</f>
        <v>96 Breakthrough</v>
      </c>
      <c r="D125" s="31" t="str">
        <f>IFERROR(__xludf.DUMMYFUNCTION("if(len(A125)&gt;0, REGEXEXTRACT(A125, ""\n[^\(]*""), """")"),"
Minor Blessing Poseidon – Water ")</f>
        <v>
Minor Blessing Poseidon – Water </v>
      </c>
      <c r="E125" s="17" t="str">
        <f>IFERROR(__xludf.DUMMYFUNCTION("if(len(A125)&gt;0, REGEXEXTRACT(A125, ""\n([^\n]*)$""), """")"),"System")</f>
        <v>System</v>
      </c>
      <c r="F125" s="17" t="str">
        <f>IFERROR(__xludf.DUMMYFUNCTION("if(len(A125)&gt;0, REGEXEXTRACT(A125, ""\(([^\)]*)\)""), """")"),"Percy Jackson")</f>
        <v>Percy Jackson</v>
      </c>
      <c r="G125" s="17" t="str">
        <f>IFERROR(__xludf.DUMMYFUNCTION("if(len(A125)&gt;0, REGEXEXTRACT(A125, ""\)([^:]*):""), """")")," 100")</f>
        <v> 100</v>
      </c>
      <c r="H125" s="31" t="str">
        <f>IFERROR(__xludf.DUMMYFUNCTION("if(len(A125) &gt; 0, JOIN(char(10), FILTER(SPLIT(A125, char(10)), split(""false false "" &amp; rept(""true "", columns(SPLIT(A125, char(10)))-3) &amp; ""false"", "" ""))), """")"),"For one reason or another you've got a god who cares slightly about you and has seen fit to grant you some minor boon within their domains.")</f>
        <v>For one reason or another you've got a god who cares slightly about you and has seen fit to grant you some minor boon within their domains.</v>
      </c>
    </row>
    <row r="126">
      <c r="A126" s="31" t="str">
        <f>IFERROR(__xludf.DUMMYFUNCTION("""COMPUTED_VALUE"""),"Chapter 140: 96 Breakthrough
Unnatural Skill: Stoneworking (Percy Jackson) 200:
Whether from your heritage or just being that good you've got one particular mundane skill that your feats with border on supernatural.
System")</f>
        <v>Chapter 140: 96 Breakthrough
Unnatural Skill: Stoneworking (Percy Jackson) 200:
Whether from your heritage or just being that good you've got one particular mundane skill that your feats with border on supernatural.
System</v>
      </c>
      <c r="B126" s="17">
        <f>IFERROR(__xludf.DUMMYFUNCTION("if(len(A126)&gt;0, value(REGEXEXTRACT(A126, ""Chapter ([0-9]*):"")), """")"),140.0)</f>
        <v>140</v>
      </c>
      <c r="C126" s="31" t="str">
        <f>IFERROR(__xludf.DUMMYFUNCTION("if(len(A126) &gt;0, REGEXEXTRACT(A126, ""Chapter [0-9]*: (.*)""), """")"),"96 Breakthrough")</f>
        <v>96 Breakthrough</v>
      </c>
      <c r="D126" s="31" t="str">
        <f>IFERROR(__xludf.DUMMYFUNCTION("if(len(A126)&gt;0, REGEXEXTRACT(A126, ""\n[^\(]*""), """")"),"
Unnatural Skill: Stoneworking ")</f>
        <v>
Unnatural Skill: Stoneworking </v>
      </c>
      <c r="E126" s="17" t="str">
        <f>IFERROR(__xludf.DUMMYFUNCTION("if(len(A126)&gt;0, REGEXEXTRACT(A126, ""\n([^\n]*)$""), """")"),"System")</f>
        <v>System</v>
      </c>
      <c r="F126" s="17" t="str">
        <f>IFERROR(__xludf.DUMMYFUNCTION("if(len(A126)&gt;0, REGEXEXTRACT(A126, ""\(([^\)]*)\)""), """")"),"Percy Jackson")</f>
        <v>Percy Jackson</v>
      </c>
      <c r="G126" s="17" t="str">
        <f>IFERROR(__xludf.DUMMYFUNCTION("if(len(A126)&gt;0, REGEXEXTRACT(A126, ""\)([^:]*):""), """")")," 200")</f>
        <v> 200</v>
      </c>
      <c r="H126" s="31" t="str">
        <f>IFERROR(__xludf.DUMMYFUNCTION("if(len(A126) &gt; 0, JOIN(char(10), FILTER(SPLIT(A126, char(10)), split(""false false "" &amp; rept(""true "", columns(SPLIT(A126, char(10)))-3) &amp; ""false"", "" ""))), """")"),"Whether from your heritage or just being that good you've got one particular mundane skill that your feats with border on supernatural.")</f>
        <v>Whether from your heritage or just being that good you've got one particular mundane skill that your feats with border on supernatural.</v>
      </c>
    </row>
    <row r="127">
      <c r="A127" s="31" t="str">
        <f>IFERROR(__xludf.DUMMYFUNCTION("""COMPUTED_VALUE"""),"Chapter 140: 96 Breakthrough
Arsenal (Personal Reality) 200:
Placing your battle armor and sword right next to your wedding dress rarely appears all that practical, so with this purchase an armoury gets added to your Personal Reality, into which you can"&amp;" place your battle armors and your weapons, and same for your companions. Content placed into armoury will be sorted for easy access and will be kept in pristine condition, always cleaned when placed back and minor damages automatically repaired, although"&amp;" for bigger types of damages you’ll have to figure out something by yourself. If you have Portals, you can summon your equipment through any portal you open.
Facility")</f>
        <v>Chapter 140: 96 Breakthrough
Arsenal (Personal Reality) 200:
Placing your battle armor and sword right next to your wedding dress rarely appears all that practical, so with this purchase an armoury gets added to your Personal Reality, into which you can place your battle armors and your weapons, and same for your companions. Content placed into armoury will be sorted for easy access and will be kept in pristine condition, always cleaned when placed back and minor damages automatically repaired, although for bigger types of damages you’ll have to figure out something by yourself. If you have Portals, you can summon your equipment through any portal you open.
Facility</v>
      </c>
      <c r="B127" s="17">
        <f>IFERROR(__xludf.DUMMYFUNCTION("if(len(A127)&gt;0, value(REGEXEXTRACT(A127, ""Chapter ([0-9]*):"")), """")"),140.0)</f>
        <v>140</v>
      </c>
      <c r="C127" s="31" t="str">
        <f>IFERROR(__xludf.DUMMYFUNCTION("if(len(A127) &gt;0, REGEXEXTRACT(A127, ""Chapter [0-9]*: (.*)""), """")"),"96 Breakthrough
")</f>
        <v>96 Breakthrough
</v>
      </c>
      <c r="D127" s="31" t="str">
        <f>IFERROR(__xludf.DUMMYFUNCTION("if(len(A127)&gt;0, REGEXEXTRACT(A127, ""\n[^\(]*""), """")"),"
Arsenal ")</f>
        <v>
Arsenal </v>
      </c>
      <c r="E127" s="17" t="str">
        <f>IFERROR(__xludf.DUMMYFUNCTION("if(len(A127)&gt;0, REGEXEXTRACT(A127, ""\n([^\n]*)$""), """")"),"Facility")</f>
        <v>Facility</v>
      </c>
      <c r="F127" s="17" t="str">
        <f>IFERROR(__xludf.DUMMYFUNCTION("if(len(A127)&gt;0, REGEXEXTRACT(A127, ""\(([^\)]*)\)""), """")"),"Personal Reality")</f>
        <v>Personal Reality</v>
      </c>
      <c r="G127" s="17" t="str">
        <f>IFERROR(__xludf.DUMMYFUNCTION("if(len(A127)&gt;0, REGEXEXTRACT(A127, ""\)([^:]*):""), """")")," 200")</f>
        <v> 200</v>
      </c>
      <c r="H127" s="31" t="str">
        <f>IFERROR(__xludf.DUMMYFUNCTION("if(len(A127) &gt; 0, JOIN(char(10), FILTER(SPLIT(A127, char(10)), split(""false false "" &amp; rept(""true "", columns(SPLIT(A127, char(10)))-3) &amp; ""false"", "" ""))), """")"),"Placing your battle armor and sword right next to your wedding dress rarely appears all that practical, so with this purchase an armoury gets added to your Personal Reality, into which you can place your battle armors and your weapons, and same for your c"&amp;"ompanions. Content placed into armoury will be sorted for easy access and will be kept in pristine condition, always cleaned when placed back and minor damages automatically repaired, although for bigger types of damages you’ll have to figure out somethin"&amp;"g by yourself. If you have Portals, you can summon your equipment through any portal you open.")</f>
        <v>Placing your battle armor and sword right next to your wedding dress rarely appears all that practical, so with this purchase an armoury gets added to your Personal Reality, into which you can place your battle armors and your weapons, and same for your companions. Content placed into armoury will be sorted for easy access and will be kept in pristine condition, always cleaned when placed back and minor damages automatically repaired, although for bigger types of damages you’ll have to figure out something by yourself. If you have Portals, you can summon your equipment through any portal you open.</v>
      </c>
    </row>
    <row r="128">
      <c r="A128" s="31" t="str">
        <f>IFERROR(__xludf.DUMMYFUNCTION("""COMPUTED_VALUE"""),"Chapter 140: 96 Breakthrough
Basic Accommodations (Personal Reality) 50:
This provides minimalist accommodations for you and each companion. Essentially the same thing you’d get in Basic Training in the military. A barracks with a bunk and a locker and "&amp;"a camp toilet. If you bought Plumbing, this improves to include a communal shower and toilets. In fact, someone need not be a companion for this to work. Anyone you allow into your Personal Reality will be allotted a similar level of basic living quarters"&amp;", thus allowing you to turn your Personal Reality into a refugee center if you like. If you have Basic Nutrition, this will provide any such guests as you may invite into your Personal Reality with very basic food equal to 1200 Kcal a day, totally vegetar"&amp;"ian. This can support up to a maximum of 1 person for every 4 cubic meters of space in your warehouse per day.
Facility")</f>
        <v>Chapter 140: 96 Breakthrough
Basic Accommodations (Personal Reality) 50:
This provides minimalist accommodations for you and each companion. Essentially the same thing you’d get in Basic Training in the military. A barracks with a bunk and a locker and a camp toilet. If you bought Plumbing, this improves to include a communal shower and toilets. In fact, someone need not be a companion for this to work. Anyone you allow into your Personal Reality will be allotted a similar level of basic living quarters, thus allowing you to turn your Personal Reality into a refugee center if you like. If you have Basic Nutrition, this will provide any such guests as you may invite into your Personal Reality with very basic food equal to 1200 Kcal a day, totally vegetarian. This can support up to a maximum of 1 person for every 4 cubic meters of space in your warehouse per day.
Facility</v>
      </c>
      <c r="B128" s="17">
        <f>IFERROR(__xludf.DUMMYFUNCTION("if(len(A128)&gt;0, value(REGEXEXTRACT(A128, ""Chapter ([0-9]*):"")), """")"),140.0)</f>
        <v>140</v>
      </c>
      <c r="C128" s="31" t="str">
        <f>IFERROR(__xludf.DUMMYFUNCTION("if(len(A128) &gt;0, REGEXEXTRACT(A128, ""Chapter [0-9]*: (.*)""), """")"),"96 Breakthrough
")</f>
        <v>96 Breakthrough
</v>
      </c>
      <c r="D128" s="31" t="str">
        <f>IFERROR(__xludf.DUMMYFUNCTION("if(len(A128)&gt;0, REGEXEXTRACT(A128, ""\n[^\(]*""), """")"),"
Basic Accommodations ")</f>
        <v>
Basic Accommodations </v>
      </c>
      <c r="E128" s="17" t="str">
        <f>IFERROR(__xludf.DUMMYFUNCTION("if(len(A128)&gt;0, REGEXEXTRACT(A128, ""\n([^\n]*)$""), """")"),"Facility")</f>
        <v>Facility</v>
      </c>
      <c r="F128" s="17" t="str">
        <f>IFERROR(__xludf.DUMMYFUNCTION("if(len(A128)&gt;0, REGEXEXTRACT(A128, ""\(([^\)]*)\)""), """")"),"Personal Reality")</f>
        <v>Personal Reality</v>
      </c>
      <c r="G128" s="17" t="str">
        <f>IFERROR(__xludf.DUMMYFUNCTION("if(len(A128)&gt;0, REGEXEXTRACT(A128, ""\)([^:]*):""), """")")," 50")</f>
        <v> 50</v>
      </c>
      <c r="H128" s="31" t="str">
        <f>IFERROR(__xludf.DUMMYFUNCTION("if(len(A128) &gt; 0, JOIN(char(10), FILTER(SPLIT(A128, char(10)), split(""false false "" &amp; rept(""true "", columns(SPLIT(A128, char(10)))-3) &amp; ""false"", "" ""))), """")"),"This provides minimalist accommodations for you and each companion. Essentially the same thing you’d get in Basic Training in the military. A barracks with a bunk and a locker and a camp toilet. If you bought Plumbing, this improves to include a communal "&amp;"shower and toilets. In fact, someone need not be a companion for this to work. Anyone you allow into your Personal Reality will be allotted a similar level of basic living quarters, thus allowing you to turn your Personal Reality into a refugee center if "&amp;"you like. If you have Basic Nutrition, this will provide any such guests as you may invite into your Personal Reality with very basic food equal to 1200 Kcal a day, totally vegetarian. This can support up to a maximum of 1 person for every 4 cubic meters "&amp;"of space in your warehouse per day.")</f>
        <v>This provides minimalist accommodations for you and each companion. Essentially the same thing you’d get in Basic Training in the military. A barracks with a bunk and a locker and a camp toilet. If you bought Plumbing, this improves to include a communal shower and toilets. In fact, someone need not be a companion for this to work. Anyone you allow into your Personal Reality will be allotted a similar level of basic living quarters, thus allowing you to turn your Personal Reality into a refugee center if you like. If you have Basic Nutrition, this will provide any such guests as you may invite into your Personal Reality with very basic food equal to 1200 Kcal a day, totally vegetarian. This can support up to a maximum of 1 person for every 4 cubic meters of space in your warehouse per day.</v>
      </c>
    </row>
    <row r="129">
      <c r="A129" s="31" t="str">
        <f>IFERROR(__xludf.DUMMYFUNCTION("""COMPUTED_VALUE"""),"Chapter 140: 96 Breakthrough
Seeds and Seedlings (Personal Reality) 50:
This Greenhouse Upgrade provides you with a package once a year that contains a random assortment of seeds and seedlings for you to plant in your Greenhouse. Has enough seeds and se"&amp;"edlings to fill half of your Greenhouse and they’re chosen (and labeled) from all the Host Realities you’ve visited, though all are relatively normal plants for their Host Reality.
Facility")</f>
        <v>Chapter 140: 96 Breakthrough
Seeds and Seedlings (Personal Reality) 50:
This Greenhouse Upgrade provides you with a package once a year that contains a random assortment of seeds and seedlings for you to plant in your Greenhouse. Has enough seeds and seedlings to fill half of your Greenhouse and they’re chosen (and labeled) from all the Host Realities you’ve visited, though all are relatively normal plants for their Host Reality.
Facility</v>
      </c>
      <c r="B129" s="17">
        <f>IFERROR(__xludf.DUMMYFUNCTION("if(len(A129)&gt;0, value(REGEXEXTRACT(A129, ""Chapter ([0-9]*):"")), """")"),140.0)</f>
        <v>140</v>
      </c>
      <c r="C129" s="31" t="str">
        <f>IFERROR(__xludf.DUMMYFUNCTION("if(len(A129) &gt;0, REGEXEXTRACT(A129, ""Chapter [0-9]*: (.*)""), """")"),"96 Breakthrough
")</f>
        <v>96 Breakthrough
</v>
      </c>
      <c r="D129" s="31" t="str">
        <f>IFERROR(__xludf.DUMMYFUNCTION("if(len(A129)&gt;0, REGEXEXTRACT(A129, ""\n[^\(]*""), """")"),"
Seeds and Seedlings ")</f>
        <v>
Seeds and Seedlings </v>
      </c>
      <c r="E129" s="17" t="str">
        <f>IFERROR(__xludf.DUMMYFUNCTION("if(len(A129)&gt;0, REGEXEXTRACT(A129, ""\n([^\n]*)$""), """")"),"Facility")</f>
        <v>Facility</v>
      </c>
      <c r="F129" s="17" t="str">
        <f>IFERROR(__xludf.DUMMYFUNCTION("if(len(A129)&gt;0, REGEXEXTRACT(A129, ""\(([^\)]*)\)""), """")"),"Personal Reality")</f>
        <v>Personal Reality</v>
      </c>
      <c r="G129" s="17" t="str">
        <f>IFERROR(__xludf.DUMMYFUNCTION("if(len(A129)&gt;0, REGEXEXTRACT(A129, ""\)([^:]*):""), """")")," 50")</f>
        <v> 50</v>
      </c>
      <c r="H129" s="31" t="str">
        <f>IFERROR(__xludf.DUMMYFUNCTION("if(len(A129) &gt; 0, JOIN(char(10), FILTER(SPLIT(A129, char(10)), split(""false false "" &amp; rept(""true "", columns(SPLIT(A129, char(10)))-3) &amp; ""false"", "" ""))), """")"),"This Greenhouse Upgrade provides you with a package once a year that contains a random assortment of seeds and seedlings for you to plant in your Greenhouse. Has enough seeds and seedlings to fill half of your Greenhouse and they’re chosen (and labeled) f"&amp;"rom all the Host Realities you’ve visited, though all are relatively normal plants for their Host Reality.")</f>
        <v>This Greenhouse Upgrade provides you with a package once a year that contains a random assortment of seeds and seedlings for you to plant in your Greenhouse. Has enough seeds and seedlings to fill half of your Greenhouse and they’re chosen (and labeled) from all the Host Realities you’ve visited, though all are relatively normal plants for their Host Reality.</v>
      </c>
    </row>
    <row r="130">
      <c r="A130" s="31" t="str">
        <f>IFERROR(__xludf.DUMMYFUNCTION("""COMPUTED_VALUE"""),"Chapter 140: 96 Breakthrough
Superweapons (G.I. Joe) 600:
Your expertise covers the ever growing market of weapons of mass destruction. Giant beam weapons that can teloport people everywhere to controlling the weather, if its meant to bring a city to it"&amp;"s knees, you know about it. All of these devices however will take a massive expenditure of manpower and resources. Among rare elements that are the cornerstone of the device. Good thing you always know where to get them, good luck with getting past those"&amp;" giant worms! G. I. Joe will never let you make one...unless they need it to stop cobra's latest super weapon themselves... You repertoire of doomsday devices increases with the technology you are familiar with, you learn how to apply specialties to new s"&amp;"uper weapons. Robotics could make giant robots that grow as they eat metal. To mutagenic spores that could mutate the planet.
System")</f>
        <v>Chapter 140: 96 Breakthrough
Superweapons (G.I. Joe) 600:
Your expertise covers the ever growing market of weapons of mass destruction. Giant beam weapons that can teloport people everywhere to controlling the weather, if its meant to bring a city to its knees, you know about it. All of these devices however will take a massive expenditure of manpower and resources. Among rare elements that are the cornerstone of the device. Good thing you always know where to get them, good luck with getting past those giant worms! G. I. Joe will never let you make one...unless they need it to stop cobra's latest super weapon themselves... You repertoire of doomsday devices increases with the technology you are familiar with, you learn how to apply specialties to new super weapons. Robotics could make giant robots that grow as they eat metal. To mutagenic spores that could mutate the planet.
System</v>
      </c>
      <c r="B130" s="17">
        <f>IFERROR(__xludf.DUMMYFUNCTION("if(len(A130)&gt;0, value(REGEXEXTRACT(A130, ""Chapter ([0-9]*):"")), """")"),140.0)</f>
        <v>140</v>
      </c>
      <c r="C130" s="31" t="str">
        <f>IFERROR(__xludf.DUMMYFUNCTION("if(len(A130) &gt;0, REGEXEXTRACT(A130, ""Chapter [0-9]*: (.*)""), """")"),"96 Breakthrough
")</f>
        <v>96 Breakthrough
</v>
      </c>
      <c r="D130" s="31" t="str">
        <f>IFERROR(__xludf.DUMMYFUNCTION("if(len(A130)&gt;0, REGEXEXTRACT(A130, ""\n[^\(]*""), """")"),"
Superweapons ")</f>
        <v>
Superweapons </v>
      </c>
      <c r="E130" s="17" t="str">
        <f>IFERROR(__xludf.DUMMYFUNCTION("if(len(A130)&gt;0, REGEXEXTRACT(A130, ""\n([^\n]*)$""), """")"),"System")</f>
        <v>System</v>
      </c>
      <c r="F130" s="17" t="str">
        <f>IFERROR(__xludf.DUMMYFUNCTION("if(len(A130)&gt;0, REGEXEXTRACT(A130, ""\(([^\)]*)\)""), """")"),"G.I. Joe")</f>
        <v>G.I. Joe</v>
      </c>
      <c r="G130" s="17" t="str">
        <f>IFERROR(__xludf.DUMMYFUNCTION("if(len(A130)&gt;0, REGEXEXTRACT(A130, ""\)([^:]*):""), """")")," 600")</f>
        <v> 600</v>
      </c>
      <c r="H130" s="31" t="str">
        <f>IFERROR(__xludf.DUMMYFUNCTION("if(len(A130) &gt; 0, JOIN(char(10), FILTER(SPLIT(A130, char(10)), split(""false false "" &amp; rept(""true "", columns(SPLIT(A130, char(10)))-3) &amp; ""false"", "" ""))), """")"),"Your expertise covers the ever growing market of weapons of mass destruction. Giant beam weapons that can teloport people everywhere to controlling the weather, if its meant to bring a city to its knees, you know about it. All of these devices however wil"&amp;"l take a massive expenditure of manpower and resources. Among rare elements that are the cornerstone of the device. Good thing you always know where to get them, good luck with getting past those giant worms! G. I. Joe will never let you make one...unless"&amp;" they need it to stop cobra's latest super weapon themselves... You repertoire of doomsday devices increases with the technology you are familiar with, you learn how to apply specialties to new super weapons. Robotics could make giant robots that grow as "&amp;"they eat metal. To mutagenic spores that could mutate the planet.")</f>
        <v>Your expertise covers the ever growing market of weapons of mass destruction. Giant beam weapons that can teloport people everywhere to controlling the weather, if its meant to bring a city to its knees, you know about it. All of these devices however will take a massive expenditure of manpower and resources. Among rare elements that are the cornerstone of the device. Good thing you always know where to get them, good luck with getting past those giant worms! G. I. Joe will never let you make one...unless they need it to stop cobra's latest super weapon themselves... You repertoire of doomsday devices increases with the technology you are familiar with, you learn how to apply specialties to new super weapons. Robotics could make giant robots that grow as they eat metal. To mutagenic spores that could mutate the planet.</v>
      </c>
    </row>
    <row r="131">
      <c r="A131" s="31" t="str">
        <f>IFERROR(__xludf.DUMMYFUNCTION("""COMPUTED_VALUE"""),"Chapter 141: 96.1 Interlude Uppercrust
Bag of Blood Vials (Bloodborne) Free:
Special blood used in ministration. When injected, the user will rapidly recover from minor and middling injuries such as scratches, bruises, gashes, fractures and blood loss. A "&amp;"single vial's worth of this special blood is unable to regenerate lost limbs, large broken bones or other more severe injuries, but more blood injected equals more healing. The bag is given to you full, somehow containing 20 Blood Vials despite its small "&amp;"size.
Item")</f>
        <v>Chapter 141: 96.1 Interlude Uppercrust
Bag of Blood Vials (Bloodborne) Free:
Special blood used in ministration. When injected, the user will rapidly recover from minor and middling injuries such as scratches, bruises, gashes, fractures and blood loss. A single vial's worth of this special blood is unable to regenerate lost limbs, large broken bones or other more severe injuries, but more blood injected equals more healing. The bag is given to you full, somehow containing 20 Blood Vials despite its small size.
Item</v>
      </c>
      <c r="B131" s="17">
        <f>IFERROR(__xludf.DUMMYFUNCTION("if(len(A131)&gt;0, value(REGEXEXTRACT(A131, ""Chapter ([0-9]*):"")), """")"),141.0)</f>
        <v>141</v>
      </c>
      <c r="C131" s="31" t="str">
        <f>IFERROR(__xludf.DUMMYFUNCTION("if(len(A131) &gt;0, REGEXEXTRACT(A131, ""Chapter [0-9]*: (.*)""), """")"),"96.1 Interlude Uppercrust")</f>
        <v>96.1 Interlude Uppercrust</v>
      </c>
      <c r="D131" s="31" t="str">
        <f>IFERROR(__xludf.DUMMYFUNCTION("if(len(A131)&gt;0, REGEXEXTRACT(A131, ""\n[^\(]*""), """")"),"
Bag of Blood Vials ")</f>
        <v>
Bag of Blood Vials </v>
      </c>
      <c r="E131" s="17" t="str">
        <f>IFERROR(__xludf.DUMMYFUNCTION("if(len(A131)&gt;0, REGEXEXTRACT(A131, ""\n([^\n]*)$""), """")"),"Item")</f>
        <v>Item</v>
      </c>
      <c r="F131" s="17" t="str">
        <f>IFERROR(__xludf.DUMMYFUNCTION("if(len(A131)&gt;0, REGEXEXTRACT(A131, ""\(([^\)]*)\)""), """")"),"Bloodborne")</f>
        <v>Bloodborne</v>
      </c>
      <c r="G131" s="17" t="str">
        <f>IFERROR(__xludf.DUMMYFUNCTION("if(len(A131)&gt;0, REGEXEXTRACT(A131, ""\)([^:]*):""), """")")," Free")</f>
        <v> Free</v>
      </c>
      <c r="H131" s="31" t="str">
        <f>IFERROR(__xludf.DUMMYFUNCTION("if(len(A131) &gt; 0, JOIN(char(10), FILTER(SPLIT(A131, char(10)), split(""false false "" &amp; rept(""true "", columns(SPLIT(A131, char(10)))-3) &amp; ""false"", "" ""))), """")"),"Special blood used in ministration. When injected, the user will rapidly recover from minor and middling injuries such as scratches, bruises, gashes, fractures and blood loss. A single vial's worth of this special blood is unable to regenerate lost limbs,"&amp;" large broken bones or other more severe injuries, but more blood injected equals more healing. The bag is given to you full, somehow containing 20 Blood Vials despite its small size.")</f>
        <v>Special blood used in ministration. When injected, the user will rapidly recover from minor and middling injuries such as scratches, bruises, gashes, fractures and blood loss. A single vial's worth of this special blood is unable to regenerate lost limbs, large broken bones or other more severe injuries, but more blood injected equals more healing. The bag is given to you full, somehow containing 20 Blood Vials despite its small size.</v>
      </c>
    </row>
    <row r="132">
      <c r="A132" s="31" t="str">
        <f>IFERROR(__xludf.DUMMYFUNCTION("""COMPUTED_VALUE"""),"Chapter 141: 96.1 Interlude Uppercrust
Bag of Quicksilver Bullets (Bloodborne) Free:
A curious bag full of quicksilver bullets. These bullets are fused with the wielders blood and will prove quite useful during the hunt while facing beasts of various sort"&amp;"s. These bullets, much like Blood Bullets, can assume the shape of larger projectiles by loading them together. The bag is small and easy to carry, but has the odd ability to hold 20 quicksilver bullets at a time.
Item")</f>
        <v>Chapter 141: 96.1 Interlude Uppercrust
Bag of Quicksilver Bullets (Bloodborne) Free:
A curious bag full of quicksilver bullets. These bullets are fused with the wielders blood and will prove quite useful during the hunt while facing beasts of various sorts. These bullets, much like Blood Bullets, can assume the shape of larger projectiles by loading them together. The bag is small and easy to carry, but has the odd ability to hold 20 quicksilver bullets at a time.
Item</v>
      </c>
      <c r="B132" s="17">
        <f>IFERROR(__xludf.DUMMYFUNCTION("if(len(A132)&gt;0, value(REGEXEXTRACT(A132, ""Chapter ([0-9]*):"")), """")"),141.0)</f>
        <v>141</v>
      </c>
      <c r="C132" s="31" t="str">
        <f>IFERROR(__xludf.DUMMYFUNCTION("if(len(A132) &gt;0, REGEXEXTRACT(A132, ""Chapter [0-9]*: (.*)""), """")"),"96.1 Interlude Uppercrust")</f>
        <v>96.1 Interlude Uppercrust</v>
      </c>
      <c r="D132" s="31" t="str">
        <f>IFERROR(__xludf.DUMMYFUNCTION("if(len(A132)&gt;0, REGEXEXTRACT(A132, ""\n[^\(]*""), """")"),"
Bag of Quicksilver Bullets ")</f>
        <v>
Bag of Quicksilver Bullets </v>
      </c>
      <c r="E132" s="17" t="str">
        <f>IFERROR(__xludf.DUMMYFUNCTION("if(len(A132)&gt;0, REGEXEXTRACT(A132, ""\n([^\n]*)$""), """")"),"Item")</f>
        <v>Item</v>
      </c>
      <c r="F132" s="17" t="str">
        <f>IFERROR(__xludf.DUMMYFUNCTION("if(len(A132)&gt;0, REGEXEXTRACT(A132, ""\(([^\)]*)\)""), """")"),"Bloodborne")</f>
        <v>Bloodborne</v>
      </c>
      <c r="G132" s="17" t="str">
        <f>IFERROR(__xludf.DUMMYFUNCTION("if(len(A132)&gt;0, REGEXEXTRACT(A132, ""\)([^:]*):""), """")")," Free")</f>
        <v> Free</v>
      </c>
      <c r="H132" s="31" t="str">
        <f>IFERROR(__xludf.DUMMYFUNCTION("if(len(A132) &gt; 0, JOIN(char(10), FILTER(SPLIT(A132, char(10)), split(""false false "" &amp; rept(""true "", columns(SPLIT(A132, char(10)))-3) &amp; ""false"", "" ""))), """")"),"A curious bag full of quicksilver bullets. These bullets are fused with the wielders blood and will prove quite useful during the hunt while facing beasts of various sorts. These bullets, much like Blood Bullets, can assume the shape of larger projectiles"&amp;" by loading them together. The bag is small and easy to carry, but has the odd ability to hold 20 quicksilver bullets at a time.")</f>
        <v>A curious bag full of quicksilver bullets. These bullets are fused with the wielders blood and will prove quite useful during the hunt while facing beasts of various sorts. These bullets, much like Blood Bullets, can assume the shape of larger projectiles by loading them together. The bag is small and easy to carry, but has the odd ability to hold 20 quicksilver bullets at a time.</v>
      </c>
    </row>
    <row r="133">
      <c r="A133" s="31" t="str">
        <f>IFERROR(__xludf.DUMMYFUNCTION("""COMPUTED_VALUE"""),"Chapter 141: 96.1 Interlude Uppercrust
Blood Bullets (Bloodborne) Free:
At any time, you may sacrifice a significant percentage of your blood to create a small supply of five blood bullets. When loaded into a weapon, they will change shape to match the ne"&amp;"cessary ammo type. A blood bullet loaded into a pistol will match the caliber, while a blood bullet loaded into a shotgun will become a shell filled with blood buck shot. You may not make any more than five at one time, additional attempts will just point"&amp;"lessly drain you of blood as the bullets fail to keep shape. A single blood bullet is unable to take the shape of significantly larger projectiles, such as cannon balls, but if multiple bullets with a combined mass equal or at least close to the desired p"&amp;"rojectile are placed together, they will fuse and assume the proper shape. Blood Bullets are able to become liquid fuel for certain weapons, such as flamethrowers. Blood Bullets are unable to assume the shape of projectiles that are too complex.
Ability")</f>
        <v>Chapter 141: 96.1 Interlude Uppercrust
Blood Bullets (Bloodborne) Free:
At any time, you may sacrifice a significant percentage of your blood to create a small supply of five blood bullets. When loaded into a weapon, they will change shape to match the necessary ammo type. A blood bullet loaded into a pistol will match the caliber, while a blood bullet loaded into a shotgun will become a shell filled with blood buck shot. You may not make any more than five at one time, additional attempts will just pointlessly drain you of blood as the bullets fail to keep shape. A single blood bullet is unable to take the shape of significantly larger projectiles, such as cannon balls, but if multiple bullets with a combined mass equal or at least close to the desired projectile are placed together, they will fuse and assume the proper shape. Blood Bullets are able to become liquid fuel for certain weapons, such as flamethrowers. Blood Bullets are unable to assume the shape of projectiles that are too complex.
Ability</v>
      </c>
      <c r="B133" s="17">
        <f>IFERROR(__xludf.DUMMYFUNCTION("if(len(A133)&gt;0, value(REGEXEXTRACT(A133, ""Chapter ([0-9]*):"")), """")"),141.0)</f>
        <v>141</v>
      </c>
      <c r="C133" s="31" t="str">
        <f>IFERROR(__xludf.DUMMYFUNCTION("if(len(A133) &gt;0, REGEXEXTRACT(A133, ""Chapter [0-9]*: (.*)""), """")"),"96.1 Interlude Uppercrust")</f>
        <v>96.1 Interlude Uppercrust</v>
      </c>
      <c r="D133" s="31" t="str">
        <f>IFERROR(__xludf.DUMMYFUNCTION("if(len(A133)&gt;0, REGEXEXTRACT(A133, ""\n[^\(]*""), """")"),"
Blood Bullets ")</f>
        <v>
Blood Bullets </v>
      </c>
      <c r="E133" s="17" t="str">
        <f>IFERROR(__xludf.DUMMYFUNCTION("if(len(A133)&gt;0, REGEXEXTRACT(A133, ""\n([^\n]*)$""), """")"),"Ability")</f>
        <v>Ability</v>
      </c>
      <c r="F133" s="17" t="str">
        <f>IFERROR(__xludf.DUMMYFUNCTION("if(len(A133)&gt;0, REGEXEXTRACT(A133, ""\(([^\)]*)\)""), """")"),"Bloodborne")</f>
        <v>Bloodborne</v>
      </c>
      <c r="G133" s="17" t="str">
        <f>IFERROR(__xludf.DUMMYFUNCTION("if(len(A133)&gt;0, REGEXEXTRACT(A133, ""\)([^:]*):""), """")")," Free")</f>
        <v> Free</v>
      </c>
      <c r="H133" s="31" t="str">
        <f>IFERROR(__xludf.DUMMYFUNCTION("if(len(A133) &gt; 0, JOIN(char(10), FILTER(SPLIT(A133, char(10)), split(""false false "" &amp; rept(""true "", columns(SPLIT(A133, char(10)))-3) &amp; ""false"", "" ""))), """")"),"At any time, you may sacrifice a significant percentage of your blood to create a small supply of five blood bullets. When loaded into a weapon, they will change shape to match the necessary ammo type. A blood bullet loaded into a pistol will match the ca"&amp;"liber, while a blood bullet loaded into a shotgun will become a shell filled with blood buck shot. You may not make any more than five at one time, additional attempts will just pointlessly drain you of blood as the bullets fail to keep shape. A single bl"&amp;"ood bullet is unable to take the shape of significantly larger projectiles, such as cannon balls, but if multiple bullets with a combined mass equal or at least close to the desired projectile are placed together, they will fuse and assume the proper shap"&amp;"e. Blood Bullets are able to become liquid fuel for certain weapons, such as flamethrowers. Blood Bullets are unable to assume the shape of projectiles that are too complex.")</f>
        <v>At any time, you may sacrifice a significant percentage of your blood to create a small supply of five blood bullets. When loaded into a weapon, they will change shape to match the necessary ammo type. A blood bullet loaded into a pistol will match the caliber, while a blood bullet loaded into a shotgun will become a shell filled with blood buck shot. You may not make any more than five at one time, additional attempts will just pointlessly drain you of blood as the bullets fail to keep shape. A single blood bullet is unable to take the shape of significantly larger projectiles, such as cannon balls, but if multiple bullets with a combined mass equal or at least close to the desired projectile are placed together, they will fuse and assume the proper shape. Blood Bullets are able to become liquid fuel for certain weapons, such as flamethrowers. Blood Bullets are unable to assume the shape of projectiles that are too complex.</v>
      </c>
    </row>
    <row r="134">
      <c r="A134" s="31" t="str">
        <f>IFERROR(__xludf.DUMMYFUNCTION("""COMPUTED_VALUE"""),"Chapter 141: 96.1 Interlude Uppercrust
Gifts from the Little Ones (Bloodborne) Free:
You are given a choice of one of three trick melee weapons, and one of two projectile weapons. you will receive the two weapons of your choosing one day after beginning y"&amp;"our journey. The first trick weapon you may choose is the Saw Cleaver, a saw with large teeth that can flip open to be wielded similarly to a sword. The second is the Hunter's Axe, a large hand axe with a handle that can be extended so it may be wielded w"&amp;"ith two hands. The third trick weapon is the threaded cane, a sturdy metal cane that can transform into a bladed chain whip. The first projectile weapon is the Hunter Pistol, a quick, simple, high damage weapon that's handy at short to medium range. Your "&amp;"other option is the Blunderbuss, a heavier weapon that fires a wide spread, effective at close ranges, against small groups of enemies.
Item")</f>
        <v>Chapter 141: 96.1 Interlude Uppercrust
Gifts from the Little Ones (Bloodborne) Free:
You are given a choice of one of three trick melee weapons, and one of two projectile weapons. you will receive the two weapons of your choosing one day after beginning your journey. The first trick weapon you may choose is the Saw Cleaver, a saw with large teeth that can flip open to be wielded similarly to a sword. The second is the Hunter's Axe, a large hand axe with a handle that can be extended so it may be wielded with two hands. The third trick weapon is the threaded cane, a sturdy metal cane that can transform into a bladed chain whip. The first projectile weapon is the Hunter Pistol, a quick, simple, high damage weapon that's handy at short to medium range. Your other option is the Blunderbuss, a heavier weapon that fires a wide spread, effective at close ranges, against small groups of enemies.
Item</v>
      </c>
      <c r="B134" s="17">
        <f>IFERROR(__xludf.DUMMYFUNCTION("if(len(A134)&gt;0, value(REGEXEXTRACT(A134, ""Chapter ([0-9]*):"")), """")"),141.0)</f>
        <v>141</v>
      </c>
      <c r="C134" s="31" t="str">
        <f>IFERROR(__xludf.DUMMYFUNCTION("if(len(A134) &gt;0, REGEXEXTRACT(A134, ""Chapter [0-9]*: (.*)""), """")"),"96.1 Interlude Uppercrust")</f>
        <v>96.1 Interlude Uppercrust</v>
      </c>
      <c r="D134" s="31" t="str">
        <f>IFERROR(__xludf.DUMMYFUNCTION("if(len(A134)&gt;0, REGEXEXTRACT(A134, ""\n[^\(]*""), """")"),"
Gifts from the Little Ones ")</f>
        <v>
Gifts from the Little Ones </v>
      </c>
      <c r="E134" s="17" t="str">
        <f>IFERROR(__xludf.DUMMYFUNCTION("if(len(A134)&gt;0, REGEXEXTRACT(A134, ""\n([^\n]*)$""), """")"),"Item")</f>
        <v>Item</v>
      </c>
      <c r="F134" s="17" t="str">
        <f>IFERROR(__xludf.DUMMYFUNCTION("if(len(A134)&gt;0, REGEXEXTRACT(A134, ""\(([^\)]*)\)""), """")"),"Bloodborne")</f>
        <v>Bloodborne</v>
      </c>
      <c r="G134" s="17" t="str">
        <f>IFERROR(__xludf.DUMMYFUNCTION("if(len(A134)&gt;0, REGEXEXTRACT(A134, ""\)([^:]*):""), """")")," Free")</f>
        <v> Free</v>
      </c>
      <c r="H134" s="31" t="str">
        <f>IFERROR(__xludf.DUMMYFUNCTION("if(len(A134) &gt; 0, JOIN(char(10), FILTER(SPLIT(A134, char(10)), split(""false false "" &amp; rept(""true "", columns(SPLIT(A134, char(10)))-3) &amp; ""false"", "" ""))), """")"),"You are given a choice of one of three trick melee weapons, and one of two projectile weapons. you will receive the two weapons of your choosing one day after beginning your journey. The first trick weapon you may choose is the Saw Cleaver, a saw with lar"&amp;"ge teeth that can flip open to be wielded similarly to a sword. The second is the Hunter's Axe, a large hand axe with a handle that can be extended so it may be wielded with two hands. The third trick weapon is the threaded cane, a sturdy metal cane that "&amp;"can transform into a bladed chain whip. The first projectile weapon is the Hunter Pistol, a quick, simple, high damage weapon that's handy at short to medium range. Your other option is the Blunderbuss, a heavier weapon that fires a wide spread, effective"&amp;" at close ranges, against small groups of enemies.")</f>
        <v>You are given a choice of one of three trick melee weapons, and one of two projectile weapons. you will receive the two weapons of your choosing one day after beginning your journey. The first trick weapon you may choose is the Saw Cleaver, a saw with large teeth that can flip open to be wielded similarly to a sword. The second is the Hunter's Axe, a large hand axe with a handle that can be extended so it may be wielded with two hands. The third trick weapon is the threaded cane, a sturdy metal cane that can transform into a bladed chain whip. The first projectile weapon is the Hunter Pistol, a quick, simple, high damage weapon that's handy at short to medium range. Your other option is the Blunderbuss, a heavier weapon that fires a wide spread, effective at close ranges, against small groups of enemies.</v>
      </c>
    </row>
    <row r="135">
      <c r="A135" s="31" t="str">
        <f>IFERROR(__xludf.DUMMYFUNCTION("""COMPUTED_VALUE"""),"Chapter 141: 96.1 Interlude Uppercrust
Hunter (Bloodborne) Free:
Apparently, from what you can gather, you are now a Hunter. This means a number of things, including access to the Hunter's Dream. What that means is that instead of dying, you will wake up "&amp;"in the Hunter's Dream and be able to travel to and from it using Lanterns found around the world. That sounds nice at first, until you realize one of your fellow hunters is a bit too good at this, the mysterious foreign one that is. This Hunter will end t"&amp;"he nightmare soon, within a day or two, severing your connection to the dream. There isn't much you can do about it, so enjoy it while it lasts. Another boon of being a Hunter besides being able to visit the dream is the admiration of Messengers, small in"&amp;"fantile creatures that can prove useful in some scenarios. I'll explain about them later. Lastly, it seems your new body has some. . .hidden assets. You have an affliction, though one you can control on some level. There's a beast inside you, trying to ge"&amp;"t out, trying to take you over. Though it takes a bit of concentration, you may temporarily unleash some of this beast's strength in the form of a ""Visceral Attack"". This attack temporarily transforms your hand into a beastly claw which will slide throu"&amp;"gh the flesh of a prone enemy like a hot knife through butter. Careful not to draw on this power too often though. . . This perk also comes with the Mandatory ""Inner Beast"" drawback, detailed in the drawback section. (""Inner Beast"" - There's a problem"&amp;" with your new body and mind. As previously mentioned, there's now a bestial side to your mind trying to claw its way out and take over, somewhat literally. Drinking or covering yourself in too much blood, consuming items like Beast Blood Pellets, or usin"&amp;"g/taking various other items or drawbacks like the Beast Claw or ""Ignorance is Bliss"" will all empower it. If it gets too powerful and manages to take over, transforming you from Hunter into Beast, you lose. There are ways to fight it though. Avoiding o"&amp;"r pacing yourself on blood push it down a bit. Becoming more worldly and insightful will weaken it as well. Willpower can slow its power grab, but can't stop it on its own. - Your Inner Beast has been pacified, giving you access to their powers without po"&amp;"ssibility of losing yourself to them allowing you to more easily use visceral attacks)
Personal")</f>
        <v>Chapter 141: 96.1 Interlude Uppercrust
Hunter (Bloodborne) Free:
Apparently, from what you can gather, you are now a Hunter. This means a number of things, including access to the Hunter's Dream. What that means is that instead of dying, you will wake up in the Hunter's Dream and be able to travel to and from it using Lanterns found around the world. That sounds nice at first, until you realize one of your fellow hunters is a bit too good at this, the mysterious foreign one that is. This Hunter will end the nightmare soon, within a day or two, severing your connection to the dream. There isn't much you can do about it, so enjoy it while it lasts. Another boon of being a Hunter besides being able to visit the dream is the admiration of Messengers, small infantile creatures that can prove useful in some scenarios. I'll explain about them later. Lastly, it seems your new body has some. . .hidden assets. You have an affliction, though one you can control on some level. There's a beast inside you, trying to get out, trying to take you over. Though it takes a bit of concentration, you may temporarily unleash some of this beast's strength in the form of a "Visceral Attack". This attack temporarily transforms your hand into a beastly claw which will slide through the flesh of a prone enemy like a hot knife through butter. Careful not to draw on this power too often though. . . This perk also comes with the Mandatory "Inner Beast" drawback, detailed in the drawback section. ("Inner Beast" - There's a problem with your new body and mind. As previously mentioned, there's now a bestial side to your mind trying to claw its way out and take over, somewhat literally. Drinking or covering yourself in too much blood, consuming items like Beast Blood Pellets, or using/taking various other items or drawbacks like the Beast Claw or "Ignorance is Bliss" will all empower it. If it gets too powerful and manages to take over, transforming you from Hunter into Beast, you lose. There are ways to fight it though. Avoiding or pacing yourself on blood push it down a bit. Becoming more worldly and insightful will weaken it as well. Willpower can slow its power grab, but can't stop it on its own. - Your Inner Beast has been pacified, giving you access to their powers without possibility of losing yourself to them allowing you to more easily use visceral attacks)
Personal</v>
      </c>
      <c r="B135" s="17">
        <f>IFERROR(__xludf.DUMMYFUNCTION("if(len(A135)&gt;0, value(REGEXEXTRACT(A135, ""Chapter ([0-9]*):"")), """")"),141.0)</f>
        <v>141</v>
      </c>
      <c r="C135" s="31" t="str">
        <f>IFERROR(__xludf.DUMMYFUNCTION("if(len(A135) &gt;0, REGEXEXTRACT(A135, ""Chapter [0-9]*: (.*)""), """")"),"96.1 Interlude Uppercrust")</f>
        <v>96.1 Interlude Uppercrust</v>
      </c>
      <c r="D135" s="31" t="str">
        <f>IFERROR(__xludf.DUMMYFUNCTION("if(len(A135)&gt;0, REGEXEXTRACT(A135, ""\n[^\(]*""), """")"),"
Hunter ")</f>
        <v>
Hunter </v>
      </c>
      <c r="E135" s="17" t="str">
        <f>IFERROR(__xludf.DUMMYFUNCTION("if(len(A135)&gt;0, REGEXEXTRACT(A135, ""\n([^\n]*)$""), """")"),"Personal")</f>
        <v>Personal</v>
      </c>
      <c r="F135" s="17" t="str">
        <f>IFERROR(__xludf.DUMMYFUNCTION("if(len(A135)&gt;0, REGEXEXTRACT(A135, ""\(([^\)]*)\)""), """")"),"Bloodborne")</f>
        <v>Bloodborne</v>
      </c>
      <c r="G135" s="17" t="str">
        <f>IFERROR(__xludf.DUMMYFUNCTION("if(len(A135)&gt;0, REGEXEXTRACT(A135, ""\)([^:]*):""), """")")," Free")</f>
        <v> Free</v>
      </c>
      <c r="H135" s="31" t="str">
        <f>IFERROR(__xludf.DUMMYFUNCTION("if(len(A135) &gt; 0, JOIN(char(10), FILTER(SPLIT(A135, char(10)), split(""false false "" &amp; rept(""true "", columns(SPLIT(A135, char(10)))-3) &amp; ""false"", "" ""))), """")"),"Apparently, from what you can gather, you are now a Hunter. This means a number of things, including access to the Hunter's Dream. What that means is that instead of dying, you will wake up in the Hunter's Dream and be able to travel to and from it using "&amp;"Lanterns found around the world. That sounds nice at first, until you realize one of your fellow hunters is a bit too good at this, the mysterious foreign one that is. This Hunter will end the nightmare soon, within a day or two, severing your connection "&amp;"to the dream. There isn't much you can do about it, so enjoy it while it lasts. Another boon of being a Hunter besides being able to visit the dream is the admiration of Messengers, small infantile creatures that can prove useful in some scenarios. I'll e"&amp;"xplain about them later. Lastly, it seems your new body has some. . .hidden assets. You have an affliction, though one you can control on some level. There's a beast inside you, trying to get out, trying to take you over. Though it takes a bit of concentr"&amp;"ation, you may temporarily unleash some of this beast's strength in the form of a ""Visceral Attack"". This attack temporarily transforms your hand into a beastly claw which will slide through the flesh of a prone enemy like a hot knife through butter. Ca"&amp;"reful not to draw on this power too often though. . . This perk also comes with the Mandatory ""Inner Beast"" drawback, detailed in the drawback section. (""Inner Beast"" - There's a problem with your new body and mind. As previously mentioned, there's no"&amp;"w a bestial side to your mind trying to claw its way out and take over, somewhat literally. Drinking or covering yourself in too much blood, consuming items like Beast Blood Pellets, or using/taking various other items or drawbacks like the Beast Claw or "&amp;"""Ignorance is Bliss"" will all empower it. If it gets too powerful and manages to take over, transforming you from Hunter into Beast, you lose. There are ways to fight it though. Avoiding or pacing yourself on blood push it down a bit. Becoming more worl"&amp;"dly and insightful will weaken it as well. Willpower can slow its power grab, but can't stop it on its own. - Your Inner Beast has been pacified, giving you access to their powers without possibility of losing yourself to them allowing you to more easily "&amp;"use visceral attacks)")</f>
        <v>Apparently, from what you can gather, you are now a Hunter. This means a number of things, including access to the Hunter's Dream. What that means is that instead of dying, you will wake up in the Hunter's Dream and be able to travel to and from it using Lanterns found around the world. That sounds nice at first, until you realize one of your fellow hunters is a bit too good at this, the mysterious foreign one that is. This Hunter will end the nightmare soon, within a day or two, severing your connection to the dream. There isn't much you can do about it, so enjoy it while it lasts. Another boon of being a Hunter besides being able to visit the dream is the admiration of Messengers, small infantile creatures that can prove useful in some scenarios. I'll explain about them later. Lastly, it seems your new body has some. . .hidden assets. You have an affliction, though one you can control on some level. There's a beast inside you, trying to get out, trying to take you over. Though it takes a bit of concentration, you may temporarily unleash some of this beast's strength in the form of a "Visceral Attack". This attack temporarily transforms your hand into a beastly claw which will slide through the flesh of a prone enemy like a hot knife through butter. Careful not to draw on this power too often though. . . This perk also comes with the Mandatory "Inner Beast" drawback, detailed in the drawback section. ("Inner Beast" - There's a problem with your new body and mind. As previously mentioned, there's now a bestial side to your mind trying to claw its way out and take over, somewhat literally. Drinking or covering yourself in too much blood, consuming items like Beast Blood Pellets, or using/taking various other items or drawbacks like the Beast Claw or "Ignorance is Bliss" will all empower it. If it gets too powerful and manages to take over, transforming you from Hunter into Beast, you lose. There are ways to fight it though. Avoiding or pacing yourself on blood push it down a bit. Becoming more worldly and insightful will weaken it as well. Willpower can slow its power grab, but can't stop it on its own. - Your Inner Beast has been pacified, giving you access to their powers without possibility of losing yourself to them allowing you to more easily use visceral attacks)</v>
      </c>
    </row>
    <row r="136">
      <c r="A136" s="31" t="str">
        <f>IFERROR(__xludf.DUMMYFUNCTION("""COMPUTED_VALUE"""),"Chapter 141: 96.1 Interlude Uppercrust
Rally (Bloodborne) Free:
After being hurt or damaged in some way, you have a short window of time where bathing yourself in the blood of your enemies will trigger a small bit of rapid recovery. It's never very much h"&amp;"ealing, meaning you're very unlikely to make a full recovery from anything too serious, but every little bit helps. You don't necessarily have to be drenched in blood, but the amount required to trigger Rally will be quite noticeable.
Personal")</f>
        <v>Chapter 141: 96.1 Interlude Uppercrust
Rally (Bloodborne) Free:
After being hurt or damaged in some way, you have a short window of time where bathing yourself in the blood of your enemies will trigger a small bit of rapid recovery. It's never very much healing, meaning you're very unlikely to make a full recovery from anything too serious, but every little bit helps. You don't necessarily have to be drenched in blood, but the amount required to trigger Rally will be quite noticeable.
Personal</v>
      </c>
      <c r="B136" s="17">
        <f>IFERROR(__xludf.DUMMYFUNCTION("if(len(A136)&gt;0, value(REGEXEXTRACT(A136, ""Chapter ([0-9]*):"")), """")"),141.0)</f>
        <v>141</v>
      </c>
      <c r="C136" s="31" t="str">
        <f>IFERROR(__xludf.DUMMYFUNCTION("if(len(A136) &gt;0, REGEXEXTRACT(A136, ""Chapter [0-9]*: (.*)""), """")"),"96.1 Interlude Uppercrust")</f>
        <v>96.1 Interlude Uppercrust</v>
      </c>
      <c r="D136" s="31" t="str">
        <f>IFERROR(__xludf.DUMMYFUNCTION("if(len(A136)&gt;0, REGEXEXTRACT(A136, ""\n[^\(]*""), """")"),"
Rally ")</f>
        <v>
Rally </v>
      </c>
      <c r="E136" s="17" t="str">
        <f>IFERROR(__xludf.DUMMYFUNCTION("if(len(A136)&gt;0, REGEXEXTRACT(A136, ""\n([^\n]*)$""), """")"),"Personal")</f>
        <v>Personal</v>
      </c>
      <c r="F136" s="17" t="str">
        <f>IFERROR(__xludf.DUMMYFUNCTION("if(len(A136)&gt;0, REGEXEXTRACT(A136, ""\(([^\)]*)\)""), """")"),"Bloodborne")</f>
        <v>Bloodborne</v>
      </c>
      <c r="G136" s="17" t="str">
        <f>IFERROR(__xludf.DUMMYFUNCTION("if(len(A136)&gt;0, REGEXEXTRACT(A136, ""\)([^:]*):""), """")")," Free")</f>
        <v> Free</v>
      </c>
      <c r="H136" s="31" t="str">
        <f>IFERROR(__xludf.DUMMYFUNCTION("if(len(A136) &gt; 0, JOIN(char(10), FILTER(SPLIT(A136, char(10)), split(""false false "" &amp; rept(""true "", columns(SPLIT(A136, char(10)))-3) &amp; ""false"", "" ""))), """")"),"After being hurt or damaged in some way, you have a short window of time where bathing yourself in the blood of your enemies will trigger a small bit of rapid recovery. It's never very much healing, meaning you're very unlikely to make a full recovery fro"&amp;"m anything too serious, but every little bit helps. You don't necessarily have to be drenched in blood, but the amount required to trigger Rally will be quite noticeable.")</f>
        <v>After being hurt or damaged in some way, you have a short window of time where bathing yourself in the blood of your enemies will trigger a small bit of rapid recovery. It's never very much healing, meaning you're very unlikely to make a full recovery from anything too serious, but every little bit helps. You don't necessarily have to be drenched in blood, but the amount required to trigger Rally will be quite noticeable.</v>
      </c>
    </row>
    <row r="137">
      <c r="A137" s="31" t="str">
        <f>IFERROR(__xludf.DUMMYFUNCTION("""COMPUTED_VALUE"""),"Chapter 141: 96.1 Interlude Uppercrust
Workshop Artisan (Bloodborne) 300:
As if taught at the long gone workshop, you seem to possess knowledge and skill with many of their crafting techniques. You have been granted the knowledge and skills needed to both"&amp;" repair and even create your own Trick Weapons and Hunter's Tools. Trick Weapons are weapons with a variety of special abilities relating to their form. The most common type of Trick Weapons are those that can transform in some manner. An example being sw"&amp;"ords that can lock into specialized sheaths in order to become different weapons, sometimes radically so. Not to say transformation is the only ability, there are also melee weapons with guns attached, and maces that can be charged with unnatural blue ele"&amp;"ctricity to deal massive damage. Hunter's Tools are pieces of equipment with special abilities activated by using Blood Bullets or Quicksilver Bullets as a medium. Hunter's Tools are usually supernatural items that have been made to work using a Blood/Qui"&amp;"cksilver Bullet medium, such as the Beast Roar, a beast's claw that when activated, allows the wielder to roar like a beast. Some Hunter's Tools are completely manmade as well, though this is a relative minority. Basically, you now know how to convert thi"&amp;"ngs into being activated and powered by Blood Bullets and Quicksilver Bullets. Doing so allows anyone to use them, even if they are completely mundane beings, so long as they have the bullets mentioned above on their person. When making Hunter's Tools, re"&amp;"member that the more power something requires, the bullets the wielder will need. These skills granted to you may be honed over time, just as any other skill can.
System")</f>
        <v>Chapter 141: 96.1 Interlude Uppercrust
Workshop Artisan (Bloodborne) 300:
As if taught at the long gone workshop, you seem to possess knowledge and skill with many of their crafting techniques. You have been granted the knowledge and skills needed to both repair and even create your own Trick Weapons and Hunter's Tools. Trick Weapons are weapons with a variety of special abilities relating to their form. The most common type of Trick Weapons are those that can transform in some manner. An example being swords that can lock into specialized sheaths in order to become different weapons, sometimes radically so. Not to say transformation is the only ability, there are also melee weapons with guns attached, and maces that can be charged with unnatural blue electricity to deal massive damage. Hunter's Tools are pieces of equipment with special abilities activated by using Blood Bullets or Quicksilver Bullets as a medium. Hunter's Tools are usually supernatural items that have been made to work using a Blood/Quicksilver Bullet medium, such as the Beast Roar, a beast's claw that when activated, allows the wielder to roar like a beast. Some Hunter's Tools are completely manmade as well, though this is a relative minority. Basically, you now know how to convert things into being activated and powered by Blood Bullets and Quicksilver Bullets. Doing so allows anyone to use them, even if they are completely mundane beings, so long as they have the bullets mentioned above on their person. When making Hunter's Tools, remember that the more power something requires, the bullets the wielder will need. These skills granted to you may be honed over time, just as any other skill can.
System</v>
      </c>
      <c r="B137" s="17">
        <f>IFERROR(__xludf.DUMMYFUNCTION("if(len(A137)&gt;0, value(REGEXEXTRACT(A137, ""Chapter ([0-9]*):"")), """")"),141.0)</f>
        <v>141</v>
      </c>
      <c r="C137" s="31" t="str">
        <f>IFERROR(__xludf.DUMMYFUNCTION("if(len(A137) &gt;0, REGEXEXTRACT(A137, ""Chapter [0-9]*: (.*)""), """")"),"96.1 Interlude Uppercrust")</f>
        <v>96.1 Interlude Uppercrust</v>
      </c>
      <c r="D137" s="31" t="str">
        <f>IFERROR(__xludf.DUMMYFUNCTION("if(len(A137)&gt;0, REGEXEXTRACT(A137, ""\n[^\(]*""), """")"),"
Workshop Artisan ")</f>
        <v>
Workshop Artisan </v>
      </c>
      <c r="E137" s="17" t="str">
        <f>IFERROR(__xludf.DUMMYFUNCTION("if(len(A137)&gt;0, REGEXEXTRACT(A137, ""\n([^\n]*)$""), """")"),"System")</f>
        <v>System</v>
      </c>
      <c r="F137" s="17" t="str">
        <f>IFERROR(__xludf.DUMMYFUNCTION("if(len(A137)&gt;0, REGEXEXTRACT(A137, ""\(([^\)]*)\)""), """")"),"Bloodborne")</f>
        <v>Bloodborne</v>
      </c>
      <c r="G137" s="17" t="str">
        <f>IFERROR(__xludf.DUMMYFUNCTION("if(len(A137)&gt;0, REGEXEXTRACT(A137, ""\)([^:]*):""), """")")," 300")</f>
        <v> 300</v>
      </c>
      <c r="H137" s="31" t="str">
        <f>IFERROR(__xludf.DUMMYFUNCTION("if(len(A137) &gt; 0, JOIN(char(10), FILTER(SPLIT(A137, char(10)), split(""false false "" &amp; rept(""true "", columns(SPLIT(A137, char(10)))-3) &amp; ""false"", "" ""))), """")"),"As if taught at the long gone workshop, you seem to possess knowledge and skill with many of their crafting techniques. You have been granted the knowledge and skills needed to both repair and even create your own Trick Weapons and Hunter's Tools. Trick W"&amp;"eapons are weapons with a variety of special abilities relating to their form. The most common type of Trick Weapons are those that can transform in some manner. An example being swords that can lock into specialized sheaths in order to become different w"&amp;"eapons, sometimes radically so. Not to say transformation is the only ability, there are also melee weapons with guns attached, and maces that can be charged with unnatural blue electricity to deal massive damage. Hunter's Tools are pieces of equipment wi"&amp;"th special abilities activated by using Blood Bullets or Quicksilver Bullets as a medium. Hunter's Tools are usually supernatural items that have been made to work using a Blood/Quicksilver Bullet medium, such as the Beast Roar, a beast's claw that when a"&amp;"ctivated, allows the wielder to roar like a beast. Some Hunter's Tools are completely manmade as well, though this is a relative minority. Basically, you now know how to convert things into being activated and powered by Blood Bullets and Quicksilver Bull"&amp;"ets. Doing so allows anyone to use them, even if they are completely mundane beings, so long as they have the bullets mentioned above on their person. When making Hunter's Tools, remember that the more power something requires, the bullets the wielder wil"&amp;"l need. These skills granted to you may be honed over time, just as any other skill can.")</f>
        <v>As if taught at the long gone workshop, you seem to possess knowledge and skill with many of their crafting techniques. You have been granted the knowledge and skills needed to both repair and even create your own Trick Weapons and Hunter's Tools. Trick Weapons are weapons with a variety of special abilities relating to their form. The most common type of Trick Weapons are those that can transform in some manner. An example being swords that can lock into specialized sheaths in order to become different weapons, sometimes radically so. Not to say transformation is the only ability, there are also melee weapons with guns attached, and maces that can be charged with unnatural blue electricity to deal massive damage. Hunter's Tools are pieces of equipment with special abilities activated by using Blood Bullets or Quicksilver Bullets as a medium. Hunter's Tools are usually supernatural items that have been made to work using a Blood/Quicksilver Bullet medium, such as the Beast Roar, a beast's claw that when activated, allows the wielder to roar like a beast. Some Hunter's Tools are completely manmade as well, though this is a relative minority. Basically, you now know how to convert things into being activated and powered by Blood Bullets and Quicksilver Bullets. Doing so allows anyone to use them, even if they are completely mundane beings, so long as they have the bullets mentioned above on their person. When making Hunter's Tools, remember that the more power something requires, the bullets the wielder will need. These skills granted to you may be honed over time, just as any other skill can.</v>
      </c>
    </row>
    <row r="138">
      <c r="A138" s="31" t="str">
        <f>IFERROR(__xludf.DUMMYFUNCTION("""COMPUTED_VALUE"""),"Chapter 142: 97 Confrontations – Preamble Carol
Additional Space - Starting Area (Personal Reality) 200:
This Starting Space Upgrade expands your Personal Reality by a factor of 10 in each dimension… or rather the standard three dimensions, you rabid chee"&amp;"selord. This can be purchased multiple times. Additional Space also upgrades various expansion options. The first purchase of this brings you to 64 Million Cubic Meters, then 64 Billion Cubic Meters, then 64 Trillion Cubic Meters. Earth’s volume, for refe"&amp;"rence, is 1 Hexillion Cubic Meters and it’s surface area is 510 Quadrillion Square Meters. Cover the Earth in storage facilities 100 meters high and you get 51 Quintillion Cubic Meters of Storage space.
Facility")</f>
        <v>Chapter 142: 97 Confrontations – Preamble Carol
Additional Space - Starting Area (Personal Reality) 200:
This Starting Space Upgrade expands your Personal Reality by a factor of 10 in each dimension… or rather the standard three dimensions, you rabid cheeselord. This can be purchased multiple times. Additional Space also upgrades various expansion options. The first purchase of this brings you to 64 Million Cubic Meters, then 64 Billion Cubic Meters, then 64 Trillion Cubic Meters. Earth’s volume, for reference, is 1 Hexillion Cubic Meters and it’s surface area is 510 Quadrillion Square Meters. Cover the Earth in storage facilities 100 meters high and you get 51 Quintillion Cubic Meters of Storage space.
Facility</v>
      </c>
      <c r="B138" s="17">
        <f>IFERROR(__xludf.DUMMYFUNCTION("if(len(A138)&gt;0, value(REGEXEXTRACT(A138, ""Chapter ([0-9]*):"")), """")"),142.0)</f>
        <v>142</v>
      </c>
      <c r="C138" s="31" t="str">
        <f>IFERROR(__xludf.DUMMYFUNCTION("if(len(A138) &gt;0, REGEXEXTRACT(A138, ""Chapter [0-9]*: (.*)""), """")"),"97 Confrontations – Preamble Carol")</f>
        <v>97 Confrontations – Preamble Carol</v>
      </c>
      <c r="D138" s="31" t="str">
        <f>IFERROR(__xludf.DUMMYFUNCTION("if(len(A138)&gt;0, REGEXEXTRACT(A138, ""\n[^\(]*""), """")"),"
Additional Space - Starting Area ")</f>
        <v>
Additional Space - Starting Area </v>
      </c>
      <c r="E138" s="17" t="str">
        <f>IFERROR(__xludf.DUMMYFUNCTION("if(len(A138)&gt;0, REGEXEXTRACT(A138, ""\n([^\n]*)$""), """")"),"Facility")</f>
        <v>Facility</v>
      </c>
      <c r="F138" s="17" t="str">
        <f>IFERROR(__xludf.DUMMYFUNCTION("if(len(A138)&gt;0, REGEXEXTRACT(A138, ""\(([^\)]*)\)""), """")"),"Personal Reality")</f>
        <v>Personal Reality</v>
      </c>
      <c r="G138" s="17" t="str">
        <f>IFERROR(__xludf.DUMMYFUNCTION("if(len(A138)&gt;0, REGEXEXTRACT(A138, ""\)([^:]*):""), """")")," 200")</f>
        <v> 200</v>
      </c>
      <c r="H138" s="31" t="str">
        <f>IFERROR(__xludf.DUMMYFUNCTION("if(len(A138) &gt; 0, JOIN(char(10), FILTER(SPLIT(A138, char(10)), split(""false false "" &amp; rept(""true "", columns(SPLIT(A138, char(10)))-3) &amp; ""false"", "" ""))), """")"),"This Starting Space Upgrade expands your Personal Reality by a factor of 10 in each dimension… or rather the standard three dimensions, you rabid cheeselord. This can be purchased multiple times. Additional Space also upgrades various expansion options. T"&amp;"he first purchase of this brings you to 64 Million Cubic Meters, then 64 Billion Cubic Meters, then 64 Trillion Cubic Meters. Earth’s volume, for reference, is 1 Hexillion Cubic Meters and it’s surface area is 510 Quadrillion Square Meters. Cover the Eart"&amp;"h in storage facilities 100 meters high and you get 51 Quintillion Cubic Meters of Storage space.")</f>
        <v>This Starting Space Upgrade expands your Personal Reality by a factor of 10 in each dimension… or rather the standard three dimensions, you rabid cheeselord. This can be purchased multiple times. Additional Space also upgrades various expansion options. The first purchase of this brings you to 64 Million Cubic Meters, then 64 Billion Cubic Meters, then 64 Trillion Cubic Meters. Earth’s volume, for reference, is 1 Hexillion Cubic Meters and it’s surface area is 510 Quadrillion Square Meters. Cover the Earth in storage facilities 100 meters high and you get 51 Quintillion Cubic Meters of Storage space.</v>
      </c>
    </row>
    <row r="139">
      <c r="A139" s="31" t="str">
        <f>IFERROR(__xludf.DUMMYFUNCTION("""COMPUTED_VALUE"""),"Chapter 142: 97 Confrontations – Preamble Carol
Additional Space – Lofty Loft (Personal Reality) 200:
This Starting Space Upgrade expands your Personal Reality by a factor of 10 in each dimension… or rather the standard three dimensions, you rabid cheesel"&amp;"ord. This can be purchased multiple times. Additional Space also upgrades various expansion options. The first purchase of this brings you to 64 Million Cubic Meters, then 64 Billion Cubic Meters, then 64 Trillion Cubic Meters. Earth’s volume, for referen"&amp;"ce, is 1 Hexillion Cubic Meters and it’s surface area is 510 Quadrillion Square Meters. Cover the Earth in storage facilities 100 meters high and you get 51 Quintillion Cubic Meters of Storage space.
Facility")</f>
        <v>Chapter 142: 97 Confrontations – Preamble Carol
Additional Space – Lofty Loft (Personal Reality) 200:
This Starting Space Upgrade expands your Personal Reality by a factor of 10 in each dimension… or rather the standard three dimensions, you rabid cheeselord. This can be purchased multiple times. Additional Space also upgrades various expansion options. The first purchase of this brings you to 64 Million Cubic Meters, then 64 Billion Cubic Meters, then 64 Trillion Cubic Meters. Earth’s volume, for reference, is 1 Hexillion Cubic Meters and it’s surface area is 510 Quadrillion Square Meters. Cover the Earth in storage facilities 100 meters high and you get 51 Quintillion Cubic Meters of Storage space.
Facility</v>
      </c>
      <c r="B139" s="17">
        <f>IFERROR(__xludf.DUMMYFUNCTION("if(len(A139)&gt;0, value(REGEXEXTRACT(A139, ""Chapter ([0-9]*):"")), """")"),142.0)</f>
        <v>142</v>
      </c>
      <c r="C139" s="31" t="str">
        <f>IFERROR(__xludf.DUMMYFUNCTION("if(len(A139) &gt;0, REGEXEXTRACT(A139, ""Chapter [0-9]*: (.*)""), """")"),"97 Confrontations – Preamble Carol")</f>
        <v>97 Confrontations – Preamble Carol</v>
      </c>
      <c r="D139" s="31" t="str">
        <f>IFERROR(__xludf.DUMMYFUNCTION("if(len(A139)&gt;0, REGEXEXTRACT(A139, ""\n[^\(]*""), """")"),"
Additional Space – Lofty Loft ")</f>
        <v>
Additional Space – Lofty Loft </v>
      </c>
      <c r="E139" s="17" t="str">
        <f>IFERROR(__xludf.DUMMYFUNCTION("if(len(A139)&gt;0, REGEXEXTRACT(A139, ""\n([^\n]*)$""), """")"),"Facility")</f>
        <v>Facility</v>
      </c>
      <c r="F139" s="17" t="str">
        <f>IFERROR(__xludf.DUMMYFUNCTION("if(len(A139)&gt;0, REGEXEXTRACT(A139, ""\(([^\)]*)\)""), """")"),"Personal Reality")</f>
        <v>Personal Reality</v>
      </c>
      <c r="G139" s="17" t="str">
        <f>IFERROR(__xludf.DUMMYFUNCTION("if(len(A139)&gt;0, REGEXEXTRACT(A139, ""\)([^:]*):""), """")")," 200")</f>
        <v> 200</v>
      </c>
      <c r="H139" s="31" t="str">
        <f>IFERROR(__xludf.DUMMYFUNCTION("if(len(A139) &gt; 0, JOIN(char(10), FILTER(SPLIT(A139, char(10)), split(""false false "" &amp; rept(""true "", columns(SPLIT(A139, char(10)))-3) &amp; ""false"", "" ""))), """")"),"This Starting Space Upgrade expands your Personal Reality by a factor of 10 in each dimension… or rather the standard three dimensions, you rabid cheeselord. This can be purchased multiple times. Additional Space also upgrades various expansion options. T"&amp;"he first purchase of this brings you to 64 Million Cubic Meters, then 64 Billion Cubic Meters, then 64 Trillion Cubic Meters. Earth’s volume, for reference, is 1 Hexillion Cubic Meters and it’s surface area is 510 Quadrillion Square Meters. Cover the Eart"&amp;"h in storage facilities 100 meters high and you get 51 Quintillion Cubic Meters of Storage space.")</f>
        <v>This Starting Space Upgrade expands your Personal Reality by a factor of 10 in each dimension… or rather the standard three dimensions, you rabid cheeselord. This can be purchased multiple times. Additional Space also upgrades various expansion options. The first purchase of this brings you to 64 Million Cubic Meters, then 64 Billion Cubic Meters, then 64 Trillion Cubic Meters. Earth’s volume, for reference, is 1 Hexillion Cubic Meters and it’s surface area is 510 Quadrillion Square Meters. Cover the Earth in storage facilities 100 meters high and you get 51 Quintillion Cubic Meters of Storage space.</v>
      </c>
    </row>
    <row r="140">
      <c r="A140" s="31" t="str">
        <f>IFERROR(__xludf.DUMMYFUNCTION("""COMPUTED_VALUE"""),"Chapter 142: 97 Confrontations – Preamble Carol
Nano-Forge (Red Faction) 600:
Typically worn around the wrist, this device is an engineer’s wet dream. Using real-time scans provided by the onboard AI, the Nano-Forge emits nanites as either a proximity c"&amp;"loud or projectile globs that procedurally recreate objects nearby. This Nano-Forge is restricted to repair functionality, and it doesn’t work on biological material, but it does have the precision to recreate delicate electronics and the like.
Item")</f>
        <v>Chapter 142: 97 Confrontations – Preamble Carol
Nano-Forge (Red Faction) 600:
Typically worn around the wrist, this device is an engineer’s wet dream. Using real-time scans provided by the onboard AI, the Nano-Forge emits nanites as either a proximity cloud or projectile globs that procedurally recreate objects nearby. This Nano-Forge is restricted to repair functionality, and it doesn’t work on biological material, but it does have the precision to recreate delicate electronics and the like.
Item</v>
      </c>
      <c r="B140" s="17">
        <f>IFERROR(__xludf.DUMMYFUNCTION("if(len(A140)&gt;0, value(REGEXEXTRACT(A140, ""Chapter ([0-9]*):"")), """")"),142.0)</f>
        <v>142</v>
      </c>
      <c r="C140" s="31" t="str">
        <f>IFERROR(__xludf.DUMMYFUNCTION("if(len(A140) &gt;0, REGEXEXTRACT(A140, ""Chapter [0-9]*: (.*)""), """")"),"97 Confrontations – Preamble Carol
")</f>
        <v>97 Confrontations – Preamble Carol
</v>
      </c>
      <c r="D140" s="31" t="str">
        <f>IFERROR(__xludf.DUMMYFUNCTION("if(len(A140)&gt;0, REGEXEXTRACT(A140, ""\n[^\(]*""), """")"),"
Nano-Forge ")</f>
        <v>
Nano-Forge </v>
      </c>
      <c r="E140" s="17" t="str">
        <f>IFERROR(__xludf.DUMMYFUNCTION("if(len(A140)&gt;0, REGEXEXTRACT(A140, ""\n([^\n]*)$""), """")"),"Item")</f>
        <v>Item</v>
      </c>
      <c r="F140" s="17" t="str">
        <f>IFERROR(__xludf.DUMMYFUNCTION("if(len(A140)&gt;0, REGEXEXTRACT(A140, ""\(([^\)]*)\)""), """")"),"Red Faction")</f>
        <v>Red Faction</v>
      </c>
      <c r="G140" s="17" t="str">
        <f>IFERROR(__xludf.DUMMYFUNCTION("if(len(A140)&gt;0, REGEXEXTRACT(A140, ""\)([^:]*):""), """")")," 600")</f>
        <v> 600</v>
      </c>
      <c r="H140" s="31" t="str">
        <f>IFERROR(__xludf.DUMMYFUNCTION("if(len(A140) &gt; 0, JOIN(char(10), FILTER(SPLIT(A140, char(10)), split(""false false "" &amp; rept(""true "", columns(SPLIT(A140, char(10)))-3) &amp; ""false"", "" ""))), """")"),"Typically worn around the wrist, this device is an engineer’s wet dream. Using real-time scans provided by the onboard AI, the Nano-Forge emits nanites as either a proximity cloud or projectile globs that procedurally recreate objects nearby. This Nano-Fo"&amp;"rge is restricted to repair functionality, and it doesn’t work on biological material, but it does have the precision to recreate delicate electronics and the like.")</f>
        <v>Typically worn around the wrist, this device is an engineer’s wet dream. Using real-time scans provided by the onboard AI, the Nano-Forge emits nanites as either a proximity cloud or projectile globs that procedurally recreate objects nearby. This Nano-Forge is restricted to repair functionality, and it doesn’t work on biological material, but it does have the precision to recreate delicate electronics and the like.</v>
      </c>
    </row>
    <row r="141">
      <c r="A141" s="31" t="str">
        <f>IFERROR(__xludf.DUMMYFUNCTION("""COMPUTED_VALUE"""),"Chapter 143: 98 Finite Resolutions
Trigram Knowledge and Manipulation (Journey to the West) 600:
Alchemy and matter manipulation with the understanding of the 8 trigrams to represent the fundamental forces of reality and how to represent and enforce chang"&amp;"e using these. Let me break this one down for you. It’s like FMA alchemy but with less focus on direct creation and more turning one thing into another of a similar size, including living things. However it cannot create life where there once was none and"&amp;" it requires you to write out a short formula describing the change to make it happen. Feel free to turn sand into water, sheep into boulders and anything else you can think of.
System")</f>
        <v>Chapter 143: 98 Finite Resolutions
Trigram Knowledge and Manipulation (Journey to the West) 600:
Alchemy and matter manipulation with the understanding of the 8 trigrams to represent the fundamental forces of reality and how to represent and enforce change using these. Let me break this one down for you. It’s like FMA alchemy but with less focus on direct creation and more turning one thing into another of a similar size, including living things. However it cannot create life where there once was none and it requires you to write out a short formula describing the change to make it happen. Feel free to turn sand into water, sheep into boulders and anything else you can think of.
System</v>
      </c>
      <c r="B141" s="17">
        <f>IFERROR(__xludf.DUMMYFUNCTION("if(len(A141)&gt;0, value(REGEXEXTRACT(A141, ""Chapter ([0-9]*):"")), """")"),143.0)</f>
        <v>143</v>
      </c>
      <c r="C141" s="31" t="str">
        <f>IFERROR(__xludf.DUMMYFUNCTION("if(len(A141) &gt;0, REGEXEXTRACT(A141, ""Chapter [0-9]*: (.*)""), """")"),"98 Finite Resolutions")</f>
        <v>98 Finite Resolutions</v>
      </c>
      <c r="D141" s="31" t="str">
        <f>IFERROR(__xludf.DUMMYFUNCTION("if(len(A141)&gt;0, REGEXEXTRACT(A141, ""\n[^\(]*""), """")"),"
Trigram Knowledge and Manipulation ")</f>
        <v>
Trigram Knowledge and Manipulation </v>
      </c>
      <c r="E141" s="17" t="str">
        <f>IFERROR(__xludf.DUMMYFUNCTION("if(len(A141)&gt;0, REGEXEXTRACT(A141, ""\n([^\n]*)$""), """")"),"System")</f>
        <v>System</v>
      </c>
      <c r="F141" s="17" t="str">
        <f>IFERROR(__xludf.DUMMYFUNCTION("if(len(A141)&gt;0, REGEXEXTRACT(A141, ""\(([^\)]*)\)""), """")"),"Journey to the West")</f>
        <v>Journey to the West</v>
      </c>
      <c r="G141" s="17" t="str">
        <f>IFERROR(__xludf.DUMMYFUNCTION("if(len(A141)&gt;0, REGEXEXTRACT(A141, ""\)([^:]*):""), """")")," 600")</f>
        <v> 600</v>
      </c>
      <c r="H141" s="31" t="str">
        <f>IFERROR(__xludf.DUMMYFUNCTION("if(len(A141) &gt; 0, JOIN(char(10), FILTER(SPLIT(A141, char(10)), split(""false false "" &amp; rept(""true "", columns(SPLIT(A141, char(10)))-3) &amp; ""false"", "" ""))), """")"),"Alchemy and matter manipulation with the understanding of the 8 trigrams to represent the fundamental forces of reality and how to represent and enforce change using these. Let me break this one down for you. It’s like FMA alchemy but with less focus on d"&amp;"irect creation and more turning one thing into another of a similar size, including living things. However it cannot create life where there once was none and it requires you to write out a short formula describing the change to make it happen. Feel free "&amp;"to turn sand into water, sheep into boulders and anything else you can think of.")</f>
        <v>Alchemy and matter manipulation with the understanding of the 8 trigrams to represent the fundamental forces of reality and how to represent and enforce change using these. Let me break this one down for you. It’s like FMA alchemy but with less focus on direct creation and more turning one thing into another of a similar size, including living things. However it cannot create life where there once was none and it requires you to write out a short formula describing the change to make it happen. Feel free to turn sand into water, sheep into boulders and anything else you can think of.</v>
      </c>
    </row>
    <row r="142">
      <c r="A142" s="31" t="str">
        <f>IFERROR(__xludf.DUMMYFUNCTION("""COMPUTED_VALUE"""),"Chapter 145: 99 Main Event - Preamble Hemorrhagia
Temporal Controls (Personal Reality) 200:
This Personal Reality Option gives you control over how fast time flows in your Personal Reality while you’re not there. The default is 1:1, but with this you can "&amp;"dial it anywhere from 1:10 to 10:1. Remember, this doesn’t work when you’re in the warehouse.
Facility")</f>
        <v>Chapter 145: 99 Main Event - Preamble Hemorrhagia
Temporal Controls (Personal Reality) 200:
This Personal Reality Option gives you control over how fast time flows in your Personal Reality while you’re not there. The default is 1:1, but with this you can dial it anywhere from 1:10 to 10:1. Remember, this doesn’t work when you’re in the warehouse.
Facility</v>
      </c>
      <c r="B142" s="17">
        <f>IFERROR(__xludf.DUMMYFUNCTION("if(len(A142)&gt;0, value(REGEXEXTRACT(A142, ""Chapter ([0-9]*):"")), """")"),145.0)</f>
        <v>145</v>
      </c>
      <c r="C142" s="31" t="str">
        <f>IFERROR(__xludf.DUMMYFUNCTION("if(len(A142) &gt;0, REGEXEXTRACT(A142, ""Chapter [0-9]*: (.*)""), """")"),"99 Main Event - Preamble Hemorrhagia")</f>
        <v>99 Main Event - Preamble Hemorrhagia</v>
      </c>
      <c r="D142" s="31" t="str">
        <f>IFERROR(__xludf.DUMMYFUNCTION("if(len(A142)&gt;0, REGEXEXTRACT(A142, ""\n[^\(]*""), """")"),"
Temporal Controls ")</f>
        <v>
Temporal Controls </v>
      </c>
      <c r="E142" s="17" t="str">
        <f>IFERROR(__xludf.DUMMYFUNCTION("if(len(A142)&gt;0, REGEXEXTRACT(A142, ""\n([^\n]*)$""), """")"),"Facility")</f>
        <v>Facility</v>
      </c>
      <c r="F142" s="17" t="str">
        <f>IFERROR(__xludf.DUMMYFUNCTION("if(len(A142)&gt;0, REGEXEXTRACT(A142, ""\(([^\)]*)\)""), """")"),"Personal Reality")</f>
        <v>Personal Reality</v>
      </c>
      <c r="G142" s="17" t="str">
        <f>IFERROR(__xludf.DUMMYFUNCTION("if(len(A142)&gt;0, REGEXEXTRACT(A142, ""\)([^:]*):""), """")")," 200")</f>
        <v> 200</v>
      </c>
      <c r="H142" s="31" t="str">
        <f>IFERROR(__xludf.DUMMYFUNCTION("if(len(A142) &gt; 0, JOIN(char(10), FILTER(SPLIT(A142, char(10)), split(""false false "" &amp; rept(""true "", columns(SPLIT(A142, char(10)))-3) &amp; ""false"", "" ""))), """")"),"This Personal Reality Option gives you control over how fast time flows in your Personal Reality while you’re not there. The default is 1:1, but with this you can dial it anywhere from 1:10 to 10:1. Remember, this doesn’t work when you’re in the warehouse"&amp;".")</f>
        <v>This Personal Reality Option gives you control over how fast time flows in your Personal Reality while you’re not there. The default is 1:1, but with this you can dial it anywhere from 1:10 to 10:1. Remember, this doesn’t work when you’re in the warehouse.</v>
      </c>
    </row>
    <row r="143">
      <c r="A143" s="31" t="str">
        <f>IFERROR(__xludf.DUMMYFUNCTION("""COMPUTED_VALUE"""),"Chapter 146: 99.1 Interlude Tetra
Curious Goggles (Bloodborne) Free:
A curious pair of goggles with a leather strap, thick lenses and strange frames made of thin tubing and metal, all coming in your choice of colors. These goggles, strange as they may loo"&amp;"k, are an incredible invention allows for those who wear them to see that which evades the notice of others. To put it in simpler terms, it allows you to see things that would normally require ""Insight"", though does nothing to help perceive these things"&amp;" in other ways such as hearing or smell. Can be freely worn by anyone, allowing allies to see things they may wish they hadn't as well.
(""Insight"" - You have seen things, heard things, learned things, all very strange things. . .and its had a noticeabl"&amp;"e effect. You have lined your brain with eyes and gained the ability to perceive things others can't. Dolls will begin to talk, you can see what some would call divine beings, you can hear singing and crying you wouldn't have heard before. Even in other w"&amp;"orlds your senses may perceive that which the senses of the mundane may not. Beware, these things you can see and hear now can sometimes be a bit. . .much. Remember as well that your insight and uplifted senses allow you to learn of and perceive strange a"&amp;"nd unsettling things, things others would have a hard time believing in. Just be careful who you talk with this about, they may think you more insane than insightful. They're probably wrong though, probably. Lastly, good or bad, a side-effect of your new "&amp;"insight has cleansed your beastly idiocy and heavily weakened the beast inside.)
Item")</f>
        <v>Chapter 146: 99.1 Interlude Tetra
Curious Goggles (Bloodborne) Free:
A curious pair of goggles with a leather strap, thick lenses and strange frames made of thin tubing and metal, all coming in your choice of colors. These goggles, strange as they may look, are an incredible invention allows for those who wear them to see that which evades the notice of others. To put it in simpler terms, it allows you to see things that would normally require "Insight", though does nothing to help perceive these things in other ways such as hearing or smell. Can be freely worn by anyone, allowing allies to see things they may wish they hadn't as well.
("Insight" - You have seen things, heard things, learned things, all very strange things. . .and its had a noticeable effect. You have lined your brain with eyes and gained the ability to perceive things others can't. Dolls will begin to talk, you can see what some would call divine beings, you can hear singing and crying you wouldn't have heard before. Even in other worlds your senses may perceive that which the senses of the mundane may not. Beware, these things you can see and hear now can sometimes be a bit. . .much. Remember as well that your insight and uplifted senses allow you to learn of and perceive strange and unsettling things, things others would have a hard time believing in. Just be careful who you talk with this about, they may think you more insane than insightful. They're probably wrong though, probably. Lastly, good or bad, a side-effect of your new insight has cleansed your beastly idiocy and heavily weakened the beast inside.)
Item</v>
      </c>
      <c r="B143" s="17">
        <f>IFERROR(__xludf.DUMMYFUNCTION("if(len(A143)&gt;0, value(REGEXEXTRACT(A143, ""Chapter ([0-9]*):"")), """")"),146.0)</f>
        <v>146</v>
      </c>
      <c r="C143" s="31" t="str">
        <f>IFERROR(__xludf.DUMMYFUNCTION("if(len(A143) &gt;0, REGEXEXTRACT(A143, ""Chapter [0-9]*: (.*)""), """")"),"99.1 Interlude Tetra")</f>
        <v>99.1 Interlude Tetra</v>
      </c>
      <c r="D143" s="31" t="str">
        <f>IFERROR(__xludf.DUMMYFUNCTION("if(len(A143)&gt;0, REGEXEXTRACT(A143, ""\n[^\(]*""), """")"),"
Curious Goggles ")</f>
        <v>
Curious Goggles </v>
      </c>
      <c r="E143" s="17" t="str">
        <f>IFERROR(__xludf.DUMMYFUNCTION("if(len(A143)&gt;0, REGEXEXTRACT(A143, ""\n([^\n]*)$""), """")"),"Item")</f>
        <v>Item</v>
      </c>
      <c r="F143" s="17" t="str">
        <f>IFERROR(__xludf.DUMMYFUNCTION("if(len(A143)&gt;0, REGEXEXTRACT(A143, ""\(([^\)]*)\)""), """")"),"Bloodborne")</f>
        <v>Bloodborne</v>
      </c>
      <c r="G143" s="17" t="str">
        <f>IFERROR(__xludf.DUMMYFUNCTION("if(len(A143)&gt;0, REGEXEXTRACT(A143, ""\)([^:]*):""), """")")," Free")</f>
        <v> Free</v>
      </c>
      <c r="H143" s="31" t="str">
        <f>IFERROR(__xludf.DUMMYFUNCTION("if(len(A143) &gt; 0, JOIN(char(10), FILTER(SPLIT(A143, char(10)), split(""false false "" &amp; rept(""true "", columns(SPLIT(A143, char(10)))-3) &amp; ""false"", "" ""))), """")"),"A curious pair of goggles with a leather strap, thick lenses and strange frames made of thin tubing and metal, all coming in your choice of colors. These goggles, strange as they may look, are an incredible invention allows for those who wear them to see "&amp;"that which evades the notice of others. To put it in simpler terms, it allows you to see things that would normally require ""Insight"", though does nothing to help perceive these things in other ways such as hearing or smell. Can be freely worn by anyone"&amp;", allowing allies to see things they may wish they hadn't as well.
(""Insight"" - You have seen things, heard things, learned things, all very strange things. . .and its had a noticeable effect. You have lined your brain with eyes and gained the ability "&amp;"to perceive things others can't. Dolls will begin to talk, you can see what some would call divine beings, you can hear singing and crying you wouldn't have heard before. Even in other worlds your senses may perceive that which the senses of the mundane m"&amp;"ay not. Beware, these things you can see and hear now can sometimes be a bit. . .much. Remember as well that your insight and uplifted senses allow you to learn of and perceive strange and unsettling things, things others would have a hard time believing "&amp;"in. Just be careful who you talk with this about, they may think you more insane than insightful. They're probably wrong though, probably. Lastly, good or bad, a side-effect of your new insight has cleansed your beastly idiocy and heavily weakened the bea"&amp;"st inside.)")</f>
        <v>A curious pair of goggles with a leather strap, thick lenses and strange frames made of thin tubing and metal, all coming in your choice of colors. These goggles, strange as they may look, are an incredible invention allows for those who wear them to see that which evades the notice of others. To put it in simpler terms, it allows you to see things that would normally require "Insight", though does nothing to help perceive these things in other ways such as hearing or smell. Can be freely worn by anyone, allowing allies to see things they may wish they hadn't as well.
("Insight" - You have seen things, heard things, learned things, all very strange things. . .and its had a noticeable effect. You have lined your brain with eyes and gained the ability to perceive things others can't. Dolls will begin to talk, you can see what some would call divine beings, you can hear singing and crying you wouldn't have heard before. Even in other worlds your senses may perceive that which the senses of the mundane may not. Beware, these things you can see and hear now can sometimes be a bit. . .much. Remember as well that your insight and uplifted senses allow you to learn of and perceive strange and unsettling things, things others would have a hard time believing in. Just be careful who you talk with this about, they may think you more insane than insightful. They're probably wrong though, probably. Lastly, good or bad, a side-effect of your new insight has cleansed your beastly idiocy and heavily weakened the beast inside.)</v>
      </c>
    </row>
    <row r="144">
      <c r="A144" s="31" t="str">
        <f>IFERROR(__xludf.DUMMYFUNCTION("""COMPUTED_VALUE"""),"Chapter 146: 99.1 Interlude Tetra
Workshop Equipment (Bloodborne) 300:
This is actually a package deal containing a variety of workshop tools. The first tool set has some basic tools for repairing equipment and some more specialized tools for upgrading we"&amp;"aponry with varying Blood Stones.
The second set of tools allows for the slotting and removal of Blood Gems, items that as previously mentioned can greatly empower weaponry. The last set of tools allows you to etch Caryll Runes into the mind to attain th"&amp;"eir wondrous strength, or remove them just as easily.
Runesmith Caryll, student of Byrgenwerth, transcribed the inhuman utterings of the Great Ones into what are now called Caryll Runes. Etching these runes into your mind can provide a number of benefits"&amp;". Benefits can range from resisting certain types of damage, increasing resistance to various poisons or increasing stamina and vitality, among other effects. You may etch up to three runes into your mind at a time. These runes can be found scattered arou"&amp;"nd this world.
Facility")</f>
        <v>Chapter 146: 99.1 Interlude Tetra
Workshop Equipment (Bloodborne) 300:
This is actually a package deal containing a variety of workshop tools. The first tool set has some basic tools for repairing equipment and some more specialized tools for upgrading weaponry with varying Blood Stones.
The second set of tools allows for the slotting and removal of Blood Gems, items that as previously mentioned can greatly empower weaponry. The last set of tools allows you to etch Caryll Runes into the mind to attain their wondrous strength, or remove them just as easily.
Runesmith Caryll, student of Byrgenwerth, transcribed the inhuman utterings of the Great Ones into what are now called Caryll Runes. Etching these runes into your mind can provide a number of benefits. Benefits can range from resisting certain types of damage, increasing resistance to various poisons or increasing stamina and vitality, among other effects. You may etch up to three runes into your mind at a time. These runes can be found scattered around this world.
Facility</v>
      </c>
      <c r="B144" s="17">
        <f>IFERROR(__xludf.DUMMYFUNCTION("if(len(A144)&gt;0, value(REGEXEXTRACT(A144, ""Chapter ([0-9]*):"")), """")"),146.0)</f>
        <v>146</v>
      </c>
      <c r="C144" s="31" t="str">
        <f>IFERROR(__xludf.DUMMYFUNCTION("if(len(A144) &gt;0, REGEXEXTRACT(A144, ""Chapter [0-9]*: (.*)""), """")"),"99.1 Interlude Tetra")</f>
        <v>99.1 Interlude Tetra</v>
      </c>
      <c r="D144" s="31" t="str">
        <f>IFERROR(__xludf.DUMMYFUNCTION("if(len(A144)&gt;0, REGEXEXTRACT(A144, ""\n[^\(]*""), """")"),"
Workshop Equipment ")</f>
        <v>
Workshop Equipment </v>
      </c>
      <c r="E144" s="17" t="str">
        <f>IFERROR(__xludf.DUMMYFUNCTION("if(len(A144)&gt;0, REGEXEXTRACT(A144, ""\n([^\n]*)$""), """")"),"Facility")</f>
        <v>Facility</v>
      </c>
      <c r="F144" s="17" t="str">
        <f>IFERROR(__xludf.DUMMYFUNCTION("if(len(A144)&gt;0, REGEXEXTRACT(A144, ""\(([^\)]*)\)""), """")"),"Bloodborne")</f>
        <v>Bloodborne</v>
      </c>
      <c r="G144" s="17" t="str">
        <f>IFERROR(__xludf.DUMMYFUNCTION("if(len(A144)&gt;0, REGEXEXTRACT(A144, ""\)([^:]*):""), """")")," 300")</f>
        <v> 300</v>
      </c>
      <c r="H144" s="31" t="str">
        <f>IFERROR(__xludf.DUMMYFUNCTION("if(len(A144) &gt; 0, JOIN(char(10), FILTER(SPLIT(A144, char(10)), split(""false false "" &amp; rept(""true "", columns(SPLIT(A144, char(10)))-3) &amp; ""false"", "" ""))), """")"),"This is actually a package deal containing a variety of workshop tools. The first tool set has some basic tools for repairing equipment and some more specialized tools for upgrading weaponry with varying Blood Stones.
The second set of tools allows for t"&amp;"he slotting and removal of Blood Gems, items that as previously mentioned can greatly empower weaponry. The last set of tools allows you to etch Caryll Runes into the mind to attain their wondrous strength, or remove them just as easily.
Runesmith Caryll"&amp;", student of Byrgenwerth, transcribed the inhuman utterings of the Great Ones into what are now called Caryll Runes. Etching these runes into your mind can provide a number of benefits. Benefits can range from resisting certain types of damage, increasing"&amp;" resistance to various poisons or increasing stamina and vitality, among other effects. You may etch up to three runes into your mind at a time. These runes can be found scattered around this world.")</f>
        <v>This is actually a package deal containing a variety of workshop tools. The first tool set has some basic tools for repairing equipment and some more specialized tools for upgrading weaponry with varying Blood Stones.
The second set of tools allows for the slotting and removal of Blood Gems, items that as previously mentioned can greatly empower weaponry. The last set of tools allows you to etch Caryll Runes into the mind to attain their wondrous strength, or remove them just as easily.
Runesmith Caryll, student of Byrgenwerth, transcribed the inhuman utterings of the Great Ones into what are now called Caryll Runes. Etching these runes into your mind can provide a number of benefits. Benefits can range from resisting certain types of damage, increasing resistance to various poisons or increasing stamina and vitality, among other effects. You may etch up to three runes into your mind at a time. These runes can be found scattered around this world.</v>
      </c>
    </row>
    <row r="145">
      <c r="A145" s="31" t="str">
        <f>IFERROR(__xludf.DUMMYFUNCTION("""COMPUTED_VALUE"""),"Chapter 149: 100 Revelations
Skills: Communications (Star Trek - TNG+DS9) 100:
You're fully versed in reading and operating digital transmissions and sensors. You also have training in linguistics in and diplomacy.
Skill")</f>
        <v>Chapter 149: 100 Revelations
Skills: Communications (Star Trek - TNG+DS9) 100:
You're fully versed in reading and operating digital transmissions and sensors. You also have training in linguistics in and diplomacy.
Skill</v>
      </c>
      <c r="B145" s="17">
        <f>IFERROR(__xludf.DUMMYFUNCTION("if(len(A145)&gt;0, value(REGEXEXTRACT(A145, ""Chapter ([0-9]*):"")), """")"),149.0)</f>
        <v>149</v>
      </c>
      <c r="C145" s="31" t="str">
        <f>IFERROR(__xludf.DUMMYFUNCTION("if(len(A145) &gt;0, REGEXEXTRACT(A145, ""Chapter [0-9]*: (.*)""), """")"),"100 Revelations")</f>
        <v>100 Revelations</v>
      </c>
      <c r="D145" s="31" t="str">
        <f>IFERROR(__xludf.DUMMYFUNCTION("if(len(A145)&gt;0, REGEXEXTRACT(A145, ""\n[^\(]*""), """")"),"
Skills: Communications ")</f>
        <v>
Skills: Communications </v>
      </c>
      <c r="E145" s="17" t="str">
        <f>IFERROR(__xludf.DUMMYFUNCTION("if(len(A145)&gt;0, REGEXEXTRACT(A145, ""\n([^\n]*)$""), """")"),"Skill")</f>
        <v>Skill</v>
      </c>
      <c r="F145" s="17" t="str">
        <f>IFERROR(__xludf.DUMMYFUNCTION("if(len(A145)&gt;0, REGEXEXTRACT(A145, ""\(([^\)]*)\)""), """")"),"Star Trek - TNG+DS9")</f>
        <v>Star Trek - TNG+DS9</v>
      </c>
      <c r="G145" s="17" t="str">
        <f>IFERROR(__xludf.DUMMYFUNCTION("if(len(A145)&gt;0, REGEXEXTRACT(A145, ""\)([^:]*):""), """")")," 100")</f>
        <v> 100</v>
      </c>
      <c r="H145" s="31" t="str">
        <f>IFERROR(__xludf.DUMMYFUNCTION("if(len(A145) &gt; 0, JOIN(char(10), FILTER(SPLIT(A145, char(10)), split(""false false "" &amp; rept(""true "", columns(SPLIT(A145, char(10)))-3) &amp; ""false"", "" ""))), """")"),"You're fully versed in reading and operating digital transmissions and sensors. You also have training in linguistics in and diplomacy.")</f>
        <v>You're fully versed in reading and operating digital transmissions and sensors. You also have training in linguistics in and diplomacy.</v>
      </c>
    </row>
    <row r="146">
      <c r="A146" s="31" t="str">
        <f>IFERROR(__xludf.DUMMYFUNCTION("""COMPUTED_VALUE"""),"Chapter 149: 100 Revelations
Skills: Espionage (Star Trek - TNG+DS9) 100:
Manipulation, subterfuge and information gathering skills that are essential for every good spy.
Skill")</f>
        <v>Chapter 149: 100 Revelations
Skills: Espionage (Star Trek - TNG+DS9) 100:
Manipulation, subterfuge and information gathering skills that are essential for every good spy.
Skill</v>
      </c>
      <c r="B146" s="17">
        <f>IFERROR(__xludf.DUMMYFUNCTION("if(len(A146)&gt;0, value(REGEXEXTRACT(A146, ""Chapter ([0-9]*):"")), """")"),149.0)</f>
        <v>149</v>
      </c>
      <c r="C146" s="31" t="str">
        <f>IFERROR(__xludf.DUMMYFUNCTION("if(len(A146) &gt;0, REGEXEXTRACT(A146, ""Chapter [0-9]*: (.*)""), """")"),"100 Revelations")</f>
        <v>100 Revelations</v>
      </c>
      <c r="D146" s="31" t="str">
        <f>IFERROR(__xludf.DUMMYFUNCTION("if(len(A146)&gt;0, REGEXEXTRACT(A146, ""\n[^\(]*""), """")"),"
Skills: Espionage ")</f>
        <v>
Skills: Espionage </v>
      </c>
      <c r="E146" s="17" t="str">
        <f>IFERROR(__xludf.DUMMYFUNCTION("if(len(A146)&gt;0, REGEXEXTRACT(A146, ""\n([^\n]*)$""), """")"),"Skill")</f>
        <v>Skill</v>
      </c>
      <c r="F146" s="17" t="str">
        <f>IFERROR(__xludf.DUMMYFUNCTION("if(len(A146)&gt;0, REGEXEXTRACT(A146, ""\(([^\)]*)\)""), """")"),"Star Trek - TNG+DS9")</f>
        <v>Star Trek - TNG+DS9</v>
      </c>
      <c r="G146" s="17" t="str">
        <f>IFERROR(__xludf.DUMMYFUNCTION("if(len(A146)&gt;0, REGEXEXTRACT(A146, ""\)([^:]*):""), """")")," 100")</f>
        <v> 100</v>
      </c>
      <c r="H146" s="31" t="str">
        <f>IFERROR(__xludf.DUMMYFUNCTION("if(len(A146) &gt; 0, JOIN(char(10), FILTER(SPLIT(A146, char(10)), split(""false false "" &amp; rept(""true "", columns(SPLIT(A146, char(10)))-3) &amp; ""false"", "" ""))), """")"),"Manipulation, subterfuge and information gathering skills that are essential for every good spy.")</f>
        <v>Manipulation, subterfuge and information gathering skills that are essential for every good spy.</v>
      </c>
    </row>
    <row r="147">
      <c r="A147" s="31" t="str">
        <f>IFERROR(__xludf.DUMMYFUNCTION("""COMPUTED_VALUE"""),"Chapter 149: 100 Revelations
Skills: Piloting (Star Trek - TNG+DS9) 100:
How to operate starships and other space worthy vessels like shuttles and Runabouts.
Skill")</f>
        <v>Chapter 149: 100 Revelations
Skills: Piloting (Star Trek - TNG+DS9) 100:
How to operate starships and other space worthy vessels like shuttles and Runabouts.
Skill</v>
      </c>
      <c r="B147" s="17">
        <f>IFERROR(__xludf.DUMMYFUNCTION("if(len(A147)&gt;0, value(REGEXEXTRACT(A147, ""Chapter ([0-9]*):"")), """")"),149.0)</f>
        <v>149</v>
      </c>
      <c r="C147" s="31" t="str">
        <f>IFERROR(__xludf.DUMMYFUNCTION("if(len(A147) &gt;0, REGEXEXTRACT(A147, ""Chapter [0-9]*: (.*)""), """")"),"100 Revelations")</f>
        <v>100 Revelations</v>
      </c>
      <c r="D147" s="31" t="str">
        <f>IFERROR(__xludf.DUMMYFUNCTION("if(len(A147)&gt;0, REGEXEXTRACT(A147, ""\n[^\(]*""), """")"),"
Skills: Piloting ")</f>
        <v>
Skills: Piloting </v>
      </c>
      <c r="E147" s="17" t="str">
        <f>IFERROR(__xludf.DUMMYFUNCTION("if(len(A147)&gt;0, REGEXEXTRACT(A147, ""\n([^\n]*)$""), """")"),"Skill")</f>
        <v>Skill</v>
      </c>
      <c r="F147" s="17" t="str">
        <f>IFERROR(__xludf.DUMMYFUNCTION("if(len(A147)&gt;0, REGEXEXTRACT(A147, ""\(([^\)]*)\)""), """")"),"Star Trek - TNG+DS9")</f>
        <v>Star Trek - TNG+DS9</v>
      </c>
      <c r="G147" s="17" t="str">
        <f>IFERROR(__xludf.DUMMYFUNCTION("if(len(A147)&gt;0, REGEXEXTRACT(A147, ""\)([^:]*):""), """")")," 100")</f>
        <v> 100</v>
      </c>
      <c r="H147" s="31" t="str">
        <f>IFERROR(__xludf.DUMMYFUNCTION("if(len(A147) &gt; 0, JOIN(char(10), FILTER(SPLIT(A147, char(10)), split(""false false "" &amp; rept(""true "", columns(SPLIT(A147, char(10)))-3) &amp; ""false"", "" ""))), """")"),"How to operate starships and other space worthy vessels like shuttles and Runabouts.")</f>
        <v>How to operate starships and other space worthy vessels like shuttles and Runabouts.</v>
      </c>
    </row>
    <row r="148">
      <c r="A148" s="31" t="str">
        <f>IFERROR(__xludf.DUMMYFUNCTION("""COMPUTED_VALUE"""),"Chapter 149: 100 Revelations
Skills: Weapons (Star Trek - TNG+DS9) 100:
Knowledge in the operation and repair of personal and mounted weaponry
Skill")</f>
        <v>Chapter 149: 100 Revelations
Skills: Weapons (Star Trek - TNG+DS9) 100:
Knowledge in the operation and repair of personal and mounted weaponry
Skill</v>
      </c>
      <c r="B148" s="17">
        <f>IFERROR(__xludf.DUMMYFUNCTION("if(len(A148)&gt;0, value(REGEXEXTRACT(A148, ""Chapter ([0-9]*):"")), """")"),149.0)</f>
        <v>149</v>
      </c>
      <c r="C148" s="31" t="str">
        <f>IFERROR(__xludf.DUMMYFUNCTION("if(len(A148) &gt;0, REGEXEXTRACT(A148, ""Chapter [0-9]*: (.*)""), """")"),"100 Revelations")</f>
        <v>100 Revelations</v>
      </c>
      <c r="D148" s="31" t="str">
        <f>IFERROR(__xludf.DUMMYFUNCTION("if(len(A148)&gt;0, REGEXEXTRACT(A148, ""\n[^\(]*""), """")"),"
Skills: Weapons ")</f>
        <v>
Skills: Weapons </v>
      </c>
      <c r="E148" s="17" t="str">
        <f>IFERROR(__xludf.DUMMYFUNCTION("if(len(A148)&gt;0, REGEXEXTRACT(A148, ""\n([^\n]*)$""), """")"),"Skill")</f>
        <v>Skill</v>
      </c>
      <c r="F148" s="17" t="str">
        <f>IFERROR(__xludf.DUMMYFUNCTION("if(len(A148)&gt;0, REGEXEXTRACT(A148, ""\(([^\)]*)\)""), """")"),"Star Trek - TNG+DS9")</f>
        <v>Star Trek - TNG+DS9</v>
      </c>
      <c r="G148" s="17" t="str">
        <f>IFERROR(__xludf.DUMMYFUNCTION("if(len(A148)&gt;0, REGEXEXTRACT(A148, ""\)([^:]*):""), """")")," 100")</f>
        <v> 100</v>
      </c>
      <c r="H148" s="31" t="str">
        <f>IFERROR(__xludf.DUMMYFUNCTION("if(len(A148) &gt; 0, JOIN(char(10), FILTER(SPLIT(A148, char(10)), split(""false false "" &amp; rept(""true "", columns(SPLIT(A148, char(10)))-3) &amp; ""false"", "" ""))), """")"),"Knowledge in the operation and repair of personal and mounted weaponry")</f>
        <v>Knowledge in the operation and repair of personal and mounted weaponry</v>
      </c>
    </row>
    <row r="149">
      <c r="A149" s="31" t="str">
        <f>IFERROR(__xludf.DUMMYFUNCTION("""COMPUTED_VALUE"""),"Chapter 15: 12 Conference
Nanite Removal and Control (Generator Rex) 400:
Many in this world would consider this is your most important ability, you can control nanites and absorb them into yourself, reverting dangerous mutations and can help people regai"&amp;"n control of themselves. At first however this power will only work on willing targets, and will not work on incurable, especially virulent nanite infested EVOs. However with training and time, your powers can grow to circumvent these rules. Your greatest"&amp;" limitation is the fact that as you absorb nanites your reservoirs fill to the breaking point, causing dangerous flare ups and renders your abilities unstable. You can purge these nanities, but figuring out how to do so in a safe way with a large amount o"&amp;"f unstable nanites may take some effort.
After this Jump your nanites can be used to heal people, whether of wounds, diseases, or possibly even mutations or others turned into a monster. Success will vary depending on factors, a mystical curse is probably"&amp;" beyond your nanites, a really out of this world super virus might be cured, but that's iffy.
If you happen to run into other nanites in other jumps, you could control and manipulate them as well.
Ability")</f>
        <v>Chapter 15: 12 Conference
Nanite Removal and Control (Generator Rex) 400:
Many in this world would consider this is your most important ability, you can control nanites and absorb them into yourself, reverting dangerous mutations and can help people regain control of themselves. At first however this power will only work on willing targets, and will not work on incurable, especially virulent nanite infested EVOs. However with training and time, your powers can grow to circumvent these rules. Your greatest limitation is the fact that as you absorb nanites your reservoirs fill to the breaking point, causing dangerous flare ups and renders your abilities unstable. You can purge these nanities, but figuring out how to do so in a safe way with a large amount of unstable nanites may take some effort.
After this Jump your nanites can be used to heal people, whether of wounds, diseases, or possibly even mutations or others turned into a monster. Success will vary depending on factors, a mystical curse is probably beyond your nanites, a really out of this world super virus might be cured, but that's iffy.
If you happen to run into other nanites in other jumps, you could control and manipulate them as well.
Ability</v>
      </c>
      <c r="B149" s="17">
        <f>IFERROR(__xludf.DUMMYFUNCTION("if(len(A149)&gt;0, value(REGEXEXTRACT(A149, ""Chapter ([0-9]*):"")), """")"),15.0)</f>
        <v>15</v>
      </c>
      <c r="C149" s="31" t="str">
        <f>IFERROR(__xludf.DUMMYFUNCTION("if(len(A149) &gt;0, REGEXEXTRACT(A149, ""Chapter [0-9]*: (.*)""), """")"),"12 Conference")</f>
        <v>12 Conference</v>
      </c>
      <c r="D149" s="31" t="str">
        <f>IFERROR(__xludf.DUMMYFUNCTION("if(len(A149)&gt;0, REGEXEXTRACT(A149, ""\n[^\(]*""), """")"),"
Nanite Removal and Control ")</f>
        <v>
Nanite Removal and Control </v>
      </c>
      <c r="E149" s="17" t="str">
        <f>IFERROR(__xludf.DUMMYFUNCTION("if(len(A149)&gt;0, REGEXEXTRACT(A149, ""\n([^\n]*)$""), """")"),"Ability")</f>
        <v>Ability</v>
      </c>
      <c r="F149" s="17" t="str">
        <f>IFERROR(__xludf.DUMMYFUNCTION("if(len(A149)&gt;0, REGEXEXTRACT(A149, ""\(([^\)]*)\)""), """")"),"Generator Rex")</f>
        <v>Generator Rex</v>
      </c>
      <c r="G149" s="17" t="str">
        <f>IFERROR(__xludf.DUMMYFUNCTION("if(len(A149)&gt;0, REGEXEXTRACT(A149, ""\)([^:]*):""), """")")," 400")</f>
        <v> 400</v>
      </c>
      <c r="H149" s="31" t="str">
        <f>IFERROR(__xludf.DUMMYFUNCTION("if(len(A149) &gt; 0, JOIN(char(10), FILTER(SPLIT(A149, char(10)), split(""false false "" &amp; rept(""true "", columns(SPLIT(A149, char(10)))-3) &amp; ""false"", "" ""))), """")"),"Many in this world would consider this is your most important ability, you can control nanites and absorb them into yourself, reverting dangerous mutations and can help people regain control of themselves. At first however this power will only work on wil"&amp;"ling targets, and will not work on incurable, especially virulent nanite infested EVOs. However with training and time, your powers can grow to circumvent these rules. Your greatest limitation is the fact that as you absorb nanites your reservoirs fill to"&amp;" the breaking point, causing dangerous flare ups and renders your abilities unstable. You can purge these nanities, but figuring out how to do so in a safe way with a large amount of unstable nanites may take some effort.
After this Jump your nanites can "&amp;"be used to heal people, whether of wounds, diseases, or possibly even mutations or others turned into a monster. Success will vary depending on factors, a mystical curse is probably beyond your nanites, a really out of this world super virus might be cure"&amp;"d, but that's iffy.
If you happen to run into other nanites in other jumps, you could control and manipulate them as well.")</f>
        <v>Many in this world would consider this is your most important ability, you can control nanites and absorb them into yourself, reverting dangerous mutations and can help people regain control of themselves. At first however this power will only work on willing targets, and will not work on incurable, especially virulent nanite infested EVOs. However with training and time, your powers can grow to circumvent these rules. Your greatest limitation is the fact that as you absorb nanites your reservoirs fill to the breaking point, causing dangerous flare ups and renders your abilities unstable. You can purge these nanities, but figuring out how to do so in a safe way with a large amount of unstable nanites may take some effort.
After this Jump your nanites can be used to heal people, whether of wounds, diseases, or possibly even mutations or others turned into a monster. Success will vary depending on factors, a mystical curse is probably beyond your nanites, a really out of this world super virus might be cured, but that's iffy.
If you happen to run into other nanites in other jumps, you could control and manipulate them as well.</v>
      </c>
    </row>
    <row r="150">
      <c r="A150" s="31" t="str">
        <f>IFERROR(__xludf.DUMMYFUNCTION("""COMPUTED_VALUE"""),"Chapter 151: 101 Catharsis
VOWP Cellular Service (Personal Reality) 200:
This Extranet upgrade hooks your Personal Reality up with Voice Over Warehouse Protocol Cellular Service, and provides you with fiat backed cellphones that are guaranteed to connect "&amp;"to the Personal Reality or to any other cell phone on the service… regardless of what Reality those phones are connected to at the current moment. You gain a vending machine that vends Nokia dumb-phones, iPhones up to 8, and Galaxy S7 smartphones, plus an"&amp;"y cell phone (or similar) you supply it with a copy of, as well as SIM cards or the equivalent for other phones. These phones will work just fine no matter where you find yourself, but be careful as they’re just as durable as normal ones and will need to "&amp;"be replaced should they get damaged or destroyed. They must be charged as normal, but get extremely good battery life.
Facility")</f>
        <v>Chapter 151: 101 Catharsis
VOWP Cellular Service (Personal Reality) 200:
This Extranet upgrade hooks your Personal Reality up with Voice Over Warehouse Protocol Cellular Service, and provides you with fiat backed cellphones that are guaranteed to connect to the Personal Reality or to any other cell phone on the service… regardless of what Reality those phones are connected to at the current moment. You gain a vending machine that vends Nokia dumb-phones, iPhones up to 8, and Galaxy S7 smartphones, plus any cell phone (or similar) you supply it with a copy of, as well as SIM cards or the equivalent for other phones. These phones will work just fine no matter where you find yourself, but be careful as they’re just as durable as normal ones and will need to be replaced should they get damaged or destroyed. They must be charged as normal, but get extremely good battery life.
Facility</v>
      </c>
      <c r="B150" s="17">
        <f>IFERROR(__xludf.DUMMYFUNCTION("if(len(A150)&gt;0, value(REGEXEXTRACT(A150, ""Chapter ([0-9]*):"")), """")"),151.0)</f>
        <v>151</v>
      </c>
      <c r="C150" s="31" t="str">
        <f>IFERROR(__xludf.DUMMYFUNCTION("if(len(A150) &gt;0, REGEXEXTRACT(A150, ""Chapter [0-9]*: (.*)""), """")"),"101 Catharsis")</f>
        <v>101 Catharsis</v>
      </c>
      <c r="D150" s="31" t="str">
        <f>IFERROR(__xludf.DUMMYFUNCTION("if(len(A150)&gt;0, REGEXEXTRACT(A150, ""\n[^\(]*""), """")"),"
VOWP Cellular Service ")</f>
        <v>
VOWP Cellular Service </v>
      </c>
      <c r="E150" s="17" t="str">
        <f>IFERROR(__xludf.DUMMYFUNCTION("if(len(A150)&gt;0, REGEXEXTRACT(A150, ""\n([^\n]*)$""), """")"),"Facility")</f>
        <v>Facility</v>
      </c>
      <c r="F150" s="17" t="str">
        <f>IFERROR(__xludf.DUMMYFUNCTION("if(len(A150)&gt;0, REGEXEXTRACT(A150, ""\(([^\)]*)\)""), """")"),"Personal Reality")</f>
        <v>Personal Reality</v>
      </c>
      <c r="G150" s="17" t="str">
        <f>IFERROR(__xludf.DUMMYFUNCTION("if(len(A150)&gt;0, REGEXEXTRACT(A150, ""\)([^:]*):""), """")")," 200")</f>
        <v> 200</v>
      </c>
      <c r="H150" s="31" t="str">
        <f>IFERROR(__xludf.DUMMYFUNCTION("if(len(A150) &gt; 0, JOIN(char(10), FILTER(SPLIT(A150, char(10)), split(""false false "" &amp; rept(""true "", columns(SPLIT(A150, char(10)))-3) &amp; ""false"", "" ""))), """")"),"This Extranet upgrade hooks your Personal Reality up with Voice Over Warehouse Protocol Cellular Service, and provides you with fiat backed cellphones that are guaranteed to connect to the Personal Reality or to any other cell phone on the service… regard"&amp;"less of what Reality those phones are connected to at the current moment. You gain a vending machine that vends Nokia dumb-phones, iPhones up to 8, and Galaxy S7 smartphones, plus any cell phone (or similar) you supply it with a copy of, as well as SIM ca"&amp;"rds or the equivalent for other phones. These phones will work just fine no matter where you find yourself, but be careful as they’re just as durable as normal ones and will need to be replaced should they get damaged or destroyed. They must be charged as"&amp;" normal, but get extremely good battery life.")</f>
        <v>This Extranet upgrade hooks your Personal Reality up with Voice Over Warehouse Protocol Cellular Service, and provides you with fiat backed cellphones that are guaranteed to connect to the Personal Reality or to any other cell phone on the service… regardless of what Reality those phones are connected to at the current moment. You gain a vending machine that vends Nokia dumb-phones, iPhones up to 8, and Galaxy S7 smartphones, plus any cell phone (or similar) you supply it with a copy of, as well as SIM cards or the equivalent for other phones. These phones will work just fine no matter where you find yourself, but be careful as they’re just as durable as normal ones and will need to be replaced should they get damaged or destroyed. They must be charged as normal, but get extremely good battery life.</v>
      </c>
    </row>
    <row r="151">
      <c r="A151" s="31" t="str">
        <f>IFERROR(__xludf.DUMMYFUNCTION("""COMPUTED_VALUE"""),"Chapter 152: 102 Progress
Aspect Cultivation (Lord of Light) Free:
If an Attribute is the grasp of power, then the Aspect is a state of being. To wield reflections, and to become Reflection. To summon Strength and to become it. Greater and more subtle tha"&amp;"n any Attribute. Through genetic predisposition, hypnosis and chemical therapies, your passions come to correspond with those of the Universe.
Raising your Aspect is like removing a mask or standing straight, a mustering of yourself. It takes some energy"&amp;" to maintain, should you wish to be capable of being anything but an avatar, but it is the exertion of being rather than the struggle to become.
This is a power that requires your kindness. What is the nature of the gods who become Fire, undaunted and fe"&amp;"rocious? Who become Death, unknowable, all-ending? Who become Divine Drunkenness, invincible in vitality and charisma? Those who look upon you in raised Aspect know, instantly and surely that you are divine, that you embody a facet of creation.
Any power"&amp;"s raised in harmony with your raised Aspect are magnified and exalted – they are more than just spells or mutation, they are in service of the very order of the universe. An arrow loosed by the Goddess of the Bow might strike a man’s heart from ten miles "&amp;"away, or pin his courage to the wall.
Should the God of Flowers walk in Aspect through a forest, will it blossom and lend him strength? Or does a single rose cut and displayed by his hand speak of days of sun and offer a simple strength to all who behold"&amp;" it?
Demigods, though they have begun along this path are but beginners – they summon weak and feeble Aspects to match their new and uncertain Attributes, and must still undergo a battery of training exercises and therapies to fortify their natures. Mort"&amp;"als who develop this faculty independently are in essence on the same level as Demigods – but lack the aid of Heaven in their development.
Once fully matured, forevermore you will be Water or Marble, the Lute or the Joust.
System")</f>
        <v>Chapter 152: 102 Progress
Aspect Cultivation (Lord of Light) Free:
If an Attribute is the grasp of power, then the Aspect is a state of being. To wield reflections, and to become Reflection. To summon Strength and to become it. Greater and more subtle than any Attribute. Through genetic predisposition, hypnosis and chemical therapies, your passions come to correspond with those of the Universe.
Raising your Aspect is like removing a mask or standing straight, a mustering of yourself. It takes some energy to maintain, should you wish to be capable of being anything but an avatar, but it is the exertion of being rather than the struggle to become.
This is a power that requires your kindness. What is the nature of the gods who become Fire, undaunted and ferocious? Who become Death, unknowable, all-ending? Who become Divine Drunkenness, invincible in vitality and charisma? Those who look upon you in raised Aspect know, instantly and surely that you are divine, that you embody a facet of creation.
Any powers raised in harmony with your raised Aspect are magnified and exalted – they are more than just spells or mutation, they are in service of the very order of the universe. An arrow loosed by the Goddess of the Bow might strike a man’s heart from ten miles away, or pin his courage to the wall.
Should the God of Flowers walk in Aspect through a forest, will it blossom and lend him strength? Or does a single rose cut and displayed by his hand speak of days of sun and offer a simple strength to all who behold it?
Demigods, though they have begun along this path are but beginners – they summon weak and feeble Aspects to match their new and uncertain Attributes, and must still undergo a battery of training exercises and therapies to fortify their natures. Mortals who develop this faculty independently are in essence on the same level as Demigods – but lack the aid of Heaven in their development.
Once fully matured, forevermore you will be Water or Marble, the Lute or the Joust.
System</v>
      </c>
      <c r="B151" s="17">
        <f>IFERROR(__xludf.DUMMYFUNCTION("if(len(A151)&gt;0, value(REGEXEXTRACT(A151, ""Chapter ([0-9]*):"")), """")"),152.0)</f>
        <v>152</v>
      </c>
      <c r="C151" s="31" t="str">
        <f>IFERROR(__xludf.DUMMYFUNCTION("if(len(A151) &gt;0, REGEXEXTRACT(A151, ""Chapter [0-9]*: (.*)""), """")"),"102 Progress")</f>
        <v>102 Progress</v>
      </c>
      <c r="D151" s="31" t="str">
        <f>IFERROR(__xludf.DUMMYFUNCTION("if(len(A151)&gt;0, REGEXEXTRACT(A151, ""\n[^\(]*""), """")"),"
Aspect Cultivation ")</f>
        <v>
Aspect Cultivation </v>
      </c>
      <c r="E151" s="17" t="str">
        <f>IFERROR(__xludf.DUMMYFUNCTION("if(len(A151)&gt;0, REGEXEXTRACT(A151, ""\n([^\n]*)$""), """")"),"System")</f>
        <v>System</v>
      </c>
      <c r="F151" s="17" t="str">
        <f>IFERROR(__xludf.DUMMYFUNCTION("if(len(A151)&gt;0, REGEXEXTRACT(A151, ""\(([^\)]*)\)""), """")"),"Lord of Light")</f>
        <v>Lord of Light</v>
      </c>
      <c r="G151" s="17" t="str">
        <f>IFERROR(__xludf.DUMMYFUNCTION("if(len(A151)&gt;0, REGEXEXTRACT(A151, ""\)([^:]*):""), """")")," Free")</f>
        <v> Free</v>
      </c>
      <c r="H151" s="31" t="str">
        <f>IFERROR(__xludf.DUMMYFUNCTION("if(len(A151) &gt; 0, JOIN(char(10), FILTER(SPLIT(A151, char(10)), split(""false false "" &amp; rept(""true "", columns(SPLIT(A151, char(10)))-3) &amp; ""false"", "" ""))), """")"),"If an Attribute is the grasp of power, then the Aspect is a state of being. To wield reflections, and to become Reflection. To summon Strength and to become it. Greater and more subtle than any Attribute. Through genetic predisposition, hypnosis and chemi"&amp;"cal therapies, your passions come to correspond with those of the Universe.
Raising your Aspect is like removing a mask or standing straight, a mustering of yourself. It takes some energy to maintain, should you wish to be capable of being anything but a"&amp;"n avatar, but it is the exertion of being rather than the struggle to become.
This is a power that requires your kindness. What is the nature of the gods who become Fire, undaunted and ferocious? Who become Death, unknowable, all-ending? Who become Divin"&amp;"e Drunkenness, invincible in vitality and charisma? Those who look upon you in raised Aspect know, instantly and surely that you are divine, that you embody a facet of creation.
Any powers raised in harmony with your raised Aspect are magnified and exalt"&amp;"ed – they are more than just spells or mutation, they are in service of the very order of the universe. An arrow loosed by the Goddess of the Bow might strike a man’s heart from ten miles away, or pin his courage to the wall.
Should the God of Flowers wa"&amp;"lk in Aspect through a forest, will it blossom and lend him strength? Or does a single rose cut and displayed by his hand speak of days of sun and offer a simple strength to all who behold it?
Demigods, though they have begun along this path are but begi"&amp;"nners – they summon weak and feeble Aspects to match their new and uncertain Attributes, and must still undergo a battery of training exercises and therapies to fortify their natures. Mortals who develop this faculty independently are in essence on the sa"&amp;"me level as Demigods – but lack the aid of Heaven in their development.
Once fully matured, forevermore you will be Water or Marble, the Lute or the Joust.")</f>
        <v>If an Attribute is the grasp of power, then the Aspect is a state of being. To wield reflections, and to become Reflection. To summon Strength and to become it. Greater and more subtle than any Attribute. Through genetic predisposition, hypnosis and chemical therapies, your passions come to correspond with those of the Universe.
Raising your Aspect is like removing a mask or standing straight, a mustering of yourself. It takes some energy to maintain, should you wish to be capable of being anything but an avatar, but it is the exertion of being rather than the struggle to become.
This is a power that requires your kindness. What is the nature of the gods who become Fire, undaunted and ferocious? Who become Death, unknowable, all-ending? Who become Divine Drunkenness, invincible in vitality and charisma? Those who look upon you in raised Aspect know, instantly and surely that you are divine, that you embody a facet of creation.
Any powers raised in harmony with your raised Aspect are magnified and exalted – they are more than just spells or mutation, they are in service of the very order of the universe. An arrow loosed by the Goddess of the Bow might strike a man’s heart from ten miles away, or pin his courage to the wall.
Should the God of Flowers walk in Aspect through a forest, will it blossom and lend him strength? Or does a single rose cut and displayed by his hand speak of days of sun and offer a simple strength to all who behold it?
Demigods, though they have begun along this path are but beginners – they summon weak and feeble Aspects to match their new and uncertain Attributes, and must still undergo a battery of training exercises and therapies to fortify their natures. Mortals who develop this faculty independently are in essence on the same level as Demigods – but lack the aid of Heaven in their development.
Once fully matured, forevermore you will be Water or Marble, the Lute or the Joust.</v>
      </c>
    </row>
    <row r="152">
      <c r="A152" s="31" t="str">
        <f>IFERROR(__xludf.DUMMYFUNCTION("""COMPUTED_VALUE"""),"Chapter 152: 102 Progress
Attribute Induction (Lord of Light) Free:
The Attribute is the capacity to effect the world with your will in a single, highly iconic way. It is a mutant strength, carefully developed with millennia of experience by the scientist"&amp;"s of Heaven. With your attribute you might encourage silicates to grow into splendid – and razor sharp – trees of crystal, or have the wind sour and sicken your foes. Food cooked by your hands might keep a thousand men fed with one loaf, or you may will t"&amp;"he birds to sing sweet praises in your favour and fly against your foes.
Many Attributes are known best for their utility in war, but the days when mankind’s position on their world need be defended by flaming fists and opalescent eyes has passed, and He"&amp;"aven cares as greatly for Attributes of craft and fragrance as those of iron and blood.
Demigods and Mortals have just begun to harness their virtues, they are like flickering embers – offering feeble warmth, but needing careful stoking. Their attributes"&amp;" are unstable and untested, often needing some tool to focus their energies. The former may rely on the assistance of their superiors in the Divine, the latter have only their own wills to push further.
Ability")</f>
        <v>Chapter 152: 102 Progress
Attribute Induction (Lord of Light) Free:
The Attribute is the capacity to effect the world with your will in a single, highly iconic way. It is a mutant strength, carefully developed with millennia of experience by the scientists of Heaven. With your attribute you might encourage silicates to grow into splendid – and razor sharp – trees of crystal, or have the wind sour and sicken your foes. Food cooked by your hands might keep a thousand men fed with one loaf, or you may will the birds to sing sweet praises in your favour and fly against your foes.
Many Attributes are known best for their utility in war, but the days when mankind’s position on their world need be defended by flaming fists and opalescent eyes has passed, and Heaven cares as greatly for Attributes of craft and fragrance as those of iron and blood.
Demigods and Mortals have just begun to harness their virtues, they are like flickering embers – offering feeble warmth, but needing careful stoking. Their attributes are unstable and untested, often needing some tool to focus their energies. The former may rely on the assistance of their superiors in the Divine, the latter have only their own wills to push further.
Ability</v>
      </c>
      <c r="B152" s="17">
        <f>IFERROR(__xludf.DUMMYFUNCTION("if(len(A152)&gt;0, value(REGEXEXTRACT(A152, ""Chapter ([0-9]*):"")), """")"),152.0)</f>
        <v>152</v>
      </c>
      <c r="C152" s="31" t="str">
        <f>IFERROR(__xludf.DUMMYFUNCTION("if(len(A152) &gt;0, REGEXEXTRACT(A152, ""Chapter [0-9]*: (.*)""), """")"),"102 Progress")</f>
        <v>102 Progress</v>
      </c>
      <c r="D152" s="31" t="str">
        <f>IFERROR(__xludf.DUMMYFUNCTION("if(len(A152)&gt;0, REGEXEXTRACT(A152, ""\n[^\(]*""), """")"),"
Attribute Induction ")</f>
        <v>
Attribute Induction </v>
      </c>
      <c r="E152" s="17" t="str">
        <f>IFERROR(__xludf.DUMMYFUNCTION("if(len(A152)&gt;0, REGEXEXTRACT(A152, ""\n([^\n]*)$""), """")"),"Ability")</f>
        <v>Ability</v>
      </c>
      <c r="F152" s="17" t="str">
        <f>IFERROR(__xludf.DUMMYFUNCTION("if(len(A152)&gt;0, REGEXEXTRACT(A152, ""\(([^\)]*)\)""), """")"),"Lord of Light")</f>
        <v>Lord of Light</v>
      </c>
      <c r="G152" s="17" t="str">
        <f>IFERROR(__xludf.DUMMYFUNCTION("if(len(A152)&gt;0, REGEXEXTRACT(A152, ""\)([^:]*):""), """")")," Free")</f>
        <v> Free</v>
      </c>
      <c r="H152" s="31" t="str">
        <f>IFERROR(__xludf.DUMMYFUNCTION("if(len(A152) &gt; 0, JOIN(char(10), FILTER(SPLIT(A152, char(10)), split(""false false "" &amp; rept(""true "", columns(SPLIT(A152, char(10)))-3) &amp; ""false"", "" ""))), """")"),"The Attribute is the capacity to effect the world with your will in a single, highly iconic way. It is a mutant strength, carefully developed with millennia of experience by the scientists of Heaven. With your attribute you might encourage silicates to gr"&amp;"ow into splendid – and razor sharp – trees of crystal, or have the wind sour and sicken your foes. Food cooked by your hands might keep a thousand men fed with one loaf, or you may will the birds to sing sweet praises in your favour and fly against your f"&amp;"oes.
Many Attributes are known best for their utility in war, but the days when mankind’s position on their world need be defended by flaming fists and opalescent eyes has passed, and Heaven cares as greatly for Attributes of craft and fragrance as those"&amp;" of iron and blood.
Demigods and Mortals have just begun to harness their virtues, they are like flickering embers – offering feeble warmth, but needing careful stoking. Their attributes are unstable and untested, often needing some tool to focus their e"&amp;"nergies. The former may rely on the assistance of their superiors in the Divine, the latter have only their own wills to push further.")</f>
        <v>The Attribute is the capacity to effect the world with your will in a single, highly iconic way. It is a mutant strength, carefully developed with millennia of experience by the scientists of Heaven. With your attribute you might encourage silicates to grow into splendid – and razor sharp – trees of crystal, or have the wind sour and sicken your foes. Food cooked by your hands might keep a thousand men fed with one loaf, or you may will the birds to sing sweet praises in your favour and fly against your foes.
Many Attributes are known best for their utility in war, but the days when mankind’s position on their world need be defended by flaming fists and opalescent eyes has passed, and Heaven cares as greatly for Attributes of craft and fragrance as those of iron and blood.
Demigods and Mortals have just begun to harness their virtues, they are like flickering embers – offering feeble warmth, but needing careful stoking. Their attributes are unstable and untested, often needing some tool to focus their energies. The former may rely on the assistance of their superiors in the Divine, the latter have only their own wills to push further.</v>
      </c>
    </row>
    <row r="153">
      <c r="A153" s="31" t="str">
        <f>IFERROR(__xludf.DUMMYFUNCTION("""COMPUTED_VALUE"""),"Chapter 152: 102 Progress
Chosen of Death (Lord of Light) 600:
Great Yama, Death-god, has seen you clearly and bade you enter the Vasty Hall of Death, to serve as his partner in creation. Not merely revealing his secrets of science - you are his equal in "&amp;"the arts. Your creativity is that which may forge ten unique treasures each day, or mass produce legends. Design of all forms of weapons, armours, vehicles, and utilities comes to you with blinding light and strength of inspiration. With this position com"&amp;"es the virtual guarantee of rebirth in your next life, as a Demigod of the forge. You also gain a Discount on all artefacts and equipment.
System")</f>
        <v>Chapter 152: 102 Progress
Chosen of Death (Lord of Light) 600:
Great Yama, Death-god, has seen you clearly and bade you enter the Vasty Hall of Death, to serve as his partner in creation. Not merely revealing his secrets of science - you are his equal in the arts. Your creativity is that which may forge ten unique treasures each day, or mass produce legends. Design of all forms of weapons, armours, vehicles, and utilities comes to you with blinding light and strength of inspiration. With this position comes the virtual guarantee of rebirth in your next life, as a Demigod of the forge. You also gain a Discount on all artefacts and equipment.
System</v>
      </c>
      <c r="B153" s="17">
        <f>IFERROR(__xludf.DUMMYFUNCTION("if(len(A153)&gt;0, value(REGEXEXTRACT(A153, ""Chapter ([0-9]*):"")), """")"),152.0)</f>
        <v>152</v>
      </c>
      <c r="C153" s="31" t="str">
        <f>IFERROR(__xludf.DUMMYFUNCTION("if(len(A153) &gt;0, REGEXEXTRACT(A153, ""Chapter [0-9]*: (.*)""), """")"),"102 Progress")</f>
        <v>102 Progress</v>
      </c>
      <c r="D153" s="31" t="str">
        <f>IFERROR(__xludf.DUMMYFUNCTION("if(len(A153)&gt;0, REGEXEXTRACT(A153, ""\n[^\(]*""), """")"),"
Chosen of Death ")</f>
        <v>
Chosen of Death </v>
      </c>
      <c r="E153" s="17" t="str">
        <f>IFERROR(__xludf.DUMMYFUNCTION("if(len(A153)&gt;0, REGEXEXTRACT(A153, ""\n([^\n]*)$""), """")"),"System")</f>
        <v>System</v>
      </c>
      <c r="F153" s="17" t="str">
        <f>IFERROR(__xludf.DUMMYFUNCTION("if(len(A153)&gt;0, REGEXEXTRACT(A153, ""\(([^\)]*)\)""), """")"),"Lord of Light")</f>
        <v>Lord of Light</v>
      </c>
      <c r="G153" s="17" t="str">
        <f>IFERROR(__xludf.DUMMYFUNCTION("if(len(A153)&gt;0, REGEXEXTRACT(A153, ""\)([^:]*):""), """")")," 600")</f>
        <v> 600</v>
      </c>
      <c r="H153" s="31" t="str">
        <f>IFERROR(__xludf.DUMMYFUNCTION("if(len(A153) &gt; 0, JOIN(char(10), FILTER(SPLIT(A153, char(10)), split(""false false "" &amp; rept(""true "", columns(SPLIT(A153, char(10)))-3) &amp; ""false"", "" ""))), """")"),"Great Yama, Death-god, has seen you clearly and bade you enter the Vasty Hall of Death, to serve as his partner in creation. Not merely revealing his secrets of science - you are his equal in the arts. Your creativity is that which may forge ten unique tr"&amp;"easures each day, or mass produce legends. Design of all forms of weapons, armours, vehicles, and utilities comes to you with blinding light and strength of inspiration. With this position comes the virtual guarantee of rebirth in your next life, as a Dem"&amp;"igod of the forge. You also gain a Discount on all artefacts and equipment.")</f>
        <v>Great Yama, Death-god, has seen you clearly and bade you enter the Vasty Hall of Death, to serve as his partner in creation. Not merely revealing his secrets of science - you are his equal in the arts. Your creativity is that which may forge ten unique treasures each day, or mass produce legends. Design of all forms of weapons, armours, vehicles, and utilities comes to you with blinding light and strength of inspiration. With this position comes the virtual guarantee of rebirth in your next life, as a Demigod of the forge. You also gain a Discount on all artefacts and equipment.</v>
      </c>
    </row>
    <row r="154">
      <c r="A154" s="31" t="str">
        <f>IFERROR(__xludf.DUMMYFUNCTION("""COMPUTED_VALUE"""),"Chapter 152: 102 Progress
Demigod (Lord of Light) Free:
Blessed child. Your righteousness and piety have become the seed of Divinity in you. From your old form you have become young, vital. The body of a God is yours, handsome, strong, fast and with the c"&amp;"orrect mudras and psycho-conditioning, you have begun to align yourself with an Attribute and develop your godly Aspect. You are very much at the bottom rung of Heaven, but even Death Himself was once like you.
Personal")</f>
        <v>Chapter 152: 102 Progress
Demigod (Lord of Light) Free:
Blessed child. Your righteousness and piety have become the seed of Divinity in you. From your old form you have become young, vital. The body of a God is yours, handsome, strong, fast and with the correct mudras and psycho-conditioning, you have begun to align yourself with an Attribute and develop your godly Aspect. You are very much at the bottom rung of Heaven, but even Death Himself was once like you.
Personal</v>
      </c>
      <c r="B154" s="17">
        <f>IFERROR(__xludf.DUMMYFUNCTION("if(len(A154)&gt;0, value(REGEXEXTRACT(A154, ""Chapter ([0-9]*):"")), """")"),152.0)</f>
        <v>152</v>
      </c>
      <c r="C154" s="31" t="str">
        <f>IFERROR(__xludf.DUMMYFUNCTION("if(len(A154) &gt;0, REGEXEXTRACT(A154, ""Chapter [0-9]*: (.*)""), """")"),"102 Progress")</f>
        <v>102 Progress</v>
      </c>
      <c r="D154" s="31" t="str">
        <f>IFERROR(__xludf.DUMMYFUNCTION("if(len(A154)&gt;0, REGEXEXTRACT(A154, ""\n[^\(]*""), """")"),"
Demigod ")</f>
        <v>
Demigod </v>
      </c>
      <c r="E154" s="17" t="str">
        <f>IFERROR(__xludf.DUMMYFUNCTION("if(len(A154)&gt;0, REGEXEXTRACT(A154, ""\n([^\n]*)$""), """")"),"Personal")</f>
        <v>Personal</v>
      </c>
      <c r="F154" s="17" t="str">
        <f>IFERROR(__xludf.DUMMYFUNCTION("if(len(A154)&gt;0, REGEXEXTRACT(A154, ""\(([^\)]*)\)""), """")"),"Lord of Light")</f>
        <v>Lord of Light</v>
      </c>
      <c r="G154" s="17" t="str">
        <f>IFERROR(__xludf.DUMMYFUNCTION("if(len(A154)&gt;0, REGEXEXTRACT(A154, ""\)([^:]*):""), """")")," Free")</f>
        <v> Free</v>
      </c>
      <c r="H154" s="31" t="str">
        <f>IFERROR(__xludf.DUMMYFUNCTION("if(len(A154) &gt; 0, JOIN(char(10), FILTER(SPLIT(A154, char(10)), split(""false false "" &amp; rept(""true "", columns(SPLIT(A154, char(10)))-3) &amp; ""false"", "" ""))), """")"),"Blessed child. Your righteousness and piety have become the seed of Divinity in you. From your old form you have become young, vital. The body of a God is yours, handsome, strong, fast and with the correct mudras and psycho-conditioning, you have begun to"&amp;" align yourself with an Attribute and develop your godly Aspect. You are very much at the bottom rung of Heaven, but even Death Himself was once like you.")</f>
        <v>Blessed child. Your righteousness and piety have become the seed of Divinity in you. From your old form you have become young, vital. The body of a God is yours, handsome, strong, fast and with the correct mudras and psycho-conditioning, you have begun to align yourself with an Attribute and develop your godly Aspect. You are very much at the bottom rung of Heaven, but even Death Himself was once like you.</v>
      </c>
    </row>
    <row r="155">
      <c r="A155" s="31" t="str">
        <f>IFERROR(__xludf.DUMMYFUNCTION("""COMPUTED_VALUE"""),"Chapter 152: 102 Progress
Divine Physique (Lord of Light) Free:
The body selected for your enjoyment has been carefully shaped beyond the apex of humanity. Strong, vital and beauteous - it is a form that one could live within for hundreds of years, though"&amp;" at any time you may approach the Masters of Karma for a replacement, should the flames of your divine lifestyle burn it out. Care has been made that it expresses the initial mutations and brain structures to develop Aspect and Attribute - though once the"&amp;"y have been induced, they will carry with your soul through whatever form you take.
Personal")</f>
        <v>Chapter 152: 102 Progress
Divine Physique (Lord of Light) Free:
The body selected for your enjoyment has been carefully shaped beyond the apex of humanity. Strong, vital and beauteous - it is a form that one could live within for hundreds of years, though at any time you may approach the Masters of Karma for a replacement, should the flames of your divine lifestyle burn it out. Care has been made that it expresses the initial mutations and brain structures to develop Aspect and Attribute - though once they have been induced, they will carry with your soul through whatever form you take.
Personal</v>
      </c>
      <c r="B155" s="17">
        <f>IFERROR(__xludf.DUMMYFUNCTION("if(len(A155)&gt;0, value(REGEXEXTRACT(A155, ""Chapter ([0-9]*):"")), """")"),152.0)</f>
        <v>152</v>
      </c>
      <c r="C155" s="31" t="str">
        <f>IFERROR(__xludf.DUMMYFUNCTION("if(len(A155) &gt;0, REGEXEXTRACT(A155, ""Chapter [0-9]*: (.*)""), """")"),"102 Progress")</f>
        <v>102 Progress</v>
      </c>
      <c r="D155" s="31" t="str">
        <f>IFERROR(__xludf.DUMMYFUNCTION("if(len(A155)&gt;0, REGEXEXTRACT(A155, ""\n[^\(]*""), """")"),"
Divine Physique ")</f>
        <v>
Divine Physique </v>
      </c>
      <c r="E155" s="17" t="str">
        <f>IFERROR(__xludf.DUMMYFUNCTION("if(len(A155)&gt;0, REGEXEXTRACT(A155, ""\n([^\n]*)$""), """")"),"Personal")</f>
        <v>Personal</v>
      </c>
      <c r="F155" s="17" t="str">
        <f>IFERROR(__xludf.DUMMYFUNCTION("if(len(A155)&gt;0, REGEXEXTRACT(A155, ""\(([^\)]*)\)""), """")"),"Lord of Light")</f>
        <v>Lord of Light</v>
      </c>
      <c r="G155" s="17" t="str">
        <f>IFERROR(__xludf.DUMMYFUNCTION("if(len(A155)&gt;0, REGEXEXTRACT(A155, ""\)([^:]*):""), """")")," Free")</f>
        <v> Free</v>
      </c>
      <c r="H155" s="31" t="str">
        <f>IFERROR(__xludf.DUMMYFUNCTION("if(len(A155) &gt; 0, JOIN(char(10), FILTER(SPLIT(A155, char(10)), split(""false false "" &amp; rept(""true "", columns(SPLIT(A155, char(10)))-3) &amp; ""false"", "" ""))), """")"),"The body selected for your enjoyment has been carefully shaped beyond the apex of humanity. Strong, vital and beauteous - it is a form that one could live within for hundreds of years, though at any time you may approach the Masters of Karma for a replace"&amp;"ment, should the flames of your divine lifestyle burn it out. Care has been made that it expresses the initial mutations and brain structures to develop Aspect and Attribute - though once they have been induced, they will carry with your soul through what"&amp;"ever form you take.")</f>
        <v>The body selected for your enjoyment has been carefully shaped beyond the apex of humanity. Strong, vital and beauteous - it is a form that one could live within for hundreds of years, though at any time you may approach the Masters of Karma for a replacement, should the flames of your divine lifestyle burn it out. Care has been made that it expresses the initial mutations and brain structures to develop Aspect and Attribute - though once they have been induced, they will carry with your soul through whatever form you take.</v>
      </c>
    </row>
    <row r="156">
      <c r="A156" s="31" t="str">
        <f>IFERROR(__xludf.DUMMYFUNCTION("""COMPUTED_VALUE"""),"Chapter 152: 102 Progress
Opulent Warehouse (Lord of Light) Free:
Do the bare walls and drab concrete styling of your cosmic warehouse offend thine eyes? Did you wish for a shaded bower, gilded conservatory or tawdry bordello? While the total size and fea"&amp;"tures will not be changed, the cosmetic structure and layout is yours to realign – as long as it is opulent. Change your bare metal shelving into a dozen cozy rooms, filled with leather-bound books and the smell of rich mahogany. Make your Portal appear e"&amp;"dged with basalt and gold, and Forcefield into an invincible iron gate that parts only for you. Once set, you may change the appearance once per Jump.
Facility")</f>
        <v>Chapter 152: 102 Progress
Opulent Warehouse (Lord of Light) Free:
Do the bare walls and drab concrete styling of your cosmic warehouse offend thine eyes? Did you wish for a shaded bower, gilded conservatory or tawdry bordello? While the total size and features will not be changed, the cosmetic structure and layout is yours to realign – as long as it is opulent. Change your bare metal shelving into a dozen cozy rooms, filled with leather-bound books and the smell of rich mahogany. Make your Portal appear edged with basalt and gold, and Forcefield into an invincible iron gate that parts only for you. Once set, you may change the appearance once per Jump.
Facility</v>
      </c>
      <c r="B156" s="17">
        <f>IFERROR(__xludf.DUMMYFUNCTION("if(len(A156)&gt;0, value(REGEXEXTRACT(A156, ""Chapter ([0-9]*):"")), """")"),152.0)</f>
        <v>152</v>
      </c>
      <c r="C156" s="31" t="str">
        <f>IFERROR(__xludf.DUMMYFUNCTION("if(len(A156) &gt;0, REGEXEXTRACT(A156, ""Chapter [0-9]*: (.*)""), """")"),"102 Progress")</f>
        <v>102 Progress</v>
      </c>
      <c r="D156" s="31" t="str">
        <f>IFERROR(__xludf.DUMMYFUNCTION("if(len(A156)&gt;0, REGEXEXTRACT(A156, ""\n[^\(]*""), """")"),"
Opulent Warehouse ")</f>
        <v>
Opulent Warehouse </v>
      </c>
      <c r="E156" s="17" t="str">
        <f>IFERROR(__xludf.DUMMYFUNCTION("if(len(A156)&gt;0, REGEXEXTRACT(A156, ""\n([^\n]*)$""), """")"),"Facility")</f>
        <v>Facility</v>
      </c>
      <c r="F156" s="17" t="str">
        <f>IFERROR(__xludf.DUMMYFUNCTION("if(len(A156)&gt;0, REGEXEXTRACT(A156, ""\(([^\)]*)\)""), """")"),"Lord of Light")</f>
        <v>Lord of Light</v>
      </c>
      <c r="G156" s="17" t="str">
        <f>IFERROR(__xludf.DUMMYFUNCTION("if(len(A156)&gt;0, REGEXEXTRACT(A156, ""\)([^:]*):""), """")")," Free")</f>
        <v> Free</v>
      </c>
      <c r="H156" s="31" t="str">
        <f>IFERROR(__xludf.DUMMYFUNCTION("if(len(A156) &gt; 0, JOIN(char(10), FILTER(SPLIT(A156, char(10)), split(""false false "" &amp; rept(""true "", columns(SPLIT(A156, char(10)))-3) &amp; ""false"", "" ""))), """")"),"Do the bare walls and drab concrete styling of your cosmic warehouse offend thine eyes? Did you wish for a shaded bower, gilded conservatory or tawdry bordello? While the total size and features will not be changed, the cosmetic structure and layout is yo"&amp;"urs to realign – as long as it is opulent. Change your bare metal shelving into a dozen cozy rooms, filled with leather-bound books and the smell of rich mahogany. Make your Portal appear edged with basalt and gold, and Forcefield into an invincible iron "&amp;"gate that parts only for you. Once set, you may change the appearance once per Jump.")</f>
        <v>Do the bare walls and drab concrete styling of your cosmic warehouse offend thine eyes? Did you wish for a shaded bower, gilded conservatory or tawdry bordello? While the total size and features will not be changed, the cosmetic structure and layout is yours to realign – as long as it is opulent. Change your bare metal shelving into a dozen cozy rooms, filled with leather-bound books and the smell of rich mahogany. Make your Portal appear edged with basalt and gold, and Forcefield into an invincible iron gate that parts only for you. Once set, you may change the appearance once per Jump.</v>
      </c>
    </row>
    <row r="157">
      <c r="A157" s="31" t="str">
        <f>IFERROR(__xludf.DUMMYFUNCTION("""COMPUTED_VALUE"""),"Chapter 152: 102 Progress
Wealth (Lord of Light) Free:
Not merely comfortable in your station, you are quite well arrayed with the finer things. Whether this is from your merchant holdings, your mostly symbolic but well rewarded stewardship of one of the "&amp;"important structures of Heaven, or just the bag of gold at your hip – you have enough capital to smooth over some eccentric purchases and a somewhat flamboyant lifestyle.
Item")</f>
        <v>Chapter 152: 102 Progress
Wealth (Lord of Light) Free:
Not merely comfortable in your station, you are quite well arrayed with the finer things. Whether this is from your merchant holdings, your mostly symbolic but well rewarded stewardship of one of the important structures of Heaven, or just the bag of gold at your hip – you have enough capital to smooth over some eccentric purchases and a somewhat flamboyant lifestyle.
Item</v>
      </c>
      <c r="B157" s="17">
        <f>IFERROR(__xludf.DUMMYFUNCTION("if(len(A157)&gt;0, value(REGEXEXTRACT(A157, ""Chapter ([0-9]*):"")), """")"),152.0)</f>
        <v>152</v>
      </c>
      <c r="C157" s="31" t="str">
        <f>IFERROR(__xludf.DUMMYFUNCTION("if(len(A157) &gt;0, REGEXEXTRACT(A157, ""Chapter [0-9]*: (.*)""), """")"),"102 Progress")</f>
        <v>102 Progress</v>
      </c>
      <c r="D157" s="31" t="str">
        <f>IFERROR(__xludf.DUMMYFUNCTION("if(len(A157)&gt;0, REGEXEXTRACT(A157, ""\n[^\(]*""), """")"),"
Wealth ")</f>
        <v>
Wealth </v>
      </c>
      <c r="E157" s="17" t="str">
        <f>IFERROR(__xludf.DUMMYFUNCTION("if(len(A157)&gt;0, REGEXEXTRACT(A157, ""\n([^\n]*)$""), """")"),"Item")</f>
        <v>Item</v>
      </c>
      <c r="F157" s="17" t="str">
        <f>IFERROR(__xludf.DUMMYFUNCTION("if(len(A157)&gt;0, REGEXEXTRACT(A157, ""\(([^\)]*)\)""), """")"),"Lord of Light")</f>
        <v>Lord of Light</v>
      </c>
      <c r="G157" s="17" t="str">
        <f>IFERROR(__xludf.DUMMYFUNCTION("if(len(A157)&gt;0, REGEXEXTRACT(A157, ""\)([^:]*):""), """")")," Free")</f>
        <v> Free</v>
      </c>
      <c r="H157" s="31" t="str">
        <f>IFERROR(__xludf.DUMMYFUNCTION("if(len(A157) &gt; 0, JOIN(char(10), FILTER(SPLIT(A157, char(10)), split(""false false "" &amp; rept(""true "", columns(SPLIT(A157, char(10)))-3) &amp; ""false"", "" ""))), """")"),"Not merely comfortable in your station, you are quite well arrayed with the finer things. Whether this is from your merchant holdings, your mostly symbolic but well rewarded stewardship of one of the important structures of Heaven, or just the bag of gold"&amp;" at your hip – you have enough capital to smooth over some eccentric purchases and a somewhat flamboyant lifestyle.")</f>
        <v>Not merely comfortable in your station, you are quite well arrayed with the finer things. Whether this is from your merchant holdings, your mostly symbolic but well rewarded stewardship of one of the important structures of Heaven, or just the bag of gold at your hip – you have enough capital to smooth over some eccentric purchases and a somewhat flamboyant lifestyle.</v>
      </c>
    </row>
    <row r="158">
      <c r="A158" s="31" t="str">
        <f>IFERROR(__xludf.DUMMYFUNCTION("""COMPUTED_VALUE"""),"Chapter 153: 103 Calls and Connections - Addendum Accord
Minor Blessing Demeter - Cultivation (Percy Jackson) 100:
For one reason or another you've got a god who cares slightly about you and has seen fit to grant you some minor boon within their domains.
"&amp;"System")</f>
        <v>Chapter 153: 103 Calls and Connections - Addendum Accord
Minor Blessing Demeter - Cultivation (Percy Jackson) 100:
For one reason or another you've got a god who cares slightly about you and has seen fit to grant you some minor boon within their domains.
System</v>
      </c>
      <c r="B158" s="17">
        <f>IFERROR(__xludf.DUMMYFUNCTION("if(len(A158)&gt;0, value(REGEXEXTRACT(A158, ""Chapter ([0-9]*):"")), """")"),153.0)</f>
        <v>153</v>
      </c>
      <c r="C158" s="31" t="str">
        <f>IFERROR(__xludf.DUMMYFUNCTION("if(len(A158) &gt;0, REGEXEXTRACT(A158, ""Chapter [0-9]*: (.*)""), """")"),"103 Calls and Connections - Addendum Accord")</f>
        <v>103 Calls and Connections - Addendum Accord</v>
      </c>
      <c r="D158" s="31" t="str">
        <f>IFERROR(__xludf.DUMMYFUNCTION("if(len(A158)&gt;0, REGEXEXTRACT(A158, ""\n[^\(]*""), """")"),"
Minor Blessing Demeter - Cultivation ")</f>
        <v>
Minor Blessing Demeter - Cultivation </v>
      </c>
      <c r="E158" s="17" t="str">
        <f>IFERROR(__xludf.DUMMYFUNCTION("if(len(A158)&gt;0, REGEXEXTRACT(A158, ""\n([^\n]*)$""), """")"),"System")</f>
        <v>System</v>
      </c>
      <c r="F158" s="17" t="str">
        <f>IFERROR(__xludf.DUMMYFUNCTION("if(len(A158)&gt;0, REGEXEXTRACT(A158, ""\(([^\)]*)\)""), """")"),"Percy Jackson")</f>
        <v>Percy Jackson</v>
      </c>
      <c r="G158" s="17" t="str">
        <f>IFERROR(__xludf.DUMMYFUNCTION("if(len(A158)&gt;0, REGEXEXTRACT(A158, ""\)([^:]*):""), """")")," 100")</f>
        <v> 100</v>
      </c>
      <c r="H158" s="31" t="str">
        <f>IFERROR(__xludf.DUMMYFUNCTION("if(len(A158) &gt; 0, JOIN(char(10), FILTER(SPLIT(A158, char(10)), split(""false false "" &amp; rept(""true "", columns(SPLIT(A158, char(10)))-3) &amp; ""false"", "" ""))), """")"),"For one reason or another you've got a god who cares slightly about you and has seen fit to grant you some minor boon within their domains.")</f>
        <v>For one reason or another you've got a god who cares slightly about you and has seen fit to grant you some minor boon within their domains.</v>
      </c>
    </row>
    <row r="159">
      <c r="A159" s="31" t="str">
        <f>IFERROR(__xludf.DUMMYFUNCTION("""COMPUTED_VALUE"""),"Chapter 153: 103 Calls and Connections - Addendum Accord
Unnatural Skill: Naturecraft (Percy Jackson) 200:
Whether from your heritage or just being that good you've got one particular mundane skill that your feats with border on supernatural.
System")</f>
        <v>Chapter 153: 103 Calls and Connections - Addendum Accord
Unnatural Skill: Naturecraft (Percy Jackson) 200:
Whether from your heritage or just being that good you've got one particular mundane skill that your feats with border on supernatural.
System</v>
      </c>
      <c r="B159" s="17">
        <f>IFERROR(__xludf.DUMMYFUNCTION("if(len(A159)&gt;0, value(REGEXEXTRACT(A159, ""Chapter ([0-9]*):"")), """")"),153.0)</f>
        <v>153</v>
      </c>
      <c r="C159" s="31" t="str">
        <f>IFERROR(__xludf.DUMMYFUNCTION("if(len(A159) &gt;0, REGEXEXTRACT(A159, ""Chapter [0-9]*: (.*)""), """")"),"103 Calls and Connections - Addendum Accord")</f>
        <v>103 Calls and Connections - Addendum Accord</v>
      </c>
      <c r="D159" s="31" t="str">
        <f>IFERROR(__xludf.DUMMYFUNCTION("if(len(A159)&gt;0, REGEXEXTRACT(A159, ""\n[^\(]*""), """")"),"
Unnatural Skill: Naturecraft ")</f>
        <v>
Unnatural Skill: Naturecraft </v>
      </c>
      <c r="E159" s="17" t="str">
        <f>IFERROR(__xludf.DUMMYFUNCTION("if(len(A159)&gt;0, REGEXEXTRACT(A159, ""\n([^\n]*)$""), """")"),"System")</f>
        <v>System</v>
      </c>
      <c r="F159" s="17" t="str">
        <f>IFERROR(__xludf.DUMMYFUNCTION("if(len(A159)&gt;0, REGEXEXTRACT(A159, ""\(([^\)]*)\)""), """")"),"Percy Jackson")</f>
        <v>Percy Jackson</v>
      </c>
      <c r="G159" s="17" t="str">
        <f>IFERROR(__xludf.DUMMYFUNCTION("if(len(A159)&gt;0, REGEXEXTRACT(A159, ""\)([^:]*):""), """")")," 200")</f>
        <v> 200</v>
      </c>
      <c r="H159" s="31" t="str">
        <f>IFERROR(__xludf.DUMMYFUNCTION("if(len(A159) &gt; 0, JOIN(char(10), FILTER(SPLIT(A159, char(10)), split(""false false "" &amp; rept(""true "", columns(SPLIT(A159, char(10)))-3) &amp; ""false"", "" ""))), """")"),"Whether from your heritage or just being that good you've got one particular mundane skill that your feats with border on supernatural.")</f>
        <v>Whether from your heritage or just being that good you've got one particular mundane skill that your feats with border on supernatural.</v>
      </c>
    </row>
    <row r="160">
      <c r="A160" s="31" t="str">
        <f>IFERROR(__xludf.DUMMYFUNCTION("""COMPUTED_VALUE"""),"Chapter 154: 104 Loose Ends
Entrance Hall - Espirit de Kerbal (Personal Reality) 50:
This is the room your Access Key opens a door to.
Facility
")</f>
        <v>Chapter 154: 104 Loose Ends
Entrance Hall - Espirit de Kerbal (Personal Reality) 50:
This is the room your Access Key opens a door to.
Facility
</v>
      </c>
      <c r="B160" s="17">
        <f>IFERROR(__xludf.DUMMYFUNCTION("if(len(A160)&gt;0, value(REGEXEXTRACT(A160, ""Chapter ([0-9]*):"")), """")"),154.0)</f>
        <v>154</v>
      </c>
      <c r="C160" s="31" t="str">
        <f>IFERROR(__xludf.DUMMYFUNCTION("if(len(A160) &gt;0, REGEXEXTRACT(A160, ""Chapter [0-9]*: (.*)""), """")"),"104 Loose Ends")</f>
        <v>104 Loose Ends</v>
      </c>
      <c r="D160" s="31" t="str">
        <f>IFERROR(__xludf.DUMMYFUNCTION("if(len(A160)&gt;0, REGEXEXTRACT(A160, ""\n[^\(]*""), """")"),"
Entrance Hall - Espirit de Kerbal ")</f>
        <v>
Entrance Hall - Espirit de Kerbal </v>
      </c>
      <c r="E160" s="17" t="str">
        <f>IFERROR(__xludf.DUMMYFUNCTION("if(len(A160)&gt;0, REGEXEXTRACT(A160, ""\n([^\n]*)$""), """")"),"Facility
")</f>
        <v>Facility
</v>
      </c>
      <c r="F160" s="17" t="str">
        <f>IFERROR(__xludf.DUMMYFUNCTION("if(len(A160)&gt;0, REGEXEXTRACT(A160, ""\(([^\)]*)\)""), """")"),"Personal Reality")</f>
        <v>Personal Reality</v>
      </c>
      <c r="G160" s="17" t="str">
        <f>IFERROR(__xludf.DUMMYFUNCTION("if(len(A160)&gt;0, REGEXEXTRACT(A160, ""\)([^:]*):""), """")")," 50")</f>
        <v> 50</v>
      </c>
      <c r="H160" s="31" t="str">
        <f>IFERROR(__xludf.DUMMYFUNCTION("if(len(A160) &gt; 0, JOIN(char(10), FILTER(SPLIT(A160, char(10)), split(""false false "" &amp; rept(""true "", columns(SPLIT(A160, char(10)))-3) &amp; ""false"", "" ""))), """")"),"This is the room your Access Key opens a door to.")</f>
        <v>This is the room your Access Key opens a door to.</v>
      </c>
    </row>
    <row r="161">
      <c r="A161" s="31" t="str">
        <f>IFERROR(__xludf.DUMMYFUNCTION("""COMPUTED_VALUE"""),"Chapter 154: 104 Loose Ends
Entrance Hall - Fleet (Personal Reality) 50:
This is the room your Access Key opens a door to.
Facility
")</f>
        <v>Chapter 154: 104 Loose Ends
Entrance Hall - Fleet (Personal Reality) 50:
This is the room your Access Key opens a door to.
Facility
</v>
      </c>
      <c r="B161" s="17">
        <f>IFERROR(__xludf.DUMMYFUNCTION("if(len(A161)&gt;0, value(REGEXEXTRACT(A161, ""Chapter ([0-9]*):"")), """")"),154.0)</f>
        <v>154</v>
      </c>
      <c r="C161" s="31" t="str">
        <f>IFERROR(__xludf.DUMMYFUNCTION("if(len(A161) &gt;0, REGEXEXTRACT(A161, ""Chapter [0-9]*: (.*)""), """")"),"104 Loose Ends")</f>
        <v>104 Loose Ends</v>
      </c>
      <c r="D161" s="31" t="str">
        <f>IFERROR(__xludf.DUMMYFUNCTION("if(len(A161)&gt;0, REGEXEXTRACT(A161, ""\n[^\(]*""), """")"),"
Entrance Hall - Fleet ")</f>
        <v>
Entrance Hall - Fleet </v>
      </c>
      <c r="E161" s="17" t="str">
        <f>IFERROR(__xludf.DUMMYFUNCTION("if(len(A161)&gt;0, REGEXEXTRACT(A161, ""\n([^\n]*)$""), """")"),"Facility
")</f>
        <v>Facility
</v>
      </c>
      <c r="F161" s="17" t="str">
        <f>IFERROR(__xludf.DUMMYFUNCTION("if(len(A161)&gt;0, REGEXEXTRACT(A161, ""\(([^\)]*)\)""), """")"),"Personal Reality")</f>
        <v>Personal Reality</v>
      </c>
      <c r="G161" s="17" t="str">
        <f>IFERROR(__xludf.DUMMYFUNCTION("if(len(A161)&gt;0, REGEXEXTRACT(A161, ""\)([^:]*):""), """")")," 50")</f>
        <v> 50</v>
      </c>
      <c r="H161" s="31" t="str">
        <f>IFERROR(__xludf.DUMMYFUNCTION("if(len(A161) &gt; 0, JOIN(char(10), FILTER(SPLIT(A161, char(10)), split(""false false "" &amp; rept(""true "", columns(SPLIT(A161, char(10)))-3) &amp; ""false"", "" ""))), """")"),"This is the room your Access Key opens a door to.")</f>
        <v>This is the room your Access Key opens a door to.</v>
      </c>
    </row>
    <row r="162">
      <c r="A162" s="31" t="str">
        <f>IFERROR(__xludf.DUMMYFUNCTION("""COMPUTED_VALUE"""),"Chapter 154: 104 Loose Ends
Entrance Hall - Some Old Friends (Personal Reality) 50:
This is the room your Access Key opens a door to.
Facility")</f>
        <v>Chapter 154: 104 Loose Ends
Entrance Hall - Some Old Friends (Personal Reality) 50:
This is the room your Access Key opens a door to.
Facility</v>
      </c>
      <c r="B162" s="17">
        <f>IFERROR(__xludf.DUMMYFUNCTION("if(len(A162)&gt;0, value(REGEXEXTRACT(A162, ""Chapter ([0-9]*):"")), """")"),154.0)</f>
        <v>154</v>
      </c>
      <c r="C162" s="31" t="str">
        <f>IFERROR(__xludf.DUMMYFUNCTION("if(len(A162) &gt;0, REGEXEXTRACT(A162, ""Chapter [0-9]*: (.*)""), """")"),"104 Loose Ends")</f>
        <v>104 Loose Ends</v>
      </c>
      <c r="D162" s="31" t="str">
        <f>IFERROR(__xludf.DUMMYFUNCTION("if(len(A162)&gt;0, REGEXEXTRACT(A162, ""\n[^\(]*""), """")"),"
Entrance Hall - Some Old Friends ")</f>
        <v>
Entrance Hall - Some Old Friends </v>
      </c>
      <c r="E162" s="17" t="str">
        <f>IFERROR(__xludf.DUMMYFUNCTION("if(len(A162)&gt;0, REGEXEXTRACT(A162, ""\n([^\n]*)$""), """")"),"Facility")</f>
        <v>Facility</v>
      </c>
      <c r="F162" s="17" t="str">
        <f>IFERROR(__xludf.DUMMYFUNCTION("if(len(A162)&gt;0, REGEXEXTRACT(A162, ""\(([^\)]*)\)""), """")"),"Personal Reality")</f>
        <v>Personal Reality</v>
      </c>
      <c r="G162" s="17" t="str">
        <f>IFERROR(__xludf.DUMMYFUNCTION("if(len(A162)&gt;0, REGEXEXTRACT(A162, ""\)([^:]*):""), """")")," 50")</f>
        <v> 50</v>
      </c>
      <c r="H162" s="31" t="str">
        <f>IFERROR(__xludf.DUMMYFUNCTION("if(len(A162) &gt; 0, JOIN(char(10), FILTER(SPLIT(A162, char(10)), split(""false false "" &amp; rept(""true "", columns(SPLIT(A162, char(10)))-3) &amp; ""false"", "" ""))), """")"),"This is the room your Access Key opens a door to.")</f>
        <v>This is the room your Access Key opens a door to.</v>
      </c>
    </row>
    <row r="163">
      <c r="A163" s="31" t="str">
        <f>IFERROR(__xludf.DUMMYFUNCTION("""COMPUTED_VALUE"""),"Chapter 154: 104 Loose Ends
Entrance Hall - The Matrix (Personal Reality) 50:
This is the room your Access Key opens a door to.
Facility
")</f>
        <v>Chapter 154: 104 Loose Ends
Entrance Hall - The Matrix (Personal Reality) 50:
This is the room your Access Key opens a door to.
Facility
</v>
      </c>
      <c r="B163" s="17">
        <f>IFERROR(__xludf.DUMMYFUNCTION("if(len(A163)&gt;0, value(REGEXEXTRACT(A163, ""Chapter ([0-9]*):"")), """")"),154.0)</f>
        <v>154</v>
      </c>
      <c r="C163" s="31" t="str">
        <f>IFERROR(__xludf.DUMMYFUNCTION("if(len(A163) &gt;0, REGEXEXTRACT(A163, ""Chapter [0-9]*: (.*)""), """")"),"104 Loose Ends")</f>
        <v>104 Loose Ends</v>
      </c>
      <c r="D163" s="31" t="str">
        <f>IFERROR(__xludf.DUMMYFUNCTION("if(len(A163)&gt;0, REGEXEXTRACT(A163, ""\n[^\(]*""), """")"),"
Entrance Hall - The Matrix ")</f>
        <v>
Entrance Hall - The Matrix </v>
      </c>
      <c r="E163" s="17" t="str">
        <f>IFERROR(__xludf.DUMMYFUNCTION("if(len(A163)&gt;0, REGEXEXTRACT(A163, ""\n([^\n]*)$""), """")"),"Facility
")</f>
        <v>Facility
</v>
      </c>
      <c r="F163" s="17" t="str">
        <f>IFERROR(__xludf.DUMMYFUNCTION("if(len(A163)&gt;0, REGEXEXTRACT(A163, ""\(([^\)]*)\)""), """")"),"Personal Reality")</f>
        <v>Personal Reality</v>
      </c>
      <c r="G163" s="17" t="str">
        <f>IFERROR(__xludf.DUMMYFUNCTION("if(len(A163)&gt;0, REGEXEXTRACT(A163, ""\)([^:]*):""), """")")," 50")</f>
        <v> 50</v>
      </c>
      <c r="H163" s="31" t="str">
        <f>IFERROR(__xludf.DUMMYFUNCTION("if(len(A163) &gt; 0, JOIN(char(10), FILTER(SPLIT(A163, char(10)), split(""false false "" &amp; rept(""true "", columns(SPLIT(A163, char(10)))-3) &amp; ""false"", "" ""))), """")"),"This is the room your Access Key opens a door to.")</f>
        <v>This is the room your Access Key opens a door to.</v>
      </c>
    </row>
    <row r="164">
      <c r="A164" s="31" t="str">
        <f>IFERROR(__xludf.DUMMYFUNCTION("""COMPUTED_VALUE"""),"Chapter 154: 104 Loose Ends
Entrance Hall – Aisha (Personal Reality) 50:
This is the room your Access Key opens a door to.
Facility
")</f>
        <v>Chapter 154: 104 Loose Ends
Entrance Hall – Aisha (Personal Reality) 50:
This is the room your Access Key opens a door to.
Facility
</v>
      </c>
      <c r="B164" s="17">
        <f>IFERROR(__xludf.DUMMYFUNCTION("if(len(A164)&gt;0, value(REGEXEXTRACT(A164, ""Chapter ([0-9]*):"")), """")"),154.0)</f>
        <v>154</v>
      </c>
      <c r="C164" s="31" t="str">
        <f>IFERROR(__xludf.DUMMYFUNCTION("if(len(A164) &gt;0, REGEXEXTRACT(A164, ""Chapter [0-9]*: (.*)""), """")"),"104 Loose Ends")</f>
        <v>104 Loose Ends</v>
      </c>
      <c r="D164" s="31" t="str">
        <f>IFERROR(__xludf.DUMMYFUNCTION("if(len(A164)&gt;0, REGEXEXTRACT(A164, ""\n[^\(]*""), """")"),"
Entrance Hall – Aisha ")</f>
        <v>
Entrance Hall – Aisha </v>
      </c>
      <c r="E164" s="17" t="str">
        <f>IFERROR(__xludf.DUMMYFUNCTION("if(len(A164)&gt;0, REGEXEXTRACT(A164, ""\n([^\n]*)$""), """")"),"Facility
")</f>
        <v>Facility
</v>
      </c>
      <c r="F164" s="17" t="str">
        <f>IFERROR(__xludf.DUMMYFUNCTION("if(len(A164)&gt;0, REGEXEXTRACT(A164, ""\(([^\)]*)\)""), """")"),"Personal Reality")</f>
        <v>Personal Reality</v>
      </c>
      <c r="G164" s="17" t="str">
        <f>IFERROR(__xludf.DUMMYFUNCTION("if(len(A164)&gt;0, REGEXEXTRACT(A164, ""\)([^:]*):""), """")")," 50")</f>
        <v> 50</v>
      </c>
      <c r="H164" s="31" t="str">
        <f>IFERROR(__xludf.DUMMYFUNCTION("if(len(A164) &gt; 0, JOIN(char(10), FILTER(SPLIT(A164, char(10)), split(""false false "" &amp; rept(""true "", columns(SPLIT(A164, char(10)))-3) &amp; ""false"", "" ""))), """")"),"This is the room your Access Key opens a door to.")</f>
        <v>This is the room your Access Key opens a door to.</v>
      </c>
    </row>
    <row r="165">
      <c r="A165" s="31" t="str">
        <f>IFERROR(__xludf.DUMMYFUNCTION("""COMPUTED_VALUE"""),"Chapter 154: 104 Loose Ends
Entrance Hall – Survey (Personal Reality) 50:
This is the room your Access Key opens a door to.
Facility
")</f>
        <v>Chapter 154: 104 Loose Ends
Entrance Hall – Survey (Personal Reality) 50:
This is the room your Access Key opens a door to.
Facility
</v>
      </c>
      <c r="B165" s="17">
        <f>IFERROR(__xludf.DUMMYFUNCTION("if(len(A165)&gt;0, value(REGEXEXTRACT(A165, ""Chapter ([0-9]*):"")), """")"),154.0)</f>
        <v>154</v>
      </c>
      <c r="C165" s="31" t="str">
        <f>IFERROR(__xludf.DUMMYFUNCTION("if(len(A165) &gt;0, REGEXEXTRACT(A165, ""Chapter [0-9]*: (.*)""), """")"),"104 Loose Ends")</f>
        <v>104 Loose Ends</v>
      </c>
      <c r="D165" s="31" t="str">
        <f>IFERROR(__xludf.DUMMYFUNCTION("if(len(A165)&gt;0, REGEXEXTRACT(A165, ""\n[^\(]*""), """")"),"
Entrance Hall – Survey ")</f>
        <v>
Entrance Hall – Survey </v>
      </c>
      <c r="E165" s="17" t="str">
        <f>IFERROR(__xludf.DUMMYFUNCTION("if(len(A165)&gt;0, REGEXEXTRACT(A165, ""\n([^\n]*)$""), """")"),"Facility
")</f>
        <v>Facility
</v>
      </c>
      <c r="F165" s="17" t="str">
        <f>IFERROR(__xludf.DUMMYFUNCTION("if(len(A165)&gt;0, REGEXEXTRACT(A165, ""\(([^\)]*)\)""), """")"),"Personal Reality")</f>
        <v>Personal Reality</v>
      </c>
      <c r="G165" s="17" t="str">
        <f>IFERROR(__xludf.DUMMYFUNCTION("if(len(A165)&gt;0, REGEXEXTRACT(A165, ""\)([^:]*):""), """")")," 50")</f>
        <v> 50</v>
      </c>
      <c r="H165" s="31" t="str">
        <f>IFERROR(__xludf.DUMMYFUNCTION("if(len(A165) &gt; 0, JOIN(char(10), FILTER(SPLIT(A165, char(10)), split(""false false "" &amp; rept(""true "", columns(SPLIT(A165, char(10)))-3) &amp; ""false"", "" ""))), """")"),"This is the room your Access Key opens a door to.")</f>
        <v>This is the room your Access Key opens a door to.</v>
      </c>
    </row>
    <row r="166">
      <c r="A166" s="31" t="str">
        <f>IFERROR(__xludf.DUMMYFUNCTION("""COMPUTED_VALUE"""),"Chapter 154: 104 Loose Ends
Entrance Hall – Tetra (Personal Reality) 50:
This is the room your Access Key opens a door to.
Facility
")</f>
        <v>Chapter 154: 104 Loose Ends
Entrance Hall – Tetra (Personal Reality) 50:
This is the room your Access Key opens a door to.
Facility
</v>
      </c>
      <c r="B166" s="17">
        <f>IFERROR(__xludf.DUMMYFUNCTION("if(len(A166)&gt;0, value(REGEXEXTRACT(A166, ""Chapter ([0-9]*):"")), """")"),154.0)</f>
        <v>154</v>
      </c>
      <c r="C166" s="31" t="str">
        <f>IFERROR(__xludf.DUMMYFUNCTION("if(len(A166) &gt;0, REGEXEXTRACT(A166, ""Chapter [0-9]*: (.*)""), """")"),"104 Loose Ends")</f>
        <v>104 Loose Ends</v>
      </c>
      <c r="D166" s="31" t="str">
        <f>IFERROR(__xludf.DUMMYFUNCTION("if(len(A166)&gt;0, REGEXEXTRACT(A166, ""\n[^\(]*""), """")"),"
Entrance Hall – Tetra ")</f>
        <v>
Entrance Hall – Tetra </v>
      </c>
      <c r="E166" s="17" t="str">
        <f>IFERROR(__xludf.DUMMYFUNCTION("if(len(A166)&gt;0, REGEXEXTRACT(A166, ""\n([^\n]*)$""), """")"),"Facility
")</f>
        <v>Facility
</v>
      </c>
      <c r="F166" s="17" t="str">
        <f>IFERROR(__xludf.DUMMYFUNCTION("if(len(A166)&gt;0, REGEXEXTRACT(A166, ""\(([^\)]*)\)""), """")"),"Personal Reality")</f>
        <v>Personal Reality</v>
      </c>
      <c r="G166" s="17" t="str">
        <f>IFERROR(__xludf.DUMMYFUNCTION("if(len(A166)&gt;0, REGEXEXTRACT(A166, ""\)([^:]*):""), """")")," 50")</f>
        <v> 50</v>
      </c>
      <c r="H166" s="31" t="str">
        <f>IFERROR(__xludf.DUMMYFUNCTION("if(len(A166) &gt; 0, JOIN(char(10), FILTER(SPLIT(A166, char(10)), split(""false false "" &amp; rept(""true "", columns(SPLIT(A166, char(10)))-3) &amp; ""false"", "" ""))), """")"),"This is the room your Access Key opens a door to.")</f>
        <v>This is the room your Access Key opens a door to.</v>
      </c>
    </row>
    <row r="167">
      <c r="A167" s="31" t="str">
        <f>IFERROR(__xludf.DUMMYFUNCTION("""COMPUTED_VALUE"""),"Chapter 154: 104 Loose Ends
Entrance Hall – Tybalt (Personal Reality) 50:
This is the room your Access Key opens a door to.
Facility
")</f>
        <v>Chapter 154: 104 Loose Ends
Entrance Hall – Tybalt (Personal Reality) 50:
This is the room your Access Key opens a door to.
Facility
</v>
      </c>
      <c r="B167" s="17">
        <f>IFERROR(__xludf.DUMMYFUNCTION("if(len(A167)&gt;0, value(REGEXEXTRACT(A167, ""Chapter ([0-9]*):"")), """")"),154.0)</f>
        <v>154</v>
      </c>
      <c r="C167" s="31" t="str">
        <f>IFERROR(__xludf.DUMMYFUNCTION("if(len(A167) &gt;0, REGEXEXTRACT(A167, ""Chapter [0-9]*: (.*)""), """")"),"104 Loose Ends")</f>
        <v>104 Loose Ends</v>
      </c>
      <c r="D167" s="31" t="str">
        <f>IFERROR(__xludf.DUMMYFUNCTION("if(len(A167)&gt;0, REGEXEXTRACT(A167, ""\n[^\(]*""), """")"),"
Entrance Hall – Tybalt ")</f>
        <v>
Entrance Hall – Tybalt </v>
      </c>
      <c r="E167" s="17" t="str">
        <f>IFERROR(__xludf.DUMMYFUNCTION("if(len(A167)&gt;0, REGEXEXTRACT(A167, ""\n([^\n]*)$""), """")"),"Facility
")</f>
        <v>Facility
</v>
      </c>
      <c r="F167" s="17" t="str">
        <f>IFERROR(__xludf.DUMMYFUNCTION("if(len(A167)&gt;0, REGEXEXTRACT(A167, ""\(([^\)]*)\)""), """")"),"Personal Reality")</f>
        <v>Personal Reality</v>
      </c>
      <c r="G167" s="17" t="str">
        <f>IFERROR(__xludf.DUMMYFUNCTION("if(len(A167)&gt;0, REGEXEXTRACT(A167, ""\)([^:]*):""), """")")," 50")</f>
        <v> 50</v>
      </c>
      <c r="H167" s="31" t="str">
        <f>IFERROR(__xludf.DUMMYFUNCTION("if(len(A167) &gt; 0, JOIN(char(10), FILTER(SPLIT(A167, char(10)), split(""false false "" &amp; rept(""true "", columns(SPLIT(A167, char(10)))-3) &amp; ""false"", "" ""))), """")"),"This is the room your Access Key opens a door to.")</f>
        <v>This is the room your Access Key opens a door to.</v>
      </c>
    </row>
    <row r="168">
      <c r="A168" s="31" t="str">
        <f>IFERROR(__xludf.DUMMYFUNCTION("""COMPUTED_VALUE"""),"Chapter 154: 104 Loose Ends
Firestorm (Sabaton) 600:
When someone absolutely, positively needs artillery good enough to reduce the greatest castle to rubble, they come to you and accept no substitutes. You can throw a cannon together from scraps and it w"&amp;"ill still outperform the best mortars of the age. Moreover, in other worlds, if you can understand the weapon, you can produce something 1.1 times as strong with the items you would find in a rubbish heap, provided they're of equal size to the device they"&amp;"'re replicating.
Fiat")</f>
        <v>Chapter 154: 104 Loose Ends
Firestorm (Sabaton) 600:
When someone absolutely, positively needs artillery good enough to reduce the greatest castle to rubble, they come to you and accept no substitutes. You can throw a cannon together from scraps and it will still outperform the best mortars of the age. Moreover, in other worlds, if you can understand the weapon, you can produce something 1.1 times as strong with the items you would find in a rubbish heap, provided they're of equal size to the device they're replicating.
Fiat</v>
      </c>
      <c r="B168" s="17">
        <f>IFERROR(__xludf.DUMMYFUNCTION("if(len(A168)&gt;0, value(REGEXEXTRACT(A168, ""Chapter ([0-9]*):"")), """")"),154.0)</f>
        <v>154</v>
      </c>
      <c r="C168" s="31" t="str">
        <f>IFERROR(__xludf.DUMMYFUNCTION("if(len(A168) &gt;0, REGEXEXTRACT(A168, ""Chapter [0-9]*: (.*)""), """")"),"104 Loose Ends")</f>
        <v>104 Loose Ends</v>
      </c>
      <c r="D168" s="31" t="str">
        <f>IFERROR(__xludf.DUMMYFUNCTION("if(len(A168)&gt;0, REGEXEXTRACT(A168, ""\n[^\(]*""), """")"),"
Firestorm ")</f>
        <v>
Firestorm </v>
      </c>
      <c r="E168" s="17" t="str">
        <f>IFERROR(__xludf.DUMMYFUNCTION("if(len(A168)&gt;0, REGEXEXTRACT(A168, ""\n([^\n]*)$""), """")"),"Fiat")</f>
        <v>Fiat</v>
      </c>
      <c r="F168" s="17" t="str">
        <f>IFERROR(__xludf.DUMMYFUNCTION("if(len(A168)&gt;0, REGEXEXTRACT(A168, ""\(([^\)]*)\)""), """")"),"Sabaton")</f>
        <v>Sabaton</v>
      </c>
      <c r="G168" s="17" t="str">
        <f>IFERROR(__xludf.DUMMYFUNCTION("if(len(A168)&gt;0, REGEXEXTRACT(A168, ""\)([^:]*):""), """")")," 600")</f>
        <v> 600</v>
      </c>
      <c r="H168" s="31" t="str">
        <f>IFERROR(__xludf.DUMMYFUNCTION("if(len(A168) &gt; 0, JOIN(char(10), FILTER(SPLIT(A168, char(10)), split(""false false "" &amp; rept(""true "", columns(SPLIT(A168, char(10)))-3) &amp; ""false"", "" ""))), """")"),"When someone absolutely, positively needs artillery good enough to reduce the greatest castle to rubble, they come to you and accept no substitutes. You can throw a cannon together from scraps and it will still outperform the best mortars of the age. More"&amp;"over, in other worlds, if you can understand the weapon, you can produce something 1.1 times as strong with the items you would find in a rubbish heap, provided they're of equal size to the device they're replicating.")</f>
        <v>When someone absolutely, positively needs artillery good enough to reduce the greatest castle to rubble, they come to you and accept no substitutes. You can throw a cannon together from scraps and it will still outperform the best mortars of the age. Moreover, in other worlds, if you can understand the weapon, you can produce something 1.1 times as strong with the items you would find in a rubbish heap, provided they're of equal size to the device they're replicating.</v>
      </c>
    </row>
    <row r="169">
      <c r="A169" s="31" t="str">
        <f>IFERROR(__xludf.DUMMYFUNCTION("""COMPUTED_VALUE"""),"Chapter 158: 106 Unveiled Plans
Minor Blessing Apollo - Medicine (Percy Jackson) 100:
For one reason or another you've got a god who cares slightly about you and has seen fit to grant you some minor boon within their domains.
System")</f>
        <v>Chapter 158: 106 Unveiled Plans
Minor Blessing Apollo - Medicine (Percy Jackson) 100:
For one reason or another you've got a god who cares slightly about you and has seen fit to grant you some minor boon within their domains.
System</v>
      </c>
      <c r="B169" s="17">
        <f>IFERROR(__xludf.DUMMYFUNCTION("if(len(A169)&gt;0, value(REGEXEXTRACT(A169, ""Chapter ([0-9]*):"")), """")"),158.0)</f>
        <v>158</v>
      </c>
      <c r="C169" s="31" t="str">
        <f>IFERROR(__xludf.DUMMYFUNCTION("if(len(A169) &gt;0, REGEXEXTRACT(A169, ""Chapter [0-9]*: (.*)""), """")"),"106 Unveiled Plans")</f>
        <v>106 Unveiled Plans</v>
      </c>
      <c r="D169" s="31" t="str">
        <f>IFERROR(__xludf.DUMMYFUNCTION("if(len(A169)&gt;0, REGEXEXTRACT(A169, ""\n[^\(]*""), """")"),"
Minor Blessing Apollo - Medicine ")</f>
        <v>
Minor Blessing Apollo - Medicine </v>
      </c>
      <c r="E169" s="17" t="str">
        <f>IFERROR(__xludf.DUMMYFUNCTION("if(len(A169)&gt;0, REGEXEXTRACT(A169, ""\n([^\n]*)$""), """")"),"System")</f>
        <v>System</v>
      </c>
      <c r="F169" s="17" t="str">
        <f>IFERROR(__xludf.DUMMYFUNCTION("if(len(A169)&gt;0, REGEXEXTRACT(A169, ""\(([^\)]*)\)""), """")"),"Percy Jackson")</f>
        <v>Percy Jackson</v>
      </c>
      <c r="G169" s="17" t="str">
        <f>IFERROR(__xludf.DUMMYFUNCTION("if(len(A169)&gt;0, REGEXEXTRACT(A169, ""\)([^:]*):""), """")")," 100")</f>
        <v> 100</v>
      </c>
      <c r="H169" s="31" t="str">
        <f>IFERROR(__xludf.DUMMYFUNCTION("if(len(A169) &gt; 0, JOIN(char(10), FILTER(SPLIT(A169, char(10)), split(""false false "" &amp; rept(""true "", columns(SPLIT(A169, char(10)))-3) &amp; ""false"", "" ""))), """")"),"For one reason or another you've got a god who cares slightly about you and has seen fit to grant you some minor boon within their domains.")</f>
        <v>For one reason or another you've got a god who cares slightly about you and has seen fit to grant you some minor boon within their domains.</v>
      </c>
    </row>
    <row r="170">
      <c r="A170" s="31" t="str">
        <f>IFERROR(__xludf.DUMMYFUNCTION("""COMPUTED_VALUE"""),"Chapter 158: 106 Unveiled Plans
Unnatural Skill: Healing (Percy Jackson) 200:
Whether from your heritage or just being that good you've got one particular mundane skill that your feats with border on supernatural.
System")</f>
        <v>Chapter 158: 106 Unveiled Plans
Unnatural Skill: Healing (Percy Jackson) 200:
Whether from your heritage or just being that good you've got one particular mundane skill that your feats with border on supernatural.
System</v>
      </c>
      <c r="B170" s="17">
        <f>IFERROR(__xludf.DUMMYFUNCTION("if(len(A170)&gt;0, value(REGEXEXTRACT(A170, ""Chapter ([0-9]*):"")), """")"),158.0)</f>
        <v>158</v>
      </c>
      <c r="C170" s="31" t="str">
        <f>IFERROR(__xludf.DUMMYFUNCTION("if(len(A170) &gt;0, REGEXEXTRACT(A170, ""Chapter [0-9]*: (.*)""), """")"),"106 Unveiled Plans")</f>
        <v>106 Unveiled Plans</v>
      </c>
      <c r="D170" s="31" t="str">
        <f>IFERROR(__xludf.DUMMYFUNCTION("if(len(A170)&gt;0, REGEXEXTRACT(A170, ""\n[^\(]*""), """")"),"
Unnatural Skill: Healing ")</f>
        <v>
Unnatural Skill: Healing </v>
      </c>
      <c r="E170" s="17" t="str">
        <f>IFERROR(__xludf.DUMMYFUNCTION("if(len(A170)&gt;0, REGEXEXTRACT(A170, ""\n([^\n]*)$""), """")"),"System")</f>
        <v>System</v>
      </c>
      <c r="F170" s="17" t="str">
        <f>IFERROR(__xludf.DUMMYFUNCTION("if(len(A170)&gt;0, REGEXEXTRACT(A170, ""\(([^\)]*)\)""), """")"),"Percy Jackson")</f>
        <v>Percy Jackson</v>
      </c>
      <c r="G170" s="17" t="str">
        <f>IFERROR(__xludf.DUMMYFUNCTION("if(len(A170)&gt;0, REGEXEXTRACT(A170, ""\)([^:]*):""), """")")," 200")</f>
        <v> 200</v>
      </c>
      <c r="H170" s="31" t="str">
        <f>IFERROR(__xludf.DUMMYFUNCTION("if(len(A170) &gt; 0, JOIN(char(10), FILTER(SPLIT(A170, char(10)), split(""false false "" &amp; rept(""true "", columns(SPLIT(A170, char(10)))-3) &amp; ""false"", "" ""))), """")"),"Whether from your heritage or just being that good you've got one particular mundane skill that your feats with border on supernatural.")</f>
        <v>Whether from your heritage or just being that good you've got one particular mundane skill that your feats with border on supernatural.</v>
      </c>
    </row>
    <row r="171">
      <c r="A171" s="31" t="str">
        <f>IFERROR(__xludf.DUMMYFUNCTION("""COMPUTED_VALUE"""),"Chapter 159: 107 Coffee Time
Bloodied Combat (Bloodborne) 400:
More so than Blood Bullets, Bloodied Combat is a perk that allows you to make use of your blood in a fight in a few basic ways. Covering a weapon with your blood allows you to expand the strik"&amp;"ing surface, lengthening blades or enlarging hammers with a solid sheath of blood. Outside of this, you may also scoop up a handful of your own blood, compressing it into orbs or daggers that can be thrown at enemies, impacting with surprising force. Enou"&amp;"gh blood gathered and compacted could even allow multiple projectiles to be thrown at once. While this perk isn't as potent as Blood Saint, it also increases blood production enough that it's a great deal harder to bleed out. This allows you to use these "&amp;"abilities safely, provided you practice a bit of moderation. Depending on the buyer, all of these traits are secondary compared to the final benefit it grants though. Bloodied Combat is a ""Capstone Booster"" that provides any Tier 3 perks you've purchase"&amp;"d with secondary benefits. These benefits are listed at the bottom of the Jump in the ""Notes"" section.
Ability")</f>
        <v>Chapter 159: 107 Coffee Time
Bloodied Combat (Bloodborne) 400:
More so than Blood Bullets, Bloodied Combat is a perk that allows you to make use of your blood in a fight in a few basic ways. Covering a weapon with your blood allows you to expand the striking surface, lengthening blades or enlarging hammers with a solid sheath of blood. Outside of this, you may also scoop up a handful of your own blood, compressing it into orbs or daggers that can be thrown at enemies, impacting with surprising force. Enough blood gathered and compacted could even allow multiple projectiles to be thrown at once. While this perk isn't as potent as Blood Saint, it also increases blood production enough that it's a great deal harder to bleed out. This allows you to use these abilities safely, provided you practice a bit of moderation. Depending on the buyer, all of these traits are secondary compared to the final benefit it grants though. Bloodied Combat is a "Capstone Booster" that provides any Tier 3 perks you've purchased with secondary benefits. These benefits are listed at the bottom of the Jump in the "Notes" section.
Ability</v>
      </c>
      <c r="B171" s="17">
        <f>IFERROR(__xludf.DUMMYFUNCTION("if(len(A171)&gt;0, value(REGEXEXTRACT(A171, ""Chapter ([0-9]*):"")), """")"),159.0)</f>
        <v>159</v>
      </c>
      <c r="C171" s="31" t="str">
        <f>IFERROR(__xludf.DUMMYFUNCTION("if(len(A171) &gt;0, REGEXEXTRACT(A171, ""Chapter [0-9]*: (.*)""), """")"),"107 Coffee Time")</f>
        <v>107 Coffee Time</v>
      </c>
      <c r="D171" s="31" t="str">
        <f>IFERROR(__xludf.DUMMYFUNCTION("if(len(A171)&gt;0, REGEXEXTRACT(A171, ""\n[^\(]*""), """")"),"
Bloodied Combat ")</f>
        <v>
Bloodied Combat </v>
      </c>
      <c r="E171" s="17" t="str">
        <f>IFERROR(__xludf.DUMMYFUNCTION("if(len(A171)&gt;0, REGEXEXTRACT(A171, ""\n([^\n]*)$""), """")"),"Ability")</f>
        <v>Ability</v>
      </c>
      <c r="F171" s="17" t="str">
        <f>IFERROR(__xludf.DUMMYFUNCTION("if(len(A171)&gt;0, REGEXEXTRACT(A171, ""\(([^\)]*)\)""), """")"),"Bloodborne")</f>
        <v>Bloodborne</v>
      </c>
      <c r="G171" s="17" t="str">
        <f>IFERROR(__xludf.DUMMYFUNCTION("if(len(A171)&gt;0, REGEXEXTRACT(A171, ""\)([^:]*):""), """")")," 400")</f>
        <v> 400</v>
      </c>
      <c r="H171" s="31" t="str">
        <f>IFERROR(__xludf.DUMMYFUNCTION("if(len(A171) &gt; 0, JOIN(char(10), FILTER(SPLIT(A171, char(10)), split(""false false "" &amp; rept(""true "", columns(SPLIT(A171, char(10)))-3) &amp; ""false"", "" ""))), """")"),"More so than Blood Bullets, Bloodied Combat is a perk that allows you to make use of your blood in a fight in a few basic ways. Covering a weapon with your blood allows you to expand the striking surface, lengthening blades or enlarging hammers with a sol"&amp;"id sheath of blood. Outside of this, you may also scoop up a handful of your own blood, compressing it into orbs or daggers that can be thrown at enemies, impacting with surprising force. Enough blood gathered and compacted could even allow multiple proje"&amp;"ctiles to be thrown at once. While this perk isn't as potent as Blood Saint, it also increases blood production enough that it's a great deal harder to bleed out. This allows you to use these abilities safely, provided you practice a bit of moderation. De"&amp;"pending on the buyer, all of these traits are secondary compared to the final benefit it grants though. Bloodied Combat is a ""Capstone Booster"" that provides any Tier 3 perks you've purchased with secondary benefits. These benefits are listed at the bot"&amp;"tom of the Jump in the ""Notes"" section.")</f>
        <v>More so than Blood Bullets, Bloodied Combat is a perk that allows you to make use of your blood in a fight in a few basic ways. Covering a weapon with your blood allows you to expand the striking surface, lengthening blades or enlarging hammers with a solid sheath of blood. Outside of this, you may also scoop up a handful of your own blood, compressing it into orbs or daggers that can be thrown at enemies, impacting with surprising force. Enough blood gathered and compacted could even allow multiple projectiles to be thrown at once. While this perk isn't as potent as Blood Saint, it also increases blood production enough that it's a great deal harder to bleed out. This allows you to use these abilities safely, provided you practice a bit of moderation. Depending on the buyer, all of these traits are secondary compared to the final benefit it grants though. Bloodied Combat is a "Capstone Booster" that provides any Tier 3 perks you've purchased with secondary benefits. These benefits are listed at the bottom of the Jump in the "Notes" section.</v>
      </c>
    </row>
    <row r="172">
      <c r="A172" s="31" t="str">
        <f>IFERROR(__xludf.DUMMYFUNCTION("""COMPUTED_VALUE"""),"Chapter 159: 107 Coffee Time
Good Blood (Bloodborne) Free:
May the good blood guide your way good hunter! In addition to having stronger white blood cells and more efficient red blood cells, your blood has been strengthened, allowing it to create much mor"&amp;"e potent Blood Bullets. This perk basically makes your blood more useful all around. Your immune system should be able to fight off most of the diseases lurking in this festering, rotting hell for one. Now, when before it could have taken more a dozen sho"&amp;"ts to put down an enemy, it should only take two or three. This allows you to be much more conservative with your bullets. Due to your blood empowering Quicksilver Bullets, they are also improved by this perk.
Personal")</f>
        <v>Chapter 159: 107 Coffee Time
Good Blood (Bloodborne) Free:
May the good blood guide your way good hunter! In addition to having stronger white blood cells and more efficient red blood cells, your blood has been strengthened, allowing it to create much more potent Blood Bullets. This perk basically makes your blood more useful all around. Your immune system should be able to fight off most of the diseases lurking in this festering, rotting hell for one. Now, when before it could have taken more a dozen shots to put down an enemy, it should only take two or three. This allows you to be much more conservative with your bullets. Due to your blood empowering Quicksilver Bullets, they are also improved by this perk.
Personal</v>
      </c>
      <c r="B172" s="17">
        <f>IFERROR(__xludf.DUMMYFUNCTION("if(len(A172)&gt;0, value(REGEXEXTRACT(A172, ""Chapter ([0-9]*):"")), """")"),159.0)</f>
        <v>159</v>
      </c>
      <c r="C172" s="31" t="str">
        <f>IFERROR(__xludf.DUMMYFUNCTION("if(len(A172) &gt;0, REGEXEXTRACT(A172, ""Chapter [0-9]*: (.*)""), """")"),"107 Coffee Time")</f>
        <v>107 Coffee Time</v>
      </c>
      <c r="D172" s="31" t="str">
        <f>IFERROR(__xludf.DUMMYFUNCTION("if(len(A172)&gt;0, REGEXEXTRACT(A172, ""\n[^\(]*""), """")"),"
Good Blood ")</f>
        <v>
Good Blood </v>
      </c>
      <c r="E172" s="17" t="str">
        <f>IFERROR(__xludf.DUMMYFUNCTION("if(len(A172)&gt;0, REGEXEXTRACT(A172, ""\n([^\n]*)$""), """")"),"Personal")</f>
        <v>Personal</v>
      </c>
      <c r="F172" s="17" t="str">
        <f>IFERROR(__xludf.DUMMYFUNCTION("if(len(A172)&gt;0, REGEXEXTRACT(A172, ""\(([^\)]*)\)""), """")"),"Bloodborne")</f>
        <v>Bloodborne</v>
      </c>
      <c r="G172" s="17" t="str">
        <f>IFERROR(__xludf.DUMMYFUNCTION("if(len(A172)&gt;0, REGEXEXTRACT(A172, ""\)([^:]*):""), """")")," Free")</f>
        <v> Free</v>
      </c>
      <c r="H172" s="31" t="str">
        <f>IFERROR(__xludf.DUMMYFUNCTION("if(len(A172) &gt; 0, JOIN(char(10), FILTER(SPLIT(A172, char(10)), split(""false false "" &amp; rept(""true "", columns(SPLIT(A172, char(10)))-3) &amp; ""false"", "" ""))), """")"),"May the good blood guide your way good hunter! In addition to having stronger white blood cells and more efficient red blood cells, your blood has been strengthened, allowing it to create much more potent Blood Bullets. This perk basically makes your bloo"&amp;"d more useful all around. Your immune system should be able to fight off most of the diseases lurking in this festering, rotting hell for one. Now, when before it could have taken more a dozen shots to put down an enemy, it should only take two or three. "&amp;"This allows you to be much more conservative with your bullets. Due to your blood empowering Quicksilver Bullets, they are also improved by this perk.")</f>
        <v>May the good blood guide your way good hunter! In addition to having stronger white blood cells and more efficient red blood cells, your blood has been strengthened, allowing it to create much more potent Blood Bullets. This perk basically makes your blood more useful all around. Your immune system should be able to fight off most of the diseases lurking in this festering, rotting hell for one. Now, when before it could have taken more a dozen shots to put down an enemy, it should only take two or three. This allows you to be much more conservative with your bullets. Due to your blood empowering Quicksilver Bullets, they are also improved by this perk.</v>
      </c>
    </row>
    <row r="173">
      <c r="A173" s="31" t="str">
        <f>IFERROR(__xludf.DUMMYFUNCTION("""COMPUTED_VALUE"""),"Chapter 160: 108 Raised Colors
Maintenance Systems (Personal Reality) 100:
This upgrades Your Robots so that instead of just sorting and fetching they now automatically upgrade with all tech production and repair skills you gain and now provide basic clea"&amp;"ning and maintenance services for anything in your Personal Reality that you know how to fix or repair. They are going to be practically invisible unless you look for them.
Facility")</f>
        <v>Chapter 160: 108 Raised Colors
Maintenance Systems (Personal Reality) 100:
This upgrades Your Robots so that instead of just sorting and fetching they now automatically upgrade with all tech production and repair skills you gain and now provide basic cleaning and maintenance services for anything in your Personal Reality that you know how to fix or repair. They are going to be practically invisible unless you look for them.
Facility</v>
      </c>
      <c r="B173" s="17">
        <f>IFERROR(__xludf.DUMMYFUNCTION("if(len(A173)&gt;0, value(REGEXEXTRACT(A173, ""Chapter ([0-9]*):"")), """")"),160.0)</f>
        <v>160</v>
      </c>
      <c r="C173" s="31" t="str">
        <f>IFERROR(__xludf.DUMMYFUNCTION("if(len(A173) &gt;0, REGEXEXTRACT(A173, ""Chapter [0-9]*: (.*)""), """")"),"108 Raised Colors")</f>
        <v>108 Raised Colors</v>
      </c>
      <c r="D173" s="31" t="str">
        <f>IFERROR(__xludf.DUMMYFUNCTION("if(len(A173)&gt;0, REGEXEXTRACT(A173, ""\n[^\(]*""), """")"),"
Maintenance Systems ")</f>
        <v>
Maintenance Systems </v>
      </c>
      <c r="E173" s="17" t="str">
        <f>IFERROR(__xludf.DUMMYFUNCTION("if(len(A173)&gt;0, REGEXEXTRACT(A173, ""\n([^\n]*)$""), """")"),"Facility")</f>
        <v>Facility</v>
      </c>
      <c r="F173" s="17" t="str">
        <f>IFERROR(__xludf.DUMMYFUNCTION("if(len(A173)&gt;0, REGEXEXTRACT(A173, ""\(([^\)]*)\)""), """")"),"Personal Reality")</f>
        <v>Personal Reality</v>
      </c>
      <c r="G173" s="17" t="str">
        <f>IFERROR(__xludf.DUMMYFUNCTION("if(len(A173)&gt;0, REGEXEXTRACT(A173, ""\)([^:]*):""), """")")," 100")</f>
        <v> 100</v>
      </c>
      <c r="H173" s="31" t="str">
        <f>IFERROR(__xludf.DUMMYFUNCTION("if(len(A173) &gt; 0, JOIN(char(10), FILTER(SPLIT(A173, char(10)), split(""false false "" &amp; rept(""true "", columns(SPLIT(A173, char(10)))-3) &amp; ""false"", "" ""))), """")"),"This upgrades Your Robots so that instead of just sorting and fetching they now automatically upgrade with all tech production and repair skills you gain and now provide basic cleaning and maintenance services for anything in your Personal Reality that yo"&amp;"u know how to fix or repair. They are going to be practically invisible unless you look for them.")</f>
        <v>This upgrades Your Robots so that instead of just sorting and fetching they now automatically upgrade with all tech production and repair skills you gain and now provide basic cleaning and maintenance services for anything in your Personal Reality that you know how to fix or repair. They are going to be practically invisible unless you look for them.</v>
      </c>
    </row>
    <row r="174">
      <c r="A174" s="31" t="str">
        <f>IFERROR(__xludf.DUMMYFUNCTION("""COMPUTED_VALUE"""),"Chapter 162: 108.2 Interlude Armstrong
Certified Tech (Fallout) 600:
You are one of the brightest minds of the 23rd Century! You now understand Pre-War science, and can even reverse-engineer existing technology to learn how it works, and how to recreate i"&amp;"t. Plus, if you can learn the basics of truly alien science, this perk helps you master it the same way.
System")</f>
        <v>Chapter 162: 108.2 Interlude Armstrong
Certified Tech (Fallout) 600:
You are one of the brightest minds of the 23rd Century! You now understand Pre-War science, and can even reverse-engineer existing technology to learn how it works, and how to recreate it. Plus, if you can learn the basics of truly alien science, this perk helps you master it the same way.
System</v>
      </c>
      <c r="B174" s="17">
        <f>IFERROR(__xludf.DUMMYFUNCTION("if(len(A174)&gt;0, value(REGEXEXTRACT(A174, ""Chapter ([0-9]*):"")), """")"),162.0)</f>
        <v>162</v>
      </c>
      <c r="C174" s="31" t="str">
        <f>IFERROR(__xludf.DUMMYFUNCTION("if(len(A174) &gt;0, REGEXEXTRACT(A174, ""Chapter [0-9]*: (.*)""), """")"),"108.2 Interlude Armstrong")</f>
        <v>108.2 Interlude Armstrong</v>
      </c>
      <c r="D174" s="31" t="str">
        <f>IFERROR(__xludf.DUMMYFUNCTION("if(len(A174)&gt;0, REGEXEXTRACT(A174, ""\n[^\(]*""), """")"),"
Certified Tech ")</f>
        <v>
Certified Tech </v>
      </c>
      <c r="E174" s="17" t="str">
        <f>IFERROR(__xludf.DUMMYFUNCTION("if(len(A174)&gt;0, REGEXEXTRACT(A174, ""\n([^\n]*)$""), """")"),"System")</f>
        <v>System</v>
      </c>
      <c r="F174" s="17" t="str">
        <f>IFERROR(__xludf.DUMMYFUNCTION("if(len(A174)&gt;0, REGEXEXTRACT(A174, ""\(([^\)]*)\)""), """")"),"Fallout")</f>
        <v>Fallout</v>
      </c>
      <c r="G174" s="17" t="str">
        <f>IFERROR(__xludf.DUMMYFUNCTION("if(len(A174)&gt;0, REGEXEXTRACT(A174, ""\)([^:]*):""), """")")," 600")</f>
        <v> 600</v>
      </c>
      <c r="H174" s="31" t="str">
        <f>IFERROR(__xludf.DUMMYFUNCTION("if(len(A174) &gt; 0, JOIN(char(10), FILTER(SPLIT(A174, char(10)), split(""false false "" &amp; rept(""true "", columns(SPLIT(A174, char(10)))-3) &amp; ""false"", "" ""))), """")"),"You are one of the brightest minds of the 23rd Century! You now understand Pre-War science, and can even reverse-engineer existing technology to learn how it works, and how to recreate it. Plus, if you can learn the basics of truly alien science, this per"&amp;"k helps you master it the same way.")</f>
        <v>You are one of the brightest minds of the 23rd Century! You now understand Pre-War science, and can even reverse-engineer existing technology to learn how it works, and how to recreate it. Plus, if you can learn the basics of truly alien science, this perk helps you master it the same way.</v>
      </c>
    </row>
    <row r="175">
      <c r="A175" s="31" t="str">
        <f>IFERROR(__xludf.DUMMYFUNCTION("""COMPUTED_VALUE"""),"Chapter 162: 108.2 Interlude Armstrong
Skill Tag (Fallout) Free:
Just three skills to Tag, and you’ll get an immediate boost to your competence in them. Not enough to be an expert, mind. Just enough to go from novice to decent, or decent to downright comp"&amp;"etent. You’ll also learn that skill faster too, so with enough practice, you really will get perfect. Most also come with tools of the trade, just to make your life easier.
Medicine: Putting people back together – includes first aid and surgery, as well a"&amp;"s treating diseases, radiation poisoning, and other conditions. Start with a first aid kit.
Repair: Practical use of science – building things, fixing them when they break. Start with a toolkit.
Science: Various high technical skills, including computers,"&amp;" biology, physics, and geology. Start with a nifty lab coat and gloves.
Personal")</f>
        <v>Chapter 162: 108.2 Interlude Armstrong
Skill Tag (Fallout) Free:
Just three skills to Tag, and you’ll get an immediate boost to your competence in them. Not enough to be an expert, mind. Just enough to go from novice to decent, or decent to downright competent. You’ll also learn that skill faster too, so with enough practice, you really will get perfect. Most also come with tools of the trade, just to make your life easier.
Medicine: Putting people back together – includes first aid and surgery, as well as treating diseases, radiation poisoning, and other conditions. Start with a first aid kit.
Repair: Practical use of science – building things, fixing them when they break. Start with a toolkit.
Science: Various high technical skills, including computers, biology, physics, and geology. Start with a nifty lab coat and gloves.
Personal</v>
      </c>
      <c r="B175" s="17">
        <f>IFERROR(__xludf.DUMMYFUNCTION("if(len(A175)&gt;0, value(REGEXEXTRACT(A175, ""Chapter ([0-9]*):"")), """")"),162.0)</f>
        <v>162</v>
      </c>
      <c r="C175" s="31" t="str">
        <f>IFERROR(__xludf.DUMMYFUNCTION("if(len(A175) &gt;0, REGEXEXTRACT(A175, ""Chapter [0-9]*: (.*)""), """")"),"108.2 Interlude Armstrong")</f>
        <v>108.2 Interlude Armstrong</v>
      </c>
      <c r="D175" s="31" t="str">
        <f>IFERROR(__xludf.DUMMYFUNCTION("if(len(A175)&gt;0, REGEXEXTRACT(A175, ""\n[^\(]*""), """")"),"
Skill Tag ")</f>
        <v>
Skill Tag </v>
      </c>
      <c r="E175" s="17" t="str">
        <f>IFERROR(__xludf.DUMMYFUNCTION("if(len(A175)&gt;0, REGEXEXTRACT(A175, ""\n([^\n]*)$""), """")"),"Personal")</f>
        <v>Personal</v>
      </c>
      <c r="F175" s="17" t="str">
        <f>IFERROR(__xludf.DUMMYFUNCTION("if(len(A175)&gt;0, REGEXEXTRACT(A175, ""\(([^\)]*)\)""), """")"),"Fallout")</f>
        <v>Fallout</v>
      </c>
      <c r="G175" s="17" t="str">
        <f>IFERROR(__xludf.DUMMYFUNCTION("if(len(A175)&gt;0, REGEXEXTRACT(A175, ""\)([^:]*):""), """")")," Free")</f>
        <v> Free</v>
      </c>
      <c r="H175" s="31" t="str">
        <f>IFERROR(__xludf.DUMMYFUNCTION("if(len(A175) &gt; 0, JOIN(char(10), FILTER(SPLIT(A175, char(10)), split(""false false "" &amp; rept(""true "", columns(SPLIT(A175, char(10)))-3) &amp; ""false"", "" ""))), """")"),"Just three skills to Tag, and you’ll get an immediate boost to your competence in them. Not enough to be an expert, mind. Just enough to go from novice to decent, or decent to downright competent. You’ll also learn that skill faster too, so with enough pr"&amp;"actice, you really will get perfect. Most also come with tools of the trade, just to make your life easier.
Medicine: Putting people back together – includes first aid and surgery, as well as treating diseases, radiation poisoning, and other conditions. S"&amp;"tart with a first aid kit.
Repair: Practical use of science – building things, fixing them when they break. Start with a toolkit.
Science: Various high technical skills, including computers, biology, physics, and geology. Start with a nifty lab coat and g"&amp;"loves.")</f>
        <v>Just three skills to Tag, and you’ll get an immediate boost to your competence in them. Not enough to be an expert, mind. Just enough to go from novice to decent, or decent to downright competent. You’ll also learn that skill faster too, so with enough practice, you really will get perfect. Most also come with tools of the trade, just to make your life easier.
Medicine: Putting people back together – includes first aid and surgery, as well as treating diseases, radiation poisoning, and other conditions. Start with a first aid kit.
Repair: Practical use of science – building things, fixing them when they break. Start with a toolkit.
Science: Various high technical skills, including computers, biology, physics, and geology. Start with a nifty lab coat and gloves.</v>
      </c>
    </row>
    <row r="176">
      <c r="A176" s="31" t="str">
        <f>IFERROR(__xludf.DUMMYFUNCTION("""COMPUTED_VALUE"""),"Chapter 164: 109 Points of Contact - Addendum Lily
A Little Less Basic (Personal Reality) 200:
Although not a huge improvement, this raises the basic food allotment to what can be expected for a middle-class working family’s budget. You can set it to the"&amp;" kinds of things your home culture might buy… or simply set it to a random sampling of various cultures’ food purchases. Honestly, it’s fascinating seeing what people buy. Check out Hungry Planet if you can. This is effectively 150 dollars US a week per p"&amp;"erson, adjusted for cost of living and whatnot. You have very limited brand control.
Facility")</f>
        <v>Chapter 164: 109 Points of Contact - Addendum Lily
A Little Less Basic (Personal Reality) 200:
Although not a huge improvement, this raises the basic food allotment to what can be expected for a middle-class working family’s budget. You can set it to the kinds of things your home culture might buy… or simply set it to a random sampling of various cultures’ food purchases. Honestly, it’s fascinating seeing what people buy. Check out Hungry Planet if you can. This is effectively 150 dollars US a week per person, adjusted for cost of living and whatnot. You have very limited brand control.
Facility</v>
      </c>
      <c r="B176" s="17">
        <f>IFERROR(__xludf.DUMMYFUNCTION("if(len(A176)&gt;0, value(REGEXEXTRACT(A176, ""Chapter ([0-9]*):"")), """")"),164.0)</f>
        <v>164</v>
      </c>
      <c r="C176" s="31" t="str">
        <f>IFERROR(__xludf.DUMMYFUNCTION("if(len(A176) &gt;0, REGEXEXTRACT(A176, ""Chapter [0-9]*: (.*)""), """")"),"109 Points of Contact - Addendum Lily")</f>
        <v>109 Points of Contact - Addendum Lily</v>
      </c>
      <c r="D176" s="31" t="str">
        <f>IFERROR(__xludf.DUMMYFUNCTION("if(len(A176)&gt;0, REGEXEXTRACT(A176, ""\n[^\(]*""), """")"),"
A Little Less Basic ")</f>
        <v>
A Little Less Basic </v>
      </c>
      <c r="E176" s="17" t="str">
        <f>IFERROR(__xludf.DUMMYFUNCTION("if(len(A176)&gt;0, REGEXEXTRACT(A176, ""\n([^\n]*)$""), """")"),"Facility")</f>
        <v>Facility</v>
      </c>
      <c r="F176" s="17" t="str">
        <f>IFERROR(__xludf.DUMMYFUNCTION("if(len(A176)&gt;0, REGEXEXTRACT(A176, ""\(([^\)]*)\)""), """")"),"Personal Reality")</f>
        <v>Personal Reality</v>
      </c>
      <c r="G176" s="17" t="str">
        <f>IFERROR(__xludf.DUMMYFUNCTION("if(len(A176)&gt;0, REGEXEXTRACT(A176, ""\)([^:]*):""), """")")," 200")</f>
        <v> 200</v>
      </c>
      <c r="H176" s="31" t="str">
        <f>IFERROR(__xludf.DUMMYFUNCTION("if(len(A176) &gt; 0, JOIN(char(10), FILTER(SPLIT(A176, char(10)), split(""false false "" &amp; rept(""true "", columns(SPLIT(A176, char(10)))-3) &amp; ""false"", "" ""))), """")"),"Although not a huge improvement, this raises the basic food allotment to what can be expected for a middle-class working family’s budget. You can set it to the kinds of things your home culture might buy… or simply set it to a random sampling of various c"&amp;"ultures’ food purchases. Honestly, it’s fascinating seeing what people buy. Check out Hungry Planet if you can. This is effectively 150 dollars US a week per person, adjusted for cost of living and whatnot. You have very limited brand control.")</f>
        <v>Although not a huge improvement, this raises the basic food allotment to what can be expected for a middle-class working family’s budget. You can set it to the kinds of things your home culture might buy… or simply set it to a random sampling of various cultures’ food purchases. Honestly, it’s fascinating seeing what people buy. Check out Hungry Planet if you can. This is effectively 150 dollars US a week per person, adjusted for cost of living and whatnot. You have very limited brand control.</v>
      </c>
    </row>
    <row r="177">
      <c r="A177" s="31" t="str">
        <f>IFERROR(__xludf.DUMMYFUNCTION("""COMPUTED_VALUE"""),"Chapter 164: 109 Points of Contact - Addendum Lily
A Lot Less (Personal Reality) 200:
This A Little Less Basic Upgrade gives you specific cultural (rural France in the 1880s, Moscow under the communists, biblical Israel, etc.) and general purchasing brea"&amp;"kdown (X% grains, Y% junk food, Z% fresh fruits, etc.) plus raises the food budget to 300 US dollars purchasing power per person per week. Each week you can change what kind of food delivery you get and where it comes from, including any culture you’ve ju"&amp;"mped into along your travels. This still does not give you direct control of what you get, just a general batch of stuff that fits your requirements. You can specify brands you’d like, however.
Facility")</f>
        <v>Chapter 164: 109 Points of Contact - Addendum Lily
A Lot Less (Personal Reality) 200:
This A Little Less Basic Upgrade gives you specific cultural (rural France in the 1880s, Moscow under the communists, biblical Israel, etc.) and general purchasing breakdown (X% grains, Y% junk food, Z% fresh fruits, etc.) plus raises the food budget to 300 US dollars purchasing power per person per week. Each week you can change what kind of food delivery you get and where it comes from, including any culture you’ve jumped into along your travels. This still does not give you direct control of what you get, just a general batch of stuff that fits your requirements. You can specify brands you’d like, however.
Facility</v>
      </c>
      <c r="B177" s="17">
        <f>IFERROR(__xludf.DUMMYFUNCTION("if(len(A177)&gt;0, value(REGEXEXTRACT(A177, ""Chapter ([0-9]*):"")), """")"),164.0)</f>
        <v>164</v>
      </c>
      <c r="C177" s="31" t="str">
        <f>IFERROR(__xludf.DUMMYFUNCTION("if(len(A177) &gt;0, REGEXEXTRACT(A177, ""Chapter [0-9]*: (.*)""), """")"),"109 Points of Contact - Addendum Lily")</f>
        <v>109 Points of Contact - Addendum Lily</v>
      </c>
      <c r="D177" s="31" t="str">
        <f>IFERROR(__xludf.DUMMYFUNCTION("if(len(A177)&gt;0, REGEXEXTRACT(A177, ""\n[^\(]*""), """")"),"
A Lot Less ")</f>
        <v>
A Lot Less </v>
      </c>
      <c r="E177" s="17" t="str">
        <f>IFERROR(__xludf.DUMMYFUNCTION("if(len(A177)&gt;0, REGEXEXTRACT(A177, ""\n([^\n]*)$""), """")"),"Facility")</f>
        <v>Facility</v>
      </c>
      <c r="F177" s="17" t="str">
        <f>IFERROR(__xludf.DUMMYFUNCTION("if(len(A177)&gt;0, REGEXEXTRACT(A177, ""\(([^\)]*)\)""), """")"),"Personal Reality")</f>
        <v>Personal Reality</v>
      </c>
      <c r="G177" s="17" t="str">
        <f>IFERROR(__xludf.DUMMYFUNCTION("if(len(A177)&gt;0, REGEXEXTRACT(A177, ""\)([^:]*):""), """")")," 200")</f>
        <v> 200</v>
      </c>
      <c r="H177" s="31" t="str">
        <f>IFERROR(__xludf.DUMMYFUNCTION("if(len(A177) &gt; 0, JOIN(char(10), FILTER(SPLIT(A177, char(10)), split(""false false "" &amp; rept(""true "", columns(SPLIT(A177, char(10)))-3) &amp; ""false"", "" ""))), """")"),"This A Little Less Basic Upgrade gives you specific cultural (rural France in the 1880s, Moscow under the communists, biblical Israel, etc.) and general purchasing breakdown (X% grains, Y% junk food, Z% fresh fruits, etc.) plus raises the food budget to 3"&amp;"00 US dollars purchasing power per person per week. Each week you can change what kind of food delivery you get and where it comes from, including any culture you’ve jumped into along your travels. This still does not give you direct control of what you g"&amp;"et, just a general batch of stuff that fits your requirements. You can specify brands you’d like, however.")</f>
        <v>This A Little Less Basic Upgrade gives you specific cultural (rural France in the 1880s, Moscow under the communists, biblical Israel, etc.) and general purchasing breakdown (X% grains, Y% junk food, Z% fresh fruits, etc.) plus raises the food budget to 300 US dollars purchasing power per person per week. Each week you can change what kind of food delivery you get and where it comes from, including any culture you’ve jumped into along your travels. This still does not give you direct control of what you get, just a general batch of stuff that fits your requirements. You can specify brands you’d like, however.</v>
      </c>
    </row>
    <row r="178">
      <c r="A178" s="31" t="str">
        <f>IFERROR(__xludf.DUMMYFUNCTION("""COMPUTED_VALUE"""),"Chapter 164: 109 Points of Contact - Addendum Lily
Basic Nutrition (Personal Reality) 100:
This option provides a basic (if minimalist) food delivery for you and all companions (metered for a normal human dietary requirement). This delivery comes once a "&amp;"week and is the kind of thing you’d buy on a very strict budget; Ramen, Peanut Butter, Generic Cereal, Dry Beans, Eggs, Tofu, Fresh Common Fruits &amp; Veggies, Canned Fruits &amp; Veggies, Dry Pasta, Salt, Pepper, Milk, Bottled Water, Rice, Flour, Butter, Barley"&amp;", etc. (Note, you cannot sell the Salt or Pepper for money.) Essentially the purchasing power of 50 dollars US a week per person.
Facility")</f>
        <v>Chapter 164: 109 Points of Contact - Addendum Lily
Basic Nutrition (Personal Reality) 100:
This option provides a basic (if minimalist) food delivery for you and all companions (metered for a normal human dietary requirement). This delivery comes once a week and is the kind of thing you’d buy on a very strict budget; Ramen, Peanut Butter, Generic Cereal, Dry Beans, Eggs, Tofu, Fresh Common Fruits &amp; Veggies, Canned Fruits &amp; Veggies, Dry Pasta, Salt, Pepper, Milk, Bottled Water, Rice, Flour, Butter, Barley, etc. (Note, you cannot sell the Salt or Pepper for money.) Essentially the purchasing power of 50 dollars US a week per person.
Facility</v>
      </c>
      <c r="B178" s="17">
        <f>IFERROR(__xludf.DUMMYFUNCTION("if(len(A178)&gt;0, value(REGEXEXTRACT(A178, ""Chapter ([0-9]*):"")), """")"),164.0)</f>
        <v>164</v>
      </c>
      <c r="C178" s="31" t="str">
        <f>IFERROR(__xludf.DUMMYFUNCTION("if(len(A178) &gt;0, REGEXEXTRACT(A178, ""Chapter [0-9]*: (.*)""), """")"),"109 Points of Contact - Addendum Lily")</f>
        <v>109 Points of Contact - Addendum Lily</v>
      </c>
      <c r="D178" s="31" t="str">
        <f>IFERROR(__xludf.DUMMYFUNCTION("if(len(A178)&gt;0, REGEXEXTRACT(A178, ""\n[^\(]*""), """")"),"
Basic Nutrition ")</f>
        <v>
Basic Nutrition </v>
      </c>
      <c r="E178" s="17" t="str">
        <f>IFERROR(__xludf.DUMMYFUNCTION("if(len(A178)&gt;0, REGEXEXTRACT(A178, ""\n([^\n]*)$""), """")"),"Facility")</f>
        <v>Facility</v>
      </c>
      <c r="F178" s="17" t="str">
        <f>IFERROR(__xludf.DUMMYFUNCTION("if(len(A178)&gt;0, REGEXEXTRACT(A178, ""\(([^\)]*)\)""), """")"),"Personal Reality")</f>
        <v>Personal Reality</v>
      </c>
      <c r="G178" s="17" t="str">
        <f>IFERROR(__xludf.DUMMYFUNCTION("if(len(A178)&gt;0, REGEXEXTRACT(A178, ""\)([^:]*):""), """")")," 100")</f>
        <v> 100</v>
      </c>
      <c r="H178" s="31" t="str">
        <f>IFERROR(__xludf.DUMMYFUNCTION("if(len(A178) &gt; 0, JOIN(char(10), FILTER(SPLIT(A178, char(10)), split(""false false "" &amp; rept(""true "", columns(SPLIT(A178, char(10)))-3) &amp; ""false"", "" ""))), """")"),"This option provides a basic (if minimalist) food delivery for you and all companions (metered for a normal human dietary requirement). This delivery comes once a week and is the kind of thing you’d buy on a very strict budget; Ramen, Peanut Butter, Gener"&amp;"ic Cereal, Dry Beans, Eggs, Tofu, Fresh Common Fruits &amp; Veggies, Canned Fruits &amp; Veggies, Dry Pasta, Salt, Pepper, Milk, Bottled Water, Rice, Flour, Butter, Barley, etc. (Note, you cannot sell the Salt or Pepper for money.) Essentially the purchasing powe"&amp;"r of 50 dollars US a week per person.")</f>
        <v>This option provides a basic (if minimalist) food delivery for you and all companions (metered for a normal human dietary requirement). This delivery comes once a week and is the kind of thing you’d buy on a very strict budget; Ramen, Peanut Butter, Generic Cereal, Dry Beans, Eggs, Tofu, Fresh Common Fruits &amp; Veggies, Canned Fruits &amp; Veggies, Dry Pasta, Salt, Pepper, Milk, Bottled Water, Rice, Flour, Butter, Barley, etc. (Note, you cannot sell the Salt or Pepper for money.) Essentially the purchasing power of 50 dollars US a week per person.</v>
      </c>
    </row>
    <row r="179">
      <c r="A179" s="31" t="str">
        <f>IFERROR(__xludf.DUMMYFUNCTION("""COMPUTED_VALUE"""),"Chapter 166: 110 Tangential Concerns
Round Telephone (Stargate SG-1) Free:
The Stargate is a pretty important piece of technology, that much is certain. It's the name of the series, of COURSE it's important. You have knowledge on how to decipher its inter"&amp;"face, and as such can use it to go from world to world.
Skill")</f>
        <v>Chapter 166: 110 Tangential Concerns
Round Telephone (Stargate SG-1) Free:
The Stargate is a pretty important piece of technology, that much is certain. It's the name of the series, of COURSE it's important. You have knowledge on how to decipher its interface, and as such can use it to go from world to world.
Skill</v>
      </c>
      <c r="B179" s="17">
        <f>IFERROR(__xludf.DUMMYFUNCTION("if(len(A179)&gt;0, value(REGEXEXTRACT(A179, ""Chapter ([0-9]*):"")), """")"),166.0)</f>
        <v>166</v>
      </c>
      <c r="C179" s="31" t="str">
        <f>IFERROR(__xludf.DUMMYFUNCTION("if(len(A179) &gt;0, REGEXEXTRACT(A179, ""Chapter [0-9]*: (.*)""), """")"),"110 Tangential Concerns")</f>
        <v>110 Tangential Concerns</v>
      </c>
      <c r="D179" s="31" t="str">
        <f>IFERROR(__xludf.DUMMYFUNCTION("if(len(A179)&gt;0, REGEXEXTRACT(A179, ""\n[^\(]*""), """")"),"
Round Telephone ")</f>
        <v>
Round Telephone </v>
      </c>
      <c r="E179" s="17" t="str">
        <f>IFERROR(__xludf.DUMMYFUNCTION("if(len(A179)&gt;0, REGEXEXTRACT(A179, ""\n([^\n]*)$""), """")"),"Skill")</f>
        <v>Skill</v>
      </c>
      <c r="F179" s="17" t="str">
        <f>IFERROR(__xludf.DUMMYFUNCTION("if(len(A179)&gt;0, REGEXEXTRACT(A179, ""\(([^\)]*)\)""), """")"),"Stargate SG-1")</f>
        <v>Stargate SG-1</v>
      </c>
      <c r="G179" s="17" t="str">
        <f>IFERROR(__xludf.DUMMYFUNCTION("if(len(A179)&gt;0, REGEXEXTRACT(A179, ""\)([^:]*):""), """")")," Free")</f>
        <v> Free</v>
      </c>
      <c r="H179" s="31" t="str">
        <f>IFERROR(__xludf.DUMMYFUNCTION("if(len(A179) &gt; 0, JOIN(char(10), FILTER(SPLIT(A179, char(10)), split(""false false "" &amp; rept(""true "", columns(SPLIT(A179, char(10)))-3) &amp; ""false"", "" ""))), """")"),"The Stargate is a pretty important piece of technology, that much is certain. It's the name of the series, of COURSE it's important. You have knowledge on how to decipher its interface, and as such can use it to go from world to world.")</f>
        <v>The Stargate is a pretty important piece of technology, that much is certain. It's the name of the series, of COURSE it's important. You have knowledge on how to decipher its interface, and as such can use it to go from world to world.</v>
      </c>
    </row>
    <row r="180">
      <c r="A180" s="31" t="str">
        <f>IFERROR(__xludf.DUMMYFUNCTION("""COMPUTED_VALUE"""),"Chapter 166: 110 Tangential Concerns
Toxicology Reports (Stargate SG-1) Free:
That wasn't there before. For whatever reason your blood contains just a bit of Naquadah now. Not enough to drain yourself and siphon it, but enough to utilize and work the tech"&amp;"nology of the Goa'uld. As a bonus, this allows you to sense when other Goa'uld symbiotes are nearby.
Personal")</f>
        <v>Chapter 166: 110 Tangential Concerns
Toxicology Reports (Stargate SG-1) Free:
That wasn't there before. For whatever reason your blood contains just a bit of Naquadah now. Not enough to drain yourself and siphon it, but enough to utilize and work the technology of the Goa'uld. As a bonus, this allows you to sense when other Goa'uld symbiotes are nearby.
Personal</v>
      </c>
      <c r="B180" s="17">
        <f>IFERROR(__xludf.DUMMYFUNCTION("if(len(A180)&gt;0, value(REGEXEXTRACT(A180, ""Chapter ([0-9]*):"")), """")"),166.0)</f>
        <v>166</v>
      </c>
      <c r="C180" s="31" t="str">
        <f>IFERROR(__xludf.DUMMYFUNCTION("if(len(A180) &gt;0, REGEXEXTRACT(A180, ""Chapter [0-9]*: (.*)""), """")"),"110 Tangential Concerns")</f>
        <v>110 Tangential Concerns</v>
      </c>
      <c r="D180" s="31" t="str">
        <f>IFERROR(__xludf.DUMMYFUNCTION("if(len(A180)&gt;0, REGEXEXTRACT(A180, ""\n[^\(]*""), """")"),"
Toxicology Reports ")</f>
        <v>
Toxicology Reports </v>
      </c>
      <c r="E180" s="17" t="str">
        <f>IFERROR(__xludf.DUMMYFUNCTION("if(len(A180)&gt;0, REGEXEXTRACT(A180, ""\n([^\n]*)$""), """")"),"Personal")</f>
        <v>Personal</v>
      </c>
      <c r="F180" s="17" t="str">
        <f>IFERROR(__xludf.DUMMYFUNCTION("if(len(A180)&gt;0, REGEXEXTRACT(A180, ""\(([^\)]*)\)""), """")"),"Stargate SG-1")</f>
        <v>Stargate SG-1</v>
      </c>
      <c r="G180" s="17" t="str">
        <f>IFERROR(__xludf.DUMMYFUNCTION("if(len(A180)&gt;0, REGEXEXTRACT(A180, ""\)([^:]*):""), """")")," Free")</f>
        <v> Free</v>
      </c>
      <c r="H180" s="31" t="str">
        <f>IFERROR(__xludf.DUMMYFUNCTION("if(len(A180) &gt; 0, JOIN(char(10), FILTER(SPLIT(A180, char(10)), split(""false false "" &amp; rept(""true "", columns(SPLIT(A180, char(10)))-3) &amp; ""false"", "" ""))), """")"),"That wasn't there before. For whatever reason your blood contains just a bit of Naquadah now. Not enough to drain yourself and siphon it, but enough to utilize and work the technology of the Goa'uld. As a bonus, this allows you to sense when other Goa'uld"&amp;" symbiotes are nearby.")</f>
        <v>That wasn't there before. For whatever reason your blood contains just a bit of Naquadah now. Not enough to drain yourself and siphon it, but enough to utilize and work the technology of the Goa'uld. As a bonus, this allows you to sense when other Goa'uld symbiotes are nearby.</v>
      </c>
    </row>
    <row r="181">
      <c r="A181" s="31" t="str">
        <f>IFERROR(__xludf.DUMMYFUNCTION("""COMPUTED_VALUE"""),"Chapter 166: 110 Tangential Concerns
Unleash the Snark (Stargate SG-1) Free:
All these aliens acting all hoity-toity... someone needs to take them down a peg. You always know what to say to be snarky at others, whether it be at a superior or a terrorist o"&amp;"r an alien menace. They may have weapons and lasers, but the battle of wits belongs to you.
Skill")</f>
        <v>Chapter 166: 110 Tangential Concerns
Unleash the Snark (Stargate SG-1) Free:
All these aliens acting all hoity-toity... someone needs to take them down a peg. You always know what to say to be snarky at others, whether it be at a superior or a terrorist or an alien menace. They may have weapons and lasers, but the battle of wits belongs to you.
Skill</v>
      </c>
      <c r="B181" s="17">
        <f>IFERROR(__xludf.DUMMYFUNCTION("if(len(A181)&gt;0, value(REGEXEXTRACT(A181, ""Chapter ([0-9]*):"")), """")"),166.0)</f>
        <v>166</v>
      </c>
      <c r="C181" s="31" t="str">
        <f>IFERROR(__xludf.DUMMYFUNCTION("if(len(A181) &gt;0, REGEXEXTRACT(A181, ""Chapter [0-9]*: (.*)""), """")"),"110 Tangential Concerns")</f>
        <v>110 Tangential Concerns</v>
      </c>
      <c r="D181" s="31" t="str">
        <f>IFERROR(__xludf.DUMMYFUNCTION("if(len(A181)&gt;0, REGEXEXTRACT(A181, ""\n[^\(]*""), """")"),"
Unleash the Snark ")</f>
        <v>
Unleash the Snark </v>
      </c>
      <c r="E181" s="17" t="str">
        <f>IFERROR(__xludf.DUMMYFUNCTION("if(len(A181)&gt;0, REGEXEXTRACT(A181, ""\n([^\n]*)$""), """")"),"Skill")</f>
        <v>Skill</v>
      </c>
      <c r="F181" s="17" t="str">
        <f>IFERROR(__xludf.DUMMYFUNCTION("if(len(A181)&gt;0, REGEXEXTRACT(A181, ""\(([^\)]*)\)""), """")"),"Stargate SG-1")</f>
        <v>Stargate SG-1</v>
      </c>
      <c r="G181" s="17" t="str">
        <f>IFERROR(__xludf.DUMMYFUNCTION("if(len(A181)&gt;0, REGEXEXTRACT(A181, ""\)([^:]*):""), """")")," Free")</f>
        <v> Free</v>
      </c>
      <c r="H181" s="31" t="str">
        <f>IFERROR(__xludf.DUMMYFUNCTION("if(len(A181) &gt; 0, JOIN(char(10), FILTER(SPLIT(A181, char(10)), split(""false false "" &amp; rept(""true "", columns(SPLIT(A181, char(10)))-3) &amp; ""false"", "" ""))), """")"),"All these aliens acting all hoity-toity... someone needs to take them down a peg. You always know what to say to be snarky at others, whether it be at a superior or a terrorist or an alien menace. They may have weapons and lasers, but the battle of wits b"&amp;"elongs to you.")</f>
        <v>All these aliens acting all hoity-toity... someone needs to take them down a peg. You always know what to say to be snarky at others, whether it be at a superior or a terrorist or an alien menace. They may have weapons and lasers, but the battle of wits belongs to you.</v>
      </c>
    </row>
    <row r="182">
      <c r="A182" s="31" t="str">
        <f>IFERROR(__xludf.DUMMYFUNCTION("""COMPUTED_VALUE"""),"Chapter 166: 110 Tangential Concerns
Xenoarcheaologist (Stargate SG-1) 600:
For whatever reason, understanding the civilizations of old means you're able to understand alien technology a lot better. You may not know everything off the bat, but upon first "&amp;"sight you have an idea of what it was meant for... and the longer you look at it, the more information you can glean. Fiddling with it will let you familiarize yourself with it more quickly.
System")</f>
        <v>Chapter 166: 110 Tangential Concerns
Xenoarcheaologist (Stargate SG-1) 600:
For whatever reason, understanding the civilizations of old means you're able to understand alien technology a lot better. You may not know everything off the bat, but upon first sight you have an idea of what it was meant for... and the longer you look at it, the more information you can glean. Fiddling with it will let you familiarize yourself with it more quickly.
System</v>
      </c>
      <c r="B182" s="17">
        <f>IFERROR(__xludf.DUMMYFUNCTION("if(len(A182)&gt;0, value(REGEXEXTRACT(A182, ""Chapter ([0-9]*):"")), """")"),166.0)</f>
        <v>166</v>
      </c>
      <c r="C182" s="31" t="str">
        <f>IFERROR(__xludf.DUMMYFUNCTION("if(len(A182) &gt;0, REGEXEXTRACT(A182, ""Chapter [0-9]*: (.*)""), """")"),"110 Tangential Concerns")</f>
        <v>110 Tangential Concerns</v>
      </c>
      <c r="D182" s="31" t="str">
        <f>IFERROR(__xludf.DUMMYFUNCTION("if(len(A182)&gt;0, REGEXEXTRACT(A182, ""\n[^\(]*""), """")"),"
Xenoarcheaologist ")</f>
        <v>
Xenoarcheaologist </v>
      </c>
      <c r="E182" s="17" t="str">
        <f>IFERROR(__xludf.DUMMYFUNCTION("if(len(A182)&gt;0, REGEXEXTRACT(A182, ""\n([^\n]*)$""), """")"),"System")</f>
        <v>System</v>
      </c>
      <c r="F182" s="17" t="str">
        <f>IFERROR(__xludf.DUMMYFUNCTION("if(len(A182)&gt;0, REGEXEXTRACT(A182, ""\(([^\)]*)\)""), """")"),"Stargate SG-1")</f>
        <v>Stargate SG-1</v>
      </c>
      <c r="G182" s="17" t="str">
        <f>IFERROR(__xludf.DUMMYFUNCTION("if(len(A182)&gt;0, REGEXEXTRACT(A182, ""\)([^:]*):""), """")")," 600")</f>
        <v> 600</v>
      </c>
      <c r="H182" s="31" t="str">
        <f>IFERROR(__xludf.DUMMYFUNCTION("if(len(A182) &gt; 0, JOIN(char(10), FILTER(SPLIT(A182, char(10)), split(""false false "" &amp; rept(""true "", columns(SPLIT(A182, char(10)))-3) &amp; ""false"", "" ""))), """")"),"For whatever reason, understanding the civilizations of old means you're able to understand alien technology a lot better. You may not know everything off the bat, but upon first sight you have an idea of what it was meant for... and the longer you look a"&amp;"t it, the more information you can glean. Fiddling with it will let you familiarize yourself with it more quickly.")</f>
        <v>For whatever reason, understanding the civilizations of old means you're able to understand alien technology a lot better. You may not know everything off the bat, but upon first sight you have an idea of what it was meant for... and the longer you look at it, the more information you can glean. Fiddling with it will let you familiarize yourself with it more quickly.</v>
      </c>
    </row>
    <row r="183">
      <c r="A183" s="31" t="str">
        <f>IFERROR(__xludf.DUMMYFUNCTION("""COMPUTED_VALUE"""),"Chapter 169: 110.3 Interlude Everett - Addendum Joe
The Pleician Tome (LoT DLC 1 – The Heathen Trail – Warhammer 40,000) 500:
The Pleician Tome is a portable font of certain archives, templates and pieces of ancient lore, created by a senior Tech-priest o"&amp;"f the Adeptus Mechanicus and used by Techmarines.
Even to a trained eye, the information is a seemingly random collection, with no easy means of navigation, and so it takes much study to glean anything relevant to a particular task. Indeed, only those wit"&amp;"h a wide knowledge of Machine Spirits and engine lore have any hope of understanding the information contained within, however, those with patience and the appropriate skills can find secrets of great use within the datacore, secrets dating back to the fa"&amp;"bled Dark Age of Technology.
System")</f>
        <v>Chapter 169: 110.3 Interlude Everett - Addendum Joe
The Pleician Tome (LoT DLC 1 – The Heathen Trail – Warhammer 40,000) 500:
The Pleician Tome is a portable font of certain archives, templates and pieces of ancient lore, created by a senior Tech-priest of the Adeptus Mechanicus and used by Techmarines.
Even to a trained eye, the information is a seemingly random collection, with no easy means of navigation, and so it takes much study to glean anything relevant to a particular task. Indeed, only those with a wide knowledge of Machine Spirits and engine lore have any hope of understanding the information contained within, however, those with patience and the appropriate skills can find secrets of great use within the datacore, secrets dating back to the fabled Dark Age of Technology.
System</v>
      </c>
      <c r="B183" s="17">
        <f>IFERROR(__xludf.DUMMYFUNCTION("if(len(A183)&gt;0, value(REGEXEXTRACT(A183, ""Chapter ([0-9]*):"")), """")"),169.0)</f>
        <v>169</v>
      </c>
      <c r="C183" s="31" t="str">
        <f>IFERROR(__xludf.DUMMYFUNCTION("if(len(A183) &gt;0, REGEXEXTRACT(A183, ""Chapter [0-9]*: (.*)""), """")"),"110.3 Interlude Everett - Addendum Joe")</f>
        <v>110.3 Interlude Everett - Addendum Joe</v>
      </c>
      <c r="D183" s="31" t="str">
        <f>IFERROR(__xludf.DUMMYFUNCTION("if(len(A183)&gt;0, REGEXEXTRACT(A183, ""\n[^\(]*""), """")"),"
The Pleician Tome ")</f>
        <v>
The Pleician Tome </v>
      </c>
      <c r="E183" s="17" t="str">
        <f>IFERROR(__xludf.DUMMYFUNCTION("if(len(A183)&gt;0, REGEXEXTRACT(A183, ""\n([^\n]*)$""), """")"),"System")</f>
        <v>System</v>
      </c>
      <c r="F183" s="17" t="str">
        <f>IFERROR(__xludf.DUMMYFUNCTION("if(len(A183)&gt;0, REGEXEXTRACT(A183, ""\(([^\)]*)\)""), """")"),"LoT DLC 1 – The Heathen Trail – Warhammer 40,000")</f>
        <v>LoT DLC 1 – The Heathen Trail – Warhammer 40,000</v>
      </c>
      <c r="G183" s="17" t="str">
        <f>IFERROR(__xludf.DUMMYFUNCTION("if(len(A183)&gt;0, REGEXEXTRACT(A183, ""\)([^:]*):""), """")")," 500")</f>
        <v> 500</v>
      </c>
      <c r="H183" s="31" t="str">
        <f>IFERROR(__xludf.DUMMYFUNCTION("if(len(A183) &gt; 0, JOIN(char(10), FILTER(SPLIT(A183, char(10)), split(""false false "" &amp; rept(""true "", columns(SPLIT(A183, char(10)))-3) &amp; ""false"", "" ""))), """")"),"The Pleician Tome is a portable font of certain archives, templates and pieces of ancient lore, created by a senior Tech-priest of the Adeptus Mechanicus and used by Techmarines.
Even to a trained eye, the information is a seemingly random collection, wit"&amp;"h no easy means of navigation, and so it takes much study to glean anything relevant to a particular task. Indeed, only those with a wide knowledge of Machine Spirits and engine lore have any hope of understanding the information contained within, however"&amp;", those with patience and the appropriate skills can find secrets of great use within the datacore, secrets dating back to the fabled Dark Age of Technology.")</f>
        <v>The Pleician Tome is a portable font of certain archives, templates and pieces of ancient lore, created by a senior Tech-priest of the Adeptus Mechanicus and used by Techmarines.
Even to a trained eye, the information is a seemingly random collection, with no easy means of navigation, and so it takes much study to glean anything relevant to a particular task. Indeed, only those with a wide knowledge of Machine Spirits and engine lore have any hope of understanding the information contained within, however, those with patience and the appropriate skills can find secrets of great use within the datacore, secrets dating back to the fabled Dark Age of Technology.</v>
      </c>
    </row>
    <row r="184">
      <c r="A184" s="31" t="str">
        <f>IFERROR(__xludf.DUMMYFUNCTION("""COMPUTED_VALUE"""),"Chapter 17: 13 Debut
Science! Engineering (Transformers) 100:
Your programming is focused on either Mechanics, Medical, or a field of Science (Pick One), this gives you equivalent of a Cybertronian PHD in that field of study.
System")</f>
        <v>Chapter 17: 13 Debut
Science! Engineering (Transformers) 100:
Your programming is focused on either Mechanics, Medical, or a field of Science (Pick One), this gives you equivalent of a Cybertronian PHD in that field of study.
System</v>
      </c>
      <c r="B184" s="17">
        <f>IFERROR(__xludf.DUMMYFUNCTION("if(len(A184)&gt;0, value(REGEXEXTRACT(A184, ""Chapter ([0-9]*):"")), """")"),17.0)</f>
        <v>17</v>
      </c>
      <c r="C184" s="31" t="str">
        <f>IFERROR(__xludf.DUMMYFUNCTION("if(len(A184) &gt;0, REGEXEXTRACT(A184, ""Chapter [0-9]*: (.*)""), """")"),"13 Debut")</f>
        <v>13 Debut</v>
      </c>
      <c r="D184" s="31" t="str">
        <f>IFERROR(__xludf.DUMMYFUNCTION("if(len(A184)&gt;0, REGEXEXTRACT(A184, ""\n[^\(]*""), """")"),"
Science! Engineering ")</f>
        <v>
Science! Engineering </v>
      </c>
      <c r="E184" s="17" t="str">
        <f>IFERROR(__xludf.DUMMYFUNCTION("if(len(A184)&gt;0, REGEXEXTRACT(A184, ""\n([^\n]*)$""), """")"),"System")</f>
        <v>System</v>
      </c>
      <c r="F184" s="17" t="str">
        <f>IFERROR(__xludf.DUMMYFUNCTION("if(len(A184)&gt;0, REGEXEXTRACT(A184, ""\(([^\)]*)\)""), """")"),"Transformers")</f>
        <v>Transformers</v>
      </c>
      <c r="G184" s="17" t="str">
        <f>IFERROR(__xludf.DUMMYFUNCTION("if(len(A184)&gt;0, REGEXEXTRACT(A184, ""\)([^:]*):""), """")")," 100")</f>
        <v> 100</v>
      </c>
      <c r="H184" s="31" t="str">
        <f>IFERROR(__xludf.DUMMYFUNCTION("if(len(A184) &gt; 0, JOIN(char(10), FILTER(SPLIT(A184, char(10)), split(""false false "" &amp; rept(""true "", columns(SPLIT(A184, char(10)))-3) &amp; ""false"", "" ""))), """")"),"Your programming is focused on either Mechanics, Medical, or a field of Science (Pick One), this gives you equivalent of a Cybertronian PHD in that field of study.")</f>
        <v>Your programming is focused on either Mechanics, Medical, or a field of Science (Pick One), this gives you equivalent of a Cybertronian PHD in that field of study.</v>
      </c>
    </row>
    <row r="185">
      <c r="A185" s="31" t="str">
        <f>IFERROR(__xludf.DUMMYFUNCTION("""COMPUTED_VALUE"""),"Chapter 17: 13 Debut
Science! Mechanics (Transformers) 100: 
Your programming is focused on either Mechanics, Medical, or a field of Science (Pick One), this gives you equivalent of a Cybertronian PHD in that field of study.
System")</f>
        <v>Chapter 17: 13 Debut
Science! Mechanics (Transformers) 100: 
Your programming is focused on either Mechanics, Medical, or a field of Science (Pick One), this gives you equivalent of a Cybertronian PHD in that field of study.
System</v>
      </c>
      <c r="B185" s="17">
        <f>IFERROR(__xludf.DUMMYFUNCTION("if(len(A185)&gt;0, value(REGEXEXTRACT(A185, ""Chapter ([0-9]*):"")), """")"),17.0)</f>
        <v>17</v>
      </c>
      <c r="C185" s="31" t="str">
        <f>IFERROR(__xludf.DUMMYFUNCTION("if(len(A185) &gt;0, REGEXEXTRACT(A185, ""Chapter [0-9]*: (.*)""), """")"),"13 Debut")</f>
        <v>13 Debut</v>
      </c>
      <c r="D185" s="31" t="str">
        <f>IFERROR(__xludf.DUMMYFUNCTION("if(len(A185)&gt;0, REGEXEXTRACT(A185, ""\n[^\(]*""), """")"),"
Science! Mechanics ")</f>
        <v>
Science! Mechanics </v>
      </c>
      <c r="E185" s="17" t="str">
        <f>IFERROR(__xludf.DUMMYFUNCTION("if(len(A185)&gt;0, REGEXEXTRACT(A185, ""\n([^\n]*)$""), """")"),"System")</f>
        <v>System</v>
      </c>
      <c r="F185" s="17" t="str">
        <f>IFERROR(__xludf.DUMMYFUNCTION("if(len(A185)&gt;0, REGEXEXTRACT(A185, ""\(([^\)]*)\)""), """")"),"Transformers")</f>
        <v>Transformers</v>
      </c>
      <c r="G185" s="17" t="str">
        <f>IFERROR(__xludf.DUMMYFUNCTION("if(len(A185)&gt;0, REGEXEXTRACT(A185, ""\)([^:]*):""), """")")," 100")</f>
        <v> 100</v>
      </c>
      <c r="H185" s="31" t="str">
        <f>IFERROR(__xludf.DUMMYFUNCTION("if(len(A185) &gt; 0, JOIN(char(10), FILTER(SPLIT(A185, char(10)), split(""false false "" &amp; rept(""true "", columns(SPLIT(A185, char(10)))-3) &amp; ""false"", "" ""))), """")"),"Your programming is focused on either Mechanics, Medical, or a field of Science (Pick One), this gives you equivalent of a Cybertronian PHD in that field of study.")</f>
        <v>Your programming is focused on either Mechanics, Medical, or a field of Science (Pick One), this gives you equivalent of a Cybertronian PHD in that field of study.</v>
      </c>
    </row>
    <row r="186">
      <c r="A186" s="31" t="str">
        <f>IFERROR(__xludf.DUMMYFUNCTION("""COMPUTED_VALUE"""),"Chapter 17: 13 Exposure
Hybridization Theory (Zoids: Legacy) 400:
So one day you had a bit of spare time after your daily Zoid admiration hour. After taking a close look at your favorite Gojulas and your favorite Mad Thunder, you decided that if the Gojul"&amp;"as could wield the Mad Thunder's Magnesser Drills like an arm weapon, you could probably reenact that scene from the show you watched two days back on the professor's hi-def television.
Those mechanics can slap on parts and scavenge however they like. You"&amp;" can literally merge two machines together into one, with twice the processing power as before. Mind you, Zoids typically won't respond well to suddenly sharing a body with another core and another mind, but you'll have ethical uses for this...right?
For "&amp;"most mundane machinery, you don't need any power source besides your own, but be careful that should you make your machine too big, the internal power supply might not be enough to feed it.
Ability")</f>
        <v>Chapter 17: 13 Exposure
Hybridization Theory (Zoids: Legacy) 400:
So one day you had a bit of spare time after your daily Zoid admiration hour. After taking a close look at your favorite Gojulas and your favorite Mad Thunder, you decided that if the Gojulas could wield the Mad Thunder's Magnesser Drills like an arm weapon, you could probably reenact that scene from the show you watched two days back on the professor's hi-def television.
Those mechanics can slap on parts and scavenge however they like. You can literally merge two machines together into one, with twice the processing power as before. Mind you, Zoids typically won't respond well to suddenly sharing a body with another core and another mind, but you'll have ethical uses for this...right?
For most mundane machinery, you don't need any power source besides your own, but be careful that should you make your machine too big, the internal power supply might not be enough to feed it.
Ability</v>
      </c>
      <c r="B186" s="17">
        <f>IFERROR(__xludf.DUMMYFUNCTION("if(len(A186)&gt;0, value(REGEXEXTRACT(A186, ""Chapter ([0-9]*):"")), """")"),17.0)</f>
        <v>17</v>
      </c>
      <c r="C186" s="31" t="str">
        <f>IFERROR(__xludf.DUMMYFUNCTION("if(len(A186) &gt;0, REGEXEXTRACT(A186, ""Chapter [0-9]*: (.*)""), """")"),"13 Exposure")</f>
        <v>13 Exposure</v>
      </c>
      <c r="D186" s="31" t="str">
        <f>IFERROR(__xludf.DUMMYFUNCTION("if(len(A186)&gt;0, REGEXEXTRACT(A186, ""\n[^\(]*""), """")"),"
Hybridization Theory ")</f>
        <v>
Hybridization Theory </v>
      </c>
      <c r="E186" s="17" t="str">
        <f>IFERROR(__xludf.DUMMYFUNCTION("if(len(A186)&gt;0, REGEXEXTRACT(A186, ""\n([^\n]*)$""), """")"),"Ability")</f>
        <v>Ability</v>
      </c>
      <c r="F186" s="17" t="str">
        <f>IFERROR(__xludf.DUMMYFUNCTION("if(len(A186)&gt;0, REGEXEXTRACT(A186, ""\(([^\)]*)\)""), """")"),"Zoids: Legacy")</f>
        <v>Zoids: Legacy</v>
      </c>
      <c r="G186" s="17" t="str">
        <f>IFERROR(__xludf.DUMMYFUNCTION("if(len(A186)&gt;0, REGEXEXTRACT(A186, ""\)([^:]*):""), """")")," 400")</f>
        <v> 400</v>
      </c>
      <c r="H186" s="31" t="str">
        <f>IFERROR(__xludf.DUMMYFUNCTION("if(len(A186) &gt; 0, JOIN(char(10), FILTER(SPLIT(A186, char(10)), split(""false false "" &amp; rept(""true "", columns(SPLIT(A186, char(10)))-3) &amp; ""false"", "" ""))), """")"),"So one day you had a bit of spare time after your daily Zoid admiration hour. After taking a close look at your favorite Gojulas and your favorite Mad Thunder, you decided that if the Gojulas could wield the Mad Thunder's Magnesser Drills like an arm weap"&amp;"on, you could probably reenact that scene from the show you watched two days back on the professor's hi-def television.
Those mechanics can slap on parts and scavenge however they like. You can literally merge two machines together into one, with twice th"&amp;"e processing power as before. Mind you, Zoids typically won't respond well to suddenly sharing a body with another core and another mind, but you'll have ethical uses for this...right?
For most mundane machinery, you don't need any power source besides yo"&amp;"ur own, but be careful that should you make your machine too big, the internal power supply might not be enough to feed it.")</f>
        <v>So one day you had a bit of spare time after your daily Zoid admiration hour. After taking a close look at your favorite Gojulas and your favorite Mad Thunder, you decided that if the Gojulas could wield the Mad Thunder's Magnesser Drills like an arm weapon, you could probably reenact that scene from the show you watched two days back on the professor's hi-def television.
Those mechanics can slap on parts and scavenge however they like. You can literally merge two machines together into one, with twice the processing power as before. Mind you, Zoids typically won't respond well to suddenly sharing a body with another core and another mind, but you'll have ethical uses for this...right?
For most mundane machinery, you don't need any power source besides your own, but be careful that should you make your machine too big, the internal power supply might not be enough to feed it.</v>
      </c>
    </row>
    <row r="187">
      <c r="A187" s="31" t="str">
        <f>IFERROR(__xludf.DUMMYFUNCTION("""COMPUTED_VALUE"""),"Chapter 174: 112 Dispatch
Minor Blessing Hermes - Invention (Percy Jackson) 100:
For one reason or another you've got a god who cares slightly about you and has seen fit to grant you some minor boon within their domains.
System")</f>
        <v>Chapter 174: 112 Dispatch
Minor Blessing Hermes - Invention (Percy Jackson) 100:
For one reason or another you've got a god who cares slightly about you and has seen fit to grant you some minor boon within their domains.
System</v>
      </c>
      <c r="B187" s="17">
        <f>IFERROR(__xludf.DUMMYFUNCTION("if(len(A187)&gt;0, value(REGEXEXTRACT(A187, ""Chapter ([0-9]*):"")), """")"),174.0)</f>
        <v>174</v>
      </c>
      <c r="C187" s="31" t="str">
        <f>IFERROR(__xludf.DUMMYFUNCTION("if(len(A187) &gt;0, REGEXEXTRACT(A187, ""Chapter [0-9]*: (.*)""), """")"),"112 Dispatch")</f>
        <v>112 Dispatch</v>
      </c>
      <c r="D187" s="31" t="str">
        <f>IFERROR(__xludf.DUMMYFUNCTION("if(len(A187)&gt;0, REGEXEXTRACT(A187, ""\n[^\(]*""), """")"),"
Minor Blessing Hermes - Invention ")</f>
        <v>
Minor Blessing Hermes - Invention </v>
      </c>
      <c r="E187" s="17" t="str">
        <f>IFERROR(__xludf.DUMMYFUNCTION("if(len(A187)&gt;0, REGEXEXTRACT(A187, ""\n([^\n]*)$""), """")"),"System")</f>
        <v>System</v>
      </c>
      <c r="F187" s="17" t="str">
        <f>IFERROR(__xludf.DUMMYFUNCTION("if(len(A187)&gt;0, REGEXEXTRACT(A187, ""\(([^\)]*)\)""), """")"),"Percy Jackson")</f>
        <v>Percy Jackson</v>
      </c>
      <c r="G187" s="17" t="str">
        <f>IFERROR(__xludf.DUMMYFUNCTION("if(len(A187)&gt;0, REGEXEXTRACT(A187, ""\)([^:]*):""), """")")," 100")</f>
        <v> 100</v>
      </c>
      <c r="H187" s="31" t="str">
        <f>IFERROR(__xludf.DUMMYFUNCTION("if(len(A187) &gt; 0, JOIN(char(10), FILTER(SPLIT(A187, char(10)), split(""false false "" &amp; rept(""true "", columns(SPLIT(A187, char(10)))-3) &amp; ""false"", "" ""))), """")"),"For one reason or another you've got a god who cares slightly about you and has seen fit to grant you some minor boon within their domains.")</f>
        <v>For one reason or another you've got a god who cares slightly about you and has seen fit to grant you some minor boon within their domains.</v>
      </c>
    </row>
    <row r="188">
      <c r="A188" s="31" t="str">
        <f>IFERROR(__xludf.DUMMYFUNCTION("""COMPUTED_VALUE"""),"Chapter 174: 112 Dispatch
Unnatural Skill: Weaving (Percy Jackson) 200:
Whether from your heritage or just being that good you've got one particular mundane skill that your feats with border on supernatural.
System")</f>
        <v>Chapter 174: 112 Dispatch
Unnatural Skill: Weaving (Percy Jackson) 200:
Whether from your heritage or just being that good you've got one particular mundane skill that your feats with border on supernatural.
System</v>
      </c>
      <c r="B188" s="17">
        <f>IFERROR(__xludf.DUMMYFUNCTION("if(len(A188)&gt;0, value(REGEXEXTRACT(A188, ""Chapter ([0-9]*):"")), """")"),174.0)</f>
        <v>174</v>
      </c>
      <c r="C188" s="31" t="str">
        <f>IFERROR(__xludf.DUMMYFUNCTION("if(len(A188) &gt;0, REGEXEXTRACT(A188, ""Chapter [0-9]*: (.*)""), """")"),"112 Dispatch")</f>
        <v>112 Dispatch</v>
      </c>
      <c r="D188" s="31" t="str">
        <f>IFERROR(__xludf.DUMMYFUNCTION("if(len(A188)&gt;0, REGEXEXTRACT(A188, ""\n[^\(]*""), """")"),"
Unnatural Skill: Weaving ")</f>
        <v>
Unnatural Skill: Weaving </v>
      </c>
      <c r="E188" s="17" t="str">
        <f>IFERROR(__xludf.DUMMYFUNCTION("if(len(A188)&gt;0, REGEXEXTRACT(A188, ""\n([^\n]*)$""), """")"),"System")</f>
        <v>System</v>
      </c>
      <c r="F188" s="17" t="str">
        <f>IFERROR(__xludf.DUMMYFUNCTION("if(len(A188)&gt;0, REGEXEXTRACT(A188, ""\(([^\)]*)\)""), """")"),"Percy Jackson")</f>
        <v>Percy Jackson</v>
      </c>
      <c r="G188" s="17" t="str">
        <f>IFERROR(__xludf.DUMMYFUNCTION("if(len(A188)&gt;0, REGEXEXTRACT(A188, ""\)([^:]*):""), """")")," 200")</f>
        <v> 200</v>
      </c>
      <c r="H188" s="31" t="str">
        <f>IFERROR(__xludf.DUMMYFUNCTION("if(len(A188) &gt; 0, JOIN(char(10), FILTER(SPLIT(A188, char(10)), split(""false false "" &amp; rept(""true "", columns(SPLIT(A188, char(10)))-3) &amp; ""false"", "" ""))), """")"),"Whether from your heritage or just being that good you've got one particular mundane skill that your feats with border on supernatural.")</f>
        <v>Whether from your heritage or just being that good you've got one particular mundane skill that your feats with border on supernatural.</v>
      </c>
    </row>
    <row r="189">
      <c r="A189" s="31" t="str">
        <f>IFERROR(__xludf.DUMMYFUNCTION("""COMPUTED_VALUE"""),"Chapter 175: 113 Disrupted Discourse
Mixing Mixtures (Banjo-Kazooie) 200:
Your created potions can bestow multiple effects you know, however mixing too many might cause surprises. You can Reliably mix up to a dozen elixirs without them interfering with th"&amp;"e effects of each other.
Set")</f>
        <v>Chapter 175: 113 Disrupted Discourse
Mixing Mixtures (Banjo-Kazooie) 200:
Your created potions can bestow multiple effects you know, however mixing too many might cause surprises. You can Reliably mix up to a dozen elixirs without them interfering with the effects of each other.
Set</v>
      </c>
      <c r="B189" s="17">
        <f>IFERROR(__xludf.DUMMYFUNCTION("if(len(A189)&gt;0, value(REGEXEXTRACT(A189, ""Chapter ([0-9]*):"")), """")"),175.0)</f>
        <v>175</v>
      </c>
      <c r="C189" s="31" t="str">
        <f>IFERROR(__xludf.DUMMYFUNCTION("if(len(A189) &gt;0, REGEXEXTRACT(A189, ""Chapter [0-9]*: (.*)""), """")"),"113 Disrupted Discourse")</f>
        <v>113 Disrupted Discourse</v>
      </c>
      <c r="D189" s="31" t="str">
        <f>IFERROR(__xludf.DUMMYFUNCTION("if(len(A189)&gt;0, REGEXEXTRACT(A189, ""\n[^\(]*""), """")"),"
Mixing Mixtures ")</f>
        <v>
Mixing Mixtures </v>
      </c>
      <c r="E189" s="17" t="str">
        <f>IFERROR(__xludf.DUMMYFUNCTION("if(len(A189)&gt;0, REGEXEXTRACT(A189, ""\n([^\n]*)$""), """")"),"Set")</f>
        <v>Set</v>
      </c>
      <c r="F189" s="17" t="str">
        <f>IFERROR(__xludf.DUMMYFUNCTION("if(len(A189)&gt;0, REGEXEXTRACT(A189, ""\(([^\)]*)\)""), """")"),"Banjo-Kazooie")</f>
        <v>Banjo-Kazooie</v>
      </c>
      <c r="G189" s="17" t="str">
        <f>IFERROR(__xludf.DUMMYFUNCTION("if(len(A189)&gt;0, REGEXEXTRACT(A189, ""\)([^:]*):""), """")")," 200")</f>
        <v> 200</v>
      </c>
      <c r="H189" s="31" t="str">
        <f>IFERROR(__xludf.DUMMYFUNCTION("if(len(A189) &gt; 0, JOIN(char(10), FILTER(SPLIT(A189, char(10)), split(""false false "" &amp; rept(""true "", columns(SPLIT(A189, char(10)))-3) &amp; ""false"", "" ""))), """")"),"Your created potions can bestow multiple effects you know, however mixing too many might cause surprises. You can Reliably mix up to a dozen elixirs without them interfering with the effects of each other.")</f>
        <v>Your created potions can bestow multiple effects you know, however mixing too many might cause surprises. You can Reliably mix up to a dozen elixirs without them interfering with the effects of each other.</v>
      </c>
    </row>
    <row r="190">
      <c r="A190" s="31" t="str">
        <f>IFERROR(__xludf.DUMMYFUNCTION("""COMPUTED_VALUE"""),"Chapter 175: 113 Disrupted Discourse
Strong Spark (Girl Genius) 600:
Rather than having a weak Spark (Like a PEASANT who took the “Spark” Perk, which this is incompatible with) you have an extremely powerful one. You don’t limit your scientific exploratio"&amp;"ns to a single topic, but are a master of anything that meets your eye (well, at least once you’re in the Madness Place). You go further and farther than almost anyone, and when you get working, you quickly stop caring about things like “fundamental laws”"&amp;" and “nature of the universe” and ... well, pretty much anything. Warping the fabric of reality is a pretty common thing. Unfortunately, it’s also significantly harder to get OUT of the Madness Place, and you get sidetracked pretty easily as well. Last we"&amp;"ek you were trying to get a stain out of your carpet, and woke up with an army of death-ray-wielding mice obedient to your commands! MWAHAHAHA
System")</f>
        <v>Chapter 175: 113 Disrupted Discourse
Strong Spark (Girl Genius) 600:
Rather than having a weak Spark (Like a PEASANT who took the “Spark” Perk, which this is incompatible with) you have an extremely powerful one. You don’t limit your scientific explorations to a single topic, but are a master of anything that meets your eye (well, at least once you’re in the Madness Place). You go further and farther than almost anyone, and when you get working, you quickly stop caring about things like “fundamental laws” and “nature of the universe” and ... well, pretty much anything. Warping the fabric of reality is a pretty common thing. Unfortunately, it’s also significantly harder to get OUT of the Madness Place, and you get sidetracked pretty easily as well. Last week you were trying to get a stain out of your carpet, and woke up with an army of death-ray-wielding mice obedient to your commands! MWAHAHAHA
System</v>
      </c>
      <c r="B190" s="17">
        <f>IFERROR(__xludf.DUMMYFUNCTION("if(len(A190)&gt;0, value(REGEXEXTRACT(A190, ""Chapter ([0-9]*):"")), """")"),175.0)</f>
        <v>175</v>
      </c>
      <c r="C190" s="31" t="str">
        <f>IFERROR(__xludf.DUMMYFUNCTION("if(len(A190) &gt;0, REGEXEXTRACT(A190, ""Chapter [0-9]*: (.*)""), """")"),"113 Disrupted Discourse")</f>
        <v>113 Disrupted Discourse</v>
      </c>
      <c r="D190" s="31" t="str">
        <f>IFERROR(__xludf.DUMMYFUNCTION("if(len(A190)&gt;0, REGEXEXTRACT(A190, ""\n[^\(]*""), """")"),"
Strong Spark ")</f>
        <v>
Strong Spark </v>
      </c>
      <c r="E190" s="17" t="str">
        <f>IFERROR(__xludf.DUMMYFUNCTION("if(len(A190)&gt;0, REGEXEXTRACT(A190, ""\n([^\n]*)$""), """")"),"System")</f>
        <v>System</v>
      </c>
      <c r="F190" s="17" t="str">
        <f>IFERROR(__xludf.DUMMYFUNCTION("if(len(A190)&gt;0, REGEXEXTRACT(A190, ""\(([^\)]*)\)""), """")"),"Girl Genius")</f>
        <v>Girl Genius</v>
      </c>
      <c r="G190" s="17" t="str">
        <f>IFERROR(__xludf.DUMMYFUNCTION("if(len(A190)&gt;0, REGEXEXTRACT(A190, ""\)([^:]*):""), """")")," 600")</f>
        <v> 600</v>
      </c>
      <c r="H190" s="31" t="str">
        <f>IFERROR(__xludf.DUMMYFUNCTION("if(len(A190) &gt; 0, JOIN(char(10), FILTER(SPLIT(A190, char(10)), split(""false false "" &amp; rept(""true "", columns(SPLIT(A190, char(10)))-3) &amp; ""false"", "" ""))), """")"),"Rather than having a weak Spark (Like a PEASANT who took the “Spark” Perk, which this is incompatible with) you have an extremely powerful one. You don’t limit your scientific explorations to a single topic, but are a master of anything that meets your ey"&amp;"e (well, at least once you’re in the Madness Place). You go further and farther than almost anyone, and when you get working, you quickly stop caring about things like “fundamental laws” and “nature of the universe” and ... well, pretty much anything. War"&amp;"ping the fabric of reality is a pretty common thing. Unfortunately, it’s also significantly harder to get OUT of the Madness Place, and you get sidetracked pretty easily as well. Last week you were trying to get a stain out of your carpet, and woke up wit"&amp;"h an army of death-ray-wielding mice obedient to your commands! MWAHAHAHA")</f>
        <v>Rather than having a weak Spark (Like a PEASANT who took the “Spark” Perk, which this is incompatible with) you have an extremely powerful one. You don’t limit your scientific explorations to a single topic, but are a master of anything that meets your eye (well, at least once you’re in the Madness Place). You go further and farther than almost anyone, and when you get working, you quickly stop caring about things like “fundamental laws” and “nature of the universe” and ... well, pretty much anything. Warping the fabric of reality is a pretty common thing. Unfortunately, it’s also significantly harder to get OUT of the Madness Place, and you get sidetracked pretty easily as well. Last week you were trying to get a stain out of your carpet, and woke up with an army of death-ray-wielding mice obedient to your commands! MWAHAHAHA</v>
      </c>
    </row>
    <row r="191">
      <c r="A191" s="31" t="str">
        <f>IFERROR(__xludf.DUMMYFUNCTION("""COMPUTED_VALUE"""),"Chapter 179: 114 Manic Recovery
Esoteric Collection - Magic (Personal Reality) 100:
This Library Upgrade is functionally identical to Expanded Collection, but it is not limited to real world subjects. To be eligible, a subject must be one that is widely k"&amp;"nown in any setting you have visited. This can include fiction, but only fiction from universes you visit.
Facility")</f>
        <v>Chapter 179: 114 Manic Recovery
Esoteric Collection - Magic (Personal Reality) 100:
This Library Upgrade is functionally identical to Expanded Collection, but it is not limited to real world subjects. To be eligible, a subject must be one that is widely known in any setting you have visited. This can include fiction, but only fiction from universes you visit.
Facility</v>
      </c>
      <c r="B191" s="17">
        <f>IFERROR(__xludf.DUMMYFUNCTION("if(len(A191)&gt;0, value(REGEXEXTRACT(A191, ""Chapter ([0-9]*):"")), """")"),179.0)</f>
        <v>179</v>
      </c>
      <c r="C191" s="31" t="str">
        <f>IFERROR(__xludf.DUMMYFUNCTION("if(len(A191) &gt;0, REGEXEXTRACT(A191, ""Chapter [0-9]*: (.*)""), """")"),"114 Manic Recovery")</f>
        <v>114 Manic Recovery</v>
      </c>
      <c r="D191" s="31" t="str">
        <f>IFERROR(__xludf.DUMMYFUNCTION("if(len(A191)&gt;0, REGEXEXTRACT(A191, ""\n[^\(]*""), """")"),"
Esoteric Collection - Magic ")</f>
        <v>
Esoteric Collection - Magic </v>
      </c>
      <c r="E191" s="17" t="str">
        <f>IFERROR(__xludf.DUMMYFUNCTION("if(len(A191)&gt;0, REGEXEXTRACT(A191, ""\n([^\n]*)$""), """")"),"Facility")</f>
        <v>Facility</v>
      </c>
      <c r="F191" s="17" t="str">
        <f>IFERROR(__xludf.DUMMYFUNCTION("if(len(A191)&gt;0, REGEXEXTRACT(A191, ""\(([^\)]*)\)""), """")"),"Personal Reality")</f>
        <v>Personal Reality</v>
      </c>
      <c r="G191" s="17" t="str">
        <f>IFERROR(__xludf.DUMMYFUNCTION("if(len(A191)&gt;0, REGEXEXTRACT(A191, ""\)([^:]*):""), """")")," 100")</f>
        <v> 100</v>
      </c>
      <c r="H191" s="31" t="str">
        <f>IFERROR(__xludf.DUMMYFUNCTION("if(len(A191) &gt; 0, JOIN(char(10), FILTER(SPLIT(A191, char(10)), split(""false false "" &amp; rept(""true "", columns(SPLIT(A191, char(10)))-3) &amp; ""false"", "" ""))), """")"),"This Library Upgrade is functionally identical to Expanded Collection, but it is not limited to real world subjects. To be eligible, a subject must be one that is widely known in any setting you have visited. This can include fiction, but only fiction fro"&amp;"m universes you visit.")</f>
        <v>This Library Upgrade is functionally identical to Expanded Collection, but it is not limited to real world subjects. To be eligible, a subject must be one that is widely known in any setting you have visited. This can include fiction, but only fiction from universes you visit.</v>
      </c>
    </row>
    <row r="192">
      <c r="A192" s="31" t="str">
        <f>IFERROR(__xludf.DUMMYFUNCTION("""COMPUTED_VALUE"""),"Chapter 179: 114 Manic Recovery
Expanded Collection - Mysticism (Personal Reality) 50:
This Library Upgrade specializes your library in a specific way, adding books on specific topics, things that you would expect in specialized university libraries. Each"&amp;" purchase of this comes with 60,000 specific titles in the language of your choice (even if such works have never been published in your selected language). The more specific a topic you pick, the more specific these books will be. So picking Biology as t"&amp;"opic will get you books ranging from everything on animals, plants, anatomy, genetics, microbiology and ecology, while picking entomology as topic will give you extremely detailed books about different types of insects, their physiology, and so on. Choosi"&amp;"ng a specific culture multiplies the number of titles gained by the square root of the number of centuries that culture has existed. Extinct cultures do not generate this bonus. The subject must be one from the real world, but do remember that there are t"&amp;"housands and thousands of real world books on the occult, so it’s not unlikely you can find what you like. Each expansion also comes with specialized journals, magazines, and other periodicals on the topics. This does not include fiction. For each purchas"&amp;"e of this Upgrade, once per month, you can request a very specific sub-topic related to the core topic (e.g. architecture... of the Louvre, history... of trade on the Yangtze, quiltmaking in the 1880s, etc.). You’ll receive a dozen books on the subject… a"&amp;"ssuming a dozen such books exist in the real world and are reasonably available (not unique or exceptionally rare).
Facility")</f>
        <v>Chapter 179: 114 Manic Recovery
Expanded Collection - Mysticism (Personal Reality) 50:
This Library Upgrade specializes your library in a specific way, adding books on specific topics, things that you would expect in specialized university libraries. Each purchase of this comes with 60,000 specific titles in the language of your choice (even if such works have never been published in your selected language). The more specific a topic you pick, the more specific these books will be. So picking Biology as topic will get you books ranging from everything on animals, plants, anatomy, genetics, microbiology and ecology, while picking entomology as topic will give you extremely detailed books about different types of insects, their physiology, and so on. Choosing a specific culture multiplies the number of titles gained by the square root of the number of centuries that culture has existed. Extinct cultures do not generate this bonus. The subject must be one from the real world, but do remember that there are thousands and thousands of real world books on the occult, so it’s not unlikely you can find what you like. Each expansion also comes with specialized journals, magazines, and other periodicals on the topics. This does not include fiction. For each purchase of this Upgrade, once per month, you can request a very specific sub-topic related to the core topic (e.g. architecture... of the Louvre, history... of trade on the Yangtze, quiltmaking in the 1880s, etc.). You’ll receive a dozen books on the subject… assuming a dozen such books exist in the real world and are reasonably available (not unique or exceptionally rare).
Facility</v>
      </c>
      <c r="B192" s="17">
        <f>IFERROR(__xludf.DUMMYFUNCTION("if(len(A192)&gt;0, value(REGEXEXTRACT(A192, ""Chapter ([0-9]*):"")), """")"),179.0)</f>
        <v>179</v>
      </c>
      <c r="C192" s="31" t="str">
        <f>IFERROR(__xludf.DUMMYFUNCTION("if(len(A192) &gt;0, REGEXEXTRACT(A192, ""Chapter [0-9]*: (.*)""), """")"),"114 Manic Recovery")</f>
        <v>114 Manic Recovery</v>
      </c>
      <c r="D192" s="31" t="str">
        <f>IFERROR(__xludf.DUMMYFUNCTION("if(len(A192)&gt;0, REGEXEXTRACT(A192, ""\n[^\(]*""), """")"),"
Expanded Collection - Mysticism ")</f>
        <v>
Expanded Collection - Mysticism </v>
      </c>
      <c r="E192" s="17" t="str">
        <f>IFERROR(__xludf.DUMMYFUNCTION("if(len(A192)&gt;0, REGEXEXTRACT(A192, ""\n([^\n]*)$""), """")"),"Facility")</f>
        <v>Facility</v>
      </c>
      <c r="F192" s="17" t="str">
        <f>IFERROR(__xludf.DUMMYFUNCTION("if(len(A192)&gt;0, REGEXEXTRACT(A192, ""\(([^\)]*)\)""), """")"),"Personal Reality")</f>
        <v>Personal Reality</v>
      </c>
      <c r="G192" s="17" t="str">
        <f>IFERROR(__xludf.DUMMYFUNCTION("if(len(A192)&gt;0, REGEXEXTRACT(A192, ""\)([^:]*):""), """")")," 50")</f>
        <v> 50</v>
      </c>
      <c r="H192" s="31" t="str">
        <f>IFERROR(__xludf.DUMMYFUNCTION("if(len(A192) &gt; 0, JOIN(char(10), FILTER(SPLIT(A192, char(10)), split(""false false "" &amp; rept(""true "", columns(SPLIT(A192, char(10)))-3) &amp; ""false"", "" ""))), """")"),"This Library Upgrade specializes your library in a specific way, adding books on specific topics, things that you would expect in specialized university libraries. Each purchase of this comes with 60,000 specific titles in the language of your choice (eve"&amp;"n if such works have never been published in your selected language). The more specific a topic you pick, the more specific these books will be. So picking Biology as topic will get you books ranging from everything on animals, plants, anatomy, genetics, "&amp;"microbiology and ecology, while picking entomology as topic will give you extremely detailed books about different types of insects, their physiology, and so on. Choosing a specific culture multiplies the number of titles gained by the square root of the "&amp;"number of centuries that culture has existed. Extinct cultures do not generate this bonus. The subject must be one from the real world, but do remember that there are thousands and thousands of real world books on the occult, so it’s not unlikely you can "&amp;"find what you like. Each expansion also comes with specialized journals, magazines, and other periodicals on the topics. This does not include fiction. For each purchase of this Upgrade, once per month, you can request a very specific sub-topic related to"&amp;" the core topic (e.g. architecture... of the Louvre, history... of trade on the Yangtze, quiltmaking in the 1880s, etc.). You’ll receive a dozen books on the subject… assuming a dozen such books exist in the real world and are reasonably available (not un"&amp;"ique or exceptionally rare).")</f>
        <v>This Library Upgrade specializes your library in a specific way, adding books on specific topics, things that you would expect in specialized university libraries. Each purchase of this comes with 60,000 specific titles in the language of your choice (even if such works have never been published in your selected language). The more specific a topic you pick, the more specific these books will be. So picking Biology as topic will get you books ranging from everything on animals, plants, anatomy, genetics, microbiology and ecology, while picking entomology as topic will give you extremely detailed books about different types of insects, their physiology, and so on. Choosing a specific culture multiplies the number of titles gained by the square root of the number of centuries that culture has existed. Extinct cultures do not generate this bonus. The subject must be one from the real world, but do remember that there are thousands and thousands of real world books on the occult, so it’s not unlikely you can find what you like. Each expansion also comes with specialized journals, magazines, and other periodicals on the topics. This does not include fiction. For each purchase of this Upgrade, once per month, you can request a very specific sub-topic related to the core topic (e.g. architecture... of the Louvre, history... of trade on the Yangtze, quiltmaking in the 1880s, etc.). You’ll receive a dozen books on the subject… assuming a dozen such books exist in the real world and are reasonably available (not unique or exceptionally rare).</v>
      </c>
    </row>
    <row r="193">
      <c r="A193" s="31" t="str">
        <f>IFERROR(__xludf.DUMMYFUNCTION("""COMPUTED_VALUE"""),"Chapter 179: 114 Manic Recovery
Starting Collection (Personal Reality) 50: 
This Library Upgrade gets you pre-stocked with books you would expect to find in an average town or school library, with a nice spread of books on a variety of topics and in a lan"&amp;"guage of your choice. This comes with 10,000 individual fiction titles and three times that number non-fiction titles covering all normal real-world subjects. Most of the books will be best sellers or classics (80%) and will cover the last hundred and fif"&amp;"ty years or so. The other 20% will be more esoteric works, but seldom anything particularly obscure or rare. In addition to scholarly works and literature, you’ll also get a periodicals section similar to that of a town library, containing several thousan"&amp;"d assorted magazines and newspapers. This can be purchased up to five times, each time increasing the number of titles in all three categories (fiction, non-fiction, periodicals) by a factor of ten. Additional purchases only cost 50 WP. This is the only L"&amp;"ibrary Upgrade that includes fiction from ‘the real world’.
Facility")</f>
        <v>Chapter 179: 114 Manic Recovery
Starting Collection (Personal Reality) 50: 
This Library Upgrade gets you pre-stocked with books you would expect to find in an average town or school library, with a nice spread of books on a variety of topics and in a language of your choice. This comes with 10,000 individual fiction titles and three times that number non-fiction titles covering all normal real-world subjects. Most of the books will be best sellers or classics (80%) and will cover the last hundred and fifty years or so. The other 20% will be more esoteric works, but seldom anything particularly obscure or rare. In addition to scholarly works and literature, you’ll also get a periodicals section similar to that of a town library, containing several thousand assorted magazines and newspapers. This can be purchased up to five times, each time increasing the number of titles in all three categories (fiction, non-fiction, periodicals) by a factor of ten. Additional purchases only cost 50 WP. This is the only Library Upgrade that includes fiction from ‘the real world’.
Facility</v>
      </c>
      <c r="B193" s="17">
        <f>IFERROR(__xludf.DUMMYFUNCTION("if(len(A193)&gt;0, value(REGEXEXTRACT(A193, ""Chapter ([0-9]*):"")), """")"),179.0)</f>
        <v>179</v>
      </c>
      <c r="C193" s="31" t="str">
        <f>IFERROR(__xludf.DUMMYFUNCTION("if(len(A193) &gt;0, REGEXEXTRACT(A193, ""Chapter [0-9]*: (.*)""), """")"),"114 Manic Recovery")</f>
        <v>114 Manic Recovery</v>
      </c>
      <c r="D193" s="31" t="str">
        <f>IFERROR(__xludf.DUMMYFUNCTION("if(len(A193)&gt;0, REGEXEXTRACT(A193, ""\n[^\(]*""), """")"),"
Starting Collection ")</f>
        <v>
Starting Collection </v>
      </c>
      <c r="E193" s="17" t="str">
        <f>IFERROR(__xludf.DUMMYFUNCTION("if(len(A193)&gt;0, REGEXEXTRACT(A193, ""\n([^\n]*)$""), """")"),"Facility")</f>
        <v>Facility</v>
      </c>
      <c r="F193" s="17" t="str">
        <f>IFERROR(__xludf.DUMMYFUNCTION("if(len(A193)&gt;0, REGEXEXTRACT(A193, ""\(([^\)]*)\)""), """")"),"Personal Reality")</f>
        <v>Personal Reality</v>
      </c>
      <c r="G193" s="17" t="str">
        <f>IFERROR(__xludf.DUMMYFUNCTION("if(len(A193)&gt;0, REGEXEXTRACT(A193, ""\)([^:]*):""), """")")," 50")</f>
        <v> 50</v>
      </c>
      <c r="H193" s="31" t="str">
        <f>IFERROR(__xludf.DUMMYFUNCTION("if(len(A193) &gt; 0, JOIN(char(10), FILTER(SPLIT(A193, char(10)), split(""false false "" &amp; rept(""true "", columns(SPLIT(A193, char(10)))-3) &amp; ""false"", "" ""))), """")"),"This Library Upgrade gets you pre-stocked with books you would expect to find in an average town or school library, with a nice spread of books on a variety of topics and in a language of your choice. This comes with 10,000 individual fiction titles and t"&amp;"hree times that number non-fiction titles covering all normal real-world subjects. Most of the books will be best sellers or classics (80%) and will cover the last hundred and fifty years or so. The other 20% will be more esoteric works, but seldom anythi"&amp;"ng particularly obscure or rare. In addition to scholarly works and literature, you’ll also get a periodicals section similar to that of a town library, containing several thousand assorted magazines and newspapers. This can be purchased up to five times,"&amp;" each time increasing the number of titles in all three categories (fiction, non-fiction, periodicals) by a factor of ten. Additional purchases only cost 50 WP. This is the only Library Upgrade that includes fiction from ‘the real world’.")</f>
        <v>This Library Upgrade gets you pre-stocked with books you would expect to find in an average town or school library, with a nice spread of books on a variety of topics and in a language of your choice. This comes with 10,000 individual fiction titles and three times that number non-fiction titles covering all normal real-world subjects. Most of the books will be best sellers or classics (80%) and will cover the last hundred and fifty years or so. The other 20% will be more esoteric works, but seldom anything particularly obscure or rare. In addition to scholarly works and literature, you’ll also get a periodicals section similar to that of a town library, containing several thousand assorted magazines and newspapers. This can be purchased up to five times, each time increasing the number of titles in all three categories (fiction, non-fiction, periodicals) by a factor of ten. Additional purchases only cost 50 WP. This is the only Library Upgrade that includes fiction from ‘the real world’.</v>
      </c>
    </row>
    <row r="194">
      <c r="A194" s="31" t="str">
        <f>IFERROR(__xludf.DUMMYFUNCTION("""COMPUTED_VALUE"""),"Chapter 18: 14 Debut
Diagnostic Tools (Outlaw Star) 50:
A small data display with numerous connectors and scanners, capable of letting you know what is wrong with simple technology and what advanced technology that has been programmed into it.
Item")</f>
        <v>Chapter 18: 14 Debut
Diagnostic Tools (Outlaw Star) 50:
A small data display with numerous connectors and scanners, capable of letting you know what is wrong with simple technology and what advanced technology that has been programmed into it.
Item</v>
      </c>
      <c r="B194" s="17">
        <f>IFERROR(__xludf.DUMMYFUNCTION("if(len(A194)&gt;0, value(REGEXEXTRACT(A194, ""Chapter ([0-9]*):"")), """")"),18.0)</f>
        <v>18</v>
      </c>
      <c r="C194" s="31" t="str">
        <f>IFERROR(__xludf.DUMMYFUNCTION("if(len(A194) &gt;0, REGEXEXTRACT(A194, ""Chapter [0-9]*: (.*)""), """")"),"14 Debut")</f>
        <v>14 Debut</v>
      </c>
      <c r="D194" s="31" t="str">
        <f>IFERROR(__xludf.DUMMYFUNCTION("if(len(A194)&gt;0, REGEXEXTRACT(A194, ""\n[^\(]*""), """")"),"
Diagnostic Tools ")</f>
        <v>
Diagnostic Tools </v>
      </c>
      <c r="E194" s="17" t="str">
        <f>IFERROR(__xludf.DUMMYFUNCTION("if(len(A194)&gt;0, REGEXEXTRACT(A194, ""\n([^\n]*)$""), """")"),"Item")</f>
        <v>Item</v>
      </c>
      <c r="F194" s="17" t="str">
        <f>IFERROR(__xludf.DUMMYFUNCTION("if(len(A194)&gt;0, REGEXEXTRACT(A194, ""\(([^\)]*)\)""), """")"),"Outlaw Star")</f>
        <v>Outlaw Star</v>
      </c>
      <c r="G194" s="17" t="str">
        <f>IFERROR(__xludf.DUMMYFUNCTION("if(len(A194)&gt;0, REGEXEXTRACT(A194, ""\)([^:]*):""), """")")," 50")</f>
        <v> 50</v>
      </c>
      <c r="H194" s="31" t="str">
        <f>IFERROR(__xludf.DUMMYFUNCTION("if(len(A194) &gt; 0, JOIN(char(10), FILTER(SPLIT(A194, char(10)), split(""false false "" &amp; rept(""true "", columns(SPLIT(A194, char(10)))-3) &amp; ""false"", "" ""))), """")"),"A small data display with numerous connectors and scanners, capable of letting you know what is wrong with simple technology and what advanced technology that has been programmed into it.")</f>
        <v>A small data display with numerous connectors and scanners, capable of letting you know what is wrong with simple technology and what advanced technology that has been programmed into it.</v>
      </c>
    </row>
    <row r="195">
      <c r="A195" s="31" t="str">
        <f>IFERROR(__xludf.DUMMYFUNCTION("""COMPUTED_VALUE"""),"Chapter 18: 14 Debut
Fingers of Silver (Macross) 200:
While other kids were building tinker-toy creations, you were fiddling with your dad's car and doing a better job than him. By purchasing this, meddling with machines and OverTechnology is as easy as b"&amp;"reathing for you. By getting your hands on something, you can easily figure out how it works and how to copy its inner workings, provided that it wasn't just bullshit magic. The more advanced something is, the harder it may be... but with time and effort,"&amp;" you just might succeed.
Analysis")</f>
        <v>Chapter 18: 14 Debut
Fingers of Silver (Macross) 200:
While other kids were building tinker-toy creations, you were fiddling with your dad's car and doing a better job than him. By purchasing this, meddling with machines and OverTechnology is as easy as breathing for you. By getting your hands on something, you can easily figure out how it works and how to copy its inner workings, provided that it wasn't just bullshit magic. The more advanced something is, the harder it may be... but with time and effort, you just might succeed.
Analysis</v>
      </c>
      <c r="B195" s="17">
        <f>IFERROR(__xludf.DUMMYFUNCTION("if(len(A195)&gt;0, value(REGEXEXTRACT(A195, ""Chapter ([0-9]*):"")), """")"),18.0)</f>
        <v>18</v>
      </c>
      <c r="C195" s="31" t="str">
        <f>IFERROR(__xludf.DUMMYFUNCTION("if(len(A195) &gt;0, REGEXEXTRACT(A195, ""Chapter [0-9]*: (.*)""), """")"),"14 Debut")</f>
        <v>14 Debut</v>
      </c>
      <c r="D195" s="31" t="str">
        <f>IFERROR(__xludf.DUMMYFUNCTION("if(len(A195)&gt;0, REGEXEXTRACT(A195, ""\n[^\(]*""), """")"),"
Fingers of Silver ")</f>
        <v>
Fingers of Silver </v>
      </c>
      <c r="E195" s="17" t="str">
        <f>IFERROR(__xludf.DUMMYFUNCTION("if(len(A195)&gt;0, REGEXEXTRACT(A195, ""\n([^\n]*)$""), """")"),"Analysis")</f>
        <v>Analysis</v>
      </c>
      <c r="F195" s="17" t="str">
        <f>IFERROR(__xludf.DUMMYFUNCTION("if(len(A195)&gt;0, REGEXEXTRACT(A195, ""\(([^\)]*)\)""), """")"),"Macross")</f>
        <v>Macross</v>
      </c>
      <c r="G195" s="17" t="str">
        <f>IFERROR(__xludf.DUMMYFUNCTION("if(len(A195)&gt;0, REGEXEXTRACT(A195, ""\)([^:]*):""), """")")," 200")</f>
        <v> 200</v>
      </c>
      <c r="H195" s="31" t="str">
        <f>IFERROR(__xludf.DUMMYFUNCTION("if(len(A195) &gt; 0, JOIN(char(10), FILTER(SPLIT(A195, char(10)), split(""false false "" &amp; rept(""true "", columns(SPLIT(A195, char(10)))-3) &amp; ""false"", "" ""))), """")"),"While other kids were building tinker-toy creations, you were fiddling with your dad's car and doing a better job than him. By purchasing this, meddling with machines and OverTechnology is as easy as breathing for you. By getting your hands on something, "&amp;"you can easily figure out how it works and how to copy its inner workings, provided that it wasn't just bullshit magic. The more advanced something is, the harder it may be... but with time and effort, you just might succeed.")</f>
        <v>While other kids were building tinker-toy creations, you were fiddling with your dad's car and doing a better job than him. By purchasing this, meddling with machines and OverTechnology is as easy as breathing for you. By getting your hands on something, you can easily figure out how it works and how to copy its inner workings, provided that it wasn't just bullshit magic. The more advanced something is, the harder it may be... but with time and effort, you just might succeed.</v>
      </c>
    </row>
    <row r="196">
      <c r="A196" s="31" t="str">
        <f>IFERROR(__xludf.DUMMYFUNCTION("""COMPUTED_VALUE"""),"Chapter 18: 14 Debut
Micromanipulators (A Certain Scientific Railgun) 50:
These rather delicate gloves were meant for scientific purposes. They’re reinforced with small motors and electrically contracting artificial muscles to allow you to perform delicat"&amp;"e work on the scale of one millionth of a meter. While they’re definitely more suited to scientific experiments, they can be put to use in any situation that requires steady hands like aiming a rifle, conducting brain surgery, cooking, defusing a bomb, or"&amp;" even bypassing some redirection and shielding abilities.
Item")</f>
        <v>Chapter 18: 14 Debut
Micromanipulators (A Certain Scientific Railgun) 50:
These rather delicate gloves were meant for scientific purposes. They’re reinforced with small motors and electrically contracting artificial muscles to allow you to perform delicate work on the scale of one millionth of a meter. While they’re definitely more suited to scientific experiments, they can be put to use in any situation that requires steady hands like aiming a rifle, conducting brain surgery, cooking, defusing a bomb, or even bypassing some redirection and shielding abilities.
Item</v>
      </c>
      <c r="B196" s="17">
        <f>IFERROR(__xludf.DUMMYFUNCTION("if(len(A196)&gt;0, value(REGEXEXTRACT(A196, ""Chapter ([0-9]*):"")), """")"),18.0)</f>
        <v>18</v>
      </c>
      <c r="C196" s="31" t="str">
        <f>IFERROR(__xludf.DUMMYFUNCTION("if(len(A196) &gt;0, REGEXEXTRACT(A196, ""Chapter [0-9]*: (.*)""), """")"),"14 Debut")</f>
        <v>14 Debut</v>
      </c>
      <c r="D196" s="31" t="str">
        <f>IFERROR(__xludf.DUMMYFUNCTION("if(len(A196)&gt;0, REGEXEXTRACT(A196, ""\n[^\(]*""), """")"),"
Micromanipulators ")</f>
        <v>
Micromanipulators </v>
      </c>
      <c r="E196" s="17" t="str">
        <f>IFERROR(__xludf.DUMMYFUNCTION("if(len(A196)&gt;0, REGEXEXTRACT(A196, ""\n([^\n]*)$""), """")"),"Item")</f>
        <v>Item</v>
      </c>
      <c r="F196" s="17" t="str">
        <f>IFERROR(__xludf.DUMMYFUNCTION("if(len(A196)&gt;0, REGEXEXTRACT(A196, ""\(([^\)]*)\)""), """")"),"A Certain Scientific Railgun")</f>
        <v>A Certain Scientific Railgun</v>
      </c>
      <c r="G196" s="17" t="str">
        <f>IFERROR(__xludf.DUMMYFUNCTION("if(len(A196)&gt;0, REGEXEXTRACT(A196, ""\)([^:]*):""), """")")," 50")</f>
        <v> 50</v>
      </c>
      <c r="H196" s="31" t="str">
        <f>IFERROR(__xludf.DUMMYFUNCTION("if(len(A196) &gt; 0, JOIN(char(10), FILTER(SPLIT(A196, char(10)), split(""false false "" &amp; rept(""true "", columns(SPLIT(A196, char(10)))-3) &amp; ""false"", "" ""))), """")"),"These rather delicate gloves were meant for scientific purposes. They’re reinforced with small motors and electrically contracting artificial muscles to allow you to perform delicate work on the scale of one millionth of a meter. While they’re definitely "&amp;"more suited to scientific experiments, they can be put to use in any situation that requires steady hands like aiming a rifle, conducting brain surgery, cooking, defusing a bomb, or even bypassing some redirection and shielding abilities.")</f>
        <v>These rather delicate gloves were meant for scientific purposes. They’re reinforced with small motors and electrically contracting artificial muscles to allow you to perform delicate work on the scale of one millionth of a meter. While they’re definitely more suited to scientific experiments, they can be put to use in any situation that requires steady hands like aiming a rifle, conducting brain surgery, cooking, defusing a bomb, or even bypassing some redirection and shielding abilities.</v>
      </c>
    </row>
    <row r="197">
      <c r="A197" s="31" t="str">
        <f>IFERROR(__xludf.DUMMYFUNCTION("""COMPUTED_VALUE"""),"Chapter 18: 14 Debut
Skills: Physics (Star Trek - TNG+DS9) 100:
How the universe works. The law of gravity, the conservation of matter &amp; energy, quantum physics, etc. Remember though, there are dozens of creatures in this universe that defy the laws of hu"&amp;"man physics, so you may want to try and rewrite a few of these books while your here.
System")</f>
        <v>Chapter 18: 14 Debut
Skills: Physics (Star Trek - TNG+DS9) 100:
How the universe works. The law of gravity, the conservation of matter &amp; energy, quantum physics, etc. Remember though, there are dozens of creatures in this universe that defy the laws of human physics, so you may want to try and rewrite a few of these books while your here.
System</v>
      </c>
      <c r="B197" s="17">
        <f>IFERROR(__xludf.DUMMYFUNCTION("if(len(A197)&gt;0, value(REGEXEXTRACT(A197, ""Chapter ([0-9]*):"")), """")"),18.0)</f>
        <v>18</v>
      </c>
      <c r="C197" s="31" t="str">
        <f>IFERROR(__xludf.DUMMYFUNCTION("if(len(A197) &gt;0, REGEXEXTRACT(A197, ""Chapter [0-9]*: (.*)""), """")"),"14 Debut")</f>
        <v>14 Debut</v>
      </c>
      <c r="D197" s="31" t="str">
        <f>IFERROR(__xludf.DUMMYFUNCTION("if(len(A197)&gt;0, REGEXEXTRACT(A197, ""\n[^\(]*""), """")"),"
Skills: Physics ")</f>
        <v>
Skills: Physics </v>
      </c>
      <c r="E197" s="17" t="str">
        <f>IFERROR(__xludf.DUMMYFUNCTION("if(len(A197)&gt;0, REGEXEXTRACT(A197, ""\n([^\n]*)$""), """")"),"System")</f>
        <v>System</v>
      </c>
      <c r="F197" s="17" t="str">
        <f>IFERROR(__xludf.DUMMYFUNCTION("if(len(A197)&gt;0, REGEXEXTRACT(A197, ""\(([^\)]*)\)""), """")"),"Star Trek - TNG+DS9")</f>
        <v>Star Trek - TNG+DS9</v>
      </c>
      <c r="G197" s="17" t="str">
        <f>IFERROR(__xludf.DUMMYFUNCTION("if(len(A197)&gt;0, REGEXEXTRACT(A197, ""\)([^:]*):""), """")")," 100")</f>
        <v> 100</v>
      </c>
      <c r="H197" s="31" t="str">
        <f>IFERROR(__xludf.DUMMYFUNCTION("if(len(A197) &gt; 0, JOIN(char(10), FILTER(SPLIT(A197, char(10)), split(""false false "" &amp; rept(""true "", columns(SPLIT(A197, char(10)))-3) &amp; ""false"", "" ""))), """")"),"How the universe works. The law of gravity, the conservation of matter &amp; energy, quantum physics, etc. Remember though, there are dozens of creatures in this universe that defy the laws of human physics, so you may want to try and rewrite a few of these b"&amp;"ooks while your here.")</f>
        <v>How the universe works. The law of gravity, the conservation of matter &amp; energy, quantum physics, etc. Remember though, there are dozens of creatures in this universe that defy the laws of human physics, so you may want to try and rewrite a few of these books while your here.</v>
      </c>
    </row>
    <row r="198">
      <c r="A198" s="31" t="str">
        <f>IFERROR(__xludf.DUMMYFUNCTION("""COMPUTED_VALUE"""),"Chapter 180: 115 Recontextualize
Magitech (Thundercats 2011) 600:
The combination of magic and technology. Magitech creations are rare and difficult to make but they're also extremely powerful and could easily function after being abandoned for hundreds o"&amp;"f years. Some are even capable of trapping and containing souls
System")</f>
        <v>Chapter 180: 115 Recontextualize
Magitech (Thundercats 2011) 600:
The combination of magic and technology. Magitech creations are rare and difficult to make but they're also extremely powerful and could easily function after being abandoned for hundreds of years. Some are even capable of trapping and containing souls
System</v>
      </c>
      <c r="B198" s="17">
        <f>IFERROR(__xludf.DUMMYFUNCTION("if(len(A198)&gt;0, value(REGEXEXTRACT(A198, ""Chapter ([0-9]*):"")), """")"),180.0)</f>
        <v>180</v>
      </c>
      <c r="C198" s="31" t="str">
        <f>IFERROR(__xludf.DUMMYFUNCTION("if(len(A198) &gt;0, REGEXEXTRACT(A198, ""Chapter [0-9]*: (.*)""), """")"),"115 Recontextualize")</f>
        <v>115 Recontextualize</v>
      </c>
      <c r="D198" s="31" t="str">
        <f>IFERROR(__xludf.DUMMYFUNCTION("if(len(A198)&gt;0, REGEXEXTRACT(A198, ""\n[^\(]*""), """")"),"
Magitech ")</f>
        <v>
Magitech </v>
      </c>
      <c r="E198" s="17" t="str">
        <f>IFERROR(__xludf.DUMMYFUNCTION("if(len(A198)&gt;0, REGEXEXTRACT(A198, ""\n([^\n]*)$""), """")"),"System")</f>
        <v>System</v>
      </c>
      <c r="F198" s="17" t="str">
        <f>IFERROR(__xludf.DUMMYFUNCTION("if(len(A198)&gt;0, REGEXEXTRACT(A198, ""\(([^\)]*)\)""), """")"),"Thundercats 2011")</f>
        <v>Thundercats 2011</v>
      </c>
      <c r="G198" s="17" t="str">
        <f>IFERROR(__xludf.DUMMYFUNCTION("if(len(A198)&gt;0, REGEXEXTRACT(A198, ""\)([^:]*):""), """")")," 600")</f>
        <v> 600</v>
      </c>
      <c r="H198" s="31" t="str">
        <f>IFERROR(__xludf.DUMMYFUNCTION("if(len(A198) &gt; 0, JOIN(char(10), FILTER(SPLIT(A198, char(10)), split(""false false "" &amp; rept(""true "", columns(SPLIT(A198, char(10)))-3) &amp; ""false"", "" ""))), """")"),"The combination of magic and technology. Magitech creations are rare and difficult to make but they're also extremely powerful and could easily function after being abandoned for hundreds of years. Some are even capable of trapping and containing souls")</f>
        <v>The combination of magic and technology. Magitech creations are rare and difficult to make but they're also extremely powerful and could easily function after being abandoned for hundreds of years. Some are even capable of trapping and containing souls</v>
      </c>
    </row>
    <row r="199">
      <c r="A199" s="31" t="str">
        <f>IFERROR(__xludf.DUMMYFUNCTION("""COMPUTED_VALUE"""),"Chapter 180: 115 Recontextualize
Old Cloak (Thundercats 2011) Free:
A dull looking piece of clothing that will perfectly conceal your features and help you go unnoticed in large crowds
Item")</f>
        <v>Chapter 180: 115 Recontextualize
Old Cloak (Thundercats 2011) Free:
A dull looking piece of clothing that will perfectly conceal your features and help you go unnoticed in large crowds
Item</v>
      </c>
      <c r="B199" s="17">
        <f>IFERROR(__xludf.DUMMYFUNCTION("if(len(A199)&gt;0, value(REGEXEXTRACT(A199, ""Chapter ([0-9]*):"")), """")"),180.0)</f>
        <v>180</v>
      </c>
      <c r="C199" s="31" t="str">
        <f>IFERROR(__xludf.DUMMYFUNCTION("if(len(A199) &gt;0, REGEXEXTRACT(A199, ""Chapter [0-9]*: (.*)""), """")"),"115 Recontextualize")</f>
        <v>115 Recontextualize</v>
      </c>
      <c r="D199" s="31" t="str">
        <f>IFERROR(__xludf.DUMMYFUNCTION("if(len(A199)&gt;0, REGEXEXTRACT(A199, ""\n[^\(]*""), """")"),"
Old Cloak ")</f>
        <v>
Old Cloak </v>
      </c>
      <c r="E199" s="17" t="str">
        <f>IFERROR(__xludf.DUMMYFUNCTION("if(len(A199)&gt;0, REGEXEXTRACT(A199, ""\n([^\n]*)$""), """")"),"Item")</f>
        <v>Item</v>
      </c>
      <c r="F199" s="17" t="str">
        <f>IFERROR(__xludf.DUMMYFUNCTION("if(len(A199)&gt;0, REGEXEXTRACT(A199, ""\(([^\)]*)\)""), """")"),"Thundercats 2011")</f>
        <v>Thundercats 2011</v>
      </c>
      <c r="G199" s="17" t="str">
        <f>IFERROR(__xludf.DUMMYFUNCTION("if(len(A199)&gt;0, REGEXEXTRACT(A199, ""\)([^:]*):""), """")")," Free")</f>
        <v> Free</v>
      </c>
      <c r="H199" s="31" t="str">
        <f>IFERROR(__xludf.DUMMYFUNCTION("if(len(A199) &gt; 0, JOIN(char(10), FILTER(SPLIT(A199, char(10)), split(""false false "" &amp; rept(""true "", columns(SPLIT(A199, char(10)))-3) &amp; ""false"", "" ""))), """")"),"A dull looking piece of clothing that will perfectly conceal your features and help you go unnoticed in large crowds")</f>
        <v>A dull looking piece of clothing that will perfectly conceal your features and help you go unnoticed in large crowds</v>
      </c>
    </row>
    <row r="200">
      <c r="A200" s="31" t="str">
        <f>IFERROR(__xludf.DUMMYFUNCTION("""COMPUTED_VALUE"""),"Chapter 183: 116.2 Interlude Panacea - Preamble Vicky
Movie &amp; TV Series Collection (Personal Reality) 50:
Functionally identical to the Music Collection, but instead containing 15,000 hours of recorded passive visual media, all in a format your systems ca"&amp;"n play. All are available in their original languages, with subtitles that are below the bottom of the image and high visibility, with commentary explaining any cultural or production notes, with creator and actor commentary where possible, and with perfe"&amp;"ctly done dubbing into a language you speak like a native… or rather all languages you speak like a native… and this dubbing sounds exactly like the original actors. Every month you’ll receive 12 hours of new media.
Facility")</f>
        <v>Chapter 183: 116.2 Interlude Panacea - Preamble Vicky
Movie &amp; TV Series Collection (Personal Reality) 50:
Functionally identical to the Music Collection, but instead containing 15,000 hours of recorded passive visual media, all in a format your systems can play. All are available in their original languages, with subtitles that are below the bottom of the image and high visibility, with commentary explaining any cultural or production notes, with creator and actor commentary where possible, and with perfectly done dubbing into a language you speak like a native… or rather all languages you speak like a native… and this dubbing sounds exactly like the original actors. Every month you’ll receive 12 hours of new media.
Facility</v>
      </c>
      <c r="B200" s="17">
        <f>IFERROR(__xludf.DUMMYFUNCTION("if(len(A200)&gt;0, value(REGEXEXTRACT(A200, ""Chapter ([0-9]*):"")), """")"),183.0)</f>
        <v>183</v>
      </c>
      <c r="C200" s="31" t="str">
        <f>IFERROR(__xludf.DUMMYFUNCTION("if(len(A200) &gt;0, REGEXEXTRACT(A200, ""Chapter [0-9]*: (.*)""), """")"),"116.2 Interlude Panacea - Preamble Vicky")</f>
        <v>116.2 Interlude Panacea - Preamble Vicky</v>
      </c>
      <c r="D200" s="31" t="str">
        <f>IFERROR(__xludf.DUMMYFUNCTION("if(len(A200)&gt;0, REGEXEXTRACT(A200, ""\n[^\(]*""), """")"),"
Movie &amp; TV Series Collection ")</f>
        <v>
Movie &amp; TV Series Collection </v>
      </c>
      <c r="E200" s="17" t="str">
        <f>IFERROR(__xludf.DUMMYFUNCTION("if(len(A200)&gt;0, REGEXEXTRACT(A200, ""\n([^\n]*)$""), """")"),"Facility")</f>
        <v>Facility</v>
      </c>
      <c r="F200" s="17" t="str">
        <f>IFERROR(__xludf.DUMMYFUNCTION("if(len(A200)&gt;0, REGEXEXTRACT(A200, ""\(([^\)]*)\)""), """")"),"Personal Reality")</f>
        <v>Personal Reality</v>
      </c>
      <c r="G200" s="17" t="str">
        <f>IFERROR(__xludf.DUMMYFUNCTION("if(len(A200)&gt;0, REGEXEXTRACT(A200, ""\)([^:]*):""), """")")," 50")</f>
        <v> 50</v>
      </c>
      <c r="H200" s="31" t="str">
        <f>IFERROR(__xludf.DUMMYFUNCTION("if(len(A200) &gt; 0, JOIN(char(10), FILTER(SPLIT(A200, char(10)), split(""false false "" &amp; rept(""true "", columns(SPLIT(A200, char(10)))-3) &amp; ""false"", "" ""))), """")"),"Functionally identical to the Music Collection, but instead containing 15,000 hours of recorded passive visual media, all in a format your systems can play. All are available in their original languages, with subtitles that are below the bottom of the ima"&amp;"ge and high visibility, with commentary explaining any cultural or production notes, with creator and actor commentary where possible, and with perfectly done dubbing into a language you speak like a native… or rather all languages you speak like a native"&amp;"… and this dubbing sounds exactly like the original actors. Every month you’ll receive 12 hours of new media.")</f>
        <v>Functionally identical to the Music Collection, but instead containing 15,000 hours of recorded passive visual media, all in a format your systems can play. All are available in their original languages, with subtitles that are below the bottom of the image and high visibility, with commentary explaining any cultural or production notes, with creator and actor commentary where possible, and with perfectly done dubbing into a language you speak like a native… or rather all languages you speak like a native… and this dubbing sounds exactly like the original actors. Every month you’ll receive 12 hours of new media.</v>
      </c>
    </row>
    <row r="201">
      <c r="A201" s="31" t="str">
        <f>IFERROR(__xludf.DUMMYFUNCTION("""COMPUTED_VALUE"""),"Chapter 183: 116.2 Interlude Panacea - Preamble Vicky
Music Collection (Personal Reality) 50:
You receive a collection of 500 albums (EPS or LPS) based on personalized criteria such as genre, artists, or themes (big band, love songs, acapella, etc.). Line"&amp;"r-notes, sheet-music, and creator commentary / explanations are provided, as well as live performances, remixes, and covers. Total guaranteed run time not to be less than 2,000 hours. Every month you’ll get a new album. This can be purchased multiple time"&amp;"s and only music from previous Host Realities is available. If you find that, upon listening to an album for the first time that you do not like it, it will be replaced… but since perfect memory perks are a dime a dozen, asking for a replacement will resu"&amp;"lt in a mental block being placed over the music. You’ll still be able to remember you heard that album and didn’t enjoy it, but not the actual music. This block is fiat backed until you hear the album again someplace else or gain your spark.
Facility")</f>
        <v>Chapter 183: 116.2 Interlude Panacea - Preamble Vicky
Music Collection (Personal Reality) 50:
You receive a collection of 500 albums (EPS or LPS) based on personalized criteria such as genre, artists, or themes (big band, love songs, acapella, etc.). Liner-notes, sheet-music, and creator commentary / explanations are provided, as well as live performances, remixes, and covers. Total guaranteed run time not to be less than 2,000 hours. Every month you’ll get a new album. This can be purchased multiple times and only music from previous Host Realities is available. If you find that, upon listening to an album for the first time that you do not like it, it will be replaced… but since perfect memory perks are a dime a dozen, asking for a replacement will result in a mental block being placed over the music. You’ll still be able to remember you heard that album and didn’t enjoy it, but not the actual music. This block is fiat backed until you hear the album again someplace else or gain your spark.
Facility</v>
      </c>
      <c r="B201" s="17">
        <f>IFERROR(__xludf.DUMMYFUNCTION("if(len(A201)&gt;0, value(REGEXEXTRACT(A201, ""Chapter ([0-9]*):"")), """")"),183.0)</f>
        <v>183</v>
      </c>
      <c r="C201" s="31" t="str">
        <f>IFERROR(__xludf.DUMMYFUNCTION("if(len(A201) &gt;0, REGEXEXTRACT(A201, ""Chapter [0-9]*: (.*)""), """")"),"116.2 Interlude Panacea - Preamble Vicky")</f>
        <v>116.2 Interlude Panacea - Preamble Vicky</v>
      </c>
      <c r="D201" s="31" t="str">
        <f>IFERROR(__xludf.DUMMYFUNCTION("if(len(A201)&gt;0, REGEXEXTRACT(A201, ""\n[^\(]*""), """")"),"
Music Collection ")</f>
        <v>
Music Collection </v>
      </c>
      <c r="E201" s="17" t="str">
        <f>IFERROR(__xludf.DUMMYFUNCTION("if(len(A201)&gt;0, REGEXEXTRACT(A201, ""\n([^\n]*)$""), """")"),"Facility")</f>
        <v>Facility</v>
      </c>
      <c r="F201" s="17" t="str">
        <f>IFERROR(__xludf.DUMMYFUNCTION("if(len(A201)&gt;0, REGEXEXTRACT(A201, ""\(([^\)]*)\)""), """")"),"Personal Reality")</f>
        <v>Personal Reality</v>
      </c>
      <c r="G201" s="17" t="str">
        <f>IFERROR(__xludf.DUMMYFUNCTION("if(len(A201)&gt;0, REGEXEXTRACT(A201, ""\)([^:]*):""), """")")," 50")</f>
        <v> 50</v>
      </c>
      <c r="H201" s="31" t="str">
        <f>IFERROR(__xludf.DUMMYFUNCTION("if(len(A201) &gt; 0, JOIN(char(10), FILTER(SPLIT(A201, char(10)), split(""false false "" &amp; rept(""true "", columns(SPLIT(A201, char(10)))-3) &amp; ""false"", "" ""))), """")"),"You receive a collection of 500 albums (EPS or LPS) based on personalized criteria such as genre, artists, or themes (big band, love songs, acapella, etc.). Liner-notes, sheet-music, and creator commentary / explanations are provided, as well as live perf"&amp;"ormances, remixes, and covers. Total guaranteed run time not to be less than 2,000 hours. Every month you’ll get a new album. This can be purchased multiple times and only music from previous Host Realities is available. If you find that, upon listening t"&amp;"o an album for the first time that you do not like it, it will be replaced… but since perfect memory perks are a dime a dozen, asking for a replacement will result in a mental block being placed over the music. You’ll still be able to remember you heard t"&amp;"hat album and didn’t enjoy it, but not the actual music. This block is fiat backed until you hear the album again someplace else or gain your spark.")</f>
        <v>You receive a collection of 500 albums (EPS or LPS) based on personalized criteria such as genre, artists, or themes (big band, love songs, acapella, etc.). Liner-notes, sheet-music, and creator commentary / explanations are provided, as well as live performances, remixes, and covers. Total guaranteed run time not to be less than 2,000 hours. Every month you’ll get a new album. This can be purchased multiple times and only music from previous Host Realities is available. If you find that, upon listening to an album for the first time that you do not like it, it will be replaced… but since perfect memory perks are a dime a dozen, asking for a replacement will result in a mental block being placed over the music. You’ll still be able to remember you heard that album and didn’t enjoy it, but not the actual music. This block is fiat backed until you hear the album again someplace else or gain your spark.</v>
      </c>
    </row>
    <row r="202">
      <c r="A202" s="31" t="str">
        <f>IFERROR(__xludf.DUMMYFUNCTION("""COMPUTED_VALUE"""),"Chapter 184: 116.3 Interlude Crystal - Addendum Joe
A New Age of Warfare (Metal Gear) 600:
Metal Gear, a weapon capable of bringing an entire nation to its knees (in theory). Your engineering talents have extended to the point you can create these war mac"&amp;"hines, even automate them with AI, provided you have enough time and resources.
System")</f>
        <v>Chapter 184: 116.3 Interlude Crystal - Addendum Joe
A New Age of Warfare (Metal Gear) 600:
Metal Gear, a weapon capable of bringing an entire nation to its knees (in theory). Your engineering talents have extended to the point you can create these war machines, even automate them with AI, provided you have enough time and resources.
System</v>
      </c>
      <c r="B202" s="17">
        <f>IFERROR(__xludf.DUMMYFUNCTION("if(len(A202)&gt;0, value(REGEXEXTRACT(A202, ""Chapter ([0-9]*):"")), """")"),184.0)</f>
        <v>184</v>
      </c>
      <c r="C202" s="31" t="str">
        <f>IFERROR(__xludf.DUMMYFUNCTION("if(len(A202) &gt;0, REGEXEXTRACT(A202, ""Chapter [0-9]*: (.*)""), """")"),"116.3 Interlude Crystal - Addendum Joe")</f>
        <v>116.3 Interlude Crystal - Addendum Joe</v>
      </c>
      <c r="D202" s="31" t="str">
        <f>IFERROR(__xludf.DUMMYFUNCTION("if(len(A202)&gt;0, REGEXEXTRACT(A202, ""\n[^\(]*""), """")"),"
A New Age of Warfare ")</f>
        <v>
A New Age of Warfare </v>
      </c>
      <c r="E202" s="17" t="str">
        <f>IFERROR(__xludf.DUMMYFUNCTION("if(len(A202)&gt;0, REGEXEXTRACT(A202, ""\n([^\n]*)$""), """")"),"System")</f>
        <v>System</v>
      </c>
      <c r="F202" s="17" t="str">
        <f>IFERROR(__xludf.DUMMYFUNCTION("if(len(A202)&gt;0, REGEXEXTRACT(A202, ""\(([^\)]*)\)""), """")"),"Metal Gear")</f>
        <v>Metal Gear</v>
      </c>
      <c r="G202" s="17" t="str">
        <f>IFERROR(__xludf.DUMMYFUNCTION("if(len(A202)&gt;0, REGEXEXTRACT(A202, ""\)([^:]*):""), """")")," 600")</f>
        <v> 600</v>
      </c>
      <c r="H202" s="31" t="str">
        <f>IFERROR(__xludf.DUMMYFUNCTION("if(len(A202) &gt; 0, JOIN(char(10), FILTER(SPLIT(A202, char(10)), split(""false false "" &amp; rept(""true "", columns(SPLIT(A202, char(10)))-3) &amp; ""false"", "" ""))), """")"),"Metal Gear, a weapon capable of bringing an entire nation to its knees (in theory). Your engineering talents have extended to the point you can create these war machines, even automate them with AI, provided you have enough time and resources.")</f>
        <v>Metal Gear, a weapon capable of bringing an entire nation to its knees (in theory). Your engineering talents have extended to the point you can create these war machines, even automate them with AI, provided you have enough time and resources.</v>
      </c>
    </row>
    <row r="203">
      <c r="A203" s="31" t="str">
        <f>IFERROR(__xludf.DUMMYFUNCTION("""COMPUTED_VALUE"""),"Chapter 184: 116.3 Interlude Crystal - Addendum Joe
Global Operations (Metal Gear) Free:
In an era of tactical espionage, a soldier can no longer trust the fight to be defined by borders or battle lines. Operations can occur anywhere on the planet, and yo"&amp;"u’ve taken the first step to prepare for that. You can speak one additional language, appropriate to your location, fluently.
Skill")</f>
        <v>Chapter 184: 116.3 Interlude Crystal - Addendum Joe
Global Operations (Metal Gear) Free:
In an era of tactical espionage, a soldier can no longer trust the fight to be defined by borders or battle lines. Operations can occur anywhere on the planet, and you’ve taken the first step to prepare for that. You can speak one additional language, appropriate to your location, fluently.
Skill</v>
      </c>
      <c r="B203" s="17">
        <f>IFERROR(__xludf.DUMMYFUNCTION("if(len(A203)&gt;0, value(REGEXEXTRACT(A203, ""Chapter ([0-9]*):"")), """")"),184.0)</f>
        <v>184</v>
      </c>
      <c r="C203" s="31" t="str">
        <f>IFERROR(__xludf.DUMMYFUNCTION("if(len(A203) &gt;0, REGEXEXTRACT(A203, ""Chapter [0-9]*: (.*)""), """")"),"116.3 Interlude Crystal - Addendum Joe")</f>
        <v>116.3 Interlude Crystal - Addendum Joe</v>
      </c>
      <c r="D203" s="31" t="str">
        <f>IFERROR(__xludf.DUMMYFUNCTION("if(len(A203)&gt;0, REGEXEXTRACT(A203, ""\n[^\(]*""), """")"),"
Global Operations ")</f>
        <v>
Global Operations </v>
      </c>
      <c r="E203" s="17" t="str">
        <f>IFERROR(__xludf.DUMMYFUNCTION("if(len(A203)&gt;0, REGEXEXTRACT(A203, ""\n([^\n]*)$""), """")"),"Skill")</f>
        <v>Skill</v>
      </c>
      <c r="F203" s="17" t="str">
        <f>IFERROR(__xludf.DUMMYFUNCTION("if(len(A203)&gt;0, REGEXEXTRACT(A203, ""\(([^\)]*)\)""), """")"),"Metal Gear")</f>
        <v>Metal Gear</v>
      </c>
      <c r="G203" s="17" t="str">
        <f>IFERROR(__xludf.DUMMYFUNCTION("if(len(A203)&gt;0, REGEXEXTRACT(A203, ""\)([^:]*):""), """")")," Free")</f>
        <v> Free</v>
      </c>
      <c r="H203" s="31" t="str">
        <f>IFERROR(__xludf.DUMMYFUNCTION("if(len(A203) &gt; 0, JOIN(char(10), FILTER(SPLIT(A203, char(10)), split(""false false "" &amp; rept(""true "", columns(SPLIT(A203, char(10)))-3) &amp; ""false"", "" ""))), """")"),"In an era of tactical espionage, a soldier can no longer trust the fight to be defined by borders or battle lines. Operations can occur anywhere on the planet, and you’ve taken the first step to prepare for that. You can speak one additional language, app"&amp;"ropriate to your location, fluently.")</f>
        <v>In an era of tactical espionage, a soldier can no longer trust the fight to be defined by borders or battle lines. Operations can occur anywhere on the planet, and you’ve taken the first step to prepare for that. You can speak one additional language, appropriate to your location, fluently.</v>
      </c>
    </row>
    <row r="204">
      <c r="A204" s="31" t="str">
        <f>IFERROR(__xludf.DUMMYFUNCTION("""COMPUTED_VALUE"""),"Chapter 184: 116.3 Interlude Crystal - Addendum Joe
Signature Weapon (Metal Gear) Free:
While soldiers are often expected to be familiar with a variety of weapons, everyone has a favorite. Especially in this universe, where some of the elite are defined b"&amp;"y their weapon of choice. You may import a weapon you already own into any number of weapons purchased, or simply combine purchased weapons, adding either new functionality or an alternate form to the weapon. Selecting a weapon as your signature grants th"&amp;"e following benefits:
Total familiarity of the weapon. Operating and maintaining this weapon comes as naturally as breathing to you. This won’t make you a better shot per se, but you know how the weapon behaves as well as your own limbs.
In addition to s"&amp;"tandard ammo, your warehouse can produce any ammo type that could theoretically be made for it with modern day tech. This includes unorthodox picks like shotgun sabots, mercury-filled bullets, or explosive arrows. Options without conventional ammo use hav"&amp;"e other benefits, listed with the respective weapon.
Extra bonuses to the weapon, based on your background and certain perks, these will persist if someone else is using it. R&amp;D Unit: You can't really say there are many like it, unless you're trying to be"&amp;" humble. Your signature weapon is simply a masterwork: including design and material innovations that would be cutting-edge in MGS4, parts fabricated to microscopic precision, and that intangible care of a hand-made item. The benefits of this won't match "&amp;"the other listed perk effects, but it will improve virtually every aspect of this weapon.
Item")</f>
        <v>Chapter 184: 116.3 Interlude Crystal - Addendum Joe
Signature Weapon (Metal Gear) Free:
While soldiers are often expected to be familiar with a variety of weapons, everyone has a favorite. Especially in this universe, where some of the elite are defined by their weapon of choice. You may import a weapon you already own into any number of weapons purchased, or simply combine purchased weapons, adding either new functionality or an alternate form to the weapon. Selecting a weapon as your signature grants the following benefits:
Total familiarity of the weapon. Operating and maintaining this weapon comes as naturally as breathing to you. This won’t make you a better shot per se, but you know how the weapon behaves as well as your own limbs.
In addition to standard ammo, your warehouse can produce any ammo type that could theoretically be made for it with modern day tech. This includes unorthodox picks like shotgun sabots, mercury-filled bullets, or explosive arrows. Options without conventional ammo use have other benefits, listed with the respective weapon.
Extra bonuses to the weapon, based on your background and certain perks, these will persist if someone else is using it. R&amp;D Unit: You can't really say there are many like it, unless you're trying to be humble. Your signature weapon is simply a masterwork: including design and material innovations that would be cutting-edge in MGS4, parts fabricated to microscopic precision, and that intangible care of a hand-made item. The benefits of this won't match the other listed perk effects, but it will improve virtually every aspect of this weapon.
Item</v>
      </c>
      <c r="B204" s="17">
        <f>IFERROR(__xludf.DUMMYFUNCTION("if(len(A204)&gt;0, value(REGEXEXTRACT(A204, ""Chapter ([0-9]*):"")), """")"),184.0)</f>
        <v>184</v>
      </c>
      <c r="C204" s="31" t="str">
        <f>IFERROR(__xludf.DUMMYFUNCTION("if(len(A204) &gt;0, REGEXEXTRACT(A204, ""Chapter [0-9]*: (.*)""), """")"),"116.3 Interlude Crystal - Addendum Joe")</f>
        <v>116.3 Interlude Crystal - Addendum Joe</v>
      </c>
      <c r="D204" s="31" t="str">
        <f>IFERROR(__xludf.DUMMYFUNCTION("if(len(A204)&gt;0, REGEXEXTRACT(A204, ""\n[^\(]*""), """")"),"
Signature Weapon ")</f>
        <v>
Signature Weapon </v>
      </c>
      <c r="E204" s="17" t="str">
        <f>IFERROR(__xludf.DUMMYFUNCTION("if(len(A204)&gt;0, REGEXEXTRACT(A204, ""\n([^\n]*)$""), """")"),"Item")</f>
        <v>Item</v>
      </c>
      <c r="F204" s="17" t="str">
        <f>IFERROR(__xludf.DUMMYFUNCTION("if(len(A204)&gt;0, REGEXEXTRACT(A204, ""\(([^\)]*)\)""), """")"),"Metal Gear")</f>
        <v>Metal Gear</v>
      </c>
      <c r="G204" s="17" t="str">
        <f>IFERROR(__xludf.DUMMYFUNCTION("if(len(A204)&gt;0, REGEXEXTRACT(A204, ""\)([^:]*):""), """")")," Free")</f>
        <v> Free</v>
      </c>
      <c r="H204" s="31" t="str">
        <f>IFERROR(__xludf.DUMMYFUNCTION("if(len(A204) &gt; 0, JOIN(char(10), FILTER(SPLIT(A204, char(10)), split(""false false "" &amp; rept(""true "", columns(SPLIT(A204, char(10)))-3) &amp; ""false"", "" ""))), """")"),"While soldiers are often expected to be familiar with a variety of weapons, everyone has a favorite. Especially in this universe, where some of the elite are defined by their weapon of choice. You may import a weapon you already own into any number of wea"&amp;"pons purchased, or simply combine purchased weapons, adding either new functionality or an alternate form to the weapon. Selecting a weapon as your signature grants the following benefits:
Total familiarity of the weapon. Operating and maintaining this we"&amp;"apon comes as naturally as breathing to you. This won’t make you a better shot per se, but you know how the weapon behaves as well as your own limbs.
In addition to standard ammo, your warehouse can produce any ammo type that could theoretically be made "&amp;"for it with modern day tech. This includes unorthodox picks like shotgun sabots, mercury-filled bullets, or explosive arrows. Options without conventional ammo use have other benefits, listed with the respective weapon.
Extra bonuses to the weapon, based "&amp;"on your background and certain perks, these will persist if someone else is using it. R&amp;D Unit: You can't really say there are many like it, unless you're trying to be humble. Your signature weapon is simply a masterwork: including design and material inn"&amp;"ovations that would be cutting-edge in MGS4, parts fabricated to microscopic precision, and that intangible care of a hand-made item. The benefits of this won't match the other listed perk effects, but it will improve virtually every aspect of this weapon"&amp;".")</f>
        <v>While soldiers are often expected to be familiar with a variety of weapons, everyone has a favorite. Especially in this universe, where some of the elite are defined by their weapon of choice. You may import a weapon you already own into any number of weapons purchased, or simply combine purchased weapons, adding either new functionality or an alternate form to the weapon. Selecting a weapon as your signature grants the following benefits:
Total familiarity of the weapon. Operating and maintaining this weapon comes as naturally as breathing to you. This won’t make you a better shot per se, but you know how the weapon behaves as well as your own limbs.
In addition to standard ammo, your warehouse can produce any ammo type that could theoretically be made for it with modern day tech. This includes unorthodox picks like shotgun sabots, mercury-filled bullets, or explosive arrows. Options without conventional ammo use have other benefits, listed with the respective weapon.
Extra bonuses to the weapon, based on your background and certain perks, these will persist if someone else is using it. R&amp;D Unit: You can't really say there are many like it, unless you're trying to be humble. Your signature weapon is simply a masterwork: including design and material innovations that would be cutting-edge in MGS4, parts fabricated to microscopic precision, and that intangible care of a hand-made item. The benefits of this won't match the other listed perk effects, but it will improve virtually every aspect of this weapon.</v>
      </c>
    </row>
    <row r="205">
      <c r="A205" s="31" t="str">
        <f>IFERROR(__xludf.DUMMYFUNCTION("""COMPUTED_VALUE"""),"Chapter 186: 118 Roles and Reflection
Blood Artisan Plus (Bloodborne) 600:
You have been granted an experienced artisan's knowledge on crafting things out of blood. This is basically an overall improved version of Blood Artisan, allowing you to craft more"&amp;" potent Blood Vials, larger Blood Stones and even Blood Gems. Blood Gems are supernatural gems formed from blood that can be slotted into weapons to give them a variety of special abilities. Some Blood Gems can make an edge sharper, or a tip pointer. Othe"&amp;"r gems can bathe a weapon in fire, poison or electricity to make them more effective against certain enemies. Some gems can even increase your strength or dexterity while wielding the weapon it's slotted in. Their magical powers can be stacked, to an exte"&amp;"nt at least. This means you may slot up to three different Blood Gems in the same weapon, though no more. Blood Gems can be slotted and removed with special equipment. (Cannot be taken with Blood Artisan.)
System")</f>
        <v>Chapter 186: 118 Roles and Reflection
Blood Artisan Plus (Bloodborne) 600:
You have been granted an experienced artisan's knowledge on crafting things out of blood. This is basically an overall improved version of Blood Artisan, allowing you to craft more potent Blood Vials, larger Blood Stones and even Blood Gems. Blood Gems are supernatural gems formed from blood that can be slotted into weapons to give them a variety of special abilities. Some Blood Gems can make an edge sharper, or a tip pointer. Other gems can bathe a weapon in fire, poison or electricity to make them more effective against certain enemies. Some gems can even increase your strength or dexterity while wielding the weapon it's slotted in. Their magical powers can be stacked, to an extent at least. This means you may slot up to three different Blood Gems in the same weapon, though no more. Blood Gems can be slotted and removed with special equipment. (Cannot be taken with Blood Artisan.)
System</v>
      </c>
      <c r="B205" s="17">
        <f>IFERROR(__xludf.DUMMYFUNCTION("if(len(A205)&gt;0, value(REGEXEXTRACT(A205, ""Chapter ([0-9]*):"")), """")"),186.0)</f>
        <v>186</v>
      </c>
      <c r="C205" s="31" t="str">
        <f>IFERROR(__xludf.DUMMYFUNCTION("if(len(A205) &gt;0, REGEXEXTRACT(A205, ""Chapter [0-9]*: (.*)""), """")"),"118 Roles and Reflection")</f>
        <v>118 Roles and Reflection</v>
      </c>
      <c r="D205" s="31" t="str">
        <f>IFERROR(__xludf.DUMMYFUNCTION("if(len(A205)&gt;0, REGEXEXTRACT(A205, ""\n[^\(]*""), """")"),"
Blood Artisan Plus ")</f>
        <v>
Blood Artisan Plus </v>
      </c>
      <c r="E205" s="17" t="str">
        <f>IFERROR(__xludf.DUMMYFUNCTION("if(len(A205)&gt;0, REGEXEXTRACT(A205, ""\n([^\n]*)$""), """")"),"System")</f>
        <v>System</v>
      </c>
      <c r="F205" s="17" t="str">
        <f>IFERROR(__xludf.DUMMYFUNCTION("if(len(A205)&gt;0, REGEXEXTRACT(A205, ""\(([^\)]*)\)""), """")"),"Bloodborne")</f>
        <v>Bloodborne</v>
      </c>
      <c r="G205" s="17" t="str">
        <f>IFERROR(__xludf.DUMMYFUNCTION("if(len(A205)&gt;0, REGEXEXTRACT(A205, ""\)([^:]*):""), """")")," 600")</f>
        <v> 600</v>
      </c>
      <c r="H205" s="31" t="str">
        <f>IFERROR(__xludf.DUMMYFUNCTION("if(len(A205) &gt; 0, JOIN(char(10), FILTER(SPLIT(A205, char(10)), split(""false false "" &amp; rept(""true "", columns(SPLIT(A205, char(10)))-3) &amp; ""false"", "" ""))), """")"),"You have been granted an experienced artisan's knowledge on crafting things out of blood. This is basically an overall improved version of Blood Artisan, allowing you to craft more potent Blood Vials, larger Blood Stones and even Blood Gems. Blood Gems ar"&amp;"e supernatural gems formed from blood that can be slotted into weapons to give them a variety of special abilities. Some Blood Gems can make an edge sharper, or a tip pointer. Other gems can bathe a weapon in fire, poison or electricity to make them more "&amp;"effective against certain enemies. Some gems can even increase your strength or dexterity while wielding the weapon it's slotted in. Their magical powers can be stacked, to an extent at least. This means you may slot up to three different Blood Gems in th"&amp;"e same weapon, though no more. Blood Gems can be slotted and removed with special equipment. (Cannot be taken with Blood Artisan.)")</f>
        <v>You have been granted an experienced artisan's knowledge on crafting things out of blood. This is basically an overall improved version of Blood Artisan, allowing you to craft more potent Blood Vials, larger Blood Stones and even Blood Gems. Blood Gems are supernatural gems formed from blood that can be slotted into weapons to give them a variety of special abilities. Some Blood Gems can make an edge sharper, or a tip pointer. Other gems can bathe a weapon in fire, poison or electricity to make them more effective against certain enemies. Some gems can even increase your strength or dexterity while wielding the weapon it's slotted in. Their magical powers can be stacked, to an extent at least. This means you may slot up to three different Blood Gems in the same weapon, though no more. Blood Gems can be slotted and removed with special equipment. (Cannot be taken with Blood Artisan.)</v>
      </c>
    </row>
    <row r="206">
      <c r="A206" s="31" t="str">
        <f>IFERROR(__xludf.DUMMYFUNCTION("""COMPUTED_VALUE"""),"Chapter 186: 118 Roles and Reflection
Bloodied Combat + Blood Artisan Plus (Bloodborne) Free:
You may now crystallize blood in contact with your hand into whatever shape you desire, though the more complex the shape is the more you'll need to focus. Addit"&amp;"ionally, by holding an object made of crystallized blood in your hands, you may slowly manipulate the crystal structure into something more desirable. Whether this means warping it into a new shape or making it sturdier or something else is up to you, but"&amp;" I'm sure you'll find more than a few creative uses.
System")</f>
        <v>Chapter 186: 118 Roles and Reflection
Bloodied Combat + Blood Artisan Plus (Bloodborne) Free:
You may now crystallize blood in contact with your hand into whatever shape you desire, though the more complex the shape is the more you'll need to focus. Additionally, by holding an object made of crystallized blood in your hands, you may slowly manipulate the crystal structure into something more desirable. Whether this means warping it into a new shape or making it sturdier or something else is up to you, but I'm sure you'll find more than a few creative uses.
System</v>
      </c>
      <c r="B206" s="17">
        <f>IFERROR(__xludf.DUMMYFUNCTION("if(len(A206)&gt;0, value(REGEXEXTRACT(A206, ""Chapter ([0-9]*):"")), """")"),186.0)</f>
        <v>186</v>
      </c>
      <c r="C206" s="31" t="str">
        <f>IFERROR(__xludf.DUMMYFUNCTION("if(len(A206) &gt;0, REGEXEXTRACT(A206, ""Chapter [0-9]*: (.*)""), """")"),"118 Roles and Reflection")</f>
        <v>118 Roles and Reflection</v>
      </c>
      <c r="D206" s="31" t="str">
        <f>IFERROR(__xludf.DUMMYFUNCTION("if(len(A206)&gt;0, REGEXEXTRACT(A206, ""\n[^\(]*""), """")"),"
Bloodied Combat + Blood Artisan Plus ")</f>
        <v>
Bloodied Combat + Blood Artisan Plus </v>
      </c>
      <c r="E206" s="17" t="str">
        <f>IFERROR(__xludf.DUMMYFUNCTION("if(len(A206)&gt;0, REGEXEXTRACT(A206, ""\n([^\n]*)$""), """")"),"System")</f>
        <v>System</v>
      </c>
      <c r="F206" s="17" t="str">
        <f>IFERROR(__xludf.DUMMYFUNCTION("if(len(A206)&gt;0, REGEXEXTRACT(A206, ""\(([^\)]*)\)""), """")"),"Bloodborne")</f>
        <v>Bloodborne</v>
      </c>
      <c r="G206" s="17" t="str">
        <f>IFERROR(__xludf.DUMMYFUNCTION("if(len(A206)&gt;0, REGEXEXTRACT(A206, ""\)([^:]*):""), """")")," Free")</f>
        <v> Free</v>
      </c>
      <c r="H206" s="31" t="str">
        <f>IFERROR(__xludf.DUMMYFUNCTION("if(len(A206) &gt; 0, JOIN(char(10), FILTER(SPLIT(A206, char(10)), split(""false false "" &amp; rept(""true "", columns(SPLIT(A206, char(10)))-3) &amp; ""false"", "" ""))), """")"),"You may now crystallize blood in contact with your hand into whatever shape you desire, though the more complex the shape is the more you'll need to focus. Additionally, by holding an object made of crystallized blood in your hands, you may slowly manipul"&amp;"ate the crystal structure into something more desirable. Whether this means warping it into a new shape or making it sturdier or something else is up to you, but I'm sure you'll find more than a few creative uses.")</f>
        <v>You may now crystallize blood in contact with your hand into whatever shape you desire, though the more complex the shape is the more you'll need to focus. Additionally, by holding an object made of crystallized blood in your hands, you may slowly manipulate the crystal structure into something more desirable. Whether this means warping it into a new shape or making it sturdier or something else is up to you, but I'm sure you'll find more than a few creative uses.</v>
      </c>
    </row>
    <row r="207">
      <c r="A207" s="31" t="str">
        <f>IFERROR(__xludf.DUMMYFUNCTION("""COMPUTED_VALUE"""),"Chapter 19: 15 Recuperation
Alchemist's Laboratory (Overlord) Free with Alchemist:
A fully fitted and supplied alchemist’s laboratory ready for your use. It comes with the highest quality supplies and equipment required to make magical potions, allowing y"&amp;"ou to make potions to emulate the effect of any spell you know that could be reasonably made into a potion via alchemy (assuming you know alchemy, at least). The equipment will automatically upgrade itself relative to your own personal skill level, so the"&amp;" more skilled you are the better it will be to reflect that. Reagents for common potions restock themselves automatically on a regular basis.
Facility")</f>
        <v>Chapter 19: 15 Recuperation
Alchemist's Laboratory (Overlord) Free with Alchemist:
A fully fitted and supplied alchemist’s laboratory ready for your use. It comes with the highest quality supplies and equipment required to make magical potions, allowing you to make potions to emulate the effect of any spell you know that could be reasonably made into a potion via alchemy (assuming you know alchemy, at least). The equipment will automatically upgrade itself relative to your own personal skill level, so the more skilled you are the better it will be to reflect that. Reagents for common potions restock themselves automatically on a regular basis.
Facility</v>
      </c>
      <c r="B207" s="17">
        <f>IFERROR(__xludf.DUMMYFUNCTION("if(len(A207)&gt;0, value(REGEXEXTRACT(A207, ""Chapter ([0-9]*):"")), """")"),19.0)</f>
        <v>19</v>
      </c>
      <c r="C207" s="31" t="str">
        <f>IFERROR(__xludf.DUMMYFUNCTION("if(len(A207) &gt;0, REGEXEXTRACT(A207, ""Chapter [0-9]*: (.*)""), """")"),"15 Recuperation")</f>
        <v>15 Recuperation</v>
      </c>
      <c r="D207" s="31" t="str">
        <f>IFERROR(__xludf.DUMMYFUNCTION("if(len(A207)&gt;0, REGEXEXTRACT(A207, ""\n[^\(]*""), """")"),"
Alchemist's Laboratory ")</f>
        <v>
Alchemist's Laboratory </v>
      </c>
      <c r="E207" s="17" t="str">
        <f>IFERROR(__xludf.DUMMYFUNCTION("if(len(A207)&gt;0, REGEXEXTRACT(A207, ""\n([^\n]*)$""), """")"),"Facility")</f>
        <v>Facility</v>
      </c>
      <c r="F207" s="17" t="str">
        <f>IFERROR(__xludf.DUMMYFUNCTION("if(len(A207)&gt;0, REGEXEXTRACT(A207, ""\(([^\)]*)\)""), """")"),"Overlord")</f>
        <v>Overlord</v>
      </c>
      <c r="G207" s="17" t="str">
        <f>IFERROR(__xludf.DUMMYFUNCTION("if(len(A207)&gt;0, REGEXEXTRACT(A207, ""\)([^:]*):""), """")")," Free with Alchemist")</f>
        <v> Free with Alchemist</v>
      </c>
      <c r="H207" s="31" t="str">
        <f>IFERROR(__xludf.DUMMYFUNCTION("if(len(A207) &gt; 0, JOIN(char(10), FILTER(SPLIT(A207, char(10)), split(""false false "" &amp; rept(""true "", columns(SPLIT(A207, char(10)))-3) &amp; ""false"", "" ""))), """")"),"A fully fitted and supplied alchemist’s laboratory ready for your use. It comes with the highest quality supplies and equipment required to make magical potions, allowing you to make potions to emulate the effect of any spell you know that could be reason"&amp;"ably made into a potion via alchemy (assuming you know alchemy, at least). The equipment will automatically upgrade itself relative to your own personal skill level, so the more skilled you are the better it will be to reflect that. Reagents for common po"&amp;"tions restock themselves automatically on a regular basis.")</f>
        <v>A fully fitted and supplied alchemist’s laboratory ready for your use. It comes with the highest quality supplies and equipment required to make magical potions, allowing you to make potions to emulate the effect of any spell you know that could be reasonably made into a potion via alchemy (assuming you know alchemy, at least). The equipment will automatically upgrade itself relative to your own personal skill level, so the more skilled you are the better it will be to reflect that. Reagents for common potions restock themselves automatically on a regular basis.</v>
      </c>
    </row>
    <row r="208">
      <c r="A208" s="31" t="str">
        <f>IFERROR(__xludf.DUMMYFUNCTION("""COMPUTED_VALUE"""),"Chapter 19: 15 Recuperation
Class and Specialization (Mass Effect) 100:
You will get enough training in your class to be considered an asset to any team. Not to the point of being a keystone. You are considered to be to a similar level when it comes to yo"&amp;"ur specialization. Specializations are various apexes that can be reached. You also get a set of gear per your two choices.
Class: Engineer
Engineers are pure technology specialists. Although they lack the implants that most other classes wield, they make"&amp;" up for it with their high-spec military grade omni-tools, capable of bypassing shields and armor or incapacitating robotic targets and some synthetics. They can deploy combat drones to harass enemies.
Specialization: Mechanic
A more purely focus Engineer"&amp;". From fighters and frigates to Mass Effect fields and automated machines, you know your way around and are aside fairly versed in mechanical theory. You might not know how to build something, but you can almost certainly figure it out with time.
Skill, S"&amp;"ystem, Item")</f>
        <v>Chapter 19: 15 Recuperation
Class and Specialization (Mass Effect) 100:
You will get enough training in your class to be considered an asset to any team. Not to the point of being a keystone. You are considered to be to a similar level when it comes to your specialization. Specializations are various apexes that can be reached. You also get a set of gear per your two choices.
Class: Engineer
Engineers are pure technology specialists. Although they lack the implants that most other classes wield, they make up for it with their high-spec military grade omni-tools, capable of bypassing shields and armor or incapacitating robotic targets and some synthetics. They can deploy combat drones to harass enemies.
Specialization: Mechanic
A more purely focus Engineer. From fighters and frigates to Mass Effect fields and automated machines, you know your way around and are aside fairly versed in mechanical theory. You might not know how to build something, but you can almost certainly figure it out with time.
Skill, System, Item</v>
      </c>
      <c r="B208" s="17">
        <f>IFERROR(__xludf.DUMMYFUNCTION("if(len(A208)&gt;0, value(REGEXEXTRACT(A208, ""Chapter ([0-9]*):"")), """")"),19.0)</f>
        <v>19</v>
      </c>
      <c r="C208" s="31" t="str">
        <f>IFERROR(__xludf.DUMMYFUNCTION("if(len(A208) &gt;0, REGEXEXTRACT(A208, ""Chapter [0-9]*: (.*)""), """")"),"15 Recuperation")</f>
        <v>15 Recuperation</v>
      </c>
      <c r="D208" s="31" t="str">
        <f>IFERROR(__xludf.DUMMYFUNCTION("if(len(A208)&gt;0, REGEXEXTRACT(A208, ""\n[^\(]*""), """")"),"
Class and Specialization ")</f>
        <v>
Class and Specialization </v>
      </c>
      <c r="E208" s="17" t="str">
        <f>IFERROR(__xludf.DUMMYFUNCTION("if(len(A208)&gt;0, REGEXEXTRACT(A208, ""\n([^\n]*)$""), """")"),"Skill, System, Item")</f>
        <v>Skill, System, Item</v>
      </c>
      <c r="F208" s="17" t="str">
        <f>IFERROR(__xludf.DUMMYFUNCTION("if(len(A208)&gt;0, REGEXEXTRACT(A208, ""\(([^\)]*)\)""), """")"),"Mass Effect")</f>
        <v>Mass Effect</v>
      </c>
      <c r="G208" s="17" t="str">
        <f>IFERROR(__xludf.DUMMYFUNCTION("if(len(A208)&gt;0, REGEXEXTRACT(A208, ""\)([^:]*):""), """")")," 100")</f>
        <v> 100</v>
      </c>
      <c r="H208" s="31" t="str">
        <f>IFERROR(__xludf.DUMMYFUNCTION("if(len(A208) &gt; 0, JOIN(char(10), FILTER(SPLIT(A208, char(10)), split(""false false "" &amp; rept(""true "", columns(SPLIT(A208, char(10)))-3) &amp; ""false"", "" ""))), """")"),"You will get enough training in your class to be considered an asset to any team. Not to the point of being a keystone. You are considered to be to a similar level when it comes to your specialization. Specializations are various apexes that can be reache"&amp;"d. You also get a set of gear per your two choices.
Class: Engineer
Engineers are pure technology specialists. Although they lack the implants that most other classes wield, they make up for it with their high-spec military grade omni-tools, capable of by"&amp;"passing shields and armor or incapacitating robotic targets and some synthetics. They can deploy combat drones to harass enemies.
Specialization: Mechanic
A more purely focus Engineer. From fighters and frigates to Mass Effect fields and automated machine"&amp;"s, you know your way around and are aside fairly versed in mechanical theory. You might not know how to build something, but you can almost certainly figure it out with time.")</f>
        <v>You will get enough training in your class to be considered an asset to any team. Not to the point of being a keystone. You are considered to be to a similar level when it comes to your specialization. Specializations are various apexes that can be reached. You also get a set of gear per your two choices.
Class: Engineer
Engineers are pure technology specialists. Although they lack the implants that most other classes wield, they make up for it with their high-spec military grade omni-tools, capable of bypassing shields and armor or incapacitating robotic targets and some synthetics. They can deploy combat drones to harass enemies.
Specialization: Mechanic
A more purely focus Engineer. From fighters and frigates to Mass Effect fields and automated machines, you know your way around and are aside fairly versed in mechanical theory. You might not know how to build something, but you can almost certainly figure it out with time.</v>
      </c>
    </row>
    <row r="209">
      <c r="A209" s="31" t="str">
        <f>IFERROR(__xludf.DUMMYFUNCTION("""COMPUTED_VALUE"""),"Chapter 19: 15 Recuperation
Innate Talent: Alchemist (Overlord) 200:
You are capable of brewing potions with magical effects. You can easily create ‘true’ healing potions that provide instantaneous healing rather than healing-over-time, and can make potio"&amp;"ns for any ‘buffing’ spells you know that are in the ranked magic system such as flight, invisibility, increased magic resistance, physical boosts, and so on. Obviously you must actually know a spell in order to make a potion with that spells effect. Addi"&amp;"tionally to make use of this talent you must actually have the means to make the potions in the first place such as an alchemist's lab or, for slimes, your own body
System")</f>
        <v>Chapter 19: 15 Recuperation
Innate Talent: Alchemist (Overlord) 200:
You are capable of brewing potions with magical effects. You can easily create ‘true’ healing potions that provide instantaneous healing rather than healing-over-time, and can make potions for any ‘buffing’ spells you know that are in the ranked magic system such as flight, invisibility, increased magic resistance, physical boosts, and so on. Obviously you must actually know a spell in order to make a potion with that spells effect. Additionally to make use of this talent you must actually have the means to make the potions in the first place such as an alchemist's lab or, for slimes, your own body
System</v>
      </c>
      <c r="B209" s="17">
        <f>IFERROR(__xludf.DUMMYFUNCTION("if(len(A209)&gt;0, value(REGEXEXTRACT(A209, ""Chapter ([0-9]*):"")), """")"),19.0)</f>
        <v>19</v>
      </c>
      <c r="C209" s="31" t="str">
        <f>IFERROR(__xludf.DUMMYFUNCTION("if(len(A209) &gt;0, REGEXEXTRACT(A209, ""Chapter [0-9]*: (.*)""), """")"),"15 Recuperation")</f>
        <v>15 Recuperation</v>
      </c>
      <c r="D209" s="31" t="str">
        <f>IFERROR(__xludf.DUMMYFUNCTION("if(len(A209)&gt;0, REGEXEXTRACT(A209, ""\n[^\(]*""), """")"),"
Innate Talent: Alchemist ")</f>
        <v>
Innate Talent: Alchemist </v>
      </c>
      <c r="E209" s="17" t="str">
        <f>IFERROR(__xludf.DUMMYFUNCTION("if(len(A209)&gt;0, REGEXEXTRACT(A209, ""\n([^\n]*)$""), """")"),"System")</f>
        <v>System</v>
      </c>
      <c r="F209" s="17" t="str">
        <f>IFERROR(__xludf.DUMMYFUNCTION("if(len(A209)&gt;0, REGEXEXTRACT(A209, ""\(([^\)]*)\)""), """")"),"Overlord")</f>
        <v>Overlord</v>
      </c>
      <c r="G209" s="17" t="str">
        <f>IFERROR(__xludf.DUMMYFUNCTION("if(len(A209)&gt;0, REGEXEXTRACT(A209, ""\)([^:]*):""), """")")," 200")</f>
        <v> 200</v>
      </c>
      <c r="H209" s="31" t="str">
        <f>IFERROR(__xludf.DUMMYFUNCTION("if(len(A209) &gt; 0, JOIN(char(10), FILTER(SPLIT(A209, char(10)), split(""false false "" &amp; rept(""true "", columns(SPLIT(A209, char(10)))-3) &amp; ""false"", "" ""))), """")"),"You are capable of brewing potions with magical effects. You can easily create ‘true’ healing potions that provide instantaneous healing rather than healing-over-time, and can make potions for any ‘buffing’ spells you know that are in the ranked magic sys"&amp;"tem such as flight, invisibility, increased magic resistance, physical boosts, and so on. Obviously you must actually know a spell in order to make a potion with that spells effect. Additionally to make use of this talent you must actually have the means "&amp;"to make the potions in the first place such as an alchemist's lab or, for slimes, your own body")</f>
        <v>You are capable of brewing potions with magical effects. You can easily create ‘true’ healing potions that provide instantaneous healing rather than healing-over-time, and can make potions for any ‘buffing’ spells you know that are in the ranked magic system such as flight, invisibility, increased magic resistance, physical boosts, and so on. Obviously you must actually know a spell in order to make a potion with that spells effect. Additionally to make use of this talent you must actually have the means to make the potions in the first place such as an alchemist's lab or, for slimes, your own body</v>
      </c>
    </row>
    <row r="210">
      <c r="A210" s="31" t="str">
        <f>IFERROR(__xludf.DUMMYFUNCTION("""COMPUTED_VALUE"""),"Chapter 19: 15 Recuperation
The Flock's Fleece (Actraiser) 400:
Men and women have not wandered the wilds naked since the long-gone days of the Garden. Whether they knew it or not, the act of clothing oneself is one that at once protects and isolates. A s"&amp;"hirt or a robe is a metaphorical armor against the elements, against shame and against the prying eyes of others. You are such a skilled craftsman that you can take the 'metaphorical' part out of the equation. You're a one-person clothing creator and tail"&amp;"or, able to take the raw materials of silk, cotton, wool and hide...and then with almost no tools produce wondrous clothing, fitted just right for anyone who dares try the garments on. They're protective vestments against the harsh elements, able to keep "&amp;"people in comfortable condition be they in the deserts of Kasandora or the icy plains of Northwall.
Not only that, but people who wear them find that they'll be kept safer from the claws of beasts or the swords of their enemies, acting as a light chain-ma"&amp;"il mesh despite being soft and maneuverable fabric.
Fiat")</f>
        <v>Chapter 19: 15 Recuperation
The Flock's Fleece (Actraiser) 400:
Men and women have not wandered the wilds naked since the long-gone days of the Garden. Whether they knew it or not, the act of clothing oneself is one that at once protects and isolates. A shirt or a robe is a metaphorical armor against the elements, against shame and against the prying eyes of others. You are such a skilled craftsman that you can take the 'metaphorical' part out of the equation. You're a one-person clothing creator and tailor, able to take the raw materials of silk, cotton, wool and hide...and then with almost no tools produce wondrous clothing, fitted just right for anyone who dares try the garments on. They're protective vestments against the harsh elements, able to keep people in comfortable condition be they in the deserts of Kasandora or the icy plains of Northwall.
Not only that, but people who wear them find that they'll be kept safer from the claws of beasts or the swords of their enemies, acting as a light chain-mail mesh despite being soft and maneuverable fabric.
Fiat</v>
      </c>
      <c r="B210" s="17">
        <f>IFERROR(__xludf.DUMMYFUNCTION("if(len(A210)&gt;0, value(REGEXEXTRACT(A210, ""Chapter ([0-9]*):"")), """")"),19.0)</f>
        <v>19</v>
      </c>
      <c r="C210" s="31" t="str">
        <f>IFERROR(__xludf.DUMMYFUNCTION("if(len(A210) &gt;0, REGEXEXTRACT(A210, ""Chapter [0-9]*: (.*)""), """")"),"15 Recuperation")</f>
        <v>15 Recuperation</v>
      </c>
      <c r="D210" s="31" t="str">
        <f>IFERROR(__xludf.DUMMYFUNCTION("if(len(A210)&gt;0, REGEXEXTRACT(A210, ""\n[^\(]*""), """")"),"
The Flock's Fleece ")</f>
        <v>
The Flock's Fleece </v>
      </c>
      <c r="E210" s="17" t="str">
        <f>IFERROR(__xludf.DUMMYFUNCTION("if(len(A210)&gt;0, REGEXEXTRACT(A210, ""\n([^\n]*)$""), """")"),"Fiat")</f>
        <v>Fiat</v>
      </c>
      <c r="F210" s="17" t="str">
        <f>IFERROR(__xludf.DUMMYFUNCTION("if(len(A210)&gt;0, REGEXEXTRACT(A210, ""\(([^\)]*)\)""), """")"),"Actraiser")</f>
        <v>Actraiser</v>
      </c>
      <c r="G210" s="17" t="str">
        <f>IFERROR(__xludf.DUMMYFUNCTION("if(len(A210)&gt;0, REGEXEXTRACT(A210, ""\)([^:]*):""), """")")," 400")</f>
        <v> 400</v>
      </c>
      <c r="H210" s="31" t="str">
        <f>IFERROR(__xludf.DUMMYFUNCTION("if(len(A210) &gt; 0, JOIN(char(10), FILTER(SPLIT(A210, char(10)), split(""false false "" &amp; rept(""true "", columns(SPLIT(A210, char(10)))-3) &amp; ""false"", "" ""))), """")"),"Men and women have not wandered the wilds naked since the long-gone days of the Garden. Whether they knew it or not, the act of clothing oneself is one that at once protects and isolates. A shirt or a robe is a metaphorical armor against the elements, aga"&amp;"inst shame and against the prying eyes of others. You are such a skilled craftsman that you can take the 'metaphorical' part out of the equation. You're a one-person clothing creator and tailor, able to take the raw materials of silk, cotton, wool and hid"&amp;"e...and then with almost no tools produce wondrous clothing, fitted just right for anyone who dares try the garments on. They're protective vestments against the harsh elements, able to keep people in comfortable condition be they in the deserts of Kasand"&amp;"ora or the icy plains of Northwall.
Not only that, but people who wear them find that they'll be kept safer from the claws of beasts or the swords of their enemies, acting as a light chain-mail mesh despite being soft and maneuverable fabric.")</f>
        <v>Men and women have not wandered the wilds naked since the long-gone days of the Garden. Whether they knew it or not, the act of clothing oneself is one that at once protects and isolates. A shirt or a robe is a metaphorical armor against the elements, against shame and against the prying eyes of others. You are such a skilled craftsman that you can take the 'metaphorical' part out of the equation. You're a one-person clothing creator and tailor, able to take the raw materials of silk, cotton, wool and hide...and then with almost no tools produce wondrous clothing, fitted just right for anyone who dares try the garments on. They're protective vestments against the harsh elements, able to keep people in comfortable condition be they in the deserts of Kasandora or the icy plains of Northwall.
Not only that, but people who wear them find that they'll be kept safer from the claws of beasts or the swords of their enemies, acting as a light chain-mail mesh despite being soft and maneuverable fabric.</v>
      </c>
    </row>
    <row r="211">
      <c r="A211" s="31" t="str">
        <f>IFERROR(__xludf.DUMMYFUNCTION("""COMPUTED_VALUE"""),"Chapter 192: 119.5 Interlude Labyrinth
Box-tech (Metal Gear Solid) 400:
Cardboard boxes that can produce a smoke cloud? Check. Poison Cigars? Check. A mine-detector the size of a Walkman? Check. Building the sort of gadgets that MGS protagonists rely on i"&amp;"s your thing. With Box-tech you can apply 'A New Age of Warfare' cutting-edge technologies to combat-ready gear, creating things like man-portable Railguns and Stealth Camo.
System")</f>
        <v>Chapter 192: 119.5 Interlude Labyrinth
Box-tech (Metal Gear Solid) 400:
Cardboard boxes that can produce a smoke cloud? Check. Poison Cigars? Check. A mine-detector the size of a Walkman? Check. Building the sort of gadgets that MGS protagonists rely on is your thing. With Box-tech you can apply 'A New Age of Warfare' cutting-edge technologies to combat-ready gear, creating things like man-portable Railguns and Stealth Camo.
System</v>
      </c>
      <c r="B211" s="17">
        <f>IFERROR(__xludf.DUMMYFUNCTION("if(len(A211)&gt;0, value(REGEXEXTRACT(A211, ""Chapter ([0-9]*):"")), """")"),192.0)</f>
        <v>192</v>
      </c>
      <c r="C211" s="31" t="str">
        <f>IFERROR(__xludf.DUMMYFUNCTION("if(len(A211) &gt;0, REGEXEXTRACT(A211, ""Chapter [0-9]*: (.*)""), """")"),"119.5 Interlude Labyrinth")</f>
        <v>119.5 Interlude Labyrinth</v>
      </c>
      <c r="D211" s="31" t="str">
        <f>IFERROR(__xludf.DUMMYFUNCTION("if(len(A211)&gt;0, REGEXEXTRACT(A211, ""\n[^\(]*""), """")"),"
Box-tech ")</f>
        <v>
Box-tech </v>
      </c>
      <c r="E211" s="17" t="str">
        <f>IFERROR(__xludf.DUMMYFUNCTION("if(len(A211)&gt;0, REGEXEXTRACT(A211, ""\n([^\n]*)$""), """")"),"System")</f>
        <v>System</v>
      </c>
      <c r="F211" s="17" t="str">
        <f>IFERROR(__xludf.DUMMYFUNCTION("if(len(A211)&gt;0, REGEXEXTRACT(A211, ""\(([^\)]*)\)""), """")"),"Metal Gear Solid")</f>
        <v>Metal Gear Solid</v>
      </c>
      <c r="G211" s="17" t="str">
        <f>IFERROR(__xludf.DUMMYFUNCTION("if(len(A211)&gt;0, REGEXEXTRACT(A211, ""\)([^:]*):""), """")")," 400")</f>
        <v> 400</v>
      </c>
      <c r="H211" s="31" t="str">
        <f>IFERROR(__xludf.DUMMYFUNCTION("if(len(A211) &gt; 0, JOIN(char(10), FILTER(SPLIT(A211, char(10)), split(""false false "" &amp; rept(""true "", columns(SPLIT(A211, char(10)))-3) &amp; ""false"", "" ""))), """")"),"Cardboard boxes that can produce a smoke cloud? Check. Poison Cigars? Check. A mine-detector the size of a Walkman? Check. Building the sort of gadgets that MGS protagonists rely on is your thing. With Box-tech you can apply 'A New Age of Warfare' cutting"&amp;"-edge technologies to combat-ready gear, creating things like man-portable Railguns and Stealth Camo.")</f>
        <v>Cardboard boxes that can produce a smoke cloud? Check. Poison Cigars? Check. A mine-detector the size of a Walkman? Check. Building the sort of gadgets that MGS protagonists rely on is your thing. With Box-tech you can apply 'A New Age of Warfare' cutting-edge technologies to combat-ready gear, creating things like man-portable Railguns and Stealth Camo.</v>
      </c>
    </row>
    <row r="212">
      <c r="A212" s="31" t="str">
        <f>IFERROR(__xludf.DUMMYFUNCTION("""COMPUTED_VALUE"""),"Chapter 192: 119.5 Interlude Labyrinth
Equivalent Exchange (Minecraft) 600:
You are a powerful Alchemist, able to infuse a Diamond with the power of Redstone and Glowstone to make a Philosopher’s Stone. With such a stone in hand, you’ll be able to create "&amp;"a Transmutation Tablet, allowing you to instantly convert matter from one form to another, possibly even converting ordinary dirt to valuable Diamonds... or even compressing the Diamonds further into Dark Matter or Red Matter. Combining your transmutation"&amp;" skills with these exotic and vastly expensive forms of matter, you’ll be able to produce Alchemical Chests with incredible volume, indestructible equipment with immense power, energy collector systems to generate additional resources from nothingness, an"&amp;"d potentially become nearly immortal, burning vast quantities of resources instead of taking wounds. Your powers are all incredibly expensive to use, and you won’t be able to max them out in your time here (especially if you don’t have any advantages in h"&amp;"arvesting resources!), but the raw potential of this path exceeds all others.
System")</f>
        <v>Chapter 192: 119.5 Interlude Labyrinth
Equivalent Exchange (Minecraft) 600:
You are a powerful Alchemist, able to infuse a Diamond with the power of Redstone and Glowstone to make a Philosopher’s Stone. With such a stone in hand, you’ll be able to create a Transmutation Tablet, allowing you to instantly convert matter from one form to another, possibly even converting ordinary dirt to valuable Diamonds... or even compressing the Diamonds further into Dark Matter or Red Matter. Combining your transmutation skills with these exotic and vastly expensive forms of matter, you’ll be able to produce Alchemical Chests with incredible volume, indestructible equipment with immense power, energy collector systems to generate additional resources from nothingness, and potentially become nearly immortal, burning vast quantities of resources instead of taking wounds. Your powers are all incredibly expensive to use, and you won’t be able to max them out in your time here (especially if you don’t have any advantages in harvesting resources!), but the raw potential of this path exceeds all others.
System</v>
      </c>
      <c r="B212" s="17">
        <f>IFERROR(__xludf.DUMMYFUNCTION("if(len(A212)&gt;0, value(REGEXEXTRACT(A212, ""Chapter ([0-9]*):"")), """")"),192.0)</f>
        <v>192</v>
      </c>
      <c r="C212" s="31" t="str">
        <f>IFERROR(__xludf.DUMMYFUNCTION("if(len(A212) &gt;0, REGEXEXTRACT(A212, ""Chapter [0-9]*: (.*)""), """")"),"119.5 Interlude Labyrinth")</f>
        <v>119.5 Interlude Labyrinth</v>
      </c>
      <c r="D212" s="31" t="str">
        <f>IFERROR(__xludf.DUMMYFUNCTION("if(len(A212)&gt;0, REGEXEXTRACT(A212, ""\n[^\(]*""), """")"),"
Equivalent Exchange ")</f>
        <v>
Equivalent Exchange </v>
      </c>
      <c r="E212" s="17" t="str">
        <f>IFERROR(__xludf.DUMMYFUNCTION("if(len(A212)&gt;0, REGEXEXTRACT(A212, ""\n([^\n]*)$""), """")"),"System")</f>
        <v>System</v>
      </c>
      <c r="F212" s="17" t="str">
        <f>IFERROR(__xludf.DUMMYFUNCTION("if(len(A212)&gt;0, REGEXEXTRACT(A212, ""\(([^\)]*)\)""), """")"),"Minecraft")</f>
        <v>Minecraft</v>
      </c>
      <c r="G212" s="17" t="str">
        <f>IFERROR(__xludf.DUMMYFUNCTION("if(len(A212)&gt;0, REGEXEXTRACT(A212, ""\)([^:]*):""), """")")," 600")</f>
        <v> 600</v>
      </c>
      <c r="H212" s="31" t="str">
        <f>IFERROR(__xludf.DUMMYFUNCTION("if(len(A212) &gt; 0, JOIN(char(10), FILTER(SPLIT(A212, char(10)), split(""false false "" &amp; rept(""true "", columns(SPLIT(A212, char(10)))-3) &amp; ""false"", "" ""))), """")"),"You are a powerful Alchemist, able to infuse a Diamond with the power of Redstone and Glowstone to make a Philosopher’s Stone. With such a stone in hand, you’ll be able to create a Transmutation Tablet, allowing you to instantly convert matter from one fo"&amp;"rm to another, possibly even converting ordinary dirt to valuable Diamonds... or even compressing the Diamonds further into Dark Matter or Red Matter. Combining your transmutation skills with these exotic and vastly expensive forms of matter, you’ll be ab"&amp;"le to produce Alchemical Chests with incredible volume, indestructible equipment with immense power, energy collector systems to generate additional resources from nothingness, and potentially become nearly immortal, burning vast quantities of resources i"&amp;"nstead of taking wounds. Your powers are all incredibly expensive to use, and you won’t be able to max them out in your time here (especially if you don’t have any advantages in harvesting resources!), but the raw potential of this path exceeds all others"&amp;".")</f>
        <v>You are a powerful Alchemist, able to infuse a Diamond with the power of Redstone and Glowstone to make a Philosopher’s Stone. With such a stone in hand, you’ll be able to create a Transmutation Tablet, allowing you to instantly convert matter from one form to another, possibly even converting ordinary dirt to valuable Diamonds... or even compressing the Diamonds further into Dark Matter or Red Matter. Combining your transmutation skills with these exotic and vastly expensive forms of matter, you’ll be able to produce Alchemical Chests with incredible volume, indestructible equipment with immense power, energy collector systems to generate additional resources from nothingness, and potentially become nearly immortal, burning vast quantities of resources instead of taking wounds. Your powers are all incredibly expensive to use, and you won’t be able to max them out in your time here (especially if you don’t have any advantages in harvesting resources!), but the raw potential of this path exceeds all others.</v>
      </c>
    </row>
    <row r="213">
      <c r="A213" s="31" t="str">
        <f>IFERROR(__xludf.DUMMYFUNCTION("""COMPUTED_VALUE"""),"Chapter 20: 16 Therapy
Beauty in the Arts (God of War) 200:
The Greeks and their gods have an eye for the aesthetics of their surroundings. Whether it is the statues around them, or the floors they walk upon, or the things they carry and wield, it is bett"&amp;"er if it is appealing. Your ability to design any of your crafts has increased with this knowledge, able to appeal to form without sacrificing function. Regardless of what you create, it's going to look good enough that the gods might take notice... might"&amp;". Whether this is a good thing or a bad thing is for you to decide.
Fiat")</f>
        <v>Chapter 20: 16 Therapy
Beauty in the Arts (God of War) 200:
The Greeks and their gods have an eye for the aesthetics of their surroundings. Whether it is the statues around them, or the floors they walk upon, or the things they carry and wield, it is better if it is appealing. Your ability to design any of your crafts has increased with this knowledge, able to appeal to form without sacrificing function. Regardless of what you create, it's going to look good enough that the gods might take notice... might. Whether this is a good thing or a bad thing is for you to decide.
Fiat</v>
      </c>
      <c r="B213" s="17">
        <f>IFERROR(__xludf.DUMMYFUNCTION("if(len(A213)&gt;0, value(REGEXEXTRACT(A213, ""Chapter ([0-9]*):"")), """")"),20.0)</f>
        <v>20</v>
      </c>
      <c r="C213" s="31" t="str">
        <f>IFERROR(__xludf.DUMMYFUNCTION("if(len(A213) &gt;0, REGEXEXTRACT(A213, ""Chapter [0-9]*: (.*)""), """")"),"16 Therapy")</f>
        <v>16 Therapy</v>
      </c>
      <c r="D213" s="31" t="str">
        <f>IFERROR(__xludf.DUMMYFUNCTION("if(len(A213)&gt;0, REGEXEXTRACT(A213, ""\n[^\(]*""), """")"),"
Beauty in the Arts ")</f>
        <v>
Beauty in the Arts </v>
      </c>
      <c r="E213" s="17" t="str">
        <f>IFERROR(__xludf.DUMMYFUNCTION("if(len(A213)&gt;0, REGEXEXTRACT(A213, ""\n([^\n]*)$""), """")"),"Fiat")</f>
        <v>Fiat</v>
      </c>
      <c r="F213" s="17" t="str">
        <f>IFERROR(__xludf.DUMMYFUNCTION("if(len(A213)&gt;0, REGEXEXTRACT(A213, ""\(([^\)]*)\)""), """")"),"God of War")</f>
        <v>God of War</v>
      </c>
      <c r="G213" s="17" t="str">
        <f>IFERROR(__xludf.DUMMYFUNCTION("if(len(A213)&gt;0, REGEXEXTRACT(A213, ""\)([^:]*):""), """")")," 200")</f>
        <v> 200</v>
      </c>
      <c r="H213" s="31" t="str">
        <f>IFERROR(__xludf.DUMMYFUNCTION("if(len(A213) &gt; 0, JOIN(char(10), FILTER(SPLIT(A213, char(10)), split(""false false "" &amp; rept(""true "", columns(SPLIT(A213, char(10)))-3) &amp; ""false"", "" ""))), """")"),"The Greeks and their gods have an eye for the aesthetics of their surroundings. Whether it is the statues around them, or the floors they walk upon, or the things they carry and wield, it is better if it is appealing. Your ability to design any of your cr"&amp;"afts has increased with this knowledge, able to appeal to form without sacrificing function. Regardless of what you create, it's going to look good enough that the gods might take notice... might. Whether this is a good thing or a bad thing is for you to "&amp;"decide.")</f>
        <v>The Greeks and their gods have an eye for the aesthetics of their surroundings. Whether it is the statues around them, or the floors they walk upon, or the things they carry and wield, it is better if it is appealing. Your ability to design any of your crafts has increased with this knowledge, able to appeal to form without sacrificing function. Regardless of what you create, it's going to look good enough that the gods might take notice... might. Whether this is a good thing or a bad thing is for you to decide.</v>
      </c>
    </row>
    <row r="214">
      <c r="A214" s="31" t="str">
        <f>IFERROR(__xludf.DUMMYFUNCTION("""COMPUTED_VALUE"""),"Chapter 22: 17 Confrontation
Alchemy (Samurai Jack) 200:
The ancient science of mixing specific ingredients and then infusing them with natural energy. You know how to make a wide array of potions with both beneficial and harmful effects.
System")</f>
        <v>Chapter 22: 17 Confrontation
Alchemy (Samurai Jack) 200:
The ancient science of mixing specific ingredients and then infusing them with natural energy. You know how to make a wide array of potions with both beneficial and harmful effects.
System</v>
      </c>
      <c r="B214" s="17">
        <f>IFERROR(__xludf.DUMMYFUNCTION("if(len(A214)&gt;0, value(REGEXEXTRACT(A214, ""Chapter ([0-9]*):"")), """")"),22.0)</f>
        <v>22</v>
      </c>
      <c r="C214" s="31" t="str">
        <f>IFERROR(__xludf.DUMMYFUNCTION("if(len(A214) &gt;0, REGEXEXTRACT(A214, ""Chapter [0-9]*: (.*)""), """")"),"17 Confrontation")</f>
        <v>17 Confrontation</v>
      </c>
      <c r="D214" s="31" t="str">
        <f>IFERROR(__xludf.DUMMYFUNCTION("if(len(A214)&gt;0, REGEXEXTRACT(A214, ""\n[^\(]*""), """")"),"
Alchemy ")</f>
        <v>
Alchemy </v>
      </c>
      <c r="E214" s="17" t="str">
        <f>IFERROR(__xludf.DUMMYFUNCTION("if(len(A214)&gt;0, REGEXEXTRACT(A214, ""\n([^\n]*)$""), """")"),"System")</f>
        <v>System</v>
      </c>
      <c r="F214" s="17" t="str">
        <f>IFERROR(__xludf.DUMMYFUNCTION("if(len(A214)&gt;0, REGEXEXTRACT(A214, ""\(([^\)]*)\)""), """")"),"Samurai Jack")</f>
        <v>Samurai Jack</v>
      </c>
      <c r="G214" s="17" t="str">
        <f>IFERROR(__xludf.DUMMYFUNCTION("if(len(A214)&gt;0, REGEXEXTRACT(A214, ""\)([^:]*):""), """")")," 200")</f>
        <v> 200</v>
      </c>
      <c r="H214" s="31" t="str">
        <f>IFERROR(__xludf.DUMMYFUNCTION("if(len(A214) &gt; 0, JOIN(char(10), FILTER(SPLIT(A214, char(10)), split(""false false "" &amp; rept(""true "", columns(SPLIT(A214, char(10)))-3) &amp; ""false"", "" ""))), """")"),"The ancient science of mixing specific ingredients and then infusing them with natural energy. You know how to make a wide array of potions with both beneficial and harmful effects.")</f>
        <v>The ancient science of mixing specific ingredients and then infusing them with natural energy. You know how to make a wide array of potions with both beneficial and harmful effects.</v>
      </c>
    </row>
    <row r="215">
      <c r="A215" s="31" t="str">
        <f>IFERROR(__xludf.DUMMYFUNCTION("""COMPUTED_VALUE"""),"Chapter 22: 17 Confrontation
High-Frequency Manufacturer (Metal Gear Rising) 300:
A blade launderer, huh? Anyway, you can now make a HF blade out of anything you want. Depending on the original craftsmanship of the weapon, it could be good or shit. But if"&amp;" you picked this, you probably have something in mind.
Must be a physical object. No lightsabers and the like.
Yes, blunt objects can become HF weapons. No, they can't cut. They only get stronger, and can resist other HF weapons.
System")</f>
        <v>Chapter 22: 17 Confrontation
High-Frequency Manufacturer (Metal Gear Rising) 300:
A blade launderer, huh? Anyway, you can now make a HF blade out of anything you want. Depending on the original craftsmanship of the weapon, it could be good or shit. But if you picked this, you probably have something in mind.
Must be a physical object. No lightsabers and the like.
Yes, blunt objects can become HF weapons. No, they can't cut. They only get stronger, and can resist other HF weapons.
System</v>
      </c>
      <c r="B215" s="17">
        <f>IFERROR(__xludf.DUMMYFUNCTION("if(len(A215)&gt;0, value(REGEXEXTRACT(A215, ""Chapter ([0-9]*):"")), """")"),22.0)</f>
        <v>22</v>
      </c>
      <c r="C215" s="31" t="str">
        <f>IFERROR(__xludf.DUMMYFUNCTION("if(len(A215) &gt;0, REGEXEXTRACT(A215, ""Chapter [0-9]*: (.*)""), """")"),"17 Confrontation")</f>
        <v>17 Confrontation</v>
      </c>
      <c r="D215" s="31" t="str">
        <f>IFERROR(__xludf.DUMMYFUNCTION("if(len(A215)&gt;0, REGEXEXTRACT(A215, ""\n[^\(]*""), """")"),"
High-Frequency Manufacturer ")</f>
        <v>
High-Frequency Manufacturer </v>
      </c>
      <c r="E215" s="17" t="str">
        <f>IFERROR(__xludf.DUMMYFUNCTION("if(len(A215)&gt;0, REGEXEXTRACT(A215, ""\n([^\n]*)$""), """")"),"System")</f>
        <v>System</v>
      </c>
      <c r="F215" s="17" t="str">
        <f>IFERROR(__xludf.DUMMYFUNCTION("if(len(A215)&gt;0, REGEXEXTRACT(A215, ""\(([^\)]*)\)""), """")"),"Metal Gear Rising")</f>
        <v>Metal Gear Rising</v>
      </c>
      <c r="G215" s="17" t="str">
        <f>IFERROR(__xludf.DUMMYFUNCTION("if(len(A215)&gt;0, REGEXEXTRACT(A215, ""\)([^:]*):""), """")")," 300")</f>
        <v> 300</v>
      </c>
      <c r="H215" s="31" t="str">
        <f>IFERROR(__xludf.DUMMYFUNCTION("if(len(A215) &gt; 0, JOIN(char(10), FILTER(SPLIT(A215, char(10)), split(""false false "" &amp; rept(""true "", columns(SPLIT(A215, char(10)))-3) &amp; ""false"", "" ""))), """")"),"A blade launderer, huh? Anyway, you can now make a HF blade out of anything you want. Depending on the original craftsmanship of the weapon, it could be good or shit. But if you picked this, you probably have something in mind.
Must be a physical object. "&amp;"No lightsabers and the like.
Yes, blunt objects can become HF weapons. No, they can't cut. They only get stronger, and can resist other HF weapons.")</f>
        <v>A blade launderer, huh? Anyway, you can now make a HF blade out of anything you want. Depending on the original craftsmanship of the weapon, it could be good or shit. But if you picked this, you probably have something in mind.
Must be a physical object. No lightsabers and the like.
Yes, blunt objects can become HF weapons. No, they can't cut. They only get stronger, and can resist other HF weapons.</v>
      </c>
    </row>
    <row r="216">
      <c r="A216" s="31" t="str">
        <f>IFERROR(__xludf.DUMMYFUNCTION("""COMPUTED_VALUE"""),"Chapter 22: 17 Confrontation
Weapon Modifications (Archer) 100:
You design and modify weapons with flair, creativity, and skill.
Skill")</f>
        <v>Chapter 22: 17 Confrontation
Weapon Modifications (Archer) 100:
You design and modify weapons with flair, creativity, and skill.
Skill</v>
      </c>
      <c r="B216" s="17">
        <f>IFERROR(__xludf.DUMMYFUNCTION("if(len(A216)&gt;0, value(REGEXEXTRACT(A216, ""Chapter ([0-9]*):"")), """")"),22.0)</f>
        <v>22</v>
      </c>
      <c r="C216" s="31" t="str">
        <f>IFERROR(__xludf.DUMMYFUNCTION("if(len(A216) &gt;0, REGEXEXTRACT(A216, ""Chapter [0-9]*: (.*)""), """")"),"17 Confrontation")</f>
        <v>17 Confrontation</v>
      </c>
      <c r="D216" s="31" t="str">
        <f>IFERROR(__xludf.DUMMYFUNCTION("if(len(A216)&gt;0, REGEXEXTRACT(A216, ""\n[^\(]*""), """")"),"
Weapon Modifications ")</f>
        <v>
Weapon Modifications </v>
      </c>
      <c r="E216" s="17" t="str">
        <f>IFERROR(__xludf.DUMMYFUNCTION("if(len(A216)&gt;0, REGEXEXTRACT(A216, ""\n([^\n]*)$""), """")"),"Skill")</f>
        <v>Skill</v>
      </c>
      <c r="F216" s="17" t="str">
        <f>IFERROR(__xludf.DUMMYFUNCTION("if(len(A216)&gt;0, REGEXEXTRACT(A216, ""\(([^\)]*)\)""), """")"),"Archer")</f>
        <v>Archer</v>
      </c>
      <c r="G216" s="17" t="str">
        <f>IFERROR(__xludf.DUMMYFUNCTION("if(len(A216)&gt;0, REGEXEXTRACT(A216, ""\)([^:]*):""), """")")," 100")</f>
        <v> 100</v>
      </c>
      <c r="H216" s="31" t="str">
        <f>IFERROR(__xludf.DUMMYFUNCTION("if(len(A216) &gt; 0, JOIN(char(10), FILTER(SPLIT(A216, char(10)), split(""false false "" &amp; rept(""true "", columns(SPLIT(A216, char(10)))-3) &amp; ""false"", "" ""))), """")"),"You design and modify weapons with flair, creativity, and skill.")</f>
        <v>You design and modify weapons with flair, creativity, and skill.</v>
      </c>
    </row>
    <row r="217">
      <c r="A217" s="31" t="str">
        <f>IFERROR(__xludf.DUMMYFUNCTION("""COMPUTED_VALUE"""),"Chapter 23: 18 Regroup
Element Analysis (Bomberman 64: The Second Attack) 100:
With a little elbow grease, you can easily identify the elemental composition of ANY material and with the right resources, break it down to its base elements for further use.
"&amp;"Analysis")</f>
        <v>Chapter 23: 18 Regroup
Element Analysis (Bomberman 64: The Second Attack) 100:
With a little elbow grease, you can easily identify the elemental composition of ANY material and with the right resources, break it down to its base elements for further use.
Analysis</v>
      </c>
      <c r="B217" s="17">
        <f>IFERROR(__xludf.DUMMYFUNCTION("if(len(A217)&gt;0, value(REGEXEXTRACT(A217, ""Chapter ([0-9]*):"")), """")"),23.0)</f>
        <v>23</v>
      </c>
      <c r="C217" s="31" t="str">
        <f>IFERROR(__xludf.DUMMYFUNCTION("if(len(A217) &gt;0, REGEXEXTRACT(A217, ""Chapter [0-9]*: (.*)""), """")"),"18 Regroup")</f>
        <v>18 Regroup</v>
      </c>
      <c r="D217" s="31" t="str">
        <f>IFERROR(__xludf.DUMMYFUNCTION("if(len(A217)&gt;0, REGEXEXTRACT(A217, ""\n[^\(]*""), """")"),"
Element Analysis ")</f>
        <v>
Element Analysis </v>
      </c>
      <c r="E217" s="17" t="str">
        <f>IFERROR(__xludf.DUMMYFUNCTION("if(len(A217)&gt;0, REGEXEXTRACT(A217, ""\n([^\n]*)$""), """")"),"Analysis")</f>
        <v>Analysis</v>
      </c>
      <c r="F217" s="17" t="str">
        <f>IFERROR(__xludf.DUMMYFUNCTION("if(len(A217)&gt;0, REGEXEXTRACT(A217, ""\(([^\)]*)\)""), """")"),"Bomberman 64: The Second Attack")</f>
        <v>Bomberman 64: The Second Attack</v>
      </c>
      <c r="G217" s="17" t="str">
        <f>IFERROR(__xludf.DUMMYFUNCTION("if(len(A217)&gt;0, REGEXEXTRACT(A217, ""\)([^:]*):""), """")")," 100")</f>
        <v> 100</v>
      </c>
      <c r="H217" s="31" t="str">
        <f>IFERROR(__xludf.DUMMYFUNCTION("if(len(A217) &gt; 0, JOIN(char(10), FILTER(SPLIT(A217, char(10)), split(""false false "" &amp; rept(""true "", columns(SPLIT(A217, char(10)))-3) &amp; ""false"", "" ""))), """")"),"With a little elbow grease, you can easily identify the elemental composition of ANY material and with the right resources, break it down to its base elements for further use.")</f>
        <v>With a little elbow grease, you can easily identify the elemental composition of ANY material and with the right resources, break it down to its base elements for further use.</v>
      </c>
    </row>
    <row r="218">
      <c r="A218" s="31" t="str">
        <f>IFERROR(__xludf.DUMMYFUNCTION("""COMPUTED_VALUE"""),"Chapter 23: 18 Regroup
Unnatural Skill: Smith (Percy Jackson) 200:
Whether from your heritage or just being that good you've got one particular mundane skill that your feats with border on supernatural. Whether you're a smith on the level of the Cyclopses"&amp;", a near prescient tactician or a swordsman who is ny unstoppable with a blade your feats will be legendary. You are on a level within your skill such that only other beings of legend can hope to match you. This may be taken multiple times. You may not ch"&amp;"oose magic but you may choose a particular application of magic if you have it already (so curses, enchanting might work, more specific gets a bigger boost).
System")</f>
        <v>Chapter 23: 18 Regroup
Unnatural Skill: Smith (Percy Jackson) 200:
Whether from your heritage or just being that good you've got one particular mundane skill that your feats with border on supernatural. Whether you're a smith on the level of the Cyclopses, a near prescient tactician or a swordsman who is ny unstoppable with a blade your feats will be legendary. You are on a level within your skill such that only other beings of legend can hope to match you. This may be taken multiple times. You may not choose magic but you may choose a particular application of magic if you have it already (so curses, enchanting might work, more specific gets a bigger boost).
System</v>
      </c>
      <c r="B218" s="17">
        <f>IFERROR(__xludf.DUMMYFUNCTION("if(len(A218)&gt;0, value(REGEXEXTRACT(A218, ""Chapter ([0-9]*):"")), """")"),23.0)</f>
        <v>23</v>
      </c>
      <c r="C218" s="31" t="str">
        <f>IFERROR(__xludf.DUMMYFUNCTION("if(len(A218) &gt;0, REGEXEXTRACT(A218, ""Chapter [0-9]*: (.*)""), """")"),"18 Regroup")</f>
        <v>18 Regroup</v>
      </c>
      <c r="D218" s="31" t="str">
        <f>IFERROR(__xludf.DUMMYFUNCTION("if(len(A218)&gt;0, REGEXEXTRACT(A218, ""\n[^\(]*""), """")"),"
Unnatural Skill: Smith ")</f>
        <v>
Unnatural Skill: Smith </v>
      </c>
      <c r="E218" s="17" t="str">
        <f>IFERROR(__xludf.DUMMYFUNCTION("if(len(A218)&gt;0, REGEXEXTRACT(A218, ""\n([^\n]*)$""), """")"),"System")</f>
        <v>System</v>
      </c>
      <c r="F218" s="17" t="str">
        <f>IFERROR(__xludf.DUMMYFUNCTION("if(len(A218)&gt;0, REGEXEXTRACT(A218, ""\(([^\)]*)\)""), """")"),"Percy Jackson")</f>
        <v>Percy Jackson</v>
      </c>
      <c r="G218" s="17" t="str">
        <f>IFERROR(__xludf.DUMMYFUNCTION("if(len(A218)&gt;0, REGEXEXTRACT(A218, ""\)([^:]*):""), """")")," 200")</f>
        <v> 200</v>
      </c>
      <c r="H218" s="31" t="str">
        <f>IFERROR(__xludf.DUMMYFUNCTION("if(len(A218) &gt; 0, JOIN(char(10), FILTER(SPLIT(A218, char(10)), split(""false false "" &amp; rept(""true "", columns(SPLIT(A218, char(10)))-3) &amp; ""false"", "" ""))), """")"),"Whether from your heritage or just being that good you've got one particular mundane skill that your feats with border on supernatural. Whether you're a smith on the level of the Cyclopses, a near prescient tactician or a swordsman who is ny unstoppable w"&amp;"ith a blade your feats will be legendary. You are on a level within your skill such that only other beings of legend can hope to match you. This may be taken multiple times. You may not choose magic but you may choose a particular application of magic if "&amp;"you have it already (so curses, enchanting might work, more specific gets a bigger boost).")</f>
        <v>Whether from your heritage or just being that good you've got one particular mundane skill that your feats with border on supernatural. Whether you're a smith on the level of the Cyclopses, a near prescient tactician or a swordsman who is ny unstoppable with a blade your feats will be legendary. You are on a level within your skill such that only other beings of legend can hope to match you. This may be taken multiple times. You may not choose magic but you may choose a particular application of magic if you have it already (so curses, enchanting might work, more specific gets a bigger boost).</v>
      </c>
    </row>
    <row r="219">
      <c r="A219" s="31" t="str">
        <f>IFERROR(__xludf.DUMMYFUNCTION("""COMPUTED_VALUE"""),"Chapter 23: 18 Regroup
Workaholic (Sonic The Hedgehog) 300:
Sometimes you wonder how some geniuses are able to build entire armadas within days or weeks of their last defeat. You become a walking factory of production. Building in masse is something that "&amp;"comes without issue to you. That one bot that took a week to build? Now that one bot is now 5. Or roughly 3x the size it was before. How do you even have the resources to build so much you say? The hell if I know.
Fiat")</f>
        <v>Chapter 23: 18 Regroup
Workaholic (Sonic The Hedgehog) 300:
Sometimes you wonder how some geniuses are able to build entire armadas within days or weeks of their last defeat. You become a walking factory of production. Building in masse is something that comes without issue to you. That one bot that took a week to build? Now that one bot is now 5. Or roughly 3x the size it was before. How do you even have the resources to build so much you say? The hell if I know.
Fiat</v>
      </c>
      <c r="B219" s="17">
        <f>IFERROR(__xludf.DUMMYFUNCTION("if(len(A219)&gt;0, value(REGEXEXTRACT(A219, ""Chapter ([0-9]*):"")), """")"),23.0)</f>
        <v>23</v>
      </c>
      <c r="C219" s="31" t="str">
        <f>IFERROR(__xludf.DUMMYFUNCTION("if(len(A219) &gt;0, REGEXEXTRACT(A219, ""Chapter [0-9]*: (.*)""), """")"),"18 Regroup")</f>
        <v>18 Regroup</v>
      </c>
      <c r="D219" s="31" t="str">
        <f>IFERROR(__xludf.DUMMYFUNCTION("if(len(A219)&gt;0, REGEXEXTRACT(A219, ""\n[^\(]*""), """")"),"
Workaholic ")</f>
        <v>
Workaholic </v>
      </c>
      <c r="E219" s="17" t="str">
        <f>IFERROR(__xludf.DUMMYFUNCTION("if(len(A219)&gt;0, REGEXEXTRACT(A219, ""\n([^\n]*)$""), """")"),"Fiat")</f>
        <v>Fiat</v>
      </c>
      <c r="F219" s="17" t="str">
        <f>IFERROR(__xludf.DUMMYFUNCTION("if(len(A219)&gt;0, REGEXEXTRACT(A219, ""\(([^\)]*)\)""), """")"),"Sonic The Hedgehog")</f>
        <v>Sonic The Hedgehog</v>
      </c>
      <c r="G219" s="17" t="str">
        <f>IFERROR(__xludf.DUMMYFUNCTION("if(len(A219)&gt;0, REGEXEXTRACT(A219, ""\)([^:]*):""), """")")," 300")</f>
        <v> 300</v>
      </c>
      <c r="H219" s="31" t="str">
        <f>IFERROR(__xludf.DUMMYFUNCTION("if(len(A219) &gt; 0, JOIN(char(10), FILTER(SPLIT(A219, char(10)), split(""false false "" &amp; rept(""true "", columns(SPLIT(A219, char(10)))-3) &amp; ""false"", "" ""))), """")"),"Sometimes you wonder how some geniuses are able to build entire armadas within days or weeks of their last defeat. You become a walking factory of production. Building in masse is something that comes without issue to you. That one bot that took a week to"&amp;" build? Now that one bot is now 5. Or roughly 3x the size it was before. How do you even have the resources to build so much you say? The hell if I know.")</f>
        <v>Sometimes you wonder how some geniuses are able to build entire armadas within days or weeks of their last defeat. You become a walking factory of production. Building in masse is something that comes without issue to you. That one bot that took a week to build? Now that one bot is now 5. Or roughly 3x the size it was before. How do you even have the resources to build so much you say? The hell if I know.</v>
      </c>
    </row>
    <row r="220">
      <c r="A220" s="31" t="str">
        <f>IFERROR(__xludf.DUMMYFUNCTION("""COMPUTED_VALUE"""),"Chapter 24: 19 Restoration
Armourer (Light of Terra DLC 5 A Sky Filled With Steel - Warhammer 40,000) 300:
A mental database containing information on the most common types of armour found in the Necromunda Hive and how to build, repair and maintain them."&amp;" While this doesn't sound impressive, it is worth pointing out there are countless billions of people dwelling within the hive, and they have been here for millenia - the list of things counted as common at one time or another ranges from Power Armour in "&amp;"the distant past to the more common hammered metal plates made by local Gangers to the standard Imperial Guard Carapace Armour. Don't expect to start churning out Adetus Astartes Power Armour the second you get this though - the infrastructure to build th"&amp;"e infrastructure to build the infrastructure to build the armour was lost to ruin a long time ago. There's a reason the Space Marines use suits thousands of years old.
Set")</f>
        <v>Chapter 24: 19 Restoration
Armourer (Light of Terra DLC 5 A Sky Filled With Steel - Warhammer 40,000) 300:
A mental database containing information on the most common types of armour found in the Necromunda Hive and how to build, repair and maintain them. While this doesn't sound impressive, it is worth pointing out there are countless billions of people dwelling within the hive, and they have been here for millenia - the list of things counted as common at one time or another ranges from Power Armour in the distant past to the more common hammered metal plates made by local Gangers to the standard Imperial Guard Carapace Armour. Don't expect to start churning out Adetus Astartes Power Armour the second you get this though - the infrastructure to build the infrastructure to build the infrastructure to build the armour was lost to ruin a long time ago. There's a reason the Space Marines use suits thousands of years old.
Set</v>
      </c>
      <c r="B220" s="17">
        <f>IFERROR(__xludf.DUMMYFUNCTION("if(len(A220)&gt;0, value(REGEXEXTRACT(A220, ""Chapter ([0-9]*):"")), """")"),24.0)</f>
        <v>24</v>
      </c>
      <c r="C220" s="31" t="str">
        <f>IFERROR(__xludf.DUMMYFUNCTION("if(len(A220) &gt;0, REGEXEXTRACT(A220, ""Chapter [0-9]*: (.*)""), """")"),"19 Restoration")</f>
        <v>19 Restoration</v>
      </c>
      <c r="D220" s="31" t="str">
        <f>IFERROR(__xludf.DUMMYFUNCTION("if(len(A220)&gt;0, REGEXEXTRACT(A220, ""\n[^\(]*""), """")"),"
Armourer ")</f>
        <v>
Armourer </v>
      </c>
      <c r="E220" s="17" t="str">
        <f>IFERROR(__xludf.DUMMYFUNCTION("if(len(A220)&gt;0, REGEXEXTRACT(A220, ""\n([^\n]*)$""), """")"),"Set")</f>
        <v>Set</v>
      </c>
      <c r="F220" s="17" t="str">
        <f>IFERROR(__xludf.DUMMYFUNCTION("if(len(A220)&gt;0, REGEXEXTRACT(A220, ""\(([^\)]*)\)""), """")"),"Light of Terra DLC 5 A Sky Filled With Steel - Warhammer 40,000")</f>
        <v>Light of Terra DLC 5 A Sky Filled With Steel - Warhammer 40,000</v>
      </c>
      <c r="G220" s="17" t="str">
        <f>IFERROR(__xludf.DUMMYFUNCTION("if(len(A220)&gt;0, REGEXEXTRACT(A220, ""\)([^:]*):""), """")")," 300")</f>
        <v> 300</v>
      </c>
      <c r="H220" s="31" t="str">
        <f>IFERROR(__xludf.DUMMYFUNCTION("if(len(A220) &gt; 0, JOIN(char(10), FILTER(SPLIT(A220, char(10)), split(""false false "" &amp; rept(""true "", columns(SPLIT(A220, char(10)))-3) &amp; ""false"", "" ""))), """")"),"A mental database containing information on the most common types of armour found in the Necromunda Hive and how to build, repair and maintain them. While this doesn't sound impressive, it is worth pointing out there are countless billions of people dwell"&amp;"ing within the hive, and they have been here for millenia - the list of things counted as common at one time or another ranges from Power Armour in the distant past to the more common hammered metal plates made by local Gangers to the standard Imperial Gu"&amp;"ard Carapace Armour. Don't expect to start churning out Adetus Astartes Power Armour the second you get this though - the infrastructure to build the infrastructure to build the infrastructure to build the armour was lost to ruin a long time ago. There's "&amp;"a reason the Space Marines use suits thousands of years old.")</f>
        <v>A mental database containing information on the most common types of armour found in the Necromunda Hive and how to build, repair and maintain them. While this doesn't sound impressive, it is worth pointing out there are countless billions of people dwelling within the hive, and they have been here for millenia - the list of things counted as common at one time or another ranges from Power Armour in the distant past to the more common hammered metal plates made by local Gangers to the standard Imperial Guard Carapace Armour. Don't expect to start churning out Adetus Astartes Power Armour the second you get this though - the infrastructure to build the infrastructure to build the infrastructure to build the armour was lost to ruin a long time ago. There's a reason the Space Marines use suits thousands of years old.</v>
      </c>
    </row>
    <row r="221">
      <c r="A221" s="31" t="str">
        <f>IFERROR(__xludf.DUMMYFUNCTION("""COMPUTED_VALUE"""),"Chapter 24: 19 Restoration
Engineering (Teen Titans) 100:
You're a master mechanic and an expert at building robots and other technological devices. You also have a fair bit of knowledge about hacking into computers.
System, Skill")</f>
        <v>Chapter 24: 19 Restoration
Engineering (Teen Titans) 100:
You're a master mechanic and an expert at building robots and other technological devices. You also have a fair bit of knowledge about hacking into computers.
System, Skill</v>
      </c>
      <c r="B221" s="17">
        <f>IFERROR(__xludf.DUMMYFUNCTION("if(len(A221)&gt;0, value(REGEXEXTRACT(A221, ""Chapter ([0-9]*):"")), """")"),24.0)</f>
        <v>24</v>
      </c>
      <c r="C221" s="31" t="str">
        <f>IFERROR(__xludf.DUMMYFUNCTION("if(len(A221) &gt;0, REGEXEXTRACT(A221, ""Chapter [0-9]*: (.*)""), """")"),"19 Restoration")</f>
        <v>19 Restoration</v>
      </c>
      <c r="D221" s="31" t="str">
        <f>IFERROR(__xludf.DUMMYFUNCTION("if(len(A221)&gt;0, REGEXEXTRACT(A221, ""\n[^\(]*""), """")"),"
Engineering ")</f>
        <v>
Engineering </v>
      </c>
      <c r="E221" s="17" t="str">
        <f>IFERROR(__xludf.DUMMYFUNCTION("if(len(A221)&gt;0, REGEXEXTRACT(A221, ""\n([^\n]*)$""), """")"),"System, Skill")</f>
        <v>System, Skill</v>
      </c>
      <c r="F221" s="17" t="str">
        <f>IFERROR(__xludf.DUMMYFUNCTION("if(len(A221)&gt;0, REGEXEXTRACT(A221, ""\(([^\)]*)\)""), """")"),"Teen Titans")</f>
        <v>Teen Titans</v>
      </c>
      <c r="G221" s="17" t="str">
        <f>IFERROR(__xludf.DUMMYFUNCTION("if(len(A221)&gt;0, REGEXEXTRACT(A221, ""\)([^:]*):""), """")")," 100")</f>
        <v> 100</v>
      </c>
      <c r="H221" s="31" t="str">
        <f>IFERROR(__xludf.DUMMYFUNCTION("if(len(A221) &gt; 0, JOIN(char(10), FILTER(SPLIT(A221, char(10)), split(""false false "" &amp; rept(""true "", columns(SPLIT(A221, char(10)))-3) &amp; ""false"", "" ""))), """")"),"You're a master mechanic and an expert at building robots and other technological devices. You also have a fair bit of knowledge about hacking into computers.")</f>
        <v>You're a master mechanic and an expert at building robots and other technological devices. You also have a fair bit of knowledge about hacking into computers.</v>
      </c>
    </row>
    <row r="222">
      <c r="A222" s="31" t="str">
        <f>IFERROR(__xludf.DUMMYFUNCTION("""COMPUTED_VALUE"""),"Chapter 24: 19 Restoration
Fingers of the North Star (Cave Story) 200:
You have a natural talent with machinery, and this extends to firearms creation. You can disassemble, analyze, and reassemble any projectile weapon you come across, and you have the ab"&amp;"ility to create unique, one of a kind guns that utilizes odd and esoteric technology. You also gain a free 'stamp' you can apply to any weapon you create, to show it's your work. Upgrading existing weapons is a breeze as well.
System, Item")</f>
        <v>Chapter 24: 19 Restoration
Fingers of the North Star (Cave Story) 200:
You have a natural talent with machinery, and this extends to firearms creation. You can disassemble, analyze, and reassemble any projectile weapon you come across, and you have the ability to create unique, one of a kind guns that utilizes odd and esoteric technology. You also gain a free 'stamp' you can apply to any weapon you create, to show it's your work. Upgrading existing weapons is a breeze as well.
System, Item</v>
      </c>
      <c r="B222" s="17">
        <f>IFERROR(__xludf.DUMMYFUNCTION("if(len(A222)&gt;0, value(REGEXEXTRACT(A222, ""Chapter ([0-9]*):"")), """")"),24.0)</f>
        <v>24</v>
      </c>
      <c r="C222" s="31" t="str">
        <f>IFERROR(__xludf.DUMMYFUNCTION("if(len(A222) &gt;0, REGEXEXTRACT(A222, ""Chapter [0-9]*: (.*)""), """")"),"19 Restoration")</f>
        <v>19 Restoration</v>
      </c>
      <c r="D222" s="31" t="str">
        <f>IFERROR(__xludf.DUMMYFUNCTION("if(len(A222)&gt;0, REGEXEXTRACT(A222, ""\n[^\(]*""), """")"),"
Fingers of the North Star ")</f>
        <v>
Fingers of the North Star </v>
      </c>
      <c r="E222" s="17" t="str">
        <f>IFERROR(__xludf.DUMMYFUNCTION("if(len(A222)&gt;0, REGEXEXTRACT(A222, ""\n([^\n]*)$""), """")"),"System, Item")</f>
        <v>System, Item</v>
      </c>
      <c r="F222" s="17" t="str">
        <f>IFERROR(__xludf.DUMMYFUNCTION("if(len(A222)&gt;0, REGEXEXTRACT(A222, ""\(([^\)]*)\)""), """")"),"Cave Story")</f>
        <v>Cave Story</v>
      </c>
      <c r="G222" s="17" t="str">
        <f>IFERROR(__xludf.DUMMYFUNCTION("if(len(A222)&gt;0, REGEXEXTRACT(A222, ""\)([^:]*):""), """")")," 200")</f>
        <v> 200</v>
      </c>
      <c r="H222" s="31" t="str">
        <f>IFERROR(__xludf.DUMMYFUNCTION("if(len(A222) &gt; 0, JOIN(char(10), FILTER(SPLIT(A222, char(10)), split(""false false "" &amp; rept(""true "", columns(SPLIT(A222, char(10)))-3) &amp; ""false"", "" ""))), """")"),"You have a natural talent with machinery, and this extends to firearms creation. You can disassemble, analyze, and reassemble any projectile weapon you come across, and you have the ability to create unique, one of a kind guns that utilizes odd and esoter"&amp;"ic technology. You also gain a free 'stamp' you can apply to any weapon you create, to show it's your work. Upgrading existing weapons is a breeze as well.")</f>
        <v>You have a natural talent with machinery, and this extends to firearms creation. You can disassemble, analyze, and reassemble any projectile weapon you come across, and you have the ability to create unique, one of a kind guns that utilizes odd and esoteric technology. You also gain a free 'stamp' you can apply to any weapon you create, to show it's your work. Upgrading existing weapons is a breeze as well.</v>
      </c>
    </row>
    <row r="223">
      <c r="A223" s="31" t="str">
        <f>IFERROR(__xludf.DUMMYFUNCTION("""COMPUTED_VALUE"""),"Chapter 24: 19 Restoration
Valuable Memories: the nature of memories (Big O) 300:
You have knowledge related to any particular concept-the construction of Megadei, the nature of memories, Bigs, or the creation of chimeras. Paradigm will have a vested inte"&amp;"rest in you, and will protect you and provide you with funds if you work for them.
Skill")</f>
        <v>Chapter 24: 19 Restoration
Valuable Memories: the nature of memories (Big O) 300:
You have knowledge related to any particular concept-the construction of Megadei, the nature of memories, Bigs, or the creation of chimeras. Paradigm will have a vested interest in you, and will protect you and provide you with funds if you work for them.
Skill</v>
      </c>
      <c r="B223" s="17">
        <f>IFERROR(__xludf.DUMMYFUNCTION("if(len(A223)&gt;0, value(REGEXEXTRACT(A223, ""Chapter ([0-9]*):"")), """")"),24.0)</f>
        <v>24</v>
      </c>
      <c r="C223" s="31" t="str">
        <f>IFERROR(__xludf.DUMMYFUNCTION("if(len(A223) &gt;0, REGEXEXTRACT(A223, ""Chapter [0-9]*: (.*)""), """")"),"19 Restoration")</f>
        <v>19 Restoration</v>
      </c>
      <c r="D223" s="31" t="str">
        <f>IFERROR(__xludf.DUMMYFUNCTION("if(len(A223)&gt;0, REGEXEXTRACT(A223, ""\n[^\(]*""), """")"),"
Valuable Memories: the nature of memories ")</f>
        <v>
Valuable Memories: the nature of memories </v>
      </c>
      <c r="E223" s="17" t="str">
        <f>IFERROR(__xludf.DUMMYFUNCTION("if(len(A223)&gt;0, REGEXEXTRACT(A223, ""\n([^\n]*)$""), """")"),"Skill")</f>
        <v>Skill</v>
      </c>
      <c r="F223" s="17" t="str">
        <f>IFERROR(__xludf.DUMMYFUNCTION("if(len(A223)&gt;0, REGEXEXTRACT(A223, ""\(([^\)]*)\)""), """")"),"Big O")</f>
        <v>Big O</v>
      </c>
      <c r="G223" s="17" t="str">
        <f>IFERROR(__xludf.DUMMYFUNCTION("if(len(A223)&gt;0, REGEXEXTRACT(A223, ""\)([^:]*):""), """")")," 300")</f>
        <v> 300</v>
      </c>
      <c r="H223" s="31" t="str">
        <f>IFERROR(__xludf.DUMMYFUNCTION("if(len(A223) &gt; 0, JOIN(char(10), FILTER(SPLIT(A223, char(10)), split(""false false "" &amp; rept(""true "", columns(SPLIT(A223, char(10)))-3) &amp; ""false"", "" ""))), """")"),"You have knowledge related to any particular concept-the construction of Megadei, the nature of memories, Bigs, or the creation of chimeras. Paradigm will have a vested interest in you, and will protect you and provide you with funds if you work for them.")</f>
        <v>You have knowledge related to any particular concept-the construction of Megadei, the nature of memories, Bigs, or the creation of chimeras. Paradigm will have a vested interest in you, and will protect you and provide you with funds if you work for them.</v>
      </c>
    </row>
    <row r="224">
      <c r="A224" s="31" t="str">
        <f>IFERROR(__xludf.DUMMYFUNCTION("""COMPUTED_VALUE"""),"Chapter 25: 20 Offensive
Engineer (Super Mario RPG) 300:
You're more adept at coming up with novel and creative objects. Any blueprint can be held perfectly in your mind without needing to draw it on paper.
Ability, Skill")</f>
        <v>Chapter 25: 20 Offensive
Engineer (Super Mario RPG) 300:
You're more adept at coming up with novel and creative objects. Any blueprint can be held perfectly in your mind without needing to draw it on paper.
Ability, Skill</v>
      </c>
      <c r="B224" s="17">
        <f>IFERROR(__xludf.DUMMYFUNCTION("if(len(A224)&gt;0, value(REGEXEXTRACT(A224, ""Chapter ([0-9]*):"")), """")"),25.0)</f>
        <v>25</v>
      </c>
      <c r="C224" s="31" t="str">
        <f>IFERROR(__xludf.DUMMYFUNCTION("if(len(A224) &gt;0, REGEXEXTRACT(A224, ""Chapter [0-9]*: (.*)""), """")"),"20 Offensive")</f>
        <v>20 Offensive</v>
      </c>
      <c r="D224" s="31" t="str">
        <f>IFERROR(__xludf.DUMMYFUNCTION("if(len(A224)&gt;0, REGEXEXTRACT(A224, ""\n[^\(]*""), """")"),"
Engineer ")</f>
        <v>
Engineer </v>
      </c>
      <c r="E224" s="17" t="str">
        <f>IFERROR(__xludf.DUMMYFUNCTION("if(len(A224)&gt;0, REGEXEXTRACT(A224, ""\n([^\n]*)$""), """")"),"Ability, Skill")</f>
        <v>Ability, Skill</v>
      </c>
      <c r="F224" s="17" t="str">
        <f>IFERROR(__xludf.DUMMYFUNCTION("if(len(A224)&gt;0, REGEXEXTRACT(A224, ""\(([^\)]*)\)""), """")"),"Super Mario RPG")</f>
        <v>Super Mario RPG</v>
      </c>
      <c r="G224" s="17" t="str">
        <f>IFERROR(__xludf.DUMMYFUNCTION("if(len(A224)&gt;0, REGEXEXTRACT(A224, ""\)([^:]*):""), """")")," 300")</f>
        <v> 300</v>
      </c>
      <c r="H224" s="31" t="str">
        <f>IFERROR(__xludf.DUMMYFUNCTION("if(len(A224) &gt; 0, JOIN(char(10), FILTER(SPLIT(A224, char(10)), split(""false false "" &amp; rept(""true "", columns(SPLIT(A224, char(10)))-3) &amp; ""false"", "" ""))), """")"),"You're more adept at coming up with novel and creative objects. Any blueprint can be held perfectly in your mind without needing to draw it on paper.")</f>
        <v>You're more adept at coming up with novel and creative objects. Any blueprint can be held perfectly in your mind without needing to draw it on paper.</v>
      </c>
    </row>
    <row r="225">
      <c r="A225" s="31" t="str">
        <f>IFERROR(__xludf.DUMMYFUNCTION("""COMPUTED_VALUE"""),"Chapter 25: 20 Offensive
Master Craftsman (Forgotten Realms) 300:
You are exceptionally skilled at crafting things. At your worst, your results are masterwork.
Fiat")</f>
        <v>Chapter 25: 20 Offensive
Master Craftsman (Forgotten Realms) 300:
You are exceptionally skilled at crafting things. At your worst, your results are masterwork.
Fiat</v>
      </c>
      <c r="B225" s="17">
        <f>IFERROR(__xludf.DUMMYFUNCTION("if(len(A225)&gt;0, value(REGEXEXTRACT(A225, ""Chapter ([0-9]*):"")), """")"),25.0)</f>
        <v>25</v>
      </c>
      <c r="C225" s="31" t="str">
        <f>IFERROR(__xludf.DUMMYFUNCTION("if(len(A225) &gt;0, REGEXEXTRACT(A225, ""Chapter [0-9]*: (.*)""), """")"),"20 Offensive")</f>
        <v>20 Offensive</v>
      </c>
      <c r="D225" s="31" t="str">
        <f>IFERROR(__xludf.DUMMYFUNCTION("if(len(A225)&gt;0, REGEXEXTRACT(A225, ""\n[^\(]*""), """")"),"
Master Craftsman ")</f>
        <v>
Master Craftsman </v>
      </c>
      <c r="E225" s="17" t="str">
        <f>IFERROR(__xludf.DUMMYFUNCTION("if(len(A225)&gt;0, REGEXEXTRACT(A225, ""\n([^\n]*)$""), """")"),"Fiat")</f>
        <v>Fiat</v>
      </c>
      <c r="F225" s="17" t="str">
        <f>IFERROR(__xludf.DUMMYFUNCTION("if(len(A225)&gt;0, REGEXEXTRACT(A225, ""\(([^\)]*)\)""), """")"),"Forgotten Realms")</f>
        <v>Forgotten Realms</v>
      </c>
      <c r="G225" s="17" t="str">
        <f>IFERROR(__xludf.DUMMYFUNCTION("if(len(A225)&gt;0, REGEXEXTRACT(A225, ""\)([^:]*):""), """")")," 300")</f>
        <v> 300</v>
      </c>
      <c r="H225" s="31" t="str">
        <f>IFERROR(__xludf.DUMMYFUNCTION("if(len(A225) &gt; 0, JOIN(char(10), FILTER(SPLIT(A225, char(10)), split(""false false "" &amp; rept(""true "", columns(SPLIT(A225, char(10)))-3) &amp; ""false"", "" ""))), """")"),"You are exceptionally skilled at crafting things. At your worst, your results are masterwork.")</f>
        <v>You are exceptionally skilled at crafting things. At your worst, your results are masterwork.</v>
      </c>
    </row>
    <row r="226">
      <c r="A226" s="31" t="str">
        <f>IFERROR(__xludf.DUMMYFUNCTION("""COMPUTED_VALUE"""),"Chapter 26: 21 Closing Moves
Apartment (Bubblegum Crisis) Free:
A run down, single-room apartment. Nothing special, but hey, it keeps the rain off. Don't worry too much about the rent.
Facility")</f>
        <v>Chapter 26: 21 Closing Moves
Apartment (Bubblegum Crisis) Free:
A run down, single-room apartment. Nothing special, but hey, it keeps the rain off. Don't worry too much about the rent.
Facility</v>
      </c>
      <c r="B226" s="17">
        <f>IFERROR(__xludf.DUMMYFUNCTION("if(len(A226)&gt;0, value(REGEXEXTRACT(A226, ""Chapter ([0-9]*):"")), """")"),26.0)</f>
        <v>26</v>
      </c>
      <c r="C226" s="31" t="str">
        <f>IFERROR(__xludf.DUMMYFUNCTION("if(len(A226) &gt;0, REGEXEXTRACT(A226, ""Chapter [0-9]*: (.*)""), """")"),"21 Closing Moves")</f>
        <v>21 Closing Moves</v>
      </c>
      <c r="D226" s="31" t="str">
        <f>IFERROR(__xludf.DUMMYFUNCTION("if(len(A226)&gt;0, REGEXEXTRACT(A226, ""\n[^\(]*""), """")"),"
Apartment ")</f>
        <v>
Apartment </v>
      </c>
      <c r="E226" s="17" t="str">
        <f>IFERROR(__xludf.DUMMYFUNCTION("if(len(A226)&gt;0, REGEXEXTRACT(A226, ""\n([^\n]*)$""), """")"),"Facility")</f>
        <v>Facility</v>
      </c>
      <c r="F226" s="17" t="str">
        <f>IFERROR(__xludf.DUMMYFUNCTION("if(len(A226)&gt;0, REGEXEXTRACT(A226, ""\(([^\)]*)\)""), """")"),"Bubblegum Crisis")</f>
        <v>Bubblegum Crisis</v>
      </c>
      <c r="G226" s="17" t="str">
        <f>IFERROR(__xludf.DUMMYFUNCTION("if(len(A226)&gt;0, REGEXEXTRACT(A226, ""\)([^:]*):""), """")")," Free")</f>
        <v> Free</v>
      </c>
      <c r="H226" s="31" t="str">
        <f>IFERROR(__xludf.DUMMYFUNCTION("if(len(A226) &gt; 0, JOIN(char(10), FILTER(SPLIT(A226, char(10)), split(""false false "" &amp; rept(""true "", columns(SPLIT(A226, char(10)))-3) &amp; ""false"", "" ""))), """")"),"A run down, single-room apartment. Nothing special, but hey, it keeps the rain off. Don't worry too much about the rent.")</f>
        <v>A run down, single-room apartment. Nothing special, but hey, it keeps the rain off. Don't worry too much about the rent.</v>
      </c>
    </row>
    <row r="227">
      <c r="A227" s="31" t="str">
        <f>IFERROR(__xludf.DUMMYFUNCTION("""COMPUTED_VALUE"""),"Chapter 26: 21 Closing Moves
Civilian Equipment Package (GUNNM/Battle Angel Alita) 100:
Cramped room in the Scrapyard, basic household belongings, clothing, one Heirloom Weapon for free. If you are employed, attached is enough space to setup a workshop, c"&amp;"linic, studio or whatnot.
Facility")</f>
        <v>Chapter 26: 21 Closing Moves
Civilian Equipment Package (GUNNM/Battle Angel Alita) 100:
Cramped room in the Scrapyard, basic household belongings, clothing, one Heirloom Weapon for free. If you are employed, attached is enough space to setup a workshop, clinic, studio or whatnot.
Facility</v>
      </c>
      <c r="B227" s="17">
        <f>IFERROR(__xludf.DUMMYFUNCTION("if(len(A227)&gt;0, value(REGEXEXTRACT(A227, ""Chapter ([0-9]*):"")), """")"),26.0)</f>
        <v>26</v>
      </c>
      <c r="C227" s="31" t="str">
        <f>IFERROR(__xludf.DUMMYFUNCTION("if(len(A227) &gt;0, REGEXEXTRACT(A227, ""Chapter [0-9]*: (.*)""), """")"),"21 Closing Moves")</f>
        <v>21 Closing Moves</v>
      </c>
      <c r="D227" s="31" t="str">
        <f>IFERROR(__xludf.DUMMYFUNCTION("if(len(A227)&gt;0, REGEXEXTRACT(A227, ""\n[^\(]*""), """")"),"
Civilian Equipment Package ")</f>
        <v>
Civilian Equipment Package </v>
      </c>
      <c r="E227" s="17" t="str">
        <f>IFERROR(__xludf.DUMMYFUNCTION("if(len(A227)&gt;0, REGEXEXTRACT(A227, ""\n([^\n]*)$""), """")"),"Facility")</f>
        <v>Facility</v>
      </c>
      <c r="F227" s="17" t="str">
        <f>IFERROR(__xludf.DUMMYFUNCTION("if(len(A227)&gt;0, REGEXEXTRACT(A227, ""\(([^\)]*)\)""), """")"),"GUNNM/Battle Angel Alita")</f>
        <v>GUNNM/Battle Angel Alita</v>
      </c>
      <c r="G227" s="17" t="str">
        <f>IFERROR(__xludf.DUMMYFUNCTION("if(len(A227)&gt;0, REGEXEXTRACT(A227, ""\)([^:]*):""), """")")," 100")</f>
        <v> 100</v>
      </c>
      <c r="H227" s="31" t="str">
        <f>IFERROR(__xludf.DUMMYFUNCTION("if(len(A227) &gt; 0, JOIN(char(10), FILTER(SPLIT(A227, char(10)), split(""false false "" &amp; rept(""true "", columns(SPLIT(A227, char(10)))-3) &amp; ""false"", "" ""))), """")"),"Cramped room in the Scrapyard, basic household belongings, clothing, one Heirloom Weapon for free. If you are employed, attached is enough space to setup a workshop, clinic, studio or whatnot.")</f>
        <v>Cramped room in the Scrapyard, basic household belongings, clothing, one Heirloom Weapon for free. If you are employed, attached is enough space to setup a workshop, clinic, studio or whatnot.</v>
      </c>
    </row>
    <row r="228">
      <c r="A228" s="31" t="str">
        <f>IFERROR(__xludf.DUMMYFUNCTION("""COMPUTED_VALUE"""),"Chapter 26: 21 Closing Moves
Cyber-doctor Equipment Package (GUNNM/Battle Angel Alita) 200:
As Medic, plus powered tools for cyborg disassembly and repair. Bulky diagnostic computer, ten kilograms of miscellaneous spare parts, very rare compact 3D fabrica"&amp;"tor capable of milling custom components and printing or repairing circuitry. Free Rocket Hammer.
Facility")</f>
        <v>Chapter 26: 21 Closing Moves
Cyber-doctor Equipment Package (GUNNM/Battle Angel Alita) 200:
As Medic, plus powered tools for cyborg disassembly and repair. Bulky diagnostic computer, ten kilograms of miscellaneous spare parts, very rare compact 3D fabricator capable of milling custom components and printing or repairing circuitry. Free Rocket Hammer.
Facility</v>
      </c>
      <c r="B228" s="17">
        <f>IFERROR(__xludf.DUMMYFUNCTION("if(len(A228)&gt;0, value(REGEXEXTRACT(A228, ""Chapter ([0-9]*):"")), """")"),26.0)</f>
        <v>26</v>
      </c>
      <c r="C228" s="31" t="str">
        <f>IFERROR(__xludf.DUMMYFUNCTION("if(len(A228) &gt;0, REGEXEXTRACT(A228, ""Chapter [0-9]*: (.*)""), """")"),"21 Closing Moves")</f>
        <v>21 Closing Moves</v>
      </c>
      <c r="D228" s="31" t="str">
        <f>IFERROR(__xludf.DUMMYFUNCTION("if(len(A228)&gt;0, REGEXEXTRACT(A228, ""\n[^\(]*""), """")"),"
Cyber-doctor Equipment Package ")</f>
        <v>
Cyber-doctor Equipment Package </v>
      </c>
      <c r="E228" s="17" t="str">
        <f>IFERROR(__xludf.DUMMYFUNCTION("if(len(A228)&gt;0, REGEXEXTRACT(A228, ""\n([^\n]*)$""), """")"),"Facility")</f>
        <v>Facility</v>
      </c>
      <c r="F228" s="17" t="str">
        <f>IFERROR(__xludf.DUMMYFUNCTION("if(len(A228)&gt;0, REGEXEXTRACT(A228, ""\(([^\)]*)\)""), """")"),"GUNNM/Battle Angel Alita")</f>
        <v>GUNNM/Battle Angel Alita</v>
      </c>
      <c r="G228" s="17" t="str">
        <f>IFERROR(__xludf.DUMMYFUNCTION("if(len(A228)&gt;0, REGEXEXTRACT(A228, ""\)([^:]*):""), """")")," 200")</f>
        <v> 200</v>
      </c>
      <c r="H228" s="31" t="str">
        <f>IFERROR(__xludf.DUMMYFUNCTION("if(len(A228) &gt; 0, JOIN(char(10), FILTER(SPLIT(A228, char(10)), split(""false false "" &amp; rept(""true "", columns(SPLIT(A228, char(10)))-3) &amp; ""false"", "" ""))), """")"),"As Medic, plus powered tools for cyborg disassembly and repair. Bulky diagnostic computer, ten kilograms of miscellaneous spare parts, very rare compact 3D fabricator capable of milling custom components and printing or repairing circuitry. Free Rocket Ha"&amp;"mmer.")</f>
        <v>As Medic, plus powered tools for cyborg disassembly and repair. Bulky diagnostic computer, ten kilograms of miscellaneous spare parts, very rare compact 3D fabricator capable of milling custom components and printing or repairing circuitry. Free Rocket Hammer.</v>
      </c>
    </row>
    <row r="229">
      <c r="A229" s="31" t="str">
        <f>IFERROR(__xludf.DUMMYFUNCTION("""COMPUTED_VALUE"""),"Chapter 26: 21 Closing Moves
Heirloom Weapon (GUNNM/Battle Angel Alita) Free with Civilian Equipment Package:
Everyone in the Scrapyard carries something. Yours is a lot better than most, something that an actual professional might carry. Firearms are ill"&amp;"egal on penalty of death - but outside the Scrapyard anything goes. As an heirloom, it has seen hundreds of years of loving use and its craftsmanship compares very well to modern technology. To the right person, it could be worth a lot.
Item")</f>
        <v>Chapter 26: 21 Closing Moves
Heirloom Weapon (GUNNM/Battle Angel Alita) Free with Civilian Equipment Package:
Everyone in the Scrapyard carries something. Yours is a lot better than most, something that an actual professional might carry. Firearms are illegal on penalty of death - but outside the Scrapyard anything goes. As an heirloom, it has seen hundreds of years of loving use and its craftsmanship compares very well to modern technology. To the right person, it could be worth a lot.
Item</v>
      </c>
      <c r="B229" s="17">
        <f>IFERROR(__xludf.DUMMYFUNCTION("if(len(A229)&gt;0, value(REGEXEXTRACT(A229, ""Chapter ([0-9]*):"")), """")"),26.0)</f>
        <v>26</v>
      </c>
      <c r="C229" s="31" t="str">
        <f>IFERROR(__xludf.DUMMYFUNCTION("if(len(A229) &gt;0, REGEXEXTRACT(A229, ""Chapter [0-9]*: (.*)""), """")"),"21 Closing Moves")</f>
        <v>21 Closing Moves</v>
      </c>
      <c r="D229" s="31" t="str">
        <f>IFERROR(__xludf.DUMMYFUNCTION("if(len(A229)&gt;0, REGEXEXTRACT(A229, ""\n[^\(]*""), """")"),"
Heirloom Weapon ")</f>
        <v>
Heirloom Weapon </v>
      </c>
      <c r="E229" s="17" t="str">
        <f>IFERROR(__xludf.DUMMYFUNCTION("if(len(A229)&gt;0, REGEXEXTRACT(A229, ""\n([^\n]*)$""), """")"),"Item")</f>
        <v>Item</v>
      </c>
      <c r="F229" s="17" t="str">
        <f>IFERROR(__xludf.DUMMYFUNCTION("if(len(A229)&gt;0, REGEXEXTRACT(A229, ""\(([^\)]*)\)""), """")"),"GUNNM/Battle Angel Alita")</f>
        <v>GUNNM/Battle Angel Alita</v>
      </c>
      <c r="G229" s="17" t="str">
        <f>IFERROR(__xludf.DUMMYFUNCTION("if(len(A229)&gt;0, REGEXEXTRACT(A229, ""\)([^:]*):""), """")")," Free with Civilian Equipment Package")</f>
        <v> Free with Civilian Equipment Package</v>
      </c>
      <c r="H229" s="31" t="str">
        <f>IFERROR(__xludf.DUMMYFUNCTION("if(len(A229) &gt; 0, JOIN(char(10), FILTER(SPLIT(A229, char(10)), split(""false false "" &amp; rept(""true "", columns(SPLIT(A229, char(10)))-3) &amp; ""false"", "" ""))), """")"),"Everyone in the Scrapyard carries something. Yours is a lot better than most, something that an actual professional might carry. Firearms are illegal on penalty of death - but outside the Scrapyard anything goes. As an heirloom, it has seen hundreds of ye"&amp;"ars of loving use and its craftsmanship compares very well to modern technology. To the right person, it could be worth a lot.")</f>
        <v>Everyone in the Scrapyard carries something. Yours is a lot better than most, something that an actual professional might carry. Firearms are illegal on penalty of death - but outside the Scrapyard anything goes. As an heirloom, it has seen hundreds of years of loving use and its craftsmanship compares very well to modern technology. To the right person, it could be worth a lot.</v>
      </c>
    </row>
    <row r="230">
      <c r="A230" s="31" t="str">
        <f>IFERROR(__xludf.DUMMYFUNCTION("""COMPUTED_VALUE"""),"Chapter 26: 21 Closing Moves
Maliwan Intern (Borderlands) 200:
At some point, you got lucky and figured out how Elemental Weapons really work. You know how to use them to best effect, allowing you to set enemies on fire regularly, melt people with acid bu"&amp;"llets, and have ALL kinds of shocking adventures with electrical ammo. If you have any technical training, you can even jury-rig ways to apply elemental effects to other weapons, as well.
Skill")</f>
        <v>Chapter 26: 21 Closing Moves
Maliwan Intern (Borderlands) 200:
At some point, you got lucky and figured out how Elemental Weapons really work. You know how to use them to best effect, allowing you to set enemies on fire regularly, melt people with acid bullets, and have ALL kinds of shocking adventures with electrical ammo. If you have any technical training, you can even jury-rig ways to apply elemental effects to other weapons, as well.
Skill</v>
      </c>
      <c r="B230" s="17">
        <f>IFERROR(__xludf.DUMMYFUNCTION("if(len(A230)&gt;0, value(REGEXEXTRACT(A230, ""Chapter ([0-9]*):"")), """")"),26.0)</f>
        <v>26</v>
      </c>
      <c r="C230" s="31" t="str">
        <f>IFERROR(__xludf.DUMMYFUNCTION("if(len(A230) &gt;0, REGEXEXTRACT(A230, ""Chapter [0-9]*: (.*)""), """")"),"21 Closing Moves")</f>
        <v>21 Closing Moves</v>
      </c>
      <c r="D230" s="31" t="str">
        <f>IFERROR(__xludf.DUMMYFUNCTION("if(len(A230)&gt;0, REGEXEXTRACT(A230, ""\n[^\(]*""), """")"),"
Maliwan Intern ")</f>
        <v>
Maliwan Intern </v>
      </c>
      <c r="E230" s="17" t="str">
        <f>IFERROR(__xludf.DUMMYFUNCTION("if(len(A230)&gt;0, REGEXEXTRACT(A230, ""\n([^\n]*)$""), """")"),"Skill")</f>
        <v>Skill</v>
      </c>
      <c r="F230" s="17" t="str">
        <f>IFERROR(__xludf.DUMMYFUNCTION("if(len(A230)&gt;0, REGEXEXTRACT(A230, ""\(([^\)]*)\)""), """")"),"Borderlands")</f>
        <v>Borderlands</v>
      </c>
      <c r="G230" s="17" t="str">
        <f>IFERROR(__xludf.DUMMYFUNCTION("if(len(A230)&gt;0, REGEXEXTRACT(A230, ""\)([^:]*):""), """")")," 200")</f>
        <v> 200</v>
      </c>
      <c r="H230" s="31" t="str">
        <f>IFERROR(__xludf.DUMMYFUNCTION("if(len(A230) &gt; 0, JOIN(char(10), FILTER(SPLIT(A230, char(10)), split(""false false "" &amp; rept(""true "", columns(SPLIT(A230, char(10)))-3) &amp; ""false"", "" ""))), """")"),"At some point, you got lucky and figured out how Elemental Weapons really work. You know how to use them to best effect, allowing you to set enemies on fire regularly, melt people with acid bullets, and have ALL kinds of shocking adventures with electrica"&amp;"l ammo. If you have any technical training, you can even jury-rig ways to apply elemental effects to other weapons, as well.")</f>
        <v>At some point, you got lucky and figured out how Elemental Weapons really work. You know how to use them to best effect, allowing you to set enemies on fire regularly, melt people with acid bullets, and have ALL kinds of shocking adventures with electrical ammo. If you have any technical training, you can even jury-rig ways to apply elemental effects to other weapons, as well.</v>
      </c>
    </row>
    <row r="231">
      <c r="A231" s="31" t="str">
        <f>IFERROR(__xludf.DUMMYFUNCTION("""COMPUTED_VALUE"""),"Chapter 26: 21 Closing Moves
Medic Equipment Package (GUNNM/Battle Angel Alita) Free with Cyber-doctor Equipment Package:
One clean blood-and-dirt-repellent jumpsuit, facemask, kit equivalent to a modern first responder’s kit. Assorted drugs and painkille"&amp;"rs, and a few roughly bound texts on mutant and human care.
Item")</f>
        <v>Chapter 26: 21 Closing Moves
Medic Equipment Package (GUNNM/Battle Angel Alita) Free with Cyber-doctor Equipment Package:
One clean blood-and-dirt-repellent jumpsuit, facemask, kit equivalent to a modern first responder’s kit. Assorted drugs and painkillers, and a few roughly bound texts on mutant and human care.
Item</v>
      </c>
      <c r="B231" s="17">
        <f>IFERROR(__xludf.DUMMYFUNCTION("if(len(A231)&gt;0, value(REGEXEXTRACT(A231, ""Chapter ([0-9]*):"")), """")"),26.0)</f>
        <v>26</v>
      </c>
      <c r="C231" s="31" t="str">
        <f>IFERROR(__xludf.DUMMYFUNCTION("if(len(A231) &gt;0, REGEXEXTRACT(A231, ""Chapter [0-9]*: (.*)""), """")"),"21 Closing Moves")</f>
        <v>21 Closing Moves</v>
      </c>
      <c r="D231" s="31" t="str">
        <f>IFERROR(__xludf.DUMMYFUNCTION("if(len(A231)&gt;0, REGEXEXTRACT(A231, ""\n[^\(]*""), """")"),"
Medic Equipment Package ")</f>
        <v>
Medic Equipment Package </v>
      </c>
      <c r="E231" s="17" t="str">
        <f>IFERROR(__xludf.DUMMYFUNCTION("if(len(A231)&gt;0, REGEXEXTRACT(A231, ""\n([^\n]*)$""), """")"),"Item")</f>
        <v>Item</v>
      </c>
      <c r="F231" s="17" t="str">
        <f>IFERROR(__xludf.DUMMYFUNCTION("if(len(A231)&gt;0, REGEXEXTRACT(A231, ""\(([^\)]*)\)""), """")"),"GUNNM/Battle Angel Alita")</f>
        <v>GUNNM/Battle Angel Alita</v>
      </c>
      <c r="G231" s="17" t="str">
        <f>IFERROR(__xludf.DUMMYFUNCTION("if(len(A231)&gt;0, REGEXEXTRACT(A231, ""\)([^:]*):""), """")")," Free with Cyber-doctor Equipment Package")</f>
        <v> Free with Cyber-doctor Equipment Package</v>
      </c>
      <c r="H231" s="31" t="str">
        <f>IFERROR(__xludf.DUMMYFUNCTION("if(len(A231) &gt; 0, JOIN(char(10), FILTER(SPLIT(A231, char(10)), split(""false false "" &amp; rept(""true "", columns(SPLIT(A231, char(10)))-3) &amp; ""false"", "" ""))), """")"),"One clean blood-and-dirt-repellent jumpsuit, facemask, kit equivalent to a modern first responder’s kit. Assorted drugs and painkillers, and a few roughly bound texts on mutant and human care.")</f>
        <v>One clean blood-and-dirt-repellent jumpsuit, facemask, kit equivalent to a modern first responder’s kit. Assorted drugs and painkillers, and a few roughly bound texts on mutant and human care.</v>
      </c>
    </row>
    <row r="232">
      <c r="A232" s="31" t="str">
        <f>IFERROR(__xludf.DUMMYFUNCTION("""COMPUTED_VALUE"""),"Chapter 26: 21 Closing Moves
Rocket Hammer (GUNNM/Battle Angel Alita) Free with Cyber-doctor Equipment Package:
A two-handed warhammer with chisel-shaped head mounting a rocket booster that activated by a switch on the shaft. It can be disassembled and co"&amp;"mes with a rolling case and replacement parts. A rare weapon in the Scrapyard, while very difficult to control it performs superbly against heavy cyborg armour and is fully legal despite the firearms ban.
Item")</f>
        <v>Chapter 26: 21 Closing Moves
Rocket Hammer (GUNNM/Battle Angel Alita) Free with Cyber-doctor Equipment Package:
A two-handed warhammer with chisel-shaped head mounting a rocket booster that activated by a switch on the shaft. It can be disassembled and comes with a rolling case and replacement parts. A rare weapon in the Scrapyard, while very difficult to control it performs superbly against heavy cyborg armour and is fully legal despite the firearms ban.
Item</v>
      </c>
      <c r="B232" s="17">
        <f>IFERROR(__xludf.DUMMYFUNCTION("if(len(A232)&gt;0, value(REGEXEXTRACT(A232, ""Chapter ([0-9]*):"")), """")"),26.0)</f>
        <v>26</v>
      </c>
      <c r="C232" s="31" t="str">
        <f>IFERROR(__xludf.DUMMYFUNCTION("if(len(A232) &gt;0, REGEXEXTRACT(A232, ""Chapter [0-9]*: (.*)""), """")"),"21 Closing Moves")</f>
        <v>21 Closing Moves</v>
      </c>
      <c r="D232" s="31" t="str">
        <f>IFERROR(__xludf.DUMMYFUNCTION("if(len(A232)&gt;0, REGEXEXTRACT(A232, ""\n[^\(]*""), """")"),"
Rocket Hammer ")</f>
        <v>
Rocket Hammer </v>
      </c>
      <c r="E232" s="17" t="str">
        <f>IFERROR(__xludf.DUMMYFUNCTION("if(len(A232)&gt;0, REGEXEXTRACT(A232, ""\n([^\n]*)$""), """")"),"Item")</f>
        <v>Item</v>
      </c>
      <c r="F232" s="17" t="str">
        <f>IFERROR(__xludf.DUMMYFUNCTION("if(len(A232)&gt;0, REGEXEXTRACT(A232, ""\(([^\)]*)\)""), """")"),"GUNNM/Battle Angel Alita")</f>
        <v>GUNNM/Battle Angel Alita</v>
      </c>
      <c r="G232" s="17" t="str">
        <f>IFERROR(__xludf.DUMMYFUNCTION("if(len(A232)&gt;0, REGEXEXTRACT(A232, ""\)([^:]*):""), """")")," Free with Cyber-doctor Equipment Package")</f>
        <v> Free with Cyber-doctor Equipment Package</v>
      </c>
      <c r="H232" s="31" t="str">
        <f>IFERROR(__xludf.DUMMYFUNCTION("if(len(A232) &gt; 0, JOIN(char(10), FILTER(SPLIT(A232, char(10)), split(""false false "" &amp; rept(""true "", columns(SPLIT(A232, char(10)))-3) &amp; ""false"", "" ""))), """")"),"A two-handed warhammer with chisel-shaped head mounting a rocket booster that activated by a switch on the shaft. It can be disassembled and comes with a rolling case and replacement parts. A rare weapon in the Scrapyard, while very difficult to control i"&amp;"t performs superbly against heavy cyborg armour and is fully legal despite the firearms ban.")</f>
        <v>A two-handed warhammer with chisel-shaped head mounting a rocket booster that activated by a switch on the shaft. It can be disassembled and comes with a rolling case and replacement parts. A rare weapon in the Scrapyard, while very difficult to control it performs superbly against heavy cyborg armour and is fully legal despite the firearms ban.</v>
      </c>
    </row>
    <row r="233">
      <c r="A233" s="31" t="str">
        <f>IFERROR(__xludf.DUMMYFUNCTION("""COMPUTED_VALUE"""),"Chapter 26: 21 Closing Moves
Single Style - T’ai Chi Chuan (GUNNM/Battle Angel Alita) Free:
Solid theoretical and practical experience of a single form of personal combat. In the wasteland, what martial arts survive are pragmatic descendants of old world "&amp;"teachings. In the Scrapyard however, there are genuine schools of combat, though they are often overlooked – most human styles are ineffective against the crudest cyborg brawler, and the emphasis is to strike fast and run away faster.
T’ai Chi Chuan –This"&amp;" art is rarely taken seriously, owing to its firm rooting in qigong breathing techniques and ideas about chi, internal balance and fluid control of defence and counterattacks that have little appeal to cyborg fighters. However many elements of it have inf"&amp;"luenced the most advanced cyborg combat styles, and the therapeutic version is popular enough with the elderly that the original forms survive.
Skill")</f>
        <v>Chapter 26: 21 Closing Moves
Single Style - T’ai Chi Chuan (GUNNM/Battle Angel Alita) Free:
Solid theoretical and practical experience of a single form of personal combat. In the wasteland, what martial arts survive are pragmatic descendants of old world teachings. In the Scrapyard however, there are genuine schools of combat, though they are often overlooked – most human styles are ineffective against the crudest cyborg brawler, and the emphasis is to strike fast and run away faster.
T’ai Chi Chuan –This art is rarely taken seriously, owing to its firm rooting in qigong breathing techniques and ideas about chi, internal balance and fluid control of defence and counterattacks that have little appeal to cyborg fighters. However many elements of it have influenced the most advanced cyborg combat styles, and the therapeutic version is popular enough with the elderly that the original forms survive.
Skill</v>
      </c>
      <c r="B233" s="17">
        <f>IFERROR(__xludf.DUMMYFUNCTION("if(len(A233)&gt;0, value(REGEXEXTRACT(A233, ""Chapter ([0-9]*):"")), """")"),26.0)</f>
        <v>26</v>
      </c>
      <c r="C233" s="31" t="str">
        <f>IFERROR(__xludf.DUMMYFUNCTION("if(len(A233) &gt;0, REGEXEXTRACT(A233, ""Chapter [0-9]*: (.*)""), """")"),"21 Closing Moves")</f>
        <v>21 Closing Moves</v>
      </c>
      <c r="D233" s="31" t="str">
        <f>IFERROR(__xludf.DUMMYFUNCTION("if(len(A233)&gt;0, REGEXEXTRACT(A233, ""\n[^\(]*""), """")"),"
Single Style - T’ai Chi Chuan ")</f>
        <v>
Single Style - T’ai Chi Chuan </v>
      </c>
      <c r="E233" s="17" t="str">
        <f>IFERROR(__xludf.DUMMYFUNCTION("if(len(A233)&gt;0, REGEXEXTRACT(A233, ""\n([^\n]*)$""), """")"),"Skill")</f>
        <v>Skill</v>
      </c>
      <c r="F233" s="17" t="str">
        <f>IFERROR(__xludf.DUMMYFUNCTION("if(len(A233)&gt;0, REGEXEXTRACT(A233, ""\(([^\)]*)\)""), """")"),"GUNNM/Battle Angel Alita")</f>
        <v>GUNNM/Battle Angel Alita</v>
      </c>
      <c r="G233" s="17" t="str">
        <f>IFERROR(__xludf.DUMMYFUNCTION("if(len(A233)&gt;0, REGEXEXTRACT(A233, ""\)([^:]*):""), """")")," Free")</f>
        <v> Free</v>
      </c>
      <c r="H233" s="31" t="str">
        <f>IFERROR(__xludf.DUMMYFUNCTION("if(len(A233) &gt; 0, JOIN(char(10), FILTER(SPLIT(A233, char(10)), split(""false false "" &amp; rept(""true "", columns(SPLIT(A233, char(10)))-3) &amp; ""false"", "" ""))), """")"),"Solid theoretical and practical experience of a single form of personal combat. In the wasteland, what martial arts survive are pragmatic descendants of old world teachings. In the Scrapyard however, there are genuine schools of combat, though they are of"&amp;"ten overlooked – most human styles are ineffective against the crudest cyborg brawler, and the emphasis is to strike fast and run away faster.
T’ai Chi Chuan –This art is rarely taken seriously, owing to its firm rooting in qigong breathing techniques and"&amp;" ideas about chi, internal balance and fluid control of defence and counterattacks that have little appeal to cyborg fighters. However many elements of it have influenced the most advanced cyborg combat styles, and the therapeutic version is popular enoug"&amp;"h with the elderly that the original forms survive.")</f>
        <v>Solid theoretical and practical experience of a single form of personal combat. In the wasteland, what martial arts survive are pragmatic descendants of old world teachings. In the Scrapyard however, there are genuine schools of combat, though they are often overlooked – most human styles are ineffective against the crudest cyborg brawler, and the emphasis is to strike fast and run away faster.
T’ai Chi Chuan –This art is rarely taken seriously, owing to its firm rooting in qigong breathing techniques and ideas about chi, internal balance and fluid control of defence and counterattacks that have little appeal to cyborg fighters. However many elements of it have influenced the most advanced cyborg combat styles, and the therapeutic version is popular enough with the elderly that the original forms survive.</v>
      </c>
    </row>
    <row r="234">
      <c r="A234" s="31" t="str">
        <f>IFERROR(__xludf.DUMMYFUNCTION("""COMPUTED_VALUE"""),"Chapter 26: 21 Closing Moves
Tailor Made (Career Model) 100:
You are a brilliant designer, and can ensure objects you create are always looking fantastic, aesthetically pleasing and the like. Making something look good no longer takes any time or effort y"&amp;"ou can focus entirely on function, and whatever you make will look outstanding.
Fiat")</f>
        <v>Chapter 26: 21 Closing Moves
Tailor Made (Career Model) 100:
You are a brilliant designer, and can ensure objects you create are always looking fantastic, aesthetically pleasing and the like. Making something look good no longer takes any time or effort you can focus entirely on function, and whatever you make will look outstanding.
Fiat</v>
      </c>
      <c r="B234" s="17">
        <f>IFERROR(__xludf.DUMMYFUNCTION("if(len(A234)&gt;0, value(REGEXEXTRACT(A234, ""Chapter ([0-9]*):"")), """")"),26.0)</f>
        <v>26</v>
      </c>
      <c r="C234" s="31" t="str">
        <f>IFERROR(__xludf.DUMMYFUNCTION("if(len(A234) &gt;0, REGEXEXTRACT(A234, ""Chapter [0-9]*: (.*)""), """")"),"21 Closing Moves")</f>
        <v>21 Closing Moves</v>
      </c>
      <c r="D234" s="31" t="str">
        <f>IFERROR(__xludf.DUMMYFUNCTION("if(len(A234)&gt;0, REGEXEXTRACT(A234, ""\n[^\(]*""), """")"),"
Tailor Made ")</f>
        <v>
Tailor Made </v>
      </c>
      <c r="E234" s="17" t="str">
        <f>IFERROR(__xludf.DUMMYFUNCTION("if(len(A234)&gt;0, REGEXEXTRACT(A234, ""\n([^\n]*)$""), """")"),"Fiat")</f>
        <v>Fiat</v>
      </c>
      <c r="F234" s="17" t="str">
        <f>IFERROR(__xludf.DUMMYFUNCTION("if(len(A234)&gt;0, REGEXEXTRACT(A234, ""\(([^\)]*)\)""), """")"),"Career Model")</f>
        <v>Career Model</v>
      </c>
      <c r="G234" s="17" t="str">
        <f>IFERROR(__xludf.DUMMYFUNCTION("if(len(A234)&gt;0, REGEXEXTRACT(A234, ""\)([^:]*):""), """")")," 100")</f>
        <v> 100</v>
      </c>
      <c r="H234" s="31" t="str">
        <f>IFERROR(__xludf.DUMMYFUNCTION("if(len(A234) &gt; 0, JOIN(char(10), FILTER(SPLIT(A234, char(10)), split(""false false "" &amp; rept(""true "", columns(SPLIT(A234, char(10)))-3) &amp; ""false"", "" ""))), """")"),"You are a brilliant designer, and can ensure objects you create are always looking fantastic, aesthetically pleasing and the like. Making something look good no longer takes any time or effort you can focus entirely on function, and whatever you make will"&amp;" look outstanding.")</f>
        <v>You are a brilliant designer, and can ensure objects you create are always looking fantastic, aesthetically pleasing and the like. Making something look good no longer takes any time or effort you can focus entirely on function, and whatever you make will look outstanding.</v>
      </c>
    </row>
    <row r="235">
      <c r="A235" s="31" t="str">
        <f>IFERROR(__xludf.DUMMYFUNCTION("""COMPUTED_VALUE"""),"Chapter 26: 21 Closing Moves
Workshop (Bubblegum Crisis) 100:
You need tools? You have ALL the tools. Using this, you can effectively build and/or repair any damn thing in BGC, though constructing orbital shuttles might take a while. Nevermind getting aho"&amp;"ld of the plans.
Facility")</f>
        <v>Chapter 26: 21 Closing Moves
Workshop (Bubblegum Crisis) 100:
You need tools? You have ALL the tools. Using this, you can effectively build and/or repair any damn thing in BGC, though constructing orbital shuttles might take a while. Nevermind getting ahold of the plans.
Facility</v>
      </c>
      <c r="B235" s="17">
        <f>IFERROR(__xludf.DUMMYFUNCTION("if(len(A235)&gt;0, value(REGEXEXTRACT(A235, ""Chapter ([0-9]*):"")), """")"),26.0)</f>
        <v>26</v>
      </c>
      <c r="C235" s="31" t="str">
        <f>IFERROR(__xludf.DUMMYFUNCTION("if(len(A235) &gt;0, REGEXEXTRACT(A235, ""Chapter [0-9]*: (.*)""), """")"),"21 Closing Moves")</f>
        <v>21 Closing Moves</v>
      </c>
      <c r="D235" s="31" t="str">
        <f>IFERROR(__xludf.DUMMYFUNCTION("if(len(A235)&gt;0, REGEXEXTRACT(A235, ""\n[^\(]*""), """")"),"
Workshop ")</f>
        <v>
Workshop </v>
      </c>
      <c r="E235" s="17" t="str">
        <f>IFERROR(__xludf.DUMMYFUNCTION("if(len(A235)&gt;0, REGEXEXTRACT(A235, ""\n([^\n]*)$""), """")"),"Facility")</f>
        <v>Facility</v>
      </c>
      <c r="F235" s="17" t="str">
        <f>IFERROR(__xludf.DUMMYFUNCTION("if(len(A235)&gt;0, REGEXEXTRACT(A235, ""\(([^\)]*)\)""), """")"),"Bubblegum Crisis")</f>
        <v>Bubblegum Crisis</v>
      </c>
      <c r="G235" s="17" t="str">
        <f>IFERROR(__xludf.DUMMYFUNCTION("if(len(A235)&gt;0, REGEXEXTRACT(A235, ""\)([^:]*):""), """")")," 100")</f>
        <v> 100</v>
      </c>
      <c r="H235" s="31" t="str">
        <f>IFERROR(__xludf.DUMMYFUNCTION("if(len(A235) &gt; 0, JOIN(char(10), FILTER(SPLIT(A235, char(10)), split(""false false "" &amp; rept(""true "", columns(SPLIT(A235, char(10)))-3) &amp; ""false"", "" ""))), """")"),"You need tools? You have ALL the tools. Using this, you can effectively build and/or repair any damn thing in BGC, though constructing orbital shuttles might take a while. Nevermind getting ahold of the plans.")</f>
        <v>You need tools? You have ALL the tools. Using this, you can effectively build and/or repair any damn thing in BGC, though constructing orbital shuttles might take a while. Nevermind getting ahold of the plans.</v>
      </c>
    </row>
    <row r="236">
      <c r="A236" s="31" t="str">
        <f>IFERROR(__xludf.DUMMYFUNCTION("""COMPUTED_VALUE"""),"Chapter 28: 22 Homeward
Don't Need A Team (Ace Combat) 100:
Fighter planes are pretty complicated machines, and more often than not you need a whole crew to maintain them so that they don’t break down in the middle of a fight and doom the pilot. You know "&amp;"your plane well enough to circumvent this issue. You've got just the right idea on what needs tuning up and what needs fixing, along with having the speed to be able to fix a plane up by yourself without the need for a crew in a fraction of the time. Perf"&amp;"ormance issues are a thing of the past for you.
Fiat")</f>
        <v>Chapter 28: 22 Homeward
Don't Need A Team (Ace Combat) 100:
Fighter planes are pretty complicated machines, and more often than not you need a whole crew to maintain them so that they don’t break down in the middle of a fight and doom the pilot. You know your plane well enough to circumvent this issue. You've got just the right idea on what needs tuning up and what needs fixing, along with having the speed to be able to fix a plane up by yourself without the need for a crew in a fraction of the time. Performance issues are a thing of the past for you.
Fiat</v>
      </c>
      <c r="B236" s="17">
        <f>IFERROR(__xludf.DUMMYFUNCTION("if(len(A236)&gt;0, value(REGEXEXTRACT(A236, ""Chapter ([0-9]*):"")), """")"),28.0)</f>
        <v>28</v>
      </c>
      <c r="C236" s="31" t="str">
        <f>IFERROR(__xludf.DUMMYFUNCTION("if(len(A236) &gt;0, REGEXEXTRACT(A236, ""Chapter [0-9]*: (.*)""), """")"),"22 Homeward")</f>
        <v>22 Homeward</v>
      </c>
      <c r="D236" s="31" t="str">
        <f>IFERROR(__xludf.DUMMYFUNCTION("if(len(A236)&gt;0, REGEXEXTRACT(A236, ""\n[^\(]*""), """")"),"
Don't Need A Team ")</f>
        <v>
Don't Need A Team </v>
      </c>
      <c r="E236" s="17" t="str">
        <f>IFERROR(__xludf.DUMMYFUNCTION("if(len(A236)&gt;0, REGEXEXTRACT(A236, ""\n([^\n]*)$""), """")"),"Fiat")</f>
        <v>Fiat</v>
      </c>
      <c r="F236" s="17" t="str">
        <f>IFERROR(__xludf.DUMMYFUNCTION("if(len(A236)&gt;0, REGEXEXTRACT(A236, ""\(([^\)]*)\)""), """")"),"Ace Combat")</f>
        <v>Ace Combat</v>
      </c>
      <c r="G236" s="17" t="str">
        <f>IFERROR(__xludf.DUMMYFUNCTION("if(len(A236)&gt;0, REGEXEXTRACT(A236, ""\)([^:]*):""), """")")," 100")</f>
        <v> 100</v>
      </c>
      <c r="H236" s="31" t="str">
        <f>IFERROR(__xludf.DUMMYFUNCTION("if(len(A236) &gt; 0, JOIN(char(10), FILTER(SPLIT(A236, char(10)), split(""false false "" &amp; rept(""true "", columns(SPLIT(A236, char(10)))-3) &amp; ""false"", "" ""))), """")"),"Fighter planes are pretty complicated machines, and more often than not you need a whole crew to maintain them so that they don’t break down in the middle of a fight and doom the pilot. You know your plane well enough to circumvent this issue. You've got "&amp;"just the right idea on what needs tuning up and what needs fixing, along with having the speed to be able to fix a plane up by yourself without the need for a crew in a fraction of the time. Performance issues are a thing of the past for you.")</f>
        <v>Fighter planes are pretty complicated machines, and more often than not you need a whole crew to maintain them so that they don’t break down in the middle of a fight and doom the pilot. You know your plane well enough to circumvent this issue. You've got just the right idea on what needs tuning up and what needs fixing, along with having the speed to be able to fix a plane up by yourself without the need for a crew in a fraction of the time. Performance issues are a thing of the past for you.</v>
      </c>
    </row>
    <row r="237">
      <c r="A237" s="31" t="str">
        <f>IFERROR(__xludf.DUMMYFUNCTION("""COMPUTED_VALUE"""),"Chapter 28: 22 Homeward
Most Holy Order of the Socket Wrench (Fast and Furious) 400:
You are a master mechanic. Repair and upkeep is nice, but you can go beyond the impossible and improve any vehicle. Take a van and make it beat a supercar? Put NOS inject"&amp;"ors on a bicycle (and make it work)? How bout something challenging? And anything you can build up you can tear down, too. You're a one-man chop shop and wiring a car to explode takes but a few moments and some chicken wire.
Fiat, System")</f>
        <v>Chapter 28: 22 Homeward
Most Holy Order of the Socket Wrench (Fast and Furious) 400:
You are a master mechanic. Repair and upkeep is nice, but you can go beyond the impossible and improve any vehicle. Take a van and make it beat a supercar? Put NOS injectors on a bicycle (and make it work)? How bout something challenging? And anything you can build up you can tear down, too. You're a one-man chop shop and wiring a car to explode takes but a few moments and some chicken wire.
Fiat, System</v>
      </c>
      <c r="B237" s="17">
        <f>IFERROR(__xludf.DUMMYFUNCTION("if(len(A237)&gt;0, value(REGEXEXTRACT(A237, ""Chapter ([0-9]*):"")), """")"),28.0)</f>
        <v>28</v>
      </c>
      <c r="C237" s="31" t="str">
        <f>IFERROR(__xludf.DUMMYFUNCTION("if(len(A237) &gt;0, REGEXEXTRACT(A237, ""Chapter [0-9]*: (.*)""), """")"),"22 Homeward")</f>
        <v>22 Homeward</v>
      </c>
      <c r="D237" s="31" t="str">
        <f>IFERROR(__xludf.DUMMYFUNCTION("if(len(A237)&gt;0, REGEXEXTRACT(A237, ""\n[^\(]*""), """")"),"
Most Holy Order of the Socket Wrench ")</f>
        <v>
Most Holy Order of the Socket Wrench </v>
      </c>
      <c r="E237" s="17" t="str">
        <f>IFERROR(__xludf.DUMMYFUNCTION("if(len(A237)&gt;0, REGEXEXTRACT(A237, ""\n([^\n]*)$""), """")"),"Fiat, System")</f>
        <v>Fiat, System</v>
      </c>
      <c r="F237" s="17" t="str">
        <f>IFERROR(__xludf.DUMMYFUNCTION("if(len(A237)&gt;0, REGEXEXTRACT(A237, ""\(([^\)]*)\)""), """")"),"Fast and Furious")</f>
        <v>Fast and Furious</v>
      </c>
      <c r="G237" s="17" t="str">
        <f>IFERROR(__xludf.DUMMYFUNCTION("if(len(A237)&gt;0, REGEXEXTRACT(A237, ""\)([^:]*):""), """")")," 400")</f>
        <v> 400</v>
      </c>
      <c r="H237" s="31" t="str">
        <f>IFERROR(__xludf.DUMMYFUNCTION("if(len(A237) &gt; 0, JOIN(char(10), FILTER(SPLIT(A237, char(10)), split(""false false "" &amp; rept(""true "", columns(SPLIT(A237, char(10)))-3) &amp; ""false"", "" ""))), """")"),"You are a master mechanic. Repair and upkeep is nice, but you can go beyond the impossible and improve any vehicle. Take a van and make it beat a supercar? Put NOS injectors on a bicycle (and make it work)? How bout something challenging? And anything you"&amp;" can build up you can tear down, too. You're a one-man chop shop and wiring a car to explode takes but a few moments and some chicken wire.")</f>
        <v>You are a master mechanic. Repair and upkeep is nice, but you can go beyond the impossible and improve any vehicle. Take a van and make it beat a supercar? Put NOS injectors on a bicycle (and make it work)? How bout something challenging? And anything you can build up you can tear down, too. You're a one-man chop shop and wiring a car to explode takes but a few moments and some chicken wire.</v>
      </c>
    </row>
    <row r="238">
      <c r="A238" s="31" t="str">
        <f>IFERROR(__xludf.DUMMYFUNCTION("""COMPUTED_VALUE"""),"Chapter 29: 23 Renovation - Addendum Taylor
Alchemy Fiats (Fullmetal Alchemist) Free:
Your alchemy will always work as intended no matter what universe you're in.
Alchemy can be taught, but your students will lack a lot of the fundamentals you take for gr"&amp;"anted. It is a science after all, and science is only useful if you know what it does.
Fiat")</f>
        <v>Chapter 29: 23 Renovation - Addendum Taylor
Alchemy Fiats (Fullmetal Alchemist) Free:
Your alchemy will always work as intended no matter what universe you're in.
Alchemy can be taught, but your students will lack a lot of the fundamentals you take for granted. It is a science after all, and science is only useful if you know what it does.
Fiat</v>
      </c>
      <c r="B238" s="17">
        <f>IFERROR(__xludf.DUMMYFUNCTION("if(len(A238)&gt;0, value(REGEXEXTRACT(A238, ""Chapter ([0-9]*):"")), """")"),29.0)</f>
        <v>29</v>
      </c>
      <c r="C238" s="31" t="str">
        <f>IFERROR(__xludf.DUMMYFUNCTION("if(len(A238) &gt;0, REGEXEXTRACT(A238, ""Chapter [0-9]*: (.*)""), """")"),"23 Renovation - Addendum Taylor")</f>
        <v>23 Renovation - Addendum Taylor</v>
      </c>
      <c r="D238" s="31" t="str">
        <f>IFERROR(__xludf.DUMMYFUNCTION("if(len(A238)&gt;0, REGEXEXTRACT(A238, ""\n[^\(]*""), """")"),"
Alchemy Fiats ")</f>
        <v>
Alchemy Fiats </v>
      </c>
      <c r="E238" s="17" t="str">
        <f>IFERROR(__xludf.DUMMYFUNCTION("if(len(A238)&gt;0, REGEXEXTRACT(A238, ""\n([^\n]*)$""), """")"),"Fiat")</f>
        <v>Fiat</v>
      </c>
      <c r="F238" s="17" t="str">
        <f>IFERROR(__xludf.DUMMYFUNCTION("if(len(A238)&gt;0, REGEXEXTRACT(A238, ""\(([^\)]*)\)""), """")"),"Fullmetal Alchemist")</f>
        <v>Fullmetal Alchemist</v>
      </c>
      <c r="G238" s="17" t="str">
        <f>IFERROR(__xludf.DUMMYFUNCTION("if(len(A238)&gt;0, REGEXEXTRACT(A238, ""\)([^:]*):""), """")")," Free")</f>
        <v> Free</v>
      </c>
      <c r="H238" s="31" t="str">
        <f>IFERROR(__xludf.DUMMYFUNCTION("if(len(A238) &gt; 0, JOIN(char(10), FILTER(SPLIT(A238, char(10)), split(""false false "" &amp; rept(""true "", columns(SPLIT(A238, char(10)))-3) &amp; ""false"", "" ""))), """")"),"Your alchemy will always work as intended no matter what universe you're in.
Alchemy can be taught, but your students will lack a lot of the fundamentals you take for granted. It is a science after all, and science is only useful if you know what it does.")</f>
        <v>Your alchemy will always work as intended no matter what universe you're in.
Alchemy can be taught, but your students will lack a lot of the fundamentals you take for granted. It is a science after all, and science is only useful if you know what it does.</v>
      </c>
    </row>
    <row r="239">
      <c r="A239" s="31" t="str">
        <f>IFERROR(__xludf.DUMMYFUNCTION("""COMPUTED_VALUE"""),"Chapter 29: 23 Renovation - Addendum Taylor
Reliable Invention (Kim Possible) 200:
Anything you construct is only broken when used improperly or purposefully targeted with attacks. The items you create do not malfunction and are completely resistant to da"&amp;"mage caused by regular usage.
Fiat")</f>
        <v>Chapter 29: 23 Renovation - Addendum Taylor
Reliable Invention (Kim Possible) 200:
Anything you construct is only broken when used improperly or purposefully targeted with attacks. The items you create do not malfunction and are completely resistant to damage caused by regular usage.
Fiat</v>
      </c>
      <c r="B239" s="17">
        <f>IFERROR(__xludf.DUMMYFUNCTION("if(len(A239)&gt;0, value(REGEXEXTRACT(A239, ""Chapter ([0-9]*):"")), """")"),29.0)</f>
        <v>29</v>
      </c>
      <c r="C239" s="31" t="str">
        <f>IFERROR(__xludf.DUMMYFUNCTION("if(len(A239) &gt;0, REGEXEXTRACT(A239, ""Chapter [0-9]*: (.*)""), """")"),"23 Renovation - Addendum Taylor")</f>
        <v>23 Renovation - Addendum Taylor</v>
      </c>
      <c r="D239" s="31" t="str">
        <f>IFERROR(__xludf.DUMMYFUNCTION("if(len(A239)&gt;0, REGEXEXTRACT(A239, ""\n[^\(]*""), """")"),"
Reliable Invention ")</f>
        <v>
Reliable Invention </v>
      </c>
      <c r="E239" s="17" t="str">
        <f>IFERROR(__xludf.DUMMYFUNCTION("if(len(A239)&gt;0, REGEXEXTRACT(A239, ""\n([^\n]*)$""), """")"),"Fiat")</f>
        <v>Fiat</v>
      </c>
      <c r="F239" s="17" t="str">
        <f>IFERROR(__xludf.DUMMYFUNCTION("if(len(A239)&gt;0, REGEXEXTRACT(A239, ""\(([^\)]*)\)""), """")"),"Kim Possible")</f>
        <v>Kim Possible</v>
      </c>
      <c r="G239" s="17" t="str">
        <f>IFERROR(__xludf.DUMMYFUNCTION("if(len(A239)&gt;0, REGEXEXTRACT(A239, ""\)([^:]*):""), """")")," 200")</f>
        <v> 200</v>
      </c>
      <c r="H239" s="31" t="str">
        <f>IFERROR(__xludf.DUMMYFUNCTION("if(len(A239) &gt; 0, JOIN(char(10), FILTER(SPLIT(A239, char(10)), split(""false false "" &amp; rept(""true "", columns(SPLIT(A239, char(10)))-3) &amp; ""false"", "" ""))), """")"),"Anything you construct is only broken when used improperly or purposefully targeted with attacks. The items you create do not malfunction and are completely resistant to damage caused by regular usage.")</f>
        <v>Anything you construct is only broken when used improperly or purposefully targeted with attacks. The items you create do not malfunction and are completely resistant to damage caused by regular usage.</v>
      </c>
    </row>
    <row r="240">
      <c r="A240" s="31" t="str">
        <f>IFERROR(__xludf.DUMMYFUNCTION("""COMPUTED_VALUE"""),"Chapter 29: 23 Renovation - Addendum Taylor
Simplified Formulae (Fullmetal Alchemist) 100:
You understand the connections between parts. You can make large alchemy circles far more easily and far less complex than others. You can combine this with Advance"&amp;"d Formulae for multipurpose combat alchemy.
System")</f>
        <v>Chapter 29: 23 Renovation - Addendum Taylor
Simplified Formulae (Fullmetal Alchemist) 100:
You understand the connections between parts. You can make large alchemy circles far more easily and far less complex than others. You can combine this with Advanced Formulae for multipurpose combat alchemy.
System</v>
      </c>
      <c r="B240" s="17">
        <f>IFERROR(__xludf.DUMMYFUNCTION("if(len(A240)&gt;0, value(REGEXEXTRACT(A240, ""Chapter ([0-9]*):"")), """")"),29.0)</f>
        <v>29</v>
      </c>
      <c r="C240" s="31" t="str">
        <f>IFERROR(__xludf.DUMMYFUNCTION("if(len(A240) &gt;0, REGEXEXTRACT(A240, ""Chapter [0-9]*: (.*)""), """")"),"23 Renovation - Addendum Taylor")</f>
        <v>23 Renovation - Addendum Taylor</v>
      </c>
      <c r="D240" s="31" t="str">
        <f>IFERROR(__xludf.DUMMYFUNCTION("if(len(A240)&gt;0, REGEXEXTRACT(A240, ""\n[^\(]*""), """")"),"
Simplified Formulae ")</f>
        <v>
Simplified Formulae </v>
      </c>
      <c r="E240" s="17" t="str">
        <f>IFERROR(__xludf.DUMMYFUNCTION("if(len(A240)&gt;0, REGEXEXTRACT(A240, ""\n([^\n]*)$""), """")"),"System")</f>
        <v>System</v>
      </c>
      <c r="F240" s="17" t="str">
        <f>IFERROR(__xludf.DUMMYFUNCTION("if(len(A240)&gt;0, REGEXEXTRACT(A240, ""\(([^\)]*)\)""), """")"),"Fullmetal Alchemist")</f>
        <v>Fullmetal Alchemist</v>
      </c>
      <c r="G240" s="17" t="str">
        <f>IFERROR(__xludf.DUMMYFUNCTION("if(len(A240)&gt;0, REGEXEXTRACT(A240, ""\)([^:]*):""), """")")," 100")</f>
        <v> 100</v>
      </c>
      <c r="H240" s="31" t="str">
        <f>IFERROR(__xludf.DUMMYFUNCTION("if(len(A240) &gt; 0, JOIN(char(10), FILTER(SPLIT(A240, char(10)), split(""false false "" &amp; rept(""true "", columns(SPLIT(A240, char(10)))-3) &amp; ""false"", "" ""))), """")"),"You understand the connections between parts. You can make large alchemy circles far more easily and far less complex than others. You can combine this with Advanced Formulae for multipurpose combat alchemy.")</f>
        <v>You understand the connections between parts. You can make large alchemy circles far more easily and far less complex than others. You can combine this with Advanced Formulae for multipurpose combat alchemy.</v>
      </c>
    </row>
    <row r="241">
      <c r="A241" s="31" t="str">
        <f>IFERROR(__xludf.DUMMYFUNCTION("""COMPUTED_VALUE"""),"Chapter 29: 23 Renovation - Addendum Taylor
Standing Stone: The Lover (The Elder Scrolls: Skyrim) Free:
Those under the sign of the Lover learn all skills slightly faster than they otherwise would.
Personal")</f>
        <v>Chapter 29: 23 Renovation - Addendum Taylor
Standing Stone: The Lover (The Elder Scrolls: Skyrim) Free:
Those under the sign of the Lover learn all skills slightly faster than they otherwise would.
Personal</v>
      </c>
      <c r="B241" s="17">
        <f>IFERROR(__xludf.DUMMYFUNCTION("if(len(A241)&gt;0, value(REGEXEXTRACT(A241, ""Chapter ([0-9]*):"")), """")"),29.0)</f>
        <v>29</v>
      </c>
      <c r="C241" s="31" t="str">
        <f>IFERROR(__xludf.DUMMYFUNCTION("if(len(A241) &gt;0, REGEXEXTRACT(A241, ""Chapter [0-9]*: (.*)""), """")"),"23 Renovation - Addendum Taylor")</f>
        <v>23 Renovation - Addendum Taylor</v>
      </c>
      <c r="D241" s="31" t="str">
        <f>IFERROR(__xludf.DUMMYFUNCTION("if(len(A241)&gt;0, REGEXEXTRACT(A241, ""\n[^\(]*""), """")"),"
Standing Stone: The Lover ")</f>
        <v>
Standing Stone: The Lover </v>
      </c>
      <c r="E241" s="17" t="str">
        <f>IFERROR(__xludf.DUMMYFUNCTION("if(len(A241)&gt;0, REGEXEXTRACT(A241, ""\n([^\n]*)$""), """")"),"Personal")</f>
        <v>Personal</v>
      </c>
      <c r="F241" s="17" t="str">
        <f>IFERROR(__xludf.DUMMYFUNCTION("if(len(A241)&gt;0, REGEXEXTRACT(A241, ""\(([^\)]*)\)""), """")"),"The Elder Scrolls: Skyrim")</f>
        <v>The Elder Scrolls: Skyrim</v>
      </c>
      <c r="G241" s="17" t="str">
        <f>IFERROR(__xludf.DUMMYFUNCTION("if(len(A241)&gt;0, REGEXEXTRACT(A241, ""\)([^:]*):""), """")")," Free")</f>
        <v> Free</v>
      </c>
      <c r="H241" s="31" t="str">
        <f>IFERROR(__xludf.DUMMYFUNCTION("if(len(A241) &gt; 0, JOIN(char(10), FILTER(SPLIT(A241, char(10)), split(""false false "" &amp; rept(""true "", columns(SPLIT(A241, char(10)))-3) &amp; ""false"", "" ""))), """")"),"Those under the sign of the Lover learn all skills slightly faster than they otherwise would.")</f>
        <v>Those under the sign of the Lover learn all skills slightly faster than they otherwise would.</v>
      </c>
    </row>
    <row r="242">
      <c r="A242" s="31" t="str">
        <f>IFERROR(__xludf.DUMMYFUNCTION("""COMPUTED_VALUE"""),"Chapter 29: 23 Renovation - Addendum Taylor
They're Like Legoes, Right? (Kerbal Space Program) 200:
There's robust engineering, and then there's modularity. Pick one. Except for you - you seem to have the gift of designing methods that allow for seamless "&amp;"mixing and matching of modular technology that lack none of the parts incompatibility and fragility you'd except from such a design paradigm. While this seems focused on Kerbin technology in specific, a little work should have you applying such a paradigm"&amp;" to all sorts of technologies...
Fiat")</f>
        <v>Chapter 29: 23 Renovation - Addendum Taylor
They're Like Legoes, Right? (Kerbal Space Program) 200:
There's robust engineering, and then there's modularity. Pick one. Except for you - you seem to have the gift of designing methods that allow for seamless mixing and matching of modular technology that lack none of the parts incompatibility and fragility you'd except from such a design paradigm. While this seems focused on Kerbin technology in specific, a little work should have you applying such a paradigm to all sorts of technologies...
Fiat</v>
      </c>
      <c r="B242" s="17">
        <f>IFERROR(__xludf.DUMMYFUNCTION("if(len(A242)&gt;0, value(REGEXEXTRACT(A242, ""Chapter ([0-9]*):"")), """")"),29.0)</f>
        <v>29</v>
      </c>
      <c r="C242" s="31" t="str">
        <f>IFERROR(__xludf.DUMMYFUNCTION("if(len(A242) &gt;0, REGEXEXTRACT(A242, ""Chapter [0-9]*: (.*)""), """")"),"23 Renovation - Addendum Taylor")</f>
        <v>23 Renovation - Addendum Taylor</v>
      </c>
      <c r="D242" s="31" t="str">
        <f>IFERROR(__xludf.DUMMYFUNCTION("if(len(A242)&gt;0, REGEXEXTRACT(A242, ""\n[^\(]*""), """")"),"
They're Like Legoes, Right? ")</f>
        <v>
They're Like Legoes, Right? </v>
      </c>
      <c r="E242" s="17" t="str">
        <f>IFERROR(__xludf.DUMMYFUNCTION("if(len(A242)&gt;0, REGEXEXTRACT(A242, ""\n([^\n]*)$""), """")"),"Fiat")</f>
        <v>Fiat</v>
      </c>
      <c r="F242" s="17" t="str">
        <f>IFERROR(__xludf.DUMMYFUNCTION("if(len(A242)&gt;0, REGEXEXTRACT(A242, ""\(([^\)]*)\)""), """")"),"Kerbal Space Program")</f>
        <v>Kerbal Space Program</v>
      </c>
      <c r="G242" s="17" t="str">
        <f>IFERROR(__xludf.DUMMYFUNCTION("if(len(A242)&gt;0, REGEXEXTRACT(A242, ""\)([^:]*):""), """")")," 200")</f>
        <v> 200</v>
      </c>
      <c r="H242" s="31" t="str">
        <f>IFERROR(__xludf.DUMMYFUNCTION("if(len(A242) &gt; 0, JOIN(char(10), FILTER(SPLIT(A242, char(10)), split(""false false "" &amp; rept(""true "", columns(SPLIT(A242, char(10)))-3) &amp; ""false"", "" ""))), """")"),"There's robust engineering, and then there's modularity. Pick one. Except for you - you seem to have the gift of designing methods that allow for seamless mixing and matching of modular technology that lack none of the parts incompatibility and fragility "&amp;"you'd except from such a design paradigm. While this seems focused on Kerbin technology in specific, a little work should have you applying such a paradigm to all sorts of technologies...")</f>
        <v>There's robust engineering, and then there's modularity. Pick one. Except for you - you seem to have the gift of designing methods that allow for seamless mixing and matching of modular technology that lack none of the parts incompatibility and fragility you'd except from such a design paradigm. While this seems focused on Kerbin technology in specific, a little work should have you applying such a paradigm to all sorts of technologies...</v>
      </c>
    </row>
    <row r="243">
      <c r="A243" s="31" t="str">
        <f>IFERROR(__xludf.DUMMYFUNCTION("""COMPUTED_VALUE"""),"Chapter 29: 23 Renovation - Addendum Taylor
Skyforge (The Elder Scrolls: Skyrim) 200:
An ancient, mysterious, eagle themed forge added to your warehouse. Any metal items crafted at the forge will be significantly harder and stronger for it. Something abo"&amp;"ut the fires.
Facility")</f>
        <v>Chapter 29: 23 Renovation - Addendum Taylor
Skyforge (The Elder Scrolls: Skyrim) 200:
An ancient, mysterious, eagle themed forge added to your warehouse. Any metal items crafted at the forge will be significantly harder and stronger for it. Something about the fires.
Facility</v>
      </c>
      <c r="B243" s="17">
        <f>IFERROR(__xludf.DUMMYFUNCTION("if(len(A243)&gt;0, value(REGEXEXTRACT(A243, ""Chapter ([0-9]*):"")), """")"),29.0)</f>
        <v>29</v>
      </c>
      <c r="C243" s="31" t="str">
        <f>IFERROR(__xludf.DUMMYFUNCTION("if(len(A243) &gt;0, REGEXEXTRACT(A243, ""Chapter [0-9]*: (.*)""), """")"),"23 Renovation - Addendum Taylor
")</f>
        <v>23 Renovation - Addendum Taylor
</v>
      </c>
      <c r="D243" s="31" t="str">
        <f>IFERROR(__xludf.DUMMYFUNCTION("if(len(A243)&gt;0, REGEXEXTRACT(A243, ""\n[^\(]*""), """")"),"
Skyforge ")</f>
        <v>
Skyforge </v>
      </c>
      <c r="E243" s="17" t="str">
        <f>IFERROR(__xludf.DUMMYFUNCTION("if(len(A243)&gt;0, REGEXEXTRACT(A243, ""\n([^\n]*)$""), """")"),"Facility")</f>
        <v>Facility</v>
      </c>
      <c r="F243" s="17" t="str">
        <f>IFERROR(__xludf.DUMMYFUNCTION("if(len(A243)&gt;0, REGEXEXTRACT(A243, ""\(([^\)]*)\)""), """")"),"The Elder Scrolls: Skyrim")</f>
        <v>The Elder Scrolls: Skyrim</v>
      </c>
      <c r="G243" s="17" t="str">
        <f>IFERROR(__xludf.DUMMYFUNCTION("if(len(A243)&gt;0, REGEXEXTRACT(A243, ""\)([^:]*):""), """")")," 200")</f>
        <v> 200</v>
      </c>
      <c r="H243" s="31" t="str">
        <f>IFERROR(__xludf.DUMMYFUNCTION("if(len(A243) &gt; 0, JOIN(char(10), FILTER(SPLIT(A243, char(10)), split(""false false "" &amp; rept(""true "", columns(SPLIT(A243, char(10)))-3) &amp; ""false"", "" ""))), """")"),"An ancient, mysterious, eagle themed forge added to your warehouse. Any metal items crafted at the forge will be significantly harder and stronger for it. Something about the fires.")</f>
        <v>An ancient, mysterious, eagle themed forge added to your warehouse. Any metal items crafted at the forge will be significantly harder and stronger for it. Something about the fires.</v>
      </c>
    </row>
    <row r="244">
      <c r="A244" s="31" t="str">
        <f>IFERROR(__xludf.DUMMYFUNCTION("""COMPUTED_VALUE"""),"Chapter 30: 24 Tech Work - Addendum Alec
Advanced Materials (XCOM 2) 200:
As you experiment the physics and rules of a world ideas for new materials come to you. Elements and compounds from different universes often follow the same rules after all, so it "&amp;"should be theoretically possible to mix them. While you are developing new materials for your projects you will instinctively know whether or not materials will be compatible with each other and roughly how strong they will be. You will not know the exact"&amp;" ratio or procedure you will need to perform to fabricate these exotic materials, and it's not guaranteed that every material will be compatible with each other, but development will be made a lot easier.
Analysis")</f>
        <v>Chapter 30: 24 Tech Work - Addendum Alec
Advanced Materials (XCOM 2) 200:
As you experiment the physics and rules of a world ideas for new materials come to you. Elements and compounds from different universes often follow the same rules after all, so it should be theoretically possible to mix them. While you are developing new materials for your projects you will instinctively know whether or not materials will be compatible with each other and roughly how strong they will be. You will not know the exact ratio or procedure you will need to perform to fabricate these exotic materials, and it's not guaranteed that every material will be compatible with each other, but development will be made a lot easier.
Analysis</v>
      </c>
      <c r="B244" s="17">
        <f>IFERROR(__xludf.DUMMYFUNCTION("if(len(A244)&gt;0, value(REGEXEXTRACT(A244, ""Chapter ([0-9]*):"")), """")"),30.0)</f>
        <v>30</v>
      </c>
      <c r="C244" s="31" t="str">
        <f>IFERROR(__xludf.DUMMYFUNCTION("if(len(A244) &gt;0, REGEXEXTRACT(A244, ""Chapter [0-9]*: (.*)""), """")"),"24 Tech Work - Addendum Alec")</f>
        <v>24 Tech Work - Addendum Alec</v>
      </c>
      <c r="D244" s="31" t="str">
        <f>IFERROR(__xludf.DUMMYFUNCTION("if(len(A244)&gt;0, REGEXEXTRACT(A244, ""\n[^\(]*""), """")"),"
Advanced Materials ")</f>
        <v>
Advanced Materials </v>
      </c>
      <c r="E244" s="17" t="str">
        <f>IFERROR(__xludf.DUMMYFUNCTION("if(len(A244)&gt;0, REGEXEXTRACT(A244, ""\n([^\n]*)$""), """")"),"Analysis")</f>
        <v>Analysis</v>
      </c>
      <c r="F244" s="17" t="str">
        <f>IFERROR(__xludf.DUMMYFUNCTION("if(len(A244)&gt;0, REGEXEXTRACT(A244, ""\(([^\)]*)\)""), """")"),"XCOM 2")</f>
        <v>XCOM 2</v>
      </c>
      <c r="G244" s="17" t="str">
        <f>IFERROR(__xludf.DUMMYFUNCTION("if(len(A244)&gt;0, REGEXEXTRACT(A244, ""\)([^:]*):""), """")")," 200")</f>
        <v> 200</v>
      </c>
      <c r="H244" s="31" t="str">
        <f>IFERROR(__xludf.DUMMYFUNCTION("if(len(A244) &gt; 0, JOIN(char(10), FILTER(SPLIT(A244, char(10)), split(""false false "" &amp; rept(""true "", columns(SPLIT(A244, char(10)))-3) &amp; ""false"", "" ""))), """")"),"As you experiment the physics and rules of a world ideas for new materials come to you. Elements and compounds from different universes often follow the same rules after all, so it should be theoretically possible to mix them. While you are developing new"&amp;" materials for your projects you will instinctively know whether or not materials will be compatible with each other and roughly how strong they will be. You will not know the exact ratio or procedure you will need to perform to fabricate these exotic mat"&amp;"erials, and it's not guaranteed that every material will be compatible with each other, but development will be made a lot easier.")</f>
        <v>As you experiment the physics and rules of a world ideas for new materials come to you. Elements and compounds from different universes often follow the same rules after all, so it should be theoretically possible to mix them. While you are developing new materials for your projects you will instinctively know whether or not materials will be compatible with each other and roughly how strong they will be. You will not know the exact ratio or procedure you will need to perform to fabricate these exotic materials, and it's not guaranteed that every material will be compatible with each other, but development will be made a lot easier.</v>
      </c>
    </row>
    <row r="245">
      <c r="A245" s="31" t="str">
        <f>IFERROR(__xludf.DUMMYFUNCTION("""COMPUTED_VALUE"""),"Chapter 30: 24 Tech Work - Addendum Alec
Garage (Fast and Furious) 100:
You have a nice garage and parts supply. With a few days and some elbow grease, you could basically rebuild your car or cars from the bottom up; you probably have enough parts to keep"&amp;" someone else's ride running or give it an upgrade, too.
Facility")</f>
        <v>Chapter 30: 24 Tech Work - Addendum Alec
Garage (Fast and Furious) 100:
You have a nice garage and parts supply. With a few days and some elbow grease, you could basically rebuild your car or cars from the bottom up; you probably have enough parts to keep someone else's ride running or give it an upgrade, too.
Facility</v>
      </c>
      <c r="B245" s="17">
        <f>IFERROR(__xludf.DUMMYFUNCTION("if(len(A245)&gt;0, value(REGEXEXTRACT(A245, ""Chapter ([0-9]*):"")), """")"),30.0)</f>
        <v>30</v>
      </c>
      <c r="C245" s="31" t="str">
        <f>IFERROR(__xludf.DUMMYFUNCTION("if(len(A245) &gt;0, REGEXEXTRACT(A245, ""Chapter [0-9]*: (.*)""), """")"),"24 Tech Work - Addendum Alec")</f>
        <v>24 Tech Work - Addendum Alec</v>
      </c>
      <c r="D245" s="31" t="str">
        <f>IFERROR(__xludf.DUMMYFUNCTION("if(len(A245)&gt;0, REGEXEXTRACT(A245, ""\n[^\(]*""), """")"),"
Garage ")</f>
        <v>
Garage </v>
      </c>
      <c r="E245" s="17" t="str">
        <f>IFERROR(__xludf.DUMMYFUNCTION("if(len(A245)&gt;0, REGEXEXTRACT(A245, ""\n([^\n]*)$""), """")"),"Facility")</f>
        <v>Facility</v>
      </c>
      <c r="F245" s="17" t="str">
        <f>IFERROR(__xludf.DUMMYFUNCTION("if(len(A245)&gt;0, REGEXEXTRACT(A245, ""\(([^\)]*)\)""), """")"),"Fast and Furious")</f>
        <v>Fast and Furious</v>
      </c>
      <c r="G245" s="17" t="str">
        <f>IFERROR(__xludf.DUMMYFUNCTION("if(len(A245)&gt;0, REGEXEXTRACT(A245, ""\)([^:]*):""), """")")," 100")</f>
        <v> 100</v>
      </c>
      <c r="H245" s="31" t="str">
        <f>IFERROR(__xludf.DUMMYFUNCTION("if(len(A245) &gt; 0, JOIN(char(10), FILTER(SPLIT(A245, char(10)), split(""false false "" &amp; rept(""true "", columns(SPLIT(A245, char(10)))-3) &amp; ""false"", "" ""))), """")"),"You have a nice garage and parts supply. With a few days and some elbow grease, you could basically rebuild your car or cars from the bottom up; you probably have enough parts to keep someone else's ride running or give it an upgrade, too.")</f>
        <v>You have a nice garage and parts supply. With a few days and some elbow grease, you could basically rebuild your car or cars from the bottom up; you probably have enough parts to keep someone else's ride running or give it an upgrade, too.</v>
      </c>
    </row>
    <row r="246">
      <c r="A246" s="31" t="str">
        <f>IFERROR(__xludf.DUMMYFUNCTION("""COMPUTED_VALUE"""),"Chapter 30: 24 Tech Work - Addendum Alec
Hidden Hideaway / Laboratory (Valkyria Chronicles) 200:
You've come into possession of a small but out of the way safe-house, providing you with a place to rest and recuperate. This place has enough supplies for 9 "&amp;"people to live for a year or so. Those who have chosen the Scientist origin however, gain an upgrade to this building in the form of an underground laboratory. It is stocked with all the necessary tools and ingredients for a secret lab in the 1930's, alon"&amp;"g with a few scattered notes on what appears to be a figure surrounded in light.
Facility")</f>
        <v>Chapter 30: 24 Tech Work - Addendum Alec
Hidden Hideaway / Laboratory (Valkyria Chronicles) 200:
You've come into possession of a small but out of the way safe-house, providing you with a place to rest and recuperate. This place has enough supplies for 9 people to live for a year or so. Those who have chosen the Scientist origin however, gain an upgrade to this building in the form of an underground laboratory. It is stocked with all the necessary tools and ingredients for a secret lab in the 1930's, along with a few scattered notes on what appears to be a figure surrounded in light.
Facility</v>
      </c>
      <c r="B246" s="17">
        <f>IFERROR(__xludf.DUMMYFUNCTION("if(len(A246)&gt;0, value(REGEXEXTRACT(A246, ""Chapter ([0-9]*):"")), """")"),30.0)</f>
        <v>30</v>
      </c>
      <c r="C246" s="31" t="str">
        <f>IFERROR(__xludf.DUMMYFUNCTION("if(len(A246) &gt;0, REGEXEXTRACT(A246, ""Chapter [0-9]*: (.*)""), """")"),"24 Tech Work - Addendum Alec")</f>
        <v>24 Tech Work - Addendum Alec</v>
      </c>
      <c r="D246" s="31" t="str">
        <f>IFERROR(__xludf.DUMMYFUNCTION("if(len(A246)&gt;0, REGEXEXTRACT(A246, ""\n[^\(]*""), """")"),"
Hidden Hideaway / Laboratory ")</f>
        <v>
Hidden Hideaway / Laboratory </v>
      </c>
      <c r="E246" s="17" t="str">
        <f>IFERROR(__xludf.DUMMYFUNCTION("if(len(A246)&gt;0, REGEXEXTRACT(A246, ""\n([^\n]*)$""), """")"),"Facility")</f>
        <v>Facility</v>
      </c>
      <c r="F246" s="17" t="str">
        <f>IFERROR(__xludf.DUMMYFUNCTION("if(len(A246)&gt;0, REGEXEXTRACT(A246, ""\(([^\)]*)\)""), """")"),"Valkyria Chronicles")</f>
        <v>Valkyria Chronicles</v>
      </c>
      <c r="G246" s="17" t="str">
        <f>IFERROR(__xludf.DUMMYFUNCTION("if(len(A246)&gt;0, REGEXEXTRACT(A246, ""\)([^:]*):""), """")")," 200")</f>
        <v> 200</v>
      </c>
      <c r="H246" s="31" t="str">
        <f>IFERROR(__xludf.DUMMYFUNCTION("if(len(A246) &gt; 0, JOIN(char(10), FILTER(SPLIT(A246, char(10)), split(""false false "" &amp; rept(""true "", columns(SPLIT(A246, char(10)))-3) &amp; ""false"", "" ""))), """")"),"You've come into possession of a small but out of the way safe-house, providing you with a place to rest and recuperate. This place has enough supplies for 9 people to live for a year or so. Those who have chosen the Scientist origin however, gain an upgr"&amp;"ade to this building in the form of an underground laboratory. It is stocked with all the necessary tools and ingredients for a secret lab in the 1930's, along with a few scattered notes on what appears to be a figure surrounded in light.")</f>
        <v>You've come into possession of a small but out of the way safe-house, providing you with a place to rest and recuperate. This place has enough supplies for 9 people to live for a year or so. Those who have chosen the Scientist origin however, gain an upgrade to this building in the form of an underground laboratory. It is stocked with all the necessary tools and ingredients for a secret lab in the 1930's, along with a few scattered notes on what appears to be a figure surrounded in light.</v>
      </c>
    </row>
    <row r="247">
      <c r="A247" s="31" t="str">
        <f>IFERROR(__xludf.DUMMYFUNCTION("""COMPUTED_VALUE"""),"Chapter 30: 24 Tech Work - Addendum Alec
Machines, They Just Speak To Me (Firefly) 200:
You have no formal schooling, but can fine-tune and repair engines with nothing but shoe polish. You don’t know what the parts are SUPPOSED to do, but you know how to "&amp;"make them work the way you want. You can diagnose a faulty part in the power core just by listening to the AC cycle, and can fix pretty much anything with naught but a wrench and some duct tape. It may not be pretty, and it may not last long, but it’ll wo"&amp;"rk.
Analysis")</f>
        <v>Chapter 30: 24 Tech Work - Addendum Alec
Machines, They Just Speak To Me (Firefly) 200:
You have no formal schooling, but can fine-tune and repair engines with nothing but shoe polish. You don’t know what the parts are SUPPOSED to do, but you know how to make them work the way you want. You can diagnose a faulty part in the power core just by listening to the AC cycle, and can fix pretty much anything with naught but a wrench and some duct tape. It may not be pretty, and it may not last long, but it’ll work.
Analysis</v>
      </c>
      <c r="B247" s="17">
        <f>IFERROR(__xludf.DUMMYFUNCTION("if(len(A247)&gt;0, value(REGEXEXTRACT(A247, ""Chapter ([0-9]*):"")), """")"),30.0)</f>
        <v>30</v>
      </c>
      <c r="C247" s="31" t="str">
        <f>IFERROR(__xludf.DUMMYFUNCTION("if(len(A247) &gt;0, REGEXEXTRACT(A247, ""Chapter [0-9]*: (.*)""), """")"),"24 Tech Work - Addendum Alec")</f>
        <v>24 Tech Work - Addendum Alec</v>
      </c>
      <c r="D247" s="31" t="str">
        <f>IFERROR(__xludf.DUMMYFUNCTION("if(len(A247)&gt;0, REGEXEXTRACT(A247, ""\n[^\(]*""), """")"),"
Machines, They Just Speak To Me ")</f>
        <v>
Machines, They Just Speak To Me </v>
      </c>
      <c r="E247" s="17" t="str">
        <f>IFERROR(__xludf.DUMMYFUNCTION("if(len(A247)&gt;0, REGEXEXTRACT(A247, ""\n([^\n]*)$""), """")"),"Analysis")</f>
        <v>Analysis</v>
      </c>
      <c r="F247" s="17" t="str">
        <f>IFERROR(__xludf.DUMMYFUNCTION("if(len(A247)&gt;0, REGEXEXTRACT(A247, ""\(([^\)]*)\)""), """")"),"Firefly")</f>
        <v>Firefly</v>
      </c>
      <c r="G247" s="17" t="str">
        <f>IFERROR(__xludf.DUMMYFUNCTION("if(len(A247)&gt;0, REGEXEXTRACT(A247, ""\)([^:]*):""), """")")," 200")</f>
        <v> 200</v>
      </c>
      <c r="H247" s="31" t="str">
        <f>IFERROR(__xludf.DUMMYFUNCTION("if(len(A247) &gt; 0, JOIN(char(10), FILTER(SPLIT(A247, char(10)), split(""false false "" &amp; rept(""true "", columns(SPLIT(A247, char(10)))-3) &amp; ""false"", "" ""))), """")"),"You have no formal schooling, but can fine-tune and repair engines with nothing but shoe polish. You don’t know what the parts are SUPPOSED to do, but you know how to make them work the way you want. You can diagnose a faulty part in the power core just b"&amp;"y listening to the AC cycle, and can fix pretty much anything with naught but a wrench and some duct tape. It may not be pretty, and it may not last long, but it’ll work.")</f>
        <v>You have no formal schooling, but can fine-tune and repair engines with nothing but shoe polish. You don’t know what the parts are SUPPOSED to do, but you know how to make them work the way you want. You can diagnose a faulty part in the power core just by listening to the AC cycle, and can fix pretty much anything with naught but a wrench and some duct tape. It may not be pretty, and it may not last long, but it’ll work.</v>
      </c>
    </row>
    <row r="248">
      <c r="A248" s="31" t="str">
        <f>IFERROR(__xludf.DUMMYFUNCTION("""COMPUTED_VALUE"""),"Chapter 30: 24 Tech Work - Addendum Alec
Ragnite Container (Valkyria Chronicles) Free:
Ragnite is a valuable resource in Europa, and it is unlikely to appear in any other worlds. You receive a container that replenishes once per day. The free level gets y"&amp;"ou a box the size of a human head.
Item")</f>
        <v>Chapter 30: 24 Tech Work - Addendum Alec
Ragnite Container (Valkyria Chronicles) Free:
Ragnite is a valuable resource in Europa, and it is unlikely to appear in any other worlds. You receive a container that replenishes once per day. The free level gets you a box the size of a human head.
Item</v>
      </c>
      <c r="B248" s="17">
        <f>IFERROR(__xludf.DUMMYFUNCTION("if(len(A248)&gt;0, value(REGEXEXTRACT(A248, ""Chapter ([0-9]*):"")), """")"),30.0)</f>
        <v>30</v>
      </c>
      <c r="C248" s="31" t="str">
        <f>IFERROR(__xludf.DUMMYFUNCTION("if(len(A248) &gt;0, REGEXEXTRACT(A248, ""Chapter [0-9]*: (.*)""), """")"),"24 Tech Work - Addendum Alec")</f>
        <v>24 Tech Work - Addendum Alec</v>
      </c>
      <c r="D248" s="31" t="str">
        <f>IFERROR(__xludf.DUMMYFUNCTION("if(len(A248)&gt;0, REGEXEXTRACT(A248, ""\n[^\(]*""), """")"),"
Ragnite Container ")</f>
        <v>
Ragnite Container </v>
      </c>
      <c r="E248" s="17" t="str">
        <f>IFERROR(__xludf.DUMMYFUNCTION("if(len(A248)&gt;0, REGEXEXTRACT(A248, ""\n([^\n]*)$""), """")"),"Item")</f>
        <v>Item</v>
      </c>
      <c r="F248" s="17" t="str">
        <f>IFERROR(__xludf.DUMMYFUNCTION("if(len(A248)&gt;0, REGEXEXTRACT(A248, ""\(([^\)]*)\)""), """")"),"Valkyria Chronicles")</f>
        <v>Valkyria Chronicles</v>
      </c>
      <c r="G248" s="17" t="str">
        <f>IFERROR(__xludf.DUMMYFUNCTION("if(len(A248)&gt;0, REGEXEXTRACT(A248, ""\)([^:]*):""), """")")," Free")</f>
        <v> Free</v>
      </c>
      <c r="H248" s="31" t="str">
        <f>IFERROR(__xludf.DUMMYFUNCTION("if(len(A248) &gt; 0, JOIN(char(10), FILTER(SPLIT(A248, char(10)), split(""false false "" &amp; rept(""true "", columns(SPLIT(A248, char(10)))-3) &amp; ""false"", "" ""))), """")"),"Ragnite is a valuable resource in Europa, and it is unlikely to appear in any other worlds. You receive a container that replenishes once per day. The free level gets you a box the size of a human head.")</f>
        <v>Ragnite is a valuable resource in Europa, and it is unlikely to appear in any other worlds. You receive a container that replenishes once per day. The free level gets you a box the size of a human head.</v>
      </c>
      <c r="L248" s="31"/>
    </row>
    <row r="249">
      <c r="A249" s="31" t="str">
        <f>IFERROR(__xludf.DUMMYFUNCTION("""COMPUTED_VALUE"""),"Chapter 30: 24 Tech Work - Addendum Alec
The Vehicle (Fast and Furious) Free:
This object barely deserves the title of car, at least in your opinion. A Volkswagen Beetle, a Pinto, or a Yugo, this car technically meets all the criteria and is very cheap, b"&amp;"ut it would take a master mechanic and a driving god to let it rival even the worst other racers can bring to the table.
Vehicle")</f>
        <v>Chapter 30: 24 Tech Work - Addendum Alec
The Vehicle (Fast and Furious) Free:
This object barely deserves the title of car, at least in your opinion. A Volkswagen Beetle, a Pinto, or a Yugo, this car technically meets all the criteria and is very cheap, but it would take a master mechanic and a driving god to let it rival even the worst other racers can bring to the table.
Vehicle</v>
      </c>
      <c r="B249" s="17">
        <f>IFERROR(__xludf.DUMMYFUNCTION("if(len(A249)&gt;0, value(REGEXEXTRACT(A249, ""Chapter ([0-9]*):"")), """")"),30.0)</f>
        <v>30</v>
      </c>
      <c r="C249" s="31" t="str">
        <f>IFERROR(__xludf.DUMMYFUNCTION("if(len(A249) &gt;0, REGEXEXTRACT(A249, ""Chapter [0-9]*: (.*)""), """")"),"24 Tech Work - Addendum Alec")</f>
        <v>24 Tech Work - Addendum Alec</v>
      </c>
      <c r="D249" s="31" t="str">
        <f>IFERROR(__xludf.DUMMYFUNCTION("if(len(A249)&gt;0, REGEXEXTRACT(A249, ""\n[^\(]*""), """")"),"
The Vehicle ")</f>
        <v>
The Vehicle </v>
      </c>
      <c r="E249" s="17" t="str">
        <f>IFERROR(__xludf.DUMMYFUNCTION("if(len(A249)&gt;0, REGEXEXTRACT(A249, ""\n([^\n]*)$""), """")"),"Vehicle")</f>
        <v>Vehicle</v>
      </c>
      <c r="F249" s="17" t="str">
        <f>IFERROR(__xludf.DUMMYFUNCTION("if(len(A249)&gt;0, REGEXEXTRACT(A249, ""\(([^\)]*)\)""), """")"),"Fast and Furious")</f>
        <v>Fast and Furious</v>
      </c>
      <c r="G249" s="17" t="str">
        <f>IFERROR(__xludf.DUMMYFUNCTION("if(len(A249)&gt;0, REGEXEXTRACT(A249, ""\)([^:]*):""), """")")," Free")</f>
        <v> Free</v>
      </c>
      <c r="H249" s="31" t="str">
        <f>IFERROR(__xludf.DUMMYFUNCTION("if(len(A249) &gt; 0, JOIN(char(10), FILTER(SPLIT(A249, char(10)), split(""false false "" &amp; rept(""true "", columns(SPLIT(A249, char(10)))-3) &amp; ""false"", "" ""))), """")"),"This object barely deserves the title of car, at least in your opinion. A Volkswagen Beetle, a Pinto, or a Yugo, this car technically meets all the criteria and is very cheap, but it would take a master mechanic and a driving god to let it rival even the "&amp;"worst other racers can bring to the table.")</f>
        <v>This object barely deserves the title of car, at least in your opinion. A Volkswagen Beetle, a Pinto, or a Yugo, this car technically meets all the criteria and is very cheap, but it would take a master mechanic and a driving god to let it rival even the worst other racers can bring to the table.</v>
      </c>
      <c r="L249" s="31"/>
    </row>
    <row r="250">
      <c r="A250" s="31" t="str">
        <f>IFERROR(__xludf.DUMMYFUNCTION("""COMPUTED_VALUE"""),"Chapter 31: 25 Search and Rescue - Addendum PHO
Savvy Sultan (Macross) 400:
When people think of building things, they think of you. Provided you had the resources and the understanding of the technology, you could construct all manners of machines in a f"&amp;"ourth of the time it would normally take. By yourself. You're no slouch with any of your tools either, wielding them with the precision of a machine with no loss of speed. Quality and a deadline? No problem.
Fiat")</f>
        <v>Chapter 31: 25 Search and Rescue - Addendum PHO
Savvy Sultan (Macross) 400:
When people think of building things, they think of you. Provided you had the resources and the understanding of the technology, you could construct all manners of machines in a fourth of the time it would normally take. By yourself. You're no slouch with any of your tools either, wielding them with the precision of a machine with no loss of speed. Quality and a deadline? No problem.
Fiat</v>
      </c>
      <c r="B250" s="17">
        <f>IFERROR(__xludf.DUMMYFUNCTION("if(len(A250)&gt;0, value(REGEXEXTRACT(A250, ""Chapter ([0-9]*):"")), """")"),31.0)</f>
        <v>31</v>
      </c>
      <c r="C250" s="31" t="str">
        <f>IFERROR(__xludf.DUMMYFUNCTION("if(len(A250) &gt;0, REGEXEXTRACT(A250, ""Chapter [0-9]*: (.*)""), """")"),"25 Search and Rescue - Addendum PHO")</f>
        <v>25 Search and Rescue - Addendum PHO</v>
      </c>
      <c r="D250" s="31" t="str">
        <f>IFERROR(__xludf.DUMMYFUNCTION("if(len(A250)&gt;0, REGEXEXTRACT(A250, ""\n[^\(]*""), """")"),"
Savvy Sultan ")</f>
        <v>
Savvy Sultan </v>
      </c>
      <c r="E250" s="17" t="str">
        <f>IFERROR(__xludf.DUMMYFUNCTION("if(len(A250)&gt;0, REGEXEXTRACT(A250, ""\n([^\n]*)$""), """")"),"Fiat")</f>
        <v>Fiat</v>
      </c>
      <c r="F250" s="17" t="str">
        <f>IFERROR(__xludf.DUMMYFUNCTION("if(len(A250)&gt;0, REGEXEXTRACT(A250, ""\(([^\)]*)\)""), """")"),"Macross")</f>
        <v>Macross</v>
      </c>
      <c r="G250" s="17" t="str">
        <f>IFERROR(__xludf.DUMMYFUNCTION("if(len(A250)&gt;0, REGEXEXTRACT(A250, ""\)([^:]*):""), """")")," 400")</f>
        <v> 400</v>
      </c>
      <c r="H250" s="31" t="str">
        <f>IFERROR(__xludf.DUMMYFUNCTION("if(len(A250) &gt; 0, JOIN(char(10), FILTER(SPLIT(A250, char(10)), split(""false false "" &amp; rept(""true "", columns(SPLIT(A250, char(10)))-3) &amp; ""false"", "" ""))), """")"),"When people think of building things, they think of you. Provided you had the resources and the understanding of the technology, you could construct all manners of machines in a fourth of the time it would normally take. By yourself. You're no slouch with"&amp;" any of your tools either, wielding them with the precision of a machine with no loss of speed. Quality and a deadline? No problem.")</f>
        <v>When people think of building things, they think of you. Provided you had the resources and the understanding of the technology, you could construct all manners of machines in a fourth of the time it would normally take. By yourself. You're no slouch with any of your tools either, wielding them with the precision of a machine with no loss of speed. Quality and a deadline? No problem.</v>
      </c>
    </row>
    <row r="251">
      <c r="A251" s="31" t="str">
        <f>IFERROR(__xludf.DUMMYFUNCTION("""COMPUTED_VALUE"""),"Chapter 31: 25 Search and Rescue - Addendum PHO
Scroll (RWBY) Free:
Think a smartphone, with terrible wilderness reception, video camera, messaging and more! Practically a passport for civilized society.
Item")</f>
        <v>Chapter 31: 25 Search and Rescue - Addendum PHO
Scroll (RWBY) Free:
Think a smartphone, with terrible wilderness reception, video camera, messaging and more! Practically a passport for civilized society.
Item</v>
      </c>
      <c r="B251" s="17">
        <f>IFERROR(__xludf.DUMMYFUNCTION("if(len(A251)&gt;0, value(REGEXEXTRACT(A251, ""Chapter ([0-9]*):"")), """")"),31.0)</f>
        <v>31</v>
      </c>
      <c r="C251" s="31" t="str">
        <f>IFERROR(__xludf.DUMMYFUNCTION("if(len(A251) &gt;0, REGEXEXTRACT(A251, ""Chapter [0-9]*: (.*)""), """")"),"25 Search and Rescue - Addendum PHO")</f>
        <v>25 Search and Rescue - Addendum PHO</v>
      </c>
      <c r="D251" s="31" t="str">
        <f>IFERROR(__xludf.DUMMYFUNCTION("if(len(A251)&gt;0, REGEXEXTRACT(A251, ""\n[^\(]*""), """")"),"
Scroll ")</f>
        <v>
Scroll </v>
      </c>
      <c r="E251" s="17" t="str">
        <f>IFERROR(__xludf.DUMMYFUNCTION("if(len(A251)&gt;0, REGEXEXTRACT(A251, ""\n([^\n]*)$""), """")"),"Item")</f>
        <v>Item</v>
      </c>
      <c r="F251" s="17" t="str">
        <f>IFERROR(__xludf.DUMMYFUNCTION("if(len(A251)&gt;0, REGEXEXTRACT(A251, ""\(([^\)]*)\)""), """")"),"RWBY")</f>
        <v>RWBY</v>
      </c>
      <c r="G251" s="17" t="str">
        <f>IFERROR(__xludf.DUMMYFUNCTION("if(len(A251)&gt;0, REGEXEXTRACT(A251, ""\)([^:]*):""), """")")," Free")</f>
        <v> Free</v>
      </c>
      <c r="H251" s="31" t="str">
        <f>IFERROR(__xludf.DUMMYFUNCTION("if(len(A251) &gt; 0, JOIN(char(10), FILTER(SPLIT(A251, char(10)), split(""false false "" &amp; rept(""true "", columns(SPLIT(A251, char(10)))-3) &amp; ""false"", "" ""))), """")"),"Think a smartphone, with terrible wilderness reception, video camera, messaging and more! Practically a passport for civilized society.")</f>
        <v>Think a smartphone, with terrible wilderness reception, video camera, messaging and more! Practically a passport for civilized society.</v>
      </c>
    </row>
    <row r="252">
      <c r="A252" s="31" t="str">
        <f>IFERROR(__xludf.DUMMYFUNCTION("""COMPUTED_VALUE"""),"Chapter 31: 25 Search and Rescue - Addendum PHO
Aura (RWBY) Free:
You start off with an unlocked aura.
Personal")</f>
        <v>Chapter 31: 25 Search and Rescue - Addendum PHO
Aura (RWBY) Free:
You start off with an unlocked aura.
Personal</v>
      </c>
      <c r="B252" s="17">
        <f>IFERROR(__xludf.DUMMYFUNCTION("if(len(A252)&gt;0, value(REGEXEXTRACT(A252, ""Chapter ([0-9]*):"")), """")"),31.0)</f>
        <v>31</v>
      </c>
      <c r="C252" s="31" t="str">
        <f>IFERROR(__xludf.DUMMYFUNCTION("if(len(A252) &gt;0, REGEXEXTRACT(A252, ""Chapter [0-9]*: (.*)""), """")"),"25 Search and Rescue - Addendum PHO
")</f>
        <v>25 Search and Rescue - Addendum PHO
</v>
      </c>
      <c r="D252" s="31" t="str">
        <f>IFERROR(__xludf.DUMMYFUNCTION("if(len(A252)&gt;0, REGEXEXTRACT(A252, ""\n[^\(]*""), """")"),"
Aura ")</f>
        <v>
Aura </v>
      </c>
      <c r="E252" s="17" t="str">
        <f>IFERROR(__xludf.DUMMYFUNCTION("if(len(A252)&gt;0, REGEXEXTRACT(A252, ""\n([^\n]*)$""), """")"),"Personal")</f>
        <v>Personal</v>
      </c>
      <c r="F252" s="17" t="str">
        <f>IFERROR(__xludf.DUMMYFUNCTION("if(len(A252)&gt;0, REGEXEXTRACT(A252, ""\(([^\)]*)\)""), """")"),"RWBY")</f>
        <v>RWBY</v>
      </c>
      <c r="G252" s="17" t="str">
        <f>IFERROR(__xludf.DUMMYFUNCTION("if(len(A252)&gt;0, REGEXEXTRACT(A252, ""\)([^:]*):""), """")")," Free")</f>
        <v> Free</v>
      </c>
      <c r="H252" s="31" t="str">
        <f>IFERROR(__xludf.DUMMYFUNCTION("if(len(A252) &gt; 0, JOIN(char(10), FILTER(SPLIT(A252, char(10)), split(""false false "" &amp; rept(""true "", columns(SPLIT(A252, char(10)))-3) &amp; ""false"", "" ""))), """")"),"You start off with an unlocked aura.")</f>
        <v>You start off with an unlocked aura.</v>
      </c>
    </row>
    <row r="253">
      <c r="A253" s="31" t="str">
        <f>IFERROR(__xludf.DUMMYFUNCTION("""COMPUTED_VALUE"""),"Chapter 31: 25 Search and Rescue - Addendum PHO
Dust (RWBY) Free:
Dust comes in four basic types: red fire, blue ice, green wind and yellow energy. They can be combined to make new variations.
After this jump, small amounts of Dust will appear in the War"&amp;"ehouse weekly. Enough for a firefight or two at once. Dust augmentation is found to increase the effectiveness of weaponry and ammunition.
Facility")</f>
        <v>Chapter 31: 25 Search and Rescue - Addendum PHO
Dust (RWBY) Free:
Dust comes in four basic types: red fire, blue ice, green wind and yellow energy. They can be combined to make new variations.
After this jump, small amounts of Dust will appear in the Warehouse weekly. Enough for a firefight or two at once. Dust augmentation is found to increase the effectiveness of weaponry and ammunition.
Facility</v>
      </c>
      <c r="B253" s="17">
        <f>IFERROR(__xludf.DUMMYFUNCTION("if(len(A253)&gt;0, value(REGEXEXTRACT(A253, ""Chapter ([0-9]*):"")), """")"),31.0)</f>
        <v>31</v>
      </c>
      <c r="C253" s="31" t="str">
        <f>IFERROR(__xludf.DUMMYFUNCTION("if(len(A253) &gt;0, REGEXEXTRACT(A253, ""Chapter [0-9]*: (.*)""), """")"),"25 Search and Rescue - Addendum PHO
")</f>
        <v>25 Search and Rescue - Addendum PHO
</v>
      </c>
      <c r="D253" s="31" t="str">
        <f>IFERROR(__xludf.DUMMYFUNCTION("if(len(A253)&gt;0, REGEXEXTRACT(A253, ""\n[^\(]*""), """")"),"
Dust ")</f>
        <v>
Dust </v>
      </c>
      <c r="E253" s="17" t="str">
        <f>IFERROR(__xludf.DUMMYFUNCTION("if(len(A253)&gt;0, REGEXEXTRACT(A253, ""\n([^\n]*)$""), """")"),"Facility")</f>
        <v>Facility</v>
      </c>
      <c r="F253" s="17" t="str">
        <f>IFERROR(__xludf.DUMMYFUNCTION("if(len(A253)&gt;0, REGEXEXTRACT(A253, ""\(([^\)]*)\)""), """")"),"RWBY")</f>
        <v>RWBY</v>
      </c>
      <c r="G253" s="17" t="str">
        <f>IFERROR(__xludf.DUMMYFUNCTION("if(len(A253)&gt;0, REGEXEXTRACT(A253, ""\)([^:]*):""), """")")," Free")</f>
        <v> Free</v>
      </c>
      <c r="H253" s="31" t="str">
        <f>IFERROR(__xludf.DUMMYFUNCTION("if(len(A253) &gt; 0, JOIN(char(10), FILTER(SPLIT(A253, char(10)), split(""false false "" &amp; rept(""true "", columns(SPLIT(A253, char(10)))-3) &amp; ""false"", "" ""))), """")"),"Dust comes in four basic types: red fire, blue ice, green wind and yellow energy. They can be combined to make new variations.
After this jump, small amounts of Dust will appear in the Warehouse weekly. Enough for a firefight or two at once. Dust augmenta"&amp;"tion is found to increase the effectiveness of weaponry and ammunition.")</f>
        <v>Dust comes in four basic types: red fire, blue ice, green wind and yellow energy. They can be combined to make new variations.
After this jump, small amounts of Dust will appear in the Warehouse weekly. Enough for a firefight or two at once. Dust augmentation is found to increase the effectiveness of weaponry and ammunition.</v>
      </c>
    </row>
    <row r="254">
      <c r="A254" s="31" t="str">
        <f>IFERROR(__xludf.DUMMYFUNCTION("""COMPUTED_VALUE"""),"Chapter 31: 25 Search and Rescue - Addendum PHO
Tinkerer (RWBY) 300:
You're a whiz at maintaining, modifying and making things. Everything from Sniper Scyfles to Toaster Ovens, as long as you made it yourself or had the blueprints on hand. Unlock the sec"&amp;"ret of Variable Weapon Crafting.
System")</f>
        <v>Chapter 31: 25 Search and Rescue - Addendum PHO
Tinkerer (RWBY) 300:
You're a whiz at maintaining, modifying and making things. Everything from Sniper Scyfles to Toaster Ovens, as long as you made it yourself or had the blueprints on hand. Unlock the secret of Variable Weapon Crafting.
System</v>
      </c>
      <c r="B254" s="17">
        <f>IFERROR(__xludf.DUMMYFUNCTION("if(len(A254)&gt;0, value(REGEXEXTRACT(A254, ""Chapter ([0-9]*):"")), """")"),31.0)</f>
        <v>31</v>
      </c>
      <c r="C254" s="31" t="str">
        <f>IFERROR(__xludf.DUMMYFUNCTION("if(len(A254) &gt;0, REGEXEXTRACT(A254, ""Chapter [0-9]*: (.*)""), """")"),"25 Search and Rescue - Addendum PHO
")</f>
        <v>25 Search and Rescue - Addendum PHO
</v>
      </c>
      <c r="D254" s="31" t="str">
        <f>IFERROR(__xludf.DUMMYFUNCTION("if(len(A254)&gt;0, REGEXEXTRACT(A254, ""\n[^\(]*""), """")"),"
Tinkerer ")</f>
        <v>
Tinkerer </v>
      </c>
      <c r="E254" s="17" t="str">
        <f>IFERROR(__xludf.DUMMYFUNCTION("if(len(A254)&gt;0, REGEXEXTRACT(A254, ""\n([^\n]*)$""), """")"),"System")</f>
        <v>System</v>
      </c>
      <c r="F254" s="17" t="str">
        <f>IFERROR(__xludf.DUMMYFUNCTION("if(len(A254)&gt;0, REGEXEXTRACT(A254, ""\(([^\)]*)\)""), """")"),"RWBY")</f>
        <v>RWBY</v>
      </c>
      <c r="G254" s="17" t="str">
        <f>IFERROR(__xludf.DUMMYFUNCTION("if(len(A254)&gt;0, REGEXEXTRACT(A254, ""\)([^:]*):""), """")")," 300")</f>
        <v> 300</v>
      </c>
      <c r="H254" s="31" t="str">
        <f>IFERROR(__xludf.DUMMYFUNCTION("if(len(A254) &gt; 0, JOIN(char(10), FILTER(SPLIT(A254, char(10)), split(""false false "" &amp; rept(""true "", columns(SPLIT(A254, char(10)))-3) &amp; ""false"", "" ""))), """")"),"You're a whiz at maintaining, modifying and making things. Everything from Sniper Scyfles to Toaster Ovens, as long as you made it yourself or had the blueprints on hand. Unlock the secret of Variable Weapon Crafting.")</f>
        <v>You're a whiz at maintaining, modifying and making things. Everything from Sniper Scyfles to Toaster Ovens, as long as you made it yourself or had the blueprints on hand. Unlock the secret of Variable Weapon Crafting.</v>
      </c>
    </row>
    <row r="255">
      <c r="A255" s="31" t="str">
        <f>IFERROR(__xludf.DUMMYFUNCTION("""COMPUTED_VALUE"""),"Chapter 31: 25 Search and Rescue - Addendum PHO
Variable Weapon (RWBY) Free:
It's a thing that turns into another thing! One gun and one melee weapon, together at last.
Item")</f>
        <v>Chapter 31: 25 Search and Rescue - Addendum PHO
Variable Weapon (RWBY) Free:
It's a thing that turns into another thing! One gun and one melee weapon, together at last.
Item</v>
      </c>
      <c r="B255" s="17">
        <f>IFERROR(__xludf.DUMMYFUNCTION("if(len(A255)&gt;0, value(REGEXEXTRACT(A255, ""Chapter ([0-9]*):"")), """")"),31.0)</f>
        <v>31</v>
      </c>
      <c r="C255" s="31" t="str">
        <f>IFERROR(__xludf.DUMMYFUNCTION("if(len(A255) &gt;0, REGEXEXTRACT(A255, ""Chapter [0-9]*: (.*)""), """")"),"25 Search and Rescue - Addendum PHO
")</f>
        <v>25 Search and Rescue - Addendum PHO
</v>
      </c>
      <c r="D255" s="31" t="str">
        <f>IFERROR(__xludf.DUMMYFUNCTION("if(len(A255)&gt;0, REGEXEXTRACT(A255, ""\n[^\(]*""), """")"),"
Variable Weapon ")</f>
        <v>
Variable Weapon </v>
      </c>
      <c r="E255" s="17" t="str">
        <f>IFERROR(__xludf.DUMMYFUNCTION("if(len(A255)&gt;0, REGEXEXTRACT(A255, ""\n([^\n]*)$""), """")"),"Item")</f>
        <v>Item</v>
      </c>
      <c r="F255" s="17" t="str">
        <f>IFERROR(__xludf.DUMMYFUNCTION("if(len(A255)&gt;0, REGEXEXTRACT(A255, ""\(([^\)]*)\)""), """")"),"RWBY")</f>
        <v>RWBY</v>
      </c>
      <c r="G255" s="17" t="str">
        <f>IFERROR(__xludf.DUMMYFUNCTION("if(len(A255)&gt;0, REGEXEXTRACT(A255, ""\)([^:]*):""), """")")," Free")</f>
        <v> Free</v>
      </c>
      <c r="H255" s="31" t="str">
        <f>IFERROR(__xludf.DUMMYFUNCTION("if(len(A255) &gt; 0, JOIN(char(10), FILTER(SPLIT(A255, char(10)), split(""false false "" &amp; rept(""true "", columns(SPLIT(A255, char(10)))-3) &amp; ""false"", "" ""))), """")"),"It's a thing that turns into another thing! One gun and one melee weapon, together at last.")</f>
        <v>It's a thing that turns into another thing! One gun and one melee weapon, together at last.</v>
      </c>
    </row>
    <row r="256">
      <c r="A256" s="31" t="str">
        <f>IFERROR(__xludf.DUMMYFUNCTION("""COMPUTED_VALUE"""),"Chapter 32: 26 Correspondence - Addendum Rory
Do One Thing At A Time (Dinotopia) 300:
When you focus yourself on doing a single task, your skill and efficiency doubles. Material requirements are unaffected, but time taken is halved and quality is doubled."&amp;"
Fiat")</f>
        <v>Chapter 32: 26 Correspondence - Addendum Rory
Do One Thing At A Time (Dinotopia) 300:
When you focus yourself on doing a single task, your skill and efficiency doubles. Material requirements are unaffected, but time taken is halved and quality is doubled.
Fiat</v>
      </c>
      <c r="B256" s="17">
        <f>IFERROR(__xludf.DUMMYFUNCTION("if(len(A256)&gt;0, value(REGEXEXTRACT(A256, ""Chapter ([0-9]*):"")), """")"),32.0)</f>
        <v>32</v>
      </c>
      <c r="C256" s="31" t="str">
        <f>IFERROR(__xludf.DUMMYFUNCTION("if(len(A256) &gt;0, REGEXEXTRACT(A256, ""Chapter [0-9]*: (.*)""), """")"),"26 Correspondence - Addendum Rory")</f>
        <v>26 Correspondence - Addendum Rory</v>
      </c>
      <c r="D256" s="31" t="str">
        <f>IFERROR(__xludf.DUMMYFUNCTION("if(len(A256)&gt;0, REGEXEXTRACT(A256, ""\n[^\(]*""), """")"),"
Do One Thing At A Time ")</f>
        <v>
Do One Thing At A Time </v>
      </c>
      <c r="E256" s="17" t="str">
        <f>IFERROR(__xludf.DUMMYFUNCTION("if(len(A256)&gt;0, REGEXEXTRACT(A256, ""\n([^\n]*)$""), """")"),"Fiat")</f>
        <v>Fiat</v>
      </c>
      <c r="F256" s="17" t="str">
        <f>IFERROR(__xludf.DUMMYFUNCTION("if(len(A256)&gt;0, REGEXEXTRACT(A256, ""\(([^\)]*)\)""), """")"),"Dinotopia")</f>
        <v>Dinotopia</v>
      </c>
      <c r="G256" s="17" t="str">
        <f>IFERROR(__xludf.DUMMYFUNCTION("if(len(A256)&gt;0, REGEXEXTRACT(A256, ""\)([^:]*):""), """")")," 300")</f>
        <v> 300</v>
      </c>
      <c r="H256" s="31" t="str">
        <f>IFERROR(__xludf.DUMMYFUNCTION("if(len(A256) &gt; 0, JOIN(char(10), FILTER(SPLIT(A256, char(10)), split(""false false "" &amp; rept(""true "", columns(SPLIT(A256, char(10)))-3) &amp; ""false"", "" ""))), """")"),"When you focus yourself on doing a single task, your skill and efficiency doubles. Material requirements are unaffected, but time taken is halved and quality is doubled.")</f>
        <v>When you focus yourself on doing a single task, your skill and efficiency doubles. Material requirements are unaffected, but time taken is halved and quality is doubled.</v>
      </c>
    </row>
    <row r="257">
      <c r="A257" s="31" t="str">
        <f>IFERROR(__xludf.DUMMYFUNCTION("""COMPUTED_VALUE"""),"Chapter 32: 26 Correspondence - Addendum Rory
Valuable Memories:the construction of Megadei (Big O) 300:
You have knowledge related to any particular concept-the construction of Megadei, the nature of memories, Bigs, or the creation of chimeras. Paradigm "&amp;"will have a vested interest in you, and will protect you and provide you with funds if you work for them.
System")</f>
        <v>Chapter 32: 26 Correspondence - Addendum Rory
Valuable Memories:the construction of Megadei (Big O) 300:
You have knowledge related to any particular concept-the construction of Megadei, the nature of memories, Bigs, or the creation of chimeras. Paradigm will have a vested interest in you, and will protect you and provide you with funds if you work for them.
System</v>
      </c>
      <c r="B257" s="17">
        <f>IFERROR(__xludf.DUMMYFUNCTION("if(len(A257)&gt;0, value(REGEXEXTRACT(A257, ""Chapter ([0-9]*):"")), """")"),32.0)</f>
        <v>32</v>
      </c>
      <c r="C257" s="31" t="str">
        <f>IFERROR(__xludf.DUMMYFUNCTION("if(len(A257) &gt;0, REGEXEXTRACT(A257, ""Chapter [0-9]*: (.*)""), """")"),"26 Correspondence - Addendum Rory")</f>
        <v>26 Correspondence - Addendum Rory</v>
      </c>
      <c r="D257" s="31" t="str">
        <f>IFERROR(__xludf.DUMMYFUNCTION("if(len(A257)&gt;0, REGEXEXTRACT(A257, ""\n[^\(]*""), """")"),"
Valuable Memories:the construction of Megadei ")</f>
        <v>
Valuable Memories:the construction of Megadei </v>
      </c>
      <c r="E257" s="17" t="str">
        <f>IFERROR(__xludf.DUMMYFUNCTION("if(len(A257)&gt;0, REGEXEXTRACT(A257, ""\n([^\n]*)$""), """")"),"System")</f>
        <v>System</v>
      </c>
      <c r="F257" s="17" t="str">
        <f>IFERROR(__xludf.DUMMYFUNCTION("if(len(A257)&gt;0, REGEXEXTRACT(A257, ""\(([^\)]*)\)""), """")"),"Big O")</f>
        <v>Big O</v>
      </c>
      <c r="G257" s="17" t="str">
        <f>IFERROR(__xludf.DUMMYFUNCTION("if(len(A257)&gt;0, REGEXEXTRACT(A257, ""\)([^:]*):""), """")")," 300")</f>
        <v> 300</v>
      </c>
      <c r="H257" s="31" t="str">
        <f>IFERROR(__xludf.DUMMYFUNCTION("if(len(A257) &gt; 0, JOIN(char(10), FILTER(SPLIT(A257, char(10)), split(""false false "" &amp; rept(""true "", columns(SPLIT(A257, char(10)))-3) &amp; ""false"", "" ""))), """")"),"You have knowledge related to any particular concept-the construction of Megadei, the nature of memories, Bigs, or the creation of chimeras. Paradigm will have a vested interest in you, and will protect you and provide you with funds if you work for them.")</f>
        <v>You have knowledge related to any particular concept-the construction of Megadei, the nature of memories, Bigs, or the creation of chimeras. Paradigm will have a vested interest in you, and will protect you and provide you with funds if you work for them.</v>
      </c>
    </row>
    <row r="258">
      <c r="A258" s="31" t="str">
        <f>IFERROR(__xludf.DUMMYFUNCTION("""COMPUTED_VALUE"""),"Chapter 32: 26 Correspondence - Addendum Rory
Simple Scientific Solution (Tenchi Muyo) 100:
Science solves everything, even the little household problems. You can create supertech improvements to common tools and appliances, up to and including automobil"&amp;"es or similar works of engineering.
Create dishwashers that can clean dishes in an instant, self heating plumbing or forcefield windowpanes that act as air conditioners.
Well established methodologies and an instinctive grasp of same allow you to draw con"&amp;"clusions or produce results incredibly fast. You halve the time it takes to gather data, compose research on some subject, or devise a test to prove/disprove something handy for when you have to figure out an enemy fortresses’s one weakness.
System")</f>
        <v>Chapter 32: 26 Correspondence - Addendum Rory
Simple Scientific Solution (Tenchi Muyo) 100:
Science solves everything, even the little household problems. You can create supertech improvements to common tools and appliances, up to and including automobiles or similar works of engineering.
Create dishwashers that can clean dishes in an instant, self heating plumbing or forcefield windowpanes that act as air conditioners.
Well established methodologies and an instinctive grasp of same allow you to draw conclusions or produce results incredibly fast. You halve the time it takes to gather data, compose research on some subject, or devise a test to prove/disprove something handy for when you have to figure out an enemy fortresses’s one weakness.
System</v>
      </c>
      <c r="B258" s="17">
        <f>IFERROR(__xludf.DUMMYFUNCTION("if(len(A258)&gt;0, value(REGEXEXTRACT(A258, ""Chapter ([0-9]*):"")), """")"),32.0)</f>
        <v>32</v>
      </c>
      <c r="C258" s="31" t="str">
        <f>IFERROR(__xludf.DUMMYFUNCTION("if(len(A258) &gt;0, REGEXEXTRACT(A258, ""Chapter [0-9]*: (.*)""), """")"),"26 Correspondence - Addendum Rory
")</f>
        <v>26 Correspondence - Addendum Rory
</v>
      </c>
      <c r="D258" s="31" t="str">
        <f>IFERROR(__xludf.DUMMYFUNCTION("if(len(A258)&gt;0, REGEXEXTRACT(A258, ""\n[^\(]*""), """")"),"
Simple Scientific Solution ")</f>
        <v>
Simple Scientific Solution </v>
      </c>
      <c r="E258" s="17" t="str">
        <f>IFERROR(__xludf.DUMMYFUNCTION("if(len(A258)&gt;0, REGEXEXTRACT(A258, ""\n([^\n]*)$""), """")"),"System")</f>
        <v>System</v>
      </c>
      <c r="F258" s="17" t="str">
        <f>IFERROR(__xludf.DUMMYFUNCTION("if(len(A258)&gt;0, REGEXEXTRACT(A258, ""\(([^\)]*)\)""), """")"),"Tenchi Muyo")</f>
        <v>Tenchi Muyo</v>
      </c>
      <c r="G258" s="17" t="str">
        <f>IFERROR(__xludf.DUMMYFUNCTION("if(len(A258)&gt;0, REGEXEXTRACT(A258, ""\)([^:]*):""), """")")," 100")</f>
        <v> 100</v>
      </c>
      <c r="H258" s="31" t="str">
        <f>IFERROR(__xludf.DUMMYFUNCTION("if(len(A258) &gt; 0, JOIN(char(10), FILTER(SPLIT(A258, char(10)), split(""false false "" &amp; rept(""true "", columns(SPLIT(A258, char(10)))-3) &amp; ""false"", "" ""))), """")"),"Science solves everything, even the little household problems. You can create supertech improvements to common tools and appliances, up to and including automobiles or similar works of engineering.
Create dishwashers that can clean dishes in an instant, s"&amp;"elf heating plumbing or forcefield windowpanes that act as air conditioners.
Well established methodologies and an instinctive grasp of same allow you to draw conclusions or produce results incredibly fast. You halve the time it takes to gather data, comp"&amp;"ose research on some subject, or devise a test to prove/disprove something handy for when you have to figure out an enemy fortresses’s one weakness.")</f>
        <v>Science solves everything, even the little household problems. You can create supertech improvements to common tools and appliances, up to and including automobiles or similar works of engineering.
Create dishwashers that can clean dishes in an instant, self heating plumbing or forcefield windowpanes that act as air conditioners.
Well established methodologies and an instinctive grasp of same allow you to draw conclusions or produce results incredibly fast. You halve the time it takes to gather data, compose research on some subject, or devise a test to prove/disprove something handy for when you have to figure out an enemy fortresses’s one weakness.</v>
      </c>
    </row>
    <row r="259">
      <c r="A259" s="31" t="str">
        <f>IFERROR(__xludf.DUMMYFUNCTION("""COMPUTED_VALUE"""),"Chapter 33: 27 Intrusion - Addendum Hannah
COG Armor (Gears of War) Free:
Standard issue armor that's made of multiple metal plates. On the back of the suit is a magnetic 'holster', that resembles a general infantry backpack, allowing people to carry two "&amp;"weapons on their backs. The armor provides medium protection against damage (multiple assault rifle shots only bruise the wearer), but will not withstand concentrated or sustained gunfire. Helmet optional.
Item")</f>
        <v>Chapter 33: 27 Intrusion - Addendum Hannah
COG Armor (Gears of War) Free:
Standard issue armor that's made of multiple metal plates. On the back of the suit is a magnetic 'holster', that resembles a general infantry backpack, allowing people to carry two weapons on their backs. The armor provides medium protection against damage (multiple assault rifle shots only bruise the wearer), but will not withstand concentrated or sustained gunfire. Helmet optional.
Item</v>
      </c>
      <c r="B259" s="17">
        <f>IFERROR(__xludf.DUMMYFUNCTION("if(len(A259)&gt;0, value(REGEXEXTRACT(A259, ""Chapter ([0-9]*):"")), """")"),33.0)</f>
        <v>33</v>
      </c>
      <c r="C259" s="31" t="str">
        <f>IFERROR(__xludf.DUMMYFUNCTION("if(len(A259) &gt;0, REGEXEXTRACT(A259, ""Chapter [0-9]*: (.*)""), """")"),"27 Intrusion - Addendum Hannah")</f>
        <v>27 Intrusion - Addendum Hannah</v>
      </c>
      <c r="D259" s="31" t="str">
        <f>IFERROR(__xludf.DUMMYFUNCTION("if(len(A259)&gt;0, REGEXEXTRACT(A259, ""\n[^\(]*""), """")"),"
COG Armor ")</f>
        <v>
COG Armor </v>
      </c>
      <c r="E259" s="17" t="str">
        <f>IFERROR(__xludf.DUMMYFUNCTION("if(len(A259)&gt;0, REGEXEXTRACT(A259, ""\n([^\n]*)$""), """")"),"Item")</f>
        <v>Item</v>
      </c>
      <c r="F259" s="17" t="str">
        <f>IFERROR(__xludf.DUMMYFUNCTION("if(len(A259)&gt;0, REGEXEXTRACT(A259, ""\(([^\)]*)\)""), """")"),"Gears of War")</f>
        <v>Gears of War</v>
      </c>
      <c r="G259" s="17" t="str">
        <f>IFERROR(__xludf.DUMMYFUNCTION("if(len(A259)&gt;0, REGEXEXTRACT(A259, ""\)([^:]*):""), """")")," Free")</f>
        <v> Free</v>
      </c>
      <c r="H259" s="31" t="str">
        <f>IFERROR(__xludf.DUMMYFUNCTION("if(len(A259) &gt; 0, JOIN(char(10), FILTER(SPLIT(A259, char(10)), split(""false false "" &amp; rept(""true "", columns(SPLIT(A259, char(10)))-3) &amp; ""false"", "" ""))), """")"),"Standard issue armor that's made of multiple metal plates. On the back of the suit is a magnetic 'holster', that resembles a general infantry backpack, allowing people to carry two weapons on their backs. The armor provides medium protection against damag"&amp;"e (multiple assault rifle shots only bruise the wearer), but will not withstand concentrated or sustained gunfire. Helmet optional.")</f>
        <v>Standard issue armor that's made of multiple metal plates. On the back of the suit is a magnetic 'holster', that resembles a general infantry backpack, allowing people to carry two weapons on their backs. The armor provides medium protection against damage (multiple assault rifle shots only bruise the wearer), but will not withstand concentrated or sustained gunfire. Helmet optional.</v>
      </c>
    </row>
    <row r="260">
      <c r="A260" s="31" t="str">
        <f>IFERROR(__xludf.DUMMYFUNCTION("""COMPUTED_VALUE"""),"Chapter 33: 27 Intrusion - Addendum Hannah
COG Tags (Gears of War) Free:
A form of identification that takes the form of a necklace with small gear-shaped tags. They will have whatever identification you desire upon them.
Item")</f>
        <v>Chapter 33: 27 Intrusion - Addendum Hannah
COG Tags (Gears of War) Free:
A form of identification that takes the form of a necklace with small gear-shaped tags. They will have whatever identification you desire upon them.
Item</v>
      </c>
      <c r="B260" s="17">
        <f>IFERROR(__xludf.DUMMYFUNCTION("if(len(A260)&gt;0, value(REGEXEXTRACT(A260, ""Chapter ([0-9]*):"")), """")"),33.0)</f>
        <v>33</v>
      </c>
      <c r="C260" s="31" t="str">
        <f>IFERROR(__xludf.DUMMYFUNCTION("if(len(A260) &gt;0, REGEXEXTRACT(A260, ""Chapter [0-9]*: (.*)""), """")"),"27 Intrusion - Addendum Hannah")</f>
        <v>27 Intrusion - Addendum Hannah</v>
      </c>
      <c r="D260" s="31" t="str">
        <f>IFERROR(__xludf.DUMMYFUNCTION("if(len(A260)&gt;0, REGEXEXTRACT(A260, ""\n[^\(]*""), """")"),"
COG Tags ")</f>
        <v>
COG Tags </v>
      </c>
      <c r="E260" s="17" t="str">
        <f>IFERROR(__xludf.DUMMYFUNCTION("if(len(A260)&gt;0, REGEXEXTRACT(A260, ""\n([^\n]*)$""), """")"),"Item")</f>
        <v>Item</v>
      </c>
      <c r="F260" s="17" t="str">
        <f>IFERROR(__xludf.DUMMYFUNCTION("if(len(A260)&gt;0, REGEXEXTRACT(A260, ""\(([^\)]*)\)""), """")"),"Gears of War")</f>
        <v>Gears of War</v>
      </c>
      <c r="G260" s="17" t="str">
        <f>IFERROR(__xludf.DUMMYFUNCTION("if(len(A260)&gt;0, REGEXEXTRACT(A260, ""\)([^:]*):""), """")")," Free")</f>
        <v> Free</v>
      </c>
      <c r="H260" s="31" t="str">
        <f>IFERROR(__xludf.DUMMYFUNCTION("if(len(A260) &gt; 0, JOIN(char(10), FILTER(SPLIT(A260, char(10)), split(""false false "" &amp; rept(""true "", columns(SPLIT(A260, char(10)))-3) &amp; ""false"", "" ""))), """")"),"A form of identification that takes the form of a necklace with small gear-shaped tags. They will have whatever identification you desire upon them.")</f>
        <v>A form of identification that takes the form of a necklace with small gear-shaped tags. They will have whatever identification you desire upon them.</v>
      </c>
    </row>
    <row r="261">
      <c r="A261" s="31" t="str">
        <f>IFERROR(__xludf.DUMMYFUNCTION("""COMPUTED_VALUE"""),"Chapter 33: 27 Intrusion - Addendum Hannah
Combat Boots (Gears of War) Free:
They're thick, they're heavy, and they'll serve you well. Along with giving excellent comfort and protection from the myriad of terrains you'll find here, they're also very handy"&amp;" for stomping the heads of enemies like watermelons at a comedian show.
Item")</f>
        <v>Chapter 33: 27 Intrusion - Addendum Hannah
Combat Boots (Gears of War) Free:
They're thick, they're heavy, and they'll serve you well. Along with giving excellent comfort and protection from the myriad of terrains you'll find here, they're also very handy for stomping the heads of enemies like watermelons at a comedian show.
Item</v>
      </c>
      <c r="B261" s="17">
        <f>IFERROR(__xludf.DUMMYFUNCTION("if(len(A261)&gt;0, value(REGEXEXTRACT(A261, ""Chapter ([0-9]*):"")), """")"),33.0)</f>
        <v>33</v>
      </c>
      <c r="C261" s="31" t="str">
        <f>IFERROR(__xludf.DUMMYFUNCTION("if(len(A261) &gt;0, REGEXEXTRACT(A261, ""Chapter [0-9]*: (.*)""), """")"),"27 Intrusion - Addendum Hannah")</f>
        <v>27 Intrusion - Addendum Hannah</v>
      </c>
      <c r="D261" s="31" t="str">
        <f>IFERROR(__xludf.DUMMYFUNCTION("if(len(A261)&gt;0, REGEXEXTRACT(A261, ""\n[^\(]*""), """")"),"
Combat Boots ")</f>
        <v>
Combat Boots </v>
      </c>
      <c r="E261" s="17" t="str">
        <f>IFERROR(__xludf.DUMMYFUNCTION("if(len(A261)&gt;0, REGEXEXTRACT(A261, ""\n([^\n]*)$""), """")"),"Item")</f>
        <v>Item</v>
      </c>
      <c r="F261" s="17" t="str">
        <f>IFERROR(__xludf.DUMMYFUNCTION("if(len(A261)&gt;0, REGEXEXTRACT(A261, ""\(([^\)]*)\)""), """")"),"Gears of War")</f>
        <v>Gears of War</v>
      </c>
      <c r="G261" s="17" t="str">
        <f>IFERROR(__xludf.DUMMYFUNCTION("if(len(A261)&gt;0, REGEXEXTRACT(A261, ""\)([^:]*):""), """")")," Free")</f>
        <v> Free</v>
      </c>
      <c r="H261" s="31" t="str">
        <f>IFERROR(__xludf.DUMMYFUNCTION("if(len(A261) &gt; 0, JOIN(char(10), FILTER(SPLIT(A261, char(10)), split(""false false "" &amp; rept(""true "", columns(SPLIT(A261, char(10)))-3) &amp; ""false"", "" ""))), """")"),"They're thick, they're heavy, and they'll serve you well. Along with giving excellent comfort and protection from the myriad of terrains you'll find here, they're also very handy for stomping the heads of enemies like watermelons at a comedian show.")</f>
        <v>They're thick, they're heavy, and they'll serve you well. Along with giving excellent comfort and protection from the myriad of terrains you'll find here, they're also very handy for stomping the heads of enemies like watermelons at a comedian show.</v>
      </c>
    </row>
    <row r="262">
      <c r="A262" s="31" t="str">
        <f>IFERROR(__xludf.DUMMYFUNCTION("""COMPUTED_VALUE"""),"Chapter 33: 27 Intrusion - Addendum Hannah
Dwarven Craft (Lord of the Rings) 400:
You are a master smith, able to singlehandedly run even a large forge. You can make weapons and armor that stand up to hundreds of years of continuous use, and even know how"&amp;" to mine and forge mystical metals such as Mithril.
System, Speed")</f>
        <v>Chapter 33: 27 Intrusion - Addendum Hannah
Dwarven Craft (Lord of the Rings) 400:
You are a master smith, able to singlehandedly run even a large forge. You can make weapons and armor that stand up to hundreds of years of continuous use, and even know how to mine and forge mystical metals such as Mithril.
System, Speed</v>
      </c>
      <c r="B262" s="17">
        <f>IFERROR(__xludf.DUMMYFUNCTION("if(len(A262)&gt;0, value(REGEXEXTRACT(A262, ""Chapter ([0-9]*):"")), """")"),33.0)</f>
        <v>33</v>
      </c>
      <c r="C262" s="31" t="str">
        <f>IFERROR(__xludf.DUMMYFUNCTION("if(len(A262) &gt;0, REGEXEXTRACT(A262, ""Chapter [0-9]*: (.*)""), """")"),"27 Intrusion - Addendum Hannah")</f>
        <v>27 Intrusion - Addendum Hannah</v>
      </c>
      <c r="D262" s="31" t="str">
        <f>IFERROR(__xludf.DUMMYFUNCTION("if(len(A262)&gt;0, REGEXEXTRACT(A262, ""\n[^\(]*""), """")"),"
Dwarven Craft ")</f>
        <v>
Dwarven Craft </v>
      </c>
      <c r="E262" s="17" t="str">
        <f>IFERROR(__xludf.DUMMYFUNCTION("if(len(A262)&gt;0, REGEXEXTRACT(A262, ""\n([^\n]*)$""), """")"),"System, Speed")</f>
        <v>System, Speed</v>
      </c>
      <c r="F262" s="17" t="str">
        <f>IFERROR(__xludf.DUMMYFUNCTION("if(len(A262)&gt;0, REGEXEXTRACT(A262, ""\(([^\)]*)\)""), """")"),"Lord of the Rings")</f>
        <v>Lord of the Rings</v>
      </c>
      <c r="G262" s="17" t="str">
        <f>IFERROR(__xludf.DUMMYFUNCTION("if(len(A262)&gt;0, REGEXEXTRACT(A262, ""\)([^:]*):""), """")")," 400")</f>
        <v> 400</v>
      </c>
      <c r="H262" s="31" t="str">
        <f>IFERROR(__xludf.DUMMYFUNCTION("if(len(A262) &gt; 0, JOIN(char(10), FILTER(SPLIT(A262, char(10)), split(""false false "" &amp; rept(""true "", columns(SPLIT(A262, char(10)))-3) &amp; ""false"", "" ""))), """")"),"You are a master smith, able to singlehandedly run even a large forge. You can make weapons and armor that stand up to hundreds of years of continuous use, and even know how to mine and forge mystical metals such as Mithril.")</f>
        <v>You are a master smith, able to singlehandedly run even a large forge. You can make weapons and armor that stand up to hundreds of years of continuous use, and even know how to mine and forge mystical metals such as Mithril.</v>
      </c>
    </row>
    <row r="263">
      <c r="A263" s="31" t="str">
        <f>IFERROR(__xludf.DUMMYFUNCTION("""COMPUTED_VALUE"""),"Chapter 33: 27 Intrusion - Addendum Hannah
Gadget Master (James Bond: 007) 300:
You’ve been trained by Major Boothroyd at the skills of his job. You’re excellent at creating and maintaining gadgets of all types. You can miniaturize nearly anything, and hi"&amp;"de things in forms that... really shouldn’t work. You can even make lasers! You’re also good at coming up with ideas for unusual methods of assassination; beheading umbrellas, flamethrower bagpipes, and the like.
System")</f>
        <v>Chapter 33: 27 Intrusion - Addendum Hannah
Gadget Master (James Bond: 007) 300:
You’ve been trained by Major Boothroyd at the skills of his job. You’re excellent at creating and maintaining gadgets of all types. You can miniaturize nearly anything, and hide things in forms that... really shouldn’t work. You can even make lasers! You’re also good at coming up with ideas for unusual methods of assassination; beheading umbrellas, flamethrower bagpipes, and the like.
System</v>
      </c>
      <c r="B263" s="17">
        <f>IFERROR(__xludf.DUMMYFUNCTION("if(len(A263)&gt;0, value(REGEXEXTRACT(A263, ""Chapter ([0-9]*):"")), """")"),33.0)</f>
        <v>33</v>
      </c>
      <c r="C263" s="31" t="str">
        <f>IFERROR(__xludf.DUMMYFUNCTION("if(len(A263) &gt;0, REGEXEXTRACT(A263, ""Chapter [0-9]*: (.*)""), """")"),"27 Intrusion - Addendum Hannah")</f>
        <v>27 Intrusion - Addendum Hannah</v>
      </c>
      <c r="D263" s="31" t="str">
        <f>IFERROR(__xludf.DUMMYFUNCTION("if(len(A263)&gt;0, REGEXEXTRACT(A263, ""\n[^\(]*""), """")"),"
Gadget Master ")</f>
        <v>
Gadget Master </v>
      </c>
      <c r="E263" s="17" t="str">
        <f>IFERROR(__xludf.DUMMYFUNCTION("if(len(A263)&gt;0, REGEXEXTRACT(A263, ""\n([^\n]*)$""), """")"),"System")</f>
        <v>System</v>
      </c>
      <c r="F263" s="17" t="str">
        <f>IFERROR(__xludf.DUMMYFUNCTION("if(len(A263)&gt;0, REGEXEXTRACT(A263, ""\(([^\)]*)\)""), """")"),"James Bond: 007")</f>
        <v>James Bond: 007</v>
      </c>
      <c r="G263" s="17" t="str">
        <f>IFERROR(__xludf.DUMMYFUNCTION("if(len(A263)&gt;0, REGEXEXTRACT(A263, ""\)([^:]*):""), """")")," 300")</f>
        <v> 300</v>
      </c>
      <c r="H263" s="31" t="str">
        <f>IFERROR(__xludf.DUMMYFUNCTION("if(len(A263) &gt; 0, JOIN(char(10), FILTER(SPLIT(A263, char(10)), split(""false false "" &amp; rept(""true "", columns(SPLIT(A263, char(10)))-3) &amp; ""false"", "" ""))), """")"),"You’ve been trained by Major Boothroyd at the skills of his job. You’re excellent at creating and maintaining gadgets of all types. You can miniaturize nearly anything, and hide things in forms that... really shouldn’t work. You can even make lasers! You’"&amp;"re also good at coming up with ideas for unusual methods of assassination; beheading umbrellas, flamethrower bagpipes, and the like.")</f>
        <v>You’ve been trained by Major Boothroyd at the skills of his job. You’re excellent at creating and maintaining gadgets of all types. You can miniaturize nearly anything, and hide things in forms that... really shouldn’t work. You can even make lasers! You’re also good at coming up with ideas for unusual methods of assassination; beheading umbrellas, flamethrower bagpipes, and the like.</v>
      </c>
    </row>
    <row r="264">
      <c r="A264" s="31" t="str">
        <f>IFERROR(__xludf.DUMMYFUNCTION("""COMPUTED_VALUE"""),"Chapter 33: 27 Intrusion - Addendum Hannah
Imulsion (Gears of War) Free:
Upon completion of this jump, you gain a small pump in your Warehouse that can supply you with fifty gallons worth of Imulsion per month. Do be careful when handling this, especially"&amp;" around other biological organisms.
Facility")</f>
        <v>Chapter 33: 27 Intrusion - Addendum Hannah
Imulsion (Gears of War) Free:
Upon completion of this jump, you gain a small pump in your Warehouse that can supply you with fifty gallons worth of Imulsion per month. Do be careful when handling this, especially around other biological organisms.
Facility</v>
      </c>
      <c r="B264" s="17">
        <f>IFERROR(__xludf.DUMMYFUNCTION("if(len(A264)&gt;0, value(REGEXEXTRACT(A264, ""Chapter ([0-9]*):"")), """")"),33.0)</f>
        <v>33</v>
      </c>
      <c r="C264" s="31" t="str">
        <f>IFERROR(__xludf.DUMMYFUNCTION("if(len(A264) &gt;0, REGEXEXTRACT(A264, ""Chapter [0-9]*: (.*)""), """")"),"27 Intrusion - Addendum Hannah")</f>
        <v>27 Intrusion - Addendum Hannah</v>
      </c>
      <c r="D264" s="31" t="str">
        <f>IFERROR(__xludf.DUMMYFUNCTION("if(len(A264)&gt;0, REGEXEXTRACT(A264, ""\n[^\(]*""), """")"),"
Imulsion ")</f>
        <v>
Imulsion </v>
      </c>
      <c r="E264" s="17" t="str">
        <f>IFERROR(__xludf.DUMMYFUNCTION("if(len(A264)&gt;0, REGEXEXTRACT(A264, ""\n([^\n]*)$""), """")"),"Facility")</f>
        <v>Facility</v>
      </c>
      <c r="F264" s="17" t="str">
        <f>IFERROR(__xludf.DUMMYFUNCTION("if(len(A264)&gt;0, REGEXEXTRACT(A264, ""\(([^\)]*)\)""), """")"),"Gears of War")</f>
        <v>Gears of War</v>
      </c>
      <c r="G264" s="17" t="str">
        <f>IFERROR(__xludf.DUMMYFUNCTION("if(len(A264)&gt;0, REGEXEXTRACT(A264, ""\)([^:]*):""), """")")," Free")</f>
        <v> Free</v>
      </c>
      <c r="H264" s="31" t="str">
        <f>IFERROR(__xludf.DUMMYFUNCTION("if(len(A264) &gt; 0, JOIN(char(10), FILTER(SPLIT(A264, char(10)), split(""false false "" &amp; rept(""true "", columns(SPLIT(A264, char(10)))-3) &amp; ""false"", "" ""))), """")"),"Upon completion of this jump, you gain a small pump in your Warehouse that can supply you with fifty gallons worth of Imulsion per month. Do be careful when handling this, especially around other biological organisms.")</f>
        <v>Upon completion of this jump, you gain a small pump in your Warehouse that can supply you with fifty gallons worth of Imulsion per month. Do be careful when handling this, especially around other biological organisms.</v>
      </c>
    </row>
    <row r="265">
      <c r="A265" s="31" t="str">
        <f>IFERROR(__xludf.DUMMYFUNCTION("""COMPUTED_VALUE"""),"Chapter 33: 27 Intrusion - Addendum Hannah
MX8 Snub Pistol (Gears of War) Free:
The standard sidearm for all COG soldiers, this weapon makes up for its low damage and small 12-round magazine through a high rate of fire and its impressive accuracy. Expect "&amp;"to find ammo for it everywhere. Weapon purchases will grant a small stockpile of them inside your warehouse to equip your allies with.
Item")</f>
        <v>Chapter 33: 27 Intrusion - Addendum Hannah
MX8 Snub Pistol (Gears of War) Free:
The standard sidearm for all COG soldiers, this weapon makes up for its low damage and small 12-round magazine through a high rate of fire and its impressive accuracy. Expect to find ammo for it everywhere. Weapon purchases will grant a small stockpile of them inside your warehouse to equip your allies with.
Item</v>
      </c>
      <c r="B265" s="17">
        <f>IFERROR(__xludf.DUMMYFUNCTION("if(len(A265)&gt;0, value(REGEXEXTRACT(A265, ""Chapter ([0-9]*):"")), """")"),33.0)</f>
        <v>33</v>
      </c>
      <c r="C265" s="31" t="str">
        <f>IFERROR(__xludf.DUMMYFUNCTION("if(len(A265) &gt;0, REGEXEXTRACT(A265, ""Chapter [0-9]*: (.*)""), """")"),"27 Intrusion - Addendum Hannah")</f>
        <v>27 Intrusion - Addendum Hannah</v>
      </c>
      <c r="D265" s="31" t="str">
        <f>IFERROR(__xludf.DUMMYFUNCTION("if(len(A265)&gt;0, REGEXEXTRACT(A265, ""\n[^\(]*""), """")"),"
MX8 Snub Pistol ")</f>
        <v>
MX8 Snub Pistol </v>
      </c>
      <c r="E265" s="17" t="str">
        <f>IFERROR(__xludf.DUMMYFUNCTION("if(len(A265)&gt;0, REGEXEXTRACT(A265, ""\n([^\n]*)$""), """")"),"Item")</f>
        <v>Item</v>
      </c>
      <c r="F265" s="17" t="str">
        <f>IFERROR(__xludf.DUMMYFUNCTION("if(len(A265)&gt;0, REGEXEXTRACT(A265, ""\(([^\)]*)\)""), """")"),"Gears of War")</f>
        <v>Gears of War</v>
      </c>
      <c r="G265" s="17" t="str">
        <f>IFERROR(__xludf.DUMMYFUNCTION("if(len(A265)&gt;0, REGEXEXTRACT(A265, ""\)([^:]*):""), """")")," Free")</f>
        <v> Free</v>
      </c>
      <c r="H265" s="31" t="str">
        <f>IFERROR(__xludf.DUMMYFUNCTION("if(len(A265) &gt; 0, JOIN(char(10), FILTER(SPLIT(A265, char(10)), split(""false false "" &amp; rept(""true "", columns(SPLIT(A265, char(10)))-3) &amp; ""false"", "" ""))), """")"),"The standard sidearm for all COG soldiers, this weapon makes up for its low damage and small 12-round magazine through a high rate of fire and its impressive accuracy. Expect to find ammo for it everywhere. Weapon purchases will grant a small stockpile of"&amp;" them inside your warehouse to equip your allies with.")</f>
        <v>The standard sidearm for all COG soldiers, this weapon makes up for its low damage and small 12-round magazine through a high rate of fire and its impressive accuracy. Expect to find ammo for it everywhere. Weapon purchases will grant a small stockpile of them inside your warehouse to equip your allies with.</v>
      </c>
    </row>
    <row r="266">
      <c r="A266" s="31" t="str">
        <f>IFERROR(__xludf.DUMMYFUNCTION("""COMPUTED_VALUE"""),"Chapter 33: 27 Intrusion - Addendum Hannah
Personal Digital Assistant (Gears of War) Free:
There is still a reliance on technology, even if the war with the Locust make things... problematic. With this, you'll have an easier time with Command and keeping "&amp;"track of your data.
Item")</f>
        <v>Chapter 33: 27 Intrusion - Addendum Hannah
Personal Digital Assistant (Gears of War) Free:
There is still a reliance on technology, even if the war with the Locust make things... problematic. With this, you'll have an easier time with Command and keeping track of your data.
Item</v>
      </c>
      <c r="B266" s="17">
        <f>IFERROR(__xludf.DUMMYFUNCTION("if(len(A266)&gt;0, value(REGEXEXTRACT(A266, ""Chapter ([0-9]*):"")), """")"),33.0)</f>
        <v>33</v>
      </c>
      <c r="C266" s="31" t="str">
        <f>IFERROR(__xludf.DUMMYFUNCTION("if(len(A266) &gt;0, REGEXEXTRACT(A266, ""Chapter [0-9]*: (.*)""), """")"),"27 Intrusion - Addendum Hannah")</f>
        <v>27 Intrusion - Addendum Hannah</v>
      </c>
      <c r="D266" s="31" t="str">
        <f>IFERROR(__xludf.DUMMYFUNCTION("if(len(A266)&gt;0, REGEXEXTRACT(A266, ""\n[^\(]*""), """")"),"
Personal Digital Assistant ")</f>
        <v>
Personal Digital Assistant </v>
      </c>
      <c r="E266" s="17" t="str">
        <f>IFERROR(__xludf.DUMMYFUNCTION("if(len(A266)&gt;0, REGEXEXTRACT(A266, ""\n([^\n]*)$""), """")"),"Item")</f>
        <v>Item</v>
      </c>
      <c r="F266" s="17" t="str">
        <f>IFERROR(__xludf.DUMMYFUNCTION("if(len(A266)&gt;0, REGEXEXTRACT(A266, ""\(([^\)]*)\)""), """")"),"Gears of War")</f>
        <v>Gears of War</v>
      </c>
      <c r="G266" s="17" t="str">
        <f>IFERROR(__xludf.DUMMYFUNCTION("if(len(A266)&gt;0, REGEXEXTRACT(A266, ""\)([^:]*):""), """")")," Free")</f>
        <v> Free</v>
      </c>
      <c r="H266" s="31" t="str">
        <f>IFERROR(__xludf.DUMMYFUNCTION("if(len(A266) &gt; 0, JOIN(char(10), FILTER(SPLIT(A266, char(10)), split(""false false "" &amp; rept(""true "", columns(SPLIT(A266, char(10)))-3) &amp; ""false"", "" ""))), """")"),"There is still a reliance on technology, even if the war with the Locust make things... problematic. With this, you'll have an easier time with Command and keeping track of your data.")</f>
        <v>There is still a reliance on technology, even if the war with the Locust make things... problematic. With this, you'll have an easier time with Command and keeping track of your data.</v>
      </c>
    </row>
    <row r="267">
      <c r="A267" s="31" t="str">
        <f>IFERROR(__xludf.DUMMYFUNCTION("""COMPUTED_VALUE"""),"Chapter 33: 27 Intrusion - Addendum Hannah
Weapon Reload System (Gears of War) Free:
You will also gain a weapon reload system inside the warehouse for the unique weapons you may have purchased from this jump.
Facility")</f>
        <v>Chapter 33: 27 Intrusion - Addendum Hannah
Weapon Reload System (Gears of War) Free:
You will also gain a weapon reload system inside the warehouse for the unique weapons you may have purchased from this jump.
Facility</v>
      </c>
      <c r="B267" s="17">
        <f>IFERROR(__xludf.DUMMYFUNCTION("if(len(A267)&gt;0, value(REGEXEXTRACT(A267, ""Chapter ([0-9]*):"")), """")"),33.0)</f>
        <v>33</v>
      </c>
      <c r="C267" s="31" t="str">
        <f>IFERROR(__xludf.DUMMYFUNCTION("if(len(A267) &gt;0, REGEXEXTRACT(A267, ""Chapter [0-9]*: (.*)""), """")"),"27 Intrusion - Addendum Hannah")</f>
        <v>27 Intrusion - Addendum Hannah</v>
      </c>
      <c r="D267" s="31" t="str">
        <f>IFERROR(__xludf.DUMMYFUNCTION("if(len(A267)&gt;0, REGEXEXTRACT(A267, ""\n[^\(]*""), """")"),"
Weapon Reload System ")</f>
        <v>
Weapon Reload System </v>
      </c>
      <c r="E267" s="17" t="str">
        <f>IFERROR(__xludf.DUMMYFUNCTION("if(len(A267)&gt;0, REGEXEXTRACT(A267, ""\n([^\n]*)$""), """")"),"Facility")</f>
        <v>Facility</v>
      </c>
      <c r="F267" s="17" t="str">
        <f>IFERROR(__xludf.DUMMYFUNCTION("if(len(A267)&gt;0, REGEXEXTRACT(A267, ""\(([^\)]*)\)""), """")"),"Gears of War")</f>
        <v>Gears of War</v>
      </c>
      <c r="G267" s="17" t="str">
        <f>IFERROR(__xludf.DUMMYFUNCTION("if(len(A267)&gt;0, REGEXEXTRACT(A267, ""\)([^:]*):""), """")")," Free")</f>
        <v> Free</v>
      </c>
      <c r="H267" s="31" t="str">
        <f>IFERROR(__xludf.DUMMYFUNCTION("if(len(A267) &gt; 0, JOIN(char(10), FILTER(SPLIT(A267, char(10)), split(""false false "" &amp; rept(""true "", columns(SPLIT(A267, char(10)))-3) &amp; ""false"", "" ""))), """")"),"You will also gain a weapon reload system inside the warehouse for the unique weapons you may have purchased from this jump.")</f>
        <v>You will also gain a weapon reload system inside the warehouse for the unique weapons you may have purchased from this jump.</v>
      </c>
    </row>
    <row r="268">
      <c r="A268" s="31" t="str">
        <f>IFERROR(__xludf.DUMMYFUNCTION("""COMPUTED_VALUE"""),"Chapter 33: 27 Intrusion - Addendum Hannah
Xenospecialist (Gears of War) 200:
The problem with fighting and violence is that it's no place for an egghead, and as a result valuable information could be lost to a wayward grenade before study. You've taken i"&amp;"t upon yourself to bring that knowledge back, and as such you have an easier time understanding alien language and technology. It won't give you instant knowledge, but as you study further you will find it becomes easier to comprehend.
Analysis")</f>
        <v>Chapter 33: 27 Intrusion - Addendum Hannah
Xenospecialist (Gears of War) 200:
The problem with fighting and violence is that it's no place for an egghead, and as a result valuable information could be lost to a wayward grenade before study. You've taken it upon yourself to bring that knowledge back, and as such you have an easier time understanding alien language and technology. It won't give you instant knowledge, but as you study further you will find it becomes easier to comprehend.
Analysis</v>
      </c>
      <c r="B268" s="17">
        <f>IFERROR(__xludf.DUMMYFUNCTION("if(len(A268)&gt;0, value(REGEXEXTRACT(A268, ""Chapter ([0-9]*):"")), """")"),33.0)</f>
        <v>33</v>
      </c>
      <c r="C268" s="31" t="str">
        <f>IFERROR(__xludf.DUMMYFUNCTION("if(len(A268) &gt;0, REGEXEXTRACT(A268, ""Chapter [0-9]*: (.*)""), """")"),"27 Intrusion - Addendum Hannah")</f>
        <v>27 Intrusion - Addendum Hannah</v>
      </c>
      <c r="D268" s="31" t="str">
        <f>IFERROR(__xludf.DUMMYFUNCTION("if(len(A268)&gt;0, REGEXEXTRACT(A268, ""\n[^\(]*""), """")"),"
Xenospecialist ")</f>
        <v>
Xenospecialist </v>
      </c>
      <c r="E268" s="17" t="str">
        <f>IFERROR(__xludf.DUMMYFUNCTION("if(len(A268)&gt;0, REGEXEXTRACT(A268, ""\n([^\n]*)$""), """")"),"Analysis")</f>
        <v>Analysis</v>
      </c>
      <c r="F268" s="17" t="str">
        <f>IFERROR(__xludf.DUMMYFUNCTION("if(len(A268)&gt;0, REGEXEXTRACT(A268, ""\(([^\)]*)\)""), """")"),"Gears of War")</f>
        <v>Gears of War</v>
      </c>
      <c r="G268" s="17" t="str">
        <f>IFERROR(__xludf.DUMMYFUNCTION("if(len(A268)&gt;0, REGEXEXTRACT(A268, ""\)([^:]*):""), """")")," 200")</f>
        <v> 200</v>
      </c>
      <c r="H268" s="31" t="str">
        <f>IFERROR(__xludf.DUMMYFUNCTION("if(len(A268) &gt; 0, JOIN(char(10), FILTER(SPLIT(A268, char(10)), split(""false false "" &amp; rept(""true "", columns(SPLIT(A268, char(10)))-3) &amp; ""false"", "" ""))), """")"),"The problem with fighting and violence is that it's no place for an egghead, and as a result valuable information could be lost to a wayward grenade before study. You've taken it upon yourself to bring that knowledge back, and as such you have an easier t"&amp;"ime understanding alien language and technology. It won't give you instant knowledge, but as you study further you will find it becomes easier to comprehend.")</f>
        <v>The problem with fighting and violence is that it's no place for an egghead, and as a result valuable information could be lost to a wayward grenade before study. You've taken it upon yourself to bring that knowledge back, and as such you have an easier time understanding alien language and technology. It won't give you instant knowledge, but as you study further you will find it becomes easier to comprehend.</v>
      </c>
    </row>
    <row r="269">
      <c r="A269" s="31" t="str">
        <f>IFERROR(__xludf.DUMMYFUNCTION("""COMPUTED_VALUE"""),"Chapter 33: 27 Intrusion - Addendum Hannah
Customized Weapons (XCOM) 100:
You know that efficiency is number one, because waste is a thief. You know how to make the best designs better, and will ensure that the equipment in use is ergonomic, streamlined,"&amp;" and efficient.
System")</f>
        <v>Chapter 33: 27 Intrusion - Addendum Hannah
Customized Weapons (XCOM) 100:
You know that efficiency is number one, because waste is a thief. You know how to make the best designs better, and will ensure that the equipment in use is ergonomic, streamlined, and efficient.
System</v>
      </c>
      <c r="B269" s="17">
        <f>IFERROR(__xludf.DUMMYFUNCTION("if(len(A269)&gt;0, value(REGEXEXTRACT(A269, ""Chapter ([0-9]*):"")), """")"),33.0)</f>
        <v>33</v>
      </c>
      <c r="C269" s="31" t="str">
        <f>IFERROR(__xludf.DUMMYFUNCTION("if(len(A269) &gt;0, REGEXEXTRACT(A269, ""Chapter [0-9]*: (.*)""), """")"),"27 Intrusion - Addendum Hannah
")</f>
        <v>27 Intrusion - Addendum Hannah
</v>
      </c>
      <c r="D269" s="31" t="str">
        <f>IFERROR(__xludf.DUMMYFUNCTION("if(len(A269)&gt;0, REGEXEXTRACT(A269, ""\n[^\(]*""), """")"),"
Customized Weapons ")</f>
        <v>
Customized Weapons </v>
      </c>
      <c r="E269" s="17" t="str">
        <f>IFERROR(__xludf.DUMMYFUNCTION("if(len(A269)&gt;0, REGEXEXTRACT(A269, ""\n([^\n]*)$""), """")"),"System")</f>
        <v>System</v>
      </c>
      <c r="F269" s="17" t="str">
        <f>IFERROR(__xludf.DUMMYFUNCTION("if(len(A269)&gt;0, REGEXEXTRACT(A269, ""\(([^\)]*)\)""), """")"),"XCOM")</f>
        <v>XCOM</v>
      </c>
      <c r="G269" s="17" t="str">
        <f>IFERROR(__xludf.DUMMYFUNCTION("if(len(A269)&gt;0, REGEXEXTRACT(A269, ""\)([^:]*):""), """")")," 100")</f>
        <v> 100</v>
      </c>
      <c r="H269" s="31" t="str">
        <f>IFERROR(__xludf.DUMMYFUNCTION("if(len(A269) &gt; 0, JOIN(char(10), FILTER(SPLIT(A269, char(10)), split(""false false "" &amp; rept(""true "", columns(SPLIT(A269, char(10)))-3) &amp; ""false"", "" ""))), """")"),"You know that efficiency is number one, because waste is a thief. You know how to make the best designs better, and will ensure that the equipment in use is ergonomic, streamlined, and efficient.")</f>
        <v>You know that efficiency is number one, because waste is a thief. You know how to make the best designs better, and will ensure that the equipment in use is ergonomic, streamlined, and efficient.</v>
      </c>
    </row>
    <row r="270">
      <c r="A270" s="31" t="str">
        <f>IFERROR(__xludf.DUMMYFUNCTION("""COMPUTED_VALUE"""),"Chapter 34: 28 Preamble - Addendum Sophia
Elven Enchantment (Lord of the Rings) 500:
You can enchant objects, if you pour energy into them as they are created. Some of your enchantments are useful in battle, such as swords that never dull and bows that al"&amp;"ways strike true, but most are simply to ease the life of the wearer, such as cloaks that weigh nothing and aid in hiding and water-flasks that never leak. You may also perform great workings, such as the creation of hidden doorways, given time
System")</f>
        <v>Chapter 34: 28 Preamble - Addendum Sophia
Elven Enchantment (Lord of the Rings) 500:
You can enchant objects, if you pour energy into them as they are created. Some of your enchantments are useful in battle, such as swords that never dull and bows that always strike true, but most are simply to ease the life of the wearer, such as cloaks that weigh nothing and aid in hiding and water-flasks that never leak. You may also perform great workings, such as the creation of hidden doorways, given time
System</v>
      </c>
      <c r="B270" s="17">
        <f>IFERROR(__xludf.DUMMYFUNCTION("if(len(A270)&gt;0, value(REGEXEXTRACT(A270, ""Chapter ([0-9]*):"")), """")"),34.0)</f>
        <v>34</v>
      </c>
      <c r="C270" s="31" t="str">
        <f>IFERROR(__xludf.DUMMYFUNCTION("if(len(A270) &gt;0, REGEXEXTRACT(A270, ""Chapter [0-9]*: (.*)""), """")"),"28 Preamble - Addendum Sophia")</f>
        <v>28 Preamble - Addendum Sophia</v>
      </c>
      <c r="D270" s="31" t="str">
        <f>IFERROR(__xludf.DUMMYFUNCTION("if(len(A270)&gt;0, REGEXEXTRACT(A270, ""\n[^\(]*""), """")"),"
Elven Enchantment ")</f>
        <v>
Elven Enchantment </v>
      </c>
      <c r="E270" s="17" t="str">
        <f>IFERROR(__xludf.DUMMYFUNCTION("if(len(A270)&gt;0, REGEXEXTRACT(A270, ""\n([^\n]*)$""), """")"),"System")</f>
        <v>System</v>
      </c>
      <c r="F270" s="17" t="str">
        <f>IFERROR(__xludf.DUMMYFUNCTION("if(len(A270)&gt;0, REGEXEXTRACT(A270, ""\(([^\)]*)\)""), """")"),"Lord of the Rings")</f>
        <v>Lord of the Rings</v>
      </c>
      <c r="G270" s="17" t="str">
        <f>IFERROR(__xludf.DUMMYFUNCTION("if(len(A270)&gt;0, REGEXEXTRACT(A270, ""\)([^:]*):""), """")")," 500")</f>
        <v> 500</v>
      </c>
      <c r="H270" s="31" t="str">
        <f>IFERROR(__xludf.DUMMYFUNCTION("if(len(A270) &gt; 0, JOIN(char(10), FILTER(SPLIT(A270, char(10)), split(""false false "" &amp; rept(""true "", columns(SPLIT(A270, char(10)))-3) &amp; ""false"", "" ""))), """")"),"You can enchant objects, if you pour energy into them as they are created. Some of your enchantments are useful in battle, such as swords that never dull and bows that always strike true, but most are simply to ease the life of the wearer, such as cloaks "&amp;"that weigh nothing and aid in hiding and water-flasks that never leak. You may also perform great workings, such as the creation of hidden doorways, given time")</f>
        <v>You can enchant objects, if you pour energy into them as they are created. Some of your enchantments are useful in battle, such as swords that never dull and bows that always strike true, but most are simply to ease the life of the wearer, such as cloaks that weigh nothing and aid in hiding and water-flasks that never leak. You may also perform great workings, such as the creation of hidden doorways, given time</v>
      </c>
    </row>
    <row r="271">
      <c r="A271" s="31" t="str">
        <f>IFERROR(__xludf.DUMMYFUNCTION("""COMPUTED_VALUE"""),"Chapter 34: 28 Preamble - Addendum Sophia
Engineer (Halo UNSC) 200:
Yet by understanding the nature of computer systems, wouldn’t it be prudent to understand the technology those systems command? After all, what if you found yourself needing to recalibrat"&amp;"e a Magnetic Accelerator Cannon or repair one of the dangerous Shaw-Fujikawa Translight Engines that makes faster-than-light travel possible? What if you found a cache of human weaponry that could be used if someone managed to repair it? While you don’t h"&amp;"ave the skill to create something as complex as a Shaw-Fujikawa Translight Engine, you’ll know your way around it just like much of Humanity’s 26th century technology. You might even figure out how to make small improvements to the technology if you had t"&amp;"he time to sit down and look it over. Hopefully the Covenant give you that time.
System")</f>
        <v>Chapter 34: 28 Preamble - Addendum Sophia
Engineer (Halo UNSC) 200:
Yet by understanding the nature of computer systems, wouldn’t it be prudent to understand the technology those systems command? After all, what if you found yourself needing to recalibrate a Magnetic Accelerator Cannon or repair one of the dangerous Shaw-Fujikawa Translight Engines that makes faster-than-light travel possible? What if you found a cache of human weaponry that could be used if someone managed to repair it? While you don’t have the skill to create something as complex as a Shaw-Fujikawa Translight Engine, you’ll know your way around it just like much of Humanity’s 26th century technology. You might even figure out how to make small improvements to the technology if you had the time to sit down and look it over. Hopefully the Covenant give you that time.
System</v>
      </c>
      <c r="B271" s="17">
        <f>IFERROR(__xludf.DUMMYFUNCTION("if(len(A271)&gt;0, value(REGEXEXTRACT(A271, ""Chapter ([0-9]*):"")), """")"),34.0)</f>
        <v>34</v>
      </c>
      <c r="C271" s="31" t="str">
        <f>IFERROR(__xludf.DUMMYFUNCTION("if(len(A271) &gt;0, REGEXEXTRACT(A271, ""Chapter [0-9]*: (.*)""), """")"),"28 Preamble - Addendum Sophia")</f>
        <v>28 Preamble - Addendum Sophia</v>
      </c>
      <c r="D271" s="31" t="str">
        <f>IFERROR(__xludf.DUMMYFUNCTION("if(len(A271)&gt;0, REGEXEXTRACT(A271, ""\n[^\(]*""), """")"),"
Engineer ")</f>
        <v>
Engineer </v>
      </c>
      <c r="E271" s="17" t="str">
        <f>IFERROR(__xludf.DUMMYFUNCTION("if(len(A271)&gt;0, REGEXEXTRACT(A271, ""\n([^\n]*)$""), """")"),"System")</f>
        <v>System</v>
      </c>
      <c r="F271" s="17" t="str">
        <f>IFERROR(__xludf.DUMMYFUNCTION("if(len(A271)&gt;0, REGEXEXTRACT(A271, ""\(([^\)]*)\)""), """")"),"Halo UNSC")</f>
        <v>Halo UNSC</v>
      </c>
      <c r="G271" s="17" t="str">
        <f>IFERROR(__xludf.DUMMYFUNCTION("if(len(A271)&gt;0, REGEXEXTRACT(A271, ""\)([^:]*):""), """")")," 200")</f>
        <v> 200</v>
      </c>
      <c r="H271" s="31" t="str">
        <f>IFERROR(__xludf.DUMMYFUNCTION("if(len(A271) &gt; 0, JOIN(char(10), FILTER(SPLIT(A271, char(10)), split(""false false "" &amp; rept(""true "", columns(SPLIT(A271, char(10)))-3) &amp; ""false"", "" ""))), """")"),"Yet by understanding the nature of computer systems, wouldn’t it be prudent to understand the technology those systems command? After all, what if you found yourself needing to recalibrate a Magnetic Accelerator Cannon or repair one of the dangerous Shaw-"&amp;"Fujikawa Translight Engines that makes faster-than-light travel possible? What if you found a cache of human weaponry that could be used if someone managed to repair it? While you don’t have the skill to create something as complex as a Shaw-Fujikawa Tran"&amp;"slight Engine, you’ll know your way around it just like much of Humanity’s 26th century technology. You might even figure out how to make small improvements to the technology if you had the time to sit down and look it over. Hopefully the Covenant give yo"&amp;"u that time.")</f>
        <v>Yet by understanding the nature of computer systems, wouldn’t it be prudent to understand the technology those systems command? After all, what if you found yourself needing to recalibrate a Magnetic Accelerator Cannon or repair one of the dangerous Shaw-Fujikawa Translight Engines that makes faster-than-light travel possible? What if you found a cache of human weaponry that could be used if someone managed to repair it? While you don’t have the skill to create something as complex as a Shaw-Fujikawa Translight Engine, you’ll know your way around it just like much of Humanity’s 26th century technology. You might even figure out how to make small improvements to the technology if you had the time to sit down and look it over. Hopefully the Covenant give you that time.</v>
      </c>
    </row>
    <row r="272">
      <c r="A272" s="31" t="str">
        <f>IFERROR(__xludf.DUMMYFUNCTION("""COMPUTED_VALUE"""),"Chapter 34: 28 Preamble - Addendum Sophia
M274 Mongoose (Halo UNSC) Free:
Some vehicles just weren’t designed for combat in mind… at least that’s what one would think upon seeing an all-terrain vehicle like this. Being designed to go over nearly any terra"&amp;"in without much difficulty and able to carry an additional passenger on the back in a pinch, the Mongoose is one of the fastest land vehicles in the UNSC. It’s highly effective in regards to rapid transportation, reconnaissance and swift tactical versatil"&amp;"ity. The downsides? Its light mass and lack of armor means it can be unwieldy at times and can be taken out rather easily.
Vehicle")</f>
        <v>Chapter 34: 28 Preamble - Addendum Sophia
M274 Mongoose (Halo UNSC) Free:
Some vehicles just weren’t designed for combat in mind… at least that’s what one would think upon seeing an all-terrain vehicle like this. Being designed to go over nearly any terrain without much difficulty and able to carry an additional passenger on the back in a pinch, the Mongoose is one of the fastest land vehicles in the UNSC. It’s highly effective in regards to rapid transportation, reconnaissance and swift tactical versatility. The downsides? Its light mass and lack of armor means it can be unwieldy at times and can be taken out rather easily.
Vehicle</v>
      </c>
      <c r="B272" s="17">
        <f>IFERROR(__xludf.DUMMYFUNCTION("if(len(A272)&gt;0, value(REGEXEXTRACT(A272, ""Chapter ([0-9]*):"")), """")"),34.0)</f>
        <v>34</v>
      </c>
      <c r="C272" s="31" t="str">
        <f>IFERROR(__xludf.DUMMYFUNCTION("if(len(A272) &gt;0, REGEXEXTRACT(A272, ""Chapter [0-9]*: (.*)""), """")"),"28 Preamble - Addendum Sophia")</f>
        <v>28 Preamble - Addendum Sophia</v>
      </c>
      <c r="D272" s="31" t="str">
        <f>IFERROR(__xludf.DUMMYFUNCTION("if(len(A272)&gt;0, REGEXEXTRACT(A272, ""\n[^\(]*""), """")"),"
M274 Mongoose ")</f>
        <v>
M274 Mongoose </v>
      </c>
      <c r="E272" s="17" t="str">
        <f>IFERROR(__xludf.DUMMYFUNCTION("if(len(A272)&gt;0, REGEXEXTRACT(A272, ""\n([^\n]*)$""), """")"),"Vehicle")</f>
        <v>Vehicle</v>
      </c>
      <c r="F272" s="17" t="str">
        <f>IFERROR(__xludf.DUMMYFUNCTION("if(len(A272)&gt;0, REGEXEXTRACT(A272, ""\(([^\)]*)\)""), """")"),"Halo UNSC")</f>
        <v>Halo UNSC</v>
      </c>
      <c r="G272" s="17" t="str">
        <f>IFERROR(__xludf.DUMMYFUNCTION("if(len(A272)&gt;0, REGEXEXTRACT(A272, ""\)([^:]*):""), """")")," Free")</f>
        <v> Free</v>
      </c>
      <c r="H272" s="31" t="str">
        <f>IFERROR(__xludf.DUMMYFUNCTION("if(len(A272) &gt; 0, JOIN(char(10), FILTER(SPLIT(A272, char(10)), split(""false false "" &amp; rept(""true "", columns(SPLIT(A272, char(10)))-3) &amp; ""false"", "" ""))), """")"),"Some vehicles just weren’t designed for combat in mind… at least that’s what one would think upon seeing an all-terrain vehicle like this. Being designed to go over nearly any terrain without much difficulty and able to carry an additional passenger on th"&amp;"e back in a pinch, the Mongoose is one of the fastest land vehicles in the UNSC. It’s highly effective in regards to rapid transportation, reconnaissance and swift tactical versatility. The downsides? Its light mass and lack of armor means it can be unwie"&amp;"ldy at times and can be taken out rather easily.")</f>
        <v>Some vehicles just weren’t designed for combat in mind… at least that’s what one would think upon seeing an all-terrain vehicle like this. Being designed to go over nearly any terrain without much difficulty and able to carry an additional passenger on the back in a pinch, the Mongoose is one of the fastest land vehicles in the UNSC. It’s highly effective in regards to rapid transportation, reconnaissance and swift tactical versatility. The downsides? Its light mass and lack of armor means it can be unwieldy at times and can be taken out rather easily.</v>
      </c>
    </row>
    <row r="273">
      <c r="A273" s="31" t="str">
        <f>IFERROR(__xludf.DUMMYFUNCTION("""COMPUTED_VALUE"""),"Chapter 34: 28 Preamble - Addendum Sophia
M6C Magnum (Halo UNSC) Free:
Something of a standard issue to the UNSC Marine forces, the M6C is a semiautomatic, recoil-operated, magazine-fed handgun that fires 12.7×40mm (.50 caliber) Semi-ArmorPiercing, High-P"&amp;"enetration rounds. While it does considerable amounts of damage towards flesh-based infantry, Covenant energy shielding might pose a problem and so this weapon is often relegated to a defensive role.
Item")</f>
        <v>Chapter 34: 28 Preamble - Addendum Sophia
M6C Magnum (Halo UNSC) Free:
Something of a standard issue to the UNSC Marine forces, the M6C is a semiautomatic, recoil-operated, magazine-fed handgun that fires 12.7×40mm (.50 caliber) Semi-ArmorPiercing, High-Penetration rounds. While it does considerable amounts of damage towards flesh-based infantry, Covenant energy shielding might pose a problem and so this weapon is often relegated to a defensive role.
Item</v>
      </c>
      <c r="B273" s="17">
        <f>IFERROR(__xludf.DUMMYFUNCTION("if(len(A273)&gt;0, value(REGEXEXTRACT(A273, ""Chapter ([0-9]*):"")), """")"),34.0)</f>
        <v>34</v>
      </c>
      <c r="C273" s="31" t="str">
        <f>IFERROR(__xludf.DUMMYFUNCTION("if(len(A273) &gt;0, REGEXEXTRACT(A273, ""Chapter [0-9]*: (.*)""), """")"),"28 Preamble - Addendum Sophia")</f>
        <v>28 Preamble - Addendum Sophia</v>
      </c>
      <c r="D273" s="31" t="str">
        <f>IFERROR(__xludf.DUMMYFUNCTION("if(len(A273)&gt;0, REGEXEXTRACT(A273, ""\n[^\(]*""), """")"),"
M6C Magnum ")</f>
        <v>
M6C Magnum </v>
      </c>
      <c r="E273" s="17" t="str">
        <f>IFERROR(__xludf.DUMMYFUNCTION("if(len(A273)&gt;0, REGEXEXTRACT(A273, ""\n([^\n]*)$""), """")"),"Item")</f>
        <v>Item</v>
      </c>
      <c r="F273" s="17" t="str">
        <f>IFERROR(__xludf.DUMMYFUNCTION("if(len(A273)&gt;0, REGEXEXTRACT(A273, ""\(([^\)]*)\)""), """")"),"Halo UNSC")</f>
        <v>Halo UNSC</v>
      </c>
      <c r="G273" s="17" t="str">
        <f>IFERROR(__xludf.DUMMYFUNCTION("if(len(A273)&gt;0, REGEXEXTRACT(A273, ""\)([^:]*):""), """")")," Free")</f>
        <v> Free</v>
      </c>
      <c r="H273" s="31" t="str">
        <f>IFERROR(__xludf.DUMMYFUNCTION("if(len(A273) &gt; 0, JOIN(char(10), FILTER(SPLIT(A273, char(10)), split(""false false "" &amp; rept(""true "", columns(SPLIT(A273, char(10)))-3) &amp; ""false"", "" ""))), """")"),"Something of a standard issue to the UNSC Marine forces, the M6C is a semiautomatic, recoil-operated, magazine-fed handgun that fires 12.7×40mm (.50 caliber) Semi-ArmorPiercing, High-Penetration rounds. While it does considerable amounts of damage towards"&amp;" flesh-based infantry, Covenant energy shielding might pose a problem and so this weapon is often relegated to a defensive role.")</f>
        <v>Something of a standard issue to the UNSC Marine forces, the M6C is a semiautomatic, recoil-operated, magazine-fed handgun that fires 12.7×40mm (.50 caliber) Semi-ArmorPiercing, High-Penetration rounds. While it does considerable amounts of damage towards flesh-based infantry, Covenant energy shielding might pose a problem and so this weapon is often relegated to a defensive role.</v>
      </c>
    </row>
    <row r="274">
      <c r="A274" s="31" t="str">
        <f>IFERROR(__xludf.DUMMYFUNCTION("""COMPUTED_VALUE"""),"Chapter 34: 28 Preamble - Addendum Sophia
M9 Fragmentation Grenade (Halo UNSC) Free:
When you can’t shoot them, blow them up. Coming with a hard metal casing that’s meant to break apart upon the explosion, this grenade has a safety feature in that it must"&amp;" hit a hard surface after it has been primed before it can detonate, ensuring that it does not explode in the user’s hand. It can also come with a ‘spoon’ so that it must leave the user’s hand before it explodes as well. Either way, a small button on the "&amp;"‘handle’ is the method of priming these grenades.
Item")</f>
        <v>Chapter 34: 28 Preamble - Addendum Sophia
M9 Fragmentation Grenade (Halo UNSC) Free:
When you can’t shoot them, blow them up. Coming with a hard metal casing that’s meant to break apart upon the explosion, this grenade has a safety feature in that it must hit a hard surface after it has been primed before it can detonate, ensuring that it does not explode in the user’s hand. It can also come with a ‘spoon’ so that it must leave the user’s hand before it explodes as well. Either way, a small button on the ‘handle’ is the method of priming these grenades.
Item</v>
      </c>
      <c r="B274" s="17">
        <f>IFERROR(__xludf.DUMMYFUNCTION("if(len(A274)&gt;0, value(REGEXEXTRACT(A274, ""Chapter ([0-9]*):"")), """")"),34.0)</f>
        <v>34</v>
      </c>
      <c r="C274" s="31" t="str">
        <f>IFERROR(__xludf.DUMMYFUNCTION("if(len(A274) &gt;0, REGEXEXTRACT(A274, ""Chapter [0-9]*: (.*)""), """")"),"28 Preamble - Addendum Sophia")</f>
        <v>28 Preamble - Addendum Sophia</v>
      </c>
      <c r="D274" s="31" t="str">
        <f>IFERROR(__xludf.DUMMYFUNCTION("if(len(A274)&gt;0, REGEXEXTRACT(A274, ""\n[^\(]*""), """")"),"
M9 Fragmentation Grenade ")</f>
        <v>
M9 Fragmentation Grenade </v>
      </c>
      <c r="E274" s="17" t="str">
        <f>IFERROR(__xludf.DUMMYFUNCTION("if(len(A274)&gt;0, REGEXEXTRACT(A274, ""\n([^\n]*)$""), """")"),"Item")</f>
        <v>Item</v>
      </c>
      <c r="F274" s="17" t="str">
        <f>IFERROR(__xludf.DUMMYFUNCTION("if(len(A274)&gt;0, REGEXEXTRACT(A274, ""\(([^\)]*)\)""), """")"),"Halo UNSC")</f>
        <v>Halo UNSC</v>
      </c>
      <c r="G274" s="17" t="str">
        <f>IFERROR(__xludf.DUMMYFUNCTION("if(len(A274)&gt;0, REGEXEXTRACT(A274, ""\)([^:]*):""), """")")," Free")</f>
        <v> Free</v>
      </c>
      <c r="H274" s="31" t="str">
        <f>IFERROR(__xludf.DUMMYFUNCTION("if(len(A274) &gt; 0, JOIN(char(10), FILTER(SPLIT(A274, char(10)), split(""false false "" &amp; rept(""true "", columns(SPLIT(A274, char(10)))-3) &amp; ""false"", "" ""))), """")"),"When you can’t shoot them, blow them up. Coming with a hard metal casing that’s meant to break apart upon the explosion, this grenade has a safety feature in that it must hit a hard surface after it has been primed before it can detonate, ensuring that it"&amp;" does not explode in the user’s hand. It can also come with a ‘spoon’ so that it must leave the user’s hand before it explodes as well. Either way, a small button on the ‘handle’ is the method of priming these grenades.")</f>
        <v>When you can’t shoot them, blow them up. Coming with a hard metal casing that’s meant to break apart upon the explosion, this grenade has a safety feature in that it must hit a hard surface after it has been primed before it can detonate, ensuring that it does not explode in the user’s hand. It can also come with a ‘spoon’ so that it must leave the user’s hand before it explodes as well. Either way, a small button on the ‘handle’ is the method of priming these grenades.</v>
      </c>
    </row>
    <row r="275">
      <c r="A275" s="31" t="str">
        <f>IFERROR(__xludf.DUMMYFUNCTION("""COMPUTED_VALUE"""),"Chapter 34: 28 Preamble - Addendum Sophia
Standard Neural Interface (Halo UNSC) Free:
As the requirements of war and militarized technology moved forward, the requirements it puts upon its soldiers was likewise changed. This is one such example, being a b"&amp;"rain implant that all members of the UNSC obtain upon entering service. It carries a multitude of functions, integrating with armor worn to provide a heads-up display directly into one’s optic nerve instead of on the helmet screen while providing an IFF t"&amp;"ag for allied soldiers. Such implants are small enough that there is no visible signs outside the body, and sometimes people have forgotten they even had it until its functions come up.
Personal")</f>
        <v>Chapter 34: 28 Preamble - Addendum Sophia
Standard Neural Interface (Halo UNSC) Free:
As the requirements of war and militarized technology moved forward, the requirements it puts upon its soldiers was likewise changed. This is one such example, being a brain implant that all members of the UNSC obtain upon entering service. It carries a multitude of functions, integrating with armor worn to provide a heads-up display directly into one’s optic nerve instead of on the helmet screen while providing an IFF tag for allied soldiers. Such implants are small enough that there is no visible signs outside the body, and sometimes people have forgotten they even had it until its functions come up.
Personal</v>
      </c>
      <c r="B275" s="17">
        <f>IFERROR(__xludf.DUMMYFUNCTION("if(len(A275)&gt;0, value(REGEXEXTRACT(A275, ""Chapter ([0-9]*):"")), """")"),34.0)</f>
        <v>34</v>
      </c>
      <c r="C275" s="31" t="str">
        <f>IFERROR(__xludf.DUMMYFUNCTION("if(len(A275) &gt;0, REGEXEXTRACT(A275, ""Chapter [0-9]*: (.*)""), """")"),"28 Preamble - Addendum Sophia")</f>
        <v>28 Preamble - Addendum Sophia</v>
      </c>
      <c r="D275" s="31" t="str">
        <f>IFERROR(__xludf.DUMMYFUNCTION("if(len(A275)&gt;0, REGEXEXTRACT(A275, ""\n[^\(]*""), """")"),"
Standard Neural Interface ")</f>
        <v>
Standard Neural Interface </v>
      </c>
      <c r="E275" s="17" t="str">
        <f>IFERROR(__xludf.DUMMYFUNCTION("if(len(A275)&gt;0, REGEXEXTRACT(A275, ""\n([^\n]*)$""), """")"),"Personal")</f>
        <v>Personal</v>
      </c>
      <c r="F275" s="17" t="str">
        <f>IFERROR(__xludf.DUMMYFUNCTION("if(len(A275)&gt;0, REGEXEXTRACT(A275, ""\(([^\)]*)\)""), """")"),"Halo UNSC")</f>
        <v>Halo UNSC</v>
      </c>
      <c r="G275" s="17" t="str">
        <f>IFERROR(__xludf.DUMMYFUNCTION("if(len(A275)&gt;0, REGEXEXTRACT(A275, ""\)([^:]*):""), """")")," Free")</f>
        <v> Free</v>
      </c>
      <c r="H275" s="31" t="str">
        <f>IFERROR(__xludf.DUMMYFUNCTION("if(len(A275) &gt; 0, JOIN(char(10), FILTER(SPLIT(A275, char(10)), split(""false false "" &amp; rept(""true "", columns(SPLIT(A275, char(10)))-3) &amp; ""false"", "" ""))), """")"),"As the requirements of war and militarized technology moved forward, the requirements it puts upon its soldiers was likewise changed. This is one such example, being a brain implant that all members of the UNSC obtain upon entering service. It carries a m"&amp;"ultitude of functions, integrating with armor worn to provide a heads-up display directly into one’s optic nerve instead of on the helmet screen while providing an IFF tag for allied soldiers. Such implants are small enough that there is no visible signs "&amp;"outside the body, and sometimes people have forgotten they even had it until its functions come up.")</f>
        <v>As the requirements of war and militarized technology moved forward, the requirements it puts upon its soldiers was likewise changed. This is one such example, being a brain implant that all members of the UNSC obtain upon entering service. It carries a multitude of functions, integrating with armor worn to provide a heads-up display directly into one’s optic nerve instead of on the helmet screen while providing an IFF tag for allied soldiers. Such implants are small enough that there is no visible signs outside the body, and sometimes people have forgotten they even had it until its functions come up.</v>
      </c>
    </row>
    <row r="276">
      <c r="A276" s="31" t="str">
        <f>IFERROR(__xludf.DUMMYFUNCTION("""COMPUTED_VALUE"""),"Chapter 34: 28 Preamble - Addendum Sophia
UNSC Marine Corp Battle Dress Uniform (Halo UNSC) Free:
The kind of armor you will generally see on the rank-and file troopers, this model has seen a great deal of use and has been spotted since the early days of "&amp;"the Insurrection. It comes with a CH252 Helmet that has a basic heads-up display to keep track of ammunition and your targeting reticle along with a flashlight and radio system, strong boots and fatigues to keep one protected from the elements while havin"&amp;"g quite a few pockets to keep things in, and ballistics armor over the torso, shoulder and shin. Ballistic armor may optionally include thighs, groin, and forearms as well for the cautious types. This armor provides good resistance against ballistic ammun"&amp;"ition but does little against Covenant plasma rounds. Perhaps you could become skilled at dodging oncoming fire. This armor comes in any camouflage color scheme of your choice.
Item")</f>
        <v>Chapter 34: 28 Preamble - Addendum Sophia
UNSC Marine Corp Battle Dress Uniform (Halo UNSC) Free:
The kind of armor you will generally see on the rank-and file troopers, this model has seen a great deal of use and has been spotted since the early days of the Insurrection. It comes with a CH252 Helmet that has a basic heads-up display to keep track of ammunition and your targeting reticle along with a flashlight and radio system, strong boots and fatigues to keep one protected from the elements while having quite a few pockets to keep things in, and ballistics armor over the torso, shoulder and shin. Ballistic armor may optionally include thighs, groin, and forearms as well for the cautious types. This armor provides good resistance against ballistic ammunition but does little against Covenant plasma rounds. Perhaps you could become skilled at dodging oncoming fire. This armor comes in any camouflage color scheme of your choice.
Item</v>
      </c>
      <c r="B276" s="17">
        <f>IFERROR(__xludf.DUMMYFUNCTION("if(len(A276)&gt;0, value(REGEXEXTRACT(A276, ""Chapter ([0-9]*):"")), """")"),34.0)</f>
        <v>34</v>
      </c>
      <c r="C276" s="31" t="str">
        <f>IFERROR(__xludf.DUMMYFUNCTION("if(len(A276) &gt;0, REGEXEXTRACT(A276, ""Chapter [0-9]*: (.*)""), """")"),"28 Preamble - Addendum Sophia")</f>
        <v>28 Preamble - Addendum Sophia</v>
      </c>
      <c r="D276" s="31" t="str">
        <f>IFERROR(__xludf.DUMMYFUNCTION("if(len(A276)&gt;0, REGEXEXTRACT(A276, ""\n[^\(]*""), """")"),"
UNSC Marine Corp Battle Dress Uniform ")</f>
        <v>
UNSC Marine Corp Battle Dress Uniform </v>
      </c>
      <c r="E276" s="17" t="str">
        <f>IFERROR(__xludf.DUMMYFUNCTION("if(len(A276)&gt;0, REGEXEXTRACT(A276, ""\n([^\n]*)$""), """")"),"Item")</f>
        <v>Item</v>
      </c>
      <c r="F276" s="17" t="str">
        <f>IFERROR(__xludf.DUMMYFUNCTION("if(len(A276)&gt;0, REGEXEXTRACT(A276, ""\(([^\)]*)\)""), """")"),"Halo UNSC")</f>
        <v>Halo UNSC</v>
      </c>
      <c r="G276" s="17" t="str">
        <f>IFERROR(__xludf.DUMMYFUNCTION("if(len(A276)&gt;0, REGEXEXTRACT(A276, ""\)([^:]*):""), """")")," Free")</f>
        <v> Free</v>
      </c>
      <c r="H276" s="31" t="str">
        <f>IFERROR(__xludf.DUMMYFUNCTION("if(len(A276) &gt; 0, JOIN(char(10), FILTER(SPLIT(A276, char(10)), split(""false false "" &amp; rept(""true "", columns(SPLIT(A276, char(10)))-3) &amp; ""false"", "" ""))), """")"),"The kind of armor you will generally see on the rank-and file troopers, this model has seen a great deal of use and has been spotted since the early days of the Insurrection. It comes with a CH252 Helmet that has a basic heads-up display to keep track of "&amp;"ammunition and your targeting reticle along with a flashlight and radio system, strong boots and fatigues to keep one protected from the elements while having quite a few pockets to keep things in, and ballistics armor over the torso, shoulder and shin. B"&amp;"allistic armor may optionally include thighs, groin, and forearms as well for the cautious types. This armor provides good resistance against ballistic ammunition but does little against Covenant plasma rounds. Perhaps you could become skilled at dodging "&amp;"oncoming fire. This armor comes in any camouflage color scheme of your choice.")</f>
        <v>The kind of armor you will generally see on the rank-and file troopers, this model has seen a great deal of use and has been spotted since the early days of the Insurrection. It comes with a CH252 Helmet that has a basic heads-up display to keep track of ammunition and your targeting reticle along with a flashlight and radio system, strong boots and fatigues to keep one protected from the elements while having quite a few pockets to keep things in, and ballistics armor over the torso, shoulder and shin. Ballistic armor may optionally include thighs, groin, and forearms as well for the cautious types. This armor provides good resistance against ballistic ammunition but does little against Covenant plasma rounds. Perhaps you could become skilled at dodging oncoming fire. This armor comes in any camouflage color scheme of your choice.</v>
      </c>
    </row>
    <row r="277">
      <c r="A277" s="31" t="str">
        <f>IFERROR(__xludf.DUMMYFUNCTION("""COMPUTED_VALUE"""),"Chapter 35: 29 Presentation - Addendum Emily
4th Generation Fighter Plane (Ace Combat) Free:
These planes have been around for some time now, and as a result some would consider these particular planes to be outdated. It’s not the most advanced machine in"&amp;" the sky, but it will get the job done when you need it. Whether it's an MiG-29OVT, an F-18, Su-27 or something else, you can be given a 4th Generation Fighter Plane to do your work and achieve what you need to achieve. Show them that the old ways still w"&amp;"ork.
Autocannon - Something of a standard on anything that flies in the air, autocannons or gatling guns on a plane’s nose can help one shoot down enemy planes or other targets by unleashing a torrent of bullets upon whatever has the misfortune of being i"&amp;"n front of your plane at the time. This option will grant a single gun with 1000 rounds.
Standard Missiles - One of the things that is noteworthy regarding just about any plane is the fact that they will carry missiles. The reason is obvious; you need mor"&amp;"e than just bullets. That’s why you have a good supply of missiles, attached to your plane and ready to fire off the moment you achieve radar lock with your plane. It’s simple, but it works. Sometimes that’s all you need.
Flare Launch System - Flares are "&amp;"fairly important when it comes to aerial combat. After all, you are in enemy airspace. Enemies will want to shoot you with missiles. Ergo, having protection against missiles would be the smart thing to do. Radar-guided missiles can be duped easily, but in"&amp;"fra-red missiles that track heat sources are a concern. Thus it is important for this flare countermeasure system to be equipped, allowing you to launch flares while you do a sharp turn and reduce engine power to dupe the missile into hitting the flare in"&amp;"stead. It’s not perfect… but it could be better than nothing.
Ejection System - You know the old saying of going down with the ship? Yeah, nuts to that. This isn’t the navy, this is the Air Force. That’s why there’s ejection equipment for when your plane "&amp;"gets shot down, assuming said plane wasn’t just instantly vaporized by whatever attacked you to begin with.
Vehicle")</f>
        <v>Chapter 35: 29 Presentation - Addendum Emily
4th Generation Fighter Plane (Ace Combat) Free:
These planes have been around for some time now, and as a result some would consider these particular planes to be outdated. It’s not the most advanced machine in the sky, but it will get the job done when you need it. Whether it's an MiG-29OVT, an F-18, Su-27 or something else, you can be given a 4th Generation Fighter Plane to do your work and achieve what you need to achieve. Show them that the old ways still work.
Autocannon - Something of a standard on anything that flies in the air, autocannons or gatling guns on a plane’s nose can help one shoot down enemy planes or other targets by unleashing a torrent of bullets upon whatever has the misfortune of being in front of your plane at the time. This option will grant a single gun with 1000 rounds.
Standard Missiles - One of the things that is noteworthy regarding just about any plane is the fact that they will carry missiles. The reason is obvious; you need more than just bullets. That’s why you have a good supply of missiles, attached to your plane and ready to fire off the moment you achieve radar lock with your plane. It’s simple, but it works. Sometimes that’s all you need.
Flare Launch System - Flares are fairly important when it comes to aerial combat. After all, you are in enemy airspace. Enemies will want to shoot you with missiles. Ergo, having protection against missiles would be the smart thing to do. Radar-guided missiles can be duped easily, but infra-red missiles that track heat sources are a concern. Thus it is important for this flare countermeasure system to be equipped, allowing you to launch flares while you do a sharp turn and reduce engine power to dupe the missile into hitting the flare instead. It’s not perfect… but it could be better than nothing.
Ejection System - You know the old saying of going down with the ship? Yeah, nuts to that. This isn’t the navy, this is the Air Force. That’s why there’s ejection equipment for when your plane gets shot down, assuming said plane wasn’t just instantly vaporized by whatever attacked you to begin with.
Vehicle</v>
      </c>
      <c r="B277" s="17">
        <f>IFERROR(__xludf.DUMMYFUNCTION("if(len(A277)&gt;0, value(REGEXEXTRACT(A277, ""Chapter ([0-9]*):"")), """")"),35.0)</f>
        <v>35</v>
      </c>
      <c r="C277" s="31" t="str">
        <f>IFERROR(__xludf.DUMMYFUNCTION("if(len(A277) &gt;0, REGEXEXTRACT(A277, ""Chapter [0-9]*: (.*)""), """")"),"29 Presentation - Addendum Emily")</f>
        <v>29 Presentation - Addendum Emily</v>
      </c>
      <c r="D277" s="31" t="str">
        <f>IFERROR(__xludf.DUMMYFUNCTION("if(len(A277)&gt;0, REGEXEXTRACT(A277, ""\n[^\(]*""), """")"),"
4th Generation Fighter Plane ")</f>
        <v>
4th Generation Fighter Plane </v>
      </c>
      <c r="E277" s="17" t="str">
        <f>IFERROR(__xludf.DUMMYFUNCTION("if(len(A277)&gt;0, REGEXEXTRACT(A277, ""\n([^\n]*)$""), """")"),"Vehicle")</f>
        <v>Vehicle</v>
      </c>
      <c r="F277" s="17" t="str">
        <f>IFERROR(__xludf.DUMMYFUNCTION("if(len(A277)&gt;0, REGEXEXTRACT(A277, ""\(([^\)]*)\)""), """")"),"Ace Combat")</f>
        <v>Ace Combat</v>
      </c>
      <c r="G277" s="17" t="str">
        <f>IFERROR(__xludf.DUMMYFUNCTION("if(len(A277)&gt;0, REGEXEXTRACT(A277, ""\)([^:]*):""), """")")," Free")</f>
        <v> Free</v>
      </c>
      <c r="H277" s="31" t="str">
        <f>IFERROR(__xludf.DUMMYFUNCTION("if(len(A277) &gt; 0, JOIN(char(10), FILTER(SPLIT(A277, char(10)), split(""false false "" &amp; rept(""true "", columns(SPLIT(A277, char(10)))-3) &amp; ""false"", "" ""))), """")"),"These planes have been around for some time now, and as a result some would consider these particular planes to be outdated. It’s not the most advanced machine in the sky, but it will get the job done when you need it. Whether it's an MiG-29OVT, an F-18, "&amp;"Su-27 or something else, you can be given a 4th Generation Fighter Plane to do your work and achieve what you need to achieve. Show them that the old ways still work.
Autocannon - Something of a standard on anything that flies in the air, autocannons or g"&amp;"atling guns on a plane’s nose can help one shoot down enemy planes or other targets by unleashing a torrent of bullets upon whatever has the misfortune of being in front of your plane at the time. This option will grant a single gun with 1000 rounds.
Stan"&amp;"dard Missiles - One of the things that is noteworthy regarding just about any plane is the fact that they will carry missiles. The reason is obvious; you need more than just bullets. That’s why you have a good supply of missiles, attached to your plane an"&amp;"d ready to fire off the moment you achieve radar lock with your plane. It’s simple, but it works. Sometimes that’s all you need.
Flare Launch System - Flares are fairly important when it comes to aerial combat. After all, you are in enemy airspace. Enemie"&amp;"s will want to shoot you with missiles. Ergo, having protection against missiles would be the smart thing to do. Radar-guided missiles can be duped easily, but infra-red missiles that track heat sources are a concern. Thus it is important for this flare c"&amp;"ountermeasure system to be equipped, allowing you to launch flares while you do a sharp turn and reduce engine power to dupe the missile into hitting the flare instead. It’s not perfect… but it could be better than nothing.
Ejection System - You know the "&amp;"old saying of going down with the ship? Yeah, nuts to that. This isn’t the navy, this is the Air Force. That’s why there’s ejection equipment for when your plane gets shot down, assuming said plane wasn’t just instantly vaporized by whatever attacked you "&amp;"to begin with.")</f>
        <v>These planes have been around for some time now, and as a result some would consider these particular planes to be outdated. It’s not the most advanced machine in the sky, but it will get the job done when you need it. Whether it's an MiG-29OVT, an F-18, Su-27 or something else, you can be given a 4th Generation Fighter Plane to do your work and achieve what you need to achieve. Show them that the old ways still work.
Autocannon - Something of a standard on anything that flies in the air, autocannons or gatling guns on a plane’s nose can help one shoot down enemy planes or other targets by unleashing a torrent of bullets upon whatever has the misfortune of being in front of your plane at the time. This option will grant a single gun with 1000 rounds.
Standard Missiles - One of the things that is noteworthy regarding just about any plane is the fact that they will carry missiles. The reason is obvious; you need more than just bullets. That’s why you have a good supply of missiles, attached to your plane and ready to fire off the moment you achieve radar lock with your plane. It’s simple, but it works. Sometimes that’s all you need.
Flare Launch System - Flares are fairly important when it comes to aerial combat. After all, you are in enemy airspace. Enemies will want to shoot you with missiles. Ergo, having protection against missiles would be the smart thing to do. Radar-guided missiles can be duped easily, but infra-red missiles that track heat sources are a concern. Thus it is important for this flare countermeasure system to be equipped, allowing you to launch flares while you do a sharp turn and reduce engine power to dupe the missile into hitting the flare instead. It’s not perfect… but it could be better than nothing.
Ejection System - You know the old saying of going down with the ship? Yeah, nuts to that. This isn’t the navy, this is the Air Force. That’s why there’s ejection equipment for when your plane gets shot down, assuming said plane wasn’t just instantly vaporized by whatever attacked you to begin with.</v>
      </c>
    </row>
    <row r="278">
      <c r="A278" s="31" t="str">
        <f>IFERROR(__xludf.DUMMYFUNCTION("""COMPUTED_VALUE"""),"Chapter 35: 29 Presentation - Addendum Emily
Ambrosial Artificer (Macross) 400:
So many moving parts, so many pieces to the puzzle. It's so... needless. The other tech teams are complete morons. That's why you've learned how to figure out the optimization"&amp;" of your complex machines like Veritechs. What parts you don't need, you find a way to do away with. What parts you DO need, you can use the now-extra space to improve and bolster their performance. Some will call you mad. But the only madness that will c"&amp;"ome from your work is the rage of your enemies and rivals.
Analysis")</f>
        <v>Chapter 35: 29 Presentation - Addendum Emily
Ambrosial Artificer (Macross) 400:
So many moving parts, so many pieces to the puzzle. It's so... needless. The other tech teams are complete morons. That's why you've learned how to figure out the optimization of your complex machines like Veritechs. What parts you don't need, you find a way to do away with. What parts you DO need, you can use the now-extra space to improve and bolster their performance. Some will call you mad. But the only madness that will come from your work is the rage of your enemies and rivals.
Analysis</v>
      </c>
      <c r="B278" s="17">
        <f>IFERROR(__xludf.DUMMYFUNCTION("if(len(A278)&gt;0, value(REGEXEXTRACT(A278, ""Chapter ([0-9]*):"")), """")"),35.0)</f>
        <v>35</v>
      </c>
      <c r="C278" s="31" t="str">
        <f>IFERROR(__xludf.DUMMYFUNCTION("if(len(A278) &gt;0, REGEXEXTRACT(A278, ""Chapter [0-9]*: (.*)""), """")"),"29 Presentation - Addendum Emily")</f>
        <v>29 Presentation - Addendum Emily</v>
      </c>
      <c r="D278" s="31" t="str">
        <f>IFERROR(__xludf.DUMMYFUNCTION("if(len(A278)&gt;0, REGEXEXTRACT(A278, ""\n[^\(]*""), """")"),"
Ambrosial Artificer ")</f>
        <v>
Ambrosial Artificer </v>
      </c>
      <c r="E278" s="17" t="str">
        <f>IFERROR(__xludf.DUMMYFUNCTION("if(len(A278)&gt;0, REGEXEXTRACT(A278, ""\n([^\n]*)$""), """")"),"Analysis")</f>
        <v>Analysis</v>
      </c>
      <c r="F278" s="17" t="str">
        <f>IFERROR(__xludf.DUMMYFUNCTION("if(len(A278)&gt;0, REGEXEXTRACT(A278, ""\(([^\)]*)\)""), """")"),"Macross")</f>
        <v>Macross</v>
      </c>
      <c r="G278" s="17" t="str">
        <f>IFERROR(__xludf.DUMMYFUNCTION("if(len(A278)&gt;0, REGEXEXTRACT(A278, ""\)([^:]*):""), """")")," 400")</f>
        <v> 400</v>
      </c>
      <c r="H278" s="31" t="str">
        <f>IFERROR(__xludf.DUMMYFUNCTION("if(len(A278) &gt; 0, JOIN(char(10), FILTER(SPLIT(A278, char(10)), split(""false false "" &amp; rept(""true "", columns(SPLIT(A278, char(10)))-3) &amp; ""false"", "" ""))), """")"),"So many moving parts, so many pieces to the puzzle. It's so... needless. The other tech teams are complete morons. That's why you've learned how to figure out the optimization of your complex machines like Veritechs. What parts you don't need, you find a "&amp;"way to do away with. What parts you DO need, you can use the now-extra space to improve and bolster their performance. Some will call you mad. But the only madness that will come from your work is the rage of your enemies and rivals.")</f>
        <v>So many moving parts, so many pieces to the puzzle. It's so... needless. The other tech teams are complete morons. That's why you've learned how to figure out the optimization of your complex machines like Veritechs. What parts you don't need, you find a way to do away with. What parts you DO need, you can use the now-extra space to improve and bolster their performance. Some will call you mad. But the only madness that will come from your work is the rage of your enemies and rivals.</v>
      </c>
    </row>
    <row r="279">
      <c r="A279" s="31" t="str">
        <f>IFERROR(__xludf.DUMMYFUNCTION("""COMPUTED_VALUE"""),"Chapter 35: 29 Presentation - Addendum Emily
Basic Flight Training (Ace Combat) Free:
If you couldn't fly before, you have a basic idea of how to fly a plane now. You know how to maneuver the joystick properly, which button fires the missiles, and how to "&amp;"properly land a plane without creating a multi-million dollar pile of scrap. It won’t save you if you dive into a massive swarm of planes all by yourself, but you can learn.
Skill")</f>
        <v>Chapter 35: 29 Presentation - Addendum Emily
Basic Flight Training (Ace Combat) Free:
If you couldn't fly before, you have a basic idea of how to fly a plane now. You know how to maneuver the joystick properly, which button fires the missiles, and how to properly land a plane without creating a multi-million dollar pile of scrap. It won’t save you if you dive into a massive swarm of planes all by yourself, but you can learn.
Skill</v>
      </c>
      <c r="B279" s="17">
        <f>IFERROR(__xludf.DUMMYFUNCTION("if(len(A279)&gt;0, value(REGEXEXTRACT(A279, ""Chapter ([0-9]*):"")), """")"),35.0)</f>
        <v>35</v>
      </c>
      <c r="C279" s="31" t="str">
        <f>IFERROR(__xludf.DUMMYFUNCTION("if(len(A279) &gt;0, REGEXEXTRACT(A279, ""Chapter [0-9]*: (.*)""), """")"),"29 Presentation - Addendum Emily")</f>
        <v>29 Presentation - Addendum Emily</v>
      </c>
      <c r="D279" s="31" t="str">
        <f>IFERROR(__xludf.DUMMYFUNCTION("if(len(A279)&gt;0, REGEXEXTRACT(A279, ""\n[^\(]*""), """")"),"
Basic Flight Training ")</f>
        <v>
Basic Flight Training </v>
      </c>
      <c r="E279" s="17" t="str">
        <f>IFERROR(__xludf.DUMMYFUNCTION("if(len(A279)&gt;0, REGEXEXTRACT(A279, ""\n([^\n]*)$""), """")"),"Skill")</f>
        <v>Skill</v>
      </c>
      <c r="F279" s="17" t="str">
        <f>IFERROR(__xludf.DUMMYFUNCTION("if(len(A279)&gt;0, REGEXEXTRACT(A279, ""\(([^\)]*)\)""), """")"),"Ace Combat")</f>
        <v>Ace Combat</v>
      </c>
      <c r="G279" s="17" t="str">
        <f>IFERROR(__xludf.DUMMYFUNCTION("if(len(A279)&gt;0, REGEXEXTRACT(A279, ""\)([^:]*):""), """")")," Free")</f>
        <v> Free</v>
      </c>
      <c r="H279" s="31" t="str">
        <f>IFERROR(__xludf.DUMMYFUNCTION("if(len(A279) &gt; 0, JOIN(char(10), FILTER(SPLIT(A279, char(10)), split(""false false "" &amp; rept(""true "", columns(SPLIT(A279, char(10)))-3) &amp; ""false"", "" ""))), """")"),"If you couldn't fly before, you have a basic idea of how to fly a plane now. You know how to maneuver the joystick properly, which button fires the missiles, and how to properly land a plane without creating a multi-million dollar pile of scrap. It won’t "&amp;"save you if you dive into a massive swarm of planes all by yourself, but you can learn.")</f>
        <v>If you couldn't fly before, you have a basic idea of how to fly a plane now. You know how to maneuver the joystick properly, which button fires the missiles, and how to properly land a plane without creating a multi-million dollar pile of scrap. It won’t save you if you dive into a massive swarm of planes all by yourself, but you can learn.</v>
      </c>
    </row>
    <row r="280">
      <c r="A280" s="31" t="str">
        <f>IFERROR(__xludf.DUMMYFUNCTION("""COMPUTED_VALUE"""),"Chapter 35: 29 Presentation - Addendum Emily
Comm Chatter (Ace Combat) Free:
While an important part of war is knowing what your opponent is up to, sometimes it’s good for puffing your ego up too. For whatever reason, your radio will occasionally catch co"&amp;"mmunications being broadcast from the enemy. This can range from important information to wild surprise at your antics. Not too useful, but good for knowing how you're doing.
Ability")</f>
        <v>Chapter 35: 29 Presentation - Addendum Emily
Comm Chatter (Ace Combat) Free:
While an important part of war is knowing what your opponent is up to, sometimes it’s good for puffing your ego up too. For whatever reason, your radio will occasionally catch communications being broadcast from the enemy. This can range from important information to wild surprise at your antics. Not too useful, but good for knowing how you're doing.
Ability</v>
      </c>
      <c r="B280" s="17">
        <f>IFERROR(__xludf.DUMMYFUNCTION("if(len(A280)&gt;0, value(REGEXEXTRACT(A280, ""Chapter ([0-9]*):"")), """")"),35.0)</f>
        <v>35</v>
      </c>
      <c r="C280" s="31" t="str">
        <f>IFERROR(__xludf.DUMMYFUNCTION("if(len(A280) &gt;0, REGEXEXTRACT(A280, ""Chapter [0-9]*: (.*)""), """")"),"29 Presentation - Addendum Emily")</f>
        <v>29 Presentation - Addendum Emily</v>
      </c>
      <c r="D280" s="31" t="str">
        <f>IFERROR(__xludf.DUMMYFUNCTION("if(len(A280)&gt;0, REGEXEXTRACT(A280, ""\n[^\(]*""), """")"),"
Comm Chatter ")</f>
        <v>
Comm Chatter </v>
      </c>
      <c r="E280" s="17" t="str">
        <f>IFERROR(__xludf.DUMMYFUNCTION("if(len(A280)&gt;0, REGEXEXTRACT(A280, ""\n([^\n]*)$""), """")"),"Ability")</f>
        <v>Ability</v>
      </c>
      <c r="F280" s="17" t="str">
        <f>IFERROR(__xludf.DUMMYFUNCTION("if(len(A280)&gt;0, REGEXEXTRACT(A280, ""\(([^\)]*)\)""), """")"),"Ace Combat")</f>
        <v>Ace Combat</v>
      </c>
      <c r="G280" s="17" t="str">
        <f>IFERROR(__xludf.DUMMYFUNCTION("if(len(A280)&gt;0, REGEXEXTRACT(A280, ""\)([^:]*):""), """")")," Free")</f>
        <v> Free</v>
      </c>
      <c r="H280" s="31" t="str">
        <f>IFERROR(__xludf.DUMMYFUNCTION("if(len(A280) &gt; 0, JOIN(char(10), FILTER(SPLIT(A280, char(10)), split(""false false "" &amp; rept(""true "", columns(SPLIT(A280, char(10)))-3) &amp; ""false"", "" ""))), """")"),"While an important part of war is knowing what your opponent is up to, sometimes it’s good for puffing your ego up too. For whatever reason, your radio will occasionally catch communications being broadcast from the enemy. This can range from important in"&amp;"formation to wild surprise at your antics. Not too useful, but good for knowing how you're doing.")</f>
        <v>While an important part of war is knowing what your opponent is up to, sometimes it’s good for puffing your ego up too. For whatever reason, your radio will occasionally catch communications being broadcast from the enemy. This can range from important information to wild surprise at your antics. Not too useful, but good for knowing how you're doing.</v>
      </c>
    </row>
    <row r="281">
      <c r="A281" s="31" t="str">
        <f>IFERROR(__xludf.DUMMYFUNCTION("""COMPUTED_VALUE"""),"Chapter 35: 29 Presentation - Addendum Emily
Flight Suit (Ace Combat) Free:
When taking off, an important requirement of being in a plane is a flight suit so that the G-forces don’t make your organs explode. It sounds silly, but you’ll be lucky you had it"&amp;". So, have a nifty flight suit to help keep any pressure issues down while you're in the sky, on the house. It can come in any color you wish with a snazzy helmet to boot, ensuring that you’re the most glamorous pilot in the sky.
Item")</f>
        <v>Chapter 35: 29 Presentation - Addendum Emily
Flight Suit (Ace Combat) Free:
When taking off, an important requirement of being in a plane is a flight suit so that the G-forces don’t make your organs explode. It sounds silly, but you’ll be lucky you had it. So, have a nifty flight suit to help keep any pressure issues down while you're in the sky, on the house. It can come in any color you wish with a snazzy helmet to boot, ensuring that you’re the most glamorous pilot in the sky.
Item</v>
      </c>
      <c r="B281" s="17">
        <f>IFERROR(__xludf.DUMMYFUNCTION("if(len(A281)&gt;0, value(REGEXEXTRACT(A281, ""Chapter ([0-9]*):"")), """")"),35.0)</f>
        <v>35</v>
      </c>
      <c r="C281" s="31" t="str">
        <f>IFERROR(__xludf.DUMMYFUNCTION("if(len(A281) &gt;0, REGEXEXTRACT(A281, ""Chapter [0-9]*: (.*)""), """")"),"29 Presentation - Addendum Emily")</f>
        <v>29 Presentation - Addendum Emily</v>
      </c>
      <c r="D281" s="31" t="str">
        <f>IFERROR(__xludf.DUMMYFUNCTION("if(len(A281)&gt;0, REGEXEXTRACT(A281, ""\n[^\(]*""), """")"),"
Flight Suit ")</f>
        <v>
Flight Suit </v>
      </c>
      <c r="E281" s="17" t="str">
        <f>IFERROR(__xludf.DUMMYFUNCTION("if(len(A281)&gt;0, REGEXEXTRACT(A281, ""\n([^\n]*)$""), """")"),"Item")</f>
        <v>Item</v>
      </c>
      <c r="F281" s="17" t="str">
        <f>IFERROR(__xludf.DUMMYFUNCTION("if(len(A281)&gt;0, REGEXEXTRACT(A281, ""\(([^\)]*)\)""), """")"),"Ace Combat")</f>
        <v>Ace Combat</v>
      </c>
      <c r="G281" s="17" t="str">
        <f>IFERROR(__xludf.DUMMYFUNCTION("if(len(A281)&gt;0, REGEXEXTRACT(A281, ""\)([^:]*):""), """")")," Free")</f>
        <v> Free</v>
      </c>
      <c r="H281" s="31" t="str">
        <f>IFERROR(__xludf.DUMMYFUNCTION("if(len(A281) &gt; 0, JOIN(char(10), FILTER(SPLIT(A281, char(10)), split(""false false "" &amp; rept(""true "", columns(SPLIT(A281, char(10)))-3) &amp; ""false"", "" ""))), """")"),"When taking off, an important requirement of being in a plane is a flight suit so that the G-forces don’t make your organs explode. It sounds silly, but you’ll be lucky you had it. So, have a nifty flight suit to help keep any pressure issues down while y"&amp;"ou're in the sky, on the house. It can come in any color you wish with a snazzy helmet to boot, ensuring that you’re the most glamorous pilot in the sky.")</f>
        <v>When taking off, an important requirement of being in a plane is a flight suit so that the G-forces don’t make your organs explode. It sounds silly, but you’ll be lucky you had it. So, have a nifty flight suit to help keep any pressure issues down while you're in the sky, on the house. It can come in any color you wish with a snazzy helmet to boot, ensuring that you’re the most glamorous pilot in the sky.</v>
      </c>
    </row>
    <row r="282">
      <c r="A282" s="31" t="str">
        <f>IFERROR(__xludf.DUMMYFUNCTION("""COMPUTED_VALUE"""),"Chapter 35: 29 Presentation - Addendum Emily
Hangar (Ace Combat) 100:
Sure you might be able to get a fighter plane… but where are you going to store it? You can’t just leave your vehicle to the mercy of the elements, it would cause all manners of damage "&amp;"to the plane and then you might be really in a bind. That’s why if you come out of this with a plane (or end up importing one) you can obtain a hangar bay which has the tools needed to keep the plane in good shape and can stand up to most forms of weather"&amp;". It can even attach to a property or the Warehouse after your time here should it please you. For an undiscounted +100CP, this turns into an automated hangar bay with heavy arms and equipment to make repairing and moving the plane significantly easier.
F"&amp;"acility")</f>
        <v>Chapter 35: 29 Presentation - Addendum Emily
Hangar (Ace Combat) 100:
Sure you might be able to get a fighter plane… but where are you going to store it? You can’t just leave your vehicle to the mercy of the elements, it would cause all manners of damage to the plane and then you might be really in a bind. That’s why if you come out of this with a plane (or end up importing one) you can obtain a hangar bay which has the tools needed to keep the plane in good shape and can stand up to most forms of weather. It can even attach to a property or the Warehouse after your time here should it please you. For an undiscounted +100CP, this turns into an automated hangar bay with heavy arms and equipment to make repairing and moving the plane significantly easier.
Facility</v>
      </c>
      <c r="B282" s="17">
        <f>IFERROR(__xludf.DUMMYFUNCTION("if(len(A282)&gt;0, value(REGEXEXTRACT(A282, ""Chapter ([0-9]*):"")), """")"),35.0)</f>
        <v>35</v>
      </c>
      <c r="C282" s="31" t="str">
        <f>IFERROR(__xludf.DUMMYFUNCTION("if(len(A282) &gt;0, REGEXEXTRACT(A282, ""Chapter [0-9]*: (.*)""), """")"),"29 Presentation - Addendum Emily")</f>
        <v>29 Presentation - Addendum Emily</v>
      </c>
      <c r="D282" s="31" t="str">
        <f>IFERROR(__xludf.DUMMYFUNCTION("if(len(A282)&gt;0, REGEXEXTRACT(A282, ""\n[^\(]*""), """")"),"
Hangar ")</f>
        <v>
Hangar </v>
      </c>
      <c r="E282" s="17" t="str">
        <f>IFERROR(__xludf.DUMMYFUNCTION("if(len(A282)&gt;0, REGEXEXTRACT(A282, ""\n([^\n]*)$""), """")"),"Facility")</f>
        <v>Facility</v>
      </c>
      <c r="F282" s="17" t="str">
        <f>IFERROR(__xludf.DUMMYFUNCTION("if(len(A282)&gt;0, REGEXEXTRACT(A282, ""\(([^\)]*)\)""), """")"),"Ace Combat")</f>
        <v>Ace Combat</v>
      </c>
      <c r="G282" s="17" t="str">
        <f>IFERROR(__xludf.DUMMYFUNCTION("if(len(A282)&gt;0, REGEXEXTRACT(A282, ""\)([^:]*):""), """")")," 100")</f>
        <v> 100</v>
      </c>
      <c r="H282" s="31" t="str">
        <f>IFERROR(__xludf.DUMMYFUNCTION("if(len(A282) &gt; 0, JOIN(char(10), FILTER(SPLIT(A282, char(10)), split(""false false "" &amp; rept(""true "", columns(SPLIT(A282, char(10)))-3) &amp; ""false"", "" ""))), """")"),"Sure you might be able to get a fighter plane… but where are you going to store it? You can’t just leave your vehicle to the mercy of the elements, it would cause all manners of damage to the plane and then you might be really in a bind. That’s why if you"&amp;" come out of this with a plane (or end up importing one) you can obtain a hangar bay which has the tools needed to keep the plane in good shape and can stand up to most forms of weather. It can even attach to a property or the Warehouse after your time he"&amp;"re should it please you. For an undiscounted +100CP, this turns into an automated hangar bay with heavy arms and equipment to make repairing and moving the plane significantly easier.")</f>
        <v>Sure you might be able to get a fighter plane… but where are you going to store it? You can’t just leave your vehicle to the mercy of the elements, it would cause all manners of damage to the plane and then you might be really in a bind. That’s why if you come out of this with a plane (or end up importing one) you can obtain a hangar bay which has the tools needed to keep the plane in good shape and can stand up to most forms of weather. It can even attach to a property or the Warehouse after your time here should it please you. For an undiscounted +100CP, this turns into an automated hangar bay with heavy arms and equipment to make repairing and moving the plane significantly easier.</v>
      </c>
    </row>
    <row r="283">
      <c r="A283" s="31" t="str">
        <f>IFERROR(__xludf.DUMMYFUNCTION("""COMPUTED_VALUE"""),"Chapter 35: 29 Presentation - Addendum Emily
Missile Surplus (Ace Combat) Free:
Well this is odd. Any plane you pilot seems to hold an unnatural number of missiles for its type, far more than it should. You're not sure where it's getting this many missile"&amp;"s, but you'll have to restock them if you run out. The same thing happens with special weapons, though you have to have a working model to attach if you want to swap it out. The standard number of missiles thanks to 'Missile Surplus' is 150 missiles on a "&amp;"plane, barring any differences depending on the description of the weapon.
Fiat")</f>
        <v>Chapter 35: 29 Presentation - Addendum Emily
Missile Surplus (Ace Combat) Free:
Well this is odd. Any plane you pilot seems to hold an unnatural number of missiles for its type, far more than it should. You're not sure where it's getting this many missiles, but you'll have to restock them if you run out. The same thing happens with special weapons, though you have to have a working model to attach if you want to swap it out. The standard number of missiles thanks to 'Missile Surplus' is 150 missiles on a plane, barring any differences depending on the description of the weapon.
Fiat</v>
      </c>
      <c r="B283" s="17">
        <f>IFERROR(__xludf.DUMMYFUNCTION("if(len(A283)&gt;0, value(REGEXEXTRACT(A283, ""Chapter ([0-9]*):"")), """")"),35.0)</f>
        <v>35</v>
      </c>
      <c r="C283" s="31" t="str">
        <f>IFERROR(__xludf.DUMMYFUNCTION("if(len(A283) &gt;0, REGEXEXTRACT(A283, ""Chapter [0-9]*: (.*)""), """")"),"29 Presentation - Addendum Emily")</f>
        <v>29 Presentation - Addendum Emily</v>
      </c>
      <c r="D283" s="31" t="str">
        <f>IFERROR(__xludf.DUMMYFUNCTION("if(len(A283)&gt;0, REGEXEXTRACT(A283, ""\n[^\(]*""), """")"),"
Missile Surplus ")</f>
        <v>
Missile Surplus </v>
      </c>
      <c r="E283" s="17" t="str">
        <f>IFERROR(__xludf.DUMMYFUNCTION("if(len(A283)&gt;0, REGEXEXTRACT(A283, ""\n([^\n]*)$""), """")"),"Fiat")</f>
        <v>Fiat</v>
      </c>
      <c r="F283" s="17" t="str">
        <f>IFERROR(__xludf.DUMMYFUNCTION("if(len(A283)&gt;0, REGEXEXTRACT(A283, ""\(([^\)]*)\)""), """")"),"Ace Combat")</f>
        <v>Ace Combat</v>
      </c>
      <c r="G283" s="17" t="str">
        <f>IFERROR(__xludf.DUMMYFUNCTION("if(len(A283)&gt;0, REGEXEXTRACT(A283, ""\)([^:]*):""), """")")," Free")</f>
        <v> Free</v>
      </c>
      <c r="H283" s="31" t="str">
        <f>IFERROR(__xludf.DUMMYFUNCTION("if(len(A283) &gt; 0, JOIN(char(10), FILTER(SPLIT(A283, char(10)), split(""false false "" &amp; rept(""true "", columns(SPLIT(A283, char(10)))-3) &amp; ""false"", "" ""))), """")"),"Well this is odd. Any plane you pilot seems to hold an unnatural number of missiles for its type, far more than it should. You're not sure where it's getting this many missiles, but you'll have to restock them if you run out. The same thing happens with s"&amp;"pecial weapons, though you have to have a working model to attach if you want to swap it out. The standard number of missiles thanks to 'Missile Surplus' is 150 missiles on a plane, barring any differences depending on the description of the weapon.")</f>
        <v>Well this is odd. Any plane you pilot seems to hold an unnatural number of missiles for its type, far more than it should. You're not sure where it's getting this many missiles, but you'll have to restock them if you run out. The same thing happens with special weapons, though you have to have a working model to attach if you want to swap it out. The standard number of missiles thanks to 'Missile Surplus' is 150 missiles on a plane, barring any differences depending on the description of the weapon.</v>
      </c>
    </row>
    <row r="284">
      <c r="A284" s="31" t="str">
        <f>IFERROR(__xludf.DUMMYFUNCTION("""COMPUTED_VALUE"""),"Chapter 35: 29 Presentation - Addendum Emily
The Arcane Craft (Sword and Sorcery) 300:
As much as you might look down upon brutes and barbarians who know only how to break bone and spill blood, you and the warriors of this land have one thing in common. "&amp;"You require the tools of your trade. You know all the methods and ways to bind arcane and mysterious forces into physical vessels. Rings, staves, talismans, warded stone towers, and even more. These items allow the channeling of such forces to work your w"&amp;"ill, capturing, bending, and shaping the worlds invisible tides to enable works of sorcery and occult splendor. The strength of these items and their effects rely on your skill, knowledge, and power. Of course should you yourself be a font of such forces "&amp;"from your varied lives then you would be surely capable of building the focuses and talismans to augment and amplify your power. The world rewards men for diligent labor. It would behoove you to refine this art to get everything you can out of it. This al"&amp;"so includes the skill to use such items, even those not made by your hand should you have the ability to reveal their secrets.
System")</f>
        <v>Chapter 35: 29 Presentation - Addendum Emily
The Arcane Craft (Sword and Sorcery) 300:
As much as you might look down upon brutes and barbarians who know only how to break bone and spill blood, you and the warriors of this land have one thing in common. You require the tools of your trade. You know all the methods and ways to bind arcane and mysterious forces into physical vessels. Rings, staves, talismans, warded stone towers, and even more. These items allow the channeling of such forces to work your will, capturing, bending, and shaping the worlds invisible tides to enable works of sorcery and occult splendor. The strength of these items and their effects rely on your skill, knowledge, and power. Of course should you yourself be a font of such forces from your varied lives then you would be surely capable of building the focuses and talismans to augment and amplify your power. The world rewards men for diligent labor. It would behoove you to refine this art to get everything you can out of it. This also includes the skill to use such items, even those not made by your hand should you have the ability to reveal their secrets.
System</v>
      </c>
      <c r="B284" s="17">
        <f>IFERROR(__xludf.DUMMYFUNCTION("if(len(A284)&gt;0, value(REGEXEXTRACT(A284, ""Chapter ([0-9]*):"")), """")"),35.0)</f>
        <v>35</v>
      </c>
      <c r="C284" s="31" t="str">
        <f>IFERROR(__xludf.DUMMYFUNCTION("if(len(A284) &gt;0, REGEXEXTRACT(A284, ""Chapter [0-9]*: (.*)""), """")"),"29 Presentation - Addendum Emily
")</f>
        <v>29 Presentation - Addendum Emily
</v>
      </c>
      <c r="D284" s="31" t="str">
        <f>IFERROR(__xludf.DUMMYFUNCTION("if(len(A284)&gt;0, REGEXEXTRACT(A284, ""\n[^\(]*""), """")"),"
The Arcane Craft ")</f>
        <v>
The Arcane Craft </v>
      </c>
      <c r="E284" s="17" t="str">
        <f>IFERROR(__xludf.DUMMYFUNCTION("if(len(A284)&gt;0, REGEXEXTRACT(A284, ""\n([^\n]*)$""), """")"),"System")</f>
        <v>System</v>
      </c>
      <c r="F284" s="17" t="str">
        <f>IFERROR(__xludf.DUMMYFUNCTION("if(len(A284)&gt;0, REGEXEXTRACT(A284, ""\(([^\)]*)\)""), """")"),"Sword and Sorcery")</f>
        <v>Sword and Sorcery</v>
      </c>
      <c r="G284" s="17" t="str">
        <f>IFERROR(__xludf.DUMMYFUNCTION("if(len(A284)&gt;0, REGEXEXTRACT(A284, ""\)([^:]*):""), """")")," 300")</f>
        <v> 300</v>
      </c>
      <c r="H284" s="31" t="str">
        <f>IFERROR(__xludf.DUMMYFUNCTION("if(len(A284) &gt; 0, JOIN(char(10), FILTER(SPLIT(A284, char(10)), split(""false false "" &amp; rept(""true "", columns(SPLIT(A284, char(10)))-3) &amp; ""false"", "" ""))), """")"),"As much as you might look down upon brutes and barbarians who know only how to break bone and spill blood, you and the warriors of this land have one thing in common. You require the tools of your trade. You know all the methods and ways to bind arcane an"&amp;"d mysterious forces into physical vessels. Rings, staves, talismans, warded stone towers, and even more. These items allow the channeling of such forces to work your will, capturing, bending, and shaping the worlds invisible tides to enable works of sorce"&amp;"ry and occult splendor. The strength of these items and their effects rely on your skill, knowledge, and power. Of course should you yourself be a font of such forces from your varied lives then you would be surely capable of building the focuses and tali"&amp;"smans to augment and amplify your power. The world rewards men for diligent labor. It would behoove you to refine this art to get everything you can out of it. This also includes the skill to use such items, even those not made by your hand should you hav"&amp;"e the ability to reveal their secrets.")</f>
        <v>As much as you might look down upon brutes and barbarians who know only how to break bone and spill blood, you and the warriors of this land have one thing in common. You require the tools of your trade. You know all the methods and ways to bind arcane and mysterious forces into physical vessels. Rings, staves, talismans, warded stone towers, and even more. These items allow the channeling of such forces to work your will, capturing, bending, and shaping the worlds invisible tides to enable works of sorcery and occult splendor. The strength of these items and their effects rely on your skill, knowledge, and power. Of course should you yourself be a font of such forces from your varied lives then you would be surely capable of building the focuses and talismans to augment and amplify your power. The world rewards men for diligent labor. It would behoove you to refine this art to get everything you can out of it. This also includes the skill to use such items, even those not made by your hand should you have the ability to reveal their secrets.</v>
      </c>
    </row>
    <row r="285">
      <c r="A285" s="31" t="str">
        <f>IFERROR(__xludf.DUMMYFUNCTION("""COMPUTED_VALUE"""),"Chapter 36: 30 Crescendo - Addendum Missy
Alkahestry (Fullmetal Alchemist) 300:
You can feel The Dragon’s Pulse. You understand how to perfom basic Alkahestry, an art from Xing wich can perform transmutation from a distance using linked circles, and can h"&amp;"eal wounds of many kinds by following the pulse of the body. With practice or tutoring you can make a real skill from it.
System")</f>
        <v>Chapter 36: 30 Crescendo - Addendum Missy
Alkahestry (Fullmetal Alchemist) 300:
You can feel The Dragon’s Pulse. You understand how to perfom basic Alkahestry, an art from Xing wich can perform transmutation from a distance using linked circles, and can heal wounds of many kinds by following the pulse of the body. With practice or tutoring you can make a real skill from it.
System</v>
      </c>
      <c r="B285" s="17">
        <f>IFERROR(__xludf.DUMMYFUNCTION("if(len(A285)&gt;0, value(REGEXEXTRACT(A285, ""Chapter ([0-9]*):"")), """")"),36.0)</f>
        <v>36</v>
      </c>
      <c r="C285" s="31" t="str">
        <f>IFERROR(__xludf.DUMMYFUNCTION("if(len(A285) &gt;0, REGEXEXTRACT(A285, ""Chapter [0-9]*: (.*)""), """")"),"30 Crescendo - Addendum Missy")</f>
        <v>30 Crescendo - Addendum Missy</v>
      </c>
      <c r="D285" s="31" t="str">
        <f>IFERROR(__xludf.DUMMYFUNCTION("if(len(A285)&gt;0, REGEXEXTRACT(A285, ""\n[^\(]*""), """")"),"
Alkahestry ")</f>
        <v>
Alkahestry </v>
      </c>
      <c r="E285" s="17" t="str">
        <f>IFERROR(__xludf.DUMMYFUNCTION("if(len(A285)&gt;0, REGEXEXTRACT(A285, ""\n([^\n]*)$""), """")"),"System")</f>
        <v>System</v>
      </c>
      <c r="F285" s="17" t="str">
        <f>IFERROR(__xludf.DUMMYFUNCTION("if(len(A285)&gt;0, REGEXEXTRACT(A285, ""\(([^\)]*)\)""), """")"),"Fullmetal Alchemist")</f>
        <v>Fullmetal Alchemist</v>
      </c>
      <c r="G285" s="17" t="str">
        <f>IFERROR(__xludf.DUMMYFUNCTION("if(len(A285)&gt;0, REGEXEXTRACT(A285, ""\)([^:]*):""), """")")," 300")</f>
        <v> 300</v>
      </c>
      <c r="H285" s="31" t="str">
        <f>IFERROR(__xludf.DUMMYFUNCTION("if(len(A285) &gt; 0, JOIN(char(10), FILTER(SPLIT(A285, char(10)), split(""false false "" &amp; rept(""true "", columns(SPLIT(A285, char(10)))-3) &amp; ""false"", "" ""))), """")"),"You can feel The Dragon’s Pulse. You understand how to perfom basic Alkahestry, an art from Xing wich can perform transmutation from a distance using linked circles, and can heal wounds of many kinds by following the pulse of the body. With practice or tu"&amp;"toring you can make a real skill from it.")</f>
        <v>You can feel The Dragon’s Pulse. You understand how to perfom basic Alkahestry, an art from Xing wich can perform transmutation from a distance using linked circles, and can heal wounds of many kinds by following the pulse of the body. With practice or tutoring you can make a real skill from it.</v>
      </c>
    </row>
    <row r="286">
      <c r="A286" s="31" t="str">
        <f>IFERROR(__xludf.DUMMYFUNCTION("""COMPUTED_VALUE"""),"Chapter 36: 30 Crescendo - Addendum Missy
Bandit Gunsmith (Borderlands) 100:
You have amazing technical insight and when shown to a pile of broken weapons or energy shields you can use parts from some to reassemble others into decent condition. Don't expe"&amp;"ct it to be pretty, but you can nail 15 repeater pistols together to make a functional shotgun, or use bits of five shields to make one that works.
Fiat")</f>
        <v>Chapter 36: 30 Crescendo - Addendum Missy
Bandit Gunsmith (Borderlands) 100:
You have amazing technical insight and when shown to a pile of broken weapons or energy shields you can use parts from some to reassemble others into decent condition. Don't expect it to be pretty, but you can nail 15 repeater pistols together to make a functional shotgun, or use bits of five shields to make one that works.
Fiat</v>
      </c>
      <c r="B286" s="17">
        <f>IFERROR(__xludf.DUMMYFUNCTION("if(len(A286)&gt;0, value(REGEXEXTRACT(A286, ""Chapter ([0-9]*):"")), """")"),36.0)</f>
        <v>36</v>
      </c>
      <c r="C286" s="31" t="str">
        <f>IFERROR(__xludf.DUMMYFUNCTION("if(len(A286) &gt;0, REGEXEXTRACT(A286, ""Chapter [0-9]*: (.*)""), """")"),"30 Crescendo - Addendum Missy")</f>
        <v>30 Crescendo - Addendum Missy</v>
      </c>
      <c r="D286" s="31" t="str">
        <f>IFERROR(__xludf.DUMMYFUNCTION("if(len(A286)&gt;0, REGEXEXTRACT(A286, ""\n[^\(]*""), """")"),"
Bandit Gunsmith ")</f>
        <v>
Bandit Gunsmith </v>
      </c>
      <c r="E286" s="17" t="str">
        <f>IFERROR(__xludf.DUMMYFUNCTION("if(len(A286)&gt;0, REGEXEXTRACT(A286, ""\n([^\n]*)$""), """")"),"Fiat")</f>
        <v>Fiat</v>
      </c>
      <c r="F286" s="17" t="str">
        <f>IFERROR(__xludf.DUMMYFUNCTION("if(len(A286)&gt;0, REGEXEXTRACT(A286, ""\(([^\)]*)\)""), """")"),"Borderlands")</f>
        <v>Borderlands</v>
      </c>
      <c r="G286" s="17" t="str">
        <f>IFERROR(__xludf.DUMMYFUNCTION("if(len(A286)&gt;0, REGEXEXTRACT(A286, ""\)([^:]*):""), """")")," 100")</f>
        <v> 100</v>
      </c>
      <c r="H286" s="31" t="str">
        <f>IFERROR(__xludf.DUMMYFUNCTION("if(len(A286) &gt; 0, JOIN(char(10), FILTER(SPLIT(A286, char(10)), split(""false false "" &amp; rept(""true "", columns(SPLIT(A286, char(10)))-3) &amp; ""false"", "" ""))), """")"),"You have amazing technical insight and when shown to a pile of broken weapons or energy shields you can use parts from some to reassemble others into decent condition. Don't expect it to be pretty, but you can nail 15 repeater pistols together to make a f"&amp;"unctional shotgun, or use bits of five shields to make one that works.")</f>
        <v>You have amazing technical insight and when shown to a pile of broken weapons or energy shields you can use parts from some to reassemble others into decent condition. Don't expect it to be pretty, but you can nail 15 repeater pistols together to make a functional shotgun, or use bits of five shields to make one that works.</v>
      </c>
    </row>
    <row r="287">
      <c r="A287" s="31" t="str">
        <f>IFERROR(__xludf.DUMMYFUNCTION("""COMPUTED_VALUE"""),"Chapter 36: 30 Crescendo - Addendum Missy
Build That Wall (Bastion) 100:
You know the basics of Caelondian technology. You understand how to harness the semimystical power of Cores and turn it into usable Mantic energy, to power basic machinery, shortrang"&amp;"e flying machines, computers, and a variety of other uses. More interestingly, you can use Core power to reinforce existing structures, running a Matic current through it to enhance whatever physical properties it possesses usually durability, though othe"&amp;"r uses are possible. This is what allowed structures like the Rippling Wall and the Bastion to survive the Calamity as well as they did. You also gain basic skill for mundane construction.
System")</f>
        <v>Chapter 36: 30 Crescendo - Addendum Missy
Build That Wall (Bastion) 100:
You know the basics of Caelondian technology. You understand how to harness the semimystical power of Cores and turn it into usable Mantic energy, to power basic machinery, shortrange flying machines, computers, and a variety of other uses. More interestingly, you can use Core power to reinforce existing structures, running a Matic current through it to enhance whatever physical properties it possesses usually durability, though other uses are possible. This is what allowed structures like the Rippling Wall and the Bastion to survive the Calamity as well as they did. You also gain basic skill for mundane construction.
System</v>
      </c>
      <c r="B287" s="17">
        <f>IFERROR(__xludf.DUMMYFUNCTION("if(len(A287)&gt;0, value(REGEXEXTRACT(A287, ""Chapter ([0-9]*):"")), """")"),36.0)</f>
        <v>36</v>
      </c>
      <c r="C287" s="31" t="str">
        <f>IFERROR(__xludf.DUMMYFUNCTION("if(len(A287) &gt;0, REGEXEXTRACT(A287, ""Chapter [0-9]*: (.*)""), """")"),"30 Crescendo - Addendum Missy")</f>
        <v>30 Crescendo - Addendum Missy</v>
      </c>
      <c r="D287" s="31" t="str">
        <f>IFERROR(__xludf.DUMMYFUNCTION("if(len(A287)&gt;0, REGEXEXTRACT(A287, ""\n[^\(]*""), """")"),"
Build That Wall ")</f>
        <v>
Build That Wall </v>
      </c>
      <c r="E287" s="17" t="str">
        <f>IFERROR(__xludf.DUMMYFUNCTION("if(len(A287)&gt;0, REGEXEXTRACT(A287, ""\n([^\n]*)$""), """")"),"System")</f>
        <v>System</v>
      </c>
      <c r="F287" s="17" t="str">
        <f>IFERROR(__xludf.DUMMYFUNCTION("if(len(A287)&gt;0, REGEXEXTRACT(A287, ""\(([^\)]*)\)""), """")"),"Bastion")</f>
        <v>Bastion</v>
      </c>
      <c r="G287" s="17" t="str">
        <f>IFERROR(__xludf.DUMMYFUNCTION("if(len(A287)&gt;0, REGEXEXTRACT(A287, ""\)([^:]*):""), """")")," 100")</f>
        <v> 100</v>
      </c>
      <c r="H287" s="31" t="str">
        <f>IFERROR(__xludf.DUMMYFUNCTION("if(len(A287) &gt; 0, JOIN(char(10), FILTER(SPLIT(A287, char(10)), split(""false false "" &amp; rept(""true "", columns(SPLIT(A287, char(10)))-3) &amp; ""false"", "" ""))), """")"),"You know the basics of Caelondian technology. You understand how to harness the semimystical power of Cores and turn it into usable Mantic energy, to power basic machinery, shortrange flying machines, computers, and a variety of other uses. More interesti"&amp;"ngly, you can use Core power to reinforce existing structures, running a Matic current through it to enhance whatever physical properties it possesses usually durability, though other uses are possible. This is what allowed structures like the Rippling Wa"&amp;"ll and the Bastion to survive the Calamity as well as they did. You also gain basic skill for mundane construction.")</f>
        <v>You know the basics of Caelondian technology. You understand how to harness the semimystical power of Cores and turn it into usable Mantic energy, to power basic machinery, shortrange flying machines, computers, and a variety of other uses. More interestingly, you can use Core power to reinforce existing structures, running a Matic current through it to enhance whatever physical properties it possesses usually durability, though other uses are possible. This is what allowed structures like the Rippling Wall and the Bastion to survive the Calamity as well as they did. You also gain basic skill for mundane construction.</v>
      </c>
    </row>
    <row r="288">
      <c r="A288" s="31" t="str">
        <f>IFERROR(__xludf.DUMMYFUNCTION("""COMPUTED_VALUE"""),"Chapter 36: 30 Crescendo - Addendum Missy
Juggernaut (Terraria) 200:
Your armor is a lot more effective at doing what it does just by the sheer virtue of it being latched onto and wrapped around your fleshy bits. Not to get too far into the math of it, yo"&amp;"ur armor is about half-again more effective than it would be otherwise.
Personal")</f>
        <v>Chapter 36: 30 Crescendo - Addendum Missy
Juggernaut (Terraria) 200:
Your armor is a lot more effective at doing what it does just by the sheer virtue of it being latched onto and wrapped around your fleshy bits. Not to get too far into the math of it, your armor is about half-again more effective than it would be otherwise.
Personal</v>
      </c>
      <c r="B288" s="17">
        <f>IFERROR(__xludf.DUMMYFUNCTION("if(len(A288)&gt;0, value(REGEXEXTRACT(A288, ""Chapter ([0-9]*):"")), """")"),36.0)</f>
        <v>36</v>
      </c>
      <c r="C288" s="31" t="str">
        <f>IFERROR(__xludf.DUMMYFUNCTION("if(len(A288) &gt;0, REGEXEXTRACT(A288, ""Chapter [0-9]*: (.*)""), """")"),"30 Crescendo - Addendum Missy")</f>
        <v>30 Crescendo - Addendum Missy</v>
      </c>
      <c r="D288" s="31" t="str">
        <f>IFERROR(__xludf.DUMMYFUNCTION("if(len(A288)&gt;0, REGEXEXTRACT(A288, ""\n[^\(]*""), """")"),"
Juggernaut ")</f>
        <v>
Juggernaut </v>
      </c>
      <c r="E288" s="17" t="str">
        <f>IFERROR(__xludf.DUMMYFUNCTION("if(len(A288)&gt;0, REGEXEXTRACT(A288, ""\n([^\n]*)$""), """")"),"Personal")</f>
        <v>Personal</v>
      </c>
      <c r="F288" s="17" t="str">
        <f>IFERROR(__xludf.DUMMYFUNCTION("if(len(A288)&gt;0, REGEXEXTRACT(A288, ""\(([^\)]*)\)""), """")"),"Terraria")</f>
        <v>Terraria</v>
      </c>
      <c r="G288" s="17" t="str">
        <f>IFERROR(__xludf.DUMMYFUNCTION("if(len(A288)&gt;0, REGEXEXTRACT(A288, ""\)([^:]*):""), """")")," 200")</f>
        <v> 200</v>
      </c>
      <c r="H288" s="31" t="str">
        <f>IFERROR(__xludf.DUMMYFUNCTION("if(len(A288) &gt; 0, JOIN(char(10), FILTER(SPLIT(A288, char(10)), split(""false false "" &amp; rept(""true "", columns(SPLIT(A288, char(10)))-3) &amp; ""false"", "" ""))), """")"),"Your armor is a lot more effective at doing what it does just by the sheer virtue of it being latched onto and wrapped around your fleshy bits. Not to get too far into the math of it, your armor is about half-again more effective than it would be otherwis"&amp;"e.")</f>
        <v>Your armor is a lot more effective at doing what it does just by the sheer virtue of it being latched onto and wrapped around your fleshy bits. Not to get too far into the math of it, your armor is about half-again more effective than it would be otherwise.</v>
      </c>
    </row>
    <row r="289">
      <c r="A289" s="31" t="str">
        <f>IFERROR(__xludf.DUMMYFUNCTION("""COMPUTED_VALUE"""),"Chapter 36: 30 Crescendo - Addendum Missy
Phonograph (Bastion) Free:
An old-fashioned hand-cranked phonograph. Very sturdy, gives much higher-quality sound than you’d expect. Has a single record with the full OST for the Bastion game, as well as several a"&amp;"dditional Caelondian and Ura folk songs.
Item")</f>
        <v>Chapter 36: 30 Crescendo - Addendum Missy
Phonograph (Bastion) Free:
An old-fashioned hand-cranked phonograph. Very sturdy, gives much higher-quality sound than you’d expect. Has a single record with the full OST for the Bastion game, as well as several additional Caelondian and Ura folk songs.
Item</v>
      </c>
      <c r="B289" s="17">
        <f>IFERROR(__xludf.DUMMYFUNCTION("if(len(A289)&gt;0, value(REGEXEXTRACT(A289, ""Chapter ([0-9]*):"")), """")"),36.0)</f>
        <v>36</v>
      </c>
      <c r="C289" s="31" t="str">
        <f>IFERROR(__xludf.DUMMYFUNCTION("if(len(A289) &gt;0, REGEXEXTRACT(A289, ""Chapter [0-9]*: (.*)""), """")"),"30 Crescendo - Addendum Missy")</f>
        <v>30 Crescendo - Addendum Missy</v>
      </c>
      <c r="D289" s="31" t="str">
        <f>IFERROR(__xludf.DUMMYFUNCTION("if(len(A289)&gt;0, REGEXEXTRACT(A289, ""\n[^\(]*""), """")"),"
Phonograph ")</f>
        <v>
Phonograph </v>
      </c>
      <c r="E289" s="17" t="str">
        <f>IFERROR(__xludf.DUMMYFUNCTION("if(len(A289)&gt;0, REGEXEXTRACT(A289, ""\n([^\n]*)$""), """")"),"Item")</f>
        <v>Item</v>
      </c>
      <c r="F289" s="17" t="str">
        <f>IFERROR(__xludf.DUMMYFUNCTION("if(len(A289)&gt;0, REGEXEXTRACT(A289, ""\(([^\)]*)\)""), """")"),"Bastion")</f>
        <v>Bastion</v>
      </c>
      <c r="G289" s="17" t="str">
        <f>IFERROR(__xludf.DUMMYFUNCTION("if(len(A289)&gt;0, REGEXEXTRACT(A289, ""\)([^:]*):""), """")")," Free")</f>
        <v> Free</v>
      </c>
      <c r="H289" s="31" t="str">
        <f>IFERROR(__xludf.DUMMYFUNCTION("if(len(A289) &gt; 0, JOIN(char(10), FILTER(SPLIT(A289, char(10)), split(""false false "" &amp; rept(""true "", columns(SPLIT(A289, char(10)))-3) &amp; ""false"", "" ""))), """")"),"An old-fashioned hand-cranked phonograph. Very sturdy, gives much higher-quality sound than you’d expect. Has a single record with the full OST for the Bastion game, as well as several additional Caelondian and Ura folk songs.")</f>
        <v>An old-fashioned hand-cranked phonograph. Very sturdy, gives much higher-quality sound than you’d expect. Has a single record with the full OST for the Bastion game, as well as several additional Caelondian and Ura folk songs.</v>
      </c>
    </row>
    <row r="290">
      <c r="A290" s="31" t="str">
        <f>IFERROR(__xludf.DUMMYFUNCTION("""COMPUTED_VALUE"""),"Chapter 36: 30 Crescendo - Addendum Missy
Workshop: Magic (Samurai Jack) 200:
A small base filled with all the equipment you’ll need to work. This lab can be used for your choice of scientific or magical research.
Facility")</f>
        <v>Chapter 36: 30 Crescendo - Addendum Missy
Workshop: Magic (Samurai Jack) 200:
A small base filled with all the equipment you’ll need to work. This lab can be used for your choice of scientific or magical research.
Facility</v>
      </c>
      <c r="B290" s="17">
        <f>IFERROR(__xludf.DUMMYFUNCTION("if(len(A290)&gt;0, value(REGEXEXTRACT(A290, ""Chapter ([0-9]*):"")), """")"),36.0)</f>
        <v>36</v>
      </c>
      <c r="C290" s="31" t="str">
        <f>IFERROR(__xludf.DUMMYFUNCTION("if(len(A290) &gt;0, REGEXEXTRACT(A290, ""Chapter [0-9]*: (.*)""), """")"),"30 Crescendo - Addendum Missy")</f>
        <v>30 Crescendo - Addendum Missy</v>
      </c>
      <c r="D290" s="31" t="str">
        <f>IFERROR(__xludf.DUMMYFUNCTION("if(len(A290)&gt;0, REGEXEXTRACT(A290, ""\n[^\(]*""), """")"),"
Workshop: Magic ")</f>
        <v>
Workshop: Magic </v>
      </c>
      <c r="E290" s="17" t="str">
        <f>IFERROR(__xludf.DUMMYFUNCTION("if(len(A290)&gt;0, REGEXEXTRACT(A290, ""\n([^\n]*)$""), """")"),"Facility")</f>
        <v>Facility</v>
      </c>
      <c r="F290" s="17" t="str">
        <f>IFERROR(__xludf.DUMMYFUNCTION("if(len(A290)&gt;0, REGEXEXTRACT(A290, ""\(([^\)]*)\)""), """")"),"Samurai Jack")</f>
        <v>Samurai Jack</v>
      </c>
      <c r="G290" s="17" t="str">
        <f>IFERROR(__xludf.DUMMYFUNCTION("if(len(A290)&gt;0, REGEXEXTRACT(A290, ""\)([^:]*):""), """")")," 200")</f>
        <v> 200</v>
      </c>
      <c r="H290" s="31" t="str">
        <f>IFERROR(__xludf.DUMMYFUNCTION("if(len(A290) &gt; 0, JOIN(char(10), FILTER(SPLIT(A290, char(10)), split(""false false "" &amp; rept(""true "", columns(SPLIT(A290, char(10)))-3) &amp; ""false"", "" ""))), """")"),"A small base filled with all the equipment you’ll need to work. This lab can be used for your choice of scientific or magical research.")</f>
        <v>A small base filled with all the equipment you’ll need to work. This lab can be used for your choice of scientific or magical research.</v>
      </c>
    </row>
    <row r="291">
      <c r="A291" s="31" t="str">
        <f>IFERROR(__xludf.DUMMYFUNCTION("""COMPUTED_VALUE"""),"Chapter 36: 30 Crescendo - Addendum Missy
Advanced Materials Upgrade Kit (Light of Terra 4 - Lords of the Iron Line - Warhammer 40,000) 300:
Plasteel, adamantium, armourplas, synth-leather and other sophisticated materials are used for all sorts of purpo"&amp;"ses within the Imperium and are typically far more resilient than their archaic equivalents. Archaic styles of armor are seldom effective against advanced weapons, and rarely used in any case, but many of those who hail from primitive cultures favor the s"&amp;"tyles of wargear they are accustomed to. Wrought from plasteel and armourplas instead of bronze, iron and steel, a suit of chain or plate can be a quite effective defense, often the equal of more modern armors.
Item")</f>
        <v>Chapter 36: 30 Crescendo - Addendum Missy
Advanced Materials Upgrade Kit (Light of Terra 4 - Lords of the Iron Line - Warhammer 40,000) 300:
Plasteel, adamantium, armourplas, synth-leather and other sophisticated materials are used for all sorts of purposes within the Imperium and are typically far more resilient than their archaic equivalents. Archaic styles of armor are seldom effective against advanced weapons, and rarely used in any case, but many of those who hail from primitive cultures favor the styles of wargear they are accustomed to. Wrought from plasteel and armourplas instead of bronze, iron and steel, a suit of chain or plate can be a quite effective defense, often the equal of more modern armors.
Item</v>
      </c>
      <c r="B291" s="17">
        <f>IFERROR(__xludf.DUMMYFUNCTION("if(len(A291)&gt;0, value(REGEXEXTRACT(A291, ""Chapter ([0-9]*):"")), """")"),36.0)</f>
        <v>36</v>
      </c>
      <c r="C291" s="31" t="str">
        <f>IFERROR(__xludf.DUMMYFUNCTION("if(len(A291) &gt;0, REGEXEXTRACT(A291, ""Chapter [0-9]*: (.*)""), """")"),"30 Crescendo - Addendum Missy
")</f>
        <v>30 Crescendo - Addendum Missy
</v>
      </c>
      <c r="D291" s="31" t="str">
        <f>IFERROR(__xludf.DUMMYFUNCTION("if(len(A291)&gt;0, REGEXEXTRACT(A291, ""\n[^\(]*""), """")"),"
Advanced Materials Upgrade Kit ")</f>
        <v>
Advanced Materials Upgrade Kit </v>
      </c>
      <c r="E291" s="17" t="str">
        <f>IFERROR(__xludf.DUMMYFUNCTION("if(len(A291)&gt;0, REGEXEXTRACT(A291, ""\n([^\n]*)$""), """")"),"Item")</f>
        <v>Item</v>
      </c>
      <c r="F291" s="17" t="str">
        <f>IFERROR(__xludf.DUMMYFUNCTION("if(len(A291)&gt;0, REGEXEXTRACT(A291, ""\(([^\)]*)\)""), """")"),"Light of Terra 4 - Lords of the Iron Line - Warhammer 40,000")</f>
        <v>Light of Terra 4 - Lords of the Iron Line - Warhammer 40,000</v>
      </c>
      <c r="G291" s="17" t="str">
        <f>IFERROR(__xludf.DUMMYFUNCTION("if(len(A291)&gt;0, REGEXEXTRACT(A291, ""\)([^:]*):""), """")")," 300")</f>
        <v> 300</v>
      </c>
      <c r="H291" s="31" t="str">
        <f>IFERROR(__xludf.DUMMYFUNCTION("if(len(A291) &gt; 0, JOIN(char(10), FILTER(SPLIT(A291, char(10)), split(""false false "" &amp; rept(""true "", columns(SPLIT(A291, char(10)))-3) &amp; ""false"", "" ""))), """")"),"Plasteel, adamantium, armourplas, synth-leather and other sophisticated materials are used for all sorts of purposes within the Imperium and are typically far more resilient than their archaic equivalents. Archaic styles of armor are seldom effective agai"&amp;"nst advanced weapons, and rarely used in any case, but many of those who hail from primitive cultures favor the styles of wargear they are accustomed to. Wrought from plasteel and armourplas instead of bronze, iron and steel, a suit of chain or plate can "&amp;"be a quite effective defense, often the equal of more modern armors.")</f>
        <v>Plasteel, adamantium, armourplas, synth-leather and other sophisticated materials are used for all sorts of purposes within the Imperium and are typically far more resilient than their archaic equivalents. Archaic styles of armor are seldom effective against advanced weapons, and rarely used in any case, but many of those who hail from primitive cultures favor the styles of wargear they are accustomed to. Wrought from plasteel and armourplas instead of bronze, iron and steel, a suit of chain or plate can be a quite effective defense, often the equal of more modern armors.</v>
      </c>
    </row>
    <row r="292">
      <c r="A292" s="31" t="str">
        <f>IFERROR(__xludf.DUMMYFUNCTION("""COMPUTED_VALUE"""),"Chapter 36: 30 Crescendo - Addendum Missy
Volcanic Forge (God of War) 300:
The Smith God's power is great, but it is not by his will alone that his works are forged. There is also his tools to consider, and with this you have one such tool. Attached to y"&amp;"our Warehouse is a small volcano, a fiery beast that will never fade and never falter. Its power is great, reducing the time you need to break down metals and minerals, reworking them into new forms while increasing their quality and inherent strengths. S"&amp;"hould you choose, you may also take a significant hit in forging time to experiment with different metals and minerals, melting and combining them to create a different, newer resource with one quality from the second object in question. Rise, craftsman. "&amp;"Rise and begin your work.
Facility")</f>
        <v>Chapter 36: 30 Crescendo - Addendum Missy
Volcanic Forge (God of War) 300:
The Smith God's power is great, but it is not by his will alone that his works are forged. There is also his tools to consider, and with this you have one such tool. Attached to your Warehouse is a small volcano, a fiery beast that will never fade and never falter. Its power is great, reducing the time you need to break down metals and minerals, reworking them into new forms while increasing their quality and inherent strengths. Should you choose, you may also take a significant hit in forging time to experiment with different metals and minerals, melting and combining them to create a different, newer resource with one quality from the second object in question. Rise, craftsman. Rise and begin your work.
Facility</v>
      </c>
      <c r="B292" s="17">
        <f>IFERROR(__xludf.DUMMYFUNCTION("if(len(A292)&gt;0, value(REGEXEXTRACT(A292, ""Chapter ([0-9]*):"")), """")"),36.0)</f>
        <v>36</v>
      </c>
      <c r="C292" s="31" t="str">
        <f>IFERROR(__xludf.DUMMYFUNCTION("if(len(A292) &gt;0, REGEXEXTRACT(A292, ""Chapter [0-9]*: (.*)""), """")"),"30 Crescendo - Addendum Missy
")</f>
        <v>30 Crescendo - Addendum Missy
</v>
      </c>
      <c r="D292" s="31" t="str">
        <f>IFERROR(__xludf.DUMMYFUNCTION("if(len(A292)&gt;0, REGEXEXTRACT(A292, ""\n[^\(]*""), """")"),"
Volcanic Forge ")</f>
        <v>
Volcanic Forge </v>
      </c>
      <c r="E292" s="17" t="str">
        <f>IFERROR(__xludf.DUMMYFUNCTION("if(len(A292)&gt;0, REGEXEXTRACT(A292, ""\n([^\n]*)$""), """")"),"Facility")</f>
        <v>Facility</v>
      </c>
      <c r="F292" s="17" t="str">
        <f>IFERROR(__xludf.DUMMYFUNCTION("if(len(A292)&gt;0, REGEXEXTRACT(A292, ""\(([^\)]*)\)""), """")"),"God of War")</f>
        <v>God of War</v>
      </c>
      <c r="G292" s="17" t="str">
        <f>IFERROR(__xludf.DUMMYFUNCTION("if(len(A292)&gt;0, REGEXEXTRACT(A292, ""\)([^:]*):""), """")")," 300")</f>
        <v> 300</v>
      </c>
      <c r="H292" s="31" t="str">
        <f>IFERROR(__xludf.DUMMYFUNCTION("if(len(A292) &gt; 0, JOIN(char(10), FILTER(SPLIT(A292, char(10)), split(""false false "" &amp; rept(""true "", columns(SPLIT(A292, char(10)))-3) &amp; ""false"", "" ""))), """")"),"The Smith God's power is great, but it is not by his will alone that his works are forged. There is also his tools to consider, and with this you have one such tool. Attached to your Warehouse is a small volcano, a fiery beast that will never fade and nev"&amp;"er falter. Its power is great, reducing the time you need to break down metals and minerals, reworking them into new forms while increasing their quality and inherent strengths. Should you choose, you may also take a significant hit in forging time to exp"&amp;"eriment with different metals and minerals, melting and combining them to create a different, newer resource with one quality from the second object in question. Rise, craftsman. Rise and begin your work.")</f>
        <v>The Smith God's power is great, but it is not by his will alone that his works are forged. There is also his tools to consider, and with this you have one such tool. Attached to your Warehouse is a small volcano, a fiery beast that will never fade and never falter. Its power is great, reducing the time you need to break down metals and minerals, reworking them into new forms while increasing their quality and inherent strengths. Should you choose, you may also take a significant hit in forging time to experiment with different metals and minerals, melting and combining them to create a different, newer resource with one quality from the second object in question. Rise, craftsman. Rise and begin your work.</v>
      </c>
    </row>
    <row r="293">
      <c r="A293" s="31" t="str">
        <f>IFERROR(__xludf.DUMMYFUNCTION("""COMPUTED_VALUE"""),"Chapter 37: 31 Consensus - Preamble PHO - Addendum Accord
Analysis (Red Alert 3) 100:
You can immediately identify any defects in hardware upon casual observation. This is effective on devices, Vehicles, and buildings.
Analysis")</f>
        <v>Chapter 37: 31 Consensus - Preamble PHO - Addendum Accord
Analysis (Red Alert 3) 100:
You can immediately identify any defects in hardware upon casual observation. This is effective on devices, Vehicles, and buildings.
Analysis</v>
      </c>
      <c r="B293" s="17">
        <f>IFERROR(__xludf.DUMMYFUNCTION("if(len(A293)&gt;0, value(REGEXEXTRACT(A293, ""Chapter ([0-9]*):"")), """")"),37.0)</f>
        <v>37</v>
      </c>
      <c r="C293" s="31" t="str">
        <f>IFERROR(__xludf.DUMMYFUNCTION("if(len(A293) &gt;0, REGEXEXTRACT(A293, ""Chapter [0-9]*: (.*)""), """")"),"31 Consensus - Preamble PHO - Addendum Accord")</f>
        <v>31 Consensus - Preamble PHO - Addendum Accord</v>
      </c>
      <c r="D293" s="31" t="str">
        <f>IFERROR(__xludf.DUMMYFUNCTION("if(len(A293)&gt;0, REGEXEXTRACT(A293, ""\n[^\(]*""), """")"),"
Analysis ")</f>
        <v>
Analysis </v>
      </c>
      <c r="E293" s="17" t="str">
        <f>IFERROR(__xludf.DUMMYFUNCTION("if(len(A293)&gt;0, REGEXEXTRACT(A293, ""\n([^\n]*)$""), """")"),"Analysis")</f>
        <v>Analysis</v>
      </c>
      <c r="F293" s="17" t="str">
        <f>IFERROR(__xludf.DUMMYFUNCTION("if(len(A293)&gt;0, REGEXEXTRACT(A293, ""\(([^\)]*)\)""), """")"),"Red Alert 3")</f>
        <v>Red Alert 3</v>
      </c>
      <c r="G293" s="17" t="str">
        <f>IFERROR(__xludf.DUMMYFUNCTION("if(len(A293)&gt;0, REGEXEXTRACT(A293, ""\)([^:]*):""), """")")," 100")</f>
        <v> 100</v>
      </c>
      <c r="H293" s="31" t="str">
        <f>IFERROR(__xludf.DUMMYFUNCTION("if(len(A293) &gt; 0, JOIN(char(10), FILTER(SPLIT(A293, char(10)), split(""false false "" &amp; rept(""true "", columns(SPLIT(A293, char(10)))-3) &amp; ""false"", "" ""))), """")"),"You can immediately identify any defects in hardware upon casual observation. This is effective on devices, Vehicles, and buildings.")</f>
        <v>You can immediately identify any defects in hardware upon casual observation. This is effective on devices, Vehicles, and buildings.</v>
      </c>
    </row>
    <row r="294">
      <c r="A294" s="31" t="str">
        <f>IFERROR(__xludf.DUMMYFUNCTION("""COMPUTED_VALUE"""),"Chapter 37: 31 Consensus - Preamble PHO - Addendum Accord
Divine Child - Hephaestus (Percy Jackson) 400:
You are the direct child of a god of your associated pantheon and gain various benefits from this. You gain lesser manifestations of your parent's dom"&amp;"ains as well as generally being better than an ordinary mortal. You may take most any god as your parent but to take one of the heads of a pantheon as a parent you must take the ""Fate finds you interesting"" drawback receiving no points for it (you can a"&amp;"lso do this with a lesser god to get greater powers). Generally this will give you insight into and some control over your divine parent’s domains, a son of Poseidon for example can control water and ships, talk to horses, cause minor earthquakes and is e"&amp;"mpowered within water.
Personal, System")</f>
        <v>Chapter 37: 31 Consensus - Preamble PHO - Addendum Accord
Divine Child - Hephaestus (Percy Jackson) 400:
You are the direct child of a god of your associated pantheon and gain various benefits from this. You gain lesser manifestations of your parent's domains as well as generally being better than an ordinary mortal. You may take most any god as your parent but to take one of the heads of a pantheon as a parent you must take the "Fate finds you interesting" drawback receiving no points for it (you can also do this with a lesser god to get greater powers). Generally this will give you insight into and some control over your divine parent’s domains, a son of Poseidon for example can control water and ships, talk to horses, cause minor earthquakes and is empowered within water.
Personal, System</v>
      </c>
      <c r="B294" s="17">
        <f>IFERROR(__xludf.DUMMYFUNCTION("if(len(A294)&gt;0, value(REGEXEXTRACT(A294, ""Chapter ([0-9]*):"")), """")"),37.0)</f>
        <v>37</v>
      </c>
      <c r="C294" s="31" t="str">
        <f>IFERROR(__xludf.DUMMYFUNCTION("if(len(A294) &gt;0, REGEXEXTRACT(A294, ""Chapter [0-9]*: (.*)""), """")"),"31 Consensus - Preamble PHO - Addendum Accord")</f>
        <v>31 Consensus - Preamble PHO - Addendum Accord</v>
      </c>
      <c r="D294" s="31" t="str">
        <f>IFERROR(__xludf.DUMMYFUNCTION("if(len(A294)&gt;0, REGEXEXTRACT(A294, ""\n[^\(]*""), """")"),"
Divine Child - Hephaestus ")</f>
        <v>
Divine Child - Hephaestus </v>
      </c>
      <c r="E294" s="17" t="str">
        <f>IFERROR(__xludf.DUMMYFUNCTION("if(len(A294)&gt;0, REGEXEXTRACT(A294, ""\n([^\n]*)$""), """")"),"Personal, System")</f>
        <v>Personal, System</v>
      </c>
      <c r="F294" s="17" t="str">
        <f>IFERROR(__xludf.DUMMYFUNCTION("if(len(A294)&gt;0, REGEXEXTRACT(A294, ""\(([^\)]*)\)""), """")"),"Percy Jackson")</f>
        <v>Percy Jackson</v>
      </c>
      <c r="G294" s="17" t="str">
        <f>IFERROR(__xludf.DUMMYFUNCTION("if(len(A294)&gt;0, REGEXEXTRACT(A294, ""\)([^:]*):""), """")")," 400")</f>
        <v> 400</v>
      </c>
      <c r="H294" s="31" t="str">
        <f>IFERROR(__xludf.DUMMYFUNCTION("if(len(A294) &gt; 0, JOIN(char(10), FILTER(SPLIT(A294, char(10)), split(""false false "" &amp; rept(""true "", columns(SPLIT(A294, char(10)))-3) &amp; ""false"", "" ""))), """")"),"You are the direct child of a god of your associated pantheon and gain various benefits from this. You gain lesser manifestations of your parent's domains as well as generally being better than an ordinary mortal. You may take most any god as your parent "&amp;"but to take one of the heads of a pantheon as a parent you must take the ""Fate finds you interesting"" drawback receiving no points for it (you can also do this with a lesser god to get greater powers). Generally this will give you insight into and some "&amp;"control over your divine parent’s domains, a son of Poseidon for example can control water and ships, talk to horses, cause minor earthquakes and is empowered within water.")</f>
        <v>You are the direct child of a god of your associated pantheon and gain various benefits from this. You gain lesser manifestations of your parent's domains as well as generally being better than an ordinary mortal. You may take most any god as your parent but to take one of the heads of a pantheon as a parent you must take the "Fate finds you interesting" drawback receiving no points for it (you can also do this with a lesser god to get greater powers). Generally this will give you insight into and some control over your divine parent’s domains, a son of Poseidon for example can control water and ships, talk to horses, cause minor earthquakes and is empowered within water.</v>
      </c>
    </row>
    <row r="295">
      <c r="A295" s="31" t="str">
        <f>IFERROR(__xludf.DUMMYFUNCTION("""COMPUTED_VALUE"""),"Chapter 37: 31 Consensus - Preamble PHO - Addendum Accord
Old Traditions (Percy Jackson) Free:
You are knowledgeable in the ways of the ancient civilization corresponding to whatever mythology you're most connected with. You can read their languages, know"&amp;" the proper ways to honor the gods, and have a decent grasp of their mythology. Otherwise unassociated Drop-ins may choose any one ancient culture to know of. You may purchase this multiple times, each time gaining insight into a new culture.
Skill")</f>
        <v>Chapter 37: 31 Consensus - Preamble PHO - Addendum Accord
Old Traditions (Percy Jackson) Free:
You are knowledgeable in the ways of the ancient civilization corresponding to whatever mythology you're most connected with. You can read their languages, know the proper ways to honor the gods, and have a decent grasp of their mythology. Otherwise unassociated Drop-ins may choose any one ancient culture to know of. You may purchase this multiple times, each time gaining insight into a new culture.
Skill</v>
      </c>
      <c r="B295" s="17">
        <f>IFERROR(__xludf.DUMMYFUNCTION("if(len(A295)&gt;0, value(REGEXEXTRACT(A295, ""Chapter ([0-9]*):"")), """")"),37.0)</f>
        <v>37</v>
      </c>
      <c r="C295" s="31" t="str">
        <f>IFERROR(__xludf.DUMMYFUNCTION("if(len(A295) &gt;0, REGEXEXTRACT(A295, ""Chapter [0-9]*: (.*)""), """")"),"31 Consensus - Preamble PHO - Addendum Accord")</f>
        <v>31 Consensus - Preamble PHO - Addendum Accord</v>
      </c>
      <c r="D295" s="31" t="str">
        <f>IFERROR(__xludf.DUMMYFUNCTION("if(len(A295)&gt;0, REGEXEXTRACT(A295, ""\n[^\(]*""), """")"),"
Old Traditions ")</f>
        <v>
Old Traditions </v>
      </c>
      <c r="E295" s="17" t="str">
        <f>IFERROR(__xludf.DUMMYFUNCTION("if(len(A295)&gt;0, REGEXEXTRACT(A295, ""\n([^\n]*)$""), """")"),"Skill")</f>
        <v>Skill</v>
      </c>
      <c r="F295" s="17" t="str">
        <f>IFERROR(__xludf.DUMMYFUNCTION("if(len(A295)&gt;0, REGEXEXTRACT(A295, ""\(([^\)]*)\)""), """")"),"Percy Jackson")</f>
        <v>Percy Jackson</v>
      </c>
      <c r="G295" s="17" t="str">
        <f>IFERROR(__xludf.DUMMYFUNCTION("if(len(A295)&gt;0, REGEXEXTRACT(A295, ""\)([^:]*):""), """")")," Free")</f>
        <v> Free</v>
      </c>
      <c r="H295" s="31" t="str">
        <f>IFERROR(__xludf.DUMMYFUNCTION("if(len(A295) &gt; 0, JOIN(char(10), FILTER(SPLIT(A295, char(10)), split(""false false "" &amp; rept(""true "", columns(SPLIT(A295, char(10)))-3) &amp; ""false"", "" ""))), """")"),"You are knowledgeable in the ways of the ancient civilization corresponding to whatever mythology you're most connected with. You can read their languages, know the proper ways to honor the gods, and have a decent grasp of their mythology. Otherwise unass"&amp;"ociated Drop-ins may choose any one ancient culture to know of. You may purchase this multiple times, each time gaining insight into a new culture.")</f>
        <v>You are knowledgeable in the ways of the ancient civilization corresponding to whatever mythology you're most connected with. You can read their languages, know the proper ways to honor the gods, and have a decent grasp of their mythology. Otherwise unassociated Drop-ins may choose any one ancient culture to know of. You may purchase this multiple times, each time gaining insight into a new culture.</v>
      </c>
    </row>
    <row r="296">
      <c r="A296" s="31" t="str">
        <f>IFERROR(__xludf.DUMMYFUNCTION("""COMPUTED_VALUE"""),"Chapter 37: 31 Consensus - Preamble PHO - Addendum Accord
Researcher (Age of Mythology) 400:
You are far faster at designing and discovering new technologies. Inspiration and breakthroughs hit you far more often.
Understanding")</f>
        <v>Chapter 37: 31 Consensus - Preamble PHO - Addendum Accord
Researcher (Age of Mythology) 400:
You are far faster at designing and discovering new technologies. Inspiration and breakthroughs hit you far more often.
Understanding</v>
      </c>
      <c r="B296" s="17">
        <f>IFERROR(__xludf.DUMMYFUNCTION("if(len(A296)&gt;0, value(REGEXEXTRACT(A296, ""Chapter ([0-9]*):"")), """")"),37.0)</f>
        <v>37</v>
      </c>
      <c r="C296" s="31" t="str">
        <f>IFERROR(__xludf.DUMMYFUNCTION("if(len(A296) &gt;0, REGEXEXTRACT(A296, ""Chapter [0-9]*: (.*)""), """")"),"31 Consensus - Preamble PHO - Addendum Accord")</f>
        <v>31 Consensus - Preamble PHO - Addendum Accord</v>
      </c>
      <c r="D296" s="31" t="str">
        <f>IFERROR(__xludf.DUMMYFUNCTION("if(len(A296)&gt;0, REGEXEXTRACT(A296, ""\n[^\(]*""), """")"),"
Researcher ")</f>
        <v>
Researcher </v>
      </c>
      <c r="E296" s="17" t="str">
        <f>IFERROR(__xludf.DUMMYFUNCTION("if(len(A296)&gt;0, REGEXEXTRACT(A296, ""\n([^\n]*)$""), """")"),"Understanding")</f>
        <v>Understanding</v>
      </c>
      <c r="F296" s="17" t="str">
        <f>IFERROR(__xludf.DUMMYFUNCTION("if(len(A296)&gt;0, REGEXEXTRACT(A296, ""\(([^\)]*)\)""), """")"),"Age of Mythology")</f>
        <v>Age of Mythology</v>
      </c>
      <c r="G296" s="17" t="str">
        <f>IFERROR(__xludf.DUMMYFUNCTION("if(len(A296)&gt;0, REGEXEXTRACT(A296, ""\)([^:]*):""), """")")," 400")</f>
        <v> 400</v>
      </c>
      <c r="H296" s="31" t="str">
        <f>IFERROR(__xludf.DUMMYFUNCTION("if(len(A296) &gt; 0, JOIN(char(10), FILTER(SPLIT(A296, char(10)), split(""false false "" &amp; rept(""true "", columns(SPLIT(A296, char(10)))-3) &amp; ""false"", "" ""))), """")"),"You are far faster at designing and discovering new technologies. Inspiration and breakthroughs hit you far more often.")</f>
        <v>You are far faster at designing and discovering new technologies. Inspiration and breakthroughs hit you far more often.</v>
      </c>
    </row>
    <row r="297">
      <c r="A297" s="31" t="str">
        <f>IFERROR(__xludf.DUMMYFUNCTION("""COMPUTED_VALUE"""),"Chapter 37: 31 Consensus - Preamble PHO - Addendum Accord
Setup Wizard (Harry Potter) 200:
You have a natural knack of melding technology and magic. You can easily jury-rig technology to work at Hogwarts. Your inventions could do considerable good for the"&amp;" magical world if they weren’t all such luddites.
System")</f>
        <v>Chapter 37: 31 Consensus - Preamble PHO - Addendum Accord
Setup Wizard (Harry Potter) 200:
You have a natural knack of melding technology and magic. You can easily jury-rig technology to work at Hogwarts. Your inventions could do considerable good for the magical world if they weren’t all such luddites.
System</v>
      </c>
      <c r="B297" s="17">
        <f>IFERROR(__xludf.DUMMYFUNCTION("if(len(A297)&gt;0, value(REGEXEXTRACT(A297, ""Chapter ([0-9]*):"")), """")"),37.0)</f>
        <v>37</v>
      </c>
      <c r="C297" s="31" t="str">
        <f>IFERROR(__xludf.DUMMYFUNCTION("if(len(A297) &gt;0, REGEXEXTRACT(A297, ""Chapter [0-9]*: (.*)""), """")"),"31 Consensus - Preamble PHO - Addendum Accord")</f>
        <v>31 Consensus - Preamble PHO - Addendum Accord</v>
      </c>
      <c r="D297" s="31" t="str">
        <f>IFERROR(__xludf.DUMMYFUNCTION("if(len(A297)&gt;0, REGEXEXTRACT(A297, ""\n[^\(]*""), """")"),"
Setup Wizard ")</f>
        <v>
Setup Wizard </v>
      </c>
      <c r="E297" s="17" t="str">
        <f>IFERROR(__xludf.DUMMYFUNCTION("if(len(A297)&gt;0, REGEXEXTRACT(A297, ""\n([^\n]*)$""), """")"),"System")</f>
        <v>System</v>
      </c>
      <c r="F297" s="17" t="str">
        <f>IFERROR(__xludf.DUMMYFUNCTION("if(len(A297)&gt;0, REGEXEXTRACT(A297, ""\(([^\)]*)\)""), """")"),"Harry Potter")</f>
        <v>Harry Potter</v>
      </c>
      <c r="G297" s="17" t="str">
        <f>IFERROR(__xludf.DUMMYFUNCTION("if(len(A297)&gt;0, REGEXEXTRACT(A297, ""\)([^:]*):""), """")")," 200")</f>
        <v> 200</v>
      </c>
      <c r="H297" s="31" t="str">
        <f>IFERROR(__xludf.DUMMYFUNCTION("if(len(A297) &gt; 0, JOIN(char(10), FILTER(SPLIT(A297, char(10)), split(""false false "" &amp; rept(""true "", columns(SPLIT(A297, char(10)))-3) &amp; ""false"", "" ""))), """")"),"You have a natural knack of melding technology and magic. You can easily jury-rig technology to work at Hogwarts. Your inventions could do considerable good for the magical world if they weren’t all such luddites.")</f>
        <v>You have a natural knack of melding technology and magic. You can easily jury-rig technology to work at Hogwarts. Your inventions could do considerable good for the magical world if they weren’t all such luddites.</v>
      </c>
    </row>
    <row r="298">
      <c r="A298" s="31" t="str">
        <f>IFERROR(__xludf.DUMMYFUNCTION("""COMPUTED_VALUE"""),"Chapter 37: 31 Consensus - Preamble PHO - Addendum Accord
Wand (Harry Potter) Free:
A wand. You don’t have it yet, mind you, but you’ll get one soon enough on a trip to Ollivanders. You can choose the wood type and between one of the wand cores he produce"&amp;"s wands with (Unicorn Hair, Dragon Heartstring and Phoenix Feather). You may instead choose a more exotic wand core (excluding Thestral Hair and limited to parts from other canonical magical creatures/beings of this world e.g. Thunderbird Tail Feather, Ve"&amp;"ela Hair, etc.) although the three previously mentioned are among the most reliable and powerful. Different cores and woods tend to act a little differently but regardless of what you choose the wand will choose you as soon as you are introduced. Differen"&amp;"t woods may alter your historical personality (for all but Drop-ins) and therefore tendencies very slightly (e.g. Cypress wands tend to choose brave people and you will as such have been a relatively brave child, Blackthorn may result in you being slightl"&amp;"y more combative, etc.). If you already had a wand you may import it into this role and while it will keep it’s wood and core it will gain a significant loyalty boost.
Item")</f>
        <v>Chapter 37: 31 Consensus - Preamble PHO - Addendum Accord
Wand (Harry Potter) Free:
A wand. You don’t have it yet, mind you, but you’ll get one soon enough on a trip to Ollivanders. You can choose the wood type and between one of the wand cores he produces wands with (Unicorn Hair, Dragon Heartstring and Phoenix Feather). You may instead choose a more exotic wand core (excluding Thestral Hair and limited to parts from other canonical magical creatures/beings of this world e.g. Thunderbird Tail Feather, Veela Hair, etc.) although the three previously mentioned are among the most reliable and powerful. Different cores and woods tend to act a little differently but regardless of what you choose the wand will choose you as soon as you are introduced. Different woods may alter your historical personality (for all but Drop-ins) and therefore tendencies very slightly (e.g. Cypress wands tend to choose brave people and you will as such have been a relatively brave child, Blackthorn may result in you being slightly more combative, etc.). If you already had a wand you may import it into this role and while it will keep it’s wood and core it will gain a significant loyalty boost.
Item</v>
      </c>
      <c r="B298" s="17">
        <f>IFERROR(__xludf.DUMMYFUNCTION("if(len(A298)&gt;0, value(REGEXEXTRACT(A298, ""Chapter ([0-9]*):"")), """")"),37.0)</f>
        <v>37</v>
      </c>
      <c r="C298" s="31" t="str">
        <f>IFERROR(__xludf.DUMMYFUNCTION("if(len(A298) &gt;0, REGEXEXTRACT(A298, ""Chapter [0-9]*: (.*)""), """")"),"31 Consensus - Preamble PHO - Addendum Accord")</f>
        <v>31 Consensus - Preamble PHO - Addendum Accord</v>
      </c>
      <c r="D298" s="31" t="str">
        <f>IFERROR(__xludf.DUMMYFUNCTION("if(len(A298)&gt;0, REGEXEXTRACT(A298, ""\n[^\(]*""), """")"),"
Wand ")</f>
        <v>
Wand </v>
      </c>
      <c r="E298" s="17" t="str">
        <f>IFERROR(__xludf.DUMMYFUNCTION("if(len(A298)&gt;0, REGEXEXTRACT(A298, ""\n([^\n]*)$""), """")"),"Item")</f>
        <v>Item</v>
      </c>
      <c r="F298" s="17" t="str">
        <f>IFERROR(__xludf.DUMMYFUNCTION("if(len(A298)&gt;0, REGEXEXTRACT(A298, ""\(([^\)]*)\)""), """")"),"Harry Potter")</f>
        <v>Harry Potter</v>
      </c>
      <c r="G298" s="17" t="str">
        <f>IFERROR(__xludf.DUMMYFUNCTION("if(len(A298)&gt;0, REGEXEXTRACT(A298, ""\)([^:]*):""), """")")," Free")</f>
        <v> Free</v>
      </c>
      <c r="H298" s="31" t="str">
        <f>IFERROR(__xludf.DUMMYFUNCTION("if(len(A298) &gt; 0, JOIN(char(10), FILTER(SPLIT(A298, char(10)), split(""false false "" &amp; rept(""true "", columns(SPLIT(A298, char(10)))-3) &amp; ""false"", "" ""))), """")"),"A wand. You don’t have it yet, mind you, but you’ll get one soon enough on a trip to Ollivanders. You can choose the wood type and between one of the wand cores he produces wands with (Unicorn Hair, Dragon Heartstring and Phoenix Feather). You may instead"&amp;" choose a more exotic wand core (excluding Thestral Hair and limited to parts from other canonical magical creatures/beings of this world e.g. Thunderbird Tail Feather, Veela Hair, etc.) although the three previously mentioned are among the most reliable "&amp;"and powerful. Different cores and woods tend to act a little differently but regardless of what you choose the wand will choose you as soon as you are introduced. Different woods may alter your historical personality (for all but Drop-ins) and therefore t"&amp;"endencies very slightly (e.g. Cypress wands tend to choose brave people and you will as such have been a relatively brave child, Blackthorn may result in you being slightly more combative, etc.). If you already had a wand you may import it into this role "&amp;"and while it will keep it’s wood and core it will gain a significant loyalty boost.")</f>
        <v>A wand. You don’t have it yet, mind you, but you’ll get one soon enough on a trip to Ollivanders. You can choose the wood type and between one of the wand cores he produces wands with (Unicorn Hair, Dragon Heartstring and Phoenix Feather). You may instead choose a more exotic wand core (excluding Thestral Hair and limited to parts from other canonical magical creatures/beings of this world e.g. Thunderbird Tail Feather, Veela Hair, etc.) although the three previously mentioned are among the most reliable and powerful. Different cores and woods tend to act a little differently but regardless of what you choose the wand will choose you as soon as you are introduced. Different woods may alter your historical personality (for all but Drop-ins) and therefore tendencies very slightly (e.g. Cypress wands tend to choose brave people and you will as such have been a relatively brave child, Blackthorn may result in you being slightly more combative, etc.). If you already had a wand you may import it into this role and while it will keep it’s wood and core it will gain a significant loyalty boost.</v>
      </c>
    </row>
    <row r="299">
      <c r="A299" s="31" t="str">
        <f>IFERROR(__xludf.DUMMYFUNCTION("""COMPUTED_VALUE"""),"Chapter 38: 32 Family Fugue - Preamble Taylor - Addendum Mike
Analysis (Adventure Time) 300:
You have the skill and insight to make powerful analytical tools. Such tools are capable of showing you the physical makeup of the things you come across, detect "&amp;"magic and alert you to hidden doorways.
Set")</f>
        <v>Chapter 38: 32 Family Fugue - Preamble Taylor - Addendum Mike
Analysis (Adventure Time) 300:
You have the skill and insight to make powerful analytical tools. Such tools are capable of showing you the physical makeup of the things you come across, detect magic and alert you to hidden doorways.
Set</v>
      </c>
      <c r="B299" s="17">
        <f>IFERROR(__xludf.DUMMYFUNCTION("if(len(A299)&gt;0, value(REGEXEXTRACT(A299, ""Chapter ([0-9]*):"")), """")"),38.0)</f>
        <v>38</v>
      </c>
      <c r="C299" s="31" t="str">
        <f>IFERROR(__xludf.DUMMYFUNCTION("if(len(A299) &gt;0, REGEXEXTRACT(A299, ""Chapter [0-9]*: (.*)""), """")"),"32 Family Fugue - Preamble Taylor - Addendum Mike")</f>
        <v>32 Family Fugue - Preamble Taylor - Addendum Mike</v>
      </c>
      <c r="D299" s="31" t="str">
        <f>IFERROR(__xludf.DUMMYFUNCTION("if(len(A299)&gt;0, REGEXEXTRACT(A299, ""\n[^\(]*""), """")"),"
Analysis ")</f>
        <v>
Analysis </v>
      </c>
      <c r="E299" s="17" t="str">
        <f>IFERROR(__xludf.DUMMYFUNCTION("if(len(A299)&gt;0, REGEXEXTRACT(A299, ""\n([^\n]*)$""), """")"),"Set")</f>
        <v>Set</v>
      </c>
      <c r="F299" s="17" t="str">
        <f>IFERROR(__xludf.DUMMYFUNCTION("if(len(A299)&gt;0, REGEXEXTRACT(A299, ""\(([^\)]*)\)""), """")"),"Adventure Time")</f>
        <v>Adventure Time</v>
      </c>
      <c r="G299" s="17" t="str">
        <f>IFERROR(__xludf.DUMMYFUNCTION("if(len(A299)&gt;0, REGEXEXTRACT(A299, ""\)([^:]*):""), """")")," 300")</f>
        <v> 300</v>
      </c>
      <c r="H299" s="31" t="str">
        <f>IFERROR(__xludf.DUMMYFUNCTION("if(len(A299) &gt; 0, JOIN(char(10), FILTER(SPLIT(A299, char(10)), split(""false false "" &amp; rept(""true "", columns(SPLIT(A299, char(10)))-3) &amp; ""false"", "" ""))), """")"),"You have the skill and insight to make powerful analytical tools. Such tools are capable of showing you the physical makeup of the things you come across, detect magic and alert you to hidden doorways.")</f>
        <v>You have the skill and insight to make powerful analytical tools. Such tools are capable of showing you the physical makeup of the things you come across, detect magic and alert you to hidden doorways.</v>
      </c>
    </row>
    <row r="300">
      <c r="A300" s="31" t="str">
        <f>IFERROR(__xludf.DUMMYFUNCTION("""COMPUTED_VALUE"""),"Chapter 38: 32 Family Fugue - Preamble Taylor - Addendum Mike
Lack of Materials (God of War) 400:
Times are tough in this land. Forces beyond knowing, monsters that roam the lands, and gods who are as petty as they are powerful. With chaos such as this, t"&amp;"here are times you may not be able to get everything of what you need. But you've learned to make do. You can get the most out of your materials, using two bars of metal where you might need four, or three hides when you needed six. Of course, if you DO h"&amp;"ave all the materials required you can use them to make your creations more effective in quality and capability as well. So maybe it doesn't hurt to put the extra mile in.
Fiat")</f>
        <v>Chapter 38: 32 Family Fugue - Preamble Taylor - Addendum Mike
Lack of Materials (God of War) 400:
Times are tough in this land. Forces beyond knowing, monsters that roam the lands, and gods who are as petty as they are powerful. With chaos such as this, there are times you may not be able to get everything of what you need. But you've learned to make do. You can get the most out of your materials, using two bars of metal where you might need four, or three hides when you needed six. Of course, if you DO have all the materials required you can use them to make your creations more effective in quality and capability as well. So maybe it doesn't hurt to put the extra mile in.
Fiat</v>
      </c>
      <c r="B300" s="17">
        <f>IFERROR(__xludf.DUMMYFUNCTION("if(len(A300)&gt;0, value(REGEXEXTRACT(A300, ""Chapter ([0-9]*):"")), """")"),38.0)</f>
        <v>38</v>
      </c>
      <c r="C300" s="31" t="str">
        <f>IFERROR(__xludf.DUMMYFUNCTION("if(len(A300) &gt;0, REGEXEXTRACT(A300, ""Chapter [0-9]*: (.*)""), """")"),"32 Family Fugue - Preamble Taylor - Addendum Mike")</f>
        <v>32 Family Fugue - Preamble Taylor - Addendum Mike</v>
      </c>
      <c r="D300" s="31" t="str">
        <f>IFERROR(__xludf.DUMMYFUNCTION("if(len(A300)&gt;0, REGEXEXTRACT(A300, ""\n[^\(]*""), """")"),"
Lack of Materials ")</f>
        <v>
Lack of Materials </v>
      </c>
      <c r="E300" s="17" t="str">
        <f>IFERROR(__xludf.DUMMYFUNCTION("if(len(A300)&gt;0, REGEXEXTRACT(A300, ""\n([^\n]*)$""), """")"),"Fiat")</f>
        <v>Fiat</v>
      </c>
      <c r="F300" s="17" t="str">
        <f>IFERROR(__xludf.DUMMYFUNCTION("if(len(A300)&gt;0, REGEXEXTRACT(A300, ""\(([^\)]*)\)""), """")"),"God of War")</f>
        <v>God of War</v>
      </c>
      <c r="G300" s="17" t="str">
        <f>IFERROR(__xludf.DUMMYFUNCTION("if(len(A300)&gt;0, REGEXEXTRACT(A300, ""\)([^:]*):""), """")")," 400")</f>
        <v> 400</v>
      </c>
      <c r="H300" s="31" t="str">
        <f>IFERROR(__xludf.DUMMYFUNCTION("if(len(A300) &gt; 0, JOIN(char(10), FILTER(SPLIT(A300, char(10)), split(""false false "" &amp; rept(""true "", columns(SPLIT(A300, char(10)))-3) &amp; ""false"", "" ""))), """")"),"Times are tough in this land. Forces beyond knowing, monsters that roam the lands, and gods who are as petty as they are powerful. With chaos such as this, there are times you may not be able to get everything of what you need. But you've learned to make "&amp;"do. You can get the most out of your materials, using two bars of metal where you might need four, or three hides when you needed six. Of course, if you DO have all the materials required you can use them to make your creations more effective in quality a"&amp;"nd capability as well. So maybe it doesn't hurt to put the extra mile in.")</f>
        <v>Times are tough in this land. Forces beyond knowing, monsters that roam the lands, and gods who are as petty as they are powerful. With chaos such as this, there are times you may not be able to get everything of what you need. But you've learned to make do. You can get the most out of your materials, using two bars of metal where you might need four, or three hides when you needed six. Of course, if you DO have all the materials required you can use them to make your creations more effective in quality and capability as well. So maybe it doesn't hurt to put the extra mile in.</v>
      </c>
    </row>
    <row r="301">
      <c r="A301" s="31" t="str">
        <f>IFERROR(__xludf.DUMMYFUNCTION("""COMPUTED_VALUE"""),"Chapter 38: 32 Family Fugue - Preamble Taylor - Addendum Mike
Skills: Combat (Star Trek - TNG+DS9) 100:
Hand to hand fighting is an ancient and quintessential skill for every soldier no matter what time period.
Skill")</f>
        <v>Chapter 38: 32 Family Fugue - Preamble Taylor - Addendum Mike
Skills: Combat (Star Trek - TNG+DS9) 100:
Hand to hand fighting is an ancient and quintessential skill for every soldier no matter what time period.
Skill</v>
      </c>
      <c r="B301" s="17">
        <f>IFERROR(__xludf.DUMMYFUNCTION("if(len(A301)&gt;0, value(REGEXEXTRACT(A301, ""Chapter ([0-9]*):"")), """")"),38.0)</f>
        <v>38</v>
      </c>
      <c r="C301" s="31" t="str">
        <f>IFERROR(__xludf.DUMMYFUNCTION("if(len(A301) &gt;0, REGEXEXTRACT(A301, ""Chapter [0-9]*: (.*)""), """")"),"32 Family Fugue - Preamble Taylor - Addendum Mike")</f>
        <v>32 Family Fugue - Preamble Taylor - Addendum Mike</v>
      </c>
      <c r="D301" s="31" t="str">
        <f>IFERROR(__xludf.DUMMYFUNCTION("if(len(A301)&gt;0, REGEXEXTRACT(A301, ""\n[^\(]*""), """")"),"
Skills: Combat ")</f>
        <v>
Skills: Combat </v>
      </c>
      <c r="E301" s="17" t="str">
        <f>IFERROR(__xludf.DUMMYFUNCTION("if(len(A301)&gt;0, REGEXEXTRACT(A301, ""\n([^\n]*)$""), """")"),"Skill")</f>
        <v>Skill</v>
      </c>
      <c r="F301" s="17" t="str">
        <f>IFERROR(__xludf.DUMMYFUNCTION("if(len(A301)&gt;0, REGEXEXTRACT(A301, ""\(([^\)]*)\)""), """")"),"Star Trek - TNG+DS9")</f>
        <v>Star Trek - TNG+DS9</v>
      </c>
      <c r="G301" s="17" t="str">
        <f>IFERROR(__xludf.DUMMYFUNCTION("if(len(A301)&gt;0, REGEXEXTRACT(A301, ""\)([^:]*):""), """")")," 100")</f>
        <v> 100</v>
      </c>
      <c r="H301" s="31" t="str">
        <f>IFERROR(__xludf.DUMMYFUNCTION("if(len(A301) &gt; 0, JOIN(char(10), FILTER(SPLIT(A301, char(10)), split(""false false "" &amp; rept(""true "", columns(SPLIT(A301, char(10)))-3) &amp; ""false"", "" ""))), """")"),"Hand to hand fighting is an ancient and quintessential skill for every soldier no matter what time period.")</f>
        <v>Hand to hand fighting is an ancient and quintessential skill for every soldier no matter what time period.</v>
      </c>
    </row>
    <row r="302">
      <c r="A302" s="31" t="str">
        <f>IFERROR(__xludf.DUMMYFUNCTION("""COMPUTED_VALUE"""),"Chapter 38: 32 Family Fugue - Preamble Taylor - Addendum Mike
Skills: Physical Sciences (Star Trek - TNG+DS9) 100:
Understanding of the natural laws which govern the physical world. Biology, chemistry, geology and ecology. Again, you may want to rewrite a"&amp;" few of these books while you're here.
Skill")</f>
        <v>Chapter 38: 32 Family Fugue - Preamble Taylor - Addendum Mike
Skills: Physical Sciences (Star Trek - TNG+DS9) 100:
Understanding of the natural laws which govern the physical world. Biology, chemistry, geology and ecology. Again, you may want to rewrite a few of these books while you're here.
Skill</v>
      </c>
      <c r="B302" s="17">
        <f>IFERROR(__xludf.DUMMYFUNCTION("if(len(A302)&gt;0, value(REGEXEXTRACT(A302, ""Chapter ([0-9]*):"")), """")"),38.0)</f>
        <v>38</v>
      </c>
      <c r="C302" s="31" t="str">
        <f>IFERROR(__xludf.DUMMYFUNCTION("if(len(A302) &gt;0, REGEXEXTRACT(A302, ""Chapter [0-9]*: (.*)""), """")"),"32 Family Fugue - Preamble Taylor - Addendum Mike")</f>
        <v>32 Family Fugue - Preamble Taylor - Addendum Mike</v>
      </c>
      <c r="D302" s="31" t="str">
        <f>IFERROR(__xludf.DUMMYFUNCTION("if(len(A302)&gt;0, REGEXEXTRACT(A302, ""\n[^\(]*""), """")"),"
Skills: Physical Sciences ")</f>
        <v>
Skills: Physical Sciences </v>
      </c>
      <c r="E302" s="17" t="str">
        <f>IFERROR(__xludf.DUMMYFUNCTION("if(len(A302)&gt;0, REGEXEXTRACT(A302, ""\n([^\n]*)$""), """")"),"Skill")</f>
        <v>Skill</v>
      </c>
      <c r="F302" s="17" t="str">
        <f>IFERROR(__xludf.DUMMYFUNCTION("if(len(A302)&gt;0, REGEXEXTRACT(A302, ""\(([^\)]*)\)""), """")"),"Star Trek - TNG+DS9")</f>
        <v>Star Trek - TNG+DS9</v>
      </c>
      <c r="G302" s="17" t="str">
        <f>IFERROR(__xludf.DUMMYFUNCTION("if(len(A302)&gt;0, REGEXEXTRACT(A302, ""\)([^:]*):""), """")")," 100")</f>
        <v> 100</v>
      </c>
      <c r="H302" s="31" t="str">
        <f>IFERROR(__xludf.DUMMYFUNCTION("if(len(A302) &gt; 0, JOIN(char(10), FILTER(SPLIT(A302, char(10)), split(""false false "" &amp; rept(""true "", columns(SPLIT(A302, char(10)))-3) &amp; ""false"", "" ""))), """")"),"Understanding of the natural laws which govern the physical world. Biology, chemistry, geology and ecology. Again, you may want to rewrite a few of these books while you're here.")</f>
        <v>Understanding of the natural laws which govern the physical world. Biology, chemistry, geology and ecology. Again, you may want to rewrite a few of these books while you're here.</v>
      </c>
    </row>
    <row r="303">
      <c r="A303" s="31" t="str">
        <f>IFERROR(__xludf.DUMMYFUNCTION("""COMPUTED_VALUE"""),"Chapter 39: 33 Morning Training - Preamble James - Addendum Youth Guard
Basic Training (Macross) Free:
Piloting a Variable Fighter can be pretty complex. There's all kinds of modes and maneuvers to worry about... with this, you won't have to worry so much"&amp;". You'll know which button does what, and you won't end up turning into a mech when you need a jet. ...but I reserve the right to laugh if you mess up anyway
Skill")</f>
        <v>Chapter 39: 33 Morning Training - Preamble James - Addendum Youth Guard
Basic Training (Macross) Free:
Piloting a Variable Fighter can be pretty complex. There's all kinds of modes and maneuvers to worry about... with this, you won't have to worry so much. You'll know which button does what, and you won't end up turning into a mech when you need a jet. ...but I reserve the right to laugh if you mess up anyway
Skill</v>
      </c>
      <c r="B303" s="17">
        <f>IFERROR(__xludf.DUMMYFUNCTION("if(len(A303)&gt;0, value(REGEXEXTRACT(A303, ""Chapter ([0-9]*):"")), """")"),39.0)</f>
        <v>39</v>
      </c>
      <c r="C303" s="31" t="str">
        <f>IFERROR(__xludf.DUMMYFUNCTION("if(len(A303) &gt;0, REGEXEXTRACT(A303, ""Chapter [0-9]*: (.*)""), """")"),"33 Morning Training - Preamble James - Addendum Youth Guard")</f>
        <v>33 Morning Training - Preamble James - Addendum Youth Guard</v>
      </c>
      <c r="D303" s="31" t="str">
        <f>IFERROR(__xludf.DUMMYFUNCTION("if(len(A303)&gt;0, REGEXEXTRACT(A303, ""\n[^\(]*""), """")"),"
Basic Training ")</f>
        <v>
Basic Training </v>
      </c>
      <c r="E303" s="17" t="str">
        <f>IFERROR(__xludf.DUMMYFUNCTION("if(len(A303)&gt;0, REGEXEXTRACT(A303, ""\n([^\n]*)$""), """")"),"Skill")</f>
        <v>Skill</v>
      </c>
      <c r="F303" s="17" t="str">
        <f>IFERROR(__xludf.DUMMYFUNCTION("if(len(A303)&gt;0, REGEXEXTRACT(A303, ""\(([^\)]*)\)""), """")"),"Macross")</f>
        <v>Macross</v>
      </c>
      <c r="G303" s="17" t="str">
        <f>IFERROR(__xludf.DUMMYFUNCTION("if(len(A303)&gt;0, REGEXEXTRACT(A303, ""\)([^:]*):""), """")")," Free")</f>
        <v> Free</v>
      </c>
      <c r="H303" s="31" t="str">
        <f>IFERROR(__xludf.DUMMYFUNCTION("if(len(A303) &gt; 0, JOIN(char(10), FILTER(SPLIT(A303, char(10)), split(""false false "" &amp; rept(""true "", columns(SPLIT(A303, char(10)))-3) &amp; ""false"", "" ""))), """")"),"Piloting a Variable Fighter can be pretty complex. There's all kinds of modes and maneuvers to worry about... with this, you won't have to worry so much. You'll know which button does what, and you won't end up turning into a mech when you need a jet. ..."&amp;"but I reserve the right to laugh if you mess up anyway")</f>
        <v>Piloting a Variable Fighter can be pretty complex. There's all kinds of modes and maneuvers to worry about... with this, you won't have to worry so much. You'll know which button does what, and you won't end up turning into a mech when you need a jet. ...but I reserve the right to laugh if you mess up anyway</v>
      </c>
    </row>
    <row r="304">
      <c r="A304" s="31" t="str">
        <f>IFERROR(__xludf.DUMMYFUNCTION("""COMPUTED_VALUE"""),"Chapter 39: 33 Morning Training - Preamble James - Addendum Youth Guard
Basic Variable Fighter (Macross) Free:
Your good ol' Fisher Price Veritechs! They may be the beginning, but they're classics and were the groundwork for future generations. Editions l"&amp;"ike the VF-1A Valkyrie (or its other variants), the YF-4, VF-2SS or the VF-4 Lightning III are made available for your stay here. It can transform in the atmosphere and operate in space, but it cannot reach escape velocity on its own. Comes with basic arm"&amp;"aments and like all Variable Fighters can transform into a Jet, a Mech, or a 'middle' form called Guardian Mode.
Vehicle, System")</f>
        <v>Chapter 39: 33 Morning Training - Preamble James - Addendum Youth Guard
Basic Variable Fighter (Macross) Free:
Your good ol' Fisher Price Veritechs! They may be the beginning, but they're classics and were the groundwork for future generations. Editions like the VF-1A Valkyrie (or its other variants), the YF-4, VF-2SS or the VF-4 Lightning III are made available for your stay here. It can transform in the atmosphere and operate in space, but it cannot reach escape velocity on its own. Comes with basic armaments and like all Variable Fighters can transform into a Jet, a Mech, or a 'middle' form called Guardian Mode.
Vehicle, System</v>
      </c>
      <c r="B304" s="17">
        <f>IFERROR(__xludf.DUMMYFUNCTION("if(len(A304)&gt;0, value(REGEXEXTRACT(A304, ""Chapter ([0-9]*):"")), """")"),39.0)</f>
        <v>39</v>
      </c>
      <c r="C304" s="31" t="str">
        <f>IFERROR(__xludf.DUMMYFUNCTION("if(len(A304) &gt;0, REGEXEXTRACT(A304, ""Chapter [0-9]*: (.*)""), """")"),"33 Morning Training - Preamble James - Addendum Youth Guard")</f>
        <v>33 Morning Training - Preamble James - Addendum Youth Guard</v>
      </c>
      <c r="D304" s="31" t="str">
        <f>IFERROR(__xludf.DUMMYFUNCTION("if(len(A304)&gt;0, REGEXEXTRACT(A304, ""\n[^\(]*""), """")"),"
Basic Variable Fighter ")</f>
        <v>
Basic Variable Fighter </v>
      </c>
      <c r="E304" s="17" t="str">
        <f>IFERROR(__xludf.DUMMYFUNCTION("if(len(A304)&gt;0, REGEXEXTRACT(A304, ""\n([^\n]*)$""), """")"),"Vehicle, System")</f>
        <v>Vehicle, System</v>
      </c>
      <c r="F304" s="17" t="str">
        <f>IFERROR(__xludf.DUMMYFUNCTION("if(len(A304)&gt;0, REGEXEXTRACT(A304, ""\(([^\)]*)\)""), """")"),"Macross")</f>
        <v>Macross</v>
      </c>
      <c r="G304" s="17" t="str">
        <f>IFERROR(__xludf.DUMMYFUNCTION("if(len(A304)&gt;0, REGEXEXTRACT(A304, ""\)([^:]*):""), """")")," Free")</f>
        <v> Free</v>
      </c>
      <c r="H304" s="31" t="str">
        <f>IFERROR(__xludf.DUMMYFUNCTION("if(len(A304) &gt; 0, JOIN(char(10), FILTER(SPLIT(A304, char(10)), split(""false false "" &amp; rept(""true "", columns(SPLIT(A304, char(10)))-3) &amp; ""false"", "" ""))), """")"),"Your good ol' Fisher Price Veritechs! They may be the beginning, but they're classics and were the groundwork for future generations. Editions like the VF-1A Valkyrie (or its other variants), the YF-4, VF-2SS or the VF-4 Lightning III are made available f"&amp;"or your stay here. It can transform in the atmosphere and operate in space, but it cannot reach escape velocity on its own. Comes with basic armaments and like all Variable Fighters can transform into a Jet, a Mech, or a 'middle' form called Guardian Mode"&amp;".")</f>
        <v>Your good ol' Fisher Price Veritechs! They may be the beginning, but they're classics and were the groundwork for future generations. Editions like the VF-1A Valkyrie (or its other variants), the YF-4, VF-2SS or the VF-4 Lightning III are made available for your stay here. It can transform in the atmosphere and operate in space, but it cannot reach escape velocity on its own. Comes with basic armaments and like all Variable Fighters can transform into a Jet, a Mech, or a 'middle' form called Guardian Mode.</v>
      </c>
    </row>
    <row r="305">
      <c r="A305" s="31" t="str">
        <f>IFERROR(__xludf.DUMMYFUNCTION("""COMPUTED_VALUE"""),"Chapter 39: 33 Morning Training - Preamble James - Addendum Youth Guard
Lathe of Heaven (Chrono Trigger) 400:
We're always going to need weapons, so the way I see it, you might as well get good at making them. Now? You'll be able to give old man Melchior "&amp;"a run for his money. Swords, guns, armor, even sunglasses - if it's worn or wielded, you can make it a masterpiece. You'll also learn how to make use of any material, bringing out its best qualities and minimizing its weaknesses. You could make bone sharp"&amp;"er than steel, gold sturdier than titanium, and take a legendary material nobody's ever seen before, and figure out how to forge it, what to alloy it with, and how to craft that alloy into an impossibly sharp sword or some amazing shades.
System")</f>
        <v>Chapter 39: 33 Morning Training - Preamble James - Addendum Youth Guard
Lathe of Heaven (Chrono Trigger) 400:
We're always going to need weapons, so the way I see it, you might as well get good at making them. Now? You'll be able to give old man Melchior a run for his money. Swords, guns, armor, even sunglasses - if it's worn or wielded, you can make it a masterpiece. You'll also learn how to make use of any material, bringing out its best qualities and minimizing its weaknesses. You could make bone sharper than steel, gold sturdier than titanium, and take a legendary material nobody's ever seen before, and figure out how to forge it, what to alloy it with, and how to craft that alloy into an impossibly sharp sword or some amazing shades.
System</v>
      </c>
      <c r="B305" s="17">
        <f>IFERROR(__xludf.DUMMYFUNCTION("if(len(A305)&gt;0, value(REGEXEXTRACT(A305, ""Chapter ([0-9]*):"")), """")"),39.0)</f>
        <v>39</v>
      </c>
      <c r="C305" s="31" t="str">
        <f>IFERROR(__xludf.DUMMYFUNCTION("if(len(A305) &gt;0, REGEXEXTRACT(A305, ""Chapter [0-9]*: (.*)""), """")"),"33 Morning Training - Preamble James - Addendum Youth Guard")</f>
        <v>33 Morning Training - Preamble James - Addendum Youth Guard</v>
      </c>
      <c r="D305" s="31" t="str">
        <f>IFERROR(__xludf.DUMMYFUNCTION("if(len(A305)&gt;0, REGEXEXTRACT(A305, ""\n[^\(]*""), """")"),"
Lathe of Heaven ")</f>
        <v>
Lathe of Heaven </v>
      </c>
      <c r="E305" s="17" t="str">
        <f>IFERROR(__xludf.DUMMYFUNCTION("if(len(A305)&gt;0, REGEXEXTRACT(A305, ""\n([^\n]*)$""), """")"),"System")</f>
        <v>System</v>
      </c>
      <c r="F305" s="17" t="str">
        <f>IFERROR(__xludf.DUMMYFUNCTION("if(len(A305)&gt;0, REGEXEXTRACT(A305, ""\(([^\)]*)\)""), """")"),"Chrono Trigger")</f>
        <v>Chrono Trigger</v>
      </c>
      <c r="G305" s="17" t="str">
        <f>IFERROR(__xludf.DUMMYFUNCTION("if(len(A305)&gt;0, REGEXEXTRACT(A305, ""\)([^:]*):""), """")")," 400")</f>
        <v> 400</v>
      </c>
      <c r="H305" s="31" t="str">
        <f>IFERROR(__xludf.DUMMYFUNCTION("if(len(A305) &gt; 0, JOIN(char(10), FILTER(SPLIT(A305, char(10)), split(""false false "" &amp; rept(""true "", columns(SPLIT(A305, char(10)))-3) &amp; ""false"", "" ""))), """")"),"We're always going to need weapons, so the way I see it, you might as well get good at making them. Now? You'll be able to give old man Melchior a run for his money. Swords, guns, armor, even sunglasses - if it's worn or wielded, you can make it a masterp"&amp;"iece. You'll also learn how to make use of any material, bringing out its best qualities and minimizing its weaknesses. You could make bone sharper than steel, gold sturdier than titanium, and take a legendary material nobody's ever seen before, and figur"&amp;"e out how to forge it, what to alloy it with, and how to craft that alloy into an impossibly sharp sword or some amazing shades.")</f>
        <v>We're always going to need weapons, so the way I see it, you might as well get good at making them. Now? You'll be able to give old man Melchior a run for his money. Swords, guns, armor, even sunglasses - if it's worn or wielded, you can make it a masterpiece. You'll also learn how to make use of any material, bringing out its best qualities and minimizing its weaknesses. You could make bone sharper than steel, gold sturdier than titanium, and take a legendary material nobody's ever seen before, and figure out how to forge it, what to alloy it with, and how to craft that alloy into an impossibly sharp sword or some amazing shades.</v>
      </c>
    </row>
    <row r="306">
      <c r="A306" s="31" t="str">
        <f>IFERROR(__xludf.DUMMYFUNCTION("""COMPUTED_VALUE"""),"Chapter 39: 33 Morning Training - Preamble James - Addendum Youth Guard
Serene Sinatra (Macross) Free:
You're no slouch in the singing department, that's for sure. You may not be popular idol material, but no one's going to complain if you decide to sing "&amp;"along to a song or randomly bust out a tune with a voice like this. Who knows, maybe you could practice and get a little better?
Skill")</f>
        <v>Chapter 39: 33 Morning Training - Preamble James - Addendum Youth Guard
Serene Sinatra (Macross) Free:
You're no slouch in the singing department, that's for sure. You may not be popular idol material, but no one's going to complain if you decide to sing along to a song or randomly bust out a tune with a voice like this. Who knows, maybe you could practice and get a little better?
Skill</v>
      </c>
      <c r="B306" s="17">
        <f>IFERROR(__xludf.DUMMYFUNCTION("if(len(A306)&gt;0, value(REGEXEXTRACT(A306, ""Chapter ([0-9]*):"")), """")"),39.0)</f>
        <v>39</v>
      </c>
      <c r="C306" s="31" t="str">
        <f>IFERROR(__xludf.DUMMYFUNCTION("if(len(A306) &gt;0, REGEXEXTRACT(A306, ""Chapter [0-9]*: (.*)""), """")"),"33 Morning Training - Preamble James - Addendum Youth Guard")</f>
        <v>33 Morning Training - Preamble James - Addendum Youth Guard</v>
      </c>
      <c r="D306" s="31" t="str">
        <f>IFERROR(__xludf.DUMMYFUNCTION("if(len(A306)&gt;0, REGEXEXTRACT(A306, ""\n[^\(]*""), """")"),"
Serene Sinatra ")</f>
        <v>
Serene Sinatra </v>
      </c>
      <c r="E306" s="17" t="str">
        <f>IFERROR(__xludf.DUMMYFUNCTION("if(len(A306)&gt;0, REGEXEXTRACT(A306, ""\n([^\n]*)$""), """")"),"Skill")</f>
        <v>Skill</v>
      </c>
      <c r="F306" s="17" t="str">
        <f>IFERROR(__xludf.DUMMYFUNCTION("if(len(A306)&gt;0, REGEXEXTRACT(A306, ""\(([^\)]*)\)""), """")"),"Macross")</f>
        <v>Macross</v>
      </c>
      <c r="G306" s="17" t="str">
        <f>IFERROR(__xludf.DUMMYFUNCTION("if(len(A306)&gt;0, REGEXEXTRACT(A306, ""\)([^:]*):""), """")")," Free")</f>
        <v> Free</v>
      </c>
      <c r="H306" s="31" t="str">
        <f>IFERROR(__xludf.DUMMYFUNCTION("if(len(A306) &gt; 0, JOIN(char(10), FILTER(SPLIT(A306, char(10)), split(""false false "" &amp; rept(""true "", columns(SPLIT(A306, char(10)))-3) &amp; ""false"", "" ""))), """")"),"You're no slouch in the singing department, that's for sure. You may not be popular idol material, but no one's going to complain if you decide to sing along to a song or randomly bust out a tune with a voice like this. Who knows, maybe you could practice"&amp;" and get a little better?")</f>
        <v>You're no slouch in the singing department, that's for sure. You may not be popular idol material, but no one's going to complain if you decide to sing along to a song or randomly bust out a tune with a voice like this. Who knows, maybe you could practice and get a little better?</v>
      </c>
    </row>
    <row r="307">
      <c r="A307" s="31" t="str">
        <f>IFERROR(__xludf.DUMMYFUNCTION("""COMPUTED_VALUE"""),"Chapter 39: 33 Morning Training - Preamble James - Addendum Youth Guard
Space Suit (Macross) Free:
A futuristic, spandex space suit that will let you survive for 20 minutes in deep space. It's really more in case your vehicle gets stranded, but otherwise "&amp;"it's pretty darn cool looking.
Item")</f>
        <v>Chapter 39: 33 Morning Training - Preamble James - Addendum Youth Guard
Space Suit (Macross) Free:
A futuristic, spandex space suit that will let you survive for 20 minutes in deep space. It's really more in case your vehicle gets stranded, but otherwise it's pretty darn cool looking.
Item</v>
      </c>
      <c r="B307" s="17">
        <f>IFERROR(__xludf.DUMMYFUNCTION("if(len(A307)&gt;0, value(REGEXEXTRACT(A307, ""Chapter ([0-9]*):"")), """")"),39.0)</f>
        <v>39</v>
      </c>
      <c r="C307" s="31" t="str">
        <f>IFERROR(__xludf.DUMMYFUNCTION("if(len(A307) &gt;0, REGEXEXTRACT(A307, ""Chapter [0-9]*: (.*)""), """")"),"33 Morning Training - Preamble James - Addendum Youth Guard")</f>
        <v>33 Morning Training - Preamble James - Addendum Youth Guard</v>
      </c>
      <c r="D307" s="31" t="str">
        <f>IFERROR(__xludf.DUMMYFUNCTION("if(len(A307)&gt;0, REGEXEXTRACT(A307, ""\n[^\(]*""), """")"),"
Space Suit ")</f>
        <v>
Space Suit </v>
      </c>
      <c r="E307" s="17" t="str">
        <f>IFERROR(__xludf.DUMMYFUNCTION("if(len(A307)&gt;0, REGEXEXTRACT(A307, ""\n([^\n]*)$""), """")"),"Item")</f>
        <v>Item</v>
      </c>
      <c r="F307" s="17" t="str">
        <f>IFERROR(__xludf.DUMMYFUNCTION("if(len(A307)&gt;0, REGEXEXTRACT(A307, ""\(([^\)]*)\)""), """")"),"Macross")</f>
        <v>Macross</v>
      </c>
      <c r="G307" s="17" t="str">
        <f>IFERROR(__xludf.DUMMYFUNCTION("if(len(A307)&gt;0, REGEXEXTRACT(A307, ""\)([^:]*):""), """")")," Free")</f>
        <v> Free</v>
      </c>
      <c r="H307" s="31" t="str">
        <f>IFERROR(__xludf.DUMMYFUNCTION("if(len(A307) &gt; 0, JOIN(char(10), FILTER(SPLIT(A307, char(10)), split(""false false "" &amp; rept(""true "", columns(SPLIT(A307, char(10)))-3) &amp; ""false"", "" ""))), """")"),"A futuristic, spandex space suit that will let you survive for 20 minutes in deep space. It's really more in case your vehicle gets stranded, but otherwise it's pretty darn cool looking.")</f>
        <v>A futuristic, spandex space suit that will let you survive for 20 minutes in deep space. It's really more in case your vehicle gets stranded, but otherwise it's pretty darn cool looking.</v>
      </c>
    </row>
    <row r="308">
      <c r="A308" s="31" t="str">
        <f>IFERROR(__xludf.DUMMYFUNCTION("""COMPUTED_VALUE"""),"Chapter 39: 33 Morning Training - Preamble James - Addendum Youth Guard
Tool Kit (Macross) 100:
Woah now, Sonny Jim! You don't expect to fix that machine with your bare fingers, do you? Don't go anywhere without the equipment you need to make sure that te"&amp;"ch keeps on trucking! A handy dandy set of tools to accommodate for maintaining Variable Fighters. This will make things easier if you want to keep things in shape or just want to poke around and see what's inside!
Item")</f>
        <v>Chapter 39: 33 Morning Training - Preamble James - Addendum Youth Guard
Tool Kit (Macross) 100:
Woah now, Sonny Jim! You don't expect to fix that machine with your bare fingers, do you? Don't go anywhere without the equipment you need to make sure that tech keeps on trucking! A handy dandy set of tools to accommodate for maintaining Variable Fighters. This will make things easier if you want to keep things in shape or just want to poke around and see what's inside!
Item</v>
      </c>
      <c r="B308" s="17">
        <f>IFERROR(__xludf.DUMMYFUNCTION("if(len(A308)&gt;0, value(REGEXEXTRACT(A308, ""Chapter ([0-9]*):"")), """")"),39.0)</f>
        <v>39</v>
      </c>
      <c r="C308" s="31" t="str">
        <f>IFERROR(__xludf.DUMMYFUNCTION("if(len(A308) &gt;0, REGEXEXTRACT(A308, ""Chapter [0-9]*: (.*)""), """")"),"33 Morning Training - Preamble James - Addendum Youth Guard")</f>
        <v>33 Morning Training - Preamble James - Addendum Youth Guard</v>
      </c>
      <c r="D308" s="31" t="str">
        <f>IFERROR(__xludf.DUMMYFUNCTION("if(len(A308)&gt;0, REGEXEXTRACT(A308, ""\n[^\(]*""), """")"),"
Tool Kit ")</f>
        <v>
Tool Kit </v>
      </c>
      <c r="E308" s="17" t="str">
        <f>IFERROR(__xludf.DUMMYFUNCTION("if(len(A308)&gt;0, REGEXEXTRACT(A308, ""\n([^\n]*)$""), """")"),"Item")</f>
        <v>Item</v>
      </c>
      <c r="F308" s="17" t="str">
        <f>IFERROR(__xludf.DUMMYFUNCTION("if(len(A308)&gt;0, REGEXEXTRACT(A308, ""\(([^\)]*)\)""), """")"),"Macross")</f>
        <v>Macross</v>
      </c>
      <c r="G308" s="17" t="str">
        <f>IFERROR(__xludf.DUMMYFUNCTION("if(len(A308)&gt;0, REGEXEXTRACT(A308, ""\)([^:]*):""), """")")," 100")</f>
        <v> 100</v>
      </c>
      <c r="H308" s="31" t="str">
        <f>IFERROR(__xludf.DUMMYFUNCTION("if(len(A308) &gt; 0, JOIN(char(10), FILTER(SPLIT(A308, char(10)), split(""false false "" &amp; rept(""true "", columns(SPLIT(A308, char(10)))-3) &amp; ""false"", "" ""))), """")"),"Woah now, Sonny Jim! You don't expect to fix that machine with your bare fingers, do you? Don't go anywhere without the equipment you need to make sure that tech keeps on trucking! A handy dandy set of tools to accommodate for maintaining Variable Fighter"&amp;"s. This will make things easier if you want to keep things in shape or just want to poke around and see what's inside!")</f>
        <v>Woah now, Sonny Jim! You don't expect to fix that machine with your bare fingers, do you? Don't go anywhere without the equipment you need to make sure that tech keeps on trucking! A handy dandy set of tools to accommodate for maintaining Variable Fighters. This will make things easier if you want to keep things in shape or just want to poke around and see what's inside!</v>
      </c>
    </row>
    <row r="309">
      <c r="A309" s="31" t="str">
        <f>IFERROR(__xludf.DUMMYFUNCTION("""COMPUTED_VALUE"""),"Chapter 40: 34 Little Talks - Addendum Ethan
Advanced Formulae (Fullmetal Alchemist) 100:
Alchemy comes to you as breathing does. Your greater understanding allows for the creation of more complex alchemy. You can combine with Simplified Formulae for mult"&amp;"ipurpose combat alchemy
System")</f>
        <v>Chapter 40: 34 Little Talks - Addendum Ethan
Advanced Formulae (Fullmetal Alchemist) 100:
Alchemy comes to you as breathing does. Your greater understanding allows for the creation of more complex alchemy. You can combine with Simplified Formulae for multipurpose combat alchemy
System</v>
      </c>
      <c r="B309" s="17">
        <f>IFERROR(__xludf.DUMMYFUNCTION("if(len(A309)&gt;0, value(REGEXEXTRACT(A309, ""Chapter ([0-9]*):"")), """")"),40.0)</f>
        <v>40</v>
      </c>
      <c r="C309" s="31" t="str">
        <f>IFERROR(__xludf.DUMMYFUNCTION("if(len(A309) &gt;0, REGEXEXTRACT(A309, ""Chapter [0-9]*: (.*)""), """")"),"34 Little Talks - Addendum Ethan")</f>
        <v>34 Little Talks - Addendum Ethan</v>
      </c>
      <c r="D309" s="31" t="str">
        <f>IFERROR(__xludf.DUMMYFUNCTION("if(len(A309)&gt;0, REGEXEXTRACT(A309, ""\n[^\(]*""), """")"),"
Advanced Formulae ")</f>
        <v>
Advanced Formulae </v>
      </c>
      <c r="E309" s="17" t="str">
        <f>IFERROR(__xludf.DUMMYFUNCTION("if(len(A309)&gt;0, REGEXEXTRACT(A309, ""\n([^\n]*)$""), """")"),"System")</f>
        <v>System</v>
      </c>
      <c r="F309" s="17" t="str">
        <f>IFERROR(__xludf.DUMMYFUNCTION("if(len(A309)&gt;0, REGEXEXTRACT(A309, ""\(([^\)]*)\)""), """")"),"Fullmetal Alchemist")</f>
        <v>Fullmetal Alchemist</v>
      </c>
      <c r="G309" s="17" t="str">
        <f>IFERROR(__xludf.DUMMYFUNCTION("if(len(A309)&gt;0, REGEXEXTRACT(A309, ""\)([^:]*):""), """")")," 100")</f>
        <v> 100</v>
      </c>
      <c r="H309" s="31" t="str">
        <f>IFERROR(__xludf.DUMMYFUNCTION("if(len(A309) &gt; 0, JOIN(char(10), FILTER(SPLIT(A309, char(10)), split(""false false "" &amp; rept(""true "", columns(SPLIT(A309, char(10)))-3) &amp; ""false"", "" ""))), """")"),"Alchemy comes to you as breathing does. Your greater understanding allows for the creation of more complex alchemy. You can combine with Simplified Formulae for multipurpose combat alchemy")</f>
        <v>Alchemy comes to you as breathing does. Your greater understanding allows for the creation of more complex alchemy. You can combine with Simplified Formulae for multipurpose combat alchemy</v>
      </c>
    </row>
    <row r="310">
      <c r="A310" s="31" t="str">
        <f>IFERROR(__xludf.DUMMYFUNCTION("""COMPUTED_VALUE"""),"Chapter 40: 34 Little Talks - Addendum Ethan
Scrapper (Fallout 4) 300:
You have the capability to dismantle and repurpose objects for your own creations; even ones that you might not fully understand. So long as it’s not hopelessly beyond your understandi"&amp;"ng, indestructible, or ridiculously big, you’re capable of taking most things and reducing them to their base components, salvaging any working parts with only a few days of work at the worst.
Analysis")</f>
        <v>Chapter 40: 34 Little Talks - Addendum Ethan
Scrapper (Fallout 4) 300:
You have the capability to dismantle and repurpose objects for your own creations; even ones that you might not fully understand. So long as it’s not hopelessly beyond your understanding, indestructible, or ridiculously big, you’re capable of taking most things and reducing them to their base components, salvaging any working parts with only a few days of work at the worst.
Analysis</v>
      </c>
      <c r="B310" s="17">
        <f>IFERROR(__xludf.DUMMYFUNCTION("if(len(A310)&gt;0, value(REGEXEXTRACT(A310, ""Chapter ([0-9]*):"")), """")"),40.0)</f>
        <v>40</v>
      </c>
      <c r="C310" s="31" t="str">
        <f>IFERROR(__xludf.DUMMYFUNCTION("if(len(A310) &gt;0, REGEXEXTRACT(A310, ""Chapter [0-9]*: (.*)""), """")"),"34 Little Talks - Addendum Ethan")</f>
        <v>34 Little Talks - Addendum Ethan</v>
      </c>
      <c r="D310" s="31" t="str">
        <f>IFERROR(__xludf.DUMMYFUNCTION("if(len(A310)&gt;0, REGEXEXTRACT(A310, ""\n[^\(]*""), """")"),"
Scrapper ")</f>
        <v>
Scrapper </v>
      </c>
      <c r="E310" s="17" t="str">
        <f>IFERROR(__xludf.DUMMYFUNCTION("if(len(A310)&gt;0, REGEXEXTRACT(A310, ""\n([^\n]*)$""), """")"),"Analysis")</f>
        <v>Analysis</v>
      </c>
      <c r="F310" s="17" t="str">
        <f>IFERROR(__xludf.DUMMYFUNCTION("if(len(A310)&gt;0, REGEXEXTRACT(A310, ""\(([^\)]*)\)""), """")"),"Fallout 4")</f>
        <v>Fallout 4</v>
      </c>
      <c r="G310" s="17" t="str">
        <f>IFERROR(__xludf.DUMMYFUNCTION("if(len(A310)&gt;0, REGEXEXTRACT(A310, ""\)([^:]*):""), """")")," 300")</f>
        <v> 300</v>
      </c>
      <c r="H310" s="31" t="str">
        <f>IFERROR(__xludf.DUMMYFUNCTION("if(len(A310) &gt; 0, JOIN(char(10), FILTER(SPLIT(A310, char(10)), split(""false false "" &amp; rept(""true "", columns(SPLIT(A310, char(10)))-3) &amp; ""false"", "" ""))), """")"),"You have the capability to dismantle and repurpose objects for your own creations; even ones that you might not fully understand. So long as it’s not hopelessly beyond your understanding, indestructible, or ridiculously big, you’re capable of taking most "&amp;"things and reducing them to their base components, salvaging any working parts with only a few days of work at the worst.")</f>
        <v>You have the capability to dismantle and repurpose objects for your own creations; even ones that you might not fully understand. So long as it’s not hopelessly beyond your understanding, indestructible, or ridiculously big, you’re capable of taking most things and reducing them to their base components, salvaging any working parts with only a few days of work at the worst.</v>
      </c>
    </row>
    <row r="311">
      <c r="A311" s="31" t="str">
        <f>IFERROR(__xludf.DUMMYFUNCTION("""COMPUTED_VALUE"""),"Chapter 40: 34 Little Talks - Addendum Ethan
Starting Gear (Fallout 4) 0:
You get faction appropriate clothing (normal clothes for Drop Ins and Railroad, a uniform for BOS, lab coat for Institute, and a hodge-podge of leather and scrap metal for Raiders) "&amp;"and your choice of a 10mm pistol, brass knuckles, a security baton, a machete, or a laser pistol (regular or Institute), as well as 100 Caps
Item")</f>
        <v>Chapter 40: 34 Little Talks - Addendum Ethan
Starting Gear (Fallout 4) 0:
You get faction appropriate clothing (normal clothes for Drop Ins and Railroad, a uniform for BOS, lab coat for Institute, and a hodge-podge of leather and scrap metal for Raiders) and your choice of a 10mm pistol, brass knuckles, a security baton, a machete, or a laser pistol (regular or Institute), as well as 100 Caps
Item</v>
      </c>
      <c r="B311" s="17">
        <f>IFERROR(__xludf.DUMMYFUNCTION("if(len(A311)&gt;0, value(REGEXEXTRACT(A311, ""Chapter ([0-9]*):"")), """")"),40.0)</f>
        <v>40</v>
      </c>
      <c r="C311" s="31" t="str">
        <f>IFERROR(__xludf.DUMMYFUNCTION("if(len(A311) &gt;0, REGEXEXTRACT(A311, ""Chapter [0-9]*: (.*)""), """")"),"34 Little Talks - Addendum Ethan")</f>
        <v>34 Little Talks - Addendum Ethan</v>
      </c>
      <c r="D311" s="31" t="str">
        <f>IFERROR(__xludf.DUMMYFUNCTION("if(len(A311)&gt;0, REGEXEXTRACT(A311, ""\n[^\(]*""), """")"),"
Starting Gear ")</f>
        <v>
Starting Gear </v>
      </c>
      <c r="E311" s="17" t="str">
        <f>IFERROR(__xludf.DUMMYFUNCTION("if(len(A311)&gt;0, REGEXEXTRACT(A311, ""\n([^\n]*)$""), """")"),"Item")</f>
        <v>Item</v>
      </c>
      <c r="F311" s="17" t="str">
        <f>IFERROR(__xludf.DUMMYFUNCTION("if(len(A311)&gt;0, REGEXEXTRACT(A311, ""\(([^\)]*)\)""), """")"),"Fallout 4")</f>
        <v>Fallout 4</v>
      </c>
      <c r="G311" s="17" t="str">
        <f>IFERROR(__xludf.DUMMYFUNCTION("if(len(A311)&gt;0, REGEXEXTRACT(A311, ""\)([^:]*):""), """")")," 0")</f>
        <v> 0</v>
      </c>
      <c r="H311" s="31" t="str">
        <f>IFERROR(__xludf.DUMMYFUNCTION("if(len(A311) &gt; 0, JOIN(char(10), FILTER(SPLIT(A311, char(10)), split(""false false "" &amp; rept(""true "", columns(SPLIT(A311, char(10)))-3) &amp; ""false"", "" ""))), """")"),"You get faction appropriate clothing (normal clothes for Drop Ins and Railroad, a uniform for BOS, lab coat for Institute, and a hodge-podge of leather and scrap metal for Raiders) and your choice of a 10mm pistol, brass knuckles, a security baton, a mach"&amp;"ete, or a laser pistol (regular or Institute), as well as 100 Caps")</f>
        <v>You get faction appropriate clothing (normal clothes for Drop Ins and Railroad, a uniform for BOS, lab coat for Institute, and a hodge-podge of leather and scrap metal for Raiders) and your choice of a 10mm pistol, brass knuckles, a security baton, a machete, or a laser pistol (regular or Institute), as well as 100 Caps</v>
      </c>
    </row>
    <row r="312">
      <c r="A312" s="31" t="str">
        <f>IFERROR(__xludf.DUMMYFUNCTION("""COMPUTED_VALUE"""),"Chapter 41: 35 Closing Words - Addendum Chris
Master Craftsman (King Arthur) 600:
Thanks to being taught by faeries anything you make by hand is a great deal better than anything regular human can make. Armor is nearly indestructible and lighter than it s"&amp;"hould be, blades are sharper, blunt weapons have more force behind them, bows and crossbows can shoot farther and are easier to pull back. Even mundane items like baskets work better, though you can't give items mystical powers without being a wizard or s"&amp;"omething.
This perk is being interpreted based on https://drive.google.com/file/d/15njr4mTk5dNkgHOZzG9NPWjODTuAoIhC/view?usp=sharing which is a different jumpdoc than the one which contains it.
System, Ability")</f>
        <v>Chapter 41: 35 Closing Words - Addendum Chris
Master Craftsman (King Arthur) 600:
Thanks to being taught by faeries anything you make by hand is a great deal better than anything regular human can make. Armor is nearly indestructible and lighter than it should be, blades are sharper, blunt weapons have more force behind them, bows and crossbows can shoot farther and are easier to pull back. Even mundane items like baskets work better, though you can't give items mystical powers without being a wizard or something.
This perk is being interpreted based on https://drive.google.com/file/d/15njr4mTk5dNkgHOZzG9NPWjODTuAoIhC/view?usp=sharing which is a different jumpdoc than the one which contains it.
System, Ability</v>
      </c>
      <c r="B312" s="17">
        <f>IFERROR(__xludf.DUMMYFUNCTION("if(len(A312)&gt;0, value(REGEXEXTRACT(A312, ""Chapter ([0-9]*):"")), """")"),41.0)</f>
        <v>41</v>
      </c>
      <c r="C312" s="31" t="str">
        <f>IFERROR(__xludf.DUMMYFUNCTION("if(len(A312) &gt;0, REGEXEXTRACT(A312, ""Chapter [0-9]*: (.*)""), """")"),"35 Closing Words - Addendum Chris")</f>
        <v>35 Closing Words - Addendum Chris</v>
      </c>
      <c r="D312" s="31" t="str">
        <f>IFERROR(__xludf.DUMMYFUNCTION("if(len(A312)&gt;0, REGEXEXTRACT(A312, ""\n[^\(]*""), """")"),"
Master Craftsman ")</f>
        <v>
Master Craftsman </v>
      </c>
      <c r="E312" s="17" t="str">
        <f>IFERROR(__xludf.DUMMYFUNCTION("if(len(A312)&gt;0, REGEXEXTRACT(A312, ""\n([^\n]*)$""), """")"),"System, Ability")</f>
        <v>System, Ability</v>
      </c>
      <c r="F312" s="17" t="str">
        <f>IFERROR(__xludf.DUMMYFUNCTION("if(len(A312)&gt;0, REGEXEXTRACT(A312, ""\(([^\)]*)\)""), """")"),"King Arthur")</f>
        <v>King Arthur</v>
      </c>
      <c r="G312" s="17" t="str">
        <f>IFERROR(__xludf.DUMMYFUNCTION("if(len(A312)&gt;0, REGEXEXTRACT(A312, ""\)([^:]*):""), """")")," 600")</f>
        <v> 600</v>
      </c>
      <c r="H312" s="31" t="str">
        <f>IFERROR(__xludf.DUMMYFUNCTION("if(len(A312) &gt; 0, JOIN(char(10), FILTER(SPLIT(A312, char(10)), split(""false false "" &amp; rept(""true "", columns(SPLIT(A312, char(10)))-3) &amp; ""false"", "" ""))), """")"),"Thanks to being taught by faeries anything you make by hand is a great deal better than anything regular human can make. Armor is nearly indestructible and lighter than it should be, blades are sharper, blunt weapons have more force behind them, bows and "&amp;"crossbows can shoot farther and are easier to pull back. Even mundane items like baskets work better, though you can't give items mystical powers without being a wizard or something.
This perk is being interpreted based on https://drive.google.com/file/d/"&amp;"15njr4mTk5dNkgHOZzG9NPWjODTuAoIhC/view?usp=sharing which is a different jumpdoc than the one which contains it.")</f>
        <v>Thanks to being taught by faeries anything you make by hand is a great deal better than anything regular human can make. Armor is nearly indestructible and lighter than it should be, blades are sharper, blunt weapons have more force behind them, bows and crossbows can shoot farther and are easier to pull back. Even mundane items like baskets work better, though you can't give items mystical powers without being a wizard or something.
This perk is being interpreted based on https://drive.google.com/file/d/15njr4mTk5dNkgHOZzG9NPWjODTuAoIhC/view?usp=sharing which is a different jumpdoc than the one which contains it.</v>
      </c>
    </row>
    <row r="313">
      <c r="A313" s="31" t="str">
        <f>IFERROR(__xludf.DUMMYFUNCTION("""COMPUTED_VALUE"""),"Chapter 41: 35 Closing Words - Addendum Chris
Robust Engineering (Dune) 300:
Ten thousand years of stagnation in technology is a very long time... and now you know how to apply the lessons of those millennia to the construction of anything you have. Mass "&amp;"production does not exist any longer and even relatively common items are made as if masterwork quality, because aside from obvious cheap items, they have been built to last longer than the person using them. Expect anything you construct by hand to be ab"&amp;"le to last centuries, as long as you take a little extra time while you make it. With the amount of time you're going to be around... you may need that sort of quality.
Fiat")</f>
        <v>Chapter 41: 35 Closing Words - Addendum Chris
Robust Engineering (Dune) 300:
Ten thousand years of stagnation in technology is a very long time... and now you know how to apply the lessons of those millennia to the construction of anything you have. Mass production does not exist any longer and even relatively common items are made as if masterwork quality, because aside from obvious cheap items, they have been built to last longer than the person using them. Expect anything you construct by hand to be able to last centuries, as long as you take a little extra time while you make it. With the amount of time you're going to be around... you may need that sort of quality.
Fiat</v>
      </c>
      <c r="B313" s="17">
        <f>IFERROR(__xludf.DUMMYFUNCTION("if(len(A313)&gt;0, value(REGEXEXTRACT(A313, ""Chapter ([0-9]*):"")), """")"),41.0)</f>
        <v>41</v>
      </c>
      <c r="C313" s="31" t="str">
        <f>IFERROR(__xludf.DUMMYFUNCTION("if(len(A313) &gt;0, REGEXEXTRACT(A313, ""Chapter [0-9]*: (.*)""), """")"),"35 Closing Words - Addendum Chris")</f>
        <v>35 Closing Words - Addendum Chris</v>
      </c>
      <c r="D313" s="31" t="str">
        <f>IFERROR(__xludf.DUMMYFUNCTION("if(len(A313)&gt;0, REGEXEXTRACT(A313, ""\n[^\(]*""), """")"),"
Robust Engineering ")</f>
        <v>
Robust Engineering </v>
      </c>
      <c r="E313" s="17" t="str">
        <f>IFERROR(__xludf.DUMMYFUNCTION("if(len(A313)&gt;0, REGEXEXTRACT(A313, ""\n([^\n]*)$""), """")"),"Fiat")</f>
        <v>Fiat</v>
      </c>
      <c r="F313" s="17" t="str">
        <f>IFERROR(__xludf.DUMMYFUNCTION("if(len(A313)&gt;0, REGEXEXTRACT(A313, ""\(([^\)]*)\)""), """")"),"Dune")</f>
        <v>Dune</v>
      </c>
      <c r="G313" s="17" t="str">
        <f>IFERROR(__xludf.DUMMYFUNCTION("if(len(A313)&gt;0, REGEXEXTRACT(A313, ""\)([^:]*):""), """")")," 300")</f>
        <v> 300</v>
      </c>
      <c r="H313" s="31" t="str">
        <f>IFERROR(__xludf.DUMMYFUNCTION("if(len(A313) &gt; 0, JOIN(char(10), FILTER(SPLIT(A313, char(10)), split(""false false "" &amp; rept(""true "", columns(SPLIT(A313, char(10)))-3) &amp; ""false"", "" ""))), """")"),"Ten thousand years of stagnation in technology is a very long time... and now you know how to apply the lessons of those millennia to the construction of anything you have. Mass production does not exist any longer and even relatively common items are mad"&amp;"e as if masterwork quality, because aside from obvious cheap items, they have been built to last longer than the person using them. Expect anything you construct by hand to be able to last centuries, as long as you take a little extra time while you make "&amp;"it. With the amount of time you're going to be around... you may need that sort of quality.")</f>
        <v>Ten thousand years of stagnation in technology is a very long time... and now you know how to apply the lessons of those millennia to the construction of anything you have. Mass production does not exist any longer and even relatively common items are made as if masterwork quality, because aside from obvious cheap items, they have been built to last longer than the person using them. Expect anything you construct by hand to be able to last centuries, as long as you take a little extra time while you make it. With the amount of time you're going to be around... you may need that sort of quality.</v>
      </c>
    </row>
    <row r="314">
      <c r="A314" s="31" t="str">
        <f>IFERROR(__xludf.DUMMYFUNCTION("""COMPUTED_VALUE"""),"Chapter 41: 35 Closing Words - Addendum Chris
Secular Skills (Red Dwarf) 200:
Through growing up in a society in which religion tried to stem the natural instincts of the cat people towards vanity and good looks, you learned to craft amazing clothes and o"&amp;"utfits from the most base materials and tools, and don’t worry they all will look fantastic.
Skill")</f>
        <v>Chapter 41: 35 Closing Words - Addendum Chris
Secular Skills (Red Dwarf) 200:
Through growing up in a society in which religion tried to stem the natural instincts of the cat people towards vanity and good looks, you learned to craft amazing clothes and outfits from the most base materials and tools, and don’t worry they all will look fantastic.
Skill</v>
      </c>
      <c r="B314" s="17">
        <f>IFERROR(__xludf.DUMMYFUNCTION("if(len(A314)&gt;0, value(REGEXEXTRACT(A314, ""Chapter ([0-9]*):"")), """")"),41.0)</f>
        <v>41</v>
      </c>
      <c r="C314" s="31" t="str">
        <f>IFERROR(__xludf.DUMMYFUNCTION("if(len(A314) &gt;0, REGEXEXTRACT(A314, ""Chapter [0-9]*: (.*)""), """")"),"35 Closing Words - Addendum Chris")</f>
        <v>35 Closing Words - Addendum Chris</v>
      </c>
      <c r="D314" s="31" t="str">
        <f>IFERROR(__xludf.DUMMYFUNCTION("if(len(A314)&gt;0, REGEXEXTRACT(A314, ""\n[^\(]*""), """")"),"
Secular Skills ")</f>
        <v>
Secular Skills </v>
      </c>
      <c r="E314" s="17" t="str">
        <f>IFERROR(__xludf.DUMMYFUNCTION("if(len(A314)&gt;0, REGEXEXTRACT(A314, ""\n([^\n]*)$""), """")"),"Skill")</f>
        <v>Skill</v>
      </c>
      <c r="F314" s="17" t="str">
        <f>IFERROR(__xludf.DUMMYFUNCTION("if(len(A314)&gt;0, REGEXEXTRACT(A314, ""\(([^\)]*)\)""), """")"),"Red Dwarf")</f>
        <v>Red Dwarf</v>
      </c>
      <c r="G314" s="17" t="str">
        <f>IFERROR(__xludf.DUMMYFUNCTION("if(len(A314)&gt;0, REGEXEXTRACT(A314, ""\)([^:]*):""), """")")," 200")</f>
        <v> 200</v>
      </c>
      <c r="H314" s="31" t="str">
        <f>IFERROR(__xludf.DUMMYFUNCTION("if(len(A314) &gt; 0, JOIN(char(10), FILTER(SPLIT(A314, char(10)), split(""false false "" &amp; rept(""true "", columns(SPLIT(A314, char(10)))-3) &amp; ""false"", "" ""))), """")"),"Through growing up in a society in which religion tried to stem the natural instincts of the cat people towards vanity and good looks, you learned to craft amazing clothes and outfits from the most base materials and tools, and don’t worry they all will l"&amp;"ook fantastic.")</f>
        <v>Through growing up in a society in which religion tried to stem the natural instincts of the cat people towards vanity and good looks, you learned to craft amazing clothes and outfits from the most base materials and tools, and don’t worry they all will look fantastic.</v>
      </c>
    </row>
    <row r="315">
      <c r="A315" s="31" t="str">
        <f>IFERROR(__xludf.DUMMYFUNCTION("""COMPUTED_VALUE"""),"Chapter 42: 35.1 Interlude Dragon - Addendum Margaret
I Am Iron Man (Marvel Cinematic Universe) 400:
You're not the ACTUAL Iron Man, but you could make a fairly decent knock-off. Power armors, sonic cannons, holographic interface, laser weapons, repulsor "&amp;"technology, you have the knowledge to build these things and more. Furthermore, you can think of different upgrades and modifications to adapt to different situations much easier than normal when presented with a problem that's hampered your technological"&amp;" progress.
System")</f>
        <v>Chapter 42: 35.1 Interlude Dragon - Addendum Margaret
I Am Iron Man (Marvel Cinematic Universe) 400:
You're not the ACTUAL Iron Man, but you could make a fairly decent knock-off. Power armors, sonic cannons, holographic interface, laser weapons, repulsor technology, you have the knowledge to build these things and more. Furthermore, you can think of different upgrades and modifications to adapt to different situations much easier than normal when presented with a problem that's hampered your technological progress.
System</v>
      </c>
      <c r="B315" s="17">
        <f>IFERROR(__xludf.DUMMYFUNCTION("if(len(A315)&gt;0, value(REGEXEXTRACT(A315, ""Chapter ([0-9]*):"")), """")"),42.0)</f>
        <v>42</v>
      </c>
      <c r="C315" s="31" t="str">
        <f>IFERROR(__xludf.DUMMYFUNCTION("if(len(A315) &gt;0, REGEXEXTRACT(A315, ""Chapter [0-9]*: (.*)""), """")"),"35.1 Interlude Dragon - Addendum Margaret")</f>
        <v>35.1 Interlude Dragon - Addendum Margaret</v>
      </c>
      <c r="D315" s="31" t="str">
        <f>IFERROR(__xludf.DUMMYFUNCTION("if(len(A315)&gt;0, REGEXEXTRACT(A315, ""\n[^\(]*""), """")"),"
I Am Iron Man ")</f>
        <v>
I Am Iron Man </v>
      </c>
      <c r="E315" s="17" t="str">
        <f>IFERROR(__xludf.DUMMYFUNCTION("if(len(A315)&gt;0, REGEXEXTRACT(A315, ""\n([^\n]*)$""), """")"),"System")</f>
        <v>System</v>
      </c>
      <c r="F315" s="17" t="str">
        <f>IFERROR(__xludf.DUMMYFUNCTION("if(len(A315)&gt;0, REGEXEXTRACT(A315, ""\(([^\)]*)\)""), """")"),"Marvel Cinematic Universe")</f>
        <v>Marvel Cinematic Universe</v>
      </c>
      <c r="G315" s="17" t="str">
        <f>IFERROR(__xludf.DUMMYFUNCTION("if(len(A315)&gt;0, REGEXEXTRACT(A315, ""\)([^:]*):""), """")")," 400")</f>
        <v> 400</v>
      </c>
      <c r="H315" s="31" t="str">
        <f>IFERROR(__xludf.DUMMYFUNCTION("if(len(A315) &gt; 0, JOIN(char(10), FILTER(SPLIT(A315, char(10)), split(""false false "" &amp; rept(""true "", columns(SPLIT(A315, char(10)))-3) &amp; ""false"", "" ""))), """")"),"You're not the ACTUAL Iron Man, but you could make a fairly decent knock-off. Power armors, sonic cannons, holographic interface, laser weapons, repulsor technology, you have the knowledge to build these things and more. Furthermore, you can think of diff"&amp;"erent upgrades and modifications to adapt to different situations much easier than normal when presented with a problem that's hampered your technological progress.")</f>
        <v>You're not the ACTUAL Iron Man, but you could make a fairly decent knock-off. Power armors, sonic cannons, holographic interface, laser weapons, repulsor technology, you have the knowledge to build these things and more. Furthermore, you can think of different upgrades and modifications to adapt to different situations much easier than normal when presented with a problem that's hampered your technological progress.</v>
      </c>
    </row>
    <row r="316">
      <c r="A316" s="31" t="str">
        <f>IFERROR(__xludf.DUMMYFUNCTION("""COMPUTED_VALUE"""),"Chapter 42: 35.1 Interlude Dragon - Addendum Margaret
Weaponsmith (Light of Terra DLC 5 A Sky Filled With Steel - Warhammer 40,000) 300:
To weaponry what Armourer is to protective gear, this is a massive database of the various tools of mayhem the denizen"&amp;"s of the Necromunda hive have wielded against each other. While the high tech equipment possible may seem nice, do not underestimate the value of low tech weaponry. Crafting a plasma pistol and crafting a bayonet require wildly different sets of skills, a"&amp;"nd all too often people who have one assume they have the other, to their chagrin.
Set")</f>
        <v>Chapter 42: 35.1 Interlude Dragon - Addendum Margaret
Weaponsmith (Light of Terra DLC 5 A Sky Filled With Steel - Warhammer 40,000) 300:
To weaponry what Armourer is to protective gear, this is a massive database of the various tools of mayhem the denizens of the Necromunda hive have wielded against each other. While the high tech equipment possible may seem nice, do not underestimate the value of low tech weaponry. Crafting a plasma pistol and crafting a bayonet require wildly different sets of skills, and all too often people who have one assume they have the other, to their chagrin.
Set</v>
      </c>
      <c r="B316" s="17">
        <f>IFERROR(__xludf.DUMMYFUNCTION("if(len(A316)&gt;0, value(REGEXEXTRACT(A316, ""Chapter ([0-9]*):"")), """")"),42.0)</f>
        <v>42</v>
      </c>
      <c r="C316" s="31" t="str">
        <f>IFERROR(__xludf.DUMMYFUNCTION("if(len(A316) &gt;0, REGEXEXTRACT(A316, ""Chapter [0-9]*: (.*)""), """")"),"35.1 Interlude Dragon - Addendum Margaret")</f>
        <v>35.1 Interlude Dragon - Addendum Margaret</v>
      </c>
      <c r="D316" s="31" t="str">
        <f>IFERROR(__xludf.DUMMYFUNCTION("if(len(A316)&gt;0, REGEXEXTRACT(A316, ""\n[^\(]*""), """")"),"
Weaponsmith ")</f>
        <v>
Weaponsmith </v>
      </c>
      <c r="E316" s="17" t="str">
        <f>IFERROR(__xludf.DUMMYFUNCTION("if(len(A316)&gt;0, REGEXEXTRACT(A316, ""\n([^\n]*)$""), """")"),"Set")</f>
        <v>Set</v>
      </c>
      <c r="F316" s="17" t="str">
        <f>IFERROR(__xludf.DUMMYFUNCTION("if(len(A316)&gt;0, REGEXEXTRACT(A316, ""\(([^\)]*)\)""), """")"),"Light of Terra DLC 5 A Sky Filled With Steel - Warhammer 40,000")</f>
        <v>Light of Terra DLC 5 A Sky Filled With Steel - Warhammer 40,000</v>
      </c>
      <c r="G316" s="17" t="str">
        <f>IFERROR(__xludf.DUMMYFUNCTION("if(len(A316)&gt;0, REGEXEXTRACT(A316, ""\)([^:]*):""), """")")," 300")</f>
        <v> 300</v>
      </c>
      <c r="H316" s="31" t="str">
        <f>IFERROR(__xludf.DUMMYFUNCTION("if(len(A316) &gt; 0, JOIN(char(10), FILTER(SPLIT(A316, char(10)), split(""false false "" &amp; rept(""true "", columns(SPLIT(A316, char(10)))-3) &amp; ""false"", "" ""))), """")"),"To weaponry what Armourer is to protective gear, this is a massive database of the various tools of mayhem the denizens of the Necromunda hive have wielded against each other. While the high tech equipment possible may seem nice, do not underestimate the "&amp;"value of low tech weaponry. Crafting a plasma pistol and crafting a bayonet require wildly different sets of skills, and all too often people who have one assume they have the other, to their chagrin.")</f>
        <v>To weaponry what Armourer is to protective gear, this is a massive database of the various tools of mayhem the denizens of the Necromunda hive have wielded against each other. While the high tech equipment possible may seem nice, do not underestimate the value of low tech weaponry. Crafting a plasma pistol and crafting a bayonet require wildly different sets of skills, and all too often people who have one assume they have the other, to their chagrin.</v>
      </c>
    </row>
    <row r="317">
      <c r="A317" s="31" t="str">
        <f>IFERROR(__xludf.DUMMYFUNCTION("""COMPUTED_VALUE"""),"Chapter 43: 36 Debrief - Addendum The Bay Bulletin
Fate Finds You Interesting (Percy Jackson) 300:
You must take the ""Fate finds you interesting"" drawback receiving no points for it (you can also do this with a lesser god to get greater powers).
(This b"&amp;"oost the power of Divine Child)
Personal")</f>
        <v>Chapter 43: 36 Debrief - Addendum The Bay Bulletin
Fate Finds You Interesting (Percy Jackson) 300:
You must take the "Fate finds you interesting" drawback receiving no points for it (you can also do this with a lesser god to get greater powers).
(This boost the power of Divine Child)
Personal</v>
      </c>
      <c r="B317" s="17">
        <f>IFERROR(__xludf.DUMMYFUNCTION("if(len(A317)&gt;0, value(REGEXEXTRACT(A317, ""Chapter ([0-9]*):"")), """")"),43.0)</f>
        <v>43</v>
      </c>
      <c r="C317" s="31" t="str">
        <f>IFERROR(__xludf.DUMMYFUNCTION("if(len(A317) &gt;0, REGEXEXTRACT(A317, ""Chapter [0-9]*: (.*)""), """")"),"36 Debrief - Addendum The Bay Bulletin")</f>
        <v>36 Debrief - Addendum The Bay Bulletin</v>
      </c>
      <c r="D317" s="31" t="str">
        <f>IFERROR(__xludf.DUMMYFUNCTION("if(len(A317)&gt;0, REGEXEXTRACT(A317, ""\n[^\(]*""), """")"),"
Fate Finds You Interesting ")</f>
        <v>
Fate Finds You Interesting </v>
      </c>
      <c r="E317" s="17" t="str">
        <f>IFERROR(__xludf.DUMMYFUNCTION("if(len(A317)&gt;0, REGEXEXTRACT(A317, ""\n([^\n]*)$""), """")"),"Personal")</f>
        <v>Personal</v>
      </c>
      <c r="F317" s="17" t="str">
        <f>IFERROR(__xludf.DUMMYFUNCTION("if(len(A317)&gt;0, REGEXEXTRACT(A317, ""\(([^\)]*)\)""), """")"),"Percy Jackson")</f>
        <v>Percy Jackson</v>
      </c>
      <c r="G317" s="17" t="str">
        <f>IFERROR(__xludf.DUMMYFUNCTION("if(len(A317)&gt;0, REGEXEXTRACT(A317, ""\)([^:]*):""), """")")," 300")</f>
        <v> 300</v>
      </c>
      <c r="H317" s="31" t="str">
        <f>IFERROR(__xludf.DUMMYFUNCTION("if(len(A317) &gt; 0, JOIN(char(10), FILTER(SPLIT(A317, char(10)), split(""false false "" &amp; rept(""true "", columns(SPLIT(A317, char(10)))-3) &amp; ""false"", "" ""))), """")"),"You must take the ""Fate finds you interesting"" drawback receiving no points for it (you can also do this with a lesser god to get greater powers).
(This boost the power of Divine Child)")</f>
        <v>You must take the "Fate finds you interesting" drawback receiving no points for it (you can also do this with a lesser god to get greater powers).
(This boost the power of Divine Child)</v>
      </c>
    </row>
    <row r="318">
      <c r="A318" s="31" t="str">
        <f>IFERROR(__xludf.DUMMYFUNCTION("""COMPUTED_VALUE"""),"Chapter 43: 36 Debrief - Addendum The Bay Bulletin
Minor Blessing Athena - Craftsmanship (Percy Jackson) 100:
For one reason or another you've got a god who cares slightly about you and has seen fit to grant you some minor boon within their domains. Choos"&amp;"e one god from any pantheon and gain a minor boon from them. The god will care slightly about you but unless you go on to further distinguish yourself it will be more of a minor interest in your affairs than someone they feel the need to help (Effectively"&amp;" think a diminished version of one ability a demigod might have, think minor ones are stuff along the lines of breathing water, lucid dreaming, or appropriate vague extra senses, useful but nothing especially major). This can be taken multiple times.
Skil"&amp;"l")</f>
        <v>Chapter 43: 36 Debrief - Addendum The Bay Bulletin
Minor Blessing Athena - Craftsmanship (Percy Jackson) 100:
For one reason or another you've got a god who cares slightly about you and has seen fit to grant you some minor boon within their domains. Choose one god from any pantheon and gain a minor boon from them. The god will care slightly about you but unless you go on to further distinguish yourself it will be more of a minor interest in your affairs than someone they feel the need to help (Effectively think a diminished version of one ability a demigod might have, think minor ones are stuff along the lines of breathing water, lucid dreaming, or appropriate vague extra senses, useful but nothing especially major). This can be taken multiple times.
Skill</v>
      </c>
      <c r="B318" s="17">
        <f>IFERROR(__xludf.DUMMYFUNCTION("if(len(A318)&gt;0, value(REGEXEXTRACT(A318, ""Chapter ([0-9]*):"")), """")"),43.0)</f>
        <v>43</v>
      </c>
      <c r="C318" s="31" t="str">
        <f>IFERROR(__xludf.DUMMYFUNCTION("if(len(A318) &gt;0, REGEXEXTRACT(A318, ""Chapter [0-9]*: (.*)""), """")"),"36 Debrief - Addendum The Bay Bulletin")</f>
        <v>36 Debrief - Addendum The Bay Bulletin</v>
      </c>
      <c r="D318" s="31" t="str">
        <f>IFERROR(__xludf.DUMMYFUNCTION("if(len(A318)&gt;0, REGEXEXTRACT(A318, ""\n[^\(]*""), """")"),"
Minor Blessing Athena - Craftsmanship ")</f>
        <v>
Minor Blessing Athena - Craftsmanship </v>
      </c>
      <c r="E318" s="17" t="str">
        <f>IFERROR(__xludf.DUMMYFUNCTION("if(len(A318)&gt;0, REGEXEXTRACT(A318, ""\n([^\n]*)$""), """")"),"Skill")</f>
        <v>Skill</v>
      </c>
      <c r="F318" s="17" t="str">
        <f>IFERROR(__xludf.DUMMYFUNCTION("if(len(A318)&gt;0, REGEXEXTRACT(A318, ""\(([^\)]*)\)""), """")"),"Percy Jackson")</f>
        <v>Percy Jackson</v>
      </c>
      <c r="G318" s="17" t="str">
        <f>IFERROR(__xludf.DUMMYFUNCTION("if(len(A318)&gt;0, REGEXEXTRACT(A318, ""\)([^:]*):""), """")")," 100")</f>
        <v> 100</v>
      </c>
      <c r="H318" s="31" t="str">
        <f>IFERROR(__xludf.DUMMYFUNCTION("if(len(A318) &gt; 0, JOIN(char(10), FILTER(SPLIT(A318, char(10)), split(""false false "" &amp; rept(""true "", columns(SPLIT(A318, char(10)))-3) &amp; ""false"", "" ""))), """")"),"For one reason or another you've got a god who cares slightly about you and has seen fit to grant you some minor boon within their domains. Choose one god from any pantheon and gain a minor boon from them. The god will care slightly about you but unless y"&amp;"ou go on to further distinguish yourself it will be more of a minor interest in your affairs than someone they feel the need to help (Effectively think a diminished version of one ability a demigod might have, think minor ones are stuff along the lines of"&amp;" breathing water, lucid dreaming, or appropriate vague extra senses, useful but nothing especially major). This can be taken multiple times.")</f>
        <v>For one reason or another you've got a god who cares slightly about you and has seen fit to grant you some minor boon within their domains. Choose one god from any pantheon and gain a minor boon from them. The god will care slightly about you but unless you go on to further distinguish yourself it will be more of a minor interest in your affairs than someone they feel the need to help (Effectively think a diminished version of one ability a demigod might have, think minor ones are stuff along the lines of breathing water, lucid dreaming, or appropriate vague extra senses, useful but nothing especially major). This can be taken multiple times.</v>
      </c>
    </row>
    <row r="319">
      <c r="A319" s="31" t="str">
        <f>IFERROR(__xludf.DUMMYFUNCTION("""COMPUTED_VALUE"""),"Chapter 43: 36 Debrief - Addendum The Bay Bulletin
Waste Not (Monster Hunter) 300:
You have found out a great secret in the blacksmithing trade - the reason that most blacksmiths usually ask for so many materials to make a certain weapon or armor isn't be"&amp;"cause its material intensive, but because they can make one for half of the materials and either sell the rest or make another to sell at a profit. The bastards! You have figured out how to use less materials to gain the same results when it comes to craf"&amp;"ting your own weapons and armor. At first it may just be an ore or two less, but with enough practice you acn reduce the amount of materials needed for a project by half (rounded down). As an added bonus, with enough practice, you have a 50% chance to not"&amp;" require high-grade or legendary materials (Rubied, Plates, etc) to make an item, provided you can supplement the build with excess materials.
Fiat")</f>
        <v>Chapter 43: 36 Debrief - Addendum The Bay Bulletin
Waste Not (Monster Hunter) 300:
You have found out a great secret in the blacksmithing trade - the reason that most blacksmiths usually ask for so many materials to make a certain weapon or armor isn't because its material intensive, but because they can make one for half of the materials and either sell the rest or make another to sell at a profit. The bastards! You have figured out how to use less materials to gain the same results when it comes to crafting your own weapons and armor. At first it may just be an ore or two less, but with enough practice you acn reduce the amount of materials needed for a project by half (rounded down). As an added bonus, with enough practice, you have a 50% chance to not require high-grade or legendary materials (Rubied, Plates, etc) to make an item, provided you can supplement the build with excess materials.
Fiat</v>
      </c>
      <c r="B319" s="17">
        <f>IFERROR(__xludf.DUMMYFUNCTION("if(len(A319)&gt;0, value(REGEXEXTRACT(A319, ""Chapter ([0-9]*):"")), """")"),43.0)</f>
        <v>43</v>
      </c>
      <c r="C319" s="31" t="str">
        <f>IFERROR(__xludf.DUMMYFUNCTION("if(len(A319) &gt;0, REGEXEXTRACT(A319, ""Chapter [0-9]*: (.*)""), """")"),"36 Debrief - Addendum The Bay Bulletin")</f>
        <v>36 Debrief - Addendum The Bay Bulletin</v>
      </c>
      <c r="D319" s="31" t="str">
        <f>IFERROR(__xludf.DUMMYFUNCTION("if(len(A319)&gt;0, REGEXEXTRACT(A319, ""\n[^\(]*""), """")"),"
Waste Not ")</f>
        <v>
Waste Not </v>
      </c>
      <c r="E319" s="17" t="str">
        <f>IFERROR(__xludf.DUMMYFUNCTION("if(len(A319)&gt;0, REGEXEXTRACT(A319, ""\n([^\n]*)$""), """")"),"Fiat")</f>
        <v>Fiat</v>
      </c>
      <c r="F319" s="17" t="str">
        <f>IFERROR(__xludf.DUMMYFUNCTION("if(len(A319)&gt;0, REGEXEXTRACT(A319, ""\(([^\)]*)\)""), """")"),"Monster Hunter")</f>
        <v>Monster Hunter</v>
      </c>
      <c r="G319" s="17" t="str">
        <f>IFERROR(__xludf.DUMMYFUNCTION("if(len(A319)&gt;0, REGEXEXTRACT(A319, ""\)([^:]*):""), """")")," 300")</f>
        <v> 300</v>
      </c>
      <c r="H319" s="31" t="str">
        <f>IFERROR(__xludf.DUMMYFUNCTION("if(len(A319) &gt; 0, JOIN(char(10), FILTER(SPLIT(A319, char(10)), split(""false false "" &amp; rept(""true "", columns(SPLIT(A319, char(10)))-3) &amp; ""false"", "" ""))), """")"),"You have found out a great secret in the blacksmithing trade - the reason that most blacksmiths usually ask for so many materials to make a certain weapon or armor isn't because its material intensive, but because they can make one for half of the materia"&amp;"ls and either sell the rest or make another to sell at a profit. The bastards! You have figured out how to use less materials to gain the same results when it comes to crafting your own weapons and armor. At first it may just be an ore or two less, but wi"&amp;"th enough practice you acn reduce the amount of materials needed for a project by half (rounded down). As an added bonus, with enough practice, you have a 50% chance to not require high-grade or legendary materials (Rubied, Plates, etc) to make an item, p"&amp;"rovided you can supplement the build with excess materials.")</f>
        <v>You have found out a great secret in the blacksmithing trade - the reason that most blacksmiths usually ask for so many materials to make a certain weapon or armor isn't because its material intensive, but because they can make one for half of the materials and either sell the rest or make another to sell at a profit. The bastards! You have figured out how to use less materials to gain the same results when it comes to crafting your own weapons and armor. At first it may just be an ore or two less, but with enough practice you acn reduce the amount of materials needed for a project by half (rounded down). As an added bonus, with enough practice, you have a 50% chance to not require high-grade or legendary materials (Rubied, Plates, etc) to make an item, provided you can supplement the build with excess materials.</v>
      </c>
    </row>
    <row r="320">
      <c r="A320" s="31" t="str">
        <f>IFERROR(__xludf.DUMMYFUNCTION("""COMPUTED_VALUE"""),"Chapter 43: 36 Debrief - Addendum The Bay Bulletin
Weapon &amp; Item Storage Chest (Monster Hunter) Free:
An absolte must whether you're an aspiring hunter or roving trader. You get two chests - the first one is capable of storing up to 1000 individual weapon"&amp;"s, pieces of armor, and charm talismans, while the second is capable of storing up to 1000 stacks of 999 of any given healing item, monster part, ore, or item that isn't a weapon, armor piece, or talisman.
Item")</f>
        <v>Chapter 43: 36 Debrief - Addendum The Bay Bulletin
Weapon &amp; Item Storage Chest (Monster Hunter) Free:
An absolte must whether you're an aspiring hunter or roving trader. You get two chests - the first one is capable of storing up to 1000 individual weapons, pieces of armor, and charm talismans, while the second is capable of storing up to 1000 stacks of 999 of any given healing item, monster part, ore, or item that isn't a weapon, armor piece, or talisman.
Item</v>
      </c>
      <c r="B320" s="17">
        <f>IFERROR(__xludf.DUMMYFUNCTION("if(len(A320)&gt;0, value(REGEXEXTRACT(A320, ""Chapter ([0-9]*):"")), """")"),43.0)</f>
        <v>43</v>
      </c>
      <c r="C320" s="31" t="str">
        <f>IFERROR(__xludf.DUMMYFUNCTION("if(len(A320) &gt;0, REGEXEXTRACT(A320, ""Chapter [0-9]*: (.*)""), """")"),"36 Debrief - Addendum The Bay Bulletin")</f>
        <v>36 Debrief - Addendum The Bay Bulletin</v>
      </c>
      <c r="D320" s="31" t="str">
        <f>IFERROR(__xludf.DUMMYFUNCTION("if(len(A320)&gt;0, REGEXEXTRACT(A320, ""\n[^\(]*""), """")"),"
Weapon &amp; Item Storage Chest ")</f>
        <v>
Weapon &amp; Item Storage Chest </v>
      </c>
      <c r="E320" s="17" t="str">
        <f>IFERROR(__xludf.DUMMYFUNCTION("if(len(A320)&gt;0, REGEXEXTRACT(A320, ""\n([^\n]*)$""), """")"),"Item")</f>
        <v>Item</v>
      </c>
      <c r="F320" s="17" t="str">
        <f>IFERROR(__xludf.DUMMYFUNCTION("if(len(A320)&gt;0, REGEXEXTRACT(A320, ""\(([^\)]*)\)""), """")"),"Monster Hunter")</f>
        <v>Monster Hunter</v>
      </c>
      <c r="G320" s="17" t="str">
        <f>IFERROR(__xludf.DUMMYFUNCTION("if(len(A320)&gt;0, REGEXEXTRACT(A320, ""\)([^:]*):""), """")")," Free")</f>
        <v> Free</v>
      </c>
      <c r="H320" s="31" t="str">
        <f>IFERROR(__xludf.DUMMYFUNCTION("if(len(A320) &gt; 0, JOIN(char(10), FILTER(SPLIT(A320, char(10)), split(""false false "" &amp; rept(""true "", columns(SPLIT(A320, char(10)))-3) &amp; ""false"", "" ""))), """")"),"An absolte must whether you're an aspiring hunter or roving trader. You get two chests - the first one is capable of storing up to 1000 individual weapons, pieces of armor, and charm talismans, while the second is capable of storing up to 1000 stacks of 9"&amp;"99 of any given healing item, monster part, ore, or item that isn't a weapon, armor piece, or talisman.")</f>
        <v>An absolte must whether you're an aspiring hunter or roving trader. You get two chests - the first one is capable of storing up to 1000 individual weapons, pieces of armor, and charm talismans, while the second is capable of storing up to 1000 stacks of 999 of any given healing item, monster part, ore, or item that isn't a weapon, armor piece, or talisman.</v>
      </c>
    </row>
    <row r="321">
      <c r="A321" s="31" t="str">
        <f>IFERROR(__xludf.DUMMYFUNCTION("""COMPUTED_VALUE"""),"Chapter 44: 37 Small Tasks - Addendum Meeting Report
Alchemy (Castlevania) 300:
Through careful experimentation and research, you've gained understanding of the true nature of God's creation of the world. You may now utilize a lesser form of this art to c"&amp;"reate items of power, ranging from potions and charms to powerful weapons to drive back the forces of evil. You also understand the basics of a darker form of this art, enabling you to understand and counter evil rituals.
System")</f>
        <v>Chapter 44: 37 Small Tasks - Addendum Meeting Report
Alchemy (Castlevania) 300:
Through careful experimentation and research, you've gained understanding of the true nature of God's creation of the world. You may now utilize a lesser form of this art to create items of power, ranging from potions and charms to powerful weapons to drive back the forces of evil. You also understand the basics of a darker form of this art, enabling you to understand and counter evil rituals.
System</v>
      </c>
      <c r="B321" s="17">
        <f>IFERROR(__xludf.DUMMYFUNCTION("if(len(A321)&gt;0, value(REGEXEXTRACT(A321, ""Chapter ([0-9]*):"")), """")"),44.0)</f>
        <v>44</v>
      </c>
      <c r="C321" s="31" t="str">
        <f>IFERROR(__xludf.DUMMYFUNCTION("if(len(A321) &gt;0, REGEXEXTRACT(A321, ""Chapter [0-9]*: (.*)""), """")"),"37 Small Tasks - Addendum Meeting Report")</f>
        <v>37 Small Tasks - Addendum Meeting Report</v>
      </c>
      <c r="D321" s="31" t="str">
        <f>IFERROR(__xludf.DUMMYFUNCTION("if(len(A321)&gt;0, REGEXEXTRACT(A321, ""\n[^\(]*""), """")"),"
Alchemy ")</f>
        <v>
Alchemy </v>
      </c>
      <c r="E321" s="17" t="str">
        <f>IFERROR(__xludf.DUMMYFUNCTION("if(len(A321)&gt;0, REGEXEXTRACT(A321, ""\n([^\n]*)$""), """")"),"System")</f>
        <v>System</v>
      </c>
      <c r="F321" s="17" t="str">
        <f>IFERROR(__xludf.DUMMYFUNCTION("if(len(A321)&gt;0, REGEXEXTRACT(A321, ""\(([^\)]*)\)""), """")"),"Castlevania")</f>
        <v>Castlevania</v>
      </c>
      <c r="G321" s="17" t="str">
        <f>IFERROR(__xludf.DUMMYFUNCTION("if(len(A321)&gt;0, REGEXEXTRACT(A321, ""\)([^:]*):""), """")")," 300")</f>
        <v> 300</v>
      </c>
      <c r="H321" s="31" t="str">
        <f>IFERROR(__xludf.DUMMYFUNCTION("if(len(A321) &gt; 0, JOIN(char(10), FILTER(SPLIT(A321, char(10)), split(""false false "" &amp; rept(""true "", columns(SPLIT(A321, char(10)))-3) &amp; ""false"", "" ""))), """")"),"Through careful experimentation and research, you've gained understanding of the true nature of God's creation of the world. You may now utilize a lesser form of this art to create items of power, ranging from potions and charms to powerful weapons to dri"&amp;"ve back the forces of evil. You also understand the basics of a darker form of this art, enabling you to understand and counter evil rituals.")</f>
        <v>Through careful experimentation and research, you've gained understanding of the true nature of God's creation of the world. You may now utilize a lesser form of this art to create items of power, ranging from potions and charms to powerful weapons to drive back the forces of evil. You also understand the basics of a darker form of this art, enabling you to understand and counter evil rituals.</v>
      </c>
    </row>
    <row r="322">
      <c r="A322" s="31" t="str">
        <f>IFERROR(__xludf.DUMMYFUNCTION("""COMPUTED_VALUE"""),"Chapter 44: 37 Small Tasks - Addendum Meeting Report
Time: Manufacturing Line (Valkyria Chronicles) 400:
You've always been of the opinion that technology advanced too slowly before you arrived, but now you can apply that to the physical world as well! An"&amp;"y building process you oversee, whether it be the forging of a sword or an entire tank factory, will now produce results twice as fast and with half the required materials used.
Fiat")</f>
        <v>Chapter 44: 37 Small Tasks - Addendum Meeting Report
Time: Manufacturing Line (Valkyria Chronicles) 400:
You've always been of the opinion that technology advanced too slowly before you arrived, but now you can apply that to the physical world as well! Any building process you oversee, whether it be the forging of a sword or an entire tank factory, will now produce results twice as fast and with half the required materials used.
Fiat</v>
      </c>
      <c r="B322" s="17">
        <f>IFERROR(__xludf.DUMMYFUNCTION("if(len(A322)&gt;0, value(REGEXEXTRACT(A322, ""Chapter ([0-9]*):"")), """")"),44.0)</f>
        <v>44</v>
      </c>
      <c r="C322" s="31" t="str">
        <f>IFERROR(__xludf.DUMMYFUNCTION("if(len(A322) &gt;0, REGEXEXTRACT(A322, ""Chapter [0-9]*: (.*)""), """")"),"37 Small Tasks - Addendum Meeting Report")</f>
        <v>37 Small Tasks - Addendum Meeting Report</v>
      </c>
      <c r="D322" s="31" t="str">
        <f>IFERROR(__xludf.DUMMYFUNCTION("if(len(A322)&gt;0, REGEXEXTRACT(A322, ""\n[^\(]*""), """")"),"
Time: Manufacturing Line ")</f>
        <v>
Time: Manufacturing Line </v>
      </c>
      <c r="E322" s="17" t="str">
        <f>IFERROR(__xludf.DUMMYFUNCTION("if(len(A322)&gt;0, REGEXEXTRACT(A322, ""\n([^\n]*)$""), """")"),"Fiat")</f>
        <v>Fiat</v>
      </c>
      <c r="F322" s="17" t="str">
        <f>IFERROR(__xludf.DUMMYFUNCTION("if(len(A322)&gt;0, REGEXEXTRACT(A322, ""\(([^\)]*)\)""), """")"),"Valkyria Chronicles")</f>
        <v>Valkyria Chronicles</v>
      </c>
      <c r="G322" s="17" t="str">
        <f>IFERROR(__xludf.DUMMYFUNCTION("if(len(A322)&gt;0, REGEXEXTRACT(A322, ""\)([^:]*):""), """")")," 400")</f>
        <v> 400</v>
      </c>
      <c r="H322" s="31" t="str">
        <f>IFERROR(__xludf.DUMMYFUNCTION("if(len(A322) &gt; 0, JOIN(char(10), FILTER(SPLIT(A322, char(10)), split(""false false "" &amp; rept(""true "", columns(SPLIT(A322, char(10)))-3) &amp; ""false"", "" ""))), """")"),"You've always been of the opinion that technology advanced too slowly before you arrived, but now you can apply that to the physical world as well! Any building process you oversee, whether it be the forging of a sword or an entire tank factory, will now "&amp;"produce results twice as fast and with half the required materials used.")</f>
        <v>You've always been of the opinion that technology advanced too slowly before you arrived, but now you can apply that to the physical world as well! Any building process you oversee, whether it be the forging of a sword or an entire tank factory, will now produce results twice as fast and with half the required materials used.</v>
      </c>
    </row>
    <row r="323">
      <c r="A323" s="31" t="str">
        <f>IFERROR(__xludf.DUMMYFUNCTION("""COMPUTED_VALUE"""),"Chapter 45: 38 Build Up - Preamble Leet - Addendum Rey
Aesthetics and Flair (Bayonetta) 100:
A gun isn't quite a gun until it LOOKS good, you know? It's supposed to be classy, make you look amazing just for having it. Likewise, that sword could use a bit "&amp;"of badass styling to it. When you create your weapons, you can make them look DAMNED good even on an off day. Expect any weapon creator to envy you, and those who die by your weapons to count themselves lucky as they perish to such beautiful art.
Quality")</f>
        <v>Chapter 45: 38 Build Up - Preamble Leet - Addendum Rey
Aesthetics and Flair (Bayonetta) 100:
A gun isn't quite a gun until it LOOKS good, you know? It's supposed to be classy, make you look amazing just for having it. Likewise, that sword could use a bit of badass styling to it. When you create your weapons, you can make them look DAMNED good even on an off day. Expect any weapon creator to envy you, and those who die by your weapons to count themselves lucky as they perish to such beautiful art.
Quality</v>
      </c>
      <c r="B323" s="17">
        <f>IFERROR(__xludf.DUMMYFUNCTION("if(len(A323)&gt;0, value(REGEXEXTRACT(A323, ""Chapter ([0-9]*):"")), """")"),45.0)</f>
        <v>45</v>
      </c>
      <c r="C323" s="31" t="str">
        <f>IFERROR(__xludf.DUMMYFUNCTION("if(len(A323) &gt;0, REGEXEXTRACT(A323, ""Chapter [0-9]*: (.*)""), """")"),"38 Build Up - Preamble Leet - Addendum Rey")</f>
        <v>38 Build Up - Preamble Leet - Addendum Rey</v>
      </c>
      <c r="D323" s="31" t="str">
        <f>IFERROR(__xludf.DUMMYFUNCTION("if(len(A323)&gt;0, REGEXEXTRACT(A323, ""\n[^\(]*""), """")"),"
Aesthetics and Flair ")</f>
        <v>
Aesthetics and Flair </v>
      </c>
      <c r="E323" s="17" t="str">
        <f>IFERROR(__xludf.DUMMYFUNCTION("if(len(A323)&gt;0, REGEXEXTRACT(A323, ""\n([^\n]*)$""), """")"),"Quality")</f>
        <v>Quality</v>
      </c>
      <c r="F323" s="17" t="str">
        <f>IFERROR(__xludf.DUMMYFUNCTION("if(len(A323)&gt;0, REGEXEXTRACT(A323, ""\(([^\)]*)\)""), """")"),"Bayonetta")</f>
        <v>Bayonetta</v>
      </c>
      <c r="G323" s="17" t="str">
        <f>IFERROR(__xludf.DUMMYFUNCTION("if(len(A323)&gt;0, REGEXEXTRACT(A323, ""\)([^:]*):""), """")")," 100")</f>
        <v> 100</v>
      </c>
      <c r="H323" s="31" t="str">
        <f>IFERROR(__xludf.DUMMYFUNCTION("if(len(A323) &gt; 0, JOIN(char(10), FILTER(SPLIT(A323, char(10)), split(""false false "" &amp; rept(""true "", columns(SPLIT(A323, char(10)))-3) &amp; ""false"", "" ""))), """")"),"A gun isn't quite a gun until it LOOKS good, you know? It's supposed to be classy, make you look amazing just for having it. Likewise, that sword could use a bit of badass styling to it. When you create your weapons, you can make them look DAMNED good eve"&amp;"n on an off day. Expect any weapon creator to envy you, and those who die by your weapons to count themselves lucky as they perish to such beautiful art.")</f>
        <v>A gun isn't quite a gun until it LOOKS good, you know? It's supposed to be classy, make you look amazing just for having it. Likewise, that sword could use a bit of badass styling to it. When you create your weapons, you can make them look DAMNED good even on an off day. Expect any weapon creator to envy you, and those who die by your weapons to count themselves lucky as they perish to such beautiful art.</v>
      </c>
    </row>
    <row r="324">
      <c r="A324" s="31" t="str">
        <f>IFERROR(__xludf.DUMMYFUNCTION("""COMPUTED_VALUE"""),"Chapter 45: 38 Build Up - Preamble Leet - Addendum Rey
Calling Card (Senki Zesshou Symphogear) Free:
You spent a lot of time coming up with your combat techniques. It's only fair to name them! When you make an attack that's above par, time almost seems to"&amp;" freeze for a second, and all those onlooking instinctively recognize the name and intended theme of the technique. This effect can be toggled.
Ability")</f>
        <v>Chapter 45: 38 Build Up - Preamble Leet - Addendum Rey
Calling Card (Senki Zesshou Symphogear) Free:
You spent a lot of time coming up with your combat techniques. It's only fair to name them! When you make an attack that's above par, time almost seems to freeze for a second, and all those onlooking instinctively recognize the name and intended theme of the technique. This effect can be toggled.
Ability</v>
      </c>
      <c r="B324" s="17">
        <f>IFERROR(__xludf.DUMMYFUNCTION("if(len(A324)&gt;0, value(REGEXEXTRACT(A324, ""Chapter ([0-9]*):"")), """")"),45.0)</f>
        <v>45</v>
      </c>
      <c r="C324" s="31" t="str">
        <f>IFERROR(__xludf.DUMMYFUNCTION("if(len(A324) &gt;0, REGEXEXTRACT(A324, ""Chapter [0-9]*: (.*)""), """")"),"38 Build Up - Preamble Leet - Addendum Rey")</f>
        <v>38 Build Up - Preamble Leet - Addendum Rey</v>
      </c>
      <c r="D324" s="31" t="str">
        <f>IFERROR(__xludf.DUMMYFUNCTION("if(len(A324)&gt;0, REGEXEXTRACT(A324, ""\n[^\(]*""), """")"),"
Calling Card ")</f>
        <v>
Calling Card </v>
      </c>
      <c r="E324" s="17" t="str">
        <f>IFERROR(__xludf.DUMMYFUNCTION("if(len(A324)&gt;0, REGEXEXTRACT(A324, ""\n([^\n]*)$""), """")"),"Ability")</f>
        <v>Ability</v>
      </c>
      <c r="F324" s="17" t="str">
        <f>IFERROR(__xludf.DUMMYFUNCTION("if(len(A324)&gt;0, REGEXEXTRACT(A324, ""\(([^\)]*)\)""), """")"),"Senki Zesshou Symphogear")</f>
        <v>Senki Zesshou Symphogear</v>
      </c>
      <c r="G324" s="17" t="str">
        <f>IFERROR(__xludf.DUMMYFUNCTION("if(len(A324)&gt;0, REGEXEXTRACT(A324, ""\)([^:]*):""), """")")," Free")</f>
        <v> Free</v>
      </c>
      <c r="H324" s="31" t="str">
        <f>IFERROR(__xludf.DUMMYFUNCTION("if(len(A324) &gt; 0, JOIN(char(10), FILTER(SPLIT(A324, char(10)), split(""false false "" &amp; rept(""true "", columns(SPLIT(A324, char(10)))-3) &amp; ""false"", "" ""))), """")"),"You spent a lot of time coming up with your combat techniques. It's only fair to name them! When you make an attack that's above par, time almost seems to freeze for a second, and all those onlooking instinctively recognize the name and intended theme of "&amp;"the technique. This effect can be toggled.")</f>
        <v>You spent a lot of time coming up with your combat techniques. It's only fair to name them! When you make an attack that's above par, time almost seems to freeze for a second, and all those onlooking instinctively recognize the name and intended theme of the technique. This effect can be toggled.</v>
      </c>
    </row>
    <row r="325">
      <c r="A325" s="31" t="str">
        <f>IFERROR(__xludf.DUMMYFUNCTION("""COMPUTED_VALUE"""),"Chapter 45: 38 Build Up - Preamble Leet - Addendum Rey
Classy Contortionist (Bayonetta) Free:
Um... this is something. You've got an innate sense of posing that you can utilize, whether it be to show off your sexiness or simply throw people off their game"&amp;". It's got all kinds of applications, and no matter what you're always going to look good. Throw it into your battle styles or something.
Ability")</f>
        <v>Chapter 45: 38 Build Up - Preamble Leet - Addendum Rey
Classy Contortionist (Bayonetta) Free:
Um... this is something. You've got an innate sense of posing that you can utilize, whether it be to show off your sexiness or simply throw people off their game. It's got all kinds of applications, and no matter what you're always going to look good. Throw it into your battle styles or something.
Ability</v>
      </c>
      <c r="B325" s="17">
        <f>IFERROR(__xludf.DUMMYFUNCTION("if(len(A325)&gt;0, value(REGEXEXTRACT(A325, ""Chapter ([0-9]*):"")), """")"),45.0)</f>
        <v>45</v>
      </c>
      <c r="C325" s="31" t="str">
        <f>IFERROR(__xludf.DUMMYFUNCTION("if(len(A325) &gt;0, REGEXEXTRACT(A325, ""Chapter [0-9]*: (.*)""), """")"),"38 Build Up - Preamble Leet - Addendum Rey")</f>
        <v>38 Build Up - Preamble Leet - Addendum Rey</v>
      </c>
      <c r="D325" s="31" t="str">
        <f>IFERROR(__xludf.DUMMYFUNCTION("if(len(A325)&gt;0, REGEXEXTRACT(A325, ""\n[^\(]*""), """")"),"
Classy Contortionist ")</f>
        <v>
Classy Contortionist </v>
      </c>
      <c r="E325" s="17" t="str">
        <f>IFERROR(__xludf.DUMMYFUNCTION("if(len(A325)&gt;0, REGEXEXTRACT(A325, ""\n([^\n]*)$""), """")"),"Ability")</f>
        <v>Ability</v>
      </c>
      <c r="F325" s="17" t="str">
        <f>IFERROR(__xludf.DUMMYFUNCTION("if(len(A325)&gt;0, REGEXEXTRACT(A325, ""\(([^\)]*)\)""), """")"),"Bayonetta")</f>
        <v>Bayonetta</v>
      </c>
      <c r="G325" s="17" t="str">
        <f>IFERROR(__xludf.DUMMYFUNCTION("if(len(A325)&gt;0, REGEXEXTRACT(A325, ""\)([^:]*):""), """")")," Free")</f>
        <v> Free</v>
      </c>
      <c r="H325" s="31" t="str">
        <f>IFERROR(__xludf.DUMMYFUNCTION("if(len(A325) &gt; 0, JOIN(char(10), FILTER(SPLIT(A325, char(10)), split(""false false "" &amp; rept(""true "", columns(SPLIT(A325, char(10)))-3) &amp; ""false"", "" ""))), """")"),"Um... this is something. You've got an innate sense of posing that you can utilize, whether it be to show off your sexiness or simply throw people off their game. It's got all kinds of applications, and no matter what you're always going to look good. Thr"&amp;"ow it into your battle styles or something.")</f>
        <v>Um... this is something. You've got an innate sense of posing that you can utilize, whether it be to show off your sexiness or simply throw people off their game. It's got all kinds of applications, and no matter what you're always going to look good. Throw it into your battle styles or something.</v>
      </c>
    </row>
    <row r="326">
      <c r="A326" s="31" t="str">
        <f>IFERROR(__xludf.DUMMYFUNCTION("""COMPUTED_VALUE"""),"Chapter 45: 38 Build Up - Preamble Leet - Addendum Rey
Heretical Adaptation (Senki Zesshou Symphogear) 200:
Symphogears are, in essence, a Relic adapted into a combat system for it's ability to generate massive amounts of energy that can be formatted into"&amp;" a certain kind of matter through a generic mass-energy converter. However, they also have the ability to 'evolve' overtime, gaining additional armor and improvements to features such as onboard thrusters. With a bit of study, it might be possible to appl"&amp;"y this adaptive behavior to other materials, encouraging them to improve themselves over time.
System")</f>
        <v>Chapter 45: 38 Build Up - Preamble Leet - Addendum Rey
Heretical Adaptation (Senki Zesshou Symphogear) 200:
Symphogears are, in essence, a Relic adapted into a combat system for it's ability to generate massive amounts of energy that can be formatted into a certain kind of matter through a generic mass-energy converter. However, they also have the ability to 'evolve' overtime, gaining additional armor and improvements to features such as onboard thrusters. With a bit of study, it might be possible to apply this adaptive behavior to other materials, encouraging them to improve themselves over time.
System</v>
      </c>
      <c r="B326" s="17">
        <f>IFERROR(__xludf.DUMMYFUNCTION("if(len(A326)&gt;0, value(REGEXEXTRACT(A326, ""Chapter ([0-9]*):"")), """")"),45.0)</f>
        <v>45</v>
      </c>
      <c r="C326" s="31" t="str">
        <f>IFERROR(__xludf.DUMMYFUNCTION("if(len(A326) &gt;0, REGEXEXTRACT(A326, ""Chapter [0-9]*: (.*)""), """")"),"38 Build Up - Preamble Leet - Addendum Rey")</f>
        <v>38 Build Up - Preamble Leet - Addendum Rey</v>
      </c>
      <c r="D326" s="31" t="str">
        <f>IFERROR(__xludf.DUMMYFUNCTION("if(len(A326)&gt;0, REGEXEXTRACT(A326, ""\n[^\(]*""), """")"),"
Heretical Adaptation ")</f>
        <v>
Heretical Adaptation </v>
      </c>
      <c r="E326" s="17" t="str">
        <f>IFERROR(__xludf.DUMMYFUNCTION("if(len(A326)&gt;0, REGEXEXTRACT(A326, ""\n([^\n]*)$""), """")"),"System")</f>
        <v>System</v>
      </c>
      <c r="F326" s="17" t="str">
        <f>IFERROR(__xludf.DUMMYFUNCTION("if(len(A326)&gt;0, REGEXEXTRACT(A326, ""\(([^\)]*)\)""), """")"),"Senki Zesshou Symphogear")</f>
        <v>Senki Zesshou Symphogear</v>
      </c>
      <c r="G326" s="17" t="str">
        <f>IFERROR(__xludf.DUMMYFUNCTION("if(len(A326)&gt;0, REGEXEXTRACT(A326, ""\)([^:]*):""), """")")," 200")</f>
        <v> 200</v>
      </c>
      <c r="H326" s="31" t="str">
        <f>IFERROR(__xludf.DUMMYFUNCTION("if(len(A326) &gt; 0, JOIN(char(10), FILTER(SPLIT(A326, char(10)), split(""false false "" &amp; rept(""true "", columns(SPLIT(A326, char(10)))-3) &amp; ""false"", "" ""))), """")"),"Symphogears are, in essence, a Relic adapted into a combat system for it's ability to generate massive amounts of energy that can be formatted into a certain kind of matter through a generic mass-energy converter. However, they also have the ability to 'e"&amp;"volve' overtime, gaining additional armor and improvements to features such as onboard thrusters. With a bit of study, it might be possible to apply this adaptive behavior to other materials, encouraging them to improve themselves over time.")</f>
        <v>Symphogears are, in essence, a Relic adapted into a combat system for it's ability to generate massive amounts of energy that can be formatted into a certain kind of matter through a generic mass-energy converter. However, they also have the ability to 'evolve' overtime, gaining additional armor and improvements to features such as onboard thrusters. With a bit of study, it might be possible to apply this adaptive behavior to other materials, encouraging them to improve themselves over time.</v>
      </c>
    </row>
    <row r="327">
      <c r="A327" s="31" t="str">
        <f>IFERROR(__xludf.DUMMYFUNCTION("""COMPUTED_VALUE"""),"Chapter 45: 38 Build Up - Preamble Leet - Addendum Rey
Inexplicable Innuendo (Bayonetta) Free:
You're not sure how, but just by being here you've gotten the jive of things. Any time you want to come off as sexy or just talk in a lightheartedly dirty manne"&amp;"r, it's easy as pie for you. Want to make some people squirm with an implication? Done. You can even implement this in your battle quips, throwing them off their game for that moment of distraction you need.
Ability")</f>
        <v>Chapter 45: 38 Build Up - Preamble Leet - Addendum Rey
Inexplicable Innuendo (Bayonetta) Free:
You're not sure how, but just by being here you've gotten the jive of things. Any time you want to come off as sexy or just talk in a lightheartedly dirty manner, it's easy as pie for you. Want to make some people squirm with an implication? Done. You can even implement this in your battle quips, throwing them off their game for that moment of distraction you need.
Ability</v>
      </c>
      <c r="B327" s="17">
        <f>IFERROR(__xludf.DUMMYFUNCTION("if(len(A327)&gt;0, value(REGEXEXTRACT(A327, ""Chapter ([0-9]*):"")), """")"),45.0)</f>
        <v>45</v>
      </c>
      <c r="C327" s="31" t="str">
        <f>IFERROR(__xludf.DUMMYFUNCTION("if(len(A327) &gt;0, REGEXEXTRACT(A327, ""Chapter [0-9]*: (.*)""), """")"),"38 Build Up - Preamble Leet - Addendum Rey")</f>
        <v>38 Build Up - Preamble Leet - Addendum Rey</v>
      </c>
      <c r="D327" s="31" t="str">
        <f>IFERROR(__xludf.DUMMYFUNCTION("if(len(A327)&gt;0, REGEXEXTRACT(A327, ""\n[^\(]*""), """")"),"
Inexplicable Innuendo ")</f>
        <v>
Inexplicable Innuendo </v>
      </c>
      <c r="E327" s="17" t="str">
        <f>IFERROR(__xludf.DUMMYFUNCTION("if(len(A327)&gt;0, REGEXEXTRACT(A327, ""\n([^\n]*)$""), """")"),"Ability")</f>
        <v>Ability</v>
      </c>
      <c r="F327" s="17" t="str">
        <f>IFERROR(__xludf.DUMMYFUNCTION("if(len(A327)&gt;0, REGEXEXTRACT(A327, ""\(([^\)]*)\)""), """")"),"Bayonetta")</f>
        <v>Bayonetta</v>
      </c>
      <c r="G327" s="17" t="str">
        <f>IFERROR(__xludf.DUMMYFUNCTION("if(len(A327)&gt;0, REGEXEXTRACT(A327, ""\)([^:]*):""), """")")," Free")</f>
        <v> Free</v>
      </c>
      <c r="H327" s="31" t="str">
        <f>IFERROR(__xludf.DUMMYFUNCTION("if(len(A327) &gt; 0, JOIN(char(10), FILTER(SPLIT(A327, char(10)), split(""false false "" &amp; rept(""true "", columns(SPLIT(A327, char(10)))-3) &amp; ""false"", "" ""))), """")"),"You're not sure how, but just by being here you've gotten the jive of things. Any time you want to come off as sexy or just talk in a lightheartedly dirty manner, it's easy as pie for you. Want to make some people squirm with an implication? Done. You can"&amp;" even implement this in your battle quips, throwing them off their game for that moment of distraction you need.")</f>
        <v>You're not sure how, but just by being here you've gotten the jive of things. Any time you want to come off as sexy or just talk in a lightheartedly dirty manner, it's easy as pie for you. Want to make some people squirm with an implication? Done. You can even implement this in your battle quips, throwing them off their game for that moment of distraction you need.</v>
      </c>
    </row>
    <row r="328">
      <c r="A328" s="31" t="str">
        <f>IFERROR(__xludf.DUMMYFUNCTION("""COMPUTED_VALUE"""),"Chapter 45: 38 Build Up - Preamble Leet - Addendum Rey
Putting On The Reich (Indiana Jones) 200:
They may fear your tenacity. They may hate your cause. They may even oppose your beliefs. But one thing remains constant: A begrudging respect for the aura of"&amp;" organization and sharpness you give off. You have an excellent sense of how to design uniforms that not only are intimidating and show the power of your group, but are also fashionable and make your group look organized, official in a way. It's time to s"&amp;"how them who's Boss.
Skill")</f>
        <v>Chapter 45: 38 Build Up - Preamble Leet - Addendum Rey
Putting On The Reich (Indiana Jones) 200:
They may fear your tenacity. They may hate your cause. They may even oppose your beliefs. But one thing remains constant: A begrudging respect for the aura of organization and sharpness you give off. You have an excellent sense of how to design uniforms that not only are intimidating and show the power of your group, but are also fashionable and make your group look organized, official in a way. It's time to show them who's Boss.
Skill</v>
      </c>
      <c r="B328" s="17">
        <f>IFERROR(__xludf.DUMMYFUNCTION("if(len(A328)&gt;0, value(REGEXEXTRACT(A328, ""Chapter ([0-9]*):"")), """")"),45.0)</f>
        <v>45</v>
      </c>
      <c r="C328" s="31" t="str">
        <f>IFERROR(__xludf.DUMMYFUNCTION("if(len(A328) &gt;0, REGEXEXTRACT(A328, ""Chapter [0-9]*: (.*)""), """")"),"38 Build Up - Preamble Leet - Addendum Rey")</f>
        <v>38 Build Up - Preamble Leet - Addendum Rey</v>
      </c>
      <c r="D328" s="31" t="str">
        <f>IFERROR(__xludf.DUMMYFUNCTION("if(len(A328)&gt;0, REGEXEXTRACT(A328, ""\n[^\(]*""), """")"),"
Putting On The Reich ")</f>
        <v>
Putting On The Reich </v>
      </c>
      <c r="E328" s="17" t="str">
        <f>IFERROR(__xludf.DUMMYFUNCTION("if(len(A328)&gt;0, REGEXEXTRACT(A328, ""\n([^\n]*)$""), """")"),"Skill")</f>
        <v>Skill</v>
      </c>
      <c r="F328" s="17" t="str">
        <f>IFERROR(__xludf.DUMMYFUNCTION("if(len(A328)&gt;0, REGEXEXTRACT(A328, ""\(([^\)]*)\)""), """")"),"Indiana Jones")</f>
        <v>Indiana Jones</v>
      </c>
      <c r="G328" s="17" t="str">
        <f>IFERROR(__xludf.DUMMYFUNCTION("if(len(A328)&gt;0, REGEXEXTRACT(A328, ""\)([^:]*):""), """")")," 200")</f>
        <v> 200</v>
      </c>
      <c r="H328" s="31" t="str">
        <f>IFERROR(__xludf.DUMMYFUNCTION("if(len(A328) &gt; 0, JOIN(char(10), FILTER(SPLIT(A328, char(10)), split(""false false "" &amp; rept(""true "", columns(SPLIT(A328, char(10)))-3) &amp; ""false"", "" ""))), """")"),"They may fear your tenacity. They may hate your cause. They may even oppose your beliefs. But one thing remains constant: A begrudging respect for the aura of organization and sharpness you give off. You have an excellent sense of how to design uniforms t"&amp;"hat not only are intimidating and show the power of your group, but are also fashionable and make your group look organized, official in a way. It's time to show them who's Boss.")</f>
        <v>They may fear your tenacity. They may hate your cause. They may even oppose your beliefs. But one thing remains constant: A begrudging respect for the aura of organization and sharpness you give off. You have an excellent sense of how to design uniforms that not only are intimidating and show the power of your group, but are also fashionable and make your group look organized, official in a way. It's time to show them who's Boss.</v>
      </c>
    </row>
    <row r="329">
      <c r="A329" s="31" t="str">
        <f>IFERROR(__xludf.DUMMYFUNCTION("""COMPUTED_VALUE"""),"Chapter 45: 38 Build Up - Preamble Leet - Addendum Rey
Rockin' Music (Swat Kats) Free:
When you're going around or doing something awesome, you can choose to have a sick electric guitar riff or a few notes of heavy metal goodness playing as you work in al"&amp;"l your glory! ...or villainy. Either way it's sure to sound amazing.
Ability")</f>
        <v>Chapter 45: 38 Build Up - Preamble Leet - Addendum Rey
Rockin' Music (Swat Kats) Free:
When you're going around or doing something awesome, you can choose to have a sick electric guitar riff or a few notes of heavy metal goodness playing as you work in all your glory! ...or villainy. Either way it's sure to sound amazing.
Ability</v>
      </c>
      <c r="B329" s="17">
        <f>IFERROR(__xludf.DUMMYFUNCTION("if(len(A329)&gt;0, value(REGEXEXTRACT(A329, ""Chapter ([0-9]*):"")), """")"),45.0)</f>
        <v>45</v>
      </c>
      <c r="C329" s="31" t="str">
        <f>IFERROR(__xludf.DUMMYFUNCTION("if(len(A329) &gt;0, REGEXEXTRACT(A329, ""Chapter [0-9]*: (.*)""), """")"),"38 Build Up - Preamble Leet - Addendum Rey")</f>
        <v>38 Build Up - Preamble Leet - Addendum Rey</v>
      </c>
      <c r="D329" s="31" t="str">
        <f>IFERROR(__xludf.DUMMYFUNCTION("if(len(A329)&gt;0, REGEXEXTRACT(A329, ""\n[^\(]*""), """")"),"
Rockin' Music ")</f>
        <v>
Rockin' Music </v>
      </c>
      <c r="E329" s="17" t="str">
        <f>IFERROR(__xludf.DUMMYFUNCTION("if(len(A329)&gt;0, REGEXEXTRACT(A329, ""\n([^\n]*)$""), """")"),"Ability")</f>
        <v>Ability</v>
      </c>
      <c r="F329" s="17" t="str">
        <f>IFERROR(__xludf.DUMMYFUNCTION("if(len(A329)&gt;0, REGEXEXTRACT(A329, ""\(([^\)]*)\)""), """")"),"Swat Kats")</f>
        <v>Swat Kats</v>
      </c>
      <c r="G329" s="17" t="str">
        <f>IFERROR(__xludf.DUMMYFUNCTION("if(len(A329)&gt;0, REGEXEXTRACT(A329, ""\)([^:]*):""), """")")," Free")</f>
        <v> Free</v>
      </c>
      <c r="H329" s="31" t="str">
        <f>IFERROR(__xludf.DUMMYFUNCTION("if(len(A329) &gt; 0, JOIN(char(10), FILTER(SPLIT(A329, char(10)), split(""false false "" &amp; rept(""true "", columns(SPLIT(A329, char(10)))-3) &amp; ""false"", "" ""))), """")"),"When you're going around or doing something awesome, you can choose to have a sick electric guitar riff or a few notes of heavy metal goodness playing as you work in all your glory! ...or villainy. Either way it's sure to sound amazing.")</f>
        <v>When you're going around or doing something awesome, you can choose to have a sick electric guitar riff or a few notes of heavy metal goodness playing as you work in all your glory! ...or villainy. Either way it's sure to sound amazing.</v>
      </c>
    </row>
    <row r="330">
      <c r="A330" s="31" t="str">
        <f>IFERROR(__xludf.DUMMYFUNCTION("""COMPUTED_VALUE"""),"Chapter 45: 38 Build Up - Preamble Leet - Addendum Rey
Scrapyard Skills (Swat Kats) 300:
Where others see junk, you see treasure just waiting to be utilized. You can make far more use out of scrap metal and tossed out electronics, repurposing them for man"&amp;"y different tasks. That washer machine might have the parts needed to help spin an engine turbine, or that piston tube might be JUST the right size to refashion into a grappling hook launcher... it's all in how you use it and how you repurpose things.
Fia"&amp;"t")</f>
        <v>Chapter 45: 38 Build Up - Preamble Leet - Addendum Rey
Scrapyard Skills (Swat Kats) 300:
Where others see junk, you see treasure just waiting to be utilized. You can make far more use out of scrap metal and tossed out electronics, repurposing them for many different tasks. That washer machine might have the parts needed to help spin an engine turbine, or that piston tube might be JUST the right size to refashion into a grappling hook launcher... it's all in how you use it and how you repurpose things.
Fiat</v>
      </c>
      <c r="B330" s="17">
        <f>IFERROR(__xludf.DUMMYFUNCTION("if(len(A330)&gt;0, value(REGEXEXTRACT(A330, ""Chapter ([0-9]*):"")), """")"),45.0)</f>
        <v>45</v>
      </c>
      <c r="C330" s="31" t="str">
        <f>IFERROR(__xludf.DUMMYFUNCTION("if(len(A330) &gt;0, REGEXEXTRACT(A330, ""Chapter [0-9]*: (.*)""), """")"),"38 Build Up - Preamble Leet - Addendum Rey")</f>
        <v>38 Build Up - Preamble Leet - Addendum Rey</v>
      </c>
      <c r="D330" s="31" t="str">
        <f>IFERROR(__xludf.DUMMYFUNCTION("if(len(A330)&gt;0, REGEXEXTRACT(A330, ""\n[^\(]*""), """")"),"
Scrapyard Skills ")</f>
        <v>
Scrapyard Skills </v>
      </c>
      <c r="E330" s="17" t="str">
        <f>IFERROR(__xludf.DUMMYFUNCTION("if(len(A330)&gt;0, REGEXEXTRACT(A330, ""\n([^\n]*)$""), """")"),"Fiat")</f>
        <v>Fiat</v>
      </c>
      <c r="F330" s="17" t="str">
        <f>IFERROR(__xludf.DUMMYFUNCTION("if(len(A330)&gt;0, REGEXEXTRACT(A330, ""\(([^\)]*)\)""), """")"),"Swat Kats")</f>
        <v>Swat Kats</v>
      </c>
      <c r="G330" s="17" t="str">
        <f>IFERROR(__xludf.DUMMYFUNCTION("if(len(A330)&gt;0, REGEXEXTRACT(A330, ""\)([^:]*):""), """")")," 300")</f>
        <v> 300</v>
      </c>
      <c r="H330" s="31" t="str">
        <f>IFERROR(__xludf.DUMMYFUNCTION("if(len(A330) &gt; 0, JOIN(char(10), FILTER(SPLIT(A330, char(10)), split(""false false "" &amp; rept(""true "", columns(SPLIT(A330, char(10)))-3) &amp; ""false"", "" ""))), """")"),"Where others see junk, you see treasure just waiting to be utilized. You can make far more use out of scrap metal and tossed out electronics, repurposing them for many different tasks. That washer machine might have the parts needed to help spin an engine"&amp;" turbine, or that piston tube might be JUST the right size to refashion into a grappling hook launcher... it's all in how you use it and how you repurpose things.")</f>
        <v>Where others see junk, you see treasure just waiting to be utilized. You can make far more use out of scrap metal and tossed out electronics, repurposing them for many different tasks. That washer machine might have the parts needed to help spin an engine turbine, or that piston tube might be JUST the right size to refashion into a grappling hook launcher... it's all in how you use it and how you repurpose things.</v>
      </c>
    </row>
    <row r="331">
      <c r="A331" s="31" t="str">
        <f>IFERROR(__xludf.DUMMYFUNCTION("""COMPUTED_VALUE"""),"Chapter 45: 38 Build Up - Preamble Leet - Addendum Rey
Valkyrian Science (Valkyria Chronicles) 300:
Somehow you've gained some of the knowledge that the Valkyrur used to possess, giving you the skill and ability to graft Ragnite machinery on a level far a"&amp;"bove any modern human. At first, you'd only be able to create replica's of the Valkyrian weapons, but with many years of study it might be possible to recreate the Valkyrur themselves.
System")</f>
        <v>Chapter 45: 38 Build Up - Preamble Leet - Addendum Rey
Valkyrian Science (Valkyria Chronicles) 300:
Somehow you've gained some of the knowledge that the Valkyrur used to possess, giving you the skill and ability to graft Ragnite machinery on a level far above any modern human. At first, you'd only be able to create replica's of the Valkyrian weapons, but with many years of study it might be possible to recreate the Valkyrur themselves.
System</v>
      </c>
      <c r="B331" s="17">
        <f>IFERROR(__xludf.DUMMYFUNCTION("if(len(A331)&gt;0, value(REGEXEXTRACT(A331, ""Chapter ([0-9]*):"")), """")"),45.0)</f>
        <v>45</v>
      </c>
      <c r="C331" s="31" t="str">
        <f>IFERROR(__xludf.DUMMYFUNCTION("if(len(A331) &gt;0, REGEXEXTRACT(A331, ""Chapter [0-9]*: (.*)""), """")"),"38 Build Up - Preamble Leet - Addendum Rey")</f>
        <v>38 Build Up - Preamble Leet - Addendum Rey</v>
      </c>
      <c r="D331" s="31" t="str">
        <f>IFERROR(__xludf.DUMMYFUNCTION("if(len(A331)&gt;0, REGEXEXTRACT(A331, ""\n[^\(]*""), """")"),"
Valkyrian Science ")</f>
        <v>
Valkyrian Science </v>
      </c>
      <c r="E331" s="17" t="str">
        <f>IFERROR(__xludf.DUMMYFUNCTION("if(len(A331)&gt;0, REGEXEXTRACT(A331, ""\n([^\n]*)$""), """")"),"System")</f>
        <v>System</v>
      </c>
      <c r="F331" s="17" t="str">
        <f>IFERROR(__xludf.DUMMYFUNCTION("if(len(A331)&gt;0, REGEXEXTRACT(A331, ""\(([^\)]*)\)""), """")"),"Valkyria Chronicles")</f>
        <v>Valkyria Chronicles</v>
      </c>
      <c r="G331" s="17" t="str">
        <f>IFERROR(__xludf.DUMMYFUNCTION("if(len(A331)&gt;0, REGEXEXTRACT(A331, ""\)([^:]*):""), """")")," 300")</f>
        <v> 300</v>
      </c>
      <c r="H331" s="31" t="str">
        <f>IFERROR(__xludf.DUMMYFUNCTION("if(len(A331) &gt; 0, JOIN(char(10), FILTER(SPLIT(A331, char(10)), split(""false false "" &amp; rept(""true "", columns(SPLIT(A331, char(10)))-3) &amp; ""false"", "" ""))), """")"),"Somehow you've gained some of the knowledge that the Valkyrur used to possess, giving you the skill and ability to graft Ragnite machinery on a level far above any modern human. At first, you'd only be able to create replica's of the Valkyrian weapons, bu"&amp;"t with many years of study it might be possible to recreate the Valkyrur themselves.")</f>
        <v>Somehow you've gained some of the knowledge that the Valkyrur used to possess, giving you the skill and ability to graft Ragnite machinery on a level far above any modern human. At first, you'd only be able to create replica's of the Valkyrian weapons, but with many years of study it might be possible to recreate the Valkyrur themselves.</v>
      </c>
    </row>
    <row r="332">
      <c r="A332" s="31" t="str">
        <f>IFERROR(__xludf.DUMMYFUNCTION("""COMPUTED_VALUE"""),"Chapter 46: 39 Set Up - Addendum Kenta
Mauler (Command and Conquer: Tiberium Wars) 400:
You have the skills of a junkyard hound, able to make even the most heavily damaged tech work again. Even machines too battle-damaged for recovery 20 years ago can be "&amp;"effective under your wrench. Repurposing tech and equipment is your forte; you can turn a pneumatic screwdriver into a reasonable cannon, and heaven help your enemies if you get anywhere near mining equipment, as a powerarmored mutant is quickly appearing"&amp;" in their future. There was even one time where you made a toaster into a reasonable facsimile of a flamethrower…..
Analysis")</f>
        <v>Chapter 46: 39 Set Up - Addendum Kenta
Mauler (Command and Conquer: Tiberium Wars) 400:
You have the skills of a junkyard hound, able to make even the most heavily damaged tech work again. Even machines too battle-damaged for recovery 20 years ago can be effective under your wrench. Repurposing tech and equipment is your forte; you can turn a pneumatic screwdriver into a reasonable cannon, and heaven help your enemies if you get anywhere near mining equipment, as a powerarmored mutant is quickly appearing in their future. There was even one time where you made a toaster into a reasonable facsimile of a flamethrower…..
Analysis</v>
      </c>
      <c r="B332" s="17">
        <f>IFERROR(__xludf.DUMMYFUNCTION("if(len(A332)&gt;0, value(REGEXEXTRACT(A332, ""Chapter ([0-9]*):"")), """")"),46.0)</f>
        <v>46</v>
      </c>
      <c r="C332" s="31" t="str">
        <f>IFERROR(__xludf.DUMMYFUNCTION("if(len(A332) &gt;0, REGEXEXTRACT(A332, ""Chapter [0-9]*: (.*)""), """")"),"39 Set Up - Addendum Kenta")</f>
        <v>39 Set Up - Addendum Kenta</v>
      </c>
      <c r="D332" s="31" t="str">
        <f>IFERROR(__xludf.DUMMYFUNCTION("if(len(A332)&gt;0, REGEXEXTRACT(A332, ""\n[^\(]*""), """")"),"
Mauler ")</f>
        <v>
Mauler </v>
      </c>
      <c r="E332" s="17" t="str">
        <f>IFERROR(__xludf.DUMMYFUNCTION("if(len(A332)&gt;0, REGEXEXTRACT(A332, ""\n([^\n]*)$""), """")"),"Analysis")</f>
        <v>Analysis</v>
      </c>
      <c r="F332" s="17" t="str">
        <f>IFERROR(__xludf.DUMMYFUNCTION("if(len(A332)&gt;0, REGEXEXTRACT(A332, ""\(([^\)]*)\)""), """")"),"Command and Conquer: Tiberium Wars")</f>
        <v>Command and Conquer: Tiberium Wars</v>
      </c>
      <c r="G332" s="17" t="str">
        <f>IFERROR(__xludf.DUMMYFUNCTION("if(len(A332)&gt;0, REGEXEXTRACT(A332, ""\)([^:]*):""), """")")," 400")</f>
        <v> 400</v>
      </c>
      <c r="H332" s="31" t="str">
        <f>IFERROR(__xludf.DUMMYFUNCTION("if(len(A332) &gt; 0, JOIN(char(10), FILTER(SPLIT(A332, char(10)), split(""false false "" &amp; rept(""true "", columns(SPLIT(A332, char(10)))-3) &amp; ""false"", "" ""))), """")"),"You have the skills of a junkyard hound, able to make even the most heavily damaged tech work again. Even machines too battle-damaged for recovery 20 years ago can be effective under your wrench. Repurposing tech and equipment is your forte; you can turn "&amp;"a pneumatic screwdriver into a reasonable cannon, and heaven help your enemies if you get anywhere near mining equipment, as a powerarmored mutant is quickly appearing in their future. There was even one time where you made a toaster into a reasonable fac"&amp;"simile of a flamethrower…..")</f>
        <v>You have the skills of a junkyard hound, able to make even the most heavily damaged tech work again. Even machines too battle-damaged for recovery 20 years ago can be effective under your wrench. Repurposing tech and equipment is your forte; you can turn a pneumatic screwdriver into a reasonable cannon, and heaven help your enemies if you get anywhere near mining equipment, as a powerarmored mutant is quickly appearing in their future. There was even one time where you made a toaster into a reasonable facsimile of a flamethrower…..</v>
      </c>
    </row>
    <row r="333">
      <c r="A333" s="31" t="str">
        <f>IFERROR(__xludf.DUMMYFUNCTION("""COMPUTED_VALUE"""),"Chapter 46: 39 Set Up - Addendum Kenta
Tailor (Kill la Kill) 300:
You have the knowledge of how to safely work with life fibers, and how to make them into clothing that empowers (or inhibits) the wearer. In addition, because you know how Life Fiber unifor"&amp;"ms work, you know their weak spots better than anyone.
System")</f>
        <v>Chapter 46: 39 Set Up - Addendum Kenta
Tailor (Kill la Kill) 300:
You have the knowledge of how to safely work with life fibers, and how to make them into clothing that empowers (or inhibits) the wearer. In addition, because you know how Life Fiber uniforms work, you know their weak spots better than anyone.
System</v>
      </c>
      <c r="B333" s="17">
        <f>IFERROR(__xludf.DUMMYFUNCTION("if(len(A333)&gt;0, value(REGEXEXTRACT(A333, ""Chapter ([0-9]*):"")), """")"),46.0)</f>
        <v>46</v>
      </c>
      <c r="C333" s="31" t="str">
        <f>IFERROR(__xludf.DUMMYFUNCTION("if(len(A333) &gt;0, REGEXEXTRACT(A333, ""Chapter [0-9]*: (.*)""), """")"),"39 Set Up - Addendum Kenta")</f>
        <v>39 Set Up - Addendum Kenta</v>
      </c>
      <c r="D333" s="31" t="str">
        <f>IFERROR(__xludf.DUMMYFUNCTION("if(len(A333)&gt;0, REGEXEXTRACT(A333, ""\n[^\(]*""), """")"),"
Tailor ")</f>
        <v>
Tailor </v>
      </c>
      <c r="E333" s="17" t="str">
        <f>IFERROR(__xludf.DUMMYFUNCTION("if(len(A333)&gt;0, REGEXEXTRACT(A333, ""\n([^\n]*)$""), """")"),"System")</f>
        <v>System</v>
      </c>
      <c r="F333" s="17" t="str">
        <f>IFERROR(__xludf.DUMMYFUNCTION("if(len(A333)&gt;0, REGEXEXTRACT(A333, ""\(([^\)]*)\)""), """")"),"Kill la Kill")</f>
        <v>Kill la Kill</v>
      </c>
      <c r="G333" s="17" t="str">
        <f>IFERROR(__xludf.DUMMYFUNCTION("if(len(A333)&gt;0, REGEXEXTRACT(A333, ""\)([^:]*):""), """")")," 300")</f>
        <v> 300</v>
      </c>
      <c r="H333" s="31" t="str">
        <f>IFERROR(__xludf.DUMMYFUNCTION("if(len(A333) &gt; 0, JOIN(char(10), FILTER(SPLIT(A333, char(10)), split(""false false "" &amp; rept(""true "", columns(SPLIT(A333, char(10)))-3) &amp; ""false"", "" ""))), """")"),"You have the knowledge of how to safely work with life fibers, and how to make them into clothing that empowers (or inhibits) the wearer. In addition, because you know how Life Fiber uniforms work, you know their weak spots better than anyone.")</f>
        <v>You have the knowledge of how to safely work with life fibers, and how to make them into clothing that empowers (or inhibits) the wearer. In addition, because you know how Life Fiber uniforms work, you know their weak spots better than anyone.</v>
      </c>
    </row>
    <row r="334">
      <c r="A334" s="31" t="str">
        <f>IFERROR(__xludf.DUMMYFUNCTION("""COMPUTED_VALUE"""),"Chapter 46: 39 Set Up - Addendum Kenta
Technosorcery (Gargoyles) 400:
Combining magic and technology is a no brainer for you. You can handily blend the two to create amazing effects like broadcasting spells over telephone lines or melding creatures togeth"&amp;"er through sorcerous surgery. Very little in the field of technomagic is beyond your reach with this skill.
System")</f>
        <v>Chapter 46: 39 Set Up - Addendum Kenta
Technosorcery (Gargoyles) 400:
Combining magic and technology is a no brainer for you. You can handily blend the two to create amazing effects like broadcasting spells over telephone lines or melding creatures together through sorcerous surgery. Very little in the field of technomagic is beyond your reach with this skill.
System</v>
      </c>
      <c r="B334" s="17">
        <f>IFERROR(__xludf.DUMMYFUNCTION("if(len(A334)&gt;0, value(REGEXEXTRACT(A334, ""Chapter ([0-9]*):"")), """")"),46.0)</f>
        <v>46</v>
      </c>
      <c r="C334" s="31" t="str">
        <f>IFERROR(__xludf.DUMMYFUNCTION("if(len(A334) &gt;0, REGEXEXTRACT(A334, ""Chapter [0-9]*: (.*)""), """")"),"39 Set Up - Addendum Kenta")</f>
        <v>39 Set Up - Addendum Kenta</v>
      </c>
      <c r="D334" s="31" t="str">
        <f>IFERROR(__xludf.DUMMYFUNCTION("if(len(A334)&gt;0, REGEXEXTRACT(A334, ""\n[^\(]*""), """")"),"
Technosorcery ")</f>
        <v>
Technosorcery </v>
      </c>
      <c r="E334" s="17" t="str">
        <f>IFERROR(__xludf.DUMMYFUNCTION("if(len(A334)&gt;0, REGEXEXTRACT(A334, ""\n([^\n]*)$""), """")"),"System")</f>
        <v>System</v>
      </c>
      <c r="F334" s="17" t="str">
        <f>IFERROR(__xludf.DUMMYFUNCTION("if(len(A334)&gt;0, REGEXEXTRACT(A334, ""\(([^\)]*)\)""), """")"),"Gargoyles")</f>
        <v>Gargoyles</v>
      </c>
      <c r="G334" s="17" t="str">
        <f>IFERROR(__xludf.DUMMYFUNCTION("if(len(A334)&gt;0, REGEXEXTRACT(A334, ""\)([^:]*):""), """")")," 400")</f>
        <v> 400</v>
      </c>
      <c r="H334" s="31" t="str">
        <f>IFERROR(__xludf.DUMMYFUNCTION("if(len(A334) &gt; 0, JOIN(char(10), FILTER(SPLIT(A334, char(10)), split(""false false "" &amp; rept(""true "", columns(SPLIT(A334, char(10)))-3) &amp; ""false"", "" ""))), """")"),"Combining magic and technology is a no brainer for you. You can handily blend the two to create amazing effects like broadcasting spells over telephone lines or melding creatures together through sorcerous surgery. Very little in the field of technomagic "&amp;"is beyond your reach with this skill.")</f>
        <v>Combining magic and technology is a no brainer for you. You can handily blend the two to create amazing effects like broadcasting spells over telephone lines or melding creatures together through sorcerous surgery. Very little in the field of technomagic is beyond your reach with this skill.</v>
      </c>
    </row>
    <row r="335">
      <c r="A335" s="31" t="str">
        <f>IFERROR(__xludf.DUMMYFUNCTION("""COMPUTED_VALUE"""),"Chapter 46: 39 Set Up - Addendum Kenta
Valuable Memories -the creation of chimeras (Big O) 300:
You have knowledge related to any particular concept-the construction of Megadei, the nature of memories, Bigs, or the creation of chimeras. Paradigm will have"&amp;" a vested interest in you, and will protect you and provide you with funds if you work for them.
System")</f>
        <v>Chapter 46: 39 Set Up - Addendum Kenta
Valuable Memories -the creation of chimeras (Big O) 300:
You have knowledge related to any particular concept-the construction of Megadei, the nature of memories, Bigs, or the creation of chimeras. Paradigm will have a vested interest in you, and will protect you and provide you with funds if you work for them.
System</v>
      </c>
      <c r="B335" s="17">
        <f>IFERROR(__xludf.DUMMYFUNCTION("if(len(A335)&gt;0, value(REGEXEXTRACT(A335, ""Chapter ([0-9]*):"")), """")"),46.0)</f>
        <v>46</v>
      </c>
      <c r="C335" s="31" t="str">
        <f>IFERROR(__xludf.DUMMYFUNCTION("if(len(A335) &gt;0, REGEXEXTRACT(A335, ""Chapter [0-9]*: (.*)""), """")"),"39 Set Up - Addendum Kenta")</f>
        <v>39 Set Up - Addendum Kenta</v>
      </c>
      <c r="D335" s="31" t="str">
        <f>IFERROR(__xludf.DUMMYFUNCTION("if(len(A335)&gt;0, REGEXEXTRACT(A335, ""\n[^\(]*""), """")"),"
Valuable Memories -the creation of chimeras ")</f>
        <v>
Valuable Memories -the creation of chimeras </v>
      </c>
      <c r="E335" s="17" t="str">
        <f>IFERROR(__xludf.DUMMYFUNCTION("if(len(A335)&gt;0, REGEXEXTRACT(A335, ""\n([^\n]*)$""), """")"),"System")</f>
        <v>System</v>
      </c>
      <c r="F335" s="17" t="str">
        <f>IFERROR(__xludf.DUMMYFUNCTION("if(len(A335)&gt;0, REGEXEXTRACT(A335, ""\(([^\)]*)\)""), """")"),"Big O")</f>
        <v>Big O</v>
      </c>
      <c r="G335" s="17" t="str">
        <f>IFERROR(__xludf.DUMMYFUNCTION("if(len(A335)&gt;0, REGEXEXTRACT(A335, ""\)([^:]*):""), """")")," 300")</f>
        <v> 300</v>
      </c>
      <c r="H335" s="31" t="str">
        <f>IFERROR(__xludf.DUMMYFUNCTION("if(len(A335) &gt; 0, JOIN(char(10), FILTER(SPLIT(A335, char(10)), split(""false false "" &amp; rept(""true "", columns(SPLIT(A335, char(10)))-3) &amp; ""false"", "" ""))), """")"),"You have knowledge related to any particular concept-the construction of Megadei, the nature of memories, Bigs, or the creation of chimeras. Paradigm will have a vested interest in you, and will protect you and provide you with funds if you work for them.")</f>
        <v>You have knowledge related to any particular concept-the construction of Megadei, the nature of memories, Bigs, or the creation of chimeras. Paradigm will have a vested interest in you, and will protect you and provide you with funds if you work for them.</v>
      </c>
    </row>
    <row r="336">
      <c r="A336" s="31" t="str">
        <f>IFERROR(__xludf.DUMMYFUNCTION("""COMPUTED_VALUE"""),"Chapter 47: 40 Knock Down - Preamble Gully - Addendum Emergency Alert
Anaheim Degree (Gundam UC) 200:
You have the knowledge (and the paper to prove it to people and shove in their faces to establish superiority) of how to build MS. It’s trickier than it "&amp;"looks, honestly. Weight balances, servo designs, energy reserves-it’s all down to a science and you know how to build the basics. Who knows what you can learn from a bit of hands-on training...
System")</f>
        <v>Chapter 47: 40 Knock Down - Preamble Gully - Addendum Emergency Alert
Anaheim Degree (Gundam UC) 200:
You have the knowledge (and the paper to prove it to people and shove in their faces to establish superiority) of how to build MS. It’s trickier than it looks, honestly. Weight balances, servo designs, energy reserves-it’s all down to a science and you know how to build the basics. Who knows what you can learn from a bit of hands-on training...
System</v>
      </c>
      <c r="B336" s="17">
        <f>IFERROR(__xludf.DUMMYFUNCTION("if(len(A336)&gt;0, value(REGEXEXTRACT(A336, ""Chapter ([0-9]*):"")), """")"),47.0)</f>
        <v>47</v>
      </c>
      <c r="C336" s="31" t="str">
        <f>IFERROR(__xludf.DUMMYFUNCTION("if(len(A336) &gt;0, REGEXEXTRACT(A336, ""Chapter [0-9]*: (.*)""), """")"),"40 Knock Down - Preamble Gully - Addendum Emergency Alert")</f>
        <v>40 Knock Down - Preamble Gully - Addendum Emergency Alert</v>
      </c>
      <c r="D336" s="31" t="str">
        <f>IFERROR(__xludf.DUMMYFUNCTION("if(len(A336)&gt;0, REGEXEXTRACT(A336, ""\n[^\(]*""), """")"),"
Anaheim Degree ")</f>
        <v>
Anaheim Degree </v>
      </c>
      <c r="E336" s="17" t="str">
        <f>IFERROR(__xludf.DUMMYFUNCTION("if(len(A336)&gt;0, REGEXEXTRACT(A336, ""\n([^\n]*)$""), """")"),"System")</f>
        <v>System</v>
      </c>
      <c r="F336" s="17" t="str">
        <f>IFERROR(__xludf.DUMMYFUNCTION("if(len(A336)&gt;0, REGEXEXTRACT(A336, ""\(([^\)]*)\)""), """")"),"Gundam UC")</f>
        <v>Gundam UC</v>
      </c>
      <c r="G336" s="17" t="str">
        <f>IFERROR(__xludf.DUMMYFUNCTION("if(len(A336)&gt;0, REGEXEXTRACT(A336, ""\)([^:]*):""), """")")," 200")</f>
        <v> 200</v>
      </c>
      <c r="H336" s="31" t="str">
        <f>IFERROR(__xludf.DUMMYFUNCTION("if(len(A336) &gt; 0, JOIN(char(10), FILTER(SPLIT(A336, char(10)), split(""false false "" &amp; rept(""true "", columns(SPLIT(A336, char(10)))-3) &amp; ""false"", "" ""))), """")"),"You have the knowledge (and the paper to prove it to people and shove in their faces to establish superiority) of how to build MS. It’s trickier than it looks, honestly. Weight balances, servo designs, energy reserves-it’s all down to a science and you kn"&amp;"ow how to build the basics. Who knows what you can learn from a bit of hands-on training...")</f>
        <v>You have the knowledge (and the paper to prove it to people and shove in their faces to establish superiority) of how to build MS. It’s trickier than it looks, honestly. Weight balances, servo designs, energy reserves-it’s all down to a science and you know how to build the basics. Who knows what you can learn from a bit of hands-on training...</v>
      </c>
    </row>
    <row r="337">
      <c r="A337" s="31" t="str">
        <f>IFERROR(__xludf.DUMMYFUNCTION("""COMPUTED_VALUE"""),"Chapter 47: 40 Knock Down - Preamble Gully - Addendum Emergency Alert
Exotic Compatibility (Gundam: After Colony) 400:
You have a way of working with quirky and strange materials-in your hands and machinery, it assumes the forging and abilities of plain I"&amp;"ron until you begin building with it. You also can integrate exotic materials into your constructions a lot easier, and if you don’t know what a material is or what it can do, you’re very good at researching applications and properties of said materials. "&amp;"This research could also go into things such as improving production numbers and similar.
Ability")</f>
        <v>Chapter 47: 40 Knock Down - Preamble Gully - Addendum Emergency Alert
Exotic Compatibility (Gundam: After Colony) 400:
You have a way of working with quirky and strange materials-in your hands and machinery, it assumes the forging and abilities of plain Iron until you begin building with it. You also can integrate exotic materials into your constructions a lot easier, and if you don’t know what a material is or what it can do, you’re very good at researching applications and properties of said materials. This research could also go into things such as improving production numbers and similar.
Ability</v>
      </c>
      <c r="B337" s="17">
        <f>IFERROR(__xludf.DUMMYFUNCTION("if(len(A337)&gt;0, value(REGEXEXTRACT(A337, ""Chapter ([0-9]*):"")), """")"),47.0)</f>
        <v>47</v>
      </c>
      <c r="C337" s="31" t="str">
        <f>IFERROR(__xludf.DUMMYFUNCTION("if(len(A337) &gt;0, REGEXEXTRACT(A337, ""Chapter [0-9]*: (.*)""), """")"),"40 Knock Down - Preamble Gully - Addendum Emergency Alert")</f>
        <v>40 Knock Down - Preamble Gully - Addendum Emergency Alert</v>
      </c>
      <c r="D337" s="31" t="str">
        <f>IFERROR(__xludf.DUMMYFUNCTION("if(len(A337)&gt;0, REGEXEXTRACT(A337, ""\n[^\(]*""), """")"),"
Exotic Compatibility ")</f>
        <v>
Exotic Compatibility </v>
      </c>
      <c r="E337" s="17" t="str">
        <f>IFERROR(__xludf.DUMMYFUNCTION("if(len(A337)&gt;0, REGEXEXTRACT(A337, ""\n([^\n]*)$""), """")"),"Ability")</f>
        <v>Ability</v>
      </c>
      <c r="F337" s="17" t="str">
        <f>IFERROR(__xludf.DUMMYFUNCTION("if(len(A337)&gt;0, REGEXEXTRACT(A337, ""\(([^\)]*)\)""), """")"),"Gundam: After Colony")</f>
        <v>Gundam: After Colony</v>
      </c>
      <c r="G337" s="17" t="str">
        <f>IFERROR(__xludf.DUMMYFUNCTION("if(len(A337)&gt;0, REGEXEXTRACT(A337, ""\)([^:]*):""), """")")," 400")</f>
        <v> 400</v>
      </c>
      <c r="H337" s="31" t="str">
        <f>IFERROR(__xludf.DUMMYFUNCTION("if(len(A337) &gt; 0, JOIN(char(10), FILTER(SPLIT(A337, char(10)), split(""false false "" &amp; rept(""true "", columns(SPLIT(A337, char(10)))-3) &amp; ""false"", "" ""))), """")"),"You have a way of working with quirky and strange materials-in your hands and machinery, it assumes the forging and abilities of plain Iron until you begin building with it. You also can integrate exotic materials into your constructions a lot easier, and"&amp;" if you don’t know what a material is or what it can do, you’re very good at researching applications and properties of said materials. This research could also go into things such as improving production numbers and similar.")</f>
        <v>You have a way of working with quirky and strange materials-in your hands and machinery, it assumes the forging and abilities of plain Iron until you begin building with it. You also can integrate exotic materials into your constructions a lot easier, and if you don’t know what a material is or what it can do, you’re very good at researching applications and properties of said materials. This research could also go into things such as improving production numbers and similar.</v>
      </c>
    </row>
    <row r="338">
      <c r="A338" s="31" t="str">
        <f>IFERROR(__xludf.DUMMYFUNCTION("""COMPUTED_VALUE"""),"Chapter 47: 40 Knock Down - Preamble Gully - Addendum Emergency Alert
Hangar (Gundam UC) Free:
This is an addition to the warehouse designed specifically for housing the MS and any vehicles you bought from this Jump, nothing more, nothing less. It does no"&amp;"t have space effectively for anything else. You may summon a Mobile Suit remotely, but it will take a minute to launch, a few minutes to travel and you will still have to clamber inside once it lands. The land battleship and cruiser will take much longer,"&amp;" at least 3x as long, probably more, and you cannot call and dismiss them at will- it takes time to reset. 1 day (24 hours) for a Mobile Suit or small vehicle and 3 days (72 hours) for any form of ship
Facility")</f>
        <v>Chapter 47: 40 Knock Down - Preamble Gully - Addendum Emergency Alert
Hangar (Gundam UC) Free:
This is an addition to the warehouse designed specifically for housing the MS and any vehicles you bought from this Jump, nothing more, nothing less. It does not have space effectively for anything else. You may summon a Mobile Suit remotely, but it will take a minute to launch, a few minutes to travel and you will still have to clamber inside once it lands. The land battleship and cruiser will take much longer, at least 3x as long, probably more, and you cannot call and dismiss them at will- it takes time to reset. 1 day (24 hours) for a Mobile Suit or small vehicle and 3 days (72 hours) for any form of ship
Facility</v>
      </c>
      <c r="B338" s="17">
        <f>IFERROR(__xludf.DUMMYFUNCTION("if(len(A338)&gt;0, value(REGEXEXTRACT(A338, ""Chapter ([0-9]*):"")), """")"),47.0)</f>
        <v>47</v>
      </c>
      <c r="C338" s="31" t="str">
        <f>IFERROR(__xludf.DUMMYFUNCTION("if(len(A338) &gt;0, REGEXEXTRACT(A338, ""Chapter [0-9]*: (.*)""), """")"),"40 Knock Down - Preamble Gully - Addendum Emergency Alert")</f>
        <v>40 Knock Down - Preamble Gully - Addendum Emergency Alert</v>
      </c>
      <c r="D338" s="31" t="str">
        <f>IFERROR(__xludf.DUMMYFUNCTION("if(len(A338)&gt;0, REGEXEXTRACT(A338, ""\n[^\(]*""), """")"),"
Hangar ")</f>
        <v>
Hangar </v>
      </c>
      <c r="E338" s="17" t="str">
        <f>IFERROR(__xludf.DUMMYFUNCTION("if(len(A338)&gt;0, REGEXEXTRACT(A338, ""\n([^\n]*)$""), """")"),"Facility")</f>
        <v>Facility</v>
      </c>
      <c r="F338" s="17" t="str">
        <f>IFERROR(__xludf.DUMMYFUNCTION("if(len(A338)&gt;0, REGEXEXTRACT(A338, ""\(([^\)]*)\)""), """")"),"Gundam UC")</f>
        <v>Gundam UC</v>
      </c>
      <c r="G338" s="17" t="str">
        <f>IFERROR(__xludf.DUMMYFUNCTION("if(len(A338)&gt;0, REGEXEXTRACT(A338, ""\)([^:]*):""), """")")," Free")</f>
        <v> Free</v>
      </c>
      <c r="H338" s="31" t="str">
        <f>IFERROR(__xludf.DUMMYFUNCTION("if(len(A338) &gt; 0, JOIN(char(10), FILTER(SPLIT(A338, char(10)), split(""false false "" &amp; rept(""true "", columns(SPLIT(A338, char(10)))-3) &amp; ""false"", "" ""))), """")"),"This is an addition to the warehouse designed specifically for housing the MS and any vehicles you bought from this Jump, nothing more, nothing less. It does not have space effectively for anything else. You may summon a Mobile Suit remotely, but it will "&amp;"take a minute to launch, a few minutes to travel and you will still have to clamber inside once it lands. The land battleship and cruiser will take much longer, at least 3x as long, probably more, and you cannot call and dismiss them at will- it takes tim"&amp;"e to reset. 1 day (24 hours) for a Mobile Suit or small vehicle and 3 days (72 hours) for any form of ship")</f>
        <v>This is an addition to the warehouse designed specifically for housing the MS and any vehicles you bought from this Jump, nothing more, nothing less. It does not have space effectively for anything else. You may summon a Mobile Suit remotely, but it will take a minute to launch, a few minutes to travel and you will still have to clamber inside once it lands. The land battleship and cruiser will take much longer, at least 3x as long, probably more, and you cannot call and dismiss them at will- it takes time to reset. 1 day (24 hours) for a Mobile Suit or small vehicle and 3 days (72 hours) for any form of ship</v>
      </c>
    </row>
    <row r="339">
      <c r="A339" s="31" t="str">
        <f>IFERROR(__xludf.DUMMYFUNCTION("""COMPUTED_VALUE"""),"Chapter 47: 40 Knock Down - Preamble Gully - Addendum Emergency Alert
Leo (Gundam: After Colony) Free:
This is an adorable, lovable little scrapper we call the Leo, and it’s actually fairly decent for a Mook- it’s got armor enough to survive a few shots f"&amp;"rom its own gun, it’s able to be modified with little trouble (adding a space-movement backpack or shoulder cannons) and it doesn’t have restricted hands. Still, it’s just a Mook, but can you resist the needy stare of this cutie?
Vehicle")</f>
        <v>Chapter 47: 40 Knock Down - Preamble Gully - Addendum Emergency Alert
Leo (Gundam: After Colony) Free:
This is an adorable, lovable little scrapper we call the Leo, and it’s actually fairly decent for a Mook- it’s got armor enough to survive a few shots from its own gun, it’s able to be modified with little trouble (adding a space-movement backpack or shoulder cannons) and it doesn’t have restricted hands. Still, it’s just a Mook, but can you resist the needy stare of this cutie?
Vehicle</v>
      </c>
      <c r="B339" s="17">
        <f>IFERROR(__xludf.DUMMYFUNCTION("if(len(A339)&gt;0, value(REGEXEXTRACT(A339, ""Chapter ([0-9]*):"")), """")"),47.0)</f>
        <v>47</v>
      </c>
      <c r="C339" s="31" t="str">
        <f>IFERROR(__xludf.DUMMYFUNCTION("if(len(A339) &gt;0, REGEXEXTRACT(A339, ""Chapter [0-9]*: (.*)""), """")"),"40 Knock Down - Preamble Gully - Addendum Emergency Alert")</f>
        <v>40 Knock Down - Preamble Gully - Addendum Emergency Alert</v>
      </c>
      <c r="D339" s="31" t="str">
        <f>IFERROR(__xludf.DUMMYFUNCTION("if(len(A339)&gt;0, REGEXEXTRACT(A339, ""\n[^\(]*""), """")"),"
Leo ")</f>
        <v>
Leo </v>
      </c>
      <c r="E339" s="17" t="str">
        <f>IFERROR(__xludf.DUMMYFUNCTION("if(len(A339)&gt;0, REGEXEXTRACT(A339, ""\n([^\n]*)$""), """")"),"Vehicle")</f>
        <v>Vehicle</v>
      </c>
      <c r="F339" s="17" t="str">
        <f>IFERROR(__xludf.DUMMYFUNCTION("if(len(A339)&gt;0, REGEXEXTRACT(A339, ""\(([^\)]*)\)""), """")"),"Gundam: After Colony")</f>
        <v>Gundam: After Colony</v>
      </c>
      <c r="G339" s="17" t="str">
        <f>IFERROR(__xludf.DUMMYFUNCTION("if(len(A339)&gt;0, REGEXEXTRACT(A339, ""\)([^:]*):""), """")")," Free")</f>
        <v> Free</v>
      </c>
      <c r="H339" s="31" t="str">
        <f>IFERROR(__xludf.DUMMYFUNCTION("if(len(A339) &gt; 0, JOIN(char(10), FILTER(SPLIT(A339, char(10)), split(""false false "" &amp; rept(""true "", columns(SPLIT(A339, char(10)))-3) &amp; ""false"", "" ""))), """")"),"This is an adorable, lovable little scrapper we call the Leo, and it’s actually fairly decent for a Mook- it’s got armor enough to survive a few shots from its own gun, it’s able to be modified with little trouble (adding a space-movement backpack or shou"&amp;"lder cannons) and it doesn’t have restricted hands. Still, it’s just a Mook, but can you resist the needy stare of this cutie?")</f>
        <v>This is an adorable, lovable little scrapper we call the Leo, and it’s actually fairly decent for a Mook- it’s got armor enough to survive a few shots from its own gun, it’s able to be modified with little trouble (adding a space-movement backpack or shoulder cannons) and it doesn’t have restricted hands. Still, it’s just a Mook, but can you resist the needy stare of this cutie?</v>
      </c>
    </row>
    <row r="340">
      <c r="A340" s="31" t="str">
        <f>IFERROR(__xludf.DUMMYFUNCTION("""COMPUTED_VALUE"""),"Chapter 47: 40 Knock Down - Preamble Gully - Addendum Emergency Alert
Mass Production Mobile Suit: Gun-EZ (Gundam UC) Free:
The GM. The Jegan. The Zaku II. The Gun-EZ. The Den’an Zon. They are not powerful; they are not the best of the best, for they are "&amp;"designed for the common soldier. Everyone starts out piloting one of these, just gotta work your way up. (Or like the higher-up on the faction ladders, just buy a better one.)
60mm Vulcans: These are usually head-mounted in pairs (and this comes in a pair"&amp;"), but don’t expect to win anything with these- they’re usually used against missiles, small vehicles and fragile equipment like sensors. They can’t even penetrate the armor of a Zaku II.
Beam Saber: The standard melee weapon even during the OYW, these la"&amp;"ser swords can slice through MS armor pretty well- they are swords, though, and getting close to an MS may be the toughest thing you’ll do here. You may also choose instead a pair of Heat weaponry like knives or an axe or a Heat Saber.
Vehicle")</f>
        <v>Chapter 47: 40 Knock Down - Preamble Gully - Addendum Emergency Alert
Mass Production Mobile Suit: Gun-EZ (Gundam UC) Free:
The GM. The Jegan. The Zaku II. The Gun-EZ. The Den’an Zon. They are not powerful; they are not the best of the best, for they are designed for the common soldier. Everyone starts out piloting one of these, just gotta work your way up. (Or like the higher-up on the faction ladders, just buy a better one.)
60mm Vulcans: These are usually head-mounted in pairs (and this comes in a pair), but don’t expect to win anything with these- they’re usually used against missiles, small vehicles and fragile equipment like sensors. They can’t even penetrate the armor of a Zaku II.
Beam Saber: The standard melee weapon even during the OYW, these laser swords can slice through MS armor pretty well- they are swords, though, and getting close to an MS may be the toughest thing you’ll do here. You may also choose instead a pair of Heat weaponry like knives or an axe or a Heat Saber.
Vehicle</v>
      </c>
      <c r="B340" s="17">
        <f>IFERROR(__xludf.DUMMYFUNCTION("if(len(A340)&gt;0, value(REGEXEXTRACT(A340, ""Chapter ([0-9]*):"")), """")"),47.0)</f>
        <v>47</v>
      </c>
      <c r="C340" s="31" t="str">
        <f>IFERROR(__xludf.DUMMYFUNCTION("if(len(A340) &gt;0, REGEXEXTRACT(A340, ""Chapter [0-9]*: (.*)""), """")"),"40 Knock Down - Preamble Gully - Addendum Emergency Alert")</f>
        <v>40 Knock Down - Preamble Gully - Addendum Emergency Alert</v>
      </c>
      <c r="D340" s="31" t="str">
        <f>IFERROR(__xludf.DUMMYFUNCTION("if(len(A340)&gt;0, REGEXEXTRACT(A340, ""\n[^\(]*""), """")"),"
Mass Production Mobile Suit: Gun-EZ ")</f>
        <v>
Mass Production Mobile Suit: Gun-EZ </v>
      </c>
      <c r="E340" s="17" t="str">
        <f>IFERROR(__xludf.DUMMYFUNCTION("if(len(A340)&gt;0, REGEXEXTRACT(A340, ""\n([^\n]*)$""), """")"),"Vehicle")</f>
        <v>Vehicle</v>
      </c>
      <c r="F340" s="17" t="str">
        <f>IFERROR(__xludf.DUMMYFUNCTION("if(len(A340)&gt;0, REGEXEXTRACT(A340, ""\(([^\)]*)\)""), """")"),"Gundam UC")</f>
        <v>Gundam UC</v>
      </c>
      <c r="G340" s="17" t="str">
        <f>IFERROR(__xludf.DUMMYFUNCTION("if(len(A340)&gt;0, REGEXEXTRACT(A340, ""\)([^:]*):""), """")")," Free")</f>
        <v> Free</v>
      </c>
      <c r="H340" s="31" t="str">
        <f>IFERROR(__xludf.DUMMYFUNCTION("if(len(A340) &gt; 0, JOIN(char(10), FILTER(SPLIT(A340, char(10)), split(""false false "" &amp; rept(""true "", columns(SPLIT(A340, char(10)))-3) &amp; ""false"", "" ""))), """")"),"The GM. The Jegan. The Zaku II. The Gun-EZ. The Den’an Zon. They are not powerful; they are not the best of the best, for they are designed for the common soldier. Everyone starts out piloting one of these, just gotta work your way up. (Or like the higher"&amp;"-up on the faction ladders, just buy a better one.)
60mm Vulcans: These are usually head-mounted in pairs (and this comes in a pair), but don’t expect to win anything with these- they’re usually used against missiles, small vehicles and fragile equipment "&amp;"like sensors. They can’t even penetrate the armor of a Zaku II.
Beam Saber: The standard melee weapon even during the OYW, these laser swords can slice through MS armor pretty well- they are swords, though, and getting close to an MS may be the toughest t"&amp;"hing you’ll do here. You may also choose instead a pair of Heat weaponry like knives or an axe or a Heat Saber.")</f>
        <v>The GM. The Jegan. The Zaku II. The Gun-EZ. The Den’an Zon. They are not powerful; they are not the best of the best, for they are designed for the common soldier. Everyone starts out piloting one of these, just gotta work your way up. (Or like the higher-up on the faction ladders, just buy a better one.)
60mm Vulcans: These are usually head-mounted in pairs (and this comes in a pair), but don’t expect to win anything with these- they’re usually used against missiles, small vehicles and fragile equipment like sensors. They can’t even penetrate the armor of a Zaku II.
Beam Saber: The standard melee weapon even during the OYW, these laser swords can slice through MS armor pretty well- they are swords, though, and getting close to an MS may be the toughest thing you’ll do here. You may also choose instead a pair of Heat weaponry like knives or an axe or a Heat Saber.</v>
      </c>
    </row>
    <row r="341">
      <c r="A341" s="31" t="str">
        <f>IFERROR(__xludf.DUMMYFUNCTION("""COMPUTED_VALUE"""),"Chapter 47: 40 Knock Down - Preamble Gully - Addendum Emergency Alert
Talented: Tailoring (Inukami) 100:
You are an expert at any non-combat related skill. Cooking? You can make a five star meal with low rate ingredients
Skill")</f>
        <v>Chapter 47: 40 Knock Down - Preamble Gully - Addendum Emergency Alert
Talented: Tailoring (Inukami) 100:
You are an expert at any non-combat related skill. Cooking? You can make a five star meal with low rate ingredients
Skill</v>
      </c>
      <c r="B341" s="17">
        <f>IFERROR(__xludf.DUMMYFUNCTION("if(len(A341)&gt;0, value(REGEXEXTRACT(A341, ""Chapter ([0-9]*):"")), """")"),47.0)</f>
        <v>47</v>
      </c>
      <c r="C341" s="31" t="str">
        <f>IFERROR(__xludf.DUMMYFUNCTION("if(len(A341) &gt;0, REGEXEXTRACT(A341, ""Chapter [0-9]*: (.*)""), """")"),"40 Knock Down - Preamble Gully - Addendum Emergency Alert")</f>
        <v>40 Knock Down - Preamble Gully - Addendum Emergency Alert</v>
      </c>
      <c r="D341" s="31" t="str">
        <f>IFERROR(__xludf.DUMMYFUNCTION("if(len(A341)&gt;0, REGEXEXTRACT(A341, ""\n[^\(]*""), """")"),"
Talented: Tailoring ")</f>
        <v>
Talented: Tailoring </v>
      </c>
      <c r="E341" s="17" t="str">
        <f>IFERROR(__xludf.DUMMYFUNCTION("if(len(A341)&gt;0, REGEXEXTRACT(A341, ""\n([^\n]*)$""), """")"),"Skill")</f>
        <v>Skill</v>
      </c>
      <c r="F341" s="17" t="str">
        <f>IFERROR(__xludf.DUMMYFUNCTION("if(len(A341)&gt;0, REGEXEXTRACT(A341, ""\(([^\)]*)\)""), """")"),"Inukami")</f>
        <v>Inukami</v>
      </c>
      <c r="G341" s="17" t="str">
        <f>IFERROR(__xludf.DUMMYFUNCTION("if(len(A341)&gt;0, REGEXEXTRACT(A341, ""\)([^:]*):""), """")")," 100")</f>
        <v> 100</v>
      </c>
      <c r="H341" s="31" t="str">
        <f>IFERROR(__xludf.DUMMYFUNCTION("if(len(A341) &gt; 0, JOIN(char(10), FILTER(SPLIT(A341, char(10)), split(""false false "" &amp; rept(""true "", columns(SPLIT(A341, char(10)))-3) &amp; ""false"", "" ""))), """")"),"You are an expert at any non-combat related skill. Cooking? You can make a five star meal with low rate ingredients")</f>
        <v>You are an expert at any non-combat related skill. Cooking? You can make a five star meal with low rate ingredients</v>
      </c>
    </row>
    <row r="342">
      <c r="A342" s="31" t="str">
        <f>IFERROR(__xludf.DUMMYFUNCTION("""COMPUTED_VALUE"""),"Chapter 48: 41 Drag Out - Preamble Chen
“Sword” - Lantern Shield (History's Strongest Disciple: Kenichi) Free:
You receive a “sword”. Not necessarily a literal sword; rather a tool that you carry into battle and which you place your heart, soul and trust "&amp;"in.
If you selected weapon however, you receive your choice of melee weapon. It acts and functions as though it were created using the “Secret of Steel” making it more durable than most weapons formed using modern metallurgic techniques. As you grow in sk"&amp;"ill the weapon will as well, allowing you to hit slightly harder, swing slightly faster and strike with greater accuracy than you would with any other mundane weapon. By the time you have reached master status, you will be able to use this weapon with rob"&amp;"otic precision, able to cut or break through a modern tank. Of course without this weapon you will be unable to do nearly half of those things, but that is the price paid when one embarks on the path of weapons. You may instead choose an existing weapon y"&amp;"ou have to receive this benefits, but it must be compatible with your martial art.
Item, Personal")</f>
        <v>Chapter 48: 41 Drag Out - Preamble Chen
“Sword” - Lantern Shield (History's Strongest Disciple: Kenichi) Free:
You receive a “sword”. Not necessarily a literal sword; rather a tool that you carry into battle and which you place your heart, soul and trust in.
If you selected weapon however, you receive your choice of melee weapon. It acts and functions as though it were created using the “Secret of Steel” making it more durable than most weapons formed using modern metallurgic techniques. As you grow in skill the weapon will as well, allowing you to hit slightly harder, swing slightly faster and strike with greater accuracy than you would with any other mundane weapon. By the time you have reached master status, you will be able to use this weapon with robotic precision, able to cut or break through a modern tank. Of course without this weapon you will be unable to do nearly half of those things, but that is the price paid when one embarks on the path of weapons. You may instead choose an existing weapon you have to receive this benefits, but it must be compatible with your martial art.
Item, Personal</v>
      </c>
      <c r="B342" s="17">
        <f>IFERROR(__xludf.DUMMYFUNCTION("if(len(A342)&gt;0, value(REGEXEXTRACT(A342, ""Chapter ([0-9]*):"")), """")"),48.0)</f>
        <v>48</v>
      </c>
      <c r="C342" s="31" t="str">
        <f>IFERROR(__xludf.DUMMYFUNCTION("if(len(A342) &gt;0, REGEXEXTRACT(A342, ""Chapter [0-9]*: (.*)""), """")"),"41 Drag Out - Preamble Chen")</f>
        <v>41 Drag Out - Preamble Chen</v>
      </c>
      <c r="D342" s="31" t="str">
        <f>IFERROR(__xludf.DUMMYFUNCTION("if(len(A342)&gt;0, REGEXEXTRACT(A342, ""\n[^\(]*""), """")"),"
“Sword” - Lantern Shield ")</f>
        <v>
“Sword” - Lantern Shield </v>
      </c>
      <c r="E342" s="17" t="str">
        <f>IFERROR(__xludf.DUMMYFUNCTION("if(len(A342)&gt;0, REGEXEXTRACT(A342, ""\n([^\n]*)$""), """")"),"Item, Personal")</f>
        <v>Item, Personal</v>
      </c>
      <c r="F342" s="17" t="str">
        <f>IFERROR(__xludf.DUMMYFUNCTION("if(len(A342)&gt;0, REGEXEXTRACT(A342, ""\(([^\)]*)\)""), """")"),"History's Strongest Disciple: Kenichi")</f>
        <v>History's Strongest Disciple: Kenichi</v>
      </c>
      <c r="G342" s="17" t="str">
        <f>IFERROR(__xludf.DUMMYFUNCTION("if(len(A342)&gt;0, REGEXEXTRACT(A342, ""\)([^:]*):""), """")")," Free")</f>
        <v> Free</v>
      </c>
      <c r="H342" s="31" t="str">
        <f>IFERROR(__xludf.DUMMYFUNCTION("if(len(A342) &gt; 0, JOIN(char(10), FILTER(SPLIT(A342, char(10)), split(""false false "" &amp; rept(""true "", columns(SPLIT(A342, char(10)))-3) &amp; ""false"", "" ""))), """")"),"You receive a “sword”. Not necessarily a literal sword; rather a tool that you carry into battle and which you place your heart, soul and trust in.
If you selected weapon however, you receive your choice of melee weapon. It acts and functions as though it"&amp;" were created using the “Secret of Steel” making it more durable than most weapons formed using modern metallurgic techniques. As you grow in skill the weapon will as well, allowing you to hit slightly harder, swing slightly faster and strike with greater"&amp;" accuracy than you would with any other mundane weapon. By the time you have reached master status, you will be able to use this weapon with robotic precision, able to cut or break through a modern tank. Of course without this weapon you will be unable to"&amp;" do nearly half of those things, but that is the price paid when one embarks on the path of weapons. You may instead choose an existing weapon you have to receive this benefits, but it must be compatible with your martial art.")</f>
        <v>You receive a “sword”. Not necessarily a literal sword; rather a tool that you carry into battle and which you place your heart, soul and trust in.
If you selected weapon however, you receive your choice of melee weapon. It acts and functions as though it were created using the “Secret of Steel” making it more durable than most weapons formed using modern metallurgic techniques. As you grow in skill the weapon will as well, allowing you to hit slightly harder, swing slightly faster and strike with greater accuracy than you would with any other mundane weapon. By the time you have reached master status, you will be able to use this weapon with robotic precision, able to cut or break through a modern tank. Of course without this weapon you will be unable to do nearly half of those things, but that is the price paid when one embarks on the path of weapons. You may instead choose an existing weapon you have to receive this benefits, but it must be compatible with your martial art.</v>
      </c>
    </row>
    <row r="343">
      <c r="A343" s="31" t="str">
        <f>IFERROR(__xludf.DUMMYFUNCTION("""COMPUTED_VALUE"""),"Chapter 48: 41 Drag Out - Preamble Chen
Armor-Shift Manufacture (Bloody Roar) 100:
A small machine - big enough to hold a massive pauldron or two - that gives any pieces of armor or clothing placed inside a specific quality: When their wearer changes form"&amp;", the armor and clothing changes form with him / her.
Item")</f>
        <v>Chapter 48: 41 Drag Out - Preamble Chen
Armor-Shift Manufacture (Bloody Roar) 100:
A small machine - big enough to hold a massive pauldron or two - that gives any pieces of armor or clothing placed inside a specific quality: When their wearer changes form, the armor and clothing changes form with him / her.
Item</v>
      </c>
      <c r="B343" s="17">
        <f>IFERROR(__xludf.DUMMYFUNCTION("if(len(A343)&gt;0, value(REGEXEXTRACT(A343, ""Chapter ([0-9]*):"")), """")"),48.0)</f>
        <v>48</v>
      </c>
      <c r="C343" s="31" t="str">
        <f>IFERROR(__xludf.DUMMYFUNCTION("if(len(A343) &gt;0, REGEXEXTRACT(A343, ""Chapter [0-9]*: (.*)""), """")"),"41 Drag Out - Preamble Chen")</f>
        <v>41 Drag Out - Preamble Chen</v>
      </c>
      <c r="D343" s="31" t="str">
        <f>IFERROR(__xludf.DUMMYFUNCTION("if(len(A343)&gt;0, REGEXEXTRACT(A343, ""\n[^\(]*""), """")"),"
Armor-Shift Manufacture ")</f>
        <v>
Armor-Shift Manufacture </v>
      </c>
      <c r="E343" s="17" t="str">
        <f>IFERROR(__xludf.DUMMYFUNCTION("if(len(A343)&gt;0, REGEXEXTRACT(A343, ""\n([^\n]*)$""), """")"),"Item")</f>
        <v>Item</v>
      </c>
      <c r="F343" s="17" t="str">
        <f>IFERROR(__xludf.DUMMYFUNCTION("if(len(A343)&gt;0, REGEXEXTRACT(A343, ""\(([^\)]*)\)""), """")"),"Bloody Roar")</f>
        <v>Bloody Roar</v>
      </c>
      <c r="G343" s="17" t="str">
        <f>IFERROR(__xludf.DUMMYFUNCTION("if(len(A343)&gt;0, REGEXEXTRACT(A343, ""\)([^:]*):""), """")")," 100")</f>
        <v> 100</v>
      </c>
      <c r="H343" s="31" t="str">
        <f>IFERROR(__xludf.DUMMYFUNCTION("if(len(A343) &gt; 0, JOIN(char(10), FILTER(SPLIT(A343, char(10)), split(""false false "" &amp; rept(""true "", columns(SPLIT(A343, char(10)))-3) &amp; ""false"", "" ""))), """")"),"A small machine - big enough to hold a massive pauldron or two - that gives any pieces of armor or clothing placed inside a specific quality: When their wearer changes form, the armor and clothing changes form with him / her.")</f>
        <v>A small machine - big enough to hold a massive pauldron or two - that gives any pieces of armor or clothing placed inside a specific quality: When their wearer changes form, the armor and clothing changes form with him / her.</v>
      </c>
    </row>
    <row r="344">
      <c r="A344" s="31" t="str">
        <f>IFERROR(__xludf.DUMMYFUNCTION("""COMPUTED_VALUE"""),"Chapter 48: 41 Drag Out - Preamble Chen
Beast Change!: Inostrancevia (Bloody Roar) Free:
You can freely access your Zoanthrope form, becoming a monstrous humanoid that is a horrific combination of human and beast. Reptile, mammal, avian, amphibian, piscin"&amp;"e, it does not matter what. If it existed in Earth’s lifetime, you can choose it. (Yes, this includes Dinosaurs. No, it does not include microorganisms.)
Ability")</f>
        <v>Chapter 48: 41 Drag Out - Preamble Chen
Beast Change!: Inostrancevia (Bloody Roar) Free:
You can freely access your Zoanthrope form, becoming a monstrous humanoid that is a horrific combination of human and beast. Reptile, mammal, avian, amphibian, piscine, it does not matter what. If it existed in Earth’s lifetime, you can choose it. (Yes, this includes Dinosaurs. No, it does not include microorganisms.)
Ability</v>
      </c>
      <c r="B344" s="17">
        <f>IFERROR(__xludf.DUMMYFUNCTION("if(len(A344)&gt;0, value(REGEXEXTRACT(A344, ""Chapter ([0-9]*):"")), """")"),48.0)</f>
        <v>48</v>
      </c>
      <c r="C344" s="31" t="str">
        <f>IFERROR(__xludf.DUMMYFUNCTION("if(len(A344) &gt;0, REGEXEXTRACT(A344, ""Chapter [0-9]*: (.*)""), """")"),"41 Drag Out - Preamble Chen")</f>
        <v>41 Drag Out - Preamble Chen</v>
      </c>
      <c r="D344" s="31" t="str">
        <f>IFERROR(__xludf.DUMMYFUNCTION("if(len(A344)&gt;0, REGEXEXTRACT(A344, ""\n[^\(]*""), """")"),"
Beast Change!: Inostrancevia ")</f>
        <v>
Beast Change!: Inostrancevia </v>
      </c>
      <c r="E344" s="17" t="str">
        <f>IFERROR(__xludf.DUMMYFUNCTION("if(len(A344)&gt;0, REGEXEXTRACT(A344, ""\n([^\n]*)$""), """")"),"Ability")</f>
        <v>Ability</v>
      </c>
      <c r="F344" s="17" t="str">
        <f>IFERROR(__xludf.DUMMYFUNCTION("if(len(A344)&gt;0, REGEXEXTRACT(A344, ""\(([^\)]*)\)""), """")"),"Bloody Roar")</f>
        <v>Bloody Roar</v>
      </c>
      <c r="G344" s="17" t="str">
        <f>IFERROR(__xludf.DUMMYFUNCTION("if(len(A344)&gt;0, REGEXEXTRACT(A344, ""\)([^:]*):""), """")")," Free")</f>
        <v> Free</v>
      </c>
      <c r="H344" s="31" t="str">
        <f>IFERROR(__xludf.DUMMYFUNCTION("if(len(A344) &gt; 0, JOIN(char(10), FILTER(SPLIT(A344, char(10)), split(""false false "" &amp; rept(""true "", columns(SPLIT(A344, char(10)))-3) &amp; ""false"", "" ""))), """")"),"You can freely access your Zoanthrope form, becoming a monstrous humanoid that is a horrific combination of human and beast. Reptile, mammal, avian, amphibian, piscine, it does not matter what. If it existed in Earth’s lifetime, you can choose it. (Yes, t"&amp;"his includes Dinosaurs. No, it does not include microorganisms.)")</f>
        <v>You can freely access your Zoanthrope form, becoming a monstrous humanoid that is a horrific combination of human and beast. Reptile, mammal, avian, amphibian, piscine, it does not matter what. If it existed in Earth’s lifetime, you can choose it. (Yes, this includes Dinosaurs. No, it does not include microorganisms.)</v>
      </c>
    </row>
    <row r="345">
      <c r="A345" s="31" t="str">
        <f>IFERROR(__xludf.DUMMYFUNCTION("""COMPUTED_VALUE"""),"Chapter 48: 41 Drag Out - Preamble Chen
Connections: Hell (Fallen London) Free:
Those amber eyed Devils have taken a shine to you. From their Westernmost halls, to the Brass Embassy on Ladybones, there’s not a tempter who doesn’t know you. Their gifts inc"&amp;"lude nevercooling brass, poisonous wine, masquerade invites, chemicals, and a few bottled souls that strayed away from the archives. Cannot take with Church.
They will send you gifts every fortnight as payment for some obscure service. Similar factions ma"&amp;"y be present in future jumps.
Item")</f>
        <v>Chapter 48: 41 Drag Out - Preamble Chen
Connections: Hell (Fallen London) Free:
Those amber eyed Devils have taken a shine to you. From their Westernmost halls, to the Brass Embassy on Ladybones, there’s not a tempter who doesn’t know you. Their gifts include nevercooling brass, poisonous wine, masquerade invites, chemicals, and a few bottled souls that strayed away from the archives. Cannot take with Church.
They will send you gifts every fortnight as payment for some obscure service. Similar factions may be present in future jumps.
Item</v>
      </c>
      <c r="B345" s="17">
        <f>IFERROR(__xludf.DUMMYFUNCTION("if(len(A345)&gt;0, value(REGEXEXTRACT(A345, ""Chapter ([0-9]*):"")), """")"),48.0)</f>
        <v>48</v>
      </c>
      <c r="C345" s="31" t="str">
        <f>IFERROR(__xludf.DUMMYFUNCTION("if(len(A345) &gt;0, REGEXEXTRACT(A345, ""Chapter [0-9]*: (.*)""), """")"),"41 Drag Out - Preamble Chen")</f>
        <v>41 Drag Out - Preamble Chen</v>
      </c>
      <c r="D345" s="31" t="str">
        <f>IFERROR(__xludf.DUMMYFUNCTION("if(len(A345)&gt;0, REGEXEXTRACT(A345, ""\n[^\(]*""), """")"),"
Connections: Hell ")</f>
        <v>
Connections: Hell </v>
      </c>
      <c r="E345" s="17" t="str">
        <f>IFERROR(__xludf.DUMMYFUNCTION("if(len(A345)&gt;0, REGEXEXTRACT(A345, ""\n([^\n]*)$""), """")"),"Item")</f>
        <v>Item</v>
      </c>
      <c r="F345" s="17" t="str">
        <f>IFERROR(__xludf.DUMMYFUNCTION("if(len(A345)&gt;0, REGEXEXTRACT(A345, ""\(([^\)]*)\)""), """")"),"Fallen London")</f>
        <v>Fallen London</v>
      </c>
      <c r="G345" s="17" t="str">
        <f>IFERROR(__xludf.DUMMYFUNCTION("if(len(A345)&gt;0, REGEXEXTRACT(A345, ""\)([^:]*):""), """")")," Free")</f>
        <v> Free</v>
      </c>
      <c r="H345" s="31" t="str">
        <f>IFERROR(__xludf.DUMMYFUNCTION("if(len(A345) &gt; 0, JOIN(char(10), FILTER(SPLIT(A345, char(10)), split(""false false "" &amp; rept(""true "", columns(SPLIT(A345, char(10)))-3) &amp; ""false"", "" ""))), """")"),"Those amber eyed Devils have taken a shine to you. From their Westernmost halls, to the Brass Embassy on Ladybones, there’s not a tempter who doesn’t know you. Their gifts include nevercooling brass, poisonous wine, masquerade invites, chemicals, and a fe"&amp;"w bottled souls that strayed away from the archives. Cannot take with Church.
They will send you gifts every fortnight as payment for some obscure service. Similar factions may be present in future jumps.")</f>
        <v>Those amber eyed Devils have taken a shine to you. From their Westernmost halls, to the Brass Embassy on Ladybones, there’s not a tempter who doesn’t know you. Their gifts include nevercooling brass, poisonous wine, masquerade invites, chemicals, and a few bottled souls that strayed away from the archives. Cannot take with Church.
They will send you gifts every fortnight as payment for some obscure service. Similar factions may be present in future jumps.</v>
      </c>
    </row>
    <row r="346">
      <c r="A346" s="31" t="str">
        <f>IFERROR(__xludf.DUMMYFUNCTION("""COMPUTED_VALUE"""),"Chapter 48: 41 Drag Out - Preamble Chen
Connections: Rubbery Men (Fallen London) Free:
Ssaloshagosh? How do you spell that? They risk stonings and harsh glances as they make their way to your abode, but by some alien measure it is worth it. Their slimy pa"&amp;"ckages reveal amber of various colours, tiny unusual skulls and pocket change from ancient cities. Cannot take with Revolutionary.
They will send you gifts every fortnight as payment for some obscure service. Similar factions may be present in future jump"&amp;"s.
Item")</f>
        <v>Chapter 48: 41 Drag Out - Preamble Chen
Connections: Rubbery Men (Fallen London) Free:
Ssaloshagosh? How do you spell that? They risk stonings and harsh glances as they make their way to your abode, but by some alien measure it is worth it. Their slimy packages reveal amber of various colours, tiny unusual skulls and pocket change from ancient cities. Cannot take with Revolutionary.
They will send you gifts every fortnight as payment for some obscure service. Similar factions may be present in future jumps.
Item</v>
      </c>
      <c r="B346" s="17">
        <f>IFERROR(__xludf.DUMMYFUNCTION("if(len(A346)&gt;0, value(REGEXEXTRACT(A346, ""Chapter ([0-9]*):"")), """")"),48.0)</f>
        <v>48</v>
      </c>
      <c r="C346" s="31" t="str">
        <f>IFERROR(__xludf.DUMMYFUNCTION("if(len(A346) &gt;0, REGEXEXTRACT(A346, ""Chapter [0-9]*: (.*)""), """")"),"41 Drag Out - Preamble Chen")</f>
        <v>41 Drag Out - Preamble Chen</v>
      </c>
      <c r="D346" s="31" t="str">
        <f>IFERROR(__xludf.DUMMYFUNCTION("if(len(A346)&gt;0, REGEXEXTRACT(A346, ""\n[^\(]*""), """")"),"
Connections: Rubbery Men ")</f>
        <v>
Connections: Rubbery Men </v>
      </c>
      <c r="E346" s="17" t="str">
        <f>IFERROR(__xludf.DUMMYFUNCTION("if(len(A346)&gt;0, REGEXEXTRACT(A346, ""\n([^\n]*)$""), """")"),"Item")</f>
        <v>Item</v>
      </c>
      <c r="F346" s="17" t="str">
        <f>IFERROR(__xludf.DUMMYFUNCTION("if(len(A346)&gt;0, REGEXEXTRACT(A346, ""\(([^\)]*)\)""), """")"),"Fallen London")</f>
        <v>Fallen London</v>
      </c>
      <c r="G346" s="17" t="str">
        <f>IFERROR(__xludf.DUMMYFUNCTION("if(len(A346)&gt;0, REGEXEXTRACT(A346, ""\)([^:]*):""), """")")," Free")</f>
        <v> Free</v>
      </c>
      <c r="H346" s="31" t="str">
        <f>IFERROR(__xludf.DUMMYFUNCTION("if(len(A346) &gt; 0, JOIN(char(10), FILTER(SPLIT(A346, char(10)), split(""false false "" &amp; rept(""true "", columns(SPLIT(A346, char(10)))-3) &amp; ""false"", "" ""))), """")"),"Ssaloshagosh? How do you spell that? They risk stonings and harsh glances as they make their way to your abode, but by some alien measure it is worth it. Their slimy packages reveal amber of various colours, tiny unusual skulls and pocket change from anci"&amp;"ent cities. Cannot take with Revolutionary.
They will send you gifts every fortnight as payment for some obscure service. Similar factions may be present in future jumps.")</f>
        <v>Ssaloshagosh? How do you spell that? They risk stonings and harsh glances as they make their way to your abode, but by some alien measure it is worth it. Their slimy packages reveal amber of various colours, tiny unusual skulls and pocket change from ancient cities. Cannot take with Revolutionary.
They will send you gifts every fortnight as payment for some obscure service. Similar factions may be present in future jumps.</v>
      </c>
    </row>
    <row r="347">
      <c r="A347" s="31" t="str">
        <f>IFERROR(__xludf.DUMMYFUNCTION("""COMPUTED_VALUE"""),"Chapter 48: 41 Drag Out - Preamble Chen
Iconic Outfit (Tales of Symphonia) Free:
This outfit is rugged, stylish, and undeniably YOU.
Item")</f>
        <v>Chapter 48: 41 Drag Out - Preamble Chen
Iconic Outfit (Tales of Symphonia) Free:
This outfit is rugged, stylish, and undeniably YOU.
Item</v>
      </c>
      <c r="B347" s="17">
        <f>IFERROR(__xludf.DUMMYFUNCTION("if(len(A347)&gt;0, value(REGEXEXTRACT(A347, ""Chapter ([0-9]*):"")), """")"),48.0)</f>
        <v>48</v>
      </c>
      <c r="C347" s="31" t="str">
        <f>IFERROR(__xludf.DUMMYFUNCTION("if(len(A347) &gt;0, REGEXEXTRACT(A347, ""Chapter [0-9]*: (.*)""), """")"),"41 Drag Out - Preamble Chen")</f>
        <v>41 Drag Out - Preamble Chen</v>
      </c>
      <c r="D347" s="31" t="str">
        <f>IFERROR(__xludf.DUMMYFUNCTION("if(len(A347)&gt;0, REGEXEXTRACT(A347, ""\n[^\(]*""), """")"),"
Iconic Outfit ")</f>
        <v>
Iconic Outfit </v>
      </c>
      <c r="E347" s="17" t="str">
        <f>IFERROR(__xludf.DUMMYFUNCTION("if(len(A347)&gt;0, REGEXEXTRACT(A347, ""\n([^\n]*)$""), """")"),"Item")</f>
        <v>Item</v>
      </c>
      <c r="F347" s="17" t="str">
        <f>IFERROR(__xludf.DUMMYFUNCTION("if(len(A347)&gt;0, REGEXEXTRACT(A347, ""\(([^\)]*)\)""), """")"),"Tales of Symphonia")</f>
        <v>Tales of Symphonia</v>
      </c>
      <c r="G347" s="17" t="str">
        <f>IFERROR(__xludf.DUMMYFUNCTION("if(len(A347)&gt;0, REGEXEXTRACT(A347, ""\)([^:]*):""), """")")," Free")</f>
        <v> Free</v>
      </c>
      <c r="H347" s="31" t="str">
        <f>IFERROR(__xludf.DUMMYFUNCTION("if(len(A347) &gt; 0, JOIN(char(10), FILTER(SPLIT(A347, char(10)), split(""false false "" &amp; rept(""true "", columns(SPLIT(A347, char(10)))-3) &amp; ""false"", "" ""))), """")"),"This outfit is rugged, stylish, and undeniably YOU.")</f>
        <v>This outfit is rugged, stylish, and undeniably YOU.</v>
      </c>
    </row>
    <row r="348">
      <c r="A348" s="31" t="str">
        <f>IFERROR(__xludf.DUMMYFUNCTION("""COMPUTED_VALUE"""),"Chapter 48: 41 Drag Out - Preamble Chen
Katsujinken (History's Strongest Disciple: Kenichi) Free:
Those who follow the path of “Katsujinken” or “life giving fist” hold that the true purpose of martial arts is to protect those who cannot protect themselves"&amp;" and improve the lives of those around them. People who follow this viewpoint view the death of their opponent as tantamount to defeat and shun those who purposefully kill. By embarking on this path, you develop a kind and calm demeanor, capable of settin"&amp;"g just about anyone at ease. So long as you hold to this philosophy, you will be able to have a brief but significant dialogue with your opponent before any act of open combat.
Ability, Personal")</f>
        <v>Chapter 48: 41 Drag Out - Preamble Chen
Katsujinken (History's Strongest Disciple: Kenichi) Free:
Those who follow the path of “Katsujinken” or “life giving fist” hold that the true purpose of martial arts is to protect those who cannot protect themselves and improve the lives of those around them. People who follow this viewpoint view the death of their opponent as tantamount to defeat and shun those who purposefully kill. By embarking on this path, you develop a kind and calm demeanor, capable of setting just about anyone at ease. So long as you hold to this philosophy, you will be able to have a brief but significant dialogue with your opponent before any act of open combat.
Ability, Personal</v>
      </c>
      <c r="B348" s="17">
        <f>IFERROR(__xludf.DUMMYFUNCTION("if(len(A348)&gt;0, value(REGEXEXTRACT(A348, ""Chapter ([0-9]*):"")), """")"),48.0)</f>
        <v>48</v>
      </c>
      <c r="C348" s="31" t="str">
        <f>IFERROR(__xludf.DUMMYFUNCTION("if(len(A348) &gt;0, REGEXEXTRACT(A348, ""Chapter [0-9]*: (.*)""), """")"),"41 Drag Out - Preamble Chen")</f>
        <v>41 Drag Out - Preamble Chen</v>
      </c>
      <c r="D348" s="31" t="str">
        <f>IFERROR(__xludf.DUMMYFUNCTION("if(len(A348)&gt;0, REGEXEXTRACT(A348, ""\n[^\(]*""), """")"),"
Katsujinken ")</f>
        <v>
Katsujinken </v>
      </c>
      <c r="E348" s="17" t="str">
        <f>IFERROR(__xludf.DUMMYFUNCTION("if(len(A348)&gt;0, REGEXEXTRACT(A348, ""\n([^\n]*)$""), """")"),"Ability, Personal")</f>
        <v>Ability, Personal</v>
      </c>
      <c r="F348" s="17" t="str">
        <f>IFERROR(__xludf.DUMMYFUNCTION("if(len(A348)&gt;0, REGEXEXTRACT(A348, ""\(([^\)]*)\)""), """")"),"History's Strongest Disciple: Kenichi")</f>
        <v>History's Strongest Disciple: Kenichi</v>
      </c>
      <c r="G348" s="17" t="str">
        <f>IFERROR(__xludf.DUMMYFUNCTION("if(len(A348)&gt;0, REGEXEXTRACT(A348, ""\)([^:]*):""), """")")," Free")</f>
        <v> Free</v>
      </c>
      <c r="H348" s="31" t="str">
        <f>IFERROR(__xludf.DUMMYFUNCTION("if(len(A348) &gt; 0, JOIN(char(10), FILTER(SPLIT(A348, char(10)), split(""false false "" &amp; rept(""true "", columns(SPLIT(A348, char(10)))-3) &amp; ""false"", "" ""))), """")"),"Those who follow the path of “Katsujinken” or “life giving fist” hold that the true purpose of martial arts is to protect those who cannot protect themselves and improve the lives of those around them. People who follow this viewpoint view the death of th"&amp;"eir opponent as tantamount to defeat and shun those who purposefully kill. By embarking on this path, you develop a kind and calm demeanor, capable of setting just about anyone at ease. So long as you hold to this philosophy, you will be able to have a br"&amp;"ief but significant dialogue with your opponent before any act of open combat.")</f>
        <v>Those who follow the path of “Katsujinken” or “life giving fist” hold that the true purpose of martial arts is to protect those who cannot protect themselves and improve the lives of those around them. People who follow this viewpoint view the death of their opponent as tantamount to defeat and shun those who purposefully kill. By embarking on this path, you develop a kind and calm demeanor, capable of setting just about anyone at ease. So long as you hold to this philosophy, you will be able to have a brief but significant dialogue with your opponent before any act of open combat.</v>
      </c>
    </row>
    <row r="349">
      <c r="A349" s="31" t="str">
        <f>IFERROR(__xludf.DUMMYFUNCTION("""COMPUTED_VALUE"""),"Chapter 48: 41 Drag Out - Preamble Chen
Martial Artist: Muay Thai (Bloody Roar) Free:
Pick one martial art from Earth’s history &amp; various cultures. You now know the basics of this art, as well as a few of the more advanced moves. More beneficially, you kn"&amp;"ow how to apply this martial art to your Zoanthrope form - and combine the two into a deadly style of combat. Wrestling forms and dances are also accepted if they can be theoretically used in combat.
Skill")</f>
        <v>Chapter 48: 41 Drag Out - Preamble Chen
Martial Artist: Muay Thai (Bloody Roar) Free:
Pick one martial art from Earth’s history &amp; various cultures. You now know the basics of this art, as well as a few of the more advanced moves. More beneficially, you know how to apply this martial art to your Zoanthrope form - and combine the two into a deadly style of combat. Wrestling forms and dances are also accepted if they can be theoretically used in combat.
Skill</v>
      </c>
      <c r="B349" s="17">
        <f>IFERROR(__xludf.DUMMYFUNCTION("if(len(A349)&gt;0, value(REGEXEXTRACT(A349, ""Chapter ([0-9]*):"")), """")"),48.0)</f>
        <v>48</v>
      </c>
      <c r="C349" s="31" t="str">
        <f>IFERROR(__xludf.DUMMYFUNCTION("if(len(A349) &gt;0, REGEXEXTRACT(A349, ""Chapter [0-9]*: (.*)""), """")"),"41 Drag Out - Preamble Chen")</f>
        <v>41 Drag Out - Preamble Chen</v>
      </c>
      <c r="D349" s="31" t="str">
        <f>IFERROR(__xludf.DUMMYFUNCTION("if(len(A349)&gt;0, REGEXEXTRACT(A349, ""\n[^\(]*""), """")"),"
Martial Artist: Muay Thai ")</f>
        <v>
Martial Artist: Muay Thai </v>
      </c>
      <c r="E349" s="17" t="str">
        <f>IFERROR(__xludf.DUMMYFUNCTION("if(len(A349)&gt;0, REGEXEXTRACT(A349, ""\n([^\n]*)$""), """")"),"Skill")</f>
        <v>Skill</v>
      </c>
      <c r="F349" s="17" t="str">
        <f>IFERROR(__xludf.DUMMYFUNCTION("if(len(A349)&gt;0, REGEXEXTRACT(A349, ""\(([^\)]*)\)""), """")"),"Bloody Roar")</f>
        <v>Bloody Roar</v>
      </c>
      <c r="G349" s="17" t="str">
        <f>IFERROR(__xludf.DUMMYFUNCTION("if(len(A349)&gt;0, REGEXEXTRACT(A349, ""\)([^:]*):""), """")")," Free")</f>
        <v> Free</v>
      </c>
      <c r="H349" s="31" t="str">
        <f>IFERROR(__xludf.DUMMYFUNCTION("if(len(A349) &gt; 0, JOIN(char(10), FILTER(SPLIT(A349, char(10)), split(""false false "" &amp; rept(""true "", columns(SPLIT(A349, char(10)))-3) &amp; ""false"", "" ""))), """")"),"Pick one martial art from Earth’s history &amp; various cultures. You now know the basics of this art, as well as a few of the more advanced moves. More beneficially, you know how to apply this martial art to your Zoanthrope form - and combine the two into a "&amp;"deadly style of combat. Wrestling forms and dances are also accepted if they can be theoretically used in combat.")</f>
        <v>Pick one martial art from Earth’s history &amp; various cultures. You now know the basics of this art, as well as a few of the more advanced moves. More beneficially, you know how to apply this martial art to your Zoanthrope form - and combine the two into a deadly style of combat. Wrestling forms and dances are also accepted if they can be theoretically used in combat.</v>
      </c>
    </row>
    <row r="350">
      <c r="A350" s="31" t="str">
        <f>IFERROR(__xludf.DUMMYFUNCTION("""COMPUTED_VALUE"""),"Chapter 48: 41 Drag Out - Preamble Chen
Martial Arts Ninjutsu (History's Strongest Disciple: Kenichi) Free:
All who enter this world know at the very least the basics of their chosen martial art as well as its various strengths and weaknesses. The more st"&amp;"yles you choose to study, the longer it will take to incorporate them into a cohesive and usable whole. You may also choose any real­world martial art not listed here if you so desire. You will however remain a novice in your style unless you can somehow "&amp;"obtain a master or worthy sparring partner.
Ninjutsu­ A martial art believed to have once been practiced by the shinobi of Japan. This style is based primarily around precision, stealth and deception. Its users are particularly skilled at kneading their k"&amp;"i, allowing them to engage in maneuvers and techniques that to the untrained eye appear like magic. It is both an unarmed and armed martial art.
Skill")</f>
        <v>Chapter 48: 41 Drag Out - Preamble Chen
Martial Arts Ninjutsu (History's Strongest Disciple: Kenichi) Free:
All who enter this world know at the very least the basics of their chosen martial art as well as its various strengths and weaknesses. The more styles you choose to study, the longer it will take to incorporate them into a cohesive and usable whole. You may also choose any real­world martial art not listed here if you so desire. You will however remain a novice in your style unless you can somehow obtain a master or worthy sparring partner.
Ninjutsu­ A martial art believed to have once been practiced by the shinobi of Japan. This style is based primarily around precision, stealth and deception. Its users are particularly skilled at kneading their ki, allowing them to engage in maneuvers and techniques that to the untrained eye appear like magic. It is both an unarmed and armed martial art.
Skill</v>
      </c>
      <c r="B350" s="17">
        <f>IFERROR(__xludf.DUMMYFUNCTION("if(len(A350)&gt;0, value(REGEXEXTRACT(A350, ""Chapter ([0-9]*):"")), """")"),48.0)</f>
        <v>48</v>
      </c>
      <c r="C350" s="31" t="str">
        <f>IFERROR(__xludf.DUMMYFUNCTION("if(len(A350) &gt;0, REGEXEXTRACT(A350, ""Chapter [0-9]*: (.*)""), """")"),"41 Drag Out - Preamble Chen")</f>
        <v>41 Drag Out - Preamble Chen</v>
      </c>
      <c r="D350" s="31" t="str">
        <f>IFERROR(__xludf.DUMMYFUNCTION("if(len(A350)&gt;0, REGEXEXTRACT(A350, ""\n[^\(]*""), """")"),"
Martial Arts Ninjutsu ")</f>
        <v>
Martial Arts Ninjutsu </v>
      </c>
      <c r="E350" s="17" t="str">
        <f>IFERROR(__xludf.DUMMYFUNCTION("if(len(A350)&gt;0, REGEXEXTRACT(A350, ""\n([^\n]*)$""), """")"),"Skill")</f>
        <v>Skill</v>
      </c>
      <c r="F350" s="17" t="str">
        <f>IFERROR(__xludf.DUMMYFUNCTION("if(len(A350)&gt;0, REGEXEXTRACT(A350, ""\(([^\)]*)\)""), """")"),"History's Strongest Disciple: Kenichi")</f>
        <v>History's Strongest Disciple: Kenichi</v>
      </c>
      <c r="G350" s="17" t="str">
        <f>IFERROR(__xludf.DUMMYFUNCTION("if(len(A350)&gt;0, REGEXEXTRACT(A350, ""\)([^:]*):""), """")")," Free")</f>
        <v> Free</v>
      </c>
      <c r="H350" s="31" t="str">
        <f>IFERROR(__xludf.DUMMYFUNCTION("if(len(A350) &gt; 0, JOIN(char(10), FILTER(SPLIT(A350, char(10)), split(""false false "" &amp; rept(""true "", columns(SPLIT(A350, char(10)))-3) &amp; ""false"", "" ""))), """")"),"All who enter this world know at the very least the basics of their chosen martial art as well as its various strengths and weaknesses. The more styles you choose to study, the longer it will take to incorporate them into a cohesive and usable whole. You "&amp;"may also choose any real­world martial art not listed here if you so desire. You will however remain a novice in your style unless you can somehow obtain a master or worthy sparring partner.
Ninjutsu­ A martial art believed to have once been practiced by "&amp;"the shinobi of Japan. This style is based primarily around precision, stealth and deception. Its users are particularly skilled at kneading their ki, allowing them to engage in maneuvers and techniques that to the untrained eye appear like magic. It is bo"&amp;"th an unarmed and armed martial art.")</f>
        <v>All who enter this world know at the very least the basics of their chosen martial art as well as its various strengths and weaknesses. The more styles you choose to study, the longer it will take to incorporate them into a cohesive and usable whole. You may also choose any real­world martial art not listed here if you so desire. You will however remain a novice in your style unless you can somehow obtain a master or worthy sparring partner.
Ninjutsu­ A martial art believed to have once been practiced by the shinobi of Japan. This style is based primarily around precision, stealth and deception. Its users are particularly skilled at kneading their ki, allowing them to engage in maneuvers and techniques that to the untrained eye appear like magic. It is both an unarmed and armed martial art.</v>
      </c>
    </row>
    <row r="351">
      <c r="A351" s="31" t="str">
        <f>IFERROR(__xludf.DUMMYFUNCTION("""COMPUTED_VALUE"""),"Chapter 48: 41 Drag Out - Preamble Chen
Master’s Body (History's Strongest Disciple: Kenichi) Free after 10 years:
You possess the body of a master. You are very near tireless, capable of fighting for days without sleep and only limited food. You never ru"&amp;"n out of breath, and will still be able to engage in vigorous physical activity even after extreme exercise. You now have access to a limitless logarithmic growth of your physical strength, durability, speed and agility.
Personal")</f>
        <v>Chapter 48: 41 Drag Out - Preamble Chen
Master’s Body (History's Strongest Disciple: Kenichi) Free after 10 years:
You possess the body of a master. You are very near tireless, capable of fighting for days without sleep and only limited food. You never run out of breath, and will still be able to engage in vigorous physical activity even after extreme exercise. You now have access to a limitless logarithmic growth of your physical strength, durability, speed and agility.
Personal</v>
      </c>
      <c r="B351" s="17">
        <f>IFERROR(__xludf.DUMMYFUNCTION("if(len(A351)&gt;0, value(REGEXEXTRACT(A351, ""Chapter ([0-9]*):"")), """")"),48.0)</f>
        <v>48</v>
      </c>
      <c r="C351" s="31" t="str">
        <f>IFERROR(__xludf.DUMMYFUNCTION("if(len(A351) &gt;0, REGEXEXTRACT(A351, ""Chapter [0-9]*: (.*)""), """")"),"41 Drag Out - Preamble Chen")</f>
        <v>41 Drag Out - Preamble Chen</v>
      </c>
      <c r="D351" s="31" t="str">
        <f>IFERROR(__xludf.DUMMYFUNCTION("if(len(A351)&gt;0, REGEXEXTRACT(A351, ""\n[^\(]*""), """")"),"
Master’s Body ")</f>
        <v>
Master’s Body </v>
      </c>
      <c r="E351" s="17" t="str">
        <f>IFERROR(__xludf.DUMMYFUNCTION("if(len(A351)&gt;0, REGEXEXTRACT(A351, ""\n([^\n]*)$""), """")"),"Personal")</f>
        <v>Personal</v>
      </c>
      <c r="F351" s="17" t="str">
        <f>IFERROR(__xludf.DUMMYFUNCTION("if(len(A351)&gt;0, REGEXEXTRACT(A351, ""\(([^\)]*)\)""), """")"),"History's Strongest Disciple: Kenichi")</f>
        <v>History's Strongest Disciple: Kenichi</v>
      </c>
      <c r="G351" s="17" t="str">
        <f>IFERROR(__xludf.DUMMYFUNCTION("if(len(A351)&gt;0, REGEXEXTRACT(A351, ""\)([^:]*):""), """")")," Free after 10 years")</f>
        <v> Free after 10 years</v>
      </c>
      <c r="H351" s="31" t="str">
        <f>IFERROR(__xludf.DUMMYFUNCTION("if(len(A351) &gt; 0, JOIN(char(10), FILTER(SPLIT(A351, char(10)), split(""false false "" &amp; rept(""true "", columns(SPLIT(A351, char(10)))-3) &amp; ""false"", "" ""))), """")"),"You possess the body of a master. You are very near tireless, capable of fighting for days without sleep and only limited food. You never run out of breath, and will still be able to engage in vigorous physical activity even after extreme exercise. You no"&amp;"w have access to a limitless logarithmic growth of your physical strength, durability, speed and agility.")</f>
        <v>You possess the body of a master. You are very near tireless, capable of fighting for days without sleep and only limited food. You never run out of breath, and will still be able to engage in vigorous physical activity even after extreme exercise. You now have access to a limitless logarithmic growth of your physical strength, durability, speed and agility.</v>
      </c>
    </row>
    <row r="352">
      <c r="A352" s="31" t="str">
        <f>IFERROR(__xludf.DUMMYFUNCTION("""COMPUTED_VALUE"""),"Chapter 48: 41 Drag Out - Preamble Chen
Prismatic Laboratory (Fallen London) 400:
The principle of acute observation is light! And to that end, you have fashioned a workspace of lenses, liquids, critters and crystals to focus upon recreating a spectrum of"&amp;" lights fantastic. Ah, the impossible palette: those colours only seen in the Neath! You may not always produce something like it, but you will produce their inks and lenses in time.
Facility")</f>
        <v>Chapter 48: 41 Drag Out - Preamble Chen
Prismatic Laboratory (Fallen London) 400:
The principle of acute observation is light! And to that end, you have fashioned a workspace of lenses, liquids, critters and crystals to focus upon recreating a spectrum of lights fantastic. Ah, the impossible palette: those colours only seen in the Neath! You may not always produce something like it, but you will produce their inks and lenses in time.
Facility</v>
      </c>
      <c r="B352" s="17">
        <f>IFERROR(__xludf.DUMMYFUNCTION("if(len(A352)&gt;0, value(REGEXEXTRACT(A352, ""Chapter ([0-9]*):"")), """")"),48.0)</f>
        <v>48</v>
      </c>
      <c r="C352" s="31" t="str">
        <f>IFERROR(__xludf.DUMMYFUNCTION("if(len(A352) &gt;0, REGEXEXTRACT(A352, ""Chapter [0-9]*: (.*)""), """")"),"41 Drag Out - Preamble Chen")</f>
        <v>41 Drag Out - Preamble Chen</v>
      </c>
      <c r="D352" s="31" t="str">
        <f>IFERROR(__xludf.DUMMYFUNCTION("if(len(A352)&gt;0, REGEXEXTRACT(A352, ""\n[^\(]*""), """")"),"
Prismatic Laboratory ")</f>
        <v>
Prismatic Laboratory </v>
      </c>
      <c r="E352" s="17" t="str">
        <f>IFERROR(__xludf.DUMMYFUNCTION("if(len(A352)&gt;0, REGEXEXTRACT(A352, ""\n([^\n]*)$""), """")"),"Facility")</f>
        <v>Facility</v>
      </c>
      <c r="F352" s="17" t="str">
        <f>IFERROR(__xludf.DUMMYFUNCTION("if(len(A352)&gt;0, REGEXEXTRACT(A352, ""\(([^\)]*)\)""), """")"),"Fallen London")</f>
        <v>Fallen London</v>
      </c>
      <c r="G352" s="17" t="str">
        <f>IFERROR(__xludf.DUMMYFUNCTION("if(len(A352)&gt;0, REGEXEXTRACT(A352, ""\)([^:]*):""), """")")," 400")</f>
        <v> 400</v>
      </c>
      <c r="H352" s="31" t="str">
        <f>IFERROR(__xludf.DUMMYFUNCTION("if(len(A352) &gt; 0, JOIN(char(10), FILTER(SPLIT(A352, char(10)), split(""false false "" &amp; rept(""true "", columns(SPLIT(A352, char(10)))-3) &amp; ""false"", "" ""))), """")"),"The principle of acute observation is light! And to that end, you have fashioned a workspace of lenses, liquids, critters and crystals to focus upon recreating a spectrum of lights fantastic. Ah, the impossible palette: those colours only seen in the Neat"&amp;"h! You may not always produce something like it, but you will produce their inks and lenses in time.")</f>
        <v>The principle of acute observation is light! And to that end, you have fashioned a workspace of lenses, liquids, critters and crystals to focus upon recreating a spectrum of lights fantastic. Ah, the impossible palette: those colours only seen in the Neath! You may not always produce something like it, but you will produce their inks and lenses in time.</v>
      </c>
    </row>
    <row r="353">
      <c r="A353" s="31" t="str">
        <f>IFERROR(__xludf.DUMMYFUNCTION("""COMPUTED_VALUE"""),"Chapter 48: 41 Drag Out - Preamble Chen
Questionably Practical Weapon (Tales of Symphonia) Free:
You're fighting with that? Really? And merchants will sell you more and more deadly upgrades? If you want this can be a well crafted mundane weapon instead.
I"&amp;"tem")</f>
        <v>Chapter 48: 41 Drag Out - Preamble Chen
Questionably Practical Weapon (Tales of Symphonia) Free:
You're fighting with that? Really? And merchants will sell you more and more deadly upgrades? If you want this can be a well crafted mundane weapon instead.
Item</v>
      </c>
      <c r="B353" s="17">
        <f>IFERROR(__xludf.DUMMYFUNCTION("if(len(A353)&gt;0, value(REGEXEXTRACT(A353, ""Chapter ([0-9]*):"")), """")"),48.0)</f>
        <v>48</v>
      </c>
      <c r="C353" s="31" t="str">
        <f>IFERROR(__xludf.DUMMYFUNCTION("if(len(A353) &gt;0, REGEXEXTRACT(A353, ""Chapter [0-9]*: (.*)""), """")"),"41 Drag Out - Preamble Chen")</f>
        <v>41 Drag Out - Preamble Chen</v>
      </c>
      <c r="D353" s="31" t="str">
        <f>IFERROR(__xludf.DUMMYFUNCTION("if(len(A353)&gt;0, REGEXEXTRACT(A353, ""\n[^\(]*""), """")"),"
Questionably Practical Weapon ")</f>
        <v>
Questionably Practical Weapon </v>
      </c>
      <c r="E353" s="17" t="str">
        <f>IFERROR(__xludf.DUMMYFUNCTION("if(len(A353)&gt;0, REGEXEXTRACT(A353, ""\n([^\n]*)$""), """")"),"Item")</f>
        <v>Item</v>
      </c>
      <c r="F353" s="17" t="str">
        <f>IFERROR(__xludf.DUMMYFUNCTION("if(len(A353)&gt;0, REGEXEXTRACT(A353, ""\(([^\)]*)\)""), """")"),"Tales of Symphonia")</f>
        <v>Tales of Symphonia</v>
      </c>
      <c r="G353" s="17" t="str">
        <f>IFERROR(__xludf.DUMMYFUNCTION("if(len(A353)&gt;0, REGEXEXTRACT(A353, ""\)([^:]*):""), """")")," Free")</f>
        <v> Free</v>
      </c>
      <c r="H353" s="31" t="str">
        <f>IFERROR(__xludf.DUMMYFUNCTION("if(len(A353) &gt; 0, JOIN(char(10), FILTER(SPLIT(A353, char(10)), split(""false false "" &amp; rept(""true "", columns(SPLIT(A353, char(10)))-3) &amp; ""false"", "" ""))), """")"),"You're fighting with that? Really? And merchants will sell you more and more deadly upgrades? If you want this can be a well crafted mundane weapon instead.")</f>
        <v>You're fighting with that? Really? And merchants will sell you more and more deadly upgrades? If you want this can be a well crafted mundane weapon instead.</v>
      </c>
    </row>
    <row r="354">
      <c r="A354" s="31" t="str">
        <f>IFERROR(__xludf.DUMMYFUNCTION("""COMPUTED_VALUE"""),"Chapter 48: 41 Drag Out - Preamble Chen
Sea Snail Shells (Splatoon) 300:
You have a small breeding population of around 10 Super Sea Snails, large snails with crystalline, conical shells. The snails are hermaphroditic but and they live for around 15 years"&amp;". They're more than they seem, though they provide an invaluable service- Their shells can be used to imbue hats, shirts, and pairs of shoes with extra Ability Slots, or reroll the abilities of a clothing item with 3 full slots. This kills the Sea Snail, "&amp;"but if you're careful to keep up the population then eventually you might have an entire wardrobe of 3-slot clothing. Also, they're delicious when cooked right.
Entity")</f>
        <v>Chapter 48: 41 Drag Out - Preamble Chen
Sea Snail Shells (Splatoon) 300:
You have a small breeding population of around 10 Super Sea Snails, large snails with crystalline, conical shells. The snails are hermaphroditic but and they live for around 15 years. They're more than they seem, though they provide an invaluable service- Their shells can be used to imbue hats, shirts, and pairs of shoes with extra Ability Slots, or reroll the abilities of a clothing item with 3 full slots. This kills the Sea Snail, but if you're careful to keep up the population then eventually you might have an entire wardrobe of 3-slot clothing. Also, they're delicious when cooked right.
Entity</v>
      </c>
      <c r="B354" s="17">
        <f>IFERROR(__xludf.DUMMYFUNCTION("if(len(A354)&gt;0, value(REGEXEXTRACT(A354, ""Chapter ([0-9]*):"")), """")"),48.0)</f>
        <v>48</v>
      </c>
      <c r="C354" s="31" t="str">
        <f>IFERROR(__xludf.DUMMYFUNCTION("if(len(A354) &gt;0, REGEXEXTRACT(A354, ""Chapter [0-9]*: (.*)""), """")"),"41 Drag Out - Preamble Chen")</f>
        <v>41 Drag Out - Preamble Chen</v>
      </c>
      <c r="D354" s="31" t="str">
        <f>IFERROR(__xludf.DUMMYFUNCTION("if(len(A354)&gt;0, REGEXEXTRACT(A354, ""\n[^\(]*""), """")"),"
Sea Snail Shells ")</f>
        <v>
Sea Snail Shells </v>
      </c>
      <c r="E354" s="17" t="str">
        <f>IFERROR(__xludf.DUMMYFUNCTION("if(len(A354)&gt;0, REGEXEXTRACT(A354, ""\n([^\n]*)$""), """")"),"Entity")</f>
        <v>Entity</v>
      </c>
      <c r="F354" s="17" t="str">
        <f>IFERROR(__xludf.DUMMYFUNCTION("if(len(A354)&gt;0, REGEXEXTRACT(A354, ""\(([^\)]*)\)""), """")"),"Splatoon")</f>
        <v>Splatoon</v>
      </c>
      <c r="G354" s="17" t="str">
        <f>IFERROR(__xludf.DUMMYFUNCTION("if(len(A354)&gt;0, REGEXEXTRACT(A354, ""\)([^:]*):""), """")")," 300")</f>
        <v> 300</v>
      </c>
      <c r="H354" s="31" t="str">
        <f>IFERROR(__xludf.DUMMYFUNCTION("if(len(A354) &gt; 0, JOIN(char(10), FILTER(SPLIT(A354, char(10)), split(""false false "" &amp; rept(""true "", columns(SPLIT(A354, char(10)))-3) &amp; ""false"", "" ""))), """")"),"You have a small breeding population of around 10 Super Sea Snails, large snails with crystalline, conical shells. The snails are hermaphroditic but and they live for around 15 years. They're more than they seem, though they provide an invaluable service-"&amp;" Their shells can be used to imbue hats, shirts, and pairs of shoes with extra Ability Slots, or reroll the abilities of a clothing item with 3 full slots. This kills the Sea Snail, but if you're careful to keep up the population then eventually you might"&amp;" have an entire wardrobe of 3-slot clothing. Also, they're delicious when cooked right.")</f>
        <v>You have a small breeding population of around 10 Super Sea Snails, large snails with crystalline, conical shells. The snails are hermaphroditic but and they live for around 15 years. They're more than they seem, though they provide an invaluable service- Their shells can be used to imbue hats, shirts, and pairs of shoes with extra Ability Slots, or reroll the abilities of a clothing item with 3 full slots. This kills the Sea Snail, but if you're careful to keep up the population then eventually you might have an entire wardrobe of 3-slot clothing. Also, they're delicious when cooked right.</v>
      </c>
    </row>
    <row r="355">
      <c r="A355" s="31" t="str">
        <f>IFERROR(__xludf.DUMMYFUNCTION("""COMPUTED_VALUE"""),"Chapter 48: 41 Drag Out - Preamble Chen
Secret of Steel (History's Strongest Disciple: Kenichi) 400:
An illustrated guide created by the greatest master of weapons the world has ever known. It keenly details the techniques, methods and set­up required to "&amp;"create weapons using traditional Japanese techniques. This text goes beyond that however, and if the directions are followed perfectly it can be used to forge weapons, armor, and tools that are far better than anything that could possibly be made even wit"&amp;"h the most advanced metallurgic technology. Objects created—while still composed of steel—will be significantly stronger than steel and can withstand blows from a Martial Arts Master. Blades made using these techniques will be preternaturally sharp, able "&amp;"to cut through stone, steel and perhaps even more with proper strength and training. Such bladed weapons will almost never lose their edge and require virtually no maintenance. Armor made using these techniques is nearly indestructible and will never rust"&amp;" or corrode. Normal tools will work with such efficiency that even primitive tools can accomplish feats of scale equivalent to highly advanced modern technology. For example, a scythe made with these techniques could harvest an entire field in the same am"&amp;"ount of time as a combine harvester or a simple hoe could do the work of a tractor­towed plough.
System, Item")</f>
        <v>Chapter 48: 41 Drag Out - Preamble Chen
Secret of Steel (History's Strongest Disciple: Kenichi) 400:
An illustrated guide created by the greatest master of weapons the world has ever known. It keenly details the techniques, methods and set­up required to create weapons using traditional Japanese techniques. This text goes beyond that however, and if the directions are followed perfectly it can be used to forge weapons, armor, and tools that are far better than anything that could possibly be made even with the most advanced metallurgic technology. Objects created—while still composed of steel—will be significantly stronger than steel and can withstand blows from a Martial Arts Master. Blades made using these techniques will be preternaturally sharp, able to cut through stone, steel and perhaps even more with proper strength and training. Such bladed weapons will almost never lose their edge and require virtually no maintenance. Armor made using these techniques is nearly indestructible and will never rust or corrode. Normal tools will work with such efficiency that even primitive tools can accomplish feats of scale equivalent to highly advanced modern technology. For example, a scythe made with these techniques could harvest an entire field in the same amount of time as a combine harvester or a simple hoe could do the work of a tractor­towed plough.
System, Item</v>
      </c>
      <c r="B355" s="17">
        <f>IFERROR(__xludf.DUMMYFUNCTION("if(len(A355)&gt;0, value(REGEXEXTRACT(A355, ""Chapter ([0-9]*):"")), """")"),48.0)</f>
        <v>48</v>
      </c>
      <c r="C355" s="31" t="str">
        <f>IFERROR(__xludf.DUMMYFUNCTION("if(len(A355) &gt;0, REGEXEXTRACT(A355, ""Chapter [0-9]*: (.*)""), """")"),"41 Drag Out - Preamble Chen")</f>
        <v>41 Drag Out - Preamble Chen</v>
      </c>
      <c r="D355" s="31" t="str">
        <f>IFERROR(__xludf.DUMMYFUNCTION("if(len(A355)&gt;0, REGEXEXTRACT(A355, ""\n[^\(]*""), """")"),"
Secret of Steel ")</f>
        <v>
Secret of Steel </v>
      </c>
      <c r="E355" s="17" t="str">
        <f>IFERROR(__xludf.DUMMYFUNCTION("if(len(A355)&gt;0, REGEXEXTRACT(A355, ""\n([^\n]*)$""), """")"),"System, Item")</f>
        <v>System, Item</v>
      </c>
      <c r="F355" s="17" t="str">
        <f>IFERROR(__xludf.DUMMYFUNCTION("if(len(A355)&gt;0, REGEXEXTRACT(A355, ""\(([^\)]*)\)""), """")"),"History's Strongest Disciple: Kenichi")</f>
        <v>History's Strongest Disciple: Kenichi</v>
      </c>
      <c r="G355" s="17" t="str">
        <f>IFERROR(__xludf.DUMMYFUNCTION("if(len(A355)&gt;0, REGEXEXTRACT(A355, ""\)([^:]*):""), """")")," 400")</f>
        <v> 400</v>
      </c>
      <c r="H355" s="31" t="str">
        <f>IFERROR(__xludf.DUMMYFUNCTION("if(len(A355) &gt; 0, JOIN(char(10), FILTER(SPLIT(A355, char(10)), split(""false false "" &amp; rept(""true "", columns(SPLIT(A355, char(10)))-3) &amp; ""false"", "" ""))), """")"),"An illustrated guide created by the greatest master of weapons the world has ever known. It keenly details the techniques, methods and set­up required to create weapons using traditional Japanese techniques. This text goes beyond that however, and if the "&amp;"directions are followed perfectly it can be used to forge weapons, armor, and tools that are far better than anything that could possibly be made even with the most advanced metallurgic technology. Objects created—while still composed of steel—will be sig"&amp;"nificantly stronger than steel and can withstand blows from a Martial Arts Master. Blades made using these techniques will be preternaturally sharp, able to cut through stone, steel and perhaps even more with proper strength and training. Such bladed weap"&amp;"ons will almost never lose their edge and require virtually no maintenance. Armor made using these techniques is nearly indestructible and will never rust or corrode. Normal tools will work with such efficiency that even primitive tools can accomplish fea"&amp;"ts of scale equivalent to highly advanced modern technology. For example, a scythe made with these techniques could harvest an entire field in the same amount of time as a combine harvester or a simple hoe could do the work of a tractor­towed plough.")</f>
        <v>An illustrated guide created by the greatest master of weapons the world has ever known. It keenly details the techniques, methods and set­up required to create weapons using traditional Japanese techniques. This text goes beyond that however, and if the directions are followed perfectly it can be used to forge weapons, armor, and tools that are far better than anything that could possibly be made even with the most advanced metallurgic technology. Objects created—while still composed of steel—will be significantly stronger than steel and can withstand blows from a Martial Arts Master. Blades made using these techniques will be preternaturally sharp, able to cut through stone, steel and perhaps even more with proper strength and training. Such bladed weapons will almost never lose their edge and require virtually no maintenance. Armor made using these techniques is nearly indestructible and will never rust or corrode. Normal tools will work with such efficiency that even primitive tools can accomplish feats of scale equivalent to highly advanced modern technology. For example, a scythe made with these techniques could harvest an entire field in the same amount of time as a combine harvester or a simple hoe could do the work of a tractor­towed plough.</v>
      </c>
    </row>
    <row r="356">
      <c r="A356" s="31" t="str">
        <f>IFERROR(__xludf.DUMMYFUNCTION("""COMPUTED_VALUE"""),"Chapter 48: 41 Drag Out - Preamble Chen
Sei Ki (History's Strongest Disciple: Kenichi) Free:
Ki is the life force, energy or breath that flows through all living things. Martial artists harness their Ki to perform amazing feats of strength and abilities, "&amp;"with master's able to channel their Ki into effects that are truly superhuman.
Those who utilize Sei Ki seek to focus their Ki inwards. In battle this results in an inner calm and centeredness that lends itself well to thoughtful action and awareness of s"&amp;"urroundings. Those who have Sei Ki will be able to master techniques that do not rely on power or anger but on wits, talent and skill. Sei users will be more likely to come up with new inventive solutions in combat and will frequently have moments of insi"&amp;"ght that may turn an unwinnable battle in their favor.
Skill")</f>
        <v>Chapter 48: 41 Drag Out - Preamble Chen
Sei Ki (History's Strongest Disciple: Kenichi) Free:
Ki is the life force, energy or breath that flows through all living things. Martial artists harness their Ki to perform amazing feats of strength and abilities, with master's able to channel their Ki into effects that are truly superhuman.
Those who utilize Sei Ki seek to focus their Ki inwards. In battle this results in an inner calm and centeredness that lends itself well to thoughtful action and awareness of surroundings. Those who have Sei Ki will be able to master techniques that do not rely on power or anger but on wits, talent and skill. Sei users will be more likely to come up with new inventive solutions in combat and will frequently have moments of insight that may turn an unwinnable battle in their favor.
Skill</v>
      </c>
      <c r="B356" s="17">
        <f>IFERROR(__xludf.DUMMYFUNCTION("if(len(A356)&gt;0, value(REGEXEXTRACT(A356, ""Chapter ([0-9]*):"")), """")"),48.0)</f>
        <v>48</v>
      </c>
      <c r="C356" s="31" t="str">
        <f>IFERROR(__xludf.DUMMYFUNCTION("if(len(A356) &gt;0, REGEXEXTRACT(A356, ""Chapter [0-9]*: (.*)""), """")"),"41 Drag Out - Preamble Chen")</f>
        <v>41 Drag Out - Preamble Chen</v>
      </c>
      <c r="D356" s="31" t="str">
        <f>IFERROR(__xludf.DUMMYFUNCTION("if(len(A356)&gt;0, REGEXEXTRACT(A356, ""\n[^\(]*""), """")"),"
Sei Ki ")</f>
        <v>
Sei Ki </v>
      </c>
      <c r="E356" s="17" t="str">
        <f>IFERROR(__xludf.DUMMYFUNCTION("if(len(A356)&gt;0, REGEXEXTRACT(A356, ""\n([^\n]*)$""), """")"),"Skill")</f>
        <v>Skill</v>
      </c>
      <c r="F356" s="17" t="str">
        <f>IFERROR(__xludf.DUMMYFUNCTION("if(len(A356)&gt;0, REGEXEXTRACT(A356, ""\(([^\)]*)\)""), """")"),"History's Strongest Disciple: Kenichi")</f>
        <v>History's Strongest Disciple: Kenichi</v>
      </c>
      <c r="G356" s="17" t="str">
        <f>IFERROR(__xludf.DUMMYFUNCTION("if(len(A356)&gt;0, REGEXEXTRACT(A356, ""\)([^:]*):""), """")")," Free")</f>
        <v> Free</v>
      </c>
      <c r="H356" s="31" t="str">
        <f>IFERROR(__xludf.DUMMYFUNCTION("if(len(A356) &gt; 0, JOIN(char(10), FILTER(SPLIT(A356, char(10)), split(""false false "" &amp; rept(""true "", columns(SPLIT(A356, char(10)))-3) &amp; ""false"", "" ""))), """")"),"Ki is the life force, energy or breath that flows through all living things. Martial artists harness their Ki to perform amazing feats of strength and abilities, with master's able to channel their Ki into effects that are truly superhuman.
Those who util"&amp;"ize Sei Ki seek to focus their Ki inwards. In battle this results in an inner calm and centeredness that lends itself well to thoughtful action and awareness of surroundings. Those who have Sei Ki will be able to master techniques that do not rely on powe"&amp;"r or anger but on wits, talent and skill. Sei users will be more likely to come up with new inventive solutions in combat and will frequently have moments of insight that may turn an unwinnable battle in their favor.")</f>
        <v>Ki is the life force, energy or breath that flows through all living things. Martial artists harness their Ki to perform amazing feats of strength and abilities, with master's able to channel their Ki into effects that are truly superhuman.
Those who utilize Sei Ki seek to focus their Ki inwards. In battle this results in an inner calm and centeredness that lends itself well to thoughtful action and awareness of surroundings. Those who have Sei Ki will be able to master techniques that do not rely on power or anger but on wits, talent and skill. Sei users will be more likely to come up with new inventive solutions in combat and will frequently have moments of insight that may turn an unwinnable battle in their favor.</v>
      </c>
    </row>
    <row r="357">
      <c r="A357" s="31" t="str">
        <f>IFERROR(__xludf.DUMMYFUNCTION("""COMPUTED_VALUE"""),"Chapter 48: 41 Drag Out - Preamble Chen
St Andrew’s Candle (Fallen London) Free:
That candle you had so long ago. It feels heavier now, perhaps it has fed upon your sins, perhaps it too has changed as you have. St Andrew’s Candle no longer burns low, for "&amp;"indeed it resists all attempts to extinguish it. But in the case of your sudden and fatal injury, it flares in brilliant ignition, granting you ten more minutes of life and action as it burns itself down from wick to stub. It will not heal your injuries, "&amp;"but it will prevent new ones from forming. Should you survive and reverse your fatality, the candle will not and will only renew itself at the beginning of a new jump or after ten years post-spark. The light it gives is a true Neathy light, a reminder of "&amp;"your time in the Fifth City.
Item")</f>
        <v>Chapter 48: 41 Drag Out - Preamble Chen
St Andrew’s Candle (Fallen London) Free:
That candle you had so long ago. It feels heavier now, perhaps it has fed upon your sins, perhaps it too has changed as you have. St Andrew’s Candle no longer burns low, for indeed it resists all attempts to extinguish it. But in the case of your sudden and fatal injury, it flares in brilliant ignition, granting you ten more minutes of life and action as it burns itself down from wick to stub. It will not heal your injuries, but it will prevent new ones from forming. Should you survive and reverse your fatality, the candle will not and will only renew itself at the beginning of a new jump or after ten years post-spark. The light it gives is a true Neathy light, a reminder of your time in the Fifth City.
Item</v>
      </c>
      <c r="B357" s="17">
        <f>IFERROR(__xludf.DUMMYFUNCTION("if(len(A357)&gt;0, value(REGEXEXTRACT(A357, ""Chapter ([0-9]*):"")), """")"),48.0)</f>
        <v>48</v>
      </c>
      <c r="C357" s="31" t="str">
        <f>IFERROR(__xludf.DUMMYFUNCTION("if(len(A357) &gt;0, REGEXEXTRACT(A357, ""Chapter [0-9]*: (.*)""), """")"),"41 Drag Out - Preamble Chen")</f>
        <v>41 Drag Out - Preamble Chen</v>
      </c>
      <c r="D357" s="31" t="str">
        <f>IFERROR(__xludf.DUMMYFUNCTION("if(len(A357)&gt;0, REGEXEXTRACT(A357, ""\n[^\(]*""), """")"),"
St Andrew’s Candle ")</f>
        <v>
St Andrew’s Candle </v>
      </c>
      <c r="E357" s="17" t="str">
        <f>IFERROR(__xludf.DUMMYFUNCTION("if(len(A357)&gt;0, REGEXEXTRACT(A357, ""\n([^\n]*)$""), """")"),"Item")</f>
        <v>Item</v>
      </c>
      <c r="F357" s="17" t="str">
        <f>IFERROR(__xludf.DUMMYFUNCTION("if(len(A357)&gt;0, REGEXEXTRACT(A357, ""\(([^\)]*)\)""), """")"),"Fallen London")</f>
        <v>Fallen London</v>
      </c>
      <c r="G357" s="17" t="str">
        <f>IFERROR(__xludf.DUMMYFUNCTION("if(len(A357)&gt;0, REGEXEXTRACT(A357, ""\)([^:]*):""), """")")," Free")</f>
        <v> Free</v>
      </c>
      <c r="H357" s="31" t="str">
        <f>IFERROR(__xludf.DUMMYFUNCTION("if(len(A357) &gt; 0, JOIN(char(10), FILTER(SPLIT(A357, char(10)), split(""false false "" &amp; rept(""true "", columns(SPLIT(A357, char(10)))-3) &amp; ""false"", "" ""))), """")"),"That candle you had so long ago. It feels heavier now, perhaps it has fed upon your sins, perhaps it too has changed as you have. St Andrew’s Candle no longer burns low, for indeed it resists all attempts to extinguish it. But in the case of your sudden a"&amp;"nd fatal injury, it flares in brilliant ignition, granting you ten more minutes of life and action as it burns itself down from wick to stub. It will not heal your injuries, but it will prevent new ones from forming. Should you survive and reverse your fa"&amp;"tality, the candle will not and will only renew itself at the beginning of a new jump or after ten years post-spark. The light it gives is a true Neathy light, a reminder of your time in the Fifth City.")</f>
        <v>That candle you had so long ago. It feels heavier now, perhaps it has fed upon your sins, perhaps it too has changed as you have. St Andrew’s Candle no longer burns low, for indeed it resists all attempts to extinguish it. But in the case of your sudden and fatal injury, it flares in brilliant ignition, granting you ten more minutes of life and action as it burns itself down from wick to stub. It will not heal your injuries, but it will prevent new ones from forming. Should you survive and reverse your fatality, the candle will not and will only renew itself at the beginning of a new jump or after ten years post-spark. The light it gives is a true Neathy light, a reminder of your time in the Fifth City.</v>
      </c>
    </row>
    <row r="358">
      <c r="A358" s="31" t="str">
        <f>IFERROR(__xludf.DUMMYFUNCTION("""COMPUTED_VALUE"""),"Chapter 48: 41 Drag Out - Preamble Chen
That Undefinable Thing (Tales of Symphonia) 300:
Even if you can't describe it, you can still manipulate it. You can now make physical tools and containers for souls, as well as gaining the knowledge of how to use t"&amp;"he soul as a power source for magic, machinery, and living bodies. Given proper resources (raw souls), you can create Exspheres and Key Crests­ which can then power the things mentioned in your place.
Anything powered by their user’s soul is known intimat"&amp;"ely to them, inhabited by the soul the same way a body is inhabited by a soul. It becomes in all ways an extension of the self, for good or ill. While the soul is infinite, it can be diminished and grown. Take care. 
System")</f>
        <v>Chapter 48: 41 Drag Out - Preamble Chen
That Undefinable Thing (Tales of Symphonia) 300:
Even if you can't describe it, you can still manipulate it. You can now make physical tools and containers for souls, as well as gaining the knowledge of how to use the soul as a power source for magic, machinery, and living bodies. Given proper resources (raw souls), you can create Exspheres and Key Crests­ which can then power the things mentioned in your place.
Anything powered by their user’s soul is known intimately to them, inhabited by the soul the same way a body is inhabited by a soul. It becomes in all ways an extension of the self, for good or ill. While the soul is infinite, it can be diminished and grown. Take care. 
System</v>
      </c>
      <c r="B358" s="17">
        <f>IFERROR(__xludf.DUMMYFUNCTION("if(len(A358)&gt;0, value(REGEXEXTRACT(A358, ""Chapter ([0-9]*):"")), """")"),48.0)</f>
        <v>48</v>
      </c>
      <c r="C358" s="31" t="str">
        <f>IFERROR(__xludf.DUMMYFUNCTION("if(len(A358) &gt;0, REGEXEXTRACT(A358, ""Chapter [0-9]*: (.*)""), """")"),"41 Drag Out - Preamble Chen")</f>
        <v>41 Drag Out - Preamble Chen</v>
      </c>
      <c r="D358" s="31" t="str">
        <f>IFERROR(__xludf.DUMMYFUNCTION("if(len(A358)&gt;0, REGEXEXTRACT(A358, ""\n[^\(]*""), """")"),"
That Undefinable Thing ")</f>
        <v>
That Undefinable Thing </v>
      </c>
      <c r="E358" s="17" t="str">
        <f>IFERROR(__xludf.DUMMYFUNCTION("if(len(A358)&gt;0, REGEXEXTRACT(A358, ""\n([^\n]*)$""), """")"),"System")</f>
        <v>System</v>
      </c>
      <c r="F358" s="17" t="str">
        <f>IFERROR(__xludf.DUMMYFUNCTION("if(len(A358)&gt;0, REGEXEXTRACT(A358, ""\(([^\)]*)\)""), """")"),"Tales of Symphonia")</f>
        <v>Tales of Symphonia</v>
      </c>
      <c r="G358" s="17" t="str">
        <f>IFERROR(__xludf.DUMMYFUNCTION("if(len(A358)&gt;0, REGEXEXTRACT(A358, ""\)([^:]*):""), """")")," 300")</f>
        <v> 300</v>
      </c>
      <c r="H358" s="31" t="str">
        <f>IFERROR(__xludf.DUMMYFUNCTION("if(len(A358) &gt; 0, JOIN(char(10), FILTER(SPLIT(A358, char(10)), split(""false false "" &amp; rept(""true "", columns(SPLIT(A358, char(10)))-3) &amp; ""false"", "" ""))), """")"),"Even if you can't describe it, you can still manipulate it. You can now make physical tools and containers for souls, as well as gaining the knowledge of how to use the soul as a power source for magic, machinery, and living bodies. Given proper resources"&amp;" (raw souls), you can create Exspheres and Key Crests­ which can then power the things mentioned in your place.
Anything powered by their user’s soul is known intimately to them, inhabited by the soul the same way a body is inhabited by a soul. It becomes"&amp;" in all ways an extension of the self, for good or ill. While the soul is infinite, it can be diminished and grown. Take care. ")</f>
        <v>Even if you can't describe it, you can still manipulate it. You can now make physical tools and containers for souls, as well as gaining the knowledge of how to use the soul as a power source for magic, machinery, and living bodies. Given proper resources (raw souls), you can create Exspheres and Key Crests­ which can then power the things mentioned in your place.
Anything powered by their user’s soul is known intimately to them, inhabited by the soul the same way a body is inhabited by a soul. It becomes in all ways an extension of the self, for good or ill. While the soul is infinite, it can be diminished and grown. Take care. </v>
      </c>
    </row>
    <row r="359">
      <c r="A359" s="31" t="str">
        <f>IFERROR(__xludf.DUMMYFUNCTION("""COMPUTED_VALUE"""),"Chapter 48: 41 Drag Out - Preamble Chen
Valuable Memories: Bigs (Big O) 300:
You have knowledge related to any particular concept-the construction of Megadei, the nature of memories, Bigs, or the creation of chimeras. Paradigm will have a vested interest "&amp;"in you, and will protect you and provide you with funds if you work for them.
System")</f>
        <v>Chapter 48: 41 Drag Out - Preamble Chen
Valuable Memories: Bigs (Big O) 300:
You have knowledge related to any particular concept-the construction of Megadei, the nature of memories, Bigs, or the creation of chimeras. Paradigm will have a vested interest in you, and will protect you and provide you with funds if you work for them.
System</v>
      </c>
      <c r="B359" s="17">
        <f>IFERROR(__xludf.DUMMYFUNCTION("if(len(A359)&gt;0, value(REGEXEXTRACT(A359, ""Chapter ([0-9]*):"")), """")"),48.0)</f>
        <v>48</v>
      </c>
      <c r="C359" s="31" t="str">
        <f>IFERROR(__xludf.DUMMYFUNCTION("if(len(A359) &gt;0, REGEXEXTRACT(A359, ""Chapter [0-9]*: (.*)""), """")"),"41 Drag Out - Preamble Chen")</f>
        <v>41 Drag Out - Preamble Chen</v>
      </c>
      <c r="D359" s="31" t="str">
        <f>IFERROR(__xludf.DUMMYFUNCTION("if(len(A359)&gt;0, REGEXEXTRACT(A359, ""\n[^\(]*""), """")"),"
Valuable Memories: Bigs ")</f>
        <v>
Valuable Memories: Bigs </v>
      </c>
      <c r="E359" s="17" t="str">
        <f>IFERROR(__xludf.DUMMYFUNCTION("if(len(A359)&gt;0, REGEXEXTRACT(A359, ""\n([^\n]*)$""), """")"),"System")</f>
        <v>System</v>
      </c>
      <c r="F359" s="17" t="str">
        <f>IFERROR(__xludf.DUMMYFUNCTION("if(len(A359)&gt;0, REGEXEXTRACT(A359, ""\(([^\)]*)\)""), """")"),"Big O")</f>
        <v>Big O</v>
      </c>
      <c r="G359" s="17" t="str">
        <f>IFERROR(__xludf.DUMMYFUNCTION("if(len(A359)&gt;0, REGEXEXTRACT(A359, ""\)([^:]*):""), """")")," 300")</f>
        <v> 300</v>
      </c>
      <c r="H359" s="31" t="str">
        <f>IFERROR(__xludf.DUMMYFUNCTION("if(len(A359) &gt; 0, JOIN(char(10), FILTER(SPLIT(A359, char(10)), split(""false false "" &amp; rept(""true "", columns(SPLIT(A359, char(10)))-3) &amp; ""false"", "" ""))), """")"),"You have knowledge related to any particular concept-the construction of Megadei, the nature of memories, Bigs, or the creation of chimeras. Paradigm will have a vested interest in you, and will protect you and provide you with funds if you work for them.")</f>
        <v>You have knowledge related to any particular concept-the construction of Megadei, the nature of memories, Bigs, or the creation of chimeras. Paradigm will have a vested interest in you, and will protect you and provide you with funds if you work for them.</v>
      </c>
    </row>
    <row r="360">
      <c r="A360" s="31" t="str">
        <f>IFERROR(__xludf.DUMMYFUNCTION("""COMPUTED_VALUE"""),"Chapter 48: 41 Drag Out - Preamble Chen
Weapons (History's Strongest Disciple: Kenichi) Free:
Martial artists who embark on the path of weapons will seek to master a physical implement to augment their fighting style. These tend to be much more lethal tha"&amp;"n unarmed fighters, but are at a disadvantage when disarmed or caught without their weapon. Whenever you fight with a weapon corresponding to your martial art, you will find that you consistently deal more damage and are more accurate with your strikes th"&amp;"an if you fought unarmed.
Skill")</f>
        <v>Chapter 48: 41 Drag Out - Preamble Chen
Weapons (History's Strongest Disciple: Kenichi) Free:
Martial artists who embark on the path of weapons will seek to master a physical implement to augment their fighting style. These tend to be much more lethal than unarmed fighters, but are at a disadvantage when disarmed or caught without their weapon. Whenever you fight with a weapon corresponding to your martial art, you will find that you consistently deal more damage and are more accurate with your strikes than if you fought unarmed.
Skill</v>
      </c>
      <c r="B360" s="17">
        <f>IFERROR(__xludf.DUMMYFUNCTION("if(len(A360)&gt;0, value(REGEXEXTRACT(A360, ""Chapter ([0-9]*):"")), """")"),48.0)</f>
        <v>48</v>
      </c>
      <c r="C360" s="31" t="str">
        <f>IFERROR(__xludf.DUMMYFUNCTION("if(len(A360) &gt;0, REGEXEXTRACT(A360, ""Chapter [0-9]*: (.*)""), """")"),"41 Drag Out - Preamble Chen")</f>
        <v>41 Drag Out - Preamble Chen</v>
      </c>
      <c r="D360" s="31" t="str">
        <f>IFERROR(__xludf.DUMMYFUNCTION("if(len(A360)&gt;0, REGEXEXTRACT(A360, ""\n[^\(]*""), """")"),"
Weapons ")</f>
        <v>
Weapons </v>
      </c>
      <c r="E360" s="17" t="str">
        <f>IFERROR(__xludf.DUMMYFUNCTION("if(len(A360)&gt;0, REGEXEXTRACT(A360, ""\n([^\n]*)$""), """")"),"Skill")</f>
        <v>Skill</v>
      </c>
      <c r="F360" s="17" t="str">
        <f>IFERROR(__xludf.DUMMYFUNCTION("if(len(A360)&gt;0, REGEXEXTRACT(A360, ""\(([^\)]*)\)""), """")"),"History's Strongest Disciple: Kenichi")</f>
        <v>History's Strongest Disciple: Kenichi</v>
      </c>
      <c r="G360" s="17" t="str">
        <f>IFERROR(__xludf.DUMMYFUNCTION("if(len(A360)&gt;0, REGEXEXTRACT(A360, ""\)([^:]*):""), """")")," Free")</f>
        <v> Free</v>
      </c>
      <c r="H360" s="31" t="str">
        <f>IFERROR(__xludf.DUMMYFUNCTION("if(len(A360) &gt; 0, JOIN(char(10), FILTER(SPLIT(A360, char(10)), split(""false false "" &amp; rept(""true "", columns(SPLIT(A360, char(10)))-3) &amp; ""false"", "" ""))), """")"),"Martial artists who embark on the path of weapons will seek to master a physical implement to augment their fighting style. These tend to be much more lethal than unarmed fighters, but are at a disadvantage when disarmed or caught without their weapon. Wh"&amp;"enever you fight with a weapon corresponding to your martial art, you will find that you consistently deal more damage and are more accurate with your strikes than if you fought unarmed.")</f>
        <v>Martial artists who embark on the path of weapons will seek to master a physical implement to augment their fighting style. These tend to be much more lethal than unarmed fighters, but are at a disadvantage when disarmed or caught without their weapon. Whenever you fight with a weapon corresponding to your martial art, you will find that you consistently deal more damage and are more accurate with your strikes than if you fought unarmed.</v>
      </c>
    </row>
    <row r="361">
      <c r="A361" s="31" t="str">
        <f>IFERROR(__xludf.DUMMYFUNCTION("""COMPUTED_VALUE"""),"Chapter 48: 41 Drag Out - Preamble Chen
Workshop: Woodworking (Personal Reality) 100:
Each purchase of this adds to your Personal Reality Workshop needed to perform specific type of craft, which is to be specified when purchase is made. It comes with a ba"&amp;"sic set of tools and supplies. Good for fixing or creating all sorts of things, although any complex parts or nonstandard supplies will have to be brought in from outside. Additional purchases can add different types of Workshops to your Personal Reality "&amp;"or expand existing ones. Anything built in one of those workshops is fiat backed to be restored to its original condition within 48 hours if damaged or destroyed. Repeatable
Facility")</f>
        <v>Chapter 48: 41 Drag Out - Preamble Chen
Workshop: Woodworking (Personal Reality) 100:
Each purchase of this adds to your Personal Reality Workshop needed to perform specific type of craft, which is to be specified when purchase is made. It comes with a basic set of tools and supplies. Good for fixing or creating all sorts of things, although any complex parts or nonstandard supplies will have to be brought in from outside. Additional purchases can add different types of Workshops to your Personal Reality or expand existing ones. Anything built in one of those workshops is fiat backed to be restored to its original condition within 48 hours if damaged or destroyed. Repeatable
Facility</v>
      </c>
      <c r="B361" s="17">
        <f>IFERROR(__xludf.DUMMYFUNCTION("if(len(A361)&gt;0, value(REGEXEXTRACT(A361, ""Chapter ([0-9]*):"")), """")"),48.0)</f>
        <v>48</v>
      </c>
      <c r="C361" s="31" t="str">
        <f>IFERROR(__xludf.DUMMYFUNCTION("if(len(A361) &gt;0, REGEXEXTRACT(A361, ""Chapter [0-9]*: (.*)""), """")"),"41 Drag Out - Preamble Chen")</f>
        <v>41 Drag Out - Preamble Chen</v>
      </c>
      <c r="D361" s="31" t="str">
        <f>IFERROR(__xludf.DUMMYFUNCTION("if(len(A361)&gt;0, REGEXEXTRACT(A361, ""\n[^\(]*""), """")"),"
Workshop: Woodworking ")</f>
        <v>
Workshop: Woodworking </v>
      </c>
      <c r="E361" s="17" t="str">
        <f>IFERROR(__xludf.DUMMYFUNCTION("if(len(A361)&gt;0, REGEXEXTRACT(A361, ""\n([^\n]*)$""), """")"),"Facility")</f>
        <v>Facility</v>
      </c>
      <c r="F361" s="17" t="str">
        <f>IFERROR(__xludf.DUMMYFUNCTION("if(len(A361)&gt;0, REGEXEXTRACT(A361, ""\(([^\)]*)\)""), """")"),"Personal Reality")</f>
        <v>Personal Reality</v>
      </c>
      <c r="G361" s="17" t="str">
        <f>IFERROR(__xludf.DUMMYFUNCTION("if(len(A361)&gt;0, REGEXEXTRACT(A361, ""\)([^:]*):""), """")")," 100")</f>
        <v> 100</v>
      </c>
      <c r="H361" s="31" t="str">
        <f>IFERROR(__xludf.DUMMYFUNCTION("if(len(A361) &gt; 0, JOIN(char(10), FILTER(SPLIT(A361, char(10)), split(""false false "" &amp; rept(""true "", columns(SPLIT(A361, char(10)))-3) &amp; ""false"", "" ""))), """")"),"Each purchase of this adds to your Personal Reality Workshop needed to perform specific type of craft, which is to be specified when purchase is made. It comes with a basic set of tools and supplies. Good for fixing or creating all sorts of things, althou"&amp;"gh any complex parts or nonstandard supplies will have to be brought in from outside. Additional purchases can add different types of Workshops to your Personal Reality or expand existing ones. Anything built in one of those workshops is fiat backed to be"&amp;" restored to its original condition within 48 hours if damaged or destroyed. Repeatable")</f>
        <v>Each purchase of this adds to your Personal Reality Workshop needed to perform specific type of craft, which is to be specified when purchase is made. It comes with a basic set of tools and supplies. Good for fixing or creating all sorts of things, although any complex parts or nonstandard supplies will have to be brought in from outside. Additional purchases can add different types of Workshops to your Personal Reality or expand existing ones. Anything built in one of those workshops is fiat backed to be restored to its original condition within 48 hours if damaged or destroyed. Repeatable</v>
      </c>
    </row>
    <row r="362">
      <c r="A362" s="31" t="str">
        <f>IFERROR(__xludf.DUMMYFUNCTION("""COMPUTED_VALUE"""),"Chapter 52: 42 Incapacitated - Preamble Jeanne
Defensive Sign “Directional Shield” (Strike Witches) Free:
All Strike Witches are trained to produce a 2 dimensional circle of energy a short distance directly in front of them which can deflect light attacks"&amp;". You cannot fire a weapon through a shield.
System, Ability")</f>
        <v>Chapter 52: 42 Incapacitated - Preamble Jeanne
Defensive Sign “Directional Shield” (Strike Witches) Free:
All Strike Witches are trained to produce a 2 dimensional circle of energy a short distance directly in front of them which can deflect light attacks. You cannot fire a weapon through a shield.
System, Ability</v>
      </c>
      <c r="B362" s="17">
        <f>IFERROR(__xludf.DUMMYFUNCTION("if(len(A362)&gt;0, value(REGEXEXTRACT(A362, ""Chapter ([0-9]*):"")), """")"),52.0)</f>
        <v>52</v>
      </c>
      <c r="C362" s="31" t="str">
        <f>IFERROR(__xludf.DUMMYFUNCTION("if(len(A362) &gt;0, REGEXEXTRACT(A362, ""Chapter [0-9]*: (.*)""), """")"),"42 Incapacitated - Preamble Jeanne")</f>
        <v>42 Incapacitated - Preamble Jeanne</v>
      </c>
      <c r="D362" s="31" t="str">
        <f>IFERROR(__xludf.DUMMYFUNCTION("if(len(A362)&gt;0, REGEXEXTRACT(A362, ""\n[^\(]*""), """")"),"
Defensive Sign “Directional Shield” ")</f>
        <v>
Defensive Sign “Directional Shield” </v>
      </c>
      <c r="E362" s="17" t="str">
        <f>IFERROR(__xludf.DUMMYFUNCTION("if(len(A362)&gt;0, REGEXEXTRACT(A362, ""\n([^\n]*)$""), """")"),"System, Ability")</f>
        <v>System, Ability</v>
      </c>
      <c r="F362" s="17" t="str">
        <f>IFERROR(__xludf.DUMMYFUNCTION("if(len(A362)&gt;0, REGEXEXTRACT(A362, ""\(([^\)]*)\)""), """")"),"Strike Witches")</f>
        <v>Strike Witches</v>
      </c>
      <c r="G362" s="17" t="str">
        <f>IFERROR(__xludf.DUMMYFUNCTION("if(len(A362)&gt;0, REGEXEXTRACT(A362, ""\)([^:]*):""), """")")," Free")</f>
        <v> Free</v>
      </c>
      <c r="H362" s="31" t="str">
        <f>IFERROR(__xludf.DUMMYFUNCTION("if(len(A362) &gt; 0, JOIN(char(10), FILTER(SPLIT(A362, char(10)), split(""false false "" &amp; rept(""true "", columns(SPLIT(A362, char(10)))-3) &amp; ""false"", "" ""))), """")"),"All Strike Witches are trained to produce a 2 dimensional circle of energy a short distance directly in front of them which can deflect light attacks. You cannot fire a weapon through a shield.")</f>
        <v>All Strike Witches are trained to produce a 2 dimensional circle of energy a short distance directly in front of them which can deflect light attacks. You cannot fire a weapon through a shield.</v>
      </c>
    </row>
    <row r="363">
      <c r="A363" s="31" t="str">
        <f>IFERROR(__xludf.DUMMYFUNCTION("""COMPUTED_VALUE"""),"Chapter 52: 42 Incapacitated - Preamble Jeanne
First Generation Striker (Strike Witches) Free:
A basic propeller driven Striker unit. Very agile but unable to break the speed barrier. Fighter
Vehicle")</f>
        <v>Chapter 52: 42 Incapacitated - Preamble Jeanne
First Generation Striker (Strike Witches) Free:
A basic propeller driven Striker unit. Very agile but unable to break the speed barrier. Fighter
Vehicle</v>
      </c>
      <c r="B363" s="17">
        <f>IFERROR(__xludf.DUMMYFUNCTION("if(len(A363)&gt;0, value(REGEXEXTRACT(A363, ""Chapter ([0-9]*):"")), """")"),52.0)</f>
        <v>52</v>
      </c>
      <c r="C363" s="31" t="str">
        <f>IFERROR(__xludf.DUMMYFUNCTION("if(len(A363) &gt;0, REGEXEXTRACT(A363, ""Chapter [0-9]*: (.*)""), """")"),"42 Incapacitated - Preamble Jeanne")</f>
        <v>42 Incapacitated - Preamble Jeanne</v>
      </c>
      <c r="D363" s="31" t="str">
        <f>IFERROR(__xludf.DUMMYFUNCTION("if(len(A363)&gt;0, REGEXEXTRACT(A363, ""\n[^\(]*""), """")"),"
First Generation Striker ")</f>
        <v>
First Generation Striker </v>
      </c>
      <c r="E363" s="17" t="str">
        <f>IFERROR(__xludf.DUMMYFUNCTION("if(len(A363)&gt;0, REGEXEXTRACT(A363, ""\n([^\n]*)$""), """")"),"Vehicle")</f>
        <v>Vehicle</v>
      </c>
      <c r="F363" s="17" t="str">
        <f>IFERROR(__xludf.DUMMYFUNCTION("if(len(A363)&gt;0, REGEXEXTRACT(A363, ""\(([^\)]*)\)""), """")"),"Strike Witches")</f>
        <v>Strike Witches</v>
      </c>
      <c r="G363" s="17" t="str">
        <f>IFERROR(__xludf.DUMMYFUNCTION("if(len(A363)&gt;0, REGEXEXTRACT(A363, ""\)([^:]*):""), """")")," Free")</f>
        <v> Free</v>
      </c>
      <c r="H363" s="31" t="str">
        <f>IFERROR(__xludf.DUMMYFUNCTION("if(len(A363) &gt; 0, JOIN(char(10), FILTER(SPLIT(A363, char(10)), split(""false false "" &amp; rept(""true "", columns(SPLIT(A363, char(10)))-3) &amp; ""false"", "" ""))), """")"),"A basic propeller driven Striker unit. Very agile but unable to break the speed barrier. Fighter")</f>
        <v>A basic propeller driven Striker unit. Very agile but unable to break the speed barrier. Fighter</v>
      </c>
    </row>
    <row r="364">
      <c r="A364" s="31" t="str">
        <f>IFERROR(__xludf.DUMMYFUNCTION("""COMPUTED_VALUE"""),"Chapter 52: 42 Incapacitated - Preamble Jeanne
Minor Blessing Hestia - Hearthfire (Percy Jackson) 100:
For one reason or another you've got a god who cares slightly about you and has seen fit to grant you some minor boon within their domains.
System")</f>
        <v>Chapter 52: 42 Incapacitated - Preamble Jeanne
Minor Blessing Hestia - Hearthfire (Percy Jackson) 100:
For one reason or another you've got a god who cares slightly about you and has seen fit to grant you some minor boon within their domains.
System</v>
      </c>
      <c r="B364" s="17">
        <f>IFERROR(__xludf.DUMMYFUNCTION("if(len(A364)&gt;0, value(REGEXEXTRACT(A364, ""Chapter ([0-9]*):"")), """")"),52.0)</f>
        <v>52</v>
      </c>
      <c r="C364" s="31" t="str">
        <f>IFERROR(__xludf.DUMMYFUNCTION("if(len(A364) &gt;0, REGEXEXTRACT(A364, ""Chapter [0-9]*: (.*)""), """")"),"42 Incapacitated - Preamble Jeanne")</f>
        <v>42 Incapacitated - Preamble Jeanne</v>
      </c>
      <c r="D364" s="31" t="str">
        <f>IFERROR(__xludf.DUMMYFUNCTION("if(len(A364)&gt;0, REGEXEXTRACT(A364, ""\n[^\(]*""), """")"),"
Minor Blessing Hestia - Hearthfire ")</f>
        <v>
Minor Blessing Hestia - Hearthfire </v>
      </c>
      <c r="E364" s="17" t="str">
        <f>IFERROR(__xludf.DUMMYFUNCTION("if(len(A364)&gt;0, REGEXEXTRACT(A364, ""\n([^\n]*)$""), """")"),"System")</f>
        <v>System</v>
      </c>
      <c r="F364" s="17" t="str">
        <f>IFERROR(__xludf.DUMMYFUNCTION("if(len(A364)&gt;0, REGEXEXTRACT(A364, ""\(([^\)]*)\)""), """")"),"Percy Jackson")</f>
        <v>Percy Jackson</v>
      </c>
      <c r="G364" s="17" t="str">
        <f>IFERROR(__xludf.DUMMYFUNCTION("if(len(A364)&gt;0, REGEXEXTRACT(A364, ""\)([^:]*):""), """")")," 100")</f>
        <v> 100</v>
      </c>
      <c r="H364" s="31" t="str">
        <f>IFERROR(__xludf.DUMMYFUNCTION("if(len(A364) &gt; 0, JOIN(char(10), FILTER(SPLIT(A364, char(10)), split(""false false "" &amp; rept(""true "", columns(SPLIT(A364, char(10)))-3) &amp; ""false"", "" ""))), """")"),"For one reason or another you've got a god who cares slightly about you and has seen fit to grant you some minor boon within their domains.")</f>
        <v>For one reason or another you've got a god who cares slightly about you and has seen fit to grant you some minor boon within their domains.</v>
      </c>
    </row>
    <row r="365">
      <c r="A365" s="31" t="str">
        <f>IFERROR(__xludf.DUMMYFUNCTION("""COMPUTED_VALUE"""),"Chapter 52: 42 Incapacitated - Preamble Jeanne
Striker Artificer Toolkit (Strike Witches) 100:
Professional Quality Toolkit for sale. Never used. All the tools you need to make a Striker. Act Quick, Limited Stock. O'Malley's Tool Mart.
Item")</f>
        <v>Chapter 52: 42 Incapacitated - Preamble Jeanne
Striker Artificer Toolkit (Strike Witches) 100:
Professional Quality Toolkit for sale. Never used. All the tools you need to make a Striker. Act Quick, Limited Stock. O'Malley's Tool Mart.
Item</v>
      </c>
      <c r="B365" s="17">
        <f>IFERROR(__xludf.DUMMYFUNCTION("if(len(A365)&gt;0, value(REGEXEXTRACT(A365, ""Chapter ([0-9]*):"")), """")"),52.0)</f>
        <v>52</v>
      </c>
      <c r="C365" s="31" t="str">
        <f>IFERROR(__xludf.DUMMYFUNCTION("if(len(A365) &gt;0, REGEXEXTRACT(A365, ""Chapter [0-9]*: (.*)""), """")"),"42 Incapacitated - Preamble Jeanne")</f>
        <v>42 Incapacitated - Preamble Jeanne</v>
      </c>
      <c r="D365" s="31" t="str">
        <f>IFERROR(__xludf.DUMMYFUNCTION("if(len(A365)&gt;0, REGEXEXTRACT(A365, ""\n[^\(]*""), """")"),"
Striker Artificer Toolkit ")</f>
        <v>
Striker Artificer Toolkit </v>
      </c>
      <c r="E365" s="17" t="str">
        <f>IFERROR(__xludf.DUMMYFUNCTION("if(len(A365)&gt;0, REGEXEXTRACT(A365, ""\n([^\n]*)$""), """")"),"Item")</f>
        <v>Item</v>
      </c>
      <c r="F365" s="17" t="str">
        <f>IFERROR(__xludf.DUMMYFUNCTION("if(len(A365)&gt;0, REGEXEXTRACT(A365, ""\(([^\)]*)\)""), """")"),"Strike Witches")</f>
        <v>Strike Witches</v>
      </c>
      <c r="G365" s="17" t="str">
        <f>IFERROR(__xludf.DUMMYFUNCTION("if(len(A365)&gt;0, REGEXEXTRACT(A365, ""\)([^:]*):""), """")")," 100")</f>
        <v> 100</v>
      </c>
      <c r="H365" s="31" t="str">
        <f>IFERROR(__xludf.DUMMYFUNCTION("if(len(A365) &gt; 0, JOIN(char(10), FILTER(SPLIT(A365, char(10)), split(""false false "" &amp; rept(""true "", columns(SPLIT(A365, char(10)))-3) &amp; ""false"", "" ""))), """")"),"Professional Quality Toolkit for sale. Never used. All the tools you need to make a Striker. Act Quick, Limited Stock. O'Malley's Tool Mart.")</f>
        <v>Professional Quality Toolkit for sale. Never used. All the tools you need to make a Striker. Act Quick, Limited Stock. O'Malley's Tool Mart.</v>
      </c>
    </row>
    <row r="366">
      <c r="A366" s="31" t="str">
        <f>IFERROR(__xludf.DUMMYFUNCTION("""COMPUTED_VALUE"""),"Chapter 52: 42 Incapacitated - Preamble Jeanne
Unnatural Skill: Alchemy (Percy Jackson) 200:
Whether from your heritage or just being that good you've got one particular mundane skill that your feats with border on supernatural.
System")</f>
        <v>Chapter 52: 42 Incapacitated - Preamble Jeanne
Unnatural Skill: Alchemy (Percy Jackson) 200:
Whether from your heritage or just being that good you've got one particular mundane skill that your feats with border on supernatural.
System</v>
      </c>
      <c r="B366" s="17">
        <f>IFERROR(__xludf.DUMMYFUNCTION("if(len(A366)&gt;0, value(REGEXEXTRACT(A366, ""Chapter ([0-9]*):"")), """")"),52.0)</f>
        <v>52</v>
      </c>
      <c r="C366" s="31" t="str">
        <f>IFERROR(__xludf.DUMMYFUNCTION("if(len(A366) &gt;0, REGEXEXTRACT(A366, ""Chapter [0-9]*: (.*)""), """")"),"42 Incapacitated - Preamble Jeanne")</f>
        <v>42 Incapacitated - Preamble Jeanne</v>
      </c>
      <c r="D366" s="31" t="str">
        <f>IFERROR(__xludf.DUMMYFUNCTION("if(len(A366)&gt;0, REGEXEXTRACT(A366, ""\n[^\(]*""), """")"),"
Unnatural Skill: Alchemy ")</f>
        <v>
Unnatural Skill: Alchemy </v>
      </c>
      <c r="E366" s="17" t="str">
        <f>IFERROR(__xludf.DUMMYFUNCTION("if(len(A366)&gt;0, REGEXEXTRACT(A366, ""\n([^\n]*)$""), """")"),"System")</f>
        <v>System</v>
      </c>
      <c r="F366" s="17" t="str">
        <f>IFERROR(__xludf.DUMMYFUNCTION("if(len(A366)&gt;0, REGEXEXTRACT(A366, ""\(([^\)]*)\)""), """")"),"Percy Jackson")</f>
        <v>Percy Jackson</v>
      </c>
      <c r="G366" s="17" t="str">
        <f>IFERROR(__xludf.DUMMYFUNCTION("if(len(A366)&gt;0, REGEXEXTRACT(A366, ""\)([^:]*):""), """")")," 200")</f>
        <v> 200</v>
      </c>
      <c r="H366" s="31" t="str">
        <f>IFERROR(__xludf.DUMMYFUNCTION("if(len(A366) &gt; 0, JOIN(char(10), FILTER(SPLIT(A366, char(10)), split(""false false "" &amp; rept(""true "", columns(SPLIT(A366, char(10)))-3) &amp; ""false"", "" ""))), """")"),"Whether from your heritage or just being that good you've got one particular mundane skill that your feats with border on supernatural.")</f>
        <v>Whether from your heritage or just being that good you've got one particular mundane skill that your feats with border on supernatural.</v>
      </c>
    </row>
    <row r="367">
      <c r="A367" s="31" t="str">
        <f>IFERROR(__xludf.DUMMYFUNCTION("""COMPUTED_VALUE"""),"Chapter 54: 43 Ripples Aisha - Preamble Gully - Addendum Joe
Build Rome (Gundam: After Colony) 600:
You have a thing about building things- you’re damn fast, and you’re damn good. They say you can’t build 10 Mobile Suits in a week? Hah! You’ll build twice"&amp;" that much and you’ll build them to last! You simply have utter talent in the way of making things quickly enough to double production, maybe even triple production if you work at it enough, and they’ll come out with no loss of quality. In addition, these"&amp;" constructions will last- barring sudden disaster and similar, they’ll easily last several decades of constant abuse, and if they’re upkept and repaired they could even last centuries with no troubles
Fiat, System")</f>
        <v>Chapter 54: 43 Ripples Aisha - Preamble Gully - Addendum Joe
Build Rome (Gundam: After Colony) 600:
You have a thing about building things- you’re damn fast, and you’re damn good. They say you can’t build 10 Mobile Suits in a week? Hah! You’ll build twice that much and you’ll build them to last! You simply have utter talent in the way of making things quickly enough to double production, maybe even triple production if you work at it enough, and they’ll come out with no loss of quality. In addition, these constructions will last- barring sudden disaster and similar, they’ll easily last several decades of constant abuse, and if they’re upkept and repaired they could even last centuries with no troubles
Fiat, System</v>
      </c>
      <c r="B367" s="17">
        <f>IFERROR(__xludf.DUMMYFUNCTION("if(len(A367)&gt;0, value(REGEXEXTRACT(A367, ""Chapter ([0-9]*):"")), """")"),54.0)</f>
        <v>54</v>
      </c>
      <c r="C367" s="31" t="str">
        <f>IFERROR(__xludf.DUMMYFUNCTION("if(len(A367) &gt;0, REGEXEXTRACT(A367, ""Chapter [0-9]*: (.*)""), """")"),"43 Ripples Aisha - Preamble Gully - Addendum Joe")</f>
        <v>43 Ripples Aisha - Preamble Gully - Addendum Joe</v>
      </c>
      <c r="D367" s="31" t="str">
        <f>IFERROR(__xludf.DUMMYFUNCTION("if(len(A367)&gt;0, REGEXEXTRACT(A367, ""\n[^\(]*""), """")"),"
Build Rome ")</f>
        <v>
Build Rome </v>
      </c>
      <c r="E367" s="17" t="str">
        <f>IFERROR(__xludf.DUMMYFUNCTION("if(len(A367)&gt;0, REGEXEXTRACT(A367, ""\n([^\n]*)$""), """")"),"Fiat, System")</f>
        <v>Fiat, System</v>
      </c>
      <c r="F367" s="17" t="str">
        <f>IFERROR(__xludf.DUMMYFUNCTION("if(len(A367)&gt;0, REGEXEXTRACT(A367, ""\(([^\)]*)\)""), """")"),"Gundam: After Colony")</f>
        <v>Gundam: After Colony</v>
      </c>
      <c r="G367" s="17" t="str">
        <f>IFERROR(__xludf.DUMMYFUNCTION("if(len(A367)&gt;0, REGEXEXTRACT(A367, ""\)([^:]*):""), """")")," 600")</f>
        <v> 600</v>
      </c>
      <c r="H367" s="31" t="str">
        <f>IFERROR(__xludf.DUMMYFUNCTION("if(len(A367) &gt; 0, JOIN(char(10), FILTER(SPLIT(A367, char(10)), split(""false false "" &amp; rept(""true "", columns(SPLIT(A367, char(10)))-3) &amp; ""false"", "" ""))), """")"),"You have a thing about building things- you’re damn fast, and you’re damn good. They say you can’t build 10 Mobile Suits in a week? Hah! You’ll build twice that much and you’ll build them to last! You simply have utter talent in the way of making things q"&amp;"uickly enough to double production, maybe even triple production if you work at it enough, and they’ll come out with no loss of quality. In addition, these constructions will last- barring sudden disaster and similar, they’ll easily last several decades o"&amp;"f constant abuse, and if they’re upkept and repaired they could even last centuries with no troubles")</f>
        <v>You have a thing about building things- you’re damn fast, and you’re damn good. They say you can’t build 10 Mobile Suits in a week? Hah! You’ll build twice that much and you’ll build them to last! You simply have utter talent in the way of making things quickly enough to double production, maybe even triple production if you work at it enough, and they’ll come out with no loss of quality. In addition, these constructions will last- barring sudden disaster and similar, they’ll easily last several decades of constant abuse, and if they’re upkept and repaired they could even last centuries with no troubles</v>
      </c>
    </row>
    <row r="368">
      <c r="A368" s="31" t="str">
        <f>IFERROR(__xludf.DUMMYFUNCTION("""COMPUTED_VALUE"""),"Chapter 54: 43 Ripples Aisha - Preamble Gully - Addendum Joe
Talisman Adept (Inukami) 200:
You are much better at using talismans and can give them properties of what shape they are in. Shaped like a frog? These talismans can bounce towards their intended"&amp;" target.
System")</f>
        <v>Chapter 54: 43 Ripples Aisha - Preamble Gully - Addendum Joe
Talisman Adept (Inukami) 200:
You are much better at using talismans and can give them properties of what shape they are in. Shaped like a frog? These talismans can bounce towards their intended target.
System</v>
      </c>
      <c r="B368" s="17">
        <f>IFERROR(__xludf.DUMMYFUNCTION("if(len(A368)&gt;0, value(REGEXEXTRACT(A368, ""Chapter ([0-9]*):"")), """")"),54.0)</f>
        <v>54</v>
      </c>
      <c r="C368" s="31" t="str">
        <f>IFERROR(__xludf.DUMMYFUNCTION("if(len(A368) &gt;0, REGEXEXTRACT(A368, ""Chapter [0-9]*: (.*)""), """")"),"43 Ripples Aisha - Preamble Gully - Addendum Joe")</f>
        <v>43 Ripples Aisha - Preamble Gully - Addendum Joe</v>
      </c>
      <c r="D368" s="31" t="str">
        <f>IFERROR(__xludf.DUMMYFUNCTION("if(len(A368)&gt;0, REGEXEXTRACT(A368, ""\n[^\(]*""), """")"),"
Talisman Adept ")</f>
        <v>
Talisman Adept </v>
      </c>
      <c r="E368" s="17" t="str">
        <f>IFERROR(__xludf.DUMMYFUNCTION("if(len(A368)&gt;0, REGEXEXTRACT(A368, ""\n([^\n]*)$""), """")"),"System")</f>
        <v>System</v>
      </c>
      <c r="F368" s="17" t="str">
        <f>IFERROR(__xludf.DUMMYFUNCTION("if(len(A368)&gt;0, REGEXEXTRACT(A368, ""\(([^\)]*)\)""), """")"),"Inukami")</f>
        <v>Inukami</v>
      </c>
      <c r="G368" s="17" t="str">
        <f>IFERROR(__xludf.DUMMYFUNCTION("if(len(A368)&gt;0, REGEXEXTRACT(A368, ""\)([^:]*):""), """")")," 200")</f>
        <v> 200</v>
      </c>
      <c r="H368" s="31" t="str">
        <f>IFERROR(__xludf.DUMMYFUNCTION("if(len(A368) &gt; 0, JOIN(char(10), FILTER(SPLIT(A368, char(10)), split(""false false "" &amp; rept(""true "", columns(SPLIT(A368, char(10)))-3) &amp; ""false"", "" ""))), """")"),"You are much better at using talismans and can give them properties of what shape they are in. Shaped like a frog? These talismans can bounce towards their intended target.")</f>
        <v>You are much better at using talismans and can give them properties of what shape they are in. Shaped like a frog? These talismans can bounce towards their intended target.</v>
      </c>
    </row>
    <row r="369">
      <c r="A369" s="31" t="str">
        <f>IFERROR(__xludf.DUMMYFUNCTION("""COMPUTED_VALUE"""),"Chapter 54: 43 Ripples Aisha - Preamble Gully - Addendum Joe
Talisman Trained (Inukami) 100:
You are very skilled at using talismans. What that means is you can make them have different properties (like light or sound) and with enough time and training yo"&amp;"u can make with enough time and training you can make truly devastating effects.
System")</f>
        <v>Chapter 54: 43 Ripples Aisha - Preamble Gully - Addendum Joe
Talisman Trained (Inukami) 100:
You are very skilled at using talismans. What that means is you can make them have different properties (like light or sound) and with enough time and training you can make with enough time and training you can make truly devastating effects.
System</v>
      </c>
      <c r="B369" s="17">
        <f>IFERROR(__xludf.DUMMYFUNCTION("if(len(A369)&gt;0, value(REGEXEXTRACT(A369, ""Chapter ([0-9]*):"")), """")"),54.0)</f>
        <v>54</v>
      </c>
      <c r="C369" s="31" t="str">
        <f>IFERROR(__xludf.DUMMYFUNCTION("if(len(A369) &gt;0, REGEXEXTRACT(A369, ""Chapter [0-9]*: (.*)""), """")"),"43 Ripples Aisha - Preamble Gully - Addendum Joe")</f>
        <v>43 Ripples Aisha - Preamble Gully - Addendum Joe</v>
      </c>
      <c r="D369" s="31" t="str">
        <f>IFERROR(__xludf.DUMMYFUNCTION("if(len(A369)&gt;0, REGEXEXTRACT(A369, ""\n[^\(]*""), """")"),"
Talisman Trained ")</f>
        <v>
Talisman Trained </v>
      </c>
      <c r="E369" s="17" t="str">
        <f>IFERROR(__xludf.DUMMYFUNCTION("if(len(A369)&gt;0, REGEXEXTRACT(A369, ""\n([^\n]*)$""), """")"),"System")</f>
        <v>System</v>
      </c>
      <c r="F369" s="17" t="str">
        <f>IFERROR(__xludf.DUMMYFUNCTION("if(len(A369)&gt;0, REGEXEXTRACT(A369, ""\(([^\)]*)\)""), """")"),"Inukami")</f>
        <v>Inukami</v>
      </c>
      <c r="G369" s="17" t="str">
        <f>IFERROR(__xludf.DUMMYFUNCTION("if(len(A369)&gt;0, REGEXEXTRACT(A369, ""\)([^:]*):""), """")")," 100")</f>
        <v> 100</v>
      </c>
      <c r="H369" s="31" t="str">
        <f>IFERROR(__xludf.DUMMYFUNCTION("if(len(A369) &gt; 0, JOIN(char(10), FILTER(SPLIT(A369, char(10)), split(""false false "" &amp; rept(""true "", columns(SPLIT(A369, char(10)))-3) &amp; ""false"", "" ""))), """")"),"You are very skilled at using talismans. What that means is you can make them have different properties (like light or sound) and with enough time and training you can make with enough time and training you can make truly devastating effects.")</f>
        <v>You are very skilled at using talismans. What that means is you can make them have different properties (like light or sound) and with enough time and training you can make with enough time and training you can make truly devastating effects.</v>
      </c>
    </row>
    <row r="370">
      <c r="A370" s="31" t="str">
        <f>IFERROR(__xludf.DUMMYFUNCTION("""COMPUTED_VALUE"""),"Chapter 55: 43.1 Interlude Fleet
Material Synthesis Science (Gundam: After Colony) 200:
You know a few things about getting your own materials, but you also have a bit of know-how about how the people here get such quality materials. Normally, you know ho"&amp;"w to forge, quench and mold materials into more high quality specimens, but you have a specialization in Zero-Gravity Material Synthesis as well-in microgravity conditions, you can create much more effective materials thanks to the limitations of gravity "&amp;"being removed.
System")</f>
        <v>Chapter 55: 43.1 Interlude Fleet
Material Synthesis Science (Gundam: After Colony) 200:
You know a few things about getting your own materials, but you also have a bit of know-how about how the people here get such quality materials. Normally, you know how to forge, quench and mold materials into more high quality specimens, but you have a specialization in Zero-Gravity Material Synthesis as well-in microgravity conditions, you can create much more effective materials thanks to the limitations of gravity being removed.
System</v>
      </c>
      <c r="B370" s="17">
        <f>IFERROR(__xludf.DUMMYFUNCTION("if(len(A370)&gt;0, value(REGEXEXTRACT(A370, ""Chapter ([0-9]*):"")), """")"),55.0)</f>
        <v>55</v>
      </c>
      <c r="C370" s="31" t="str">
        <f>IFERROR(__xludf.DUMMYFUNCTION("if(len(A370) &gt;0, REGEXEXTRACT(A370, ""Chapter [0-9]*: (.*)""), """")"),"43.1 Interlude Fleet")</f>
        <v>43.1 Interlude Fleet</v>
      </c>
      <c r="D370" s="31" t="str">
        <f>IFERROR(__xludf.DUMMYFUNCTION("if(len(A370)&gt;0, REGEXEXTRACT(A370, ""\n[^\(]*""), """")"),"
Material Synthesis Science ")</f>
        <v>
Material Synthesis Science </v>
      </c>
      <c r="E370" s="17" t="str">
        <f>IFERROR(__xludf.DUMMYFUNCTION("if(len(A370)&gt;0, REGEXEXTRACT(A370, ""\n([^\n]*)$""), """")"),"System")</f>
        <v>System</v>
      </c>
      <c r="F370" s="17" t="str">
        <f>IFERROR(__xludf.DUMMYFUNCTION("if(len(A370)&gt;0, REGEXEXTRACT(A370, ""\(([^\)]*)\)""), """")"),"Gundam: After Colony")</f>
        <v>Gundam: After Colony</v>
      </c>
      <c r="G370" s="17" t="str">
        <f>IFERROR(__xludf.DUMMYFUNCTION("if(len(A370)&gt;0, REGEXEXTRACT(A370, ""\)([^:]*):""), """")")," 200")</f>
        <v> 200</v>
      </c>
      <c r="H370" s="31" t="str">
        <f>IFERROR(__xludf.DUMMYFUNCTION("if(len(A370) &gt; 0, JOIN(char(10), FILTER(SPLIT(A370, char(10)), split(""false false "" &amp; rept(""true "", columns(SPLIT(A370, char(10)))-3) &amp; ""false"", "" ""))), """")"),"You know a few things about getting your own materials, but you also have a bit of know-how about how the people here get such quality materials. Normally, you know how to forge, quench and mold materials into more high quality specimens, but you have a s"&amp;"pecialization in Zero-Gravity Material Synthesis as well-in microgravity conditions, you can create much more effective materials thanks to the limitations of gravity being removed.")</f>
        <v>You know a few things about getting your own materials, but you also have a bit of know-how about how the people here get such quality materials. Normally, you know how to forge, quench and mold materials into more high quality specimens, but you have a specialization in Zero-Gravity Material Synthesis as well-in microgravity conditions, you can create much more effective materials thanks to the limitations of gravity being removed.</v>
      </c>
    </row>
    <row r="371">
      <c r="A371" s="31" t="str">
        <f>IFERROR(__xludf.DUMMYFUNCTION("""COMPUTED_VALUE"""),"Chapter 56: 44 Awakening
Fixer (Light of Terra DLC 5 A Sky Filled With Steel - Warhammer 40,000) 300:
This Schema contains a massive database filled with the countless bits of equipment the denizens of Necromunda Hive Primus have bought, found, built, sto"&amp;"len or obtained by other means over the centuries since the Hive was founded. Inexplicably it also seems to contain an extremely rare, extremely valuable and extremely heretical to own database detailing how to build and maintain Admech servitors and cybe"&amp;"rnetic parts.
Set")</f>
        <v>Chapter 56: 44 Awakening
Fixer (Light of Terra DLC 5 A Sky Filled With Steel - Warhammer 40,000) 300:
This Schema contains a massive database filled with the countless bits of equipment the denizens of Necromunda Hive Primus have bought, found, built, stolen or obtained by other means over the centuries since the Hive was founded. Inexplicably it also seems to contain an extremely rare, extremely valuable and extremely heretical to own database detailing how to build and maintain Admech servitors and cybernetic parts.
Set</v>
      </c>
      <c r="B371" s="17">
        <f>IFERROR(__xludf.DUMMYFUNCTION("if(len(A371)&gt;0, value(REGEXEXTRACT(A371, ""Chapter ([0-9]*):"")), """")"),56.0)</f>
        <v>56</v>
      </c>
      <c r="C371" s="31" t="str">
        <f>IFERROR(__xludf.DUMMYFUNCTION("if(len(A371) &gt;0, REGEXEXTRACT(A371, ""Chapter [0-9]*: (.*)""), """")"),"44 Awakening")</f>
        <v>44 Awakening</v>
      </c>
      <c r="D371" s="31" t="str">
        <f>IFERROR(__xludf.DUMMYFUNCTION("if(len(A371)&gt;0, REGEXEXTRACT(A371, ""\n[^\(]*""), """")"),"
Fixer ")</f>
        <v>
Fixer </v>
      </c>
      <c r="E371" s="17" t="str">
        <f>IFERROR(__xludf.DUMMYFUNCTION("if(len(A371)&gt;0, REGEXEXTRACT(A371, ""\n([^\n]*)$""), """")"),"Set")</f>
        <v>Set</v>
      </c>
      <c r="F371" s="17" t="str">
        <f>IFERROR(__xludf.DUMMYFUNCTION("if(len(A371)&gt;0, REGEXEXTRACT(A371, ""\(([^\)]*)\)""), """")"),"Light of Terra DLC 5 A Sky Filled With Steel - Warhammer 40,000")</f>
        <v>Light of Terra DLC 5 A Sky Filled With Steel - Warhammer 40,000</v>
      </c>
      <c r="G371" s="17" t="str">
        <f>IFERROR(__xludf.DUMMYFUNCTION("if(len(A371)&gt;0, REGEXEXTRACT(A371, ""\)([^:]*):""), """")")," 300")</f>
        <v> 300</v>
      </c>
      <c r="H371" s="31" t="str">
        <f>IFERROR(__xludf.DUMMYFUNCTION("if(len(A371) &gt; 0, JOIN(char(10), FILTER(SPLIT(A371, char(10)), split(""false false "" &amp; rept(""true "", columns(SPLIT(A371, char(10)))-3) &amp; ""false"", "" ""))), """")"),"This Schema contains a massive database filled with the countless bits of equipment the denizens of Necromunda Hive Primus have bought, found, built, stolen or obtained by other means over the centuries since the Hive was founded. Inexplicably it also see"&amp;"ms to contain an extremely rare, extremely valuable and extremely heretical to own database detailing how to build and maintain Admech servitors and cybernetic parts.")</f>
        <v>This Schema contains a massive database filled with the countless bits of equipment the denizens of Necromunda Hive Primus have bought, found, built, stolen or obtained by other means over the centuries since the Hive was founded. Inexplicably it also seems to contain an extremely rare, extremely valuable and extremely heretical to own database detailing how to build and maintain Admech servitors and cybernetic parts.</v>
      </c>
    </row>
    <row r="372">
      <c r="A372" s="31" t="str">
        <f>IFERROR(__xludf.DUMMYFUNCTION("""COMPUTED_VALUE"""),"Chapter 56: 44 Awakening
Magic Circuits (Fate/) Free:
You receive 20 magic circuits, each of the highest quality, upon entering the jump. These circuits are used to control both Od and Mana, internal and external magical energy respectively, and allow the"&amp;" use of magecraft. The more circuits you have, the more prana you get to play with.
Personal")</f>
        <v>Chapter 56: 44 Awakening
Magic Circuits (Fate/) Free:
You receive 20 magic circuits, each of the highest quality, upon entering the jump. These circuits are used to control both Od and Mana, internal and external magical energy respectively, and allow the use of magecraft. The more circuits you have, the more prana you get to play with.
Personal</v>
      </c>
      <c r="B372" s="17">
        <f>IFERROR(__xludf.DUMMYFUNCTION("if(len(A372)&gt;0, value(REGEXEXTRACT(A372, ""Chapter ([0-9]*):"")), """")"),56.0)</f>
        <v>56</v>
      </c>
      <c r="C372" s="31" t="str">
        <f>IFERROR(__xludf.DUMMYFUNCTION("if(len(A372) &gt;0, REGEXEXTRACT(A372, ""Chapter [0-9]*: (.*)""), """")"),"44 Awakening")</f>
        <v>44 Awakening</v>
      </c>
      <c r="D372" s="31" t="str">
        <f>IFERROR(__xludf.DUMMYFUNCTION("if(len(A372)&gt;0, REGEXEXTRACT(A372, ""\n[^\(]*""), """")"),"
Magic Circuits ")</f>
        <v>
Magic Circuits </v>
      </c>
      <c r="E372" s="17" t="str">
        <f>IFERROR(__xludf.DUMMYFUNCTION("if(len(A372)&gt;0, REGEXEXTRACT(A372, ""\n([^\n]*)$""), """")"),"Personal")</f>
        <v>Personal</v>
      </c>
      <c r="F372" s="17" t="str">
        <f>IFERROR(__xludf.DUMMYFUNCTION("if(len(A372)&gt;0, REGEXEXTRACT(A372, ""\(([^\)]*)\)""), """")"),"Fate/")</f>
        <v>Fate/</v>
      </c>
      <c r="G372" s="17" t="str">
        <f>IFERROR(__xludf.DUMMYFUNCTION("if(len(A372)&gt;0, REGEXEXTRACT(A372, ""\)([^:]*):""), """")")," Free")</f>
        <v> Free</v>
      </c>
      <c r="H372" s="31" t="str">
        <f>IFERROR(__xludf.DUMMYFUNCTION("if(len(A372) &gt; 0, JOIN(char(10), FILTER(SPLIT(A372, char(10)), split(""false false "" &amp; rept(""true "", columns(SPLIT(A372, char(10)))-3) &amp; ""false"", "" ""))), """")"),"You receive 20 magic circuits, each of the highest quality, upon entering the jump. These circuits are used to control both Od and Mana, internal and external magical energy respectively, and allow the use of magecraft. The more circuits you have, the mor"&amp;"e prana you get to play with.")</f>
        <v>You receive 20 magic circuits, each of the highest quality, upon entering the jump. These circuits are used to control both Od and Mana, internal and external magical energy respectively, and allow the use of magecraft. The more circuits you have, the more prana you get to play with.</v>
      </c>
    </row>
    <row r="373">
      <c r="A373" s="31" t="str">
        <f>IFERROR(__xludf.DUMMYFUNCTION("""COMPUTED_VALUE"""),"Chapter 56: 44 Awakening
Thaumaturgical Focus: Transmutation (Fate/) 400:
There exist many special arts within magecraft, and now you have gained the knowledge of one of them. There are many schools of magic to specialise in, such as Alchemy, Memory Parti"&amp;"tion, Thought Acceleration, Transmutation, Jewelcraft, Curses etc. You could even learn the Emiya art of Time Manipulation, though you will have only the very basics, and will need years just to get to Kiritsugu's level, but you may possible go even furth"&amp;"er. You may not choose any True Magic with this perk. This perk can be bought multiple times
System")</f>
        <v>Chapter 56: 44 Awakening
Thaumaturgical Focus: Transmutation (Fate/) 400:
There exist many special arts within magecraft, and now you have gained the knowledge of one of them. There are many schools of magic to specialise in, such as Alchemy, Memory Partition, Thought Acceleration, Transmutation, Jewelcraft, Curses etc. You could even learn the Emiya art of Time Manipulation, though you will have only the very basics, and will need years just to get to Kiritsugu's level, but you may possible go even further. You may not choose any True Magic with this perk. This perk can be bought multiple times
System</v>
      </c>
      <c r="B373" s="17">
        <f>IFERROR(__xludf.DUMMYFUNCTION("if(len(A373)&gt;0, value(REGEXEXTRACT(A373, ""Chapter ([0-9]*):"")), """")"),56.0)</f>
        <v>56</v>
      </c>
      <c r="C373" s="31" t="str">
        <f>IFERROR(__xludf.DUMMYFUNCTION("if(len(A373) &gt;0, REGEXEXTRACT(A373, ""Chapter [0-9]*: (.*)""), """")"),"44 Awakening")</f>
        <v>44 Awakening</v>
      </c>
      <c r="D373" s="31" t="str">
        <f>IFERROR(__xludf.DUMMYFUNCTION("if(len(A373)&gt;0, REGEXEXTRACT(A373, ""\n[^\(]*""), """")"),"
Thaumaturgical Focus: Transmutation ")</f>
        <v>
Thaumaturgical Focus: Transmutation </v>
      </c>
      <c r="E373" s="17" t="str">
        <f>IFERROR(__xludf.DUMMYFUNCTION("if(len(A373)&gt;0, REGEXEXTRACT(A373, ""\n([^\n]*)$""), """")"),"System")</f>
        <v>System</v>
      </c>
      <c r="F373" s="17" t="str">
        <f>IFERROR(__xludf.DUMMYFUNCTION("if(len(A373)&gt;0, REGEXEXTRACT(A373, ""\(([^\)]*)\)""), """")"),"Fate/")</f>
        <v>Fate/</v>
      </c>
      <c r="G373" s="17" t="str">
        <f>IFERROR(__xludf.DUMMYFUNCTION("if(len(A373)&gt;0, REGEXEXTRACT(A373, ""\)([^:]*):""), """")")," 400")</f>
        <v> 400</v>
      </c>
      <c r="H373" s="31" t="str">
        <f>IFERROR(__xludf.DUMMYFUNCTION("if(len(A373) &gt; 0, JOIN(char(10), FILTER(SPLIT(A373, char(10)), split(""false false "" &amp; rept(""true "", columns(SPLIT(A373, char(10)))-3) &amp; ""false"", "" ""))), """")"),"There exist many special arts within magecraft, and now you have gained the knowledge of one of them. There are many schools of magic to specialise in, such as Alchemy, Memory Partition, Thought Acceleration, Transmutation, Jewelcraft, Curses etc. You cou"&amp;"ld even learn the Emiya art of Time Manipulation, though you will have only the very basics, and will need years just to get to Kiritsugu's level, but you may possible go even further. You may not choose any True Magic with this perk. This perk can be bou"&amp;"ght multiple times")</f>
        <v>There exist many special arts within magecraft, and now you have gained the knowledge of one of them. There are many schools of magic to specialise in, such as Alchemy, Memory Partition, Thought Acceleration, Transmutation, Jewelcraft, Curses etc. You could even learn the Emiya art of Time Manipulation, though you will have only the very basics, and will need years just to get to Kiritsugu's level, but you may possible go even further. You may not choose any True Magic with this perk. This perk can be bought multiple times</v>
      </c>
    </row>
    <row r="374">
      <c r="A374" s="31" t="str">
        <f>IFERROR(__xludf.DUMMYFUNCTION("""COMPUTED_VALUE"""),"Chapter 57: 45 Realization - Preamble Taylor
Always a Bigger Robot (Gurren Lagann) 600:
The design and maintenance of epic machines is your specialty. You can figure out how to build starships measuring several kilometers long or devise a way to make a mo"&amp;"untain sized mecha. You'll also have no problems getting past all the laws of physics that should make such creations impossible, perhaps Spiral Energy has something to do with it?
Fiat")</f>
        <v>Chapter 57: 45 Realization - Preamble Taylor
Always a Bigger Robot (Gurren Lagann) 600:
The design and maintenance of epic machines is your specialty. You can figure out how to build starships measuring several kilometers long or devise a way to make a mountain sized mecha. You'll also have no problems getting past all the laws of physics that should make such creations impossible, perhaps Spiral Energy has something to do with it?
Fiat</v>
      </c>
      <c r="B374" s="17">
        <f>IFERROR(__xludf.DUMMYFUNCTION("if(len(A374)&gt;0, value(REGEXEXTRACT(A374, ""Chapter ([0-9]*):"")), """")"),57.0)</f>
        <v>57</v>
      </c>
      <c r="C374" s="31" t="str">
        <f>IFERROR(__xludf.DUMMYFUNCTION("if(len(A374) &gt;0, REGEXEXTRACT(A374, ""Chapter [0-9]*: (.*)""), """")"),"45 Realization - Preamble Taylor")</f>
        <v>45 Realization - Preamble Taylor</v>
      </c>
      <c r="D374" s="31" t="str">
        <f>IFERROR(__xludf.DUMMYFUNCTION("if(len(A374)&gt;0, REGEXEXTRACT(A374, ""\n[^\(]*""), """")"),"
Always a Bigger Robot ")</f>
        <v>
Always a Bigger Robot </v>
      </c>
      <c r="E374" s="17" t="str">
        <f>IFERROR(__xludf.DUMMYFUNCTION("if(len(A374)&gt;0, REGEXEXTRACT(A374, ""\n([^\n]*)$""), """")"),"Fiat")</f>
        <v>Fiat</v>
      </c>
      <c r="F374" s="17" t="str">
        <f>IFERROR(__xludf.DUMMYFUNCTION("if(len(A374)&gt;0, REGEXEXTRACT(A374, ""\(([^\)]*)\)""), """")"),"Gurren Lagann")</f>
        <v>Gurren Lagann</v>
      </c>
      <c r="G374" s="17" t="str">
        <f>IFERROR(__xludf.DUMMYFUNCTION("if(len(A374)&gt;0, REGEXEXTRACT(A374, ""\)([^:]*):""), """")")," 600")</f>
        <v> 600</v>
      </c>
      <c r="H374" s="31" t="str">
        <f>IFERROR(__xludf.DUMMYFUNCTION("if(len(A374) &gt; 0, JOIN(char(10), FILTER(SPLIT(A374, char(10)), split(""false false "" &amp; rept(""true "", columns(SPLIT(A374, char(10)))-3) &amp; ""false"", "" ""))), """")"),"The design and maintenance of epic machines is your specialty. You can figure out how to build starships measuring several kilometers long or devise a way to make a mountain sized mecha. You'll also have no problems getting past all the laws of physics th"&amp;"at should make such creations impossible, perhaps Spiral Energy has something to do with it?")</f>
        <v>The design and maintenance of epic machines is your specialty. You can figure out how to build starships measuring several kilometers long or devise a way to make a mountain sized mecha. You'll also have no problems getting past all the laws of physics that should make such creations impossible, perhaps Spiral Energy has something to do with it?</v>
      </c>
    </row>
    <row r="375">
      <c r="A375" s="31" t="str">
        <f>IFERROR(__xludf.DUMMYFUNCTION("""COMPUTED_VALUE"""),"Chapter 57: 45 Realization - Preamble Taylor
More With Less (XCOM) 300:
Through careful construction, you can remove unnecessary components and get maximum efficiency into your products. What this means, is that you can create the same quality item while "&amp;"using less resources. Items with which you have a limited supply, such as alien materials, can be stretched farther.
Fiat")</f>
        <v>Chapter 57: 45 Realization - Preamble Taylor
More With Less (XCOM) 300:
Through careful construction, you can remove unnecessary components and get maximum efficiency into your products. What this means, is that you can create the same quality item while using less resources. Items with which you have a limited supply, such as alien materials, can be stretched farther.
Fiat</v>
      </c>
      <c r="B375" s="17">
        <f>IFERROR(__xludf.DUMMYFUNCTION("if(len(A375)&gt;0, value(REGEXEXTRACT(A375, ""Chapter ([0-9]*):"")), """")"),57.0)</f>
        <v>57</v>
      </c>
      <c r="C375" s="31" t="str">
        <f>IFERROR(__xludf.DUMMYFUNCTION("if(len(A375) &gt;0, REGEXEXTRACT(A375, ""Chapter [0-9]*: (.*)""), """")"),"45 Realization - Preamble Taylor")</f>
        <v>45 Realization - Preamble Taylor</v>
      </c>
      <c r="D375" s="31" t="str">
        <f>IFERROR(__xludf.DUMMYFUNCTION("if(len(A375)&gt;0, REGEXEXTRACT(A375, ""\n[^\(]*""), """")"),"
More With Less ")</f>
        <v>
More With Less </v>
      </c>
      <c r="E375" s="17" t="str">
        <f>IFERROR(__xludf.DUMMYFUNCTION("if(len(A375)&gt;0, REGEXEXTRACT(A375, ""\n([^\n]*)$""), """")"),"Fiat")</f>
        <v>Fiat</v>
      </c>
      <c r="F375" s="17" t="str">
        <f>IFERROR(__xludf.DUMMYFUNCTION("if(len(A375)&gt;0, REGEXEXTRACT(A375, ""\(([^\)]*)\)""), """")"),"XCOM")</f>
        <v>XCOM</v>
      </c>
      <c r="G375" s="17" t="str">
        <f>IFERROR(__xludf.DUMMYFUNCTION("if(len(A375)&gt;0, REGEXEXTRACT(A375, ""\)([^:]*):""), """")")," 300")</f>
        <v> 300</v>
      </c>
      <c r="H375" s="31" t="str">
        <f>IFERROR(__xludf.DUMMYFUNCTION("if(len(A375) &gt; 0, JOIN(char(10), FILTER(SPLIT(A375, char(10)), split(""false false "" &amp; rept(""true "", columns(SPLIT(A375, char(10)))-3) &amp; ""false"", "" ""))), """")"),"Through careful construction, you can remove unnecessary components and get maximum efficiency into your products. What this means, is that you can create the same quality item while using less resources. Items with which you have a limited supply, such a"&amp;"s alien materials, can be stretched farther.")</f>
        <v>Through careful construction, you can remove unnecessary components and get maximum efficiency into your products. What this means, is that you can create the same quality item while using less resources. Items with which you have a limited supply, such as alien materials, can be stretched farther.</v>
      </c>
    </row>
    <row r="376">
      <c r="A376" s="31" t="str">
        <f>IFERROR(__xludf.DUMMYFUNCTION("""COMPUTED_VALUE"""),"Chapter 57: 45 Realization - Preamble Taylor
Spiral Energy (Gurren Lagann) Free:
A mysterious but incredibly powerful evolutionary force that can be harnessed and manipulated by living beings. Spiral Energy can allow an individual to achieve virtually any"&amp;"thing imaginable, but in order to keep things from getting too crazy you’ll have to slowly unlock your Spiral powers over time. Initially you’ll only have enough power to pilot a Gunmen but with enough time and the right circumstances you can figure out h"&amp;"ow to generate large powerful drill weapons from your mech that are capable of easily destroying other Gunmen and can cause massive explosions. After a few years of continued use you could potentially learn how to increase your physical abilities, Intelli"&amp;"gence, and natural lifespan to superhuman levels. Once you’ve fully unlocked your Spiral power you’ll be able to live for over a thousand years, punch apart small Gunmen with your bare hands, discover and forge incredible technological wonders, and genera"&amp;"te drills and other constructs from Spiral Energy without the assistance of a mech.
Without going through any of the endgame scenarios you'll only be able achieve first arc levels of Spiral power (The feats mentioned in the description for Spiral Energy a"&amp;"nd displayed by Simon and Lordgenome during their battle at the end of the Beastmen War story arc.) until after you get your Spark and stop jumping.
Regardless of whether or not you decide to go through one of the endgame scenarios, you'll gain the abilit"&amp;"y to grant one individual in each world you go to a fraction of your Spiral Energy. The person you gift this power to can only improve if your directly train them yourself and the upper limits of their Spiral Powers cannot exceed your own.
Until you get y"&amp;"our spark using Spiral Energy will always carry the risk of triggering the Spiral Nemesis, however doing so would probably require generating the same amount of matter and energy as the entire observable universe.
System")</f>
        <v>Chapter 57: 45 Realization - Preamble Taylor
Spiral Energy (Gurren Lagann) Free:
A mysterious but incredibly powerful evolutionary force that can be harnessed and manipulated by living beings. Spiral Energy can allow an individual to achieve virtually anything imaginable, but in order to keep things from getting too crazy you’ll have to slowly unlock your Spiral powers over time. Initially you’ll only have enough power to pilot a Gunmen but with enough time and the right circumstances you can figure out how to generate large powerful drill weapons from your mech that are capable of easily destroying other Gunmen and can cause massive explosions. After a few years of continued use you could potentially learn how to increase your physical abilities, Intelligence, and natural lifespan to superhuman levels. Once you’ve fully unlocked your Spiral power you’ll be able to live for over a thousand years, punch apart small Gunmen with your bare hands, discover and forge incredible technological wonders, and generate drills and other constructs from Spiral Energy without the assistance of a mech.
Without going through any of the endgame scenarios you'll only be able achieve first arc levels of Spiral power (The feats mentioned in the description for Spiral Energy and displayed by Simon and Lordgenome during their battle at the end of the Beastmen War story arc.) until after you get your Spark and stop jumping.
Regardless of whether or not you decide to go through one of the endgame scenarios, you'll gain the ability to grant one individual in each world you go to a fraction of your Spiral Energy. The person you gift this power to can only improve if your directly train them yourself and the upper limits of their Spiral Powers cannot exceed your own.
Until you get your spark using Spiral Energy will always carry the risk of triggering the Spiral Nemesis, however doing so would probably require generating the same amount of matter and energy as the entire observable universe.
System</v>
      </c>
      <c r="B376" s="17">
        <f>IFERROR(__xludf.DUMMYFUNCTION("if(len(A376)&gt;0, value(REGEXEXTRACT(A376, ""Chapter ([0-9]*):"")), """")"),57.0)</f>
        <v>57</v>
      </c>
      <c r="C376" s="31" t="str">
        <f>IFERROR(__xludf.DUMMYFUNCTION("if(len(A376) &gt;0, REGEXEXTRACT(A376, ""Chapter [0-9]*: (.*)""), """")"),"45 Realization - Preamble Taylor")</f>
        <v>45 Realization - Preamble Taylor</v>
      </c>
      <c r="D376" s="31" t="str">
        <f>IFERROR(__xludf.DUMMYFUNCTION("if(len(A376)&gt;0, REGEXEXTRACT(A376, ""\n[^\(]*""), """")"),"
Spiral Energy ")</f>
        <v>
Spiral Energy </v>
      </c>
      <c r="E376" s="17" t="str">
        <f>IFERROR(__xludf.DUMMYFUNCTION("if(len(A376)&gt;0, REGEXEXTRACT(A376, ""\n([^\n]*)$""), """")"),"System")</f>
        <v>System</v>
      </c>
      <c r="F376" s="17" t="str">
        <f>IFERROR(__xludf.DUMMYFUNCTION("if(len(A376)&gt;0, REGEXEXTRACT(A376, ""\(([^\)]*)\)""), """")"),"Gurren Lagann")</f>
        <v>Gurren Lagann</v>
      </c>
      <c r="G376" s="17" t="str">
        <f>IFERROR(__xludf.DUMMYFUNCTION("if(len(A376)&gt;0, REGEXEXTRACT(A376, ""\)([^:]*):""), """")")," Free")</f>
        <v> Free</v>
      </c>
      <c r="H376" s="31" t="str">
        <f>IFERROR(__xludf.DUMMYFUNCTION("if(len(A376) &gt; 0, JOIN(char(10), FILTER(SPLIT(A376, char(10)), split(""false false "" &amp; rept(""true "", columns(SPLIT(A376, char(10)))-3) &amp; ""false"", "" ""))), """")"),"A mysterious but incredibly powerful evolutionary force that can be harnessed and manipulated by living beings. Spiral Energy can allow an individual to achieve virtually anything imaginable, but in order to keep things from getting too crazy you’ll have "&amp;"to slowly unlock your Spiral powers over time. Initially you’ll only have enough power to pilot a Gunmen but with enough time and the right circumstances you can figure out how to generate large powerful drill weapons from your mech that are capable of ea"&amp;"sily destroying other Gunmen and can cause massive explosions. After a few years of continued use you could potentially learn how to increase your physical abilities, Intelligence, and natural lifespan to superhuman levels. Once you’ve fully unlocked your"&amp;" Spiral power you’ll be able to live for over a thousand years, punch apart small Gunmen with your bare hands, discover and forge incredible technological wonders, and generate drills and other constructs from Spiral Energy without the assistance of a mec"&amp;"h.
Without going through any of the endgame scenarios you'll only be able achieve first arc levels of Spiral power (The feats mentioned in the description for Spiral Energy and displayed by Simon and Lordgenome during their battle at the end of the Beastm"&amp;"en War story arc.) until after you get your Spark and stop jumping.
Regardless of whether or not you decide to go through one of the endgame scenarios, you'll gain the ability to grant one individual in each world you go to a fraction of your Spiral Energ"&amp;"y. The person you gift this power to can only improve if your directly train them yourself and the upper limits of their Spiral Powers cannot exceed your own.
Until you get your spark using Spiral Energy will always carry the risk of triggering the Spiral"&amp;" Nemesis, however doing so would probably require generating the same amount of matter and energy as the entire observable universe.")</f>
        <v>A mysterious but incredibly powerful evolutionary force that can be harnessed and manipulated by living beings. Spiral Energy can allow an individual to achieve virtually anything imaginable, but in order to keep things from getting too crazy you’ll have to slowly unlock your Spiral powers over time. Initially you’ll only have enough power to pilot a Gunmen but with enough time and the right circumstances you can figure out how to generate large powerful drill weapons from your mech that are capable of easily destroying other Gunmen and can cause massive explosions. After a few years of continued use you could potentially learn how to increase your physical abilities, Intelligence, and natural lifespan to superhuman levels. Once you’ve fully unlocked your Spiral power you’ll be able to live for over a thousand years, punch apart small Gunmen with your bare hands, discover and forge incredible technological wonders, and generate drills and other constructs from Spiral Energy without the assistance of a mech.
Without going through any of the endgame scenarios you'll only be able achieve first arc levels of Spiral power (The feats mentioned in the description for Spiral Energy and displayed by Simon and Lordgenome during their battle at the end of the Beastmen War story arc.) until after you get your Spark and stop jumping.
Regardless of whether or not you decide to go through one of the endgame scenarios, you'll gain the ability to grant one individual in each world you go to a fraction of your Spiral Energy. The person you gift this power to can only improve if your directly train them yourself and the upper limits of their Spiral Powers cannot exceed your own.
Until you get your spark using Spiral Energy will always carry the risk of triggering the Spiral Nemesis, however doing so would probably require generating the same amount of matter and energy as the entire observable universe.</v>
      </c>
    </row>
    <row r="377">
      <c r="A377" s="31" t="str">
        <f>IFERROR(__xludf.DUMMYFUNCTION("""COMPUTED_VALUE"""),"Chapter 59: 46 Review
Efficiency (Lego: Ninjango) 400:
Waste not, want not! Not with this, anyway – whether building machines or making quick moves in combat, you'll never unintentionally use more energy, materials, or flourish than you need to.
Fiat")</f>
        <v>Chapter 59: 46 Review
Efficiency (Lego: Ninjango) 400:
Waste not, want not! Not with this, anyway – whether building machines or making quick moves in combat, you'll never unintentionally use more energy, materials, or flourish than you need to.
Fiat</v>
      </c>
      <c r="B377" s="17">
        <f>IFERROR(__xludf.DUMMYFUNCTION("if(len(A377)&gt;0, value(REGEXEXTRACT(A377, ""Chapter ([0-9]*):"")), """")"),59.0)</f>
        <v>59</v>
      </c>
      <c r="C377" s="31" t="str">
        <f>IFERROR(__xludf.DUMMYFUNCTION("if(len(A377) &gt;0, REGEXEXTRACT(A377, ""Chapter [0-9]*: (.*)""), """")"),"46 Review")</f>
        <v>46 Review</v>
      </c>
      <c r="D377" s="31" t="str">
        <f>IFERROR(__xludf.DUMMYFUNCTION("if(len(A377)&gt;0, REGEXEXTRACT(A377, ""\n[^\(]*""), """")"),"
Efficiency ")</f>
        <v>
Efficiency </v>
      </c>
      <c r="E377" s="17" t="str">
        <f>IFERROR(__xludf.DUMMYFUNCTION("if(len(A377)&gt;0, REGEXEXTRACT(A377, ""\n([^\n]*)$""), """")"),"Fiat")</f>
        <v>Fiat</v>
      </c>
      <c r="F377" s="17" t="str">
        <f>IFERROR(__xludf.DUMMYFUNCTION("if(len(A377)&gt;0, REGEXEXTRACT(A377, ""\(([^\)]*)\)""), """")"),"Lego: Ninjango")</f>
        <v>Lego: Ninjango</v>
      </c>
      <c r="G377" s="17" t="str">
        <f>IFERROR(__xludf.DUMMYFUNCTION("if(len(A377)&gt;0, REGEXEXTRACT(A377, ""\)([^:]*):""), """")")," 400")</f>
        <v> 400</v>
      </c>
      <c r="H377" s="31" t="str">
        <f>IFERROR(__xludf.DUMMYFUNCTION("if(len(A377) &gt; 0, JOIN(char(10), FILTER(SPLIT(A377, char(10)), split(""false false "" &amp; rept(""true "", columns(SPLIT(A377, char(10)))-3) &amp; ""false"", "" ""))), """")"),"Waste not, want not! Not with this, anyway – whether building machines or making quick moves in combat, you'll never unintentionally use more energy, materials, or flourish than you need to.")</f>
        <v>Waste not, want not! Not with this, anyway – whether building machines or making quick moves in combat, you'll never unintentionally use more energy, materials, or flourish than you need to.</v>
      </c>
    </row>
    <row r="378">
      <c r="A378" s="31" t="str">
        <f>IFERROR(__xludf.DUMMYFUNCTION("""COMPUTED_VALUE"""),"Chapter 59: 46 Review
Entanglement (The World Ends With You) Free:
Allows the user to create a chain between two designated points. Enemies hit by the chain (or who run into it) take damage and suffer Defense Break.
Ability")</f>
        <v>Chapter 59: 46 Review
Entanglement (The World Ends With You) Free:
Allows the user to create a chain between two designated points. Enemies hit by the chain (or who run into it) take damage and suffer Defense Break.
Ability</v>
      </c>
      <c r="B378" s="17">
        <f>IFERROR(__xludf.DUMMYFUNCTION("if(len(A378)&gt;0, value(REGEXEXTRACT(A378, ""Chapter ([0-9]*):"")), """")"),59.0)</f>
        <v>59</v>
      </c>
      <c r="C378" s="31" t="str">
        <f>IFERROR(__xludf.DUMMYFUNCTION("if(len(A378) &gt;0, REGEXEXTRACT(A378, ""Chapter [0-9]*: (.*)""), """")"),"46 Review")</f>
        <v>46 Review</v>
      </c>
      <c r="D378" s="31" t="str">
        <f>IFERROR(__xludf.DUMMYFUNCTION("if(len(A378)&gt;0, REGEXEXTRACT(A378, ""\n[^\(]*""), """")"),"
Entanglement ")</f>
        <v>
Entanglement </v>
      </c>
      <c r="E378" s="17" t="str">
        <f>IFERROR(__xludf.DUMMYFUNCTION("if(len(A378)&gt;0, REGEXEXTRACT(A378, ""\n([^\n]*)$""), """")"),"Ability")</f>
        <v>Ability</v>
      </c>
      <c r="F378" s="17" t="str">
        <f>IFERROR(__xludf.DUMMYFUNCTION("if(len(A378)&gt;0, REGEXEXTRACT(A378, ""\(([^\)]*)\)""), """")"),"The World Ends With You")</f>
        <v>The World Ends With You</v>
      </c>
      <c r="G378" s="17" t="str">
        <f>IFERROR(__xludf.DUMMYFUNCTION("if(len(A378)&gt;0, REGEXEXTRACT(A378, ""\)([^:]*):""), """")")," Free")</f>
        <v> Free</v>
      </c>
      <c r="H378" s="31" t="str">
        <f>IFERROR(__xludf.DUMMYFUNCTION("if(len(A378) &gt; 0, JOIN(char(10), FILTER(SPLIT(A378, char(10)), split(""false false "" &amp; rept(""true "", columns(SPLIT(A378, char(10)))-3) &amp; ""false"", "" ""))), """")"),"Allows the user to create a chain between two designated points. Enemies hit by the chain (or who run into it) take damage and suffer Defense Break.")</f>
        <v>Allows the user to create a chain between two designated points. Enemies hit by the chain (or who run into it) take damage and suffer Defense Break.</v>
      </c>
    </row>
    <row r="379">
      <c r="A379" s="31" t="str">
        <f>IFERROR(__xludf.DUMMYFUNCTION("""COMPUTED_VALUE"""),"Chapter 59: 46 Review
My Fashion Sense is Tingling (The World Ends With You) 50:
You have an impeccable sense of fashion. You can make an appealing outfit out of just about anything. In addition, you will always have an innate knowledge of what is fashion"&amp;"able in the area wherever you go, allowing you to remain on top of your game no matter where you are. In fact, you'll usually be a trendsetter.
Skill")</f>
        <v>Chapter 59: 46 Review
My Fashion Sense is Tingling (The World Ends With You) 50:
You have an impeccable sense of fashion. You can make an appealing outfit out of just about anything. In addition, you will always have an innate knowledge of what is fashionable in the area wherever you go, allowing you to remain on top of your game no matter where you are. In fact, you'll usually be a trendsetter.
Skill</v>
      </c>
      <c r="B379" s="17">
        <f>IFERROR(__xludf.DUMMYFUNCTION("if(len(A379)&gt;0, value(REGEXEXTRACT(A379, ""Chapter ([0-9]*):"")), """")"),59.0)</f>
        <v>59</v>
      </c>
      <c r="C379" s="31" t="str">
        <f>IFERROR(__xludf.DUMMYFUNCTION("if(len(A379) &gt;0, REGEXEXTRACT(A379, ""Chapter [0-9]*: (.*)""), """")"),"46 Review")</f>
        <v>46 Review</v>
      </c>
      <c r="D379" s="31" t="str">
        <f>IFERROR(__xludf.DUMMYFUNCTION("if(len(A379)&gt;0, REGEXEXTRACT(A379, ""\n[^\(]*""), """")"),"
My Fashion Sense is Tingling ")</f>
        <v>
My Fashion Sense is Tingling </v>
      </c>
      <c r="E379" s="17" t="str">
        <f>IFERROR(__xludf.DUMMYFUNCTION("if(len(A379)&gt;0, REGEXEXTRACT(A379, ""\n([^\n]*)$""), """")"),"Skill")</f>
        <v>Skill</v>
      </c>
      <c r="F379" s="17" t="str">
        <f>IFERROR(__xludf.DUMMYFUNCTION("if(len(A379)&gt;0, REGEXEXTRACT(A379, ""\(([^\)]*)\)""), """")"),"The World Ends With You")</f>
        <v>The World Ends With You</v>
      </c>
      <c r="G379" s="17" t="str">
        <f>IFERROR(__xludf.DUMMYFUNCTION("if(len(A379)&gt;0, REGEXEXTRACT(A379, ""\)([^:]*):""), """")")," 50")</f>
        <v> 50</v>
      </c>
      <c r="H379" s="31" t="str">
        <f>IFERROR(__xludf.DUMMYFUNCTION("if(len(A379) &gt; 0, JOIN(char(10), FILTER(SPLIT(A379, char(10)), split(""false false "" &amp; rept(""true "", columns(SPLIT(A379, char(10)))-3) &amp; ""false"", "" ""))), """")"),"You have an impeccable sense of fashion. You can make an appealing outfit out of just about anything. In addition, you will always have an innate knowledge of what is fashionable in the area wherever you go, allowing you to remain on top of your game no m"&amp;"atter where you are. In fact, you'll usually be a trendsetter.")</f>
        <v>You have an impeccable sense of fashion. You can make an appealing outfit out of just about anything. In addition, you will always have an innate knowledge of what is fashionable in the area wherever you go, allowing you to remain on top of your game no matter where you are. In fact, you'll usually be a trendsetter.</v>
      </c>
    </row>
    <row r="380">
      <c r="A380" s="31" t="str">
        <f>IFERROR(__xludf.DUMMYFUNCTION("""COMPUTED_VALUE"""),"Chapter 59: 46 Review
Natural Puppy (The World Ends With You) 100:
Natural Puppy is a brand full of clean and simple clothing with soft colors and modest designs. Their clothing offers good resistances to status ailments and defensive bonuses. Works best "&amp;"for those with the Doormat flaw.
Natural Puppy offers a lot of ranged options for Players, and has the best Force Rounds pins available as well as the exclusive Entanglement psych.
Set")</f>
        <v>Chapter 59: 46 Review
Natural Puppy (The World Ends With You) 100:
Natural Puppy is a brand full of clean and simple clothing with soft colors and modest designs. Their clothing offers good resistances to status ailments and defensive bonuses. Works best for those with the Doormat flaw.
Natural Puppy offers a lot of ranged options for Players, and has the best Force Rounds pins available as well as the exclusive Entanglement psych.
Set</v>
      </c>
      <c r="B380" s="17">
        <f>IFERROR(__xludf.DUMMYFUNCTION("if(len(A380)&gt;0, value(REGEXEXTRACT(A380, ""Chapter ([0-9]*):"")), """")"),59.0)</f>
        <v>59</v>
      </c>
      <c r="C380" s="31" t="str">
        <f>IFERROR(__xludf.DUMMYFUNCTION("if(len(A380) &gt;0, REGEXEXTRACT(A380, ""Chapter [0-9]*: (.*)""), """")"),"46 Review")</f>
        <v>46 Review</v>
      </c>
      <c r="D380" s="31" t="str">
        <f>IFERROR(__xludf.DUMMYFUNCTION("if(len(A380)&gt;0, REGEXEXTRACT(A380, ""\n[^\(]*""), """")"),"
Natural Puppy ")</f>
        <v>
Natural Puppy </v>
      </c>
      <c r="E380" s="17" t="str">
        <f>IFERROR(__xludf.DUMMYFUNCTION("if(len(A380)&gt;0, REGEXEXTRACT(A380, ""\n([^\n]*)$""), """")"),"Set")</f>
        <v>Set</v>
      </c>
      <c r="F380" s="17" t="str">
        <f>IFERROR(__xludf.DUMMYFUNCTION("if(len(A380)&gt;0, REGEXEXTRACT(A380, ""\(([^\)]*)\)""), """")"),"The World Ends With You")</f>
        <v>The World Ends With You</v>
      </c>
      <c r="G380" s="17" t="str">
        <f>IFERROR(__xludf.DUMMYFUNCTION("if(len(A380)&gt;0, REGEXEXTRACT(A380, ""\)([^:]*):""), """")")," 100")</f>
        <v> 100</v>
      </c>
      <c r="H380" s="31" t="str">
        <f>IFERROR(__xludf.DUMMYFUNCTION("if(len(A380) &gt; 0, JOIN(char(10), FILTER(SPLIT(A380, char(10)), split(""false false "" &amp; rept(""true "", columns(SPLIT(A380, char(10)))-3) &amp; ""false"", "" ""))), """")"),"Natural Puppy is a brand full of clean and simple clothing with soft colors and modest designs. Their clothing offers good resistances to status ailments and defensive bonuses. Works best for those with the Doormat flaw.
Natural Puppy offers a lot of rang"&amp;"ed options for Players, and has the best Force Rounds pins available as well as the exclusive Entanglement psych.")</f>
        <v>Natural Puppy is a brand full of clean and simple clothing with soft colors and modest designs. Their clothing offers good resistances to status ailments and defensive bonuses. Works best for those with the Doormat flaw.
Natural Puppy offers a lot of ranged options for Players, and has the best Force Rounds pins available as well as the exclusive Entanglement psych.</v>
      </c>
    </row>
    <row r="381">
      <c r="A381" s="31" t="str">
        <f>IFERROR(__xludf.DUMMYFUNCTION("""COMPUTED_VALUE"""),"Chapter 59: 46 Review
Player Pin (The World Ends With You) Free:
Everyone gets a Player Pin for free, which lets them scan the surface thoughts of people in the RG. Protects against thought-reading.
Item")</f>
        <v>Chapter 59: 46 Review
Player Pin (The World Ends With You) Free:
Everyone gets a Player Pin for free, which lets them scan the surface thoughts of people in the RG. Protects against thought-reading.
Item</v>
      </c>
      <c r="B381" s="17">
        <f>IFERROR(__xludf.DUMMYFUNCTION("if(len(A381)&gt;0, value(REGEXEXTRACT(A381, ""Chapter ([0-9]*):"")), """")"),59.0)</f>
        <v>59</v>
      </c>
      <c r="C381" s="31" t="str">
        <f>IFERROR(__xludf.DUMMYFUNCTION("if(len(A381) &gt;0, REGEXEXTRACT(A381, ""Chapter [0-9]*: (.*)""), """")"),"46 Review")</f>
        <v>46 Review</v>
      </c>
      <c r="D381" s="31" t="str">
        <f>IFERROR(__xludf.DUMMYFUNCTION("if(len(A381)&gt;0, REGEXEXTRACT(A381, ""\n[^\(]*""), """")"),"
Player Pin ")</f>
        <v>
Player Pin </v>
      </c>
      <c r="E381" s="17" t="str">
        <f>IFERROR(__xludf.DUMMYFUNCTION("if(len(A381)&gt;0, REGEXEXTRACT(A381, ""\n([^\n]*)$""), """")"),"Item")</f>
        <v>Item</v>
      </c>
      <c r="F381" s="17" t="str">
        <f>IFERROR(__xludf.DUMMYFUNCTION("if(len(A381)&gt;0, REGEXEXTRACT(A381, ""\(([^\)]*)\)""), """")"),"The World Ends With You")</f>
        <v>The World Ends With You</v>
      </c>
      <c r="G381" s="17" t="str">
        <f>IFERROR(__xludf.DUMMYFUNCTION("if(len(A381)&gt;0, REGEXEXTRACT(A381, ""\)([^:]*):""), """")")," Free")</f>
        <v> Free</v>
      </c>
      <c r="H381" s="31" t="str">
        <f>IFERROR(__xludf.DUMMYFUNCTION("if(len(A381) &gt; 0, JOIN(char(10), FILTER(SPLIT(A381, char(10)), split(""false false "" &amp; rept(""true "", columns(SPLIT(A381, char(10)))-3) &amp; ""false"", "" ""))), """")"),"Everyone gets a Player Pin for free, which lets them scan the surface thoughts of people in the RG. Protects against thought-reading.")</f>
        <v>Everyone gets a Player Pin for free, which lets them scan the surface thoughts of people in the RG. Protects against thought-reading.</v>
      </c>
    </row>
    <row r="382">
      <c r="A382" s="31" t="str">
        <f>IFERROR(__xludf.DUMMYFUNCTION("""COMPUTED_VALUE"""),"Chapter 59: 46 Review
Tempered Soul (Soul Calibur) 300:
You gain an innate gift for forging high-quality weaponry. The weapons you create do not appear crude in any sense of the word, and in time your skill might cause your functional weaponry to be confu"&amp;"sed for elaborate display items.
System")</f>
        <v>Chapter 59: 46 Review
Tempered Soul (Soul Calibur) 300:
You gain an innate gift for forging high-quality weaponry. The weapons you create do not appear crude in any sense of the word, and in time your skill might cause your functional weaponry to be confused for elaborate display items.
System</v>
      </c>
      <c r="B382" s="17">
        <f>IFERROR(__xludf.DUMMYFUNCTION("if(len(A382)&gt;0, value(REGEXEXTRACT(A382, ""Chapter ([0-9]*):"")), """")"),59.0)</f>
        <v>59</v>
      </c>
      <c r="C382" s="31" t="str">
        <f>IFERROR(__xludf.DUMMYFUNCTION("if(len(A382) &gt;0, REGEXEXTRACT(A382, ""Chapter [0-9]*: (.*)""), """")"),"46 Review")</f>
        <v>46 Review</v>
      </c>
      <c r="D382" s="31" t="str">
        <f>IFERROR(__xludf.DUMMYFUNCTION("if(len(A382)&gt;0, REGEXEXTRACT(A382, ""\n[^\(]*""), """")"),"
Tempered Soul ")</f>
        <v>
Tempered Soul </v>
      </c>
      <c r="E382" s="17" t="str">
        <f>IFERROR(__xludf.DUMMYFUNCTION("if(len(A382)&gt;0, REGEXEXTRACT(A382, ""\n([^\n]*)$""), """")"),"System")</f>
        <v>System</v>
      </c>
      <c r="F382" s="17" t="str">
        <f>IFERROR(__xludf.DUMMYFUNCTION("if(len(A382)&gt;0, REGEXEXTRACT(A382, ""\(([^\)]*)\)""), """")"),"Soul Calibur")</f>
        <v>Soul Calibur</v>
      </c>
      <c r="G382" s="17" t="str">
        <f>IFERROR(__xludf.DUMMYFUNCTION("if(len(A382)&gt;0, REGEXEXTRACT(A382, ""\)([^:]*):""), """")")," 300")</f>
        <v> 300</v>
      </c>
      <c r="H382" s="31" t="str">
        <f>IFERROR(__xludf.DUMMYFUNCTION("if(len(A382) &gt; 0, JOIN(char(10), FILTER(SPLIT(A382, char(10)), split(""false false "" &amp; rept(""true "", columns(SPLIT(A382, char(10)))-3) &amp; ""false"", "" ""))), """")"),"You gain an innate gift for forging high-quality weaponry. The weapons you create do not appear crude in any sense of the word, and in time your skill might cause your functional weaponry to be confused for elaborate display items.")</f>
        <v>You gain an innate gift for forging high-quality weaponry. The weapons you create do not appear crude in any sense of the word, and in time your skill might cause your functional weaponry to be confused for elaborate display items.</v>
      </c>
    </row>
    <row r="383">
      <c r="A383" s="31" t="str">
        <f>IFERROR(__xludf.DUMMYFUNCTION("""COMPUTED_VALUE"""),"Chapter 60: 46.1 Interlude Weld
Shipping the Product (F.E.A.R.) 400:
Prototypes are one thing, but what about actually getting the damn thing distributed? An item or weapon doesn't help anyone if it's the only one of its kind. You will find your ability t"&amp;"o create has increased dramatically in efficiency, letting you use the materials for three of the same items to actually make five while streamlining production lines rather quickly. As a bonus, logistics have increased enough where your shipped supplies "&amp;"are harder to intercept, keeping any allies you have fresh with resources!
Fiat")</f>
        <v>Chapter 60: 46.1 Interlude Weld
Shipping the Product (F.E.A.R.) 400:
Prototypes are one thing, but what about actually getting the damn thing distributed? An item or weapon doesn't help anyone if it's the only one of its kind. You will find your ability to create has increased dramatically in efficiency, letting you use the materials for three of the same items to actually make five while streamlining production lines rather quickly. As a bonus, logistics have increased enough where your shipped supplies are harder to intercept, keeping any allies you have fresh with resources!
Fiat</v>
      </c>
      <c r="B383" s="17">
        <f>IFERROR(__xludf.DUMMYFUNCTION("if(len(A383)&gt;0, value(REGEXEXTRACT(A383, ""Chapter ([0-9]*):"")), """")"),60.0)</f>
        <v>60</v>
      </c>
      <c r="C383" s="31" t="str">
        <f>IFERROR(__xludf.DUMMYFUNCTION("if(len(A383) &gt;0, REGEXEXTRACT(A383, ""Chapter [0-9]*: (.*)""), """")"),"46.1 Interlude Weld")</f>
        <v>46.1 Interlude Weld</v>
      </c>
      <c r="D383" s="31" t="str">
        <f>IFERROR(__xludf.DUMMYFUNCTION("if(len(A383)&gt;0, REGEXEXTRACT(A383, ""\n[^\(]*""), """")"),"
Shipping the Product ")</f>
        <v>
Shipping the Product </v>
      </c>
      <c r="E383" s="17" t="str">
        <f>IFERROR(__xludf.DUMMYFUNCTION("if(len(A383)&gt;0, REGEXEXTRACT(A383, ""\n([^\n]*)$""), """")"),"Fiat")</f>
        <v>Fiat</v>
      </c>
      <c r="F383" s="17" t="str">
        <f>IFERROR(__xludf.DUMMYFUNCTION("if(len(A383)&gt;0, REGEXEXTRACT(A383, ""\(([^\)]*)\)""), """")"),"F.E.A.R.")</f>
        <v>F.E.A.R.</v>
      </c>
      <c r="G383" s="17" t="str">
        <f>IFERROR(__xludf.DUMMYFUNCTION("if(len(A383)&gt;0, REGEXEXTRACT(A383, ""\)([^:]*):""), """")")," 400")</f>
        <v> 400</v>
      </c>
      <c r="H383" s="31" t="str">
        <f>IFERROR(__xludf.DUMMYFUNCTION("if(len(A383) &gt; 0, JOIN(char(10), FILTER(SPLIT(A383, char(10)), split(""false false "" &amp; rept(""true "", columns(SPLIT(A383, char(10)))-3) &amp; ""false"", "" ""))), """")"),"Prototypes are one thing, but what about actually getting the damn thing distributed? An item or weapon doesn't help anyone if it's the only one of its kind. You will find your ability to create has increased dramatically in efficiency, letting you use th"&amp;"e materials for three of the same items to actually make five while streamlining production lines rather quickly. As a bonus, logistics have increased enough where your shipped supplies are harder to intercept, keeping any allies you have fresh with resou"&amp;"rces!")</f>
        <v>Prototypes are one thing, but what about actually getting the damn thing distributed? An item or weapon doesn't help anyone if it's the only one of its kind. You will find your ability to create has increased dramatically in efficiency, letting you use the materials for three of the same items to actually make five while streamlining production lines rather quickly. As a bonus, logistics have increased enough where your shipped supplies are harder to intercept, keeping any allies you have fresh with resources!</v>
      </c>
    </row>
    <row r="384">
      <c r="A384" s="31" t="str">
        <f>IFERROR(__xludf.DUMMYFUNCTION("""COMPUTED_VALUE"""),"Chapter 60: 46.1 Interlude Weld
Technical Certainties (Ace Combat) 400:
Some engineers are always second guessing themselves, sticking to maintenance of machines that others use. You're so sure of your skills that you're capable of altering fighter planes"&amp;" to great effect, making them noticeably better than they were fresh out of the factory. Upgrades will be easy provided you have resources, and your technical prowess will ensure your plane can serve whatever role you wish of it. You could even slave the "&amp;"controls of ground weapons to your computers, becoming a conductor of war from the skies. You might even be knowledgeable enough to build the next superweapon...
System")</f>
        <v>Chapter 60: 46.1 Interlude Weld
Technical Certainties (Ace Combat) 400:
Some engineers are always second guessing themselves, sticking to maintenance of machines that others use. You're so sure of your skills that you're capable of altering fighter planes to great effect, making them noticeably better than they were fresh out of the factory. Upgrades will be easy provided you have resources, and your technical prowess will ensure your plane can serve whatever role you wish of it. You could even slave the controls of ground weapons to your computers, becoming a conductor of war from the skies. You might even be knowledgeable enough to build the next superweapon...
System</v>
      </c>
      <c r="B384" s="17">
        <f>IFERROR(__xludf.DUMMYFUNCTION("if(len(A384)&gt;0, value(REGEXEXTRACT(A384, ""Chapter ([0-9]*):"")), """")"),60.0)</f>
        <v>60</v>
      </c>
      <c r="C384" s="31" t="str">
        <f>IFERROR(__xludf.DUMMYFUNCTION("if(len(A384) &gt;0, REGEXEXTRACT(A384, ""Chapter [0-9]*: (.*)""), """")"),"46.1 Interlude Weld")</f>
        <v>46.1 Interlude Weld</v>
      </c>
      <c r="D384" s="31" t="str">
        <f>IFERROR(__xludf.DUMMYFUNCTION("if(len(A384)&gt;0, REGEXEXTRACT(A384, ""\n[^\(]*""), """")"),"
Technical Certainties ")</f>
        <v>
Technical Certainties </v>
      </c>
      <c r="E384" s="17" t="str">
        <f>IFERROR(__xludf.DUMMYFUNCTION("if(len(A384)&gt;0, REGEXEXTRACT(A384, ""\n([^\n]*)$""), """")"),"System")</f>
        <v>System</v>
      </c>
      <c r="F384" s="17" t="str">
        <f>IFERROR(__xludf.DUMMYFUNCTION("if(len(A384)&gt;0, REGEXEXTRACT(A384, ""\(([^\)]*)\)""), """")"),"Ace Combat")</f>
        <v>Ace Combat</v>
      </c>
      <c r="G384" s="17" t="str">
        <f>IFERROR(__xludf.DUMMYFUNCTION("if(len(A384)&gt;0, REGEXEXTRACT(A384, ""\)([^:]*):""), """")")," 400")</f>
        <v> 400</v>
      </c>
      <c r="H384" s="31" t="str">
        <f>IFERROR(__xludf.DUMMYFUNCTION("if(len(A384) &gt; 0, JOIN(char(10), FILTER(SPLIT(A384, char(10)), split(""false false "" &amp; rept(""true "", columns(SPLIT(A384, char(10)))-3) &amp; ""false"", "" ""))), """")"),"Some engineers are always second guessing themselves, sticking to maintenance of machines that others use. You're so sure of your skills that you're capable of altering fighter planes to great effect, making them noticeably better than they were fresh out"&amp;" of the factory. Upgrades will be easy provided you have resources, and your technical prowess will ensure your plane can serve whatever role you wish of it. You could even slave the controls of ground weapons to your computers, becoming a conductor of wa"&amp;"r from the skies. You might even be knowledgeable enough to build the next superweapon...")</f>
        <v>Some engineers are always second guessing themselves, sticking to maintenance of machines that others use. You're so sure of your skills that you're capable of altering fighter planes to great effect, making them noticeably better than they were fresh out of the factory. Upgrades will be easy provided you have resources, and your technical prowess will ensure your plane can serve whatever role you wish of it. You could even slave the controls of ground weapons to your computers, becoming a conductor of war from the skies. You might even be knowledgeable enough to build the next superweapon...</v>
      </c>
    </row>
    <row r="385">
      <c r="A385" s="31" t="str">
        <f>IFERROR(__xludf.DUMMYFUNCTION("""COMPUTED_VALUE"""),"Chapter 60: 46.1 Interlude Weld
The Alchemy Machine (Shivers) 400:
Created by the legendary alchemist Louis Garcon, this mysterious machine combines modern science with principles passed down from ancient Egyptian times. Should you have any alchemic abili"&amp;"ty or knowledge, using this machine will not only drastically enhance the potency of anything you create, but also significantly boost the output. Careful experimentation may even let you learn to automate the alchemic process, allowing the machine to pro"&amp;"duce indefinitely if provided with supplies. Without such knowledge, though, expect significantly more experimentation before you achieve anything of note.
Item")</f>
        <v>Chapter 60: 46.1 Interlude Weld
The Alchemy Machine (Shivers) 400:
Created by the legendary alchemist Louis Garcon, this mysterious machine combines modern science with principles passed down from ancient Egyptian times. Should you have any alchemic ability or knowledge, using this machine will not only drastically enhance the potency of anything you create, but also significantly boost the output. Careful experimentation may even let you learn to automate the alchemic process, allowing the machine to produce indefinitely if provided with supplies. Without such knowledge, though, expect significantly more experimentation before you achieve anything of note.
Item</v>
      </c>
      <c r="B385" s="17">
        <f>IFERROR(__xludf.DUMMYFUNCTION("if(len(A385)&gt;0, value(REGEXEXTRACT(A385, ""Chapter ([0-9]*):"")), """")"),60.0)</f>
        <v>60</v>
      </c>
      <c r="C385" s="31" t="str">
        <f>IFERROR(__xludf.DUMMYFUNCTION("if(len(A385) &gt;0, REGEXEXTRACT(A385, ""Chapter [0-9]*: (.*)""), """")"),"46.1 Interlude Weld")</f>
        <v>46.1 Interlude Weld</v>
      </c>
      <c r="D385" s="31" t="str">
        <f>IFERROR(__xludf.DUMMYFUNCTION("if(len(A385)&gt;0, REGEXEXTRACT(A385, ""\n[^\(]*""), """")"),"
The Alchemy Machine ")</f>
        <v>
The Alchemy Machine </v>
      </c>
      <c r="E385" s="17" t="str">
        <f>IFERROR(__xludf.DUMMYFUNCTION("if(len(A385)&gt;0, REGEXEXTRACT(A385, ""\n([^\n]*)$""), """")"),"Item")</f>
        <v>Item</v>
      </c>
      <c r="F385" s="17" t="str">
        <f>IFERROR(__xludf.DUMMYFUNCTION("if(len(A385)&gt;0, REGEXEXTRACT(A385, ""\(([^\)]*)\)""), """")"),"Shivers")</f>
        <v>Shivers</v>
      </c>
      <c r="G385" s="17" t="str">
        <f>IFERROR(__xludf.DUMMYFUNCTION("if(len(A385)&gt;0, REGEXEXTRACT(A385, ""\)([^:]*):""), """")")," 400")</f>
        <v> 400</v>
      </c>
      <c r="H385" s="31" t="str">
        <f>IFERROR(__xludf.DUMMYFUNCTION("if(len(A385) &gt; 0, JOIN(char(10), FILTER(SPLIT(A385, char(10)), split(""false false "" &amp; rept(""true "", columns(SPLIT(A385, char(10)))-3) &amp; ""false"", "" ""))), """")"),"Created by the legendary alchemist Louis Garcon, this mysterious machine combines modern science with principles passed down from ancient Egyptian times. Should you have any alchemic ability or knowledge, using this machine will not only drastically enhan"&amp;"ce the potency of anything you create, but also significantly boost the output. Careful experimentation may even let you learn to automate the alchemic process, allowing the machine to produce indefinitely if provided with supplies. Without such knowledge"&amp;", though, expect significantly more experimentation before you achieve anything of note.")</f>
        <v>Created by the legendary alchemist Louis Garcon, this mysterious machine combines modern science with principles passed down from ancient Egyptian times. Should you have any alchemic ability or knowledge, using this machine will not only drastically enhance the potency of anything you create, but also significantly boost the output. Careful experimentation may even let you learn to automate the alchemic process, allowing the machine to produce indefinitely if provided with supplies. Without such knowledge, though, expect significantly more experimentation before you achieve anything of note.</v>
      </c>
    </row>
    <row r="386">
      <c r="A386" s="31" t="str">
        <f>IFERROR(__xludf.DUMMYFUNCTION("""COMPUTED_VALUE"""),"Chapter 62: 47 Downtime
Bomber Jacket (Strike Witches) Free:
Discount Army Surplus offering customised bomber jacket for free to any and all of our STRIKE WITCH HEROS. Call through and give your Regiment, Call-sign and Address and will mail out in a day w"&amp;"ith Regiment patch and Call-sign embodied. Go get „em girls! Ph: 123-456-7890
Item")</f>
        <v>Chapter 62: 47 Downtime
Bomber Jacket (Strike Witches) Free:
Discount Army Surplus offering customised bomber jacket for free to any and all of our STRIKE WITCH HEROS. Call through and give your Regiment, Call-sign and Address and will mail out in a day with Regiment patch and Call-sign embodied. Go get „em girls! Ph: 123-456-7890
Item</v>
      </c>
      <c r="B386" s="17">
        <f>IFERROR(__xludf.DUMMYFUNCTION("if(len(A386)&gt;0, value(REGEXEXTRACT(A386, ""Chapter ([0-9]*):"")), """")"),62.0)</f>
        <v>62</v>
      </c>
      <c r="C386" s="31" t="str">
        <f>IFERROR(__xludf.DUMMYFUNCTION("if(len(A386) &gt;0, REGEXEXTRACT(A386, ""Chapter [0-9]*: (.*)""), """")"),"47 Downtime")</f>
        <v>47 Downtime</v>
      </c>
      <c r="D386" s="31" t="str">
        <f>IFERROR(__xludf.DUMMYFUNCTION("if(len(A386)&gt;0, REGEXEXTRACT(A386, ""\n[^\(]*""), """")"),"
Bomber Jacket ")</f>
        <v>
Bomber Jacket </v>
      </c>
      <c r="E386" s="17" t="str">
        <f>IFERROR(__xludf.DUMMYFUNCTION("if(len(A386)&gt;0, REGEXEXTRACT(A386, ""\n([^\n]*)$""), """")"),"Item")</f>
        <v>Item</v>
      </c>
      <c r="F386" s="17" t="str">
        <f>IFERROR(__xludf.DUMMYFUNCTION("if(len(A386)&gt;0, REGEXEXTRACT(A386, ""\(([^\)]*)\)""), """")"),"Strike Witches")</f>
        <v>Strike Witches</v>
      </c>
      <c r="G386" s="17" t="str">
        <f>IFERROR(__xludf.DUMMYFUNCTION("if(len(A386)&gt;0, REGEXEXTRACT(A386, ""\)([^:]*):""), """")")," Free")</f>
        <v> Free</v>
      </c>
      <c r="H386" s="31" t="str">
        <f>IFERROR(__xludf.DUMMYFUNCTION("if(len(A386) &gt; 0, JOIN(char(10), FILTER(SPLIT(A386, char(10)), split(""false false "" &amp; rept(""true "", columns(SPLIT(A386, char(10)))-3) &amp; ""false"", "" ""))), """")"),"Discount Army Surplus offering customised bomber jacket for free to any and all of our STRIKE WITCH HEROS. Call through and give your Regiment, Call-sign and Address and will mail out in a day with Regiment patch and Call-sign embodied. Go get „em girls! "&amp;"Ph: 123-456-7890")</f>
        <v>Discount Army Surplus offering customised bomber jacket for free to any and all of our STRIKE WITCH HEROS. Call through and give your Regiment, Call-sign and Address and will mail out in a day with Regiment patch and Call-sign embodied. Go get „em girls! Ph: 123-456-7890</v>
      </c>
    </row>
    <row r="387">
      <c r="A387" s="31" t="str">
        <f>IFERROR(__xludf.DUMMYFUNCTION("""COMPUTED_VALUE"""),"Chapter 62: 47 Downtime
Call sign (Strike Witches) Free:
Attention all military personnel, due to the recent alliances several documents of low importance have gone missing. It is important that you announce your call sign to your direct superior as soon "&amp;"as possible. All your comrades will know you by it, and if you don‟t tell us one will simply be appointed to you during your next Sortie.
Personal")</f>
        <v>Chapter 62: 47 Downtime
Call sign (Strike Witches) Free:
Attention all military personnel, due to the recent alliances several documents of low importance have gone missing. It is important that you announce your call sign to your direct superior as soon as possible. All your comrades will know you by it, and if you don‟t tell us one will simply be appointed to you during your next Sortie.
Personal</v>
      </c>
      <c r="B387" s="17">
        <f>IFERROR(__xludf.DUMMYFUNCTION("if(len(A387)&gt;0, value(REGEXEXTRACT(A387, ""Chapter ([0-9]*):"")), """")"),62.0)</f>
        <v>62</v>
      </c>
      <c r="C387" s="31" t="str">
        <f>IFERROR(__xludf.DUMMYFUNCTION("if(len(A387) &gt;0, REGEXEXTRACT(A387, ""Chapter [0-9]*: (.*)""), """")"),"47 Downtime")</f>
        <v>47 Downtime</v>
      </c>
      <c r="D387" s="31" t="str">
        <f>IFERROR(__xludf.DUMMYFUNCTION("if(len(A387)&gt;0, REGEXEXTRACT(A387, ""\n[^\(]*""), """")"),"
Call sign ")</f>
        <v>
Call sign </v>
      </c>
      <c r="E387" s="17" t="str">
        <f>IFERROR(__xludf.DUMMYFUNCTION("if(len(A387)&gt;0, REGEXEXTRACT(A387, ""\n([^\n]*)$""), """")"),"Personal")</f>
        <v>Personal</v>
      </c>
      <c r="F387" s="17" t="str">
        <f>IFERROR(__xludf.DUMMYFUNCTION("if(len(A387)&gt;0, REGEXEXTRACT(A387, ""\(([^\)]*)\)""), """")"),"Strike Witches")</f>
        <v>Strike Witches</v>
      </c>
      <c r="G387" s="17" t="str">
        <f>IFERROR(__xludf.DUMMYFUNCTION("if(len(A387)&gt;0, REGEXEXTRACT(A387, ""\)([^:]*):""), """")")," Free")</f>
        <v> Free</v>
      </c>
      <c r="H387" s="31" t="str">
        <f>IFERROR(__xludf.DUMMYFUNCTION("if(len(A387) &gt; 0, JOIN(char(10), FILTER(SPLIT(A387, char(10)), split(""false false "" &amp; rept(""true "", columns(SPLIT(A387, char(10)))-3) &amp; ""false"", "" ""))), """")"),"Attention all military personnel, due to the recent alliances several documents of low importance have gone missing. It is important that you announce your call sign to your direct superior as soon as possible. All your comrades will know you by it, and i"&amp;"f you don‟t tell us one will simply be appointed to you during your next Sortie.")</f>
        <v>Attention all military personnel, due to the recent alliances several documents of low importance have gone missing. It is important that you announce your call sign to your direct superior as soon as possible. All your comrades will know you by it, and if you don‟t tell us one will simply be appointed to you during your next Sortie.</v>
      </c>
    </row>
    <row r="388">
      <c r="A388" s="31" t="str">
        <f>IFERROR(__xludf.DUMMYFUNCTION("""COMPUTED_VALUE"""),"Chapter 62: 47 Downtime
Skills: Medicine (Star Trek - TNG+DS9) 100:
Training and knowledge in First-aid, diseases, surgery, anatomy, health and nutrition. You're a fully qualified doctor of the 24th century.
Skill")</f>
        <v>Chapter 62: 47 Downtime
Skills: Medicine (Star Trek - TNG+DS9) 100:
Training and knowledge in First-aid, diseases, surgery, anatomy, health and nutrition. You're a fully qualified doctor of the 24th century.
Skill</v>
      </c>
      <c r="B388" s="17">
        <f>IFERROR(__xludf.DUMMYFUNCTION("if(len(A388)&gt;0, value(REGEXEXTRACT(A388, ""Chapter ([0-9]*):"")), """")"),62.0)</f>
        <v>62</v>
      </c>
      <c r="C388" s="31" t="str">
        <f>IFERROR(__xludf.DUMMYFUNCTION("if(len(A388) &gt;0, REGEXEXTRACT(A388, ""Chapter [0-9]*: (.*)""), """")"),"47 Downtime")</f>
        <v>47 Downtime</v>
      </c>
      <c r="D388" s="31" t="str">
        <f>IFERROR(__xludf.DUMMYFUNCTION("if(len(A388)&gt;0, REGEXEXTRACT(A388, ""\n[^\(]*""), """")"),"
Skills: Medicine ")</f>
        <v>
Skills: Medicine </v>
      </c>
      <c r="E388" s="17" t="str">
        <f>IFERROR(__xludf.DUMMYFUNCTION("if(len(A388)&gt;0, REGEXEXTRACT(A388, ""\n([^\n]*)$""), """")"),"Skill")</f>
        <v>Skill</v>
      </c>
      <c r="F388" s="17" t="str">
        <f>IFERROR(__xludf.DUMMYFUNCTION("if(len(A388)&gt;0, REGEXEXTRACT(A388, ""\(([^\)]*)\)""), """")"),"Star Trek - TNG+DS9")</f>
        <v>Star Trek - TNG+DS9</v>
      </c>
      <c r="G388" s="17" t="str">
        <f>IFERROR(__xludf.DUMMYFUNCTION("if(len(A388)&gt;0, REGEXEXTRACT(A388, ""\)([^:]*):""), """")")," 100")</f>
        <v> 100</v>
      </c>
      <c r="H388" s="31" t="str">
        <f>IFERROR(__xludf.DUMMYFUNCTION("if(len(A388) &gt; 0, JOIN(char(10), FILTER(SPLIT(A388, char(10)), split(""false false "" &amp; rept(""true "", columns(SPLIT(A388, char(10)))-3) &amp; ""false"", "" ""))), """")"),"Training and knowledge in First-aid, diseases, surgery, anatomy, health and nutrition. You're a fully qualified doctor of the 24th century.")</f>
        <v>Training and knowledge in First-aid, diseases, surgery, anatomy, health and nutrition. You're a fully qualified doctor of the 24th century.</v>
      </c>
    </row>
    <row r="389">
      <c r="A389" s="31" t="str">
        <f>IFERROR(__xludf.DUMMYFUNCTION("""COMPUTED_VALUE"""),"Chapter 62: 47 Downtime
Skills: Navigation (Star Trek - TNG+DS9) 100:
Training in how to locate your position and plot courses. You can navigate both with a computer, and without one using astronomy.
Skill")</f>
        <v>Chapter 62: 47 Downtime
Skills: Navigation (Star Trek - TNG+DS9) 100:
Training in how to locate your position and plot courses. You can navigate both with a computer, and without one using astronomy.
Skill</v>
      </c>
      <c r="B389" s="17">
        <f>IFERROR(__xludf.DUMMYFUNCTION("if(len(A389)&gt;0, value(REGEXEXTRACT(A389, ""Chapter ([0-9]*):"")), """")"),62.0)</f>
        <v>62</v>
      </c>
      <c r="C389" s="31" t="str">
        <f>IFERROR(__xludf.DUMMYFUNCTION("if(len(A389) &gt;0, REGEXEXTRACT(A389, ""Chapter [0-9]*: (.*)""), """")"),"47 Downtime")</f>
        <v>47 Downtime</v>
      </c>
      <c r="D389" s="31" t="str">
        <f>IFERROR(__xludf.DUMMYFUNCTION("if(len(A389)&gt;0, REGEXEXTRACT(A389, ""\n[^\(]*""), """")"),"
Skills: Navigation ")</f>
        <v>
Skills: Navigation </v>
      </c>
      <c r="E389" s="17" t="str">
        <f>IFERROR(__xludf.DUMMYFUNCTION("if(len(A389)&gt;0, REGEXEXTRACT(A389, ""\n([^\n]*)$""), """")"),"Skill")</f>
        <v>Skill</v>
      </c>
      <c r="F389" s="17" t="str">
        <f>IFERROR(__xludf.DUMMYFUNCTION("if(len(A389)&gt;0, REGEXEXTRACT(A389, ""\(([^\)]*)\)""), """")"),"Star Trek - TNG+DS9")</f>
        <v>Star Trek - TNG+DS9</v>
      </c>
      <c r="G389" s="17" t="str">
        <f>IFERROR(__xludf.DUMMYFUNCTION("if(len(A389)&gt;0, REGEXEXTRACT(A389, ""\)([^:]*):""), """")")," 100")</f>
        <v> 100</v>
      </c>
      <c r="H389" s="31" t="str">
        <f>IFERROR(__xludf.DUMMYFUNCTION("if(len(A389) &gt; 0, JOIN(char(10), FILTER(SPLIT(A389, char(10)), split(""false false "" &amp; rept(""true "", columns(SPLIT(A389, char(10)))-3) &amp; ""false"", "" ""))), """")"),"Training in how to locate your position and plot courses. You can navigate both with a computer, and without one using astronomy.")</f>
        <v>Training in how to locate your position and plot courses. You can navigate both with a computer, and without one using astronomy.</v>
      </c>
    </row>
    <row r="390">
      <c r="A390" s="31" t="str">
        <f>IFERROR(__xludf.DUMMYFUNCTION("""COMPUTED_VALUE"""),"Chapter 62: 47 Downtime
Skills: Stealth (Star Trek - TNG+DS9) 100:
Your ability to sneak around unnoticed. This will help you take down enemies unnoticed, infiltrate secure facilities, and steal thing without being detected.
Skill")</f>
        <v>Chapter 62: 47 Downtime
Skills: Stealth (Star Trek - TNG+DS9) 100:
Your ability to sneak around unnoticed. This will help you take down enemies unnoticed, infiltrate secure facilities, and steal thing without being detected.
Skill</v>
      </c>
      <c r="B390" s="17">
        <f>IFERROR(__xludf.DUMMYFUNCTION("if(len(A390)&gt;0, value(REGEXEXTRACT(A390, ""Chapter ([0-9]*):"")), """")"),62.0)</f>
        <v>62</v>
      </c>
      <c r="C390" s="31" t="str">
        <f>IFERROR(__xludf.DUMMYFUNCTION("if(len(A390) &gt;0, REGEXEXTRACT(A390, ""Chapter [0-9]*: (.*)""), """")"),"47 Downtime")</f>
        <v>47 Downtime</v>
      </c>
      <c r="D390" s="31" t="str">
        <f>IFERROR(__xludf.DUMMYFUNCTION("if(len(A390)&gt;0, REGEXEXTRACT(A390, ""\n[^\(]*""), """")"),"
Skills: Stealth ")</f>
        <v>
Skills: Stealth </v>
      </c>
      <c r="E390" s="17" t="str">
        <f>IFERROR(__xludf.DUMMYFUNCTION("if(len(A390)&gt;0, REGEXEXTRACT(A390, ""\n([^\n]*)$""), """")"),"Skill")</f>
        <v>Skill</v>
      </c>
      <c r="F390" s="17" t="str">
        <f>IFERROR(__xludf.DUMMYFUNCTION("if(len(A390)&gt;0, REGEXEXTRACT(A390, ""\(([^\)]*)\)""), """")"),"Star Trek - TNG+DS9")</f>
        <v>Star Trek - TNG+DS9</v>
      </c>
      <c r="G390" s="17" t="str">
        <f>IFERROR(__xludf.DUMMYFUNCTION("if(len(A390)&gt;0, REGEXEXTRACT(A390, ""\)([^:]*):""), """")")," 100")</f>
        <v> 100</v>
      </c>
      <c r="H390" s="31" t="str">
        <f>IFERROR(__xludf.DUMMYFUNCTION("if(len(A390) &gt; 0, JOIN(char(10), FILTER(SPLIT(A390, char(10)), split(""false false "" &amp; rept(""true "", columns(SPLIT(A390, char(10)))-3) &amp; ""false"", "" ""))), """")"),"Your ability to sneak around unnoticed. This will help you take down enemies unnoticed, infiltrate secure facilities, and steal thing without being detected.")</f>
        <v>Your ability to sneak around unnoticed. This will help you take down enemies unnoticed, infiltrate secure facilities, and steal thing without being detected.</v>
      </c>
    </row>
    <row r="391">
      <c r="A391" s="31" t="str">
        <f>IFERROR(__xludf.DUMMYFUNCTION("""COMPUTED_VALUE"""),"Chapter 62: 47 Downtime
Technomage (Strike Witches) 200:
Strike Witches generally rely on service crews to tune and repair their striker, but not you. You'll be able to do the job much better and be able to modify your Striker to aid you focus your speed,"&amp;" defence or attack if you have offensive magical abilities. If you have technology from other jumps you'll be able to incorporate them into your striker and with enough time make one from scratch.
System")</f>
        <v>Chapter 62: 47 Downtime
Technomage (Strike Witches) 200:
Strike Witches generally rely on service crews to tune and repair their striker, but not you. You'll be able to do the job much better and be able to modify your Striker to aid you focus your speed, defence or attack if you have offensive magical abilities. If you have technology from other jumps you'll be able to incorporate them into your striker and with enough time make one from scratch.
System</v>
      </c>
      <c r="B391" s="17">
        <f>IFERROR(__xludf.DUMMYFUNCTION("if(len(A391)&gt;0, value(REGEXEXTRACT(A391, ""Chapter ([0-9]*):"")), """")"),62.0)</f>
        <v>62</v>
      </c>
      <c r="C391" s="31" t="str">
        <f>IFERROR(__xludf.DUMMYFUNCTION("if(len(A391) &gt;0, REGEXEXTRACT(A391, ""Chapter [0-9]*: (.*)""), """")"),"47 Downtime")</f>
        <v>47 Downtime</v>
      </c>
      <c r="D391" s="31" t="str">
        <f>IFERROR(__xludf.DUMMYFUNCTION("if(len(A391)&gt;0, REGEXEXTRACT(A391, ""\n[^\(]*""), """")"),"
Technomage ")</f>
        <v>
Technomage </v>
      </c>
      <c r="E391" s="17" t="str">
        <f>IFERROR(__xludf.DUMMYFUNCTION("if(len(A391)&gt;0, REGEXEXTRACT(A391, ""\n([^\n]*)$""), """")"),"System")</f>
        <v>System</v>
      </c>
      <c r="F391" s="17" t="str">
        <f>IFERROR(__xludf.DUMMYFUNCTION("if(len(A391)&gt;0, REGEXEXTRACT(A391, ""\(([^\)]*)\)""), """")"),"Strike Witches")</f>
        <v>Strike Witches</v>
      </c>
      <c r="G391" s="17" t="str">
        <f>IFERROR(__xludf.DUMMYFUNCTION("if(len(A391)&gt;0, REGEXEXTRACT(A391, ""\)([^:]*):""), """")")," 200")</f>
        <v> 200</v>
      </c>
      <c r="H391" s="31" t="str">
        <f>IFERROR(__xludf.DUMMYFUNCTION("if(len(A391) &gt; 0, JOIN(char(10), FILTER(SPLIT(A391, char(10)), split(""false false "" &amp; rept(""true "", columns(SPLIT(A391, char(10)))-3) &amp; ""false"", "" ""))), """")"),"Strike Witches generally rely on service crews to tune and repair their striker, but not you. You'll be able to do the job much better and be able to modify your Striker to aid you focus your speed, defence or attack if you have offensive magical abilitie"&amp;"s. If you have technology from other jumps you'll be able to incorporate them into your striker and with enough time make one from scratch.")</f>
        <v>Strike Witches generally rely on service crews to tune and repair their striker, but not you. You'll be able to do the job much better and be able to modify your Striker to aid you focus your speed, defence or attack if you have offensive magical abilities. If you have technology from other jumps you'll be able to incorporate them into your striker and with enough time make one from scratch.</v>
      </c>
    </row>
    <row r="392">
      <c r="A392" s="31" t="str">
        <f>IFERROR(__xludf.DUMMYFUNCTION("""COMPUTED_VALUE"""),"Chapter 63: 48 Uptime
Minor Blessing Artemis - Bowmanship (Percy Jackson) 100:
For one reason or another you've got a god who cares slightly about you and has seen fit to grant you some minor boon within their domains.
Skill")</f>
        <v>Chapter 63: 48 Uptime
Minor Blessing Artemis - Bowmanship (Percy Jackson) 100:
For one reason or another you've got a god who cares slightly about you and has seen fit to grant you some minor boon within their domains.
Skill</v>
      </c>
      <c r="B392" s="17">
        <f>IFERROR(__xludf.DUMMYFUNCTION("if(len(A392)&gt;0, value(REGEXEXTRACT(A392, ""Chapter ([0-9]*):"")), """")"),63.0)</f>
        <v>63</v>
      </c>
      <c r="C392" s="31" t="str">
        <f>IFERROR(__xludf.DUMMYFUNCTION("if(len(A392) &gt;0, REGEXEXTRACT(A392, ""Chapter [0-9]*: (.*)""), """")"),"48 Uptime")</f>
        <v>48 Uptime</v>
      </c>
      <c r="D392" s="31" t="str">
        <f>IFERROR(__xludf.DUMMYFUNCTION("if(len(A392)&gt;0, REGEXEXTRACT(A392, ""\n[^\(]*""), """")"),"
Minor Blessing Artemis - Bowmanship ")</f>
        <v>
Minor Blessing Artemis - Bowmanship </v>
      </c>
      <c r="E392" s="17" t="str">
        <f>IFERROR(__xludf.DUMMYFUNCTION("if(len(A392)&gt;0, REGEXEXTRACT(A392, ""\n([^\n]*)$""), """")"),"Skill")</f>
        <v>Skill</v>
      </c>
      <c r="F392" s="17" t="str">
        <f>IFERROR(__xludf.DUMMYFUNCTION("if(len(A392)&gt;0, REGEXEXTRACT(A392, ""\(([^\)]*)\)""), """")"),"Percy Jackson")</f>
        <v>Percy Jackson</v>
      </c>
      <c r="G392" s="17" t="str">
        <f>IFERROR(__xludf.DUMMYFUNCTION("if(len(A392)&gt;0, REGEXEXTRACT(A392, ""\)([^:]*):""), """")")," 100")</f>
        <v> 100</v>
      </c>
      <c r="H392" s="31" t="str">
        <f>IFERROR(__xludf.DUMMYFUNCTION("if(len(A392) &gt; 0, JOIN(char(10), FILTER(SPLIT(A392, char(10)), split(""false false "" &amp; rept(""true "", columns(SPLIT(A392, char(10)))-3) &amp; ""false"", "" ""))), """")"),"For one reason or another you've got a god who cares slightly about you and has seen fit to grant you some minor boon within their domains.")</f>
        <v>For one reason or another you've got a god who cares slightly about you and has seen fit to grant you some minor boon within their domains.</v>
      </c>
    </row>
    <row r="393">
      <c r="A393" s="31" t="str">
        <f>IFERROR(__xludf.DUMMYFUNCTION("""COMPUTED_VALUE"""),"Chapter 63: 48 Uptime
Salvager (Babylon 5) 300:
When the ore runs out and the company tells the miners to leave, that's where you really shine. It's cheaper to leave gear to rot in an abandoned site than it is to get it into orbit, across the galaxy and s"&amp;"et up again so there's always something good just waiting for a new owner. With this skill you are an expert at jury rigging tech, taking it apart, stripping out the usable parts and putting them into something else. With time and effort, you can puzzle o"&amp;"ut the workings of most technologies and how to integrate them into your own gear. Every day or industrial equipment might take a few moments, but bleeding edge gear will take years, even decades to understand.
Analysis")</f>
        <v>Chapter 63: 48 Uptime
Salvager (Babylon 5) 300:
When the ore runs out and the company tells the miners to leave, that's where you really shine. It's cheaper to leave gear to rot in an abandoned site than it is to get it into orbit, across the galaxy and set up again so there's always something good just waiting for a new owner. With this skill you are an expert at jury rigging tech, taking it apart, stripping out the usable parts and putting them into something else. With time and effort, you can puzzle out the workings of most technologies and how to integrate them into your own gear. Every day or industrial equipment might take a few moments, but bleeding edge gear will take years, even decades to understand.
Analysis</v>
      </c>
      <c r="B393" s="17">
        <f>IFERROR(__xludf.DUMMYFUNCTION("if(len(A393)&gt;0, value(REGEXEXTRACT(A393, ""Chapter ([0-9]*):"")), """")"),63.0)</f>
        <v>63</v>
      </c>
      <c r="C393" s="31" t="str">
        <f>IFERROR(__xludf.DUMMYFUNCTION("if(len(A393) &gt;0, REGEXEXTRACT(A393, ""Chapter [0-9]*: (.*)""), """")"),"48 Uptime")</f>
        <v>48 Uptime</v>
      </c>
      <c r="D393" s="31" t="str">
        <f>IFERROR(__xludf.DUMMYFUNCTION("if(len(A393)&gt;0, REGEXEXTRACT(A393, ""\n[^\(]*""), """")"),"
Salvager ")</f>
        <v>
Salvager </v>
      </c>
      <c r="E393" s="17" t="str">
        <f>IFERROR(__xludf.DUMMYFUNCTION("if(len(A393)&gt;0, REGEXEXTRACT(A393, ""\n([^\n]*)$""), """")"),"Analysis")</f>
        <v>Analysis</v>
      </c>
      <c r="F393" s="17" t="str">
        <f>IFERROR(__xludf.DUMMYFUNCTION("if(len(A393)&gt;0, REGEXEXTRACT(A393, ""\(([^\)]*)\)""), """")"),"Babylon 5")</f>
        <v>Babylon 5</v>
      </c>
      <c r="G393" s="17" t="str">
        <f>IFERROR(__xludf.DUMMYFUNCTION("if(len(A393)&gt;0, REGEXEXTRACT(A393, ""\)([^:]*):""), """")")," 300")</f>
        <v> 300</v>
      </c>
      <c r="H393" s="31" t="str">
        <f>IFERROR(__xludf.DUMMYFUNCTION("if(len(A393) &gt; 0, JOIN(char(10), FILTER(SPLIT(A393, char(10)), split(""false false "" &amp; rept(""true "", columns(SPLIT(A393, char(10)))-3) &amp; ""false"", "" ""))), """")"),"When the ore runs out and the company tells the miners to leave, that's where you really shine. It's cheaper to leave gear to rot in an abandoned site than it is to get it into orbit, across the galaxy and set up again so there's always something good jus"&amp;"t waiting for a new owner. With this skill you are an expert at jury rigging tech, taking it apart, stripping out the usable parts and putting them into something else. With time and effort, you can puzzle out the workings of most technologies and how to "&amp;"integrate them into your own gear. Every day or industrial equipment might take a few moments, but bleeding edge gear will take years, even decades to understand.")</f>
        <v>When the ore runs out and the company tells the miners to leave, that's where you really shine. It's cheaper to leave gear to rot in an abandoned site than it is to get it into orbit, across the galaxy and set up again so there's always something good just waiting for a new owner. With this skill you are an expert at jury rigging tech, taking it apart, stripping out the usable parts and putting them into something else. With time and effort, you can puzzle out the workings of most technologies and how to integrate them into your own gear. Every day or industrial equipment might take a few moments, but bleeding edge gear will take years, even decades to understand.</v>
      </c>
    </row>
    <row r="394">
      <c r="A394" s="31" t="str">
        <f>IFERROR(__xludf.DUMMYFUNCTION("""COMPUTED_VALUE"""),"Chapter 63: 48 Uptime
Unnatural Skill:Enchanting (Percy Jackson) 200:
Whether from your heritage or just being that good you've got one particular mundane skill that your feats with border on supernatural.
System")</f>
        <v>Chapter 63: 48 Uptime
Unnatural Skill:Enchanting (Percy Jackson) 200:
Whether from your heritage or just being that good you've got one particular mundane skill that your feats with border on supernatural.
System</v>
      </c>
      <c r="B394" s="17">
        <f>IFERROR(__xludf.DUMMYFUNCTION("if(len(A394)&gt;0, value(REGEXEXTRACT(A394, ""Chapter ([0-9]*):"")), """")"),63.0)</f>
        <v>63</v>
      </c>
      <c r="C394" s="31" t="str">
        <f>IFERROR(__xludf.DUMMYFUNCTION("if(len(A394) &gt;0, REGEXEXTRACT(A394, ""Chapter [0-9]*: (.*)""), """")"),"48 Uptime")</f>
        <v>48 Uptime</v>
      </c>
      <c r="D394" s="31" t="str">
        <f>IFERROR(__xludf.DUMMYFUNCTION("if(len(A394)&gt;0, REGEXEXTRACT(A394, ""\n[^\(]*""), """")"),"
Unnatural Skill:Enchanting ")</f>
        <v>
Unnatural Skill:Enchanting </v>
      </c>
      <c r="E394" s="17" t="str">
        <f>IFERROR(__xludf.DUMMYFUNCTION("if(len(A394)&gt;0, REGEXEXTRACT(A394, ""\n([^\n]*)$""), """")"),"System")</f>
        <v>System</v>
      </c>
      <c r="F394" s="17" t="str">
        <f>IFERROR(__xludf.DUMMYFUNCTION("if(len(A394)&gt;0, REGEXEXTRACT(A394, ""\(([^\)]*)\)""), """")"),"Percy Jackson")</f>
        <v>Percy Jackson</v>
      </c>
      <c r="G394" s="17" t="str">
        <f>IFERROR(__xludf.DUMMYFUNCTION("if(len(A394)&gt;0, REGEXEXTRACT(A394, ""\)([^:]*):""), """")")," 200")</f>
        <v> 200</v>
      </c>
      <c r="H394" s="31" t="str">
        <f>IFERROR(__xludf.DUMMYFUNCTION("if(len(A394) &gt; 0, JOIN(char(10), FILTER(SPLIT(A394, char(10)), split(""false false "" &amp; rept(""true "", columns(SPLIT(A394, char(10)))-3) &amp; ""false"", "" ""))), """")"),"Whether from your heritage or just being that good you've got one particular mundane skill that your feats with border on supernatural.")</f>
        <v>Whether from your heritage or just being that good you've got one particular mundane skill that your feats with border on supernatural.</v>
      </c>
    </row>
    <row r="395">
      <c r="A395" s="31" t="str">
        <f>IFERROR(__xludf.DUMMYFUNCTION("""COMPUTED_VALUE"""),"Chapter 63: 48 Uptime
Workshop: Science (Samurai Jack) 200:
A small base filled with all the equipment you’ll need to work. This lab can be used for your choice of scientific or magical research.
Facility")</f>
        <v>Chapter 63: 48 Uptime
Workshop: Science (Samurai Jack) 200:
A small base filled with all the equipment you’ll need to work. This lab can be used for your choice of scientific or magical research.
Facility</v>
      </c>
      <c r="B395" s="17">
        <f>IFERROR(__xludf.DUMMYFUNCTION("if(len(A395)&gt;0, value(REGEXEXTRACT(A395, ""Chapter ([0-9]*):"")), """")"),63.0)</f>
        <v>63</v>
      </c>
      <c r="C395" s="31" t="str">
        <f>IFERROR(__xludf.DUMMYFUNCTION("if(len(A395) &gt;0, REGEXEXTRACT(A395, ""Chapter [0-9]*: (.*)""), """")"),"48 Uptime")</f>
        <v>48 Uptime</v>
      </c>
      <c r="D395" s="31" t="str">
        <f>IFERROR(__xludf.DUMMYFUNCTION("if(len(A395)&gt;0, REGEXEXTRACT(A395, ""\n[^\(]*""), """")"),"
Workshop: Science ")</f>
        <v>
Workshop: Science </v>
      </c>
      <c r="E395" s="17" t="str">
        <f>IFERROR(__xludf.DUMMYFUNCTION("if(len(A395)&gt;0, REGEXEXTRACT(A395, ""\n([^\n]*)$""), """")"),"Facility")</f>
        <v>Facility</v>
      </c>
      <c r="F395" s="17" t="str">
        <f>IFERROR(__xludf.DUMMYFUNCTION("if(len(A395)&gt;0, REGEXEXTRACT(A395, ""\(([^\)]*)\)""), """")"),"Samurai Jack")</f>
        <v>Samurai Jack</v>
      </c>
      <c r="G395" s="17" t="str">
        <f>IFERROR(__xludf.DUMMYFUNCTION("if(len(A395)&gt;0, REGEXEXTRACT(A395, ""\)([^:]*):""), """")")," 200")</f>
        <v> 200</v>
      </c>
      <c r="H395" s="31" t="str">
        <f>IFERROR(__xludf.DUMMYFUNCTION("if(len(A395) &gt; 0, JOIN(char(10), FILTER(SPLIT(A395, char(10)), split(""false false "" &amp; rept(""true "", columns(SPLIT(A395, char(10)))-3) &amp; ""false"", "" ""))), """")"),"A small base filled with all the equipment you’ll need to work. This lab can be used for your choice of scientific or magical research.")</f>
        <v>A small base filled with all the equipment you’ll need to work. This lab can be used for your choice of scientific or magical research.</v>
      </c>
    </row>
    <row r="396">
      <c r="A396" s="31" t="str">
        <f>IFERROR(__xludf.DUMMYFUNCTION("""COMPUTED_VALUE"""),"Chapter 64: 49 Game Time
Balance Bangle (Monster Hunter) Free:
A simple leather wristband depicting a Rathalos and Tathian chasing each other's tails, vaguely reminiscent of a yin-yang. Comfortable, unobtrusive, easy to remove, and can't be lost or stolen"&amp;". While it is worn, all offensive and defensive supernatural skills and abilities you have acquired throughout your journey that have not been purchased from your current adventure are sealed. This does not affect passive or intrinsic skills, such as eide"&amp;"tic memory, intelligence or willpower boosts. Meanwhile, your physical attributes will be reduced and/or equalized to a point at the apex of your chosen species. While it is on, you may speak a programmable code word or phrase to temporarily disable the s"&amp;"ealing effect (default phrase is 'OH SHIT!') and re-apply it at will afterwards. If you seek a challenge or simply wish to live the true Monster Hunter experience, look no further.
Item")</f>
        <v>Chapter 64: 49 Game Time
Balance Bangle (Monster Hunter) Free:
A simple leather wristband depicting a Rathalos and Tathian chasing each other's tails, vaguely reminiscent of a yin-yang. Comfortable, unobtrusive, easy to remove, and can't be lost or stolen. While it is worn, all offensive and defensive supernatural skills and abilities you have acquired throughout your journey that have not been purchased from your current adventure are sealed. This does not affect passive or intrinsic skills, such as eidetic memory, intelligence or willpower boosts. Meanwhile, your physical attributes will be reduced and/or equalized to a point at the apex of your chosen species. While it is on, you may speak a programmable code word or phrase to temporarily disable the sealing effect (default phrase is 'OH SHIT!') and re-apply it at will afterwards. If you seek a challenge or simply wish to live the true Monster Hunter experience, look no further.
Item</v>
      </c>
      <c r="B396" s="17">
        <f>IFERROR(__xludf.DUMMYFUNCTION("if(len(A396)&gt;0, value(REGEXEXTRACT(A396, ""Chapter ([0-9]*):"")), """")"),64.0)</f>
        <v>64</v>
      </c>
      <c r="C396" s="31" t="str">
        <f>IFERROR(__xludf.DUMMYFUNCTION("if(len(A396) &gt;0, REGEXEXTRACT(A396, ""Chapter [0-9]*: (.*)""), """")"),"49 Game Time")</f>
        <v>49 Game Time</v>
      </c>
      <c r="D396" s="31" t="str">
        <f>IFERROR(__xludf.DUMMYFUNCTION("if(len(A396)&gt;0, REGEXEXTRACT(A396, ""\n[^\(]*""), """")"),"
Balance Bangle ")</f>
        <v>
Balance Bangle </v>
      </c>
      <c r="E396" s="17" t="str">
        <f>IFERROR(__xludf.DUMMYFUNCTION("if(len(A396)&gt;0, REGEXEXTRACT(A396, ""\n([^\n]*)$""), """")"),"Item")</f>
        <v>Item</v>
      </c>
      <c r="F396" s="17" t="str">
        <f>IFERROR(__xludf.DUMMYFUNCTION("if(len(A396)&gt;0, REGEXEXTRACT(A396, ""\(([^\)]*)\)""), """")"),"Monster Hunter")</f>
        <v>Monster Hunter</v>
      </c>
      <c r="G396" s="17" t="str">
        <f>IFERROR(__xludf.DUMMYFUNCTION("if(len(A396)&gt;0, REGEXEXTRACT(A396, ""\)([^:]*):""), """")")," Free")</f>
        <v> Free</v>
      </c>
      <c r="H396" s="31" t="str">
        <f>IFERROR(__xludf.DUMMYFUNCTION("if(len(A396) &gt; 0, JOIN(char(10), FILTER(SPLIT(A396, char(10)), split(""false false "" &amp; rept(""true "", columns(SPLIT(A396, char(10)))-3) &amp; ""false"", "" ""))), """")"),"A simple leather wristband depicting a Rathalos and Tathian chasing each other's tails, vaguely reminiscent of a yin-yang. Comfortable, unobtrusive, easy to remove, and can't be lost or stolen. While it is worn, all offensive and defensive supernatural sk"&amp;"ills and abilities you have acquired throughout your journey that have not been purchased from your current adventure are sealed. This does not affect passive or intrinsic skills, such as eidetic memory, intelligence or willpower boosts. Meanwhile, your p"&amp;"hysical attributes will be reduced and/or equalized to a point at the apex of your chosen species. While it is on, you may speak a programmable code word or phrase to temporarily disable the sealing effect (default phrase is 'OH SHIT!') and re-apply it at"&amp;" will afterwards. If you seek a challenge or simply wish to live the true Monster Hunter experience, look no further.")</f>
        <v>A simple leather wristband depicting a Rathalos and Tathian chasing each other's tails, vaguely reminiscent of a yin-yang. Comfortable, unobtrusive, easy to remove, and can't be lost or stolen. While it is worn, all offensive and defensive supernatural skills and abilities you have acquired throughout your journey that have not been purchased from your current adventure are sealed. This does not affect passive or intrinsic skills, such as eidetic memory, intelligence or willpower boosts. Meanwhile, your physical attributes will be reduced and/or equalized to a point at the apex of your chosen species. While it is on, you may speak a programmable code word or phrase to temporarily disable the sealing effect (default phrase is 'OH SHIT!') and re-apply it at will afterwards. If you seek a challenge or simply wish to live the true Monster Hunter experience, look no further.</v>
      </c>
    </row>
    <row r="397">
      <c r="A397" s="31" t="str">
        <f>IFERROR(__xludf.DUMMYFUNCTION("""COMPUTED_VALUE"""),"Chapter 64: 49 Game Time
Bright Spear (Lord of Light) Free:
One and one-half span of silver is this spear, attuned to your brainwaves and taking flight at your will. It strikes faster than any arrow, and vibrates through any shield - shaking clean of gore"&amp;" before its return to your hand. It may also move to intercept arrows and blows, as well as carry you aloft at speeds to outpace the finest horse.
Item")</f>
        <v>Chapter 64: 49 Game Time
Bright Spear (Lord of Light) Free:
One and one-half span of silver is this spear, attuned to your brainwaves and taking flight at your will. It strikes faster than any arrow, and vibrates through any shield - shaking clean of gore before its return to your hand. It may also move to intercept arrows and blows, as well as carry you aloft at speeds to outpace the finest horse.
Item</v>
      </c>
      <c r="B397" s="17">
        <f>IFERROR(__xludf.DUMMYFUNCTION("if(len(A397)&gt;0, value(REGEXEXTRACT(A397, ""Chapter ([0-9]*):"")), """")"),64.0)</f>
        <v>64</v>
      </c>
      <c r="C397" s="31" t="str">
        <f>IFERROR(__xludf.DUMMYFUNCTION("if(len(A397) &gt;0, REGEXEXTRACT(A397, ""Chapter [0-9]*: (.*)""), """")"),"49 Game Time")</f>
        <v>49 Game Time</v>
      </c>
      <c r="D397" s="31" t="str">
        <f>IFERROR(__xludf.DUMMYFUNCTION("if(len(A397)&gt;0, REGEXEXTRACT(A397, ""\n[^\(]*""), """")"),"
Bright Spear ")</f>
        <v>
Bright Spear </v>
      </c>
      <c r="E397" s="17" t="str">
        <f>IFERROR(__xludf.DUMMYFUNCTION("if(len(A397)&gt;0, REGEXEXTRACT(A397, ""\n([^\n]*)$""), """")"),"Item")</f>
        <v>Item</v>
      </c>
      <c r="F397" s="17" t="str">
        <f>IFERROR(__xludf.DUMMYFUNCTION("if(len(A397)&gt;0, REGEXEXTRACT(A397, ""\(([^\)]*)\)""), """")"),"Lord of Light")</f>
        <v>Lord of Light</v>
      </c>
      <c r="G397" s="17" t="str">
        <f>IFERROR(__xludf.DUMMYFUNCTION("if(len(A397)&gt;0, REGEXEXTRACT(A397, ""\)([^:]*):""), """")")," Free")</f>
        <v> Free</v>
      </c>
      <c r="H397" s="31" t="str">
        <f>IFERROR(__xludf.DUMMYFUNCTION("if(len(A397) &gt; 0, JOIN(char(10), FILTER(SPLIT(A397, char(10)), split(""false false "" &amp; rept(""true "", columns(SPLIT(A397, char(10)))-3) &amp; ""false"", "" ""))), """")"),"One and one-half span of silver is this spear, attuned to your brainwaves and taking flight at your will. It strikes faster than any arrow, and vibrates through any shield - shaking clean of gore before its return to your hand. It may also move to interce"&amp;"pt arrows and blows, as well as carry you aloft at speeds to outpace the finest horse.")</f>
        <v>One and one-half span of silver is this spear, attuned to your brainwaves and taking flight at your will. It strikes faster than any arrow, and vibrates through any shield - shaking clean of gore before its return to your hand. It may also move to intercept arrows and blows, as well as carry you aloft at speeds to outpace the finest horse.</v>
      </c>
    </row>
    <row r="398">
      <c r="A398" s="31" t="str">
        <f>IFERROR(__xludf.DUMMYFUNCTION("""COMPUTED_VALUE"""),"Chapter 64: 49 Game Time
Elemental Mastery (Monster Hunter) 400:
Any elemental properties your weapon carries are significantly amplified by up to 50% depending on the quality of the weapon.
Fiat")</f>
        <v>Chapter 64: 49 Game Time
Elemental Mastery (Monster Hunter) 400:
Any elemental properties your weapon carries are significantly amplified by up to 50% depending on the quality of the weapon.
Fiat</v>
      </c>
      <c r="B398" s="17">
        <f>IFERROR(__xludf.DUMMYFUNCTION("if(len(A398)&gt;0, value(REGEXEXTRACT(A398, ""Chapter ([0-9]*):"")), """")"),64.0)</f>
        <v>64</v>
      </c>
      <c r="C398" s="31" t="str">
        <f>IFERROR(__xludf.DUMMYFUNCTION("if(len(A398) &gt;0, REGEXEXTRACT(A398, ""Chapter [0-9]*: (.*)""), """")"),"49 Game Time")</f>
        <v>49 Game Time</v>
      </c>
      <c r="D398" s="31" t="str">
        <f>IFERROR(__xludf.DUMMYFUNCTION("if(len(A398)&gt;0, REGEXEXTRACT(A398, ""\n[^\(]*""), """")"),"
Elemental Mastery ")</f>
        <v>
Elemental Mastery </v>
      </c>
      <c r="E398" s="17" t="str">
        <f>IFERROR(__xludf.DUMMYFUNCTION("if(len(A398)&gt;0, REGEXEXTRACT(A398, ""\n([^\n]*)$""), """")"),"Fiat")</f>
        <v>Fiat</v>
      </c>
      <c r="F398" s="17" t="str">
        <f>IFERROR(__xludf.DUMMYFUNCTION("if(len(A398)&gt;0, REGEXEXTRACT(A398, ""\(([^\)]*)\)""), """")"),"Monster Hunter")</f>
        <v>Monster Hunter</v>
      </c>
      <c r="G398" s="17" t="str">
        <f>IFERROR(__xludf.DUMMYFUNCTION("if(len(A398)&gt;0, REGEXEXTRACT(A398, ""\)([^:]*):""), """")")," 400")</f>
        <v> 400</v>
      </c>
      <c r="H398" s="31" t="str">
        <f>IFERROR(__xludf.DUMMYFUNCTION("if(len(A398) &gt; 0, JOIN(char(10), FILTER(SPLIT(A398, char(10)), split(""false false "" &amp; rept(""true "", columns(SPLIT(A398, char(10)))-3) &amp; ""false"", "" ""))), """")"),"Any elemental properties your weapon carries are significantly amplified by up to 50% depending on the quality of the weapon.")</f>
        <v>Any elemental properties your weapon carries are significantly amplified by up to 50% depending on the quality of the weapon.</v>
      </c>
    </row>
    <row r="399">
      <c r="A399" s="31" t="str">
        <f>IFERROR(__xludf.DUMMYFUNCTION("""COMPUTED_VALUE"""),"Chapter 64: 49 Game Time
Starter Weapon: Bone Rod I and Mauldrone I (Monster Hunter) Free:
It would be needlessly cruel to throw you into this dangerous world unprepared. Here, this one is on the house. You may pick any on basic Rarity 1 starter weapon (b"&amp;"one or iron) of any type. Hunters get 1 of each type of basic starter weapon for free. Bone weapons have higher base damage, but relatively poor sharpness, while the inverse is true for iron weapons.
Item")</f>
        <v>Chapter 64: 49 Game Time
Starter Weapon: Bone Rod I and Mauldrone I (Monster Hunter) Free:
It would be needlessly cruel to throw you into this dangerous world unprepared. Here, this one is on the house. You may pick any on basic Rarity 1 starter weapon (bone or iron) of any type. Hunters get 1 of each type of basic starter weapon for free. Bone weapons have higher base damage, but relatively poor sharpness, while the inverse is true for iron weapons.
Item</v>
      </c>
      <c r="B399" s="17">
        <f>IFERROR(__xludf.DUMMYFUNCTION("if(len(A399)&gt;0, value(REGEXEXTRACT(A399, ""Chapter ([0-9]*):"")), """")"),64.0)</f>
        <v>64</v>
      </c>
      <c r="C399" s="31" t="str">
        <f>IFERROR(__xludf.DUMMYFUNCTION("if(len(A399) &gt;0, REGEXEXTRACT(A399, ""Chapter [0-9]*: (.*)""), """")"),"49 Game Time")</f>
        <v>49 Game Time</v>
      </c>
      <c r="D399" s="31" t="str">
        <f>IFERROR(__xludf.DUMMYFUNCTION("if(len(A399)&gt;0, REGEXEXTRACT(A399, ""\n[^\(]*""), """")"),"
Starter Weapon: Bone Rod I and Mauldrone I ")</f>
        <v>
Starter Weapon: Bone Rod I and Mauldrone I </v>
      </c>
      <c r="E399" s="17" t="str">
        <f>IFERROR(__xludf.DUMMYFUNCTION("if(len(A399)&gt;0, REGEXEXTRACT(A399, ""\n([^\n]*)$""), """")"),"Item")</f>
        <v>Item</v>
      </c>
      <c r="F399" s="17" t="str">
        <f>IFERROR(__xludf.DUMMYFUNCTION("if(len(A399)&gt;0, REGEXEXTRACT(A399, ""\(([^\)]*)\)""), """")"),"Monster Hunter")</f>
        <v>Monster Hunter</v>
      </c>
      <c r="G399" s="17" t="str">
        <f>IFERROR(__xludf.DUMMYFUNCTION("if(len(A399)&gt;0, REGEXEXTRACT(A399, ""\)([^:]*):""), """")")," Free")</f>
        <v> Free</v>
      </c>
      <c r="H399" s="31" t="str">
        <f>IFERROR(__xludf.DUMMYFUNCTION("if(len(A399) &gt; 0, JOIN(char(10), FILTER(SPLIT(A399, char(10)), split(""false false "" &amp; rept(""true "", columns(SPLIT(A399, char(10)))-3) &amp; ""false"", "" ""))), """")"),"It would be needlessly cruel to throw you into this dangerous world unprepared. Here, this one is on the house. You may pick any on basic Rarity 1 starter weapon (bone or iron) of any type. Hunters get 1 of each type of basic starter weapon for free. Bone"&amp;" weapons have higher base damage, but relatively poor sharpness, while the inverse is true for iron weapons.")</f>
        <v>It would be needlessly cruel to throw you into this dangerous world unprepared. Here, this one is on the house. You may pick any on basic Rarity 1 starter weapon (bone or iron) of any type. Hunters get 1 of each type of basic starter weapon for free. Bone weapons have higher base damage, but relatively poor sharpness, while the inverse is true for iron weapons.</v>
      </c>
    </row>
    <row r="400">
      <c r="A400" s="31" t="str">
        <f>IFERROR(__xludf.DUMMYFUNCTION("""COMPUTED_VALUE"""),"Chapter 64: 49 Game Time
The Divine Machines (Lord of Light) 300:
Many and varied are the wonders of the Gods. From the Vasty Hall of Death, Yama brings forth Thunder Chariot and Bright Spear, Trident of Destruction and Wand of Universal Fire. In Heaven, "&amp;"there is an elegant statue with eight arms that plays the lute when addressed, and endless machines that keep all in perfect stasis. The elementary forms of these great sciences and artefacts are laid bare to you, and you may service and understand the te"&amp;"chnology of this world. While great innovations and the wonders forged by Yama might escape you, you have a solid basis that escapes the vast majority of men and gods in the world - sufficient to greatly impress those who understand the value of such thin"&amp;"gs. With this you also gain one artefact costing 200CP or less for free.
System")</f>
        <v>Chapter 64: 49 Game Time
The Divine Machines (Lord of Light) 300:
Many and varied are the wonders of the Gods. From the Vasty Hall of Death, Yama brings forth Thunder Chariot and Bright Spear, Trident of Destruction and Wand of Universal Fire. In Heaven, there is an elegant statue with eight arms that plays the lute when addressed, and endless machines that keep all in perfect stasis. The elementary forms of these great sciences and artefacts are laid bare to you, and you may service and understand the technology of this world. While great innovations and the wonders forged by Yama might escape you, you have a solid basis that escapes the vast majority of men and gods in the world - sufficient to greatly impress those who understand the value of such things. With this you also gain one artefact costing 200CP or less for free.
System</v>
      </c>
      <c r="B400" s="17">
        <f>IFERROR(__xludf.DUMMYFUNCTION("if(len(A400)&gt;0, value(REGEXEXTRACT(A400, ""Chapter ([0-9]*):"")), """")"),64.0)</f>
        <v>64</v>
      </c>
      <c r="C400" s="31" t="str">
        <f>IFERROR(__xludf.DUMMYFUNCTION("if(len(A400) &gt;0, REGEXEXTRACT(A400, ""Chapter [0-9]*: (.*)""), """")"),"49 Game Time")</f>
        <v>49 Game Time</v>
      </c>
      <c r="D400" s="31" t="str">
        <f>IFERROR(__xludf.DUMMYFUNCTION("if(len(A400)&gt;0, REGEXEXTRACT(A400, ""\n[^\(]*""), """")"),"
The Divine Machines ")</f>
        <v>
The Divine Machines </v>
      </c>
      <c r="E400" s="17" t="str">
        <f>IFERROR(__xludf.DUMMYFUNCTION("if(len(A400)&gt;0, REGEXEXTRACT(A400, ""\n([^\n]*)$""), """")"),"System")</f>
        <v>System</v>
      </c>
      <c r="F400" s="17" t="str">
        <f>IFERROR(__xludf.DUMMYFUNCTION("if(len(A400)&gt;0, REGEXEXTRACT(A400, ""\(([^\)]*)\)""), """")"),"Lord of Light")</f>
        <v>Lord of Light</v>
      </c>
      <c r="G400" s="17" t="str">
        <f>IFERROR(__xludf.DUMMYFUNCTION("if(len(A400)&gt;0, REGEXEXTRACT(A400, ""\)([^:]*):""), """")")," 300")</f>
        <v> 300</v>
      </c>
      <c r="H400" s="31" t="str">
        <f>IFERROR(__xludf.DUMMYFUNCTION("if(len(A400) &gt; 0, JOIN(char(10), FILTER(SPLIT(A400, char(10)), split(""false false "" &amp; rept(""true "", columns(SPLIT(A400, char(10)))-3) &amp; ""false"", "" ""))), """")"),"Many and varied are the wonders of the Gods. From the Vasty Hall of Death, Yama brings forth Thunder Chariot and Bright Spear, Trident of Destruction and Wand of Universal Fire. In Heaven, there is an elegant statue with eight arms that plays the lute whe"&amp;"n addressed, and endless machines that keep all in perfect stasis. The elementary forms of these great sciences and artefacts are laid bare to you, and you may service and understand the technology of this world. While great innovations and the wonders fo"&amp;"rged by Yama might escape you, you have a solid basis that escapes the vast majority of men and gods in the world - sufficient to greatly impress those who understand the value of such things. With this you also gain one artefact costing 200CP or less for"&amp;" free.")</f>
        <v>Many and varied are the wonders of the Gods. From the Vasty Hall of Death, Yama brings forth Thunder Chariot and Bright Spear, Trident of Destruction and Wand of Universal Fire. In Heaven, there is an elegant statue with eight arms that plays the lute when addressed, and endless machines that keep all in perfect stasis. The elementary forms of these great sciences and artefacts are laid bare to you, and you may service and understand the technology of this world. While great innovations and the wonders forged by Yama might escape you, you have a solid basis that escapes the vast majority of men and gods in the world - sufficient to greatly impress those who understand the value of such things. With this you also gain one artefact costing 200CP or less for free.</v>
      </c>
    </row>
    <row r="401">
      <c r="A401" s="31" t="str">
        <f>IFERROR(__xludf.DUMMYFUNCTION("""COMPUTED_VALUE"""),"Chapter 65: 50 Meantime
Launderer System (No More Heroes) 400:
You gain a new thing to place in your warehouse, and though you don’t exactly know how it works the instruction booklet says it can construct beam katanas of all different styles and usefulnes"&amp;"s if given the right components- or if you don’t have those, shoving the right raw ingredients in enough quantity to just manufacture the damn things. With enough technical knowledge, you will be able to discard the manual.
Facility, System")</f>
        <v>Chapter 65: 50 Meantime
Launderer System (No More Heroes) 400:
You gain a new thing to place in your warehouse, and though you don’t exactly know how it works the instruction booklet says it can construct beam katanas of all different styles and usefulness if given the right components- or if you don’t have those, shoving the right raw ingredients in enough quantity to just manufacture the damn things. With enough technical knowledge, you will be able to discard the manual.
Facility, System</v>
      </c>
      <c r="B401" s="17">
        <f>IFERROR(__xludf.DUMMYFUNCTION("if(len(A401)&gt;0, value(REGEXEXTRACT(A401, ""Chapter ([0-9]*):"")), """")"),65.0)</f>
        <v>65</v>
      </c>
      <c r="C401" s="31" t="str">
        <f>IFERROR(__xludf.DUMMYFUNCTION("if(len(A401) &gt;0, REGEXEXTRACT(A401, ""Chapter [0-9]*: (.*)""), """")"),"50 Meantime")</f>
        <v>50 Meantime</v>
      </c>
      <c r="D401" s="31" t="str">
        <f>IFERROR(__xludf.DUMMYFUNCTION("if(len(A401)&gt;0, REGEXEXTRACT(A401, ""\n[^\(]*""), """")"),"
Launderer System ")</f>
        <v>
Launderer System </v>
      </c>
      <c r="E401" s="17" t="str">
        <f>IFERROR(__xludf.DUMMYFUNCTION("if(len(A401)&gt;0, REGEXEXTRACT(A401, ""\n([^\n]*)$""), """")"),"Facility, System")</f>
        <v>Facility, System</v>
      </c>
      <c r="F401" s="17" t="str">
        <f>IFERROR(__xludf.DUMMYFUNCTION("if(len(A401)&gt;0, REGEXEXTRACT(A401, ""\(([^\)]*)\)""), """")"),"No More Heroes")</f>
        <v>No More Heroes</v>
      </c>
      <c r="G401" s="17" t="str">
        <f>IFERROR(__xludf.DUMMYFUNCTION("if(len(A401)&gt;0, REGEXEXTRACT(A401, ""\)([^:]*):""), """")")," 400")</f>
        <v> 400</v>
      </c>
      <c r="H401" s="31" t="str">
        <f>IFERROR(__xludf.DUMMYFUNCTION("if(len(A401) &gt; 0, JOIN(char(10), FILTER(SPLIT(A401, char(10)), split(""false false "" &amp; rept(""true "", columns(SPLIT(A401, char(10)))-3) &amp; ""false"", "" ""))), """")"),"You gain a new thing to place in your warehouse, and though you don’t exactly know how it works the instruction booklet says it can construct beam katanas of all different styles and usefulness if given the right components- or if you don’t have those, sh"&amp;"oving the right raw ingredients in enough quantity to just manufacture the damn things. With enough technical knowledge, you will be able to discard the manual.")</f>
        <v>You gain a new thing to place in your warehouse, and though you don’t exactly know how it works the instruction booklet says it can construct beam katanas of all different styles and usefulness if given the right components- or if you don’t have those, shoving the right raw ingredients in enough quantity to just manufacture the damn things. With enough technical knowledge, you will be able to discard the manual.</v>
      </c>
    </row>
    <row r="402">
      <c r="A402" s="31" t="str">
        <f>IFERROR(__xludf.DUMMYFUNCTION("""COMPUTED_VALUE"""),"Chapter 65: 50 Meantime
Minor Blessing Hera - Administration (Percy Jackson) 100:
For one reason or another you've got a god who cares slightly about you and has seen fit to grant you some minor boon within their domains.
Skill")</f>
        <v>Chapter 65: 50 Meantime
Minor Blessing Hera - Administration (Percy Jackson) 100:
For one reason or another you've got a god who cares slightly about you and has seen fit to grant you some minor boon within their domains.
Skill</v>
      </c>
      <c r="B402" s="17">
        <f>IFERROR(__xludf.DUMMYFUNCTION("if(len(A402)&gt;0, value(REGEXEXTRACT(A402, ""Chapter ([0-9]*):"")), """")"),65.0)</f>
        <v>65</v>
      </c>
      <c r="C402" s="31" t="str">
        <f>IFERROR(__xludf.DUMMYFUNCTION("if(len(A402) &gt;0, REGEXEXTRACT(A402, ""Chapter [0-9]*: (.*)""), """")"),"50 Meantime")</f>
        <v>50 Meantime</v>
      </c>
      <c r="D402" s="31" t="str">
        <f>IFERROR(__xludf.DUMMYFUNCTION("if(len(A402)&gt;0, REGEXEXTRACT(A402, ""\n[^\(]*""), """")"),"
Minor Blessing Hera - Administration ")</f>
        <v>
Minor Blessing Hera - Administration </v>
      </c>
      <c r="E402" s="17" t="str">
        <f>IFERROR(__xludf.DUMMYFUNCTION("if(len(A402)&gt;0, REGEXEXTRACT(A402, ""\n([^\n]*)$""), """")"),"Skill")</f>
        <v>Skill</v>
      </c>
      <c r="F402" s="17" t="str">
        <f>IFERROR(__xludf.DUMMYFUNCTION("if(len(A402)&gt;0, REGEXEXTRACT(A402, ""\(([^\)]*)\)""), """")"),"Percy Jackson")</f>
        <v>Percy Jackson</v>
      </c>
      <c r="G402" s="17" t="str">
        <f>IFERROR(__xludf.DUMMYFUNCTION("if(len(A402)&gt;0, REGEXEXTRACT(A402, ""\)([^:]*):""), """")")," 100")</f>
        <v> 100</v>
      </c>
      <c r="H402" s="31" t="str">
        <f>IFERROR(__xludf.DUMMYFUNCTION("if(len(A402) &gt; 0, JOIN(char(10), FILTER(SPLIT(A402, char(10)), split(""false false "" &amp; rept(""true "", columns(SPLIT(A402, char(10)))-3) &amp; ""false"", "" ""))), """")"),"For one reason or another you've got a god who cares slightly about you and has seen fit to grant you some minor boon within their domains.")</f>
        <v>For one reason or another you've got a god who cares slightly about you and has seen fit to grant you some minor boon within their domains.</v>
      </c>
    </row>
    <row r="403">
      <c r="A403" s="31" t="str">
        <f>IFERROR(__xludf.DUMMYFUNCTION("""COMPUTED_VALUE"""),"Chapter 65: 50 Meantime
That Sword (No More Heroes) Free:
You have a basic beam katana, and by basic I really mean it’s a piece of shit. It may have a guide bar if you’re into those, though.
Item")</f>
        <v>Chapter 65: 50 Meantime
That Sword (No More Heroes) Free:
You have a basic beam katana, and by basic I really mean it’s a piece of shit. It may have a guide bar if you’re into those, though.
Item</v>
      </c>
      <c r="B403" s="17">
        <f>IFERROR(__xludf.DUMMYFUNCTION("if(len(A403)&gt;0, value(REGEXEXTRACT(A403, ""Chapter ([0-9]*):"")), """")"),65.0)</f>
        <v>65</v>
      </c>
      <c r="C403" s="31" t="str">
        <f>IFERROR(__xludf.DUMMYFUNCTION("if(len(A403) &gt;0, REGEXEXTRACT(A403, ""Chapter [0-9]*: (.*)""), """")"),"50 Meantime")</f>
        <v>50 Meantime</v>
      </c>
      <c r="D403" s="31" t="str">
        <f>IFERROR(__xludf.DUMMYFUNCTION("if(len(A403)&gt;0, REGEXEXTRACT(A403, ""\n[^\(]*""), """")"),"
That Sword ")</f>
        <v>
That Sword </v>
      </c>
      <c r="E403" s="17" t="str">
        <f>IFERROR(__xludf.DUMMYFUNCTION("if(len(A403)&gt;0, REGEXEXTRACT(A403, ""\n([^\n]*)$""), """")"),"Item")</f>
        <v>Item</v>
      </c>
      <c r="F403" s="17" t="str">
        <f>IFERROR(__xludf.DUMMYFUNCTION("if(len(A403)&gt;0, REGEXEXTRACT(A403, ""\(([^\)]*)\)""), """")"),"No More Heroes")</f>
        <v>No More Heroes</v>
      </c>
      <c r="G403" s="17" t="str">
        <f>IFERROR(__xludf.DUMMYFUNCTION("if(len(A403)&gt;0, REGEXEXTRACT(A403, ""\)([^:]*):""), """")")," Free")</f>
        <v> Free</v>
      </c>
      <c r="H403" s="31" t="str">
        <f>IFERROR(__xludf.DUMMYFUNCTION("if(len(A403) &gt; 0, JOIN(char(10), FILTER(SPLIT(A403, char(10)), split(""false false "" &amp; rept(""true "", columns(SPLIT(A403, char(10)))-3) &amp; ""false"", "" ""))), """")"),"You have a basic beam katana, and by basic I really mean it’s a piece of shit. It may have a guide bar if you’re into those, though.")</f>
        <v>You have a basic beam katana, and by basic I really mean it’s a piece of shit. It may have a guide bar if you’re into those, though.</v>
      </c>
    </row>
    <row r="404">
      <c r="A404" s="31" t="str">
        <f>IFERROR(__xludf.DUMMYFUNCTION("""COMPUTED_VALUE"""),"Chapter 65: 50 Meantime
The Clothes (No More Heroes) Free:
You wouldn’t make the cover of a magazine, but you can make too many belts work with these pieces.
Item")</f>
        <v>Chapter 65: 50 Meantime
The Clothes (No More Heroes) Free:
You wouldn’t make the cover of a magazine, but you can make too many belts work with these pieces.
Item</v>
      </c>
      <c r="B404" s="17">
        <f>IFERROR(__xludf.DUMMYFUNCTION("if(len(A404)&gt;0, value(REGEXEXTRACT(A404, ""Chapter ([0-9]*):"")), """")"),65.0)</f>
        <v>65</v>
      </c>
      <c r="C404" s="31" t="str">
        <f>IFERROR(__xludf.DUMMYFUNCTION("if(len(A404) &gt;0, REGEXEXTRACT(A404, ""Chapter [0-9]*: (.*)""), """")"),"50 Meantime")</f>
        <v>50 Meantime</v>
      </c>
      <c r="D404" s="31" t="str">
        <f>IFERROR(__xludf.DUMMYFUNCTION("if(len(A404)&gt;0, REGEXEXTRACT(A404, ""\n[^\(]*""), """")"),"
The Clothes ")</f>
        <v>
The Clothes </v>
      </c>
      <c r="E404" s="17" t="str">
        <f>IFERROR(__xludf.DUMMYFUNCTION("if(len(A404)&gt;0, REGEXEXTRACT(A404, ""\n([^\n]*)$""), """")"),"Item")</f>
        <v>Item</v>
      </c>
      <c r="F404" s="17" t="str">
        <f>IFERROR(__xludf.DUMMYFUNCTION("if(len(A404)&gt;0, REGEXEXTRACT(A404, ""\(([^\)]*)\)""), """")"),"No More Heroes")</f>
        <v>No More Heroes</v>
      </c>
      <c r="G404" s="17" t="str">
        <f>IFERROR(__xludf.DUMMYFUNCTION("if(len(A404)&gt;0, REGEXEXTRACT(A404, ""\)([^:]*):""), """")")," Free")</f>
        <v> Free</v>
      </c>
      <c r="H404" s="31" t="str">
        <f>IFERROR(__xludf.DUMMYFUNCTION("if(len(A404) &gt; 0, JOIN(char(10), FILTER(SPLIT(A404, char(10)), split(""false false "" &amp; rept(""true "", columns(SPLIT(A404, char(10)))-3) &amp; ""false"", "" ""))), """")"),"You wouldn’t make the cover of a magazine, but you can make too many belts work with these pieces.")</f>
        <v>You wouldn’t make the cover of a magazine, but you can make too many belts work with these pieces.</v>
      </c>
    </row>
    <row r="405">
      <c r="A405" s="31" t="str">
        <f>IFERROR(__xludf.DUMMYFUNCTION("""COMPUTED_VALUE"""),"Chapter 65: 50 Meantime
Unnatural Skill: Transmutation (Percy Jackson) 200:
Whether from your heritage or just being that good you've got one particular mundane skill that your feats with border on supernatural.
System")</f>
        <v>Chapter 65: 50 Meantime
Unnatural Skill: Transmutation (Percy Jackson) 200:
Whether from your heritage or just being that good you've got one particular mundane skill that your feats with border on supernatural.
System</v>
      </c>
      <c r="B405" s="17">
        <f>IFERROR(__xludf.DUMMYFUNCTION("if(len(A405)&gt;0, value(REGEXEXTRACT(A405, ""Chapter ([0-9]*):"")), """")"),65.0)</f>
        <v>65</v>
      </c>
      <c r="C405" s="31" t="str">
        <f>IFERROR(__xludf.DUMMYFUNCTION("if(len(A405) &gt;0, REGEXEXTRACT(A405, ""Chapter [0-9]*: (.*)""), """")"),"50 Meantime")</f>
        <v>50 Meantime</v>
      </c>
      <c r="D405" s="31" t="str">
        <f>IFERROR(__xludf.DUMMYFUNCTION("if(len(A405)&gt;0, REGEXEXTRACT(A405, ""\n[^\(]*""), """")"),"
Unnatural Skill: Transmutation ")</f>
        <v>
Unnatural Skill: Transmutation </v>
      </c>
      <c r="E405" s="17" t="str">
        <f>IFERROR(__xludf.DUMMYFUNCTION("if(len(A405)&gt;0, REGEXEXTRACT(A405, ""\n([^\n]*)$""), """")"),"System")</f>
        <v>System</v>
      </c>
      <c r="F405" s="17" t="str">
        <f>IFERROR(__xludf.DUMMYFUNCTION("if(len(A405)&gt;0, REGEXEXTRACT(A405, ""\(([^\)]*)\)""), """")"),"Percy Jackson")</f>
        <v>Percy Jackson</v>
      </c>
      <c r="G405" s="17" t="str">
        <f>IFERROR(__xludf.DUMMYFUNCTION("if(len(A405)&gt;0, REGEXEXTRACT(A405, ""\)([^:]*):""), """")")," 200")</f>
        <v> 200</v>
      </c>
      <c r="H405" s="31" t="str">
        <f>IFERROR(__xludf.DUMMYFUNCTION("if(len(A405) &gt; 0, JOIN(char(10), FILTER(SPLIT(A405, char(10)), split(""false false "" &amp; rept(""true "", columns(SPLIT(A405, char(10)))-3) &amp; ""false"", "" ""))), """")"),"Whether from your heritage or just being that good you've got one particular mundane skill that your feats with border on supernatural.")</f>
        <v>Whether from your heritage or just being that good you've got one particular mundane skill that your feats with border on supernatural.</v>
      </c>
    </row>
    <row r="406">
      <c r="A406" s="31" t="str">
        <f>IFERROR(__xludf.DUMMYFUNCTION("""COMPUTED_VALUE"""),"Chapter 66: 51 Lunchtime
A Thing About Names (Fallen London) Free:
Following the example of HRH Queen Vic- I mean the Traitor Empress, many citizens of the Neath have taken to calling themselves the Adjectival Noun. Prominent individuals include the Fidge"&amp;"ting Writer, the Sardonic Singer, the Amused Lordship and so on. It is fashionable to do so, though choosing not to do so is a choice in itself. The name chosen will become the title others refer you as.
Personal")</f>
        <v>Chapter 66: 51 Lunchtime
A Thing About Names (Fallen London) Free:
Following the example of HRH Queen Vic- I mean the Traitor Empress, many citizens of the Neath have taken to calling themselves the Adjectival Noun. Prominent individuals include the Fidgeting Writer, the Sardonic Singer, the Amused Lordship and so on. It is fashionable to do so, though choosing not to do so is a choice in itself. The name chosen will become the title others refer you as.
Personal</v>
      </c>
      <c r="B406" s="17">
        <f>IFERROR(__xludf.DUMMYFUNCTION("if(len(A406)&gt;0, value(REGEXEXTRACT(A406, ""Chapter ([0-9]*):"")), """")"),66.0)</f>
        <v>66</v>
      </c>
      <c r="C406" s="31" t="str">
        <f>IFERROR(__xludf.DUMMYFUNCTION("if(len(A406) &gt;0, REGEXEXTRACT(A406, ""Chapter [0-9]*: (.*)""), """")"),"51 Lunchtime")</f>
        <v>51 Lunchtime</v>
      </c>
      <c r="D406" s="31" t="str">
        <f>IFERROR(__xludf.DUMMYFUNCTION("if(len(A406)&gt;0, REGEXEXTRACT(A406, ""\n[^\(]*""), """")"),"
A Thing About Names ")</f>
        <v>
A Thing About Names </v>
      </c>
      <c r="E406" s="17" t="str">
        <f>IFERROR(__xludf.DUMMYFUNCTION("if(len(A406)&gt;0, REGEXEXTRACT(A406, ""\n([^\n]*)$""), """")"),"Personal")</f>
        <v>Personal</v>
      </c>
      <c r="F406" s="17" t="str">
        <f>IFERROR(__xludf.DUMMYFUNCTION("if(len(A406)&gt;0, REGEXEXTRACT(A406, ""\(([^\)]*)\)""), """")"),"Fallen London")</f>
        <v>Fallen London</v>
      </c>
      <c r="G406" s="17" t="str">
        <f>IFERROR(__xludf.DUMMYFUNCTION("if(len(A406)&gt;0, REGEXEXTRACT(A406, ""\)([^:]*):""), """")")," Free")</f>
        <v> Free</v>
      </c>
      <c r="H406" s="31" t="str">
        <f>IFERROR(__xludf.DUMMYFUNCTION("if(len(A406) &gt; 0, JOIN(char(10), FILTER(SPLIT(A406, char(10)), split(""false false "" &amp; rept(""true "", columns(SPLIT(A406, char(10)))-3) &amp; ""false"", "" ""))), """")"),"Following the example of HRH Queen Vic- I mean the Traitor Empress, many citizens of the Neath have taken to calling themselves the Adjectival Noun. Prominent individuals include the Fidgeting Writer, the Sardonic Singer, the Amused Lordship and so on. It"&amp;" is fashionable to do so, though choosing not to do so is a choice in itself. The name chosen will become the title others refer you as.")</f>
        <v>Following the example of HRH Queen Vic- I mean the Traitor Empress, many citizens of the Neath have taken to calling themselves the Adjectival Noun. Prominent individuals include the Fidgeting Writer, the Sardonic Singer, the Amused Lordship and so on. It is fashionable to do so, though choosing not to do so is a choice in itself. The name chosen will become the title others refer you as.</v>
      </c>
    </row>
    <row r="407">
      <c r="A407" s="31" t="str">
        <f>IFERROR(__xludf.DUMMYFUNCTION("""COMPUTED_VALUE"""),"Chapter 66: 51 Lunchtime
Amateur Academic – Trivia (Fallen London) Free:
A classical training in grammar, logic and rhetoric. You could fit in with the learned and flighty. This has given your memory a boost, entire books can be memorized.
Skill")</f>
        <v>Chapter 66: 51 Lunchtime
Amateur Academic – Trivia (Fallen London) Free:
A classical training in grammar, logic and rhetoric. You could fit in with the learned and flighty. This has given your memory a boost, entire books can be memorized.
Skill</v>
      </c>
      <c r="B407" s="17">
        <f>IFERROR(__xludf.DUMMYFUNCTION("if(len(A407)&gt;0, value(REGEXEXTRACT(A407, ""Chapter ([0-9]*):"")), """")"),66.0)</f>
        <v>66</v>
      </c>
      <c r="C407" s="31" t="str">
        <f>IFERROR(__xludf.DUMMYFUNCTION("if(len(A407) &gt;0, REGEXEXTRACT(A407, ""Chapter [0-9]*: (.*)""), """")"),"51 Lunchtime")</f>
        <v>51 Lunchtime</v>
      </c>
      <c r="D407" s="31" t="str">
        <f>IFERROR(__xludf.DUMMYFUNCTION("if(len(A407)&gt;0, REGEXEXTRACT(A407, ""\n[^\(]*""), """")"),"
Amateur Academic – Trivia ")</f>
        <v>
Amateur Academic – Trivia </v>
      </c>
      <c r="E407" s="17" t="str">
        <f>IFERROR(__xludf.DUMMYFUNCTION("if(len(A407)&gt;0, REGEXEXTRACT(A407, ""\n([^\n]*)$""), """")"),"Skill")</f>
        <v>Skill</v>
      </c>
      <c r="F407" s="17" t="str">
        <f>IFERROR(__xludf.DUMMYFUNCTION("if(len(A407)&gt;0, REGEXEXTRACT(A407, ""\(([^\)]*)\)""), """")"),"Fallen London")</f>
        <v>Fallen London</v>
      </c>
      <c r="G407" s="17" t="str">
        <f>IFERROR(__xludf.DUMMYFUNCTION("if(len(A407)&gt;0, REGEXEXTRACT(A407, ""\)([^:]*):""), """")")," Free")</f>
        <v> Free</v>
      </c>
      <c r="H407" s="31" t="str">
        <f>IFERROR(__xludf.DUMMYFUNCTION("if(len(A407) &gt; 0, JOIN(char(10), FILTER(SPLIT(A407, char(10)), split(""false false "" &amp; rept(""true "", columns(SPLIT(A407, char(10)))-3) &amp; ""false"", "" ""))), """")"),"A classical training in grammar, logic and rhetoric. You could fit in with the learned and flighty. This has given your memory a boost, entire books can be memorized.")</f>
        <v>A classical training in grammar, logic and rhetoric. You could fit in with the learned and flighty. This has given your memory a boost, entire books can be memorized.</v>
      </c>
    </row>
    <row r="408">
      <c r="A408" s="31" t="str">
        <f>IFERROR(__xludf.DUMMYFUNCTION("""COMPUTED_VALUE"""),"Chapter 66: 51 Lunchtime
Avid Glove (Fallen London) 100:
A miracle of surgery and tailoring, though it may bite any hands shaken. Who can say no to another set of eyes and fingers?
Entity")</f>
        <v>Chapter 66: 51 Lunchtime
Avid Glove (Fallen London) 100:
A miracle of surgery and tailoring, though it may bite any hands shaken. Who can say no to another set of eyes and fingers?
Entity</v>
      </c>
      <c r="B408" s="17">
        <f>IFERROR(__xludf.DUMMYFUNCTION("if(len(A408)&gt;0, value(REGEXEXTRACT(A408, ""Chapter ([0-9]*):"")), """")"),66.0)</f>
        <v>66</v>
      </c>
      <c r="C408" s="31" t="str">
        <f>IFERROR(__xludf.DUMMYFUNCTION("if(len(A408) &gt;0, REGEXEXTRACT(A408, ""Chapter [0-9]*: (.*)""), """")"),"51 Lunchtime")</f>
        <v>51 Lunchtime</v>
      </c>
      <c r="D408" s="31" t="str">
        <f>IFERROR(__xludf.DUMMYFUNCTION("if(len(A408)&gt;0, REGEXEXTRACT(A408, ""\n[^\(]*""), """")"),"
Avid Glove ")</f>
        <v>
Avid Glove </v>
      </c>
      <c r="E408" s="17" t="str">
        <f>IFERROR(__xludf.DUMMYFUNCTION("if(len(A408)&gt;0, REGEXEXTRACT(A408, ""\n([^\n]*)$""), """")"),"Entity")</f>
        <v>Entity</v>
      </c>
      <c r="F408" s="17" t="str">
        <f>IFERROR(__xludf.DUMMYFUNCTION("if(len(A408)&gt;0, REGEXEXTRACT(A408, ""\(([^\)]*)\)""), """")"),"Fallen London")</f>
        <v>Fallen London</v>
      </c>
      <c r="G408" s="17" t="str">
        <f>IFERROR(__xludf.DUMMYFUNCTION("if(len(A408)&gt;0, REGEXEXTRACT(A408, ""\)([^:]*):""), """")")," 100")</f>
        <v> 100</v>
      </c>
      <c r="H408" s="31" t="str">
        <f>IFERROR(__xludf.DUMMYFUNCTION("if(len(A408) &gt; 0, JOIN(char(10), FILTER(SPLIT(A408, char(10)), split(""false false "" &amp; rept(""true "", columns(SPLIT(A408, char(10)))-3) &amp; ""false"", "" ""))), """")"),"A miracle of surgery and tailoring, though it may bite any hands shaken. Who can say no to another set of eyes and fingers?")</f>
        <v>A miracle of surgery and tailoring, though it may bite any hands shaken. Who can say no to another set of eyes and fingers?</v>
      </c>
    </row>
    <row r="409">
      <c r="A409" s="31" t="str">
        <f>IFERROR(__xludf.DUMMYFUNCTION("""COMPUTED_VALUE"""),"Chapter 66: 51 Lunchtime
Crucible of Eight Trigrams (Journey to the West) 500:
A big ass crucible that can render down *most* objects into their base components. Magic and enchantments can be removed this way and used for later experiments, although this "&amp;"will take some time to accomplish and is not an exact science. You can’t use it to break down living creatures.
Facility")</f>
        <v>Chapter 66: 51 Lunchtime
Crucible of Eight Trigrams (Journey to the West) 500:
A big ass crucible that can render down *most* objects into their base components. Magic and enchantments can be removed this way and used for later experiments, although this will take some time to accomplish and is not an exact science. You can’t use it to break down living creatures.
Facility</v>
      </c>
      <c r="B409" s="17">
        <f>IFERROR(__xludf.DUMMYFUNCTION("if(len(A409)&gt;0, value(REGEXEXTRACT(A409, ""Chapter ([0-9]*):"")), """")"),66.0)</f>
        <v>66</v>
      </c>
      <c r="C409" s="31" t="str">
        <f>IFERROR(__xludf.DUMMYFUNCTION("if(len(A409) &gt;0, REGEXEXTRACT(A409, ""Chapter [0-9]*: (.*)""), """")"),"51 Lunchtime")</f>
        <v>51 Lunchtime</v>
      </c>
      <c r="D409" s="31" t="str">
        <f>IFERROR(__xludf.DUMMYFUNCTION("if(len(A409)&gt;0, REGEXEXTRACT(A409, ""\n[^\(]*""), """")"),"
Crucible of Eight Trigrams ")</f>
        <v>
Crucible of Eight Trigrams </v>
      </c>
      <c r="E409" s="17" t="str">
        <f>IFERROR(__xludf.DUMMYFUNCTION("if(len(A409)&gt;0, REGEXEXTRACT(A409, ""\n([^\n]*)$""), """")"),"Facility")</f>
        <v>Facility</v>
      </c>
      <c r="F409" s="17" t="str">
        <f>IFERROR(__xludf.DUMMYFUNCTION("if(len(A409)&gt;0, REGEXEXTRACT(A409, ""\(([^\)]*)\)""), """")"),"Journey to the West")</f>
        <v>Journey to the West</v>
      </c>
      <c r="G409" s="17" t="str">
        <f>IFERROR(__xludf.DUMMYFUNCTION("if(len(A409)&gt;0, REGEXEXTRACT(A409, ""\)([^:]*):""), """")")," 500")</f>
        <v> 500</v>
      </c>
      <c r="H409" s="31" t="str">
        <f>IFERROR(__xludf.DUMMYFUNCTION("if(len(A409) &gt; 0, JOIN(char(10), FILTER(SPLIT(A409, char(10)), split(""false false "" &amp; rept(""true "", columns(SPLIT(A409, char(10)))-3) &amp; ""false"", "" ""))), """")"),"A big ass crucible that can render down *most* objects into their base components. Magic and enchantments can be removed this way and used for later experiments, although this will take some time to accomplish and is not an exact science. You can’t use it"&amp;" to break down living creatures.")</f>
        <v>A big ass crucible that can render down *most* objects into their base components. Magic and enchantments can be removed this way and used for later experiments, although this will take some time to accomplish and is not an exact science. You can’t use it to break down living creatures.</v>
      </c>
    </row>
    <row r="410">
      <c r="A410" s="31" t="str">
        <f>IFERROR(__xludf.DUMMYFUNCTION("""COMPUTED_VALUE"""),"Chapter 66: 51 Lunchtime
Dabbling Academic – Fool Proof (Fallen London) Free:
Not only must one learn and understand, but to understand at a level that even laymen can comprehend. Your knowledge can be taught to those far below you.
Skill")</f>
        <v>Chapter 66: 51 Lunchtime
Dabbling Academic – Fool Proof (Fallen London) Free:
Not only must one learn and understand, but to understand at a level that even laymen can comprehend. Your knowledge can be taught to those far below you.
Skill</v>
      </c>
      <c r="B410" s="17">
        <f>IFERROR(__xludf.DUMMYFUNCTION("if(len(A410)&gt;0, value(REGEXEXTRACT(A410, ""Chapter ([0-9]*):"")), """")"),66.0)</f>
        <v>66</v>
      </c>
      <c r="C410" s="31" t="str">
        <f>IFERROR(__xludf.DUMMYFUNCTION("if(len(A410) &gt;0, REGEXEXTRACT(A410, ""Chapter [0-9]*: (.*)""), """")"),"51 Lunchtime")</f>
        <v>51 Lunchtime</v>
      </c>
      <c r="D410" s="31" t="str">
        <f>IFERROR(__xludf.DUMMYFUNCTION("if(len(A410)&gt;0, REGEXEXTRACT(A410, ""\n[^\(]*""), """")"),"
Dabbling Academic – Fool Proof ")</f>
        <v>
Dabbling Academic – Fool Proof </v>
      </c>
      <c r="E410" s="17" t="str">
        <f>IFERROR(__xludf.DUMMYFUNCTION("if(len(A410)&gt;0, REGEXEXTRACT(A410, ""\n([^\n]*)$""), """")"),"Skill")</f>
        <v>Skill</v>
      </c>
      <c r="F410" s="17" t="str">
        <f>IFERROR(__xludf.DUMMYFUNCTION("if(len(A410)&gt;0, REGEXEXTRACT(A410, ""\(([^\)]*)\)""), """")"),"Fallen London")</f>
        <v>Fallen London</v>
      </c>
      <c r="G410" s="17" t="str">
        <f>IFERROR(__xludf.DUMMYFUNCTION("if(len(A410)&gt;0, REGEXEXTRACT(A410, ""\)([^:]*):""), """")")," Free")</f>
        <v> Free</v>
      </c>
      <c r="H410" s="31" t="str">
        <f>IFERROR(__xludf.DUMMYFUNCTION("if(len(A410) &gt; 0, JOIN(char(10), FILTER(SPLIT(A410, char(10)), split(""false false "" &amp; rept(""true "", columns(SPLIT(A410, char(10)))-3) &amp; ""false"", "" ""))), """")"),"Not only must one learn and understand, but to understand at a level that even laymen can comprehend. Your knowledge can be taught to those far below you.")</f>
        <v>Not only must one learn and understand, but to understand at a level that even laymen can comprehend. Your knowledge can be taught to those far below you.</v>
      </c>
    </row>
    <row r="411">
      <c r="A411" s="31" t="str">
        <f>IFERROR(__xludf.DUMMYFUNCTION("""COMPUTED_VALUE"""),"Chapter 66: 51 Lunchtime
Flack Jacket (XCOM 2) Free:
A set of pre-invasion armour that offers some protection from gunfire and plasma weapons. Comes in a verity of patterns and styles
Item")</f>
        <v>Chapter 66: 51 Lunchtime
Flack Jacket (XCOM 2) Free:
A set of pre-invasion armour that offers some protection from gunfire and plasma weapons. Comes in a verity of patterns and styles
Item</v>
      </c>
      <c r="B411" s="17">
        <f>IFERROR(__xludf.DUMMYFUNCTION("if(len(A411)&gt;0, value(REGEXEXTRACT(A411, ""Chapter ([0-9]*):"")), """")"),66.0)</f>
        <v>66</v>
      </c>
      <c r="C411" s="31" t="str">
        <f>IFERROR(__xludf.DUMMYFUNCTION("if(len(A411) &gt;0, REGEXEXTRACT(A411, ""Chapter [0-9]*: (.*)""), """")"),"51 Lunchtime")</f>
        <v>51 Lunchtime</v>
      </c>
      <c r="D411" s="31" t="str">
        <f>IFERROR(__xludf.DUMMYFUNCTION("if(len(A411)&gt;0, REGEXEXTRACT(A411, ""\n[^\(]*""), """")"),"
Flack Jacket ")</f>
        <v>
Flack Jacket </v>
      </c>
      <c r="E411" s="17" t="str">
        <f>IFERROR(__xludf.DUMMYFUNCTION("if(len(A411)&gt;0, REGEXEXTRACT(A411, ""\n([^\n]*)$""), """")"),"Item")</f>
        <v>Item</v>
      </c>
      <c r="F411" s="17" t="str">
        <f>IFERROR(__xludf.DUMMYFUNCTION("if(len(A411)&gt;0, REGEXEXTRACT(A411, ""\(([^\)]*)\)""), """")"),"XCOM 2")</f>
        <v>XCOM 2</v>
      </c>
      <c r="G411" s="17" t="str">
        <f>IFERROR(__xludf.DUMMYFUNCTION("if(len(A411)&gt;0, REGEXEXTRACT(A411, ""\)([^:]*):""), """")")," Free")</f>
        <v> Free</v>
      </c>
      <c r="H411" s="31" t="str">
        <f>IFERROR(__xludf.DUMMYFUNCTION("if(len(A411) &gt; 0, JOIN(char(10), FILTER(SPLIT(A411, char(10)), split(""false false "" &amp; rept(""true "", columns(SPLIT(A411, char(10)))-3) &amp; ""false"", "" ""))), """")"),"A set of pre-invasion armour that offers some protection from gunfire and plasma weapons. Comes in a verity of patterns and styles")</f>
        <v>A set of pre-invasion armour that offers some protection from gunfire and plasma weapons. Comes in a verity of patterns and styles</v>
      </c>
    </row>
    <row r="412">
      <c r="A412" s="31" t="str">
        <f>IFERROR(__xludf.DUMMYFUNCTION("""COMPUTED_VALUE"""),"Chapter 66: 51 Lunchtime
Peak ADVENT Technology (XCOM 2) 200:
Before you defected you were working in some of the most top secret black projects any human had access to. You have an encyclopaedic knowledge of all ADVENT technology, minus some of the genet"&amp;"ic manipulation techniques and basically anything that would give away ADVENTs dark secrets.
System")</f>
        <v>Chapter 66: 51 Lunchtime
Peak ADVENT Technology (XCOM 2) 200:
Before you defected you were working in some of the most top secret black projects any human had access to. You have an encyclopaedic knowledge of all ADVENT technology, minus some of the genetic manipulation techniques and basically anything that would give away ADVENTs dark secrets.
System</v>
      </c>
      <c r="B412" s="17">
        <f>IFERROR(__xludf.DUMMYFUNCTION("if(len(A412)&gt;0, value(REGEXEXTRACT(A412, ""Chapter ([0-9]*):"")), """")"),66.0)</f>
        <v>66</v>
      </c>
      <c r="C412" s="31" t="str">
        <f>IFERROR(__xludf.DUMMYFUNCTION("if(len(A412) &gt;0, REGEXEXTRACT(A412, ""Chapter [0-9]*: (.*)""), """")"),"51 Lunchtime")</f>
        <v>51 Lunchtime</v>
      </c>
      <c r="D412" s="31" t="str">
        <f>IFERROR(__xludf.DUMMYFUNCTION("if(len(A412)&gt;0, REGEXEXTRACT(A412, ""\n[^\(]*""), """")"),"
Peak ADVENT Technology ")</f>
        <v>
Peak ADVENT Technology </v>
      </c>
      <c r="E412" s="17" t="str">
        <f>IFERROR(__xludf.DUMMYFUNCTION("if(len(A412)&gt;0, REGEXEXTRACT(A412, ""\n([^\n]*)$""), """")"),"System")</f>
        <v>System</v>
      </c>
      <c r="F412" s="17" t="str">
        <f>IFERROR(__xludf.DUMMYFUNCTION("if(len(A412)&gt;0, REGEXEXTRACT(A412, ""\(([^\)]*)\)""), """")"),"XCOM 2")</f>
        <v>XCOM 2</v>
      </c>
      <c r="G412" s="17" t="str">
        <f>IFERROR(__xludf.DUMMYFUNCTION("if(len(A412)&gt;0, REGEXEXTRACT(A412, ""\)([^:]*):""), """")")," 200")</f>
        <v> 200</v>
      </c>
      <c r="H412" s="31" t="str">
        <f>IFERROR(__xludf.DUMMYFUNCTION("if(len(A412) &gt; 0, JOIN(char(10), FILTER(SPLIT(A412, char(10)), split(""false false "" &amp; rept(""true "", columns(SPLIT(A412, char(10)))-3) &amp; ""false"", "" ""))), """")"),"Before you defected you were working in some of the most top secret black projects any human had access to. You have an encyclopaedic knowledge of all ADVENT technology, minus some of the genetic manipulation techniques and basically anything that would g"&amp;"ive away ADVENTs dark secrets.")</f>
        <v>Before you defected you were working in some of the most top secret black projects any human had access to. You have an encyclopaedic knowledge of all ADVENT technology, minus some of the genetic manipulation techniques and basically anything that would give away ADVENTs dark secrets.</v>
      </c>
    </row>
    <row r="413">
      <c r="A413" s="31" t="str">
        <f>IFERROR(__xludf.DUMMYFUNCTION("""COMPUTED_VALUE"""),"Chapter 67: 52 Showtime
Lathe-Wrought Armour Plating Kit (Light of Terra DLC 4 - Lords of the Iron Line) 400:
The astronomical and gravitational alignment of the Lathe worlds creates the conditions for the production of metal alloys of rare and singular p"&amp;"roperties. Lathe armour plating is strong and light, flexible enough to withstand the most powerful blows, and even resistant to intense heat or the crackling edge of a power weapon. The cost and rarity of such an upgrade is beyond the means of most indiv"&amp;"iduals, with maybe only half a dozen sets of Lathe-wrought armour upgrade kits constructed in a decade, each created under commission for a specific wearer.
Item")</f>
        <v>Chapter 67: 52 Showtime
Lathe-Wrought Armour Plating Kit (Light of Terra DLC 4 - Lords of the Iron Line) 400:
The astronomical and gravitational alignment of the Lathe worlds creates the conditions for the production of metal alloys of rare and singular properties. Lathe armour plating is strong and light, flexible enough to withstand the most powerful blows, and even resistant to intense heat or the crackling edge of a power weapon. The cost and rarity of such an upgrade is beyond the means of most individuals, with maybe only half a dozen sets of Lathe-wrought armour upgrade kits constructed in a decade, each created under commission for a specific wearer.
Item</v>
      </c>
      <c r="B413" s="17">
        <f>IFERROR(__xludf.DUMMYFUNCTION("if(len(A413)&gt;0, value(REGEXEXTRACT(A413, ""Chapter ([0-9]*):"")), """")"),67.0)</f>
        <v>67</v>
      </c>
      <c r="C413" s="31" t="str">
        <f>IFERROR(__xludf.DUMMYFUNCTION("if(len(A413) &gt;0, REGEXEXTRACT(A413, ""Chapter [0-9]*: (.*)""), """")"),"52 Showtime")</f>
        <v>52 Showtime</v>
      </c>
      <c r="D413" s="31" t="str">
        <f>IFERROR(__xludf.DUMMYFUNCTION("if(len(A413)&gt;0, REGEXEXTRACT(A413, ""\n[^\(]*""), """")"),"
Lathe-Wrought Armour Plating Kit ")</f>
        <v>
Lathe-Wrought Armour Plating Kit </v>
      </c>
      <c r="E413" s="17" t="str">
        <f>IFERROR(__xludf.DUMMYFUNCTION("if(len(A413)&gt;0, REGEXEXTRACT(A413, ""\n([^\n]*)$""), """")"),"Item")</f>
        <v>Item</v>
      </c>
      <c r="F413" s="17" t="str">
        <f>IFERROR(__xludf.DUMMYFUNCTION("if(len(A413)&gt;0, REGEXEXTRACT(A413, ""\(([^\)]*)\)""), """")"),"Light of Terra DLC 4 - Lords of the Iron Line")</f>
        <v>Light of Terra DLC 4 - Lords of the Iron Line</v>
      </c>
      <c r="G413" s="17" t="str">
        <f>IFERROR(__xludf.DUMMYFUNCTION("if(len(A413)&gt;0, REGEXEXTRACT(A413, ""\)([^:]*):""), """")")," 400")</f>
        <v> 400</v>
      </c>
      <c r="H413" s="31" t="str">
        <f>IFERROR(__xludf.DUMMYFUNCTION("if(len(A413) &gt; 0, JOIN(char(10), FILTER(SPLIT(A413, char(10)), split(""false false "" &amp; rept(""true "", columns(SPLIT(A413, char(10)))-3) &amp; ""false"", "" ""))), """")"),"The astronomical and gravitational alignment of the Lathe worlds creates the conditions for the production of metal alloys of rare and singular properties. Lathe armour plating is strong and light, flexible enough to withstand the most powerful blows, and"&amp;" even resistant to intense heat or the crackling edge of a power weapon. The cost and rarity of such an upgrade is beyond the means of most individuals, with maybe only half a dozen sets of Lathe-wrought armour upgrade kits constructed in a decade, each c"&amp;"reated under commission for a specific wearer.")</f>
        <v>The astronomical and gravitational alignment of the Lathe worlds creates the conditions for the production of metal alloys of rare and singular properties. Lathe armour plating is strong and light, flexible enough to withstand the most powerful blows, and even resistant to intense heat or the crackling edge of a power weapon. The cost and rarity of such an upgrade is beyond the means of most individuals, with maybe only half a dozen sets of Lathe-wrought armour upgrade kits constructed in a decade, each created under commission for a specific wearer.</v>
      </c>
    </row>
    <row r="414">
      <c r="A414" s="31" t="str">
        <f>IFERROR(__xludf.DUMMYFUNCTION("""COMPUTED_VALUE"""),"Chapter 67: 52 Showtime
Workshop: Clothing (Personal Reality) 100:
Each purchase of this adds to your Personal Reality Workshop needed to perform specific type of craft, which is to be specified when purchase is made. It comes with a basic set of tools an"&amp;"d supplies. Good for fixing or creating all sorts of things, although any complex parts or nonstandard supplies will have to be brought in from outside. Additional purchases can add different types of Workshops to your Personal Reality or expand existing "&amp;"ones. Anything built in one of those workshops is fiat backed to be restored to its original condition within 48 hours if damaged or destroyed. Repeatable
Facility")</f>
        <v>Chapter 67: 52 Showtime
Workshop: Clothing (Personal Reality) 100:
Each purchase of this adds to your Personal Reality Workshop needed to perform specific type of craft, which is to be specified when purchase is made. It comes with a basic set of tools and supplies. Good for fixing or creating all sorts of things, although any complex parts or nonstandard supplies will have to be brought in from outside. Additional purchases can add different types of Workshops to your Personal Reality or expand existing ones. Anything built in one of those workshops is fiat backed to be restored to its original condition within 48 hours if damaged or destroyed. Repeatable
Facility</v>
      </c>
      <c r="B414" s="17">
        <f>IFERROR(__xludf.DUMMYFUNCTION("if(len(A414)&gt;0, value(REGEXEXTRACT(A414, ""Chapter ([0-9]*):"")), """")"),67.0)</f>
        <v>67</v>
      </c>
      <c r="C414" s="31" t="str">
        <f>IFERROR(__xludf.DUMMYFUNCTION("if(len(A414) &gt;0, REGEXEXTRACT(A414, ""Chapter [0-9]*: (.*)""), """")"),"52 Showtime")</f>
        <v>52 Showtime</v>
      </c>
      <c r="D414" s="31" t="str">
        <f>IFERROR(__xludf.DUMMYFUNCTION("if(len(A414)&gt;0, REGEXEXTRACT(A414, ""\n[^\(]*""), """")"),"
Workshop: Clothing ")</f>
        <v>
Workshop: Clothing </v>
      </c>
      <c r="E414" s="17" t="str">
        <f>IFERROR(__xludf.DUMMYFUNCTION("if(len(A414)&gt;0, REGEXEXTRACT(A414, ""\n([^\n]*)$""), """")"),"Facility")</f>
        <v>Facility</v>
      </c>
      <c r="F414" s="17" t="str">
        <f>IFERROR(__xludf.DUMMYFUNCTION("if(len(A414)&gt;0, REGEXEXTRACT(A414, ""\(([^\)]*)\)""), """")"),"Personal Reality")</f>
        <v>Personal Reality</v>
      </c>
      <c r="G414" s="17" t="str">
        <f>IFERROR(__xludf.DUMMYFUNCTION("if(len(A414)&gt;0, REGEXEXTRACT(A414, ""\)([^:]*):""), """")")," 100")</f>
        <v> 100</v>
      </c>
      <c r="H414" s="31" t="str">
        <f>IFERROR(__xludf.DUMMYFUNCTION("if(len(A414) &gt; 0, JOIN(char(10), FILTER(SPLIT(A414, char(10)), split(""false false "" &amp; rept(""true "", columns(SPLIT(A414, char(10)))-3) &amp; ""false"", "" ""))), """")"),"Each purchase of this adds to your Personal Reality Workshop needed to perform specific type of craft, which is to be specified when purchase is made. It comes with a basic set of tools and supplies. Good for fixing or creating all sorts of things, althou"&amp;"gh any complex parts or nonstandard supplies will have to be brought in from outside. Additional purchases can add different types of Workshops to your Personal Reality or expand existing ones. Anything built in one of those workshops is fiat backed to be"&amp;" restored to its original condition within 48 hours if damaged or destroyed. Repeatable")</f>
        <v>Each purchase of this adds to your Personal Reality Workshop needed to perform specific type of craft, which is to be specified when purchase is made. It comes with a basic set of tools and supplies. Good for fixing or creating all sorts of things, although any complex parts or nonstandard supplies will have to be brought in from outside. Additional purchases can add different types of Workshops to your Personal Reality or expand existing ones. Anything built in one of those workshops is fiat backed to be restored to its original condition within 48 hours if damaged or destroyed. Repeatable</v>
      </c>
    </row>
    <row r="415">
      <c r="A415" s="31" t="str">
        <f>IFERROR(__xludf.DUMMYFUNCTION("""COMPUTED_VALUE"""),"Chapter 68: 53 Hard Time
Dapper Dressing (Fate) Free:
What is a magus without style? A priest without his robe? A jumper without their outfit? Taking this allows you to create your own fabulous outfit, or take a copy of an existing outfit from any Type Mo"&amp;"on character. This may be purchased multiple times.
Item")</f>
        <v>Chapter 68: 53 Hard Time
Dapper Dressing (Fate) Free:
What is a magus without style? A priest without his robe? A jumper without their outfit? Taking this allows you to create your own fabulous outfit, or take a copy of an existing outfit from any Type Moon character. This may be purchased multiple times.
Item</v>
      </c>
      <c r="B415" s="17">
        <f>IFERROR(__xludf.DUMMYFUNCTION("if(len(A415)&gt;0, value(REGEXEXTRACT(A415, ""Chapter ([0-9]*):"")), """")"),68.0)</f>
        <v>68</v>
      </c>
      <c r="C415" s="31" t="str">
        <f>IFERROR(__xludf.DUMMYFUNCTION("if(len(A415) &gt;0, REGEXEXTRACT(A415, ""Chapter [0-9]*: (.*)""), """")"),"53 Hard Time")</f>
        <v>53 Hard Time</v>
      </c>
      <c r="D415" s="31" t="str">
        <f>IFERROR(__xludf.DUMMYFUNCTION("if(len(A415)&gt;0, REGEXEXTRACT(A415, ""\n[^\(]*""), """")"),"
Dapper Dressing ")</f>
        <v>
Dapper Dressing </v>
      </c>
      <c r="E415" s="17" t="str">
        <f>IFERROR(__xludf.DUMMYFUNCTION("if(len(A415)&gt;0, REGEXEXTRACT(A415, ""\n([^\n]*)$""), """")"),"Item")</f>
        <v>Item</v>
      </c>
      <c r="F415" s="17" t="str">
        <f>IFERROR(__xludf.DUMMYFUNCTION("if(len(A415)&gt;0, REGEXEXTRACT(A415, ""\(([^\)]*)\)""), """")"),"Fate")</f>
        <v>Fate</v>
      </c>
      <c r="G415" s="17" t="str">
        <f>IFERROR(__xludf.DUMMYFUNCTION("if(len(A415)&gt;0, REGEXEXTRACT(A415, ""\)([^:]*):""), """")")," Free")</f>
        <v> Free</v>
      </c>
      <c r="H415" s="31" t="str">
        <f>IFERROR(__xludf.DUMMYFUNCTION("if(len(A415) &gt; 0, JOIN(char(10), FILTER(SPLIT(A415, char(10)), split(""false false "" &amp; rept(""true "", columns(SPLIT(A415, char(10)))-3) &amp; ""false"", "" ""))), """")"),"What is a magus without style? A priest without his robe? A jumper without their outfit? Taking this allows you to create your own fabulous outfit, or take a copy of an existing outfit from any Type Moon character. This may be purchased multiple times.")</f>
        <v>What is a magus without style? A priest without his robe? A jumper without their outfit? Taking this allows you to create your own fabulous outfit, or take a copy of an existing outfit from any Type Moon character. This may be purchased multiple times.</v>
      </c>
    </row>
    <row r="416">
      <c r="A416" s="31" t="str">
        <f>IFERROR(__xludf.DUMMYFUNCTION("""COMPUTED_VALUE"""),"Chapter 68: 53 Hard Time
Panzerkampf (Sabaton) 300:
When it comes to building war machines, yours are top-notch! A gun made by your own hand will never jam, and a tank built by you will never bog down in mud or take damage from an IED. If they want to des"&amp;"troy what you've built, they'd best bring their A-game.
Fiat")</f>
        <v>Chapter 68: 53 Hard Time
Panzerkampf (Sabaton) 300:
When it comes to building war machines, yours are top-notch! A gun made by your own hand will never jam, and a tank built by you will never bog down in mud or take damage from an IED. If they want to destroy what you've built, they'd best bring their A-game.
Fiat</v>
      </c>
      <c r="B416" s="17">
        <f>IFERROR(__xludf.DUMMYFUNCTION("if(len(A416)&gt;0, value(REGEXEXTRACT(A416, ""Chapter ([0-9]*):"")), """")"),68.0)</f>
        <v>68</v>
      </c>
      <c r="C416" s="31" t="str">
        <f>IFERROR(__xludf.DUMMYFUNCTION("if(len(A416) &gt;0, REGEXEXTRACT(A416, ""Chapter [0-9]*: (.*)""), """")"),"53 Hard Time")</f>
        <v>53 Hard Time</v>
      </c>
      <c r="D416" s="31" t="str">
        <f>IFERROR(__xludf.DUMMYFUNCTION("if(len(A416)&gt;0, REGEXEXTRACT(A416, ""\n[^\(]*""), """")"),"
Panzerkampf ")</f>
        <v>
Panzerkampf </v>
      </c>
      <c r="E416" s="17" t="str">
        <f>IFERROR(__xludf.DUMMYFUNCTION("if(len(A416)&gt;0, REGEXEXTRACT(A416, ""\n([^\n]*)$""), """")"),"Fiat")</f>
        <v>Fiat</v>
      </c>
      <c r="F416" s="17" t="str">
        <f>IFERROR(__xludf.DUMMYFUNCTION("if(len(A416)&gt;0, REGEXEXTRACT(A416, ""\(([^\)]*)\)""), """")"),"Sabaton")</f>
        <v>Sabaton</v>
      </c>
      <c r="G416" s="17" t="str">
        <f>IFERROR(__xludf.DUMMYFUNCTION("if(len(A416)&gt;0, REGEXEXTRACT(A416, ""\)([^:]*):""), """")")," 300")</f>
        <v> 300</v>
      </c>
      <c r="H416" s="31" t="str">
        <f>IFERROR(__xludf.DUMMYFUNCTION("if(len(A416) &gt; 0, JOIN(char(10), FILTER(SPLIT(A416, char(10)), split(""false false "" &amp; rept(""true "", columns(SPLIT(A416, char(10)))-3) &amp; ""false"", "" ""))), """")"),"When it comes to building war machines, yours are top-notch! A gun made by your own hand will never jam, and a tank built by you will never bog down in mud or take damage from an IED. If they want to destroy what you've built, they'd best bring their A-ga"&amp;"me.")</f>
        <v>When it comes to building war machines, yours are top-notch! A gun made by your own hand will never jam, and a tank built by you will never bog down in mud or take damage from an IED. If they want to destroy what you've built, they'd best bring their A-game.</v>
      </c>
    </row>
    <row r="417">
      <c r="A417" s="31" t="str">
        <f>IFERROR(__xludf.DUMMYFUNCTION("""COMPUTED_VALUE"""),"Chapter 68: 53 Hard Time
Status Page (Fate) Free:
A natural boon given to all masters, you have the ability to view the abilities of your servant and other beings in the form of an RPG statistics page. While this does not give you any information you do n"&amp;"ot already know, it does put it into an easily understandable format.
Ability")</f>
        <v>Chapter 68: 53 Hard Time
Status Page (Fate) Free:
A natural boon given to all masters, you have the ability to view the abilities of your servant and other beings in the form of an RPG statistics page. While this does not give you any information you do not already know, it does put it into an easily understandable format.
Ability</v>
      </c>
      <c r="B417" s="17">
        <f>IFERROR(__xludf.DUMMYFUNCTION("if(len(A417)&gt;0, value(REGEXEXTRACT(A417, ""Chapter ([0-9]*):"")), """")"),68.0)</f>
        <v>68</v>
      </c>
      <c r="C417" s="31" t="str">
        <f>IFERROR(__xludf.DUMMYFUNCTION("if(len(A417) &gt;0, REGEXEXTRACT(A417, ""Chapter [0-9]*: (.*)""), """")"),"53 Hard Time")</f>
        <v>53 Hard Time</v>
      </c>
      <c r="D417" s="31" t="str">
        <f>IFERROR(__xludf.DUMMYFUNCTION("if(len(A417)&gt;0, REGEXEXTRACT(A417, ""\n[^\(]*""), """")"),"
Status Page ")</f>
        <v>
Status Page </v>
      </c>
      <c r="E417" s="17" t="str">
        <f>IFERROR(__xludf.DUMMYFUNCTION("if(len(A417)&gt;0, REGEXEXTRACT(A417, ""\n([^\n]*)$""), """")"),"Ability")</f>
        <v>Ability</v>
      </c>
      <c r="F417" s="17" t="str">
        <f>IFERROR(__xludf.DUMMYFUNCTION("if(len(A417)&gt;0, REGEXEXTRACT(A417, ""\(([^\)]*)\)""), """")"),"Fate")</f>
        <v>Fate</v>
      </c>
      <c r="G417" s="17" t="str">
        <f>IFERROR(__xludf.DUMMYFUNCTION("if(len(A417)&gt;0, REGEXEXTRACT(A417, ""\)([^:]*):""), """")")," Free")</f>
        <v> Free</v>
      </c>
      <c r="H417" s="31" t="str">
        <f>IFERROR(__xludf.DUMMYFUNCTION("if(len(A417) &gt; 0, JOIN(char(10), FILTER(SPLIT(A417, char(10)), split(""false false "" &amp; rept(""true "", columns(SPLIT(A417, char(10)))-3) &amp; ""false"", "" ""))), """")"),"A natural boon given to all masters, you have the ability to view the abilities of your servant and other beings in the form of an RPG statistics page. While this does not give you any information you do not already know, it does put it into an easily und"&amp;"erstandable format.")</f>
        <v>A natural boon given to all masters, you have the ability to view the abilities of your servant and other beings in the form of an RPG statistics page. While this does not give you any information you do not already know, it does put it into an easily understandable format.</v>
      </c>
    </row>
    <row r="418">
      <c r="A418" s="31" t="str">
        <f>IFERROR(__xludf.DUMMYFUNCTION("""COMPUTED_VALUE"""),"Chapter 68: 53 Hard Time
Thaumaturgical Focus: Alchemy (Fate) 400:
There exist many special arts within magecraft, and now you have gained the knowledge of one of them. There are many schools of magic to specialise in, such as Alchemy, Memory Partition, T"&amp;"hought Acceleration, Transmutation, Jewelcraft, Curses etc. You could even learn the Emiya art of Time Manipulation, though you will have only the very basics, and will need years just to get to Kiritsugu's level, but you may possible go even further. You"&amp;" may not choose any True Magic with this perk. This perk can be bought multiple times
System")</f>
        <v>Chapter 68: 53 Hard Time
Thaumaturgical Focus: Alchemy (Fate) 400:
There exist many special arts within magecraft, and now you have gained the knowledge of one of them. There are many schools of magic to specialise in, such as Alchemy, Memory Partition, Thought Acceleration, Transmutation, Jewelcraft, Curses etc. You could even learn the Emiya art of Time Manipulation, though you will have only the very basics, and will need years just to get to Kiritsugu's level, but you may possible go even further. You may not choose any True Magic with this perk. This perk can be bought multiple times
System</v>
      </c>
      <c r="B418" s="17">
        <f>IFERROR(__xludf.DUMMYFUNCTION("if(len(A418)&gt;0, value(REGEXEXTRACT(A418, ""Chapter ([0-9]*):"")), """")"),68.0)</f>
        <v>68</v>
      </c>
      <c r="C418" s="31" t="str">
        <f>IFERROR(__xludf.DUMMYFUNCTION("if(len(A418) &gt;0, REGEXEXTRACT(A418, ""Chapter [0-9]*: (.*)""), """")"),"53 Hard Time")</f>
        <v>53 Hard Time</v>
      </c>
      <c r="D418" s="31" t="str">
        <f>IFERROR(__xludf.DUMMYFUNCTION("if(len(A418)&gt;0, REGEXEXTRACT(A418, ""\n[^\(]*""), """")"),"
Thaumaturgical Focus: Alchemy ")</f>
        <v>
Thaumaturgical Focus: Alchemy </v>
      </c>
      <c r="E418" s="17" t="str">
        <f>IFERROR(__xludf.DUMMYFUNCTION("if(len(A418)&gt;0, REGEXEXTRACT(A418, ""\n([^\n]*)$""), """")"),"System")</f>
        <v>System</v>
      </c>
      <c r="F418" s="17" t="str">
        <f>IFERROR(__xludf.DUMMYFUNCTION("if(len(A418)&gt;0, REGEXEXTRACT(A418, ""\(([^\)]*)\)""), """")"),"Fate")</f>
        <v>Fate</v>
      </c>
      <c r="G418" s="17" t="str">
        <f>IFERROR(__xludf.DUMMYFUNCTION("if(len(A418)&gt;0, REGEXEXTRACT(A418, ""\)([^:]*):""), """")")," 400")</f>
        <v> 400</v>
      </c>
      <c r="H418" s="31" t="str">
        <f>IFERROR(__xludf.DUMMYFUNCTION("if(len(A418) &gt; 0, JOIN(char(10), FILTER(SPLIT(A418, char(10)), split(""false false "" &amp; rept(""true "", columns(SPLIT(A418, char(10)))-3) &amp; ""false"", "" ""))), """")"),"There exist many special arts within magecraft, and now you have gained the knowledge of one of them. There are many schools of magic to specialise in, such as Alchemy, Memory Partition, Thought Acceleration, Transmutation, Jewelcraft, Curses etc. You cou"&amp;"ld even learn the Emiya art of Time Manipulation, though you will have only the very basics, and will need years just to get to Kiritsugu's level, but you may possible go even further. You may not choose any True Magic with this perk. This perk can be bou"&amp;"ght multiple times")</f>
        <v>There exist many special arts within magecraft, and now you have gained the knowledge of one of them. There are many schools of magic to specialise in, such as Alchemy, Memory Partition, Thought Acceleration, Transmutation, Jewelcraft, Curses etc. You could even learn the Emiya art of Time Manipulation, though you will have only the very basics, and will need years just to get to Kiritsugu's level, but you may possible go even further. You may not choose any True Magic with this perk. This perk can be bought multiple times</v>
      </c>
    </row>
    <row r="419">
      <c r="A419" s="31" t="str">
        <f>IFERROR(__xludf.DUMMYFUNCTION("""COMPUTED_VALUE"""),"Chapter 69: 54 Overtime
Minor Blessing Aphrodite - Beauty (Percy Jackson) 100:
For one reason or another you've got a god who cares slightly about you and has seen fit to grant you some minor boon within their domains.
Personal, Skill")</f>
        <v>Chapter 69: 54 Overtime
Minor Blessing Aphrodite - Beauty (Percy Jackson) 100:
For one reason or another you've got a god who cares slightly about you and has seen fit to grant you some minor boon within their domains.
Personal, Skill</v>
      </c>
      <c r="B419" s="17">
        <f>IFERROR(__xludf.DUMMYFUNCTION("if(len(A419)&gt;0, value(REGEXEXTRACT(A419, ""Chapter ([0-9]*):"")), """")"),69.0)</f>
        <v>69</v>
      </c>
      <c r="C419" s="31" t="str">
        <f>IFERROR(__xludf.DUMMYFUNCTION("if(len(A419) &gt;0, REGEXEXTRACT(A419, ""Chapter [0-9]*: (.*)""), """")"),"54 Overtime")</f>
        <v>54 Overtime</v>
      </c>
      <c r="D419" s="31" t="str">
        <f>IFERROR(__xludf.DUMMYFUNCTION("if(len(A419)&gt;0, REGEXEXTRACT(A419, ""\n[^\(]*""), """")"),"
Minor Blessing Aphrodite - Beauty ")</f>
        <v>
Minor Blessing Aphrodite - Beauty </v>
      </c>
      <c r="E419" s="17" t="str">
        <f>IFERROR(__xludf.DUMMYFUNCTION("if(len(A419)&gt;0, REGEXEXTRACT(A419, ""\n([^\n]*)$""), """")"),"Personal, Skill")</f>
        <v>Personal, Skill</v>
      </c>
      <c r="F419" s="17" t="str">
        <f>IFERROR(__xludf.DUMMYFUNCTION("if(len(A419)&gt;0, REGEXEXTRACT(A419, ""\(([^\)]*)\)""), """")"),"Percy Jackson")</f>
        <v>Percy Jackson</v>
      </c>
      <c r="G419" s="17" t="str">
        <f>IFERROR(__xludf.DUMMYFUNCTION("if(len(A419)&gt;0, REGEXEXTRACT(A419, ""\)([^:]*):""), """")")," 100")</f>
        <v> 100</v>
      </c>
      <c r="H419" s="31" t="str">
        <f>IFERROR(__xludf.DUMMYFUNCTION("if(len(A419) &gt; 0, JOIN(char(10), FILTER(SPLIT(A419, char(10)), split(""false false "" &amp; rept(""true "", columns(SPLIT(A419, char(10)))-3) &amp; ""false"", "" ""))), """")"),"For one reason or another you've got a god who cares slightly about you and has seen fit to grant you some minor boon within their domains.")</f>
        <v>For one reason or another you've got a god who cares slightly about you and has seen fit to grant you some minor boon within their domains.</v>
      </c>
    </row>
    <row r="420">
      <c r="A420" s="31" t="str">
        <f>IFERROR(__xludf.DUMMYFUNCTION("""COMPUTED_VALUE"""),"Chapter 69: 54 Overtime
Resources: Manufacturing Line (Valkyria Chronicles) 400:
You've always been of the opinion that technology advanced too slowly before you arrived, but now you can apply that to the physical world as well! Any building process you o"&amp;"versee, whether it be the forging of a sword or an entire tank factory, will now produce results twice as fast and with half the required materials used.
Fiat")</f>
        <v>Chapter 69: 54 Overtime
Resources: Manufacturing Line (Valkyria Chronicles) 400:
You've always been of the opinion that technology advanced too slowly before you arrived, but now you can apply that to the physical world as well! Any building process you oversee, whether it be the forging of a sword or an entire tank factory, will now produce results twice as fast and with half the required materials used.
Fiat</v>
      </c>
      <c r="B420" s="17">
        <f>IFERROR(__xludf.DUMMYFUNCTION("if(len(A420)&gt;0, value(REGEXEXTRACT(A420, ""Chapter ([0-9]*):"")), """")"),69.0)</f>
        <v>69</v>
      </c>
      <c r="C420" s="31" t="str">
        <f>IFERROR(__xludf.DUMMYFUNCTION("if(len(A420) &gt;0, REGEXEXTRACT(A420, ""Chapter [0-9]*: (.*)""), """")"),"54 Overtime")</f>
        <v>54 Overtime</v>
      </c>
      <c r="D420" s="31" t="str">
        <f>IFERROR(__xludf.DUMMYFUNCTION("if(len(A420)&gt;0, REGEXEXTRACT(A420, ""\n[^\(]*""), """")"),"
Resources: Manufacturing Line ")</f>
        <v>
Resources: Manufacturing Line </v>
      </c>
      <c r="E420" s="17" t="str">
        <f>IFERROR(__xludf.DUMMYFUNCTION("if(len(A420)&gt;0, REGEXEXTRACT(A420, ""\n([^\n]*)$""), """")"),"Fiat")</f>
        <v>Fiat</v>
      </c>
      <c r="F420" s="17" t="str">
        <f>IFERROR(__xludf.DUMMYFUNCTION("if(len(A420)&gt;0, REGEXEXTRACT(A420, ""\(([^\)]*)\)""), """")"),"Valkyria Chronicles")</f>
        <v>Valkyria Chronicles</v>
      </c>
      <c r="G420" s="17" t="str">
        <f>IFERROR(__xludf.DUMMYFUNCTION("if(len(A420)&gt;0, REGEXEXTRACT(A420, ""\)([^:]*):""), """")")," 400")</f>
        <v> 400</v>
      </c>
      <c r="H420" s="31" t="str">
        <f>IFERROR(__xludf.DUMMYFUNCTION("if(len(A420) &gt; 0, JOIN(char(10), FILTER(SPLIT(A420, char(10)), split(""false false "" &amp; rept(""true "", columns(SPLIT(A420, char(10)))-3) &amp; ""false"", "" ""))), """")"),"You've always been of the opinion that technology advanced too slowly before you arrived, but now you can apply that to the physical world as well! Any building process you oversee, whether it be the forging of a sword or an entire tank factory, will now "&amp;"produce results twice as fast and with half the required materials used.")</f>
        <v>You've always been of the opinion that technology advanced too slowly before you arrived, but now you can apply that to the physical world as well! Any building process you oversee, whether it be the forging of a sword or an entire tank factory, will now produce results twice as fast and with half the required materials used.</v>
      </c>
    </row>
    <row r="421">
      <c r="A421" s="31" t="str">
        <f>IFERROR(__xludf.DUMMYFUNCTION("""COMPUTED_VALUE"""),"Chapter 69: 54 Overtime
Unnatural Skill: Runes (Percy Jackson) 200:
Whether from your heritage or just being that good you've got one particular mundane skill that your feats with border on supernatural.
Note: Unlocks the Percy Jackson system of Runecraft"&amp;": The Well of Urd
System")</f>
        <v>Chapter 69: 54 Overtime
Unnatural Skill: Runes (Percy Jackson) 200:
Whether from your heritage or just being that good you've got one particular mundane skill that your feats with border on supernatural.
Note: Unlocks the Percy Jackson system of Runecraft: The Well of Urd
System</v>
      </c>
      <c r="B421" s="17">
        <f>IFERROR(__xludf.DUMMYFUNCTION("if(len(A421)&gt;0, value(REGEXEXTRACT(A421, ""Chapter ([0-9]*):"")), """")"),69.0)</f>
        <v>69</v>
      </c>
      <c r="C421" s="31" t="str">
        <f>IFERROR(__xludf.DUMMYFUNCTION("if(len(A421) &gt;0, REGEXEXTRACT(A421, ""Chapter [0-9]*: (.*)""), """")"),"54 Overtime")</f>
        <v>54 Overtime</v>
      </c>
      <c r="D421" s="31" t="str">
        <f>IFERROR(__xludf.DUMMYFUNCTION("if(len(A421)&gt;0, REGEXEXTRACT(A421, ""\n[^\(]*""), """")"),"
Unnatural Skill: Runes ")</f>
        <v>
Unnatural Skill: Runes </v>
      </c>
      <c r="E421" s="17" t="str">
        <f>IFERROR(__xludf.DUMMYFUNCTION("if(len(A421)&gt;0, REGEXEXTRACT(A421, ""\n([^\n]*)$""), """")"),"System")</f>
        <v>System</v>
      </c>
      <c r="F421" s="17" t="str">
        <f>IFERROR(__xludf.DUMMYFUNCTION("if(len(A421)&gt;0, REGEXEXTRACT(A421, ""\(([^\)]*)\)""), """")"),"Percy Jackson")</f>
        <v>Percy Jackson</v>
      </c>
      <c r="G421" s="17" t="str">
        <f>IFERROR(__xludf.DUMMYFUNCTION("if(len(A421)&gt;0, REGEXEXTRACT(A421, ""\)([^:]*):""), """")")," 200")</f>
        <v> 200</v>
      </c>
      <c r="H421" s="31" t="str">
        <f>IFERROR(__xludf.DUMMYFUNCTION("if(len(A421) &gt; 0, JOIN(char(10), FILTER(SPLIT(A421, char(10)), split(""false false "" &amp; rept(""true "", columns(SPLIT(A421, char(10)))-3) &amp; ""false"", "" ""))), """")"),"Whether from your heritage or just being that good you've got one particular mundane skill that your feats with border on supernatural.
Note: Unlocks the Percy Jackson system of Runecraft: The Well of Urd")</f>
        <v>Whether from your heritage or just being that good you've got one particular mundane skill that your feats with border on supernatural.
Note: Unlocks the Percy Jackson system of Runecraft: The Well of Urd</v>
      </c>
    </row>
    <row r="422">
      <c r="A422" s="31" t="str">
        <f>IFERROR(__xludf.DUMMYFUNCTION("""COMPUTED_VALUE"""),"Chapter 70: 55 Processing Time
Class Jumper (Fate Servant Supplement) 50:
The Anomalous class. Possibly a hero of another world or many worlds. There is no common denominator to this class. It is the most unpredictable of the classes. They gain no base st"&amp;"ats (Strength, Endurance, Agility, Mana, and Luck) above the E Rank base level (E x10 the human peak.). They gain a discount on one stat of their choice. They gain one Skill of their choice as their Class Skill (Territory Creation). Jumper also can pick P"&amp;"ersonalised Class Name for free. You get one C rank Skill (Magecraft) free and receive an E rank for free in any Class Skill you have according to your bought Class. You receive one C rank Noble Phantasm for free.
Personal")</f>
        <v>Chapter 70: 55 Processing Time
Class Jumper (Fate Servant Supplement) 50:
The Anomalous class. Possibly a hero of another world or many worlds. There is no common denominator to this class. It is the most unpredictable of the classes. They gain no base stats (Strength, Endurance, Agility, Mana, and Luck) above the E Rank base level (E x10 the human peak.). They gain a discount on one stat of their choice. They gain one Skill of their choice as their Class Skill (Territory Creation). Jumper also can pick Personalised Class Name for free. You get one C rank Skill (Magecraft) free and receive an E rank for free in any Class Skill you have according to your bought Class. You receive one C rank Noble Phantasm for free.
Personal</v>
      </c>
      <c r="B422" s="17">
        <f>IFERROR(__xludf.DUMMYFUNCTION("if(len(A422)&gt;0, value(REGEXEXTRACT(A422, ""Chapter ([0-9]*):"")), """")"),70.0)</f>
        <v>70</v>
      </c>
      <c r="C422" s="31" t="str">
        <f>IFERROR(__xludf.DUMMYFUNCTION("if(len(A422) &gt;0, REGEXEXTRACT(A422, ""Chapter [0-9]*: (.*)""), """")"),"55 Processing Time")</f>
        <v>55 Processing Time</v>
      </c>
      <c r="D422" s="31" t="str">
        <f>IFERROR(__xludf.DUMMYFUNCTION("if(len(A422)&gt;0, REGEXEXTRACT(A422, ""\n[^\(]*""), """")"),"
Class Jumper ")</f>
        <v>
Class Jumper </v>
      </c>
      <c r="E422" s="17" t="str">
        <f>IFERROR(__xludf.DUMMYFUNCTION("if(len(A422)&gt;0, REGEXEXTRACT(A422, ""\n([^\n]*)$""), """")"),"Personal")</f>
        <v>Personal</v>
      </c>
      <c r="F422" s="17" t="str">
        <f>IFERROR(__xludf.DUMMYFUNCTION("if(len(A422)&gt;0, REGEXEXTRACT(A422, ""\(([^\)]*)\)""), """")"),"Fate Servant Supplement")</f>
        <v>Fate Servant Supplement</v>
      </c>
      <c r="G422" s="17" t="str">
        <f>IFERROR(__xludf.DUMMYFUNCTION("if(len(A422)&gt;0, REGEXEXTRACT(A422, ""\)([^:]*):""), """")")," 50")</f>
        <v> 50</v>
      </c>
      <c r="H422" s="31" t="str">
        <f>IFERROR(__xludf.DUMMYFUNCTION("if(len(A422) &gt; 0, JOIN(char(10), FILTER(SPLIT(A422, char(10)), split(""false false "" &amp; rept(""true "", columns(SPLIT(A422, char(10)))-3) &amp; ""false"", "" ""))), """")"),"The Anomalous class. Possibly a hero of another world or many worlds. There is no common denominator to this class. It is the most unpredictable of the classes. They gain no base stats (Strength, Endurance, Agility, Mana, and Luck) above the E Rank base l"&amp;"evel (E x10 the human peak.). They gain a discount on one stat of their choice. They gain one Skill of their choice as their Class Skill (Territory Creation). Jumper also can pick Personalised Class Name for free. You get one C rank Skill (Magecraft) free"&amp;" and receive an E rank for free in any Class Skill you have according to your bought Class. You receive one C rank Noble Phantasm for free.")</f>
        <v>The Anomalous class. Possibly a hero of another world or many worlds. There is no common denominator to this class. It is the most unpredictable of the classes. They gain no base stats (Strength, Endurance, Agility, Mana, and Luck) above the E Rank base level (E x10 the human peak.). They gain a discount on one stat of their choice. They gain one Skill of their choice as their Class Skill (Territory Creation). Jumper also can pick Personalised Class Name for free. You get one C rank Skill (Magecraft) free and receive an E rank for free in any Class Skill you have according to your bought Class. You receive one C rank Noble Phantasm for free.</v>
      </c>
    </row>
    <row r="423">
      <c r="A423" s="31" t="str">
        <f>IFERROR(__xludf.DUMMYFUNCTION("""COMPUTED_VALUE"""),"Chapter 70: 55 Processing Time
Item Construction A+++ (Fate Servant Supplement) 550:
Item Construction is a Caster-class Skill. It is the Skill to manufacture magical items, from implements of war to items for daily use. Also, this Skill requires time to "&amp;"gather components and manufacture items.
System")</f>
        <v>Chapter 70: 55 Processing Time
Item Construction A+++ (Fate Servant Supplement) 550:
Item Construction is a Caster-class Skill. It is the Skill to manufacture magical items, from implements of war to items for daily use. Also, this Skill requires time to gather components and manufacture items.
System</v>
      </c>
      <c r="B423" s="17">
        <f>IFERROR(__xludf.DUMMYFUNCTION("if(len(A423)&gt;0, value(REGEXEXTRACT(A423, ""Chapter ([0-9]*):"")), """")"),70.0)</f>
        <v>70</v>
      </c>
      <c r="C423" s="31" t="str">
        <f>IFERROR(__xludf.DUMMYFUNCTION("if(len(A423) &gt;0, REGEXEXTRACT(A423, ""Chapter [0-9]*: (.*)""), """")"),"55 Processing Time")</f>
        <v>55 Processing Time</v>
      </c>
      <c r="D423" s="31" t="str">
        <f>IFERROR(__xludf.DUMMYFUNCTION("if(len(A423)&gt;0, REGEXEXTRACT(A423, ""\n[^\(]*""), """")"),"
Item Construction A+++ ")</f>
        <v>
Item Construction A+++ </v>
      </c>
      <c r="E423" s="17" t="str">
        <f>IFERROR(__xludf.DUMMYFUNCTION("if(len(A423)&gt;0, REGEXEXTRACT(A423, ""\n([^\n]*)$""), """")"),"System")</f>
        <v>System</v>
      </c>
      <c r="F423" s="17" t="str">
        <f>IFERROR(__xludf.DUMMYFUNCTION("if(len(A423)&gt;0, REGEXEXTRACT(A423, ""\(([^\)]*)\)""), """")"),"Fate Servant Supplement")</f>
        <v>Fate Servant Supplement</v>
      </c>
      <c r="G423" s="17" t="str">
        <f>IFERROR(__xludf.DUMMYFUNCTION("if(len(A423)&gt;0, REGEXEXTRACT(A423, ""\)([^:]*):""), """")")," 550")</f>
        <v> 550</v>
      </c>
      <c r="H423" s="31" t="str">
        <f>IFERROR(__xludf.DUMMYFUNCTION("if(len(A423) &gt; 0, JOIN(char(10), FILTER(SPLIT(A423, char(10)), split(""false false "" &amp; rept(""true "", columns(SPLIT(A423, char(10)))-3) &amp; ""false"", "" ""))), """")"),"Item Construction is a Caster-class Skill. It is the Skill to manufacture magical items, from implements of war to items for daily use. Also, this Skill requires time to gather components and manufacture items.")</f>
        <v>Item Construction is a Caster-class Skill. It is the Skill to manufacture magical items, from implements of war to items for daily use. Also, this Skill requires time to gather components and manufacture items.</v>
      </c>
    </row>
    <row r="424">
      <c r="A424" s="31" t="str">
        <f>IFERROR(__xludf.DUMMYFUNCTION("""COMPUTED_VALUE"""),"Chapter 70: 55 Processing Time
Magecraft C (Fate Servant Supplement) Free:
Knowledge about modern Thaumaturgy
System")</f>
        <v>Chapter 70: 55 Processing Time
Magecraft C (Fate Servant Supplement) Free:
Knowledge about modern Thaumaturgy
System</v>
      </c>
      <c r="B424" s="17">
        <f>IFERROR(__xludf.DUMMYFUNCTION("if(len(A424)&gt;0, value(REGEXEXTRACT(A424, ""Chapter ([0-9]*):"")), """")"),70.0)</f>
        <v>70</v>
      </c>
      <c r="C424" s="31" t="str">
        <f>IFERROR(__xludf.DUMMYFUNCTION("if(len(A424) &gt;0, REGEXEXTRACT(A424, ""Chapter [0-9]*: (.*)""), """")"),"55 Processing Time")</f>
        <v>55 Processing Time</v>
      </c>
      <c r="D424" s="31" t="str">
        <f>IFERROR(__xludf.DUMMYFUNCTION("if(len(A424)&gt;0, REGEXEXTRACT(A424, ""\n[^\(]*""), """")"),"
Magecraft C ")</f>
        <v>
Magecraft C </v>
      </c>
      <c r="E424" s="17" t="str">
        <f>IFERROR(__xludf.DUMMYFUNCTION("if(len(A424)&gt;0, REGEXEXTRACT(A424, ""\n([^\n]*)$""), """")"),"System")</f>
        <v>System</v>
      </c>
      <c r="F424" s="17" t="str">
        <f>IFERROR(__xludf.DUMMYFUNCTION("if(len(A424)&gt;0, REGEXEXTRACT(A424, ""\(([^\)]*)\)""), """")"),"Fate Servant Supplement")</f>
        <v>Fate Servant Supplement</v>
      </c>
      <c r="G424" s="17" t="str">
        <f>IFERROR(__xludf.DUMMYFUNCTION("if(len(A424)&gt;0, REGEXEXTRACT(A424, ""\)([^:]*):""), """")")," Free")</f>
        <v> Free</v>
      </c>
      <c r="H424" s="31" t="str">
        <f>IFERROR(__xludf.DUMMYFUNCTION("if(len(A424) &gt; 0, JOIN(char(10), FILTER(SPLIT(A424, char(10)), split(""false false "" &amp; rept(""true "", columns(SPLIT(A424, char(10)))-3) &amp; ""false"", "" ""))), """")"),"Knowledge about modern Thaumaturgy")</f>
        <v>Knowledge about modern Thaumaturgy</v>
      </c>
    </row>
    <row r="425">
      <c r="A425" s="31" t="str">
        <f>IFERROR(__xludf.DUMMYFUNCTION("""COMPUTED_VALUE"""),"Chapter 70: 55 Processing Time
Noble Phantasm C (Fate Servant Supplement) Free:
Works of Timeless Eternity: Mystic Forge, Anti-Unit (self)
Ability")</f>
        <v>Chapter 70: 55 Processing Time
Noble Phantasm C (Fate Servant Supplement) Free:
Works of Timeless Eternity: Mystic Forge, Anti-Unit (self)
Ability</v>
      </c>
      <c r="B425" s="17">
        <f>IFERROR(__xludf.DUMMYFUNCTION("if(len(A425)&gt;0, value(REGEXEXTRACT(A425, ""Chapter ([0-9]*):"")), """")"),70.0)</f>
        <v>70</v>
      </c>
      <c r="C425" s="31" t="str">
        <f>IFERROR(__xludf.DUMMYFUNCTION("if(len(A425) &gt;0, REGEXEXTRACT(A425, ""Chapter [0-9]*: (.*)""), """")"),"55 Processing Time")</f>
        <v>55 Processing Time</v>
      </c>
      <c r="D425" s="31" t="str">
        <f>IFERROR(__xludf.DUMMYFUNCTION("if(len(A425)&gt;0, REGEXEXTRACT(A425, ""\n[^\(]*""), """")"),"
Noble Phantasm C ")</f>
        <v>
Noble Phantasm C </v>
      </c>
      <c r="E425" s="17" t="str">
        <f>IFERROR(__xludf.DUMMYFUNCTION("if(len(A425)&gt;0, REGEXEXTRACT(A425, ""\n([^\n]*)$""), """")"),"Ability")</f>
        <v>Ability</v>
      </c>
      <c r="F425" s="17" t="str">
        <f>IFERROR(__xludf.DUMMYFUNCTION("if(len(A425)&gt;0, REGEXEXTRACT(A425, ""\(([^\)]*)\)""), """")"),"Fate Servant Supplement")</f>
        <v>Fate Servant Supplement</v>
      </c>
      <c r="G425" s="17" t="str">
        <f>IFERROR(__xludf.DUMMYFUNCTION("if(len(A425)&gt;0, REGEXEXTRACT(A425, ""\)([^:]*):""), """")")," Free")</f>
        <v> Free</v>
      </c>
      <c r="H425" s="31" t="str">
        <f>IFERROR(__xludf.DUMMYFUNCTION("if(len(A425) &gt; 0, JOIN(char(10), FILTER(SPLIT(A425, char(10)), split(""false false "" &amp; rept(""true "", columns(SPLIT(A425, char(10)))-3) &amp; ""false"", "" ""))), """")"),"Works of Timeless Eternity: Mystic Forge, Anti-Unit (self)")</f>
        <v>Works of Timeless Eternity: Mystic Forge, Anti-Unit (self)</v>
      </c>
    </row>
    <row r="426">
      <c r="A426" s="31" t="str">
        <f>IFERROR(__xludf.DUMMYFUNCTION("""COMPUTED_VALUE"""),"Chapter 70: 55 Processing Time
Territory Creation E (Fate Servant Supplement) Free:
This skill allows the servant to build a special terrain that is advantageous to oneself as a magus. A Territory allows the creator to cast stronger spells at a reduced co"&amp;"st, with the effects increasing as the rank does
Skill")</f>
        <v>Chapter 70: 55 Processing Time
Territory Creation E (Fate Servant Supplement) Free:
This skill allows the servant to build a special terrain that is advantageous to oneself as a magus. A Territory allows the creator to cast stronger spells at a reduced cost, with the effects increasing as the rank does
Skill</v>
      </c>
      <c r="B426" s="17">
        <f>IFERROR(__xludf.DUMMYFUNCTION("if(len(A426)&gt;0, value(REGEXEXTRACT(A426, ""Chapter ([0-9]*):"")), """")"),70.0)</f>
        <v>70</v>
      </c>
      <c r="C426" s="31" t="str">
        <f>IFERROR(__xludf.DUMMYFUNCTION("if(len(A426) &gt;0, REGEXEXTRACT(A426, ""Chapter [0-9]*: (.*)""), """")"),"55 Processing Time")</f>
        <v>55 Processing Time</v>
      </c>
      <c r="D426" s="31" t="str">
        <f>IFERROR(__xludf.DUMMYFUNCTION("if(len(A426)&gt;0, REGEXEXTRACT(A426, ""\n[^\(]*""), """")"),"
Territory Creation E ")</f>
        <v>
Territory Creation E </v>
      </c>
      <c r="E426" s="17" t="str">
        <f>IFERROR(__xludf.DUMMYFUNCTION("if(len(A426)&gt;0, REGEXEXTRACT(A426, ""\n([^\n]*)$""), """")"),"Skill")</f>
        <v>Skill</v>
      </c>
      <c r="F426" s="17" t="str">
        <f>IFERROR(__xludf.DUMMYFUNCTION("if(len(A426)&gt;0, REGEXEXTRACT(A426, ""\(([^\)]*)\)""), """")"),"Fate Servant Supplement")</f>
        <v>Fate Servant Supplement</v>
      </c>
      <c r="G426" s="17" t="str">
        <f>IFERROR(__xludf.DUMMYFUNCTION("if(len(A426)&gt;0, REGEXEXTRACT(A426, ""\)([^:]*):""), """")")," Free")</f>
        <v> Free</v>
      </c>
      <c r="H426" s="31" t="str">
        <f>IFERROR(__xludf.DUMMYFUNCTION("if(len(A426) &gt; 0, JOIN(char(10), FILTER(SPLIT(A426, char(10)), split(""false false "" &amp; rept(""true "", columns(SPLIT(A426, char(10)))-3) &amp; ""false"", "" ""))), """")"),"This skill allows the servant to build a special terrain that is advantageous to oneself as a magus. A Territory allows the creator to cast stronger spells at a reduced cost, with the effects increasing as the rank does")</f>
        <v>This skill allows the servant to build a special terrain that is advantageous to oneself as a magus. A Territory allows the creator to cast stronger spells at a reduced cost, with the effects increasing as the rank does</v>
      </c>
    </row>
    <row r="427">
      <c r="A427" s="31" t="str">
        <f>IFERROR(__xludf.DUMMYFUNCTION("""COMPUTED_VALUE"""),"Chapter 71: 55.1 Interlude Fleet Preamble Roy Addendum Margaret
Accelerator Equipment (Zoids: Legacy) 3 Customization Points:
A pair of ion boosters, slightly weaker than those used on the Liger Jaeger variant, which boost speed significantly. The cost to"&amp;" manoeuvrability is minimal, and thankfully it comes with an onboard power unit that recharges on cells.
Item")</f>
        <v>Chapter 71: 55.1 Interlude Fleet Preamble Roy Addendum Margaret
Accelerator Equipment (Zoids: Legacy) 3 Customization Points:
A pair of ion boosters, slightly weaker than those used on the Liger Jaeger variant, which boost speed significantly. The cost to manoeuvrability is minimal, and thankfully it comes with an onboard power unit that recharges on cells.
Item</v>
      </c>
      <c r="B427" s="17">
        <f>IFERROR(__xludf.DUMMYFUNCTION("if(len(A427)&gt;0, value(REGEXEXTRACT(A427, ""Chapter ([0-9]*):"")), """")"),71.0)</f>
        <v>71</v>
      </c>
      <c r="C427" s="31" t="str">
        <f>IFERROR(__xludf.DUMMYFUNCTION("if(len(A427) &gt;0, REGEXEXTRACT(A427, ""Chapter [0-9]*: (.*)""), """")"),"55.1 Interlude Fleet Preamble Roy Addendum Margaret")</f>
        <v>55.1 Interlude Fleet Preamble Roy Addendum Margaret</v>
      </c>
      <c r="D427" s="31" t="str">
        <f>IFERROR(__xludf.DUMMYFUNCTION("if(len(A427)&gt;0, REGEXEXTRACT(A427, ""\n[^\(]*""), """")"),"
Accelerator Equipment ")</f>
        <v>
Accelerator Equipment </v>
      </c>
      <c r="E427" s="17" t="str">
        <f>IFERROR(__xludf.DUMMYFUNCTION("if(len(A427)&gt;0, REGEXEXTRACT(A427, ""\n([^\n]*)$""), """")"),"Item")</f>
        <v>Item</v>
      </c>
      <c r="F427" s="17" t="str">
        <f>IFERROR(__xludf.DUMMYFUNCTION("if(len(A427)&gt;0, REGEXEXTRACT(A427, ""\(([^\)]*)\)""), """")"),"Zoids: Legacy")</f>
        <v>Zoids: Legacy</v>
      </c>
      <c r="G427" s="17" t="str">
        <f>IFERROR(__xludf.DUMMYFUNCTION("if(len(A427)&gt;0, REGEXEXTRACT(A427, ""\)([^:]*):""), """")")," 3 Customization Points")</f>
        <v> 3 Customization Points</v>
      </c>
      <c r="H427" s="31" t="str">
        <f>IFERROR(__xludf.DUMMYFUNCTION("if(len(A427) &gt; 0, JOIN(char(10), FILTER(SPLIT(A427, char(10)), split(""false false "" &amp; rept(""true "", columns(SPLIT(A427, char(10)))-3) &amp; ""false"", "" ""))), """")"),"A pair of ion boosters, slightly weaker than those used on the Liger Jaeger variant, which boost speed significantly. The cost to manoeuvrability is minimal, and thankfully it comes with an onboard power unit that recharges on cells.")</f>
        <v>A pair of ion boosters, slightly weaker than those used on the Liger Jaeger variant, which boost speed significantly. The cost to manoeuvrability is minimal, and thankfully it comes with an onboard power unit that recharges on cells.</v>
      </c>
    </row>
    <row r="428">
      <c r="A428" s="31" t="str">
        <f>IFERROR(__xludf.DUMMYFUNCTION("""COMPUTED_VALUE"""),"Chapter 71: 55.1 Interlude Fleet Preamble Roy Addendum Margaret
Cool Flag With Logo (Skies of Arcadia) Free:
Everyone needs a flag. Something to define and symbolize them, and so all in the sky will remember their legacy. It can look like anything, it's y"&amp;"our flag.
Item")</f>
        <v>Chapter 71: 55.1 Interlude Fleet Preamble Roy Addendum Margaret
Cool Flag With Logo (Skies of Arcadia) Free:
Everyone needs a flag. Something to define and symbolize them, and so all in the sky will remember their legacy. It can look like anything, it's your flag.
Item</v>
      </c>
      <c r="B428" s="17">
        <f>IFERROR(__xludf.DUMMYFUNCTION("if(len(A428)&gt;0, value(REGEXEXTRACT(A428, ""Chapter ([0-9]*):"")), """")"),71.0)</f>
        <v>71</v>
      </c>
      <c r="C428" s="31" t="str">
        <f>IFERROR(__xludf.DUMMYFUNCTION("if(len(A428) &gt;0, REGEXEXTRACT(A428, ""Chapter [0-9]*: (.*)""), """")"),"55.1 Interlude Fleet Preamble Roy Addendum Margaret")</f>
        <v>55.1 Interlude Fleet Preamble Roy Addendum Margaret</v>
      </c>
      <c r="D428" s="31" t="str">
        <f>IFERROR(__xludf.DUMMYFUNCTION("if(len(A428)&gt;0, REGEXEXTRACT(A428, ""\n[^\(]*""), """")"),"
Cool Flag With Logo ")</f>
        <v>
Cool Flag With Logo </v>
      </c>
      <c r="E428" s="17" t="str">
        <f>IFERROR(__xludf.DUMMYFUNCTION("if(len(A428)&gt;0, REGEXEXTRACT(A428, ""\n([^\n]*)$""), """")"),"Item")</f>
        <v>Item</v>
      </c>
      <c r="F428" s="17" t="str">
        <f>IFERROR(__xludf.DUMMYFUNCTION("if(len(A428)&gt;0, REGEXEXTRACT(A428, ""\(([^\)]*)\)""), """")"),"Skies of Arcadia")</f>
        <v>Skies of Arcadia</v>
      </c>
      <c r="G428" s="17" t="str">
        <f>IFERROR(__xludf.DUMMYFUNCTION("if(len(A428)&gt;0, REGEXEXTRACT(A428, ""\)([^:]*):""), """")")," Free")</f>
        <v> Free</v>
      </c>
      <c r="H428" s="31" t="str">
        <f>IFERROR(__xludf.DUMMYFUNCTION("if(len(A428) &gt; 0, JOIN(char(10), FILTER(SPLIT(A428, char(10)), split(""false false "" &amp; rept(""true "", columns(SPLIT(A428, char(10)))-3) &amp; ""false"", "" ""))), """")"),"Everyone needs a flag. Something to define and symbolize them, and so all in the sky will remember their legacy. It can look like anything, it's your flag.")</f>
        <v>Everyone needs a flag. Something to define and symbolize them, and so all in the sky will remember their legacy. It can look like anything, it's your flag.</v>
      </c>
    </row>
    <row r="429">
      <c r="A429" s="31" t="str">
        <f>IFERROR(__xludf.DUMMYFUNCTION("""COMPUTED_VALUE"""),"Chapter 71: 55.1 Interlude Fleet Preamble Roy Addendum Margaret
Doppler Field Generator (Zoids: Legacy) 5 Customization Points:
Restricted to only S (small) sized Zoids. The generator allows for the Zoid’s image to be projected simultaneously in multiple "&amp;"directions. Bystanders see this as multiple copies of the same Zoid moving in sync. Unlike a ZOS core, none of the doppler projections are real however.
Item")</f>
        <v>Chapter 71: 55.1 Interlude Fleet Preamble Roy Addendum Margaret
Doppler Field Generator (Zoids: Legacy) 5 Customization Points:
Restricted to only S (small) sized Zoids. The generator allows for the Zoid’s image to be projected simultaneously in multiple directions. Bystanders see this as multiple copies of the same Zoid moving in sync. Unlike a ZOS core, none of the doppler projections are real however.
Item</v>
      </c>
      <c r="B429" s="17">
        <f>IFERROR(__xludf.DUMMYFUNCTION("if(len(A429)&gt;0, value(REGEXEXTRACT(A429, ""Chapter ([0-9]*):"")), """")"),71.0)</f>
        <v>71</v>
      </c>
      <c r="C429" s="31" t="str">
        <f>IFERROR(__xludf.DUMMYFUNCTION("if(len(A429) &gt;0, REGEXEXTRACT(A429, ""Chapter [0-9]*: (.*)""), """")"),"55.1 Interlude Fleet Preamble Roy Addendum Margaret")</f>
        <v>55.1 Interlude Fleet Preamble Roy Addendum Margaret</v>
      </c>
      <c r="D429" s="31" t="str">
        <f>IFERROR(__xludf.DUMMYFUNCTION("if(len(A429)&gt;0, REGEXEXTRACT(A429, ""\n[^\(]*""), """")"),"
Doppler Field Generator ")</f>
        <v>
Doppler Field Generator </v>
      </c>
      <c r="E429" s="17" t="str">
        <f>IFERROR(__xludf.DUMMYFUNCTION("if(len(A429)&gt;0, REGEXEXTRACT(A429, ""\n([^\n]*)$""), """")"),"Item")</f>
        <v>Item</v>
      </c>
      <c r="F429" s="17" t="str">
        <f>IFERROR(__xludf.DUMMYFUNCTION("if(len(A429)&gt;0, REGEXEXTRACT(A429, ""\(([^\)]*)\)""), """")"),"Zoids: Legacy")</f>
        <v>Zoids: Legacy</v>
      </c>
      <c r="G429" s="17" t="str">
        <f>IFERROR(__xludf.DUMMYFUNCTION("if(len(A429)&gt;0, REGEXEXTRACT(A429, ""\)([^:]*):""), """")")," 5 Customization Points")</f>
        <v> 5 Customization Points</v>
      </c>
      <c r="H429" s="31" t="str">
        <f>IFERROR(__xludf.DUMMYFUNCTION("if(len(A429) &gt; 0, JOIN(char(10), FILTER(SPLIT(A429, char(10)), split(""false false "" &amp; rept(""true "", columns(SPLIT(A429, char(10)))-3) &amp; ""false"", "" ""))), """")"),"Restricted to only S (small) sized Zoids. The generator allows for the Zoid’s image to be projected simultaneously in multiple directions. Bystanders see this as multiple copies of the same Zoid moving in sync. Unlike a ZOS core, none of the doppler proje"&amp;"ctions are real however.")</f>
        <v>Restricted to only S (small) sized Zoids. The generator allows for the Zoid’s image to be projected simultaneously in multiple directions. Bystanders see this as multiple copies of the same Zoid moving in sync. Unlike a ZOS core, none of the doppler projections are real however.</v>
      </c>
    </row>
    <row r="430">
      <c r="A430" s="31" t="str">
        <f>IFERROR(__xludf.DUMMYFUNCTION("""COMPUTED_VALUE"""),"Chapter 71: 55.1 Interlude Fleet Preamble Roy Addendum Margaret
Electron Shield Generators (Zoids: Legacy) 2 Customization Points:
This wide energy shield array covers over an L sized Zoid completely in any single direction and resists the effects of beam"&amp;" weapons. Can be turned on and off, but is very noticeable when on. It can be hooked up to a power unit for extra strength, but otherwise has its own onboard power
Item")</f>
        <v>Chapter 71: 55.1 Interlude Fleet Preamble Roy Addendum Margaret
Electron Shield Generators (Zoids: Legacy) 2 Customization Points:
This wide energy shield array covers over an L sized Zoid completely in any single direction and resists the effects of beam weapons. Can be turned on and off, but is very noticeable when on. It can be hooked up to a power unit for extra strength, but otherwise has its own onboard power
Item</v>
      </c>
      <c r="B430" s="17">
        <f>IFERROR(__xludf.DUMMYFUNCTION("if(len(A430)&gt;0, value(REGEXEXTRACT(A430, ""Chapter ([0-9]*):"")), """")"),71.0)</f>
        <v>71</v>
      </c>
      <c r="C430" s="31" t="str">
        <f>IFERROR(__xludf.DUMMYFUNCTION("if(len(A430) &gt;0, REGEXEXTRACT(A430, ""Chapter [0-9]*: (.*)""), """")"),"55.1 Interlude Fleet Preamble Roy Addendum Margaret")</f>
        <v>55.1 Interlude Fleet Preamble Roy Addendum Margaret</v>
      </c>
      <c r="D430" s="31" t="str">
        <f>IFERROR(__xludf.DUMMYFUNCTION("if(len(A430)&gt;0, REGEXEXTRACT(A430, ""\n[^\(]*""), """")"),"
Electron Shield Generators ")</f>
        <v>
Electron Shield Generators </v>
      </c>
      <c r="E430" s="17" t="str">
        <f>IFERROR(__xludf.DUMMYFUNCTION("if(len(A430)&gt;0, REGEXEXTRACT(A430, ""\n([^\n]*)$""), """")"),"Item")</f>
        <v>Item</v>
      </c>
      <c r="F430" s="17" t="str">
        <f>IFERROR(__xludf.DUMMYFUNCTION("if(len(A430)&gt;0, REGEXEXTRACT(A430, ""\(([^\)]*)\)""), """")"),"Zoids: Legacy")</f>
        <v>Zoids: Legacy</v>
      </c>
      <c r="G430" s="17" t="str">
        <f>IFERROR(__xludf.DUMMYFUNCTION("if(len(A430)&gt;0, REGEXEXTRACT(A430, ""\)([^:]*):""), """")")," 2 Customization Points")</f>
        <v> 2 Customization Points</v>
      </c>
      <c r="H430" s="31" t="str">
        <f>IFERROR(__xludf.DUMMYFUNCTION("if(len(A430) &gt; 0, JOIN(char(10), FILTER(SPLIT(A430, char(10)), split(""false false "" &amp; rept(""true "", columns(SPLIT(A430, char(10)))-3) &amp; ""false"", "" ""))), """")"),"This wide energy shield array covers over an L sized Zoid completely in any single direction and resists the effects of beam weapons. Can be turned on and off, but is very noticeable when on. It can be hooked up to a power unit for extra strength, but oth"&amp;"erwise has its own onboard power")</f>
        <v>This wide energy shield array covers over an L sized Zoid completely in any single direction and resists the effects of beam weapons. Can be turned on and off, but is very noticeable when on. It can be hooked up to a power unit for extra strength, but otherwise has its own onboard power</v>
      </c>
    </row>
    <row r="431">
      <c r="A431" s="31" t="str">
        <f>IFERROR(__xludf.DUMMYFUNCTION("""COMPUTED_VALUE"""),"Chapter 71: 55.1 Interlude Fleet Preamble Roy Addendum Margaret
Make A Wish (Robot Unicorn Attack) Free:
You can take whichever three Wishes you'd like to use. All Wishes are equally effective at defeating obstacles and traversing the realm.
Unicorn: The "&amp;"classic wish! Though mostly horse-like in appearance it has some key differences such as rainbows, being a robot, and a horn.
Mother-flipping Sabretooth Tiger: So cool it's awesome. Plain stripes? How about rainbow stripes? Great shiny metal teeth too, wh"&amp;"ich like all Unicornium resists rusting.
Dragon: Large and stylish wings set this Wish apart from the competition. Unfortunately, they are just for show and not actually flight capable.
Entity")</f>
        <v>Chapter 71: 55.1 Interlude Fleet Preamble Roy Addendum Margaret
Make A Wish (Robot Unicorn Attack) Free:
You can take whichever three Wishes you'd like to use. All Wishes are equally effective at defeating obstacles and traversing the realm.
Unicorn: The classic wish! Though mostly horse-like in appearance it has some key differences such as rainbows, being a robot, and a horn.
Mother-flipping Sabretooth Tiger: So cool it's awesome. Plain stripes? How about rainbow stripes? Great shiny metal teeth too, which like all Unicornium resists rusting.
Dragon: Large and stylish wings set this Wish apart from the competition. Unfortunately, they are just for show and not actually flight capable.
Entity</v>
      </c>
      <c r="B431" s="17">
        <f>IFERROR(__xludf.DUMMYFUNCTION("if(len(A431)&gt;0, value(REGEXEXTRACT(A431, ""Chapter ([0-9]*):"")), """")"),71.0)</f>
        <v>71</v>
      </c>
      <c r="C431" s="31" t="str">
        <f>IFERROR(__xludf.DUMMYFUNCTION("if(len(A431) &gt;0, REGEXEXTRACT(A431, ""Chapter [0-9]*: (.*)""), """")"),"55.1 Interlude Fleet Preamble Roy Addendum Margaret")</f>
        <v>55.1 Interlude Fleet Preamble Roy Addendum Margaret</v>
      </c>
      <c r="D431" s="31" t="str">
        <f>IFERROR(__xludf.DUMMYFUNCTION("if(len(A431)&gt;0, REGEXEXTRACT(A431, ""\n[^\(]*""), """")"),"
Make A Wish ")</f>
        <v>
Make A Wish </v>
      </c>
      <c r="E431" s="17" t="str">
        <f>IFERROR(__xludf.DUMMYFUNCTION("if(len(A431)&gt;0, REGEXEXTRACT(A431, ""\n([^\n]*)$""), """")"),"Entity")</f>
        <v>Entity</v>
      </c>
      <c r="F431" s="17" t="str">
        <f>IFERROR(__xludf.DUMMYFUNCTION("if(len(A431)&gt;0, REGEXEXTRACT(A431, ""\(([^\)]*)\)""), """")"),"Robot Unicorn Attack")</f>
        <v>Robot Unicorn Attack</v>
      </c>
      <c r="G431" s="17" t="str">
        <f>IFERROR(__xludf.DUMMYFUNCTION("if(len(A431)&gt;0, REGEXEXTRACT(A431, ""\)([^:]*):""), """")")," Free")</f>
        <v> Free</v>
      </c>
      <c r="H431" s="31" t="str">
        <f>IFERROR(__xludf.DUMMYFUNCTION("if(len(A431) &gt; 0, JOIN(char(10), FILTER(SPLIT(A431, char(10)), split(""false false "" &amp; rept(""true "", columns(SPLIT(A431, char(10)))-3) &amp; ""false"", "" ""))), """")"),"You can take whichever three Wishes you'd like to use. All Wishes are equally effective at defeating obstacles and traversing the realm.
Unicorn: The classic wish! Though mostly horse-like in appearance it has some key differences such as rainbows, being "&amp;"a robot, and a horn.
Mother-flipping Sabretooth Tiger: So cool it's awesome. Plain stripes? How about rainbow stripes? Great shiny metal teeth too, which like all Unicornium resists rusting.
Dragon: Large and stylish wings set this Wish apart from the com"&amp;"petition. Unfortunately, they are just for show and not actually flight capable.")</f>
        <v>You can take whichever three Wishes you'd like to use. All Wishes are equally effective at defeating obstacles and traversing the realm.
Unicorn: The classic wish! Though mostly horse-like in appearance it has some key differences such as rainbows, being a robot, and a horn.
Mother-flipping Sabretooth Tiger: So cool it's awesome. Plain stripes? How about rainbow stripes? Great shiny metal teeth too, which like all Unicornium resists rusting.
Dragon: Large and stylish wings set this Wish apart from the competition. Unfortunately, they are just for show and not actually flight capable.</v>
      </c>
    </row>
    <row r="432">
      <c r="A432" s="31" t="str">
        <f>IFERROR(__xludf.DUMMYFUNCTION("""COMPUTED_VALUE"""),"Chapter 71: 55.1 Interlude Fleet Preamble Roy Addendum Margaret
Pre-existing Variations?! (Zoids: Legacy) Free:
(Only applicable if you already have a robot which has an animal form) Oh my…that robot of yours…I think with a bit of work, we could probably "&amp;"tune it to this new world. I wonder if that’s somehow a new breed of Zoids?... If your robot has a form that resembles any sort of animal, you can import it as a Zoid through the following formula. Cost: 0; Customization Points: 10
Item")</f>
        <v>Chapter 71: 55.1 Interlude Fleet Preamble Roy Addendum Margaret
Pre-existing Variations?! (Zoids: Legacy) Free:
(Only applicable if you already have a robot which has an animal form) Oh my…that robot of yours…I think with a bit of work, we could probably tune it to this new world. I wonder if that’s somehow a new breed of Zoids?... If your robot has a form that resembles any sort of animal, you can import it as a Zoid through the following formula. Cost: 0; Customization Points: 10
Item</v>
      </c>
      <c r="B432" s="17">
        <f>IFERROR(__xludf.DUMMYFUNCTION("if(len(A432)&gt;0, value(REGEXEXTRACT(A432, ""Chapter ([0-9]*):"")), """")"),71.0)</f>
        <v>71</v>
      </c>
      <c r="C432" s="31" t="str">
        <f>IFERROR(__xludf.DUMMYFUNCTION("if(len(A432) &gt;0, REGEXEXTRACT(A432, ""Chapter [0-9]*: (.*)""), """")"),"55.1 Interlude Fleet Preamble Roy Addendum Margaret")</f>
        <v>55.1 Interlude Fleet Preamble Roy Addendum Margaret</v>
      </c>
      <c r="D432" s="31" t="str">
        <f>IFERROR(__xludf.DUMMYFUNCTION("if(len(A432)&gt;0, REGEXEXTRACT(A432, ""\n[^\(]*""), """")"),"
Pre-existing Variations?! ")</f>
        <v>
Pre-existing Variations?! </v>
      </c>
      <c r="E432" s="17" t="str">
        <f>IFERROR(__xludf.DUMMYFUNCTION("if(len(A432)&gt;0, REGEXEXTRACT(A432, ""\n([^\n]*)$""), """")"),"Item")</f>
        <v>Item</v>
      </c>
      <c r="F432" s="17" t="str">
        <f>IFERROR(__xludf.DUMMYFUNCTION("if(len(A432)&gt;0, REGEXEXTRACT(A432, ""\(([^\)]*)\)""), """")"),"Zoids: Legacy")</f>
        <v>Zoids: Legacy</v>
      </c>
      <c r="G432" s="17" t="str">
        <f>IFERROR(__xludf.DUMMYFUNCTION("if(len(A432)&gt;0, REGEXEXTRACT(A432, ""\)([^:]*):""), """")")," Free")</f>
        <v> Free</v>
      </c>
      <c r="H432" s="31" t="str">
        <f>IFERROR(__xludf.DUMMYFUNCTION("if(len(A432) &gt; 0, JOIN(char(10), FILTER(SPLIT(A432, char(10)), split(""false false "" &amp; rept(""true "", columns(SPLIT(A432, char(10)))-3) &amp; ""false"", "" ""))), """")"),"(Only applicable if you already have a robot which has an animal form) Oh my…that robot of yours…I think with a bit of work, we could probably tune it to this new world. I wonder if that’s somehow a new breed of Zoids?... If your robot has a form that res"&amp;"embles any sort of animal, you can import it as a Zoid through the following formula. Cost: 0; Customization Points: 10")</f>
        <v>(Only applicable if you already have a robot which has an animal form) Oh my…that robot of yours…I think with a bit of work, we could probably tune it to this new world. I wonder if that’s somehow a new breed of Zoids?... If your robot has a form that resembles any sort of animal, you can import it as a Zoid through the following formula. Cost: 0; Customization Points: 10</v>
      </c>
    </row>
    <row r="433">
      <c r="A433" s="31" t="str">
        <f>IFERROR(__xludf.DUMMYFUNCTION("""COMPUTED_VALUE"""),"Chapter 71: 55.1 Interlude Fleet Preamble Roy Addendum Margaret
Secret Handshake (Skies of Arcadia) Free:
Got any friends? With this, you can perform a secret handshake with them, as intricate as you'd like. It doesn't do anything, but damn if it isn't co"&amp;"ol.
Ability")</f>
        <v>Chapter 71: 55.1 Interlude Fleet Preamble Roy Addendum Margaret
Secret Handshake (Skies of Arcadia) Free:
Got any friends? With this, you can perform a secret handshake with them, as intricate as you'd like. It doesn't do anything, but damn if it isn't cool.
Ability</v>
      </c>
      <c r="B433" s="17">
        <f>IFERROR(__xludf.DUMMYFUNCTION("if(len(A433)&gt;0, value(REGEXEXTRACT(A433, ""Chapter ([0-9]*):"")), """")"),71.0)</f>
        <v>71</v>
      </c>
      <c r="C433" s="31" t="str">
        <f>IFERROR(__xludf.DUMMYFUNCTION("if(len(A433) &gt;0, REGEXEXTRACT(A433, ""Chapter [0-9]*: (.*)""), """")"),"55.1 Interlude Fleet Preamble Roy Addendum Margaret")</f>
        <v>55.1 Interlude Fleet Preamble Roy Addendum Margaret</v>
      </c>
      <c r="D433" s="31" t="str">
        <f>IFERROR(__xludf.DUMMYFUNCTION("if(len(A433)&gt;0, REGEXEXTRACT(A433, ""\n[^\(]*""), """")"),"
Secret Handshake ")</f>
        <v>
Secret Handshake </v>
      </c>
      <c r="E433" s="17" t="str">
        <f>IFERROR(__xludf.DUMMYFUNCTION("if(len(A433)&gt;0, REGEXEXTRACT(A433, ""\n([^\n]*)$""), """")"),"Ability")</f>
        <v>Ability</v>
      </c>
      <c r="F433" s="17" t="str">
        <f>IFERROR(__xludf.DUMMYFUNCTION("if(len(A433)&gt;0, REGEXEXTRACT(A433, ""\(([^\)]*)\)""), """")"),"Skies of Arcadia")</f>
        <v>Skies of Arcadia</v>
      </c>
      <c r="G433" s="17" t="str">
        <f>IFERROR(__xludf.DUMMYFUNCTION("if(len(A433)&gt;0, REGEXEXTRACT(A433, ""\)([^:]*):""), """")")," Free")</f>
        <v> Free</v>
      </c>
      <c r="H433" s="31" t="str">
        <f>IFERROR(__xludf.DUMMYFUNCTION("if(len(A433) &gt; 0, JOIN(char(10), FILTER(SPLIT(A433, char(10)), split(""false false "" &amp; rept(""true "", columns(SPLIT(A433, char(10)))-3) &amp; ""false"", "" ""))), """")"),"Got any friends? With this, you can perform a secret handshake with them, as intricate as you'd like. It doesn't do anything, but damn if it isn't cool.")</f>
        <v>Got any friends? With this, you can perform a secret handshake with them, as intricate as you'd like. It doesn't do anything, but damn if it isn't cool.</v>
      </c>
    </row>
    <row r="434">
      <c r="A434" s="31" t="str">
        <f>IFERROR(__xludf.DUMMYFUNCTION("""COMPUTED_VALUE"""),"Chapter 71: 55.1 Interlude Fleet Preamble Roy Addendum Margaret
Sky Machinist (Skies of Arcadia) 200:
Like the famous air pirate Centime, you know your way around machinery. You can repair or build almost anything, given time and resources.
System")</f>
        <v>Chapter 71: 55.1 Interlude Fleet Preamble Roy Addendum Margaret
Sky Machinist (Skies of Arcadia) 200:
Like the famous air pirate Centime, you know your way around machinery. You can repair or build almost anything, given time and resources.
System</v>
      </c>
      <c r="B434" s="17">
        <f>IFERROR(__xludf.DUMMYFUNCTION("if(len(A434)&gt;0, value(REGEXEXTRACT(A434, ""Chapter ([0-9]*):"")), """")"),71.0)</f>
        <v>71</v>
      </c>
      <c r="C434" s="31" t="str">
        <f>IFERROR(__xludf.DUMMYFUNCTION("if(len(A434) &gt;0, REGEXEXTRACT(A434, ""Chapter [0-9]*: (.*)""), """")"),"55.1 Interlude Fleet Preamble Roy Addendum Margaret")</f>
        <v>55.1 Interlude Fleet Preamble Roy Addendum Margaret</v>
      </c>
      <c r="D434" s="31" t="str">
        <f>IFERROR(__xludf.DUMMYFUNCTION("if(len(A434)&gt;0, REGEXEXTRACT(A434, ""\n[^\(]*""), """")"),"
Sky Machinist ")</f>
        <v>
Sky Machinist </v>
      </c>
      <c r="E434" s="17" t="str">
        <f>IFERROR(__xludf.DUMMYFUNCTION("if(len(A434)&gt;0, REGEXEXTRACT(A434, ""\n([^\n]*)$""), """")"),"System")</f>
        <v>System</v>
      </c>
      <c r="F434" s="17" t="str">
        <f>IFERROR(__xludf.DUMMYFUNCTION("if(len(A434)&gt;0, REGEXEXTRACT(A434, ""\(([^\)]*)\)""), """")"),"Skies of Arcadia")</f>
        <v>Skies of Arcadia</v>
      </c>
      <c r="G434" s="17" t="str">
        <f>IFERROR(__xludf.DUMMYFUNCTION("if(len(A434)&gt;0, REGEXEXTRACT(A434, ""\)([^:]*):""), """")")," 200")</f>
        <v> 200</v>
      </c>
      <c r="H434" s="31" t="str">
        <f>IFERROR(__xludf.DUMMYFUNCTION("if(len(A434) &gt; 0, JOIN(char(10), FILTER(SPLIT(A434, char(10)), split(""false false "" &amp; rept(""true "", columns(SPLIT(A434, char(10)))-3) &amp; ""false"", "" ""))), """")"),"Like the famous air pirate Centime, you know your way around machinery. You can repair or build almost anything, given time and resources.")</f>
        <v>Like the famous air pirate Centime, you know your way around machinery. You can repair or build almost anything, given time and resources.</v>
      </c>
    </row>
    <row r="435">
      <c r="A435" s="31" t="str">
        <f>IFERROR(__xludf.DUMMYFUNCTION("""COMPUTED_VALUE"""),"Chapter 71: 55.1 Interlude Fleet Preamble Roy Addendum Margaret
Rainbow Savior (Robot Unicorn Attack) Free:
We won't leave you defenseless in this world. At will you can make use of a rainbow dash attack that will easily explode any fallen stars or enemi"&amp;"es between you and your goal. You are still vulnerable from above, below, to the sides, and from the rear. This only can be used to attack whatever is directly in front of you.
Ability")</f>
        <v>Chapter 71: 55.1 Interlude Fleet Preamble Roy Addendum Margaret
Rainbow Savior (Robot Unicorn Attack) Free:
We won't leave you defenseless in this world. At will you can make use of a rainbow dash attack that will easily explode any fallen stars or enemies between you and your goal. You are still vulnerable from above, below, to the sides, and from the rear. This only can be used to attack whatever is directly in front of you.
Ability</v>
      </c>
      <c r="B435" s="17">
        <f>IFERROR(__xludf.DUMMYFUNCTION("if(len(A435)&gt;0, value(REGEXEXTRACT(A435, ""Chapter ([0-9]*):"")), """")"),71.0)</f>
        <v>71</v>
      </c>
      <c r="C435" s="31" t="str">
        <f>IFERROR(__xludf.DUMMYFUNCTION("if(len(A435) &gt;0, REGEXEXTRACT(A435, ""Chapter [0-9]*: (.*)""), """")"),"55.1 Interlude Fleet Preamble Roy Addendum Margaret
")</f>
        <v>55.1 Interlude Fleet Preamble Roy Addendum Margaret
</v>
      </c>
      <c r="D435" s="31" t="str">
        <f>IFERROR(__xludf.DUMMYFUNCTION("if(len(A435)&gt;0, REGEXEXTRACT(A435, ""\n[^\(]*""), """")"),"
Rainbow Savior ")</f>
        <v>
Rainbow Savior </v>
      </c>
      <c r="E435" s="17" t="str">
        <f>IFERROR(__xludf.DUMMYFUNCTION("if(len(A435)&gt;0, REGEXEXTRACT(A435, ""\n([^\n]*)$""), """")"),"Ability")</f>
        <v>Ability</v>
      </c>
      <c r="F435" s="17" t="str">
        <f>IFERROR(__xludf.DUMMYFUNCTION("if(len(A435)&gt;0, REGEXEXTRACT(A435, ""\(([^\)]*)\)""), """")"),"Robot Unicorn Attack")</f>
        <v>Robot Unicorn Attack</v>
      </c>
      <c r="G435" s="17" t="str">
        <f>IFERROR(__xludf.DUMMYFUNCTION("if(len(A435)&gt;0, REGEXEXTRACT(A435, ""\)([^:]*):""), """")")," Free")</f>
        <v> Free</v>
      </c>
      <c r="H435" s="31" t="str">
        <f>IFERROR(__xludf.DUMMYFUNCTION("if(len(A435) &gt; 0, JOIN(char(10), FILTER(SPLIT(A435, char(10)), split(""false false "" &amp; rept(""true "", columns(SPLIT(A435, char(10)))-3) &amp; ""false"", "" ""))), """")"),"We won't leave you defenseless in this world. At will you can make use of a rainbow dash attack that will easily explode any fallen stars or enemies between you and your goal. You are still vulnerable from above, below, to the sides, and from the rear. Th"&amp;"is only can be used to attack whatever is directly in front of you.")</f>
        <v>We won't leave you defenseless in this world. At will you can make use of a rainbow dash attack that will easily explode any fallen stars or enemies between you and your goal. You are still vulnerable from above, below, to the sides, and from the rear. This only can be used to attack whatever is directly in front of you.</v>
      </c>
    </row>
    <row r="436">
      <c r="A436" s="31" t="str">
        <f>IFERROR(__xludf.DUMMYFUNCTION("""COMPUTED_VALUE"""),"Chapter 71: 55.1 Interlude Fleet Preamble Roy Addendum Margaret
Shoot For The Moon (Robot Unicorn Attack) Free:
You gain a bonus to jump height, and can even manage to make a second jump off of nothing but air at half the height of your first leap. When "&amp;"you jump through the air, your tail causes a trail of rainbows to form behind you. If you decide to alter the style of your mane and tail through customization, the trail you leave behind will be cosmetically altered to match.
Ability")</f>
        <v>Chapter 71: 55.1 Interlude Fleet Preamble Roy Addendum Margaret
Shoot For The Moon (Robot Unicorn Attack) Free:
You gain a bonus to jump height, and can even manage to make a second jump off of nothing but air at half the height of your first leap. When you jump through the air, your tail causes a trail of rainbows to form behind you. If you decide to alter the style of your mane and tail through customization, the trail you leave behind will be cosmetically altered to match.
Ability</v>
      </c>
      <c r="B436" s="17">
        <f>IFERROR(__xludf.DUMMYFUNCTION("if(len(A436)&gt;0, value(REGEXEXTRACT(A436, ""Chapter ([0-9]*):"")), """")"),71.0)</f>
        <v>71</v>
      </c>
      <c r="C436" s="31" t="str">
        <f>IFERROR(__xludf.DUMMYFUNCTION("if(len(A436) &gt;0, REGEXEXTRACT(A436, ""Chapter [0-9]*: (.*)""), """")"),"55.1 Interlude Fleet Preamble Roy Addendum Margaret
")</f>
        <v>55.1 Interlude Fleet Preamble Roy Addendum Margaret
</v>
      </c>
      <c r="D436" s="31" t="str">
        <f>IFERROR(__xludf.DUMMYFUNCTION("if(len(A436)&gt;0, REGEXEXTRACT(A436, ""\n[^\(]*""), """")"),"
Shoot For The Moon ")</f>
        <v>
Shoot For The Moon </v>
      </c>
      <c r="E436" s="17" t="str">
        <f>IFERROR(__xludf.DUMMYFUNCTION("if(len(A436)&gt;0, REGEXEXTRACT(A436, ""\n([^\n]*)$""), """")"),"Ability")</f>
        <v>Ability</v>
      </c>
      <c r="F436" s="17" t="str">
        <f>IFERROR(__xludf.DUMMYFUNCTION("if(len(A436)&gt;0, REGEXEXTRACT(A436, ""\(([^\)]*)\)""), """")"),"Robot Unicorn Attack")</f>
        <v>Robot Unicorn Attack</v>
      </c>
      <c r="G436" s="17" t="str">
        <f>IFERROR(__xludf.DUMMYFUNCTION("if(len(A436)&gt;0, REGEXEXTRACT(A436, ""\)([^:]*):""), """")")," Free")</f>
        <v> Free</v>
      </c>
      <c r="H436" s="31" t="str">
        <f>IFERROR(__xludf.DUMMYFUNCTION("if(len(A436) &gt; 0, JOIN(char(10), FILTER(SPLIT(A436, char(10)), split(""false false "" &amp; rept(""true "", columns(SPLIT(A436, char(10)))-3) &amp; ""false"", "" ""))), """")"),"You gain a bonus to jump height, and can even manage to make a second jump off of nothing but air at half the height of your first leap. When you jump through the air, your tail causes a trail of rainbows to form behind you. If you decide to alter the sty"&amp;"le of your mane and tail through customization, the trail you leave behind will be cosmetically altered to match.")</f>
        <v>You gain a bonus to jump height, and can even manage to make a second jump off of nothing but air at half the height of your first leap. When you jump through the air, your tail causes a trail of rainbows to form behind you. If you decide to alter the style of your mane and tail through customization, the trail you leave behind will be cosmetically altered to match.</v>
      </c>
    </row>
    <row r="437">
      <c r="A437" s="31" t="str">
        <f>IFERROR(__xludf.DUMMYFUNCTION("""COMPUTED_VALUE"""),"Chapter 71: 55.1 Interlude Fleet Preamble Roy Addendum Margaret
Unicornium Horn (Robot Unicorn Attack) Free:
The first comes free, but additional purchases can grant you more horns. All Wishes come with a built-in horn of the finest craftsmanship. Additi"&amp;"onal purchases can provide you with an extra horn, or increase the size and destructive capabilities of your initial horn.
Item")</f>
        <v>Chapter 71: 55.1 Interlude Fleet Preamble Roy Addendum Margaret
Unicornium Horn (Robot Unicorn Attack) Free:
The first comes free, but additional purchases can grant you more horns. All Wishes come with a built-in horn of the finest craftsmanship. Additional purchases can provide you with an extra horn, or increase the size and destructive capabilities of your initial horn.
Item</v>
      </c>
      <c r="B437" s="17">
        <f>IFERROR(__xludf.DUMMYFUNCTION("if(len(A437)&gt;0, value(REGEXEXTRACT(A437, ""Chapter ([0-9]*):"")), """")"),71.0)</f>
        <v>71</v>
      </c>
      <c r="C437" s="31" t="str">
        <f>IFERROR(__xludf.DUMMYFUNCTION("if(len(A437) &gt;0, REGEXEXTRACT(A437, ""Chapter [0-9]*: (.*)""), """")"),"55.1 Interlude Fleet Preamble Roy Addendum Margaret
")</f>
        <v>55.1 Interlude Fleet Preamble Roy Addendum Margaret
</v>
      </c>
      <c r="D437" s="31" t="str">
        <f>IFERROR(__xludf.DUMMYFUNCTION("if(len(A437)&gt;0, REGEXEXTRACT(A437, ""\n[^\(]*""), """")"),"
Unicornium Horn ")</f>
        <v>
Unicornium Horn </v>
      </c>
      <c r="E437" s="17" t="str">
        <f>IFERROR(__xludf.DUMMYFUNCTION("if(len(A437)&gt;0, REGEXEXTRACT(A437, ""\n([^\n]*)$""), """")"),"Item")</f>
        <v>Item</v>
      </c>
      <c r="F437" s="17" t="str">
        <f>IFERROR(__xludf.DUMMYFUNCTION("if(len(A437)&gt;0, REGEXEXTRACT(A437, ""\(([^\)]*)\)""), """")"),"Robot Unicorn Attack")</f>
        <v>Robot Unicorn Attack</v>
      </c>
      <c r="G437" s="17" t="str">
        <f>IFERROR(__xludf.DUMMYFUNCTION("if(len(A437)&gt;0, REGEXEXTRACT(A437, ""\)([^:]*):""), """")")," Free")</f>
        <v> Free</v>
      </c>
      <c r="H437" s="31" t="str">
        <f>IFERROR(__xludf.DUMMYFUNCTION("if(len(A437) &gt; 0, JOIN(char(10), FILTER(SPLIT(A437, char(10)), split(""false false "" &amp; rept(""true "", columns(SPLIT(A437, char(10)))-3) &amp; ""false"", "" ""))), """")"),"The first comes free, but additional purchases can grant you more horns. All Wishes come with a built-in horn of the finest craftsmanship. Additional purchases can provide you with an extra horn, or increase the size and destructive capabilities of your i"&amp;"nitial horn.")</f>
        <v>The first comes free, but additional purchases can grant you more horns. All Wishes come with a built-in horn of the finest craftsmanship. Additional purchases can provide you with an extra horn, or increase the size and destructive capabilities of your initial horn.</v>
      </c>
    </row>
    <row r="438">
      <c r="A438" s="31" t="str">
        <f>IFERROR(__xludf.DUMMYFUNCTION("""COMPUTED_VALUE"""),"Chapter 71: 55.1 Interlude Fleet Preamble Roy Addendum Margaret
You Became A Star (Robot Unicorn Attack) 400:
You've gained insight into the process of using rainbows to harness Unicornium without having it explode in your face. With it, you can build yo"&amp;"ur own robot unicorns or other rainbow creatures. Once your initial adventure here concludes successfully you will be taught by an expert wishsmith on everything you might need to know to construct Wishes and design your own upgrades for them.
System")</f>
        <v>Chapter 71: 55.1 Interlude Fleet Preamble Roy Addendum Margaret
You Became A Star (Robot Unicorn Attack) 400:
You've gained insight into the process of using rainbows to harness Unicornium without having it explode in your face. With it, you can build your own robot unicorns or other rainbow creatures. Once your initial adventure here concludes successfully you will be taught by an expert wishsmith on everything you might need to know to construct Wishes and design your own upgrades for them.
System</v>
      </c>
      <c r="B438" s="17">
        <f>IFERROR(__xludf.DUMMYFUNCTION("if(len(A438)&gt;0, value(REGEXEXTRACT(A438, ""Chapter ([0-9]*):"")), """")"),71.0)</f>
        <v>71</v>
      </c>
      <c r="C438" s="31" t="str">
        <f>IFERROR(__xludf.DUMMYFUNCTION("if(len(A438) &gt;0, REGEXEXTRACT(A438, ""Chapter [0-9]*: (.*)""), """")"),"55.1 Interlude Fleet Preamble Roy Addendum Margaret
")</f>
        <v>55.1 Interlude Fleet Preamble Roy Addendum Margaret
</v>
      </c>
      <c r="D438" s="31" t="str">
        <f>IFERROR(__xludf.DUMMYFUNCTION("if(len(A438)&gt;0, REGEXEXTRACT(A438, ""\n[^\(]*""), """")"),"
You Became A Star ")</f>
        <v>
You Became A Star </v>
      </c>
      <c r="E438" s="17" t="str">
        <f>IFERROR(__xludf.DUMMYFUNCTION("if(len(A438)&gt;0, REGEXEXTRACT(A438, ""\n([^\n]*)$""), """")"),"System")</f>
        <v>System</v>
      </c>
      <c r="F438" s="17" t="str">
        <f>IFERROR(__xludf.DUMMYFUNCTION("if(len(A438)&gt;0, REGEXEXTRACT(A438, ""\(([^\)]*)\)""), """")"),"Robot Unicorn Attack")</f>
        <v>Robot Unicorn Attack</v>
      </c>
      <c r="G438" s="17" t="str">
        <f>IFERROR(__xludf.DUMMYFUNCTION("if(len(A438)&gt;0, REGEXEXTRACT(A438, ""\)([^:]*):""), """")")," 400")</f>
        <v> 400</v>
      </c>
      <c r="H438" s="31" t="str">
        <f>IFERROR(__xludf.DUMMYFUNCTION("if(len(A438) &gt; 0, JOIN(char(10), FILTER(SPLIT(A438, char(10)), split(""false false "" &amp; rept(""true "", columns(SPLIT(A438, char(10)))-3) &amp; ""false"", "" ""))), """")"),"You've gained insight into the process of using rainbows to harness Unicornium without having it explode in your face. With it, you can build your own robot unicorns or other rainbow creatures. Once your initial adventure here concludes successfully you w"&amp;"ill be taught by an expert wishsmith on everything you might need to know to construct Wishes and design your own upgrades for them.")</f>
        <v>You've gained insight into the process of using rainbows to harness Unicornium without having it explode in your face. With it, you can build your own robot unicorns or other rainbow creatures. Once your initial adventure here concludes successfully you will be taught by an expert wishsmith on everything you might need to know to construct Wishes and design your own upgrades for them.</v>
      </c>
    </row>
    <row r="439">
      <c r="A439" s="31" t="str">
        <f>IFERROR(__xludf.DUMMYFUNCTION("""COMPUTED_VALUE"""),"Chapter 72: 56 Arrival Time
Cuh-Ray-Zee! (Devil May Cry) Free:
The moment you step into the world of Devil May Cry, you, and anyone you brought with you, will have the innate potential to do incredibly amazing stuff all day long, pal. However, it will tak"&amp;"e great skill and effort to pull off anything like blocking attacks with the back of your hand, or playing an air guitar that actually produces audible sound for others to hear. But never fear, if you train hard enough, and git gud enough, you too will be"&amp;" able to deflect bullets with other bullets, destroy buildings by spouting out innuendos, and become a worthy disciple of my ways. And yes, you totally get to see your rank whenever you're doing anything.
System")</f>
        <v>Chapter 72: 56 Arrival Time
Cuh-Ray-Zee! (Devil May Cry) Free:
The moment you step into the world of Devil May Cry, you, and anyone you brought with you, will have the innate potential to do incredibly amazing stuff all day long, pal. However, it will take great skill and effort to pull off anything like blocking attacks with the back of your hand, or playing an air guitar that actually produces audible sound for others to hear. But never fear, if you train hard enough, and git gud enough, you too will be able to deflect bullets with other bullets, destroy buildings by spouting out innuendos, and become a worthy disciple of my ways. And yes, you totally get to see your rank whenever you're doing anything.
System</v>
      </c>
      <c r="B439" s="17">
        <f>IFERROR(__xludf.DUMMYFUNCTION("if(len(A439)&gt;0, value(REGEXEXTRACT(A439, ""Chapter ([0-9]*):"")), """")"),72.0)</f>
        <v>72</v>
      </c>
      <c r="C439" s="31" t="str">
        <f>IFERROR(__xludf.DUMMYFUNCTION("if(len(A439) &gt;0, REGEXEXTRACT(A439, ""Chapter [0-9]*: (.*)""), """")"),"56 Arrival Time")</f>
        <v>56 Arrival Time</v>
      </c>
      <c r="D439" s="31" t="str">
        <f>IFERROR(__xludf.DUMMYFUNCTION("if(len(A439)&gt;0, REGEXEXTRACT(A439, ""\n[^\(]*""), """")"),"
Cuh-Ray-Zee! ")</f>
        <v>
Cuh-Ray-Zee! </v>
      </c>
      <c r="E439" s="17" t="str">
        <f>IFERROR(__xludf.DUMMYFUNCTION("if(len(A439)&gt;0, REGEXEXTRACT(A439, ""\n([^\n]*)$""), """")"),"System")</f>
        <v>System</v>
      </c>
      <c r="F439" s="17" t="str">
        <f>IFERROR(__xludf.DUMMYFUNCTION("if(len(A439)&gt;0, REGEXEXTRACT(A439, ""\(([^\)]*)\)""), """")"),"Devil May Cry")</f>
        <v>Devil May Cry</v>
      </c>
      <c r="G439" s="17" t="str">
        <f>IFERROR(__xludf.DUMMYFUNCTION("if(len(A439)&gt;0, REGEXEXTRACT(A439, ""\)([^:]*):""), """")")," Free")</f>
        <v> Free</v>
      </c>
      <c r="H439" s="31" t="str">
        <f>IFERROR(__xludf.DUMMYFUNCTION("if(len(A439) &gt; 0, JOIN(char(10), FILTER(SPLIT(A439, char(10)), split(""false false "" &amp; rept(""true "", columns(SPLIT(A439, char(10)))-3) &amp; ""false"", "" ""))), """")"),"The moment you step into the world of Devil May Cry, you, and anyone you brought with you, will have the innate potential to do incredibly amazing stuff all day long, pal. However, it will take great skill and effort to pull off anything like blocking att"&amp;"acks with the back of your hand, or playing an air guitar that actually produces audible sound for others to hear. But never fear, if you train hard enough, and git gud enough, you too will be able to deflect bullets with other bullets, destroy buildings "&amp;"by spouting out innuendos, and become a worthy disciple of my ways. And yes, you totally get to see your rank whenever you're doing anything.")</f>
        <v>The moment you step into the world of Devil May Cry, you, and anyone you brought with you, will have the innate potential to do incredibly amazing stuff all day long, pal. However, it will take great skill and effort to pull off anything like blocking attacks with the back of your hand, or playing an air guitar that actually produces audible sound for others to hear. But never fear, if you train hard enough, and git gud enough, you too will be able to deflect bullets with other bullets, destroy buildings by spouting out innuendos, and become a worthy disciple of my ways. And yes, you totally get to see your rank whenever you're doing anything.</v>
      </c>
    </row>
    <row r="440">
      <c r="A440" s="31" t="str">
        <f>IFERROR(__xludf.DUMMYFUNCTION("""COMPUTED_VALUE"""),"Chapter 72: 56 Arrival Time
Dark Slayer (Devil May Cry) Free:
Dark Slayer Style is essentially an evolved form of Trickster, in that it's based around movement, but rather than simply dashing, Dark Slayer is all about teleporting in quick short-ranger bur"&amp;"sts. However, the biggest change from Trickster is the ability to summon swords outta nowhere. Got your attention now, didn't I? Yep, you can effectively create copies of any weapon that you've seen before, from swords, to axes, to giant homing two-sided "&amp;"Shuriken. I will never understand where Nero got that idea from. You can wield them or shoot 'em at your enemies in countless different ways. Make it rain pointy swordy death from above, surround your opponent with them, shoot them all out in rapid succes"&amp;"sion faster than even a minigun, and much, much more. However, these weapons are often pretty subpar compared to the original, unless you're very familiar with the weapon, or have trained extensively in the replication of weapons. Now, I know this Style's"&amp;" name might sound a bit dark and edgy, but it was my brother's own personal Style, rest his soul, and he was kinda going through a phase at the time. A dickish, emo, power hungry phase. So just cut him some slack and bear with it. Besides, it actually doe"&amp;"s sound pretty cool. Comes with free Get Set!
System")</f>
        <v>Chapter 72: 56 Arrival Time
Dark Slayer (Devil May Cry) Free:
Dark Slayer Style is essentially an evolved form of Trickster, in that it's based around movement, but rather than simply dashing, Dark Slayer is all about teleporting in quick short-ranger bursts. However, the biggest change from Trickster is the ability to summon swords outta nowhere. Got your attention now, didn't I? Yep, you can effectively create copies of any weapon that you've seen before, from swords, to axes, to giant homing two-sided Shuriken. I will never understand where Nero got that idea from. You can wield them or shoot 'em at your enemies in countless different ways. Make it rain pointy swordy death from above, surround your opponent with them, shoot them all out in rapid succession faster than even a minigun, and much, much more. However, these weapons are often pretty subpar compared to the original, unless you're very familiar with the weapon, or have trained extensively in the replication of weapons. Now, I know this Style's name might sound a bit dark and edgy, but it was my brother's own personal Style, rest his soul, and he was kinda going through a phase at the time. A dickish, emo, power hungry phase. So just cut him some slack and bear with it. Besides, it actually does sound pretty cool. Comes with free Get Set!
System</v>
      </c>
      <c r="B440" s="17">
        <f>IFERROR(__xludf.DUMMYFUNCTION("if(len(A440)&gt;0, value(REGEXEXTRACT(A440, ""Chapter ([0-9]*):"")), """")"),72.0)</f>
        <v>72</v>
      </c>
      <c r="C440" s="31" t="str">
        <f>IFERROR(__xludf.DUMMYFUNCTION("if(len(A440) &gt;0, REGEXEXTRACT(A440, ""Chapter [0-9]*: (.*)""), """")"),"56 Arrival Time")</f>
        <v>56 Arrival Time</v>
      </c>
      <c r="D440" s="31" t="str">
        <f>IFERROR(__xludf.DUMMYFUNCTION("if(len(A440)&gt;0, REGEXEXTRACT(A440, ""\n[^\(]*""), """")"),"
Dark Slayer ")</f>
        <v>
Dark Slayer </v>
      </c>
      <c r="E440" s="17" t="str">
        <f>IFERROR(__xludf.DUMMYFUNCTION("if(len(A440)&gt;0, REGEXEXTRACT(A440, ""\n([^\n]*)$""), """")"),"System")</f>
        <v>System</v>
      </c>
      <c r="F440" s="17" t="str">
        <f>IFERROR(__xludf.DUMMYFUNCTION("if(len(A440)&gt;0, REGEXEXTRACT(A440, ""\(([^\)]*)\)""), """")"),"Devil May Cry")</f>
        <v>Devil May Cry</v>
      </c>
      <c r="G440" s="17" t="str">
        <f>IFERROR(__xludf.DUMMYFUNCTION("if(len(A440)&gt;0, REGEXEXTRACT(A440, ""\)([^:]*):""), """")")," Free")</f>
        <v> Free</v>
      </c>
      <c r="H440" s="31" t="str">
        <f>IFERROR(__xludf.DUMMYFUNCTION("if(len(A440) &gt; 0, JOIN(char(10), FILTER(SPLIT(A440, char(10)), split(""false false "" &amp; rept(""true "", columns(SPLIT(A440, char(10)))-3) &amp; ""false"", "" ""))), """")"),"Dark Slayer Style is essentially an evolved form of Trickster, in that it's based around movement, but rather than simply dashing, Dark Slayer is all about teleporting in quick short-ranger bursts. However, the biggest change from Trickster is the ability"&amp;" to summon swords outta nowhere. Got your attention now, didn't I? Yep, you can effectively create copies of any weapon that you've seen before, from swords, to axes, to giant homing two-sided Shuriken. I will never understand where Nero got that idea fro"&amp;"m. You can wield them or shoot 'em at your enemies in countless different ways. Make it rain pointy swordy death from above, surround your opponent with them, shoot them all out in rapid succession faster than even a minigun, and much, much more. However,"&amp;" these weapons are often pretty subpar compared to the original, unless you're very familiar with the weapon, or have trained extensively in the replication of weapons. Now, I know this Style's name might sound a bit dark and edgy, but it was my brother's"&amp;" own personal Style, rest his soul, and he was kinda going through a phase at the time. A dickish, emo, power hungry phase. So just cut him some slack and bear with it. Besides, it actually does sound pretty cool. Comes with free Get Set!")</f>
        <v>Dark Slayer Style is essentially an evolved form of Trickster, in that it's based around movement, but rather than simply dashing, Dark Slayer is all about teleporting in quick short-ranger bursts. However, the biggest change from Trickster is the ability to summon swords outta nowhere. Got your attention now, didn't I? Yep, you can effectively create copies of any weapon that you've seen before, from swords, to axes, to giant homing two-sided Shuriken. I will never understand where Nero got that idea from. You can wield them or shoot 'em at your enemies in countless different ways. Make it rain pointy swordy death from above, surround your opponent with them, shoot them all out in rapid succession faster than even a minigun, and much, much more. However, these weapons are often pretty subpar compared to the original, unless you're very familiar with the weapon, or have trained extensively in the replication of weapons. Now, I know this Style's name might sound a bit dark and edgy, but it was my brother's own personal Style, rest his soul, and he was kinda going through a phase at the time. A dickish, emo, power hungry phase. So just cut him some slack and bear with it. Besides, it actually does sound pretty cool. Comes with free Get Set!</v>
      </c>
    </row>
    <row r="441">
      <c r="A441" s="31" t="str">
        <f>IFERROR(__xludf.DUMMYFUNCTION("""COMPUTED_VALUE"""),"Chapter 72: 56 Arrival Time
Felyne Comrade (Monster Hunter) Free:
Shortly after arriving in this world, you come across an old wyverian ladey with a backpack easily 3 times larger than herself full of meowing felynes. She insists you take one with you to "&amp;"help you with your chosen journey, but that is the last one she can just give away, she will have to come back with more next week. You may choose your desired color, gender, skillset and species of felyne that will accompany you on your journey, either a"&amp;"s an assistant in your forge, a bookkeeper in your trade caravan, a fellow hunter, or simply a wandering lynian attempting to find its place in the world. While most felyne's skills are dwarfed by even the most marginally competent human, they make up for"&amp;" their shortcomings with extreme enthusiasm and constant effort to get better. Counts as a companion.
Entity")</f>
        <v>Chapter 72: 56 Arrival Time
Felyne Comrade (Monster Hunter) Free:
Shortly after arriving in this world, you come across an old wyverian ladey with a backpack easily 3 times larger than herself full of meowing felynes. She insists you take one with you to help you with your chosen journey, but that is the last one she can just give away, she will have to come back with more next week. You may choose your desired color, gender, skillset and species of felyne that will accompany you on your journey, either as an assistant in your forge, a bookkeeper in your trade caravan, a fellow hunter, or simply a wandering lynian attempting to find its place in the world. While most felyne's skills are dwarfed by even the most marginally competent human, they make up for their shortcomings with extreme enthusiasm and constant effort to get better. Counts as a companion.
Entity</v>
      </c>
      <c r="B441" s="17">
        <f>IFERROR(__xludf.DUMMYFUNCTION("if(len(A441)&gt;0, value(REGEXEXTRACT(A441, ""Chapter ([0-9]*):"")), """")"),72.0)</f>
        <v>72</v>
      </c>
      <c r="C441" s="31" t="str">
        <f>IFERROR(__xludf.DUMMYFUNCTION("if(len(A441) &gt;0, REGEXEXTRACT(A441, ""Chapter [0-9]*: (.*)""), """")"),"56 Arrival Time")</f>
        <v>56 Arrival Time</v>
      </c>
      <c r="D441" s="31" t="str">
        <f>IFERROR(__xludf.DUMMYFUNCTION("if(len(A441)&gt;0, REGEXEXTRACT(A441, ""\n[^\(]*""), """")"),"
Felyne Comrade ")</f>
        <v>
Felyne Comrade </v>
      </c>
      <c r="E441" s="17" t="str">
        <f>IFERROR(__xludf.DUMMYFUNCTION("if(len(A441)&gt;0, REGEXEXTRACT(A441, ""\n([^\n]*)$""), """")"),"Entity")</f>
        <v>Entity</v>
      </c>
      <c r="F441" s="17" t="str">
        <f>IFERROR(__xludf.DUMMYFUNCTION("if(len(A441)&gt;0, REGEXEXTRACT(A441, ""\(([^\)]*)\)""), """")"),"Monster Hunter")</f>
        <v>Monster Hunter</v>
      </c>
      <c r="G441" s="17" t="str">
        <f>IFERROR(__xludf.DUMMYFUNCTION("if(len(A441)&gt;0, REGEXEXTRACT(A441, ""\)([^:]*):""), """")")," Free")</f>
        <v> Free</v>
      </c>
      <c r="H441" s="31" t="str">
        <f>IFERROR(__xludf.DUMMYFUNCTION("if(len(A441) &gt; 0, JOIN(char(10), FILTER(SPLIT(A441, char(10)), split(""false false "" &amp; rept(""true "", columns(SPLIT(A441, char(10)))-3) &amp; ""false"", "" ""))), """")"),"Shortly after arriving in this world, you come across an old wyverian ladey with a backpack easily 3 times larger than herself full of meowing felynes. She insists you take one with you to help you with your chosen journey, but that is the last one she ca"&amp;"n just give away, she will have to come back with more next week. You may choose your desired color, gender, skillset and species of felyne that will accompany you on your journey, either as an assistant in your forge, a bookkeeper in your trade caravan, "&amp;"a fellow hunter, or simply a wandering lynian attempting to find its place in the world. While most felyne's skills are dwarfed by even the most marginally competent human, they make up for their shortcomings with extreme enthusiasm and constant effort to"&amp;" get better. Counts as a companion.")</f>
        <v>Shortly after arriving in this world, you come across an old wyverian ladey with a backpack easily 3 times larger than herself full of meowing felynes. She insists you take one with you to help you with your chosen journey, but that is the last one she can just give away, she will have to come back with more next week. You may choose your desired color, gender, skillset and species of felyne that will accompany you on your journey, either as an assistant in your forge, a bookkeeper in your trade caravan, a fellow hunter, or simply a wandering lynian attempting to find its place in the world. While most felyne's skills are dwarfed by even the most marginally competent human, they make up for their shortcomings with extreme enthusiasm and constant effort to get better. Counts as a companion.</v>
      </c>
    </row>
    <row r="442">
      <c r="A442" s="31" t="str">
        <f>IFERROR(__xludf.DUMMYFUNCTION("""COMPUTED_VALUE"""),"Chapter 72: 56 Arrival Time
Get Set! (Devil May Cry) Free:
You now have the ability to style your hair in whatever form you wish, whenever you wish, with just your bare hands. Is your hair not long enough or too short for the style you want? No problem, j"&amp;"ust run your hands through it a couple times, and it'll adjust. Don't ask me how it works. It just does.
Ability")</f>
        <v>Chapter 72: 56 Arrival Time
Get Set! (Devil May Cry) Free:
You now have the ability to style your hair in whatever form you wish, whenever you wish, with just your bare hands. Is your hair not long enough or too short for the style you want? No problem, just run your hands through it a couple times, and it'll adjust. Don't ask me how it works. It just does.
Ability</v>
      </c>
      <c r="B442" s="17">
        <f>IFERROR(__xludf.DUMMYFUNCTION("if(len(A442)&gt;0, value(REGEXEXTRACT(A442, ""Chapter ([0-9]*):"")), """")"),72.0)</f>
        <v>72</v>
      </c>
      <c r="C442" s="31" t="str">
        <f>IFERROR(__xludf.DUMMYFUNCTION("if(len(A442) &gt;0, REGEXEXTRACT(A442, ""Chapter [0-9]*: (.*)""), """")"),"56 Arrival Time")</f>
        <v>56 Arrival Time</v>
      </c>
      <c r="D442" s="31" t="str">
        <f>IFERROR(__xludf.DUMMYFUNCTION("if(len(A442)&gt;0, REGEXEXTRACT(A442, ""\n[^\(]*""), """")"),"
Get Set! ")</f>
        <v>
Get Set! </v>
      </c>
      <c r="E442" s="17" t="str">
        <f>IFERROR(__xludf.DUMMYFUNCTION("if(len(A442)&gt;0, REGEXEXTRACT(A442, ""\n([^\n]*)$""), """")"),"Ability")</f>
        <v>Ability</v>
      </c>
      <c r="F442" s="17" t="str">
        <f>IFERROR(__xludf.DUMMYFUNCTION("if(len(A442)&gt;0, REGEXEXTRACT(A442, ""\(([^\)]*)\)""), """")"),"Devil May Cry")</f>
        <v>Devil May Cry</v>
      </c>
      <c r="G442" s="17" t="str">
        <f>IFERROR(__xludf.DUMMYFUNCTION("if(len(A442)&gt;0, REGEXEXTRACT(A442, ""\)([^:]*):""), """")")," Free")</f>
        <v> Free</v>
      </c>
      <c r="H442" s="31" t="str">
        <f>IFERROR(__xludf.DUMMYFUNCTION("if(len(A442) &gt; 0, JOIN(char(10), FILTER(SPLIT(A442, char(10)), split(""false false "" &amp; rept(""true "", columns(SPLIT(A442, char(10)))-3) &amp; ""false"", "" ""))), """")"),"You now have the ability to style your hair in whatever form you wish, whenever you wish, with just your bare hands. Is your hair not long enough or too short for the style you want? No problem, just run your hands through it a couple times, and it'll adj"&amp;"ust. Don't ask me how it works. It just does.")</f>
        <v>You now have the ability to style your hair in whatever form you wish, whenever you wish, with just your bare hands. Is your hair not long enough or too short for the style you want? No problem, just run your hands through it a couple times, and it'll adjust. Don't ask me how it works. It just does.</v>
      </c>
    </row>
    <row r="443">
      <c r="A443" s="31" t="str">
        <f>IFERROR(__xludf.DUMMYFUNCTION("""COMPUTED_VALUE"""),"Chapter 72: 56 Arrival Time
Infusionist (Monster Hunter) 600:
An art form thought lost to the ages and only tangentially unlocked in the rarest of armors, you have discovered the secret to infusing and uplifting weapondry and armor past the typical point "&amp;"even the best blacksmith are capable of taking it. Any weapon that doesn't have an element can be given one, and any weapon that already has one gets a great boost in power. Any armor that this is used on gets a great defensive boost, both to innate defen"&amp;"sive capabilities and elemental resistances. This skill can apply to any weapon you have learned how to create - that blue lightsaber you made decades ago? Bet you didn't know it had a latent affinity for ice, did you? That high frequencey blade? It now h"&amp;"as enough heat to cauterize as it cuts. This doesn't just apply to melee weapons either - with enough training and focus, you can create bowguns that natively shoot ice or lightning, or gunlances that fire heat beams instead of shells. The possibilities a"&amp;"re only limited by your skill and the quality of what you have to work with.
System")</f>
        <v>Chapter 72: 56 Arrival Time
Infusionist (Monster Hunter) 600:
An art form thought lost to the ages and only tangentially unlocked in the rarest of armors, you have discovered the secret to infusing and uplifting weapondry and armor past the typical point even the best blacksmith are capable of taking it. Any weapon that doesn't have an element can be given one, and any weapon that already has one gets a great boost in power. Any armor that this is used on gets a great defensive boost, both to innate defensive capabilities and elemental resistances. This skill can apply to any weapon you have learned how to create - that blue lightsaber you made decades ago? Bet you didn't know it had a latent affinity for ice, did you? That high frequencey blade? It now has enough heat to cauterize as it cuts. This doesn't just apply to melee weapons either - with enough training and focus, you can create bowguns that natively shoot ice or lightning, or gunlances that fire heat beams instead of shells. The possibilities are only limited by your skill and the quality of what you have to work with.
System</v>
      </c>
      <c r="B443" s="17">
        <f>IFERROR(__xludf.DUMMYFUNCTION("if(len(A443)&gt;0, value(REGEXEXTRACT(A443, ""Chapter ([0-9]*):"")), """")"),72.0)</f>
        <v>72</v>
      </c>
      <c r="C443" s="31" t="str">
        <f>IFERROR(__xludf.DUMMYFUNCTION("if(len(A443) &gt;0, REGEXEXTRACT(A443, ""Chapter [0-9]*: (.*)""), """")"),"56 Arrival Time")</f>
        <v>56 Arrival Time</v>
      </c>
      <c r="D443" s="31" t="str">
        <f>IFERROR(__xludf.DUMMYFUNCTION("if(len(A443)&gt;0, REGEXEXTRACT(A443, ""\n[^\(]*""), """")"),"
Infusionist ")</f>
        <v>
Infusionist </v>
      </c>
      <c r="E443" s="17" t="str">
        <f>IFERROR(__xludf.DUMMYFUNCTION("if(len(A443)&gt;0, REGEXEXTRACT(A443, ""\n([^\n]*)$""), """")"),"System")</f>
        <v>System</v>
      </c>
      <c r="F443" s="17" t="str">
        <f>IFERROR(__xludf.DUMMYFUNCTION("if(len(A443)&gt;0, REGEXEXTRACT(A443, ""\(([^\)]*)\)""), """")"),"Monster Hunter")</f>
        <v>Monster Hunter</v>
      </c>
      <c r="G443" s="17" t="str">
        <f>IFERROR(__xludf.DUMMYFUNCTION("if(len(A443)&gt;0, REGEXEXTRACT(A443, ""\)([^:]*):""), """")")," 600")</f>
        <v> 600</v>
      </c>
      <c r="H443" s="31" t="str">
        <f>IFERROR(__xludf.DUMMYFUNCTION("if(len(A443) &gt; 0, JOIN(char(10), FILTER(SPLIT(A443, char(10)), split(""false false "" &amp; rept(""true "", columns(SPLIT(A443, char(10)))-3) &amp; ""false"", "" ""))), """")"),"An art form thought lost to the ages and only tangentially unlocked in the rarest of armors, you have discovered the secret to infusing and uplifting weapondry and armor past the typical point even the best blacksmith are capable of taking it. Any weapon "&amp;"that doesn't have an element can be given one, and any weapon that already has one gets a great boost in power. Any armor that this is used on gets a great defensive boost, both to innate defensive capabilities and elemental resistances. This skill can ap"&amp;"ply to any weapon you have learned how to create - that blue lightsaber you made decades ago? Bet you didn't know it had a latent affinity for ice, did you? That high frequencey blade? It now has enough heat to cauterize as it cuts. This doesn't just appl"&amp;"y to melee weapons either - with enough training and focus, you can create bowguns that natively shoot ice or lightning, or gunlances that fire heat beams instead of shells. The possibilities are only limited by your skill and the quality of what you have"&amp;" to work with.")</f>
        <v>An art form thought lost to the ages and only tangentially unlocked in the rarest of armors, you have discovered the secret to infusing and uplifting weapondry and armor past the typical point even the best blacksmith are capable of taking it. Any weapon that doesn't have an element can be given one, and any weapon that already has one gets a great boost in power. Any armor that this is used on gets a great defensive boost, both to innate defensive capabilities and elemental resistances. This skill can apply to any weapon you have learned how to create - that blue lightsaber you made decades ago? Bet you didn't know it had a latent affinity for ice, did you? That high frequencey blade? It now has enough heat to cauterize as it cuts. This doesn't just apply to melee weapons either - with enough training and focus, you can create bowguns that natively shoot ice or lightning, or gunlances that fire heat beams instead of shells. The possibilities are only limited by your skill and the quality of what you have to work with.</v>
      </c>
    </row>
    <row r="444">
      <c r="A444" s="31" t="str">
        <f>IFERROR(__xludf.DUMMYFUNCTION("""COMPUTED_VALUE"""),"Chapter 72: 56 Arrival Time
Taunts (Devil May Cry) Free:
Your mother was a hamster, and your father smelled of elderberries! You are able to come up with witty dialogue, insults, jokes, and one-liners on the fly. Now, taunting does three very useful thing"&amp;"s. First, it will boost your Style rating. I know, I know, that's amazing, and awesome, and all that. Second, taunting pisses off your enemies. A lot. So much that they'll try to stomp your pretty little face in. While this may seem like a bad thing, it c"&amp;"an also be good for you, as the dumbass you're fighting will make a mistake in their rage. And thirdly, a successful taunt will help you get your game on and replenish your stamina. You won't be able to run entirely on smack-talking suckers while you rip "&amp;"them a new rectal cavity, but it will definitely ensure that you'll be able to fight for hours, sustained only by the power of your quips.
Ability")</f>
        <v>Chapter 72: 56 Arrival Time
Taunts (Devil May Cry) Free:
Your mother was a hamster, and your father smelled of elderberries! You are able to come up with witty dialogue, insults, jokes, and one-liners on the fly. Now, taunting does three very useful things. First, it will boost your Style rating. I know, I know, that's amazing, and awesome, and all that. Second, taunting pisses off your enemies. A lot. So much that they'll try to stomp your pretty little face in. While this may seem like a bad thing, it can also be good for you, as the dumbass you're fighting will make a mistake in their rage. And thirdly, a successful taunt will help you get your game on and replenish your stamina. You won't be able to run entirely on smack-talking suckers while you rip them a new rectal cavity, but it will definitely ensure that you'll be able to fight for hours, sustained only by the power of your quips.
Ability</v>
      </c>
      <c r="B444" s="17">
        <f>IFERROR(__xludf.DUMMYFUNCTION("if(len(A444)&gt;0, value(REGEXEXTRACT(A444, ""Chapter ([0-9]*):"")), """")"),72.0)</f>
        <v>72</v>
      </c>
      <c r="C444" s="31" t="str">
        <f>IFERROR(__xludf.DUMMYFUNCTION("if(len(A444) &gt;0, REGEXEXTRACT(A444, ""Chapter [0-9]*: (.*)""), """")"),"56 Arrival Time")</f>
        <v>56 Arrival Time</v>
      </c>
      <c r="D444" s="31" t="str">
        <f>IFERROR(__xludf.DUMMYFUNCTION("if(len(A444)&gt;0, REGEXEXTRACT(A444, ""\n[^\(]*""), """")"),"
Taunts ")</f>
        <v>
Taunts </v>
      </c>
      <c r="E444" s="17" t="str">
        <f>IFERROR(__xludf.DUMMYFUNCTION("if(len(A444)&gt;0, REGEXEXTRACT(A444, ""\n([^\n]*)$""), """")"),"Ability")</f>
        <v>Ability</v>
      </c>
      <c r="F444" s="17" t="str">
        <f>IFERROR(__xludf.DUMMYFUNCTION("if(len(A444)&gt;0, REGEXEXTRACT(A444, ""\(([^\)]*)\)""), """")"),"Devil May Cry")</f>
        <v>Devil May Cry</v>
      </c>
      <c r="G444" s="17" t="str">
        <f>IFERROR(__xludf.DUMMYFUNCTION("if(len(A444)&gt;0, REGEXEXTRACT(A444, ""\)([^:]*):""), """")")," Free")</f>
        <v> Free</v>
      </c>
      <c r="H444" s="31" t="str">
        <f>IFERROR(__xludf.DUMMYFUNCTION("if(len(A444) &gt; 0, JOIN(char(10), FILTER(SPLIT(A444, char(10)), split(""false false "" &amp; rept(""true "", columns(SPLIT(A444, char(10)))-3) &amp; ""false"", "" ""))), """")"),"Your mother was a hamster, and your father smelled of elderberries! You are able to come up with witty dialogue, insults, jokes, and one-liners on the fly. Now, taunting does three very useful things. First, it will boost your Style rating. I know, I know"&amp;", that's amazing, and awesome, and all that. Second, taunting pisses off your enemies. A lot. So much that they'll try to stomp your pretty little face in. While this may seem like a bad thing, it can also be good for you, as the dumbass you're fighting w"&amp;"ill make a mistake in their rage. And thirdly, a successful taunt will help you get your game on and replenish your stamina. You won't be able to run entirely on smack-talking suckers while you rip them a new rectal cavity, but it will definitely ensure t"&amp;"hat you'll be able to fight for hours, sustained only by the power of your quips.")</f>
        <v>Your mother was a hamster, and your father smelled of elderberries! You are able to come up with witty dialogue, insults, jokes, and one-liners on the fly. Now, taunting does three very useful things. First, it will boost your Style rating. I know, I know, that's amazing, and awesome, and all that. Second, taunting pisses off your enemies. A lot. So much that they'll try to stomp your pretty little face in. While this may seem like a bad thing, it can also be good for you, as the dumbass you're fighting will make a mistake in their rage. And thirdly, a successful taunt will help you get your game on and replenish your stamina. You won't be able to run entirely on smack-talking suckers while you rip them a new rectal cavity, but it will definitely ensure that you'll be able to fight for hours, sustained only by the power of your quips.</v>
      </c>
    </row>
    <row r="445">
      <c r="A445" s="31" t="str">
        <f>IFERROR(__xludf.DUMMYFUNCTION("""COMPUTED_VALUE"""),"Chapter 72: 56 Arrival Time
Weapon Crafting (Devil May Cry) 200:
Alright, so you fancy yourself a weapons dealer, huh? Well now you know the ins and outs of every single tool made for killing that you get your crafty little hands on. Swords, handguns, axe"&amp;"s, sniper rifles, spears, rocket launchers, it'll all come naturally to you, and you will be able to create these weapons or even improve them with your own custom designs. And to make it even a better deal, you know how to modify a weapon to have unlimit"&amp;"ed ammunition capability. So go nuts, buddy. You've earned it.
System")</f>
        <v>Chapter 72: 56 Arrival Time
Weapon Crafting (Devil May Cry) 200:
Alright, so you fancy yourself a weapons dealer, huh? Well now you know the ins and outs of every single tool made for killing that you get your crafty little hands on. Swords, handguns, axes, sniper rifles, spears, rocket launchers, it'll all come naturally to you, and you will be able to create these weapons or even improve them with your own custom designs. And to make it even a better deal, you know how to modify a weapon to have unlimited ammunition capability. So go nuts, buddy. You've earned it.
System</v>
      </c>
      <c r="B445" s="17">
        <f>IFERROR(__xludf.DUMMYFUNCTION("if(len(A445)&gt;0, value(REGEXEXTRACT(A445, ""Chapter ([0-9]*):"")), """")"),72.0)</f>
        <v>72</v>
      </c>
      <c r="C445" s="31" t="str">
        <f>IFERROR(__xludf.DUMMYFUNCTION("if(len(A445) &gt;0, REGEXEXTRACT(A445, ""Chapter [0-9]*: (.*)""), """")"),"56 Arrival Time")</f>
        <v>56 Arrival Time</v>
      </c>
      <c r="D445" s="31" t="str">
        <f>IFERROR(__xludf.DUMMYFUNCTION("if(len(A445)&gt;0, REGEXEXTRACT(A445, ""\n[^\(]*""), """")"),"
Weapon Crafting ")</f>
        <v>
Weapon Crafting </v>
      </c>
      <c r="E445" s="17" t="str">
        <f>IFERROR(__xludf.DUMMYFUNCTION("if(len(A445)&gt;0, REGEXEXTRACT(A445, ""\n([^\n]*)$""), """")"),"System")</f>
        <v>System</v>
      </c>
      <c r="F445" s="17" t="str">
        <f>IFERROR(__xludf.DUMMYFUNCTION("if(len(A445)&gt;0, REGEXEXTRACT(A445, ""\(([^\)]*)\)""), """")"),"Devil May Cry")</f>
        <v>Devil May Cry</v>
      </c>
      <c r="G445" s="17" t="str">
        <f>IFERROR(__xludf.DUMMYFUNCTION("if(len(A445)&gt;0, REGEXEXTRACT(A445, ""\)([^:]*):""), """")")," 200")</f>
        <v> 200</v>
      </c>
      <c r="H445" s="31" t="str">
        <f>IFERROR(__xludf.DUMMYFUNCTION("if(len(A445) &gt; 0, JOIN(char(10), FILTER(SPLIT(A445, char(10)), split(""false false "" &amp; rept(""true "", columns(SPLIT(A445, char(10)))-3) &amp; ""false"", "" ""))), """")"),"Alright, so you fancy yourself a weapons dealer, huh? Well now you know the ins and outs of every single tool made for killing that you get your crafty little hands on. Swords, handguns, axes, sniper rifles, spears, rocket launchers, it'll all come natura"&amp;"lly to you, and you will be able to create these weapons or even improve them with your own custom designs. And to make it even a better deal, you know how to modify a weapon to have unlimited ammunition capability. So go nuts, buddy. You've earned it.")</f>
        <v>Alright, so you fancy yourself a weapons dealer, huh? Well now you know the ins and outs of every single tool made for killing that you get your crafty little hands on. Swords, handguns, axes, sniper rifles, spears, rocket launchers, it'll all come naturally to you, and you will be able to create these weapons or even improve them with your own custom designs. And to make it even a better deal, you know how to modify a weapon to have unlimited ammunition capability. So go nuts, buddy. You've earned it.</v>
      </c>
    </row>
    <row r="446">
      <c r="A446" s="31" t="str">
        <f>IFERROR(__xludf.DUMMYFUNCTION("""COMPUTED_VALUE"""),"Chapter 72: 56 Arrival Time
Weapon Swapping (Devil May Cry) Free:
The ability to swap between your weapons in the middle of battle. These weapons are stored in a pocket dimension known only to you, and can be switched instantly with but a thought.
Ability")</f>
        <v>Chapter 72: 56 Arrival Time
Weapon Swapping (Devil May Cry) Free:
The ability to swap between your weapons in the middle of battle. These weapons are stored in a pocket dimension known only to you, and can be switched instantly with but a thought.
Ability</v>
      </c>
      <c r="B446" s="17">
        <f>IFERROR(__xludf.DUMMYFUNCTION("if(len(A446)&gt;0, value(REGEXEXTRACT(A446, ""Chapter ([0-9]*):"")), """")"),72.0)</f>
        <v>72</v>
      </c>
      <c r="C446" s="31" t="str">
        <f>IFERROR(__xludf.DUMMYFUNCTION("if(len(A446) &gt;0, REGEXEXTRACT(A446, ""Chapter [0-9]*: (.*)""), """")"),"56 Arrival Time")</f>
        <v>56 Arrival Time</v>
      </c>
      <c r="D446" s="31" t="str">
        <f>IFERROR(__xludf.DUMMYFUNCTION("if(len(A446)&gt;0, REGEXEXTRACT(A446, ""\n[^\(]*""), """")"),"
Weapon Swapping ")</f>
        <v>
Weapon Swapping </v>
      </c>
      <c r="E446" s="17" t="str">
        <f>IFERROR(__xludf.DUMMYFUNCTION("if(len(A446)&gt;0, REGEXEXTRACT(A446, ""\n([^\n]*)$""), """")"),"Ability")</f>
        <v>Ability</v>
      </c>
      <c r="F446" s="17" t="str">
        <f>IFERROR(__xludf.DUMMYFUNCTION("if(len(A446)&gt;0, REGEXEXTRACT(A446, ""\(([^\)]*)\)""), """")"),"Devil May Cry")</f>
        <v>Devil May Cry</v>
      </c>
      <c r="G446" s="17" t="str">
        <f>IFERROR(__xludf.DUMMYFUNCTION("if(len(A446)&gt;0, REGEXEXTRACT(A446, ""\)([^:]*):""), """")")," Free")</f>
        <v> Free</v>
      </c>
      <c r="H446" s="31" t="str">
        <f>IFERROR(__xludf.DUMMYFUNCTION("if(len(A446) &gt; 0, JOIN(char(10), FILTER(SPLIT(A446, char(10)), split(""false false "" &amp; rept(""true "", columns(SPLIT(A446, char(10)))-3) &amp; ""false"", "" ""))), """")"),"The ability to swap between your weapons in the middle of battle. These weapons are stored in a pocket dimension known only to you, and can be switched instantly with but a thought.")</f>
        <v>The ability to swap between your weapons in the middle of battle. These weapons are stored in a pocket dimension known only to you, and can be switched instantly with but a thought.</v>
      </c>
    </row>
    <row r="447">
      <c r="A447" s="31" t="str">
        <f>IFERROR(__xludf.DUMMYFUNCTION("""COMPUTED_VALUE"""),"Chapter 73: 57 Crunch Time
Ammunition Vending Machine (Borderlands) Free:
You do get one bonus reward for surviving this hellhole; an ammunition vending machine mysteriously appears in your Warehouse (perhaps Marcus is trying to franchise to other univers"&amp;"es?). You can buy ammunition for any of your Borderlands weaponry there, but it only accepts dollars, so not every world will have money you can use. You can try counterfeit dollars if you wish, but the machine probably won't accept them, and it's totally"&amp;" willing to shoot you for trying to cheat it.
Item")</f>
        <v>Chapter 73: 57 Crunch Time
Ammunition Vending Machine (Borderlands) Free:
You do get one bonus reward for surviving this hellhole; an ammunition vending machine mysteriously appears in your Warehouse (perhaps Marcus is trying to franchise to other universes?). You can buy ammunition for any of your Borderlands weaponry there, but it only accepts dollars, so not every world will have money you can use. You can try counterfeit dollars if you wish, but the machine probably won't accept them, and it's totally willing to shoot you for trying to cheat it.
Item</v>
      </c>
      <c r="B447" s="17">
        <f>IFERROR(__xludf.DUMMYFUNCTION("if(len(A447)&gt;0, value(REGEXEXTRACT(A447, ""Chapter ([0-9]*):"")), """")"),73.0)</f>
        <v>73</v>
      </c>
      <c r="C447" s="31" t="str">
        <f>IFERROR(__xludf.DUMMYFUNCTION("if(len(A447) &gt;0, REGEXEXTRACT(A447, ""Chapter [0-9]*: (.*)""), """")"),"57 Crunch Time")</f>
        <v>57 Crunch Time</v>
      </c>
      <c r="D447" s="31" t="str">
        <f>IFERROR(__xludf.DUMMYFUNCTION("if(len(A447)&gt;0, REGEXEXTRACT(A447, ""\n[^\(]*""), """")"),"
Ammunition Vending Machine ")</f>
        <v>
Ammunition Vending Machine </v>
      </c>
      <c r="E447" s="17" t="str">
        <f>IFERROR(__xludf.DUMMYFUNCTION("if(len(A447)&gt;0, REGEXEXTRACT(A447, ""\n([^\n]*)$""), """")"),"Item")</f>
        <v>Item</v>
      </c>
      <c r="F447" s="17" t="str">
        <f>IFERROR(__xludf.DUMMYFUNCTION("if(len(A447)&gt;0, REGEXEXTRACT(A447, ""\(([^\)]*)\)""), """")"),"Borderlands")</f>
        <v>Borderlands</v>
      </c>
      <c r="G447" s="17" t="str">
        <f>IFERROR(__xludf.DUMMYFUNCTION("if(len(A447)&gt;0, REGEXEXTRACT(A447, ""\)([^:]*):""), """")")," Free")</f>
        <v> Free</v>
      </c>
      <c r="H447" s="31" t="str">
        <f>IFERROR(__xludf.DUMMYFUNCTION("if(len(A447) &gt; 0, JOIN(char(10), FILTER(SPLIT(A447, char(10)), split(""false false "" &amp; rept(""true "", columns(SPLIT(A447, char(10)))-3) &amp; ""false"", "" ""))), """")"),"You do get one bonus reward for surviving this hellhole; an ammunition vending machine mysteriously appears in your Warehouse (perhaps Marcus is trying to franchise to other universes?). You can buy ammunition for any of your Borderlands weaponry there, b"&amp;"ut it only accepts dollars, so not every world will have money you can use. You can try counterfeit dollars if you wish, but the machine probably won't accept them, and it's totally willing to shoot you for trying to cheat it.")</f>
        <v>You do get one bonus reward for surviving this hellhole; an ammunition vending machine mysteriously appears in your Warehouse (perhaps Marcus is trying to franchise to other universes?). You can buy ammunition for any of your Borderlands weaponry there, but it only accepts dollars, so not every world will have money you can use. You can try counterfeit dollars if you wish, but the machine probably won't accept them, and it's totally willing to shoot you for trying to cheat it.</v>
      </c>
    </row>
    <row r="448">
      <c r="A448" s="31" t="str">
        <f>IFERROR(__xludf.DUMMYFUNCTION("""COMPUTED_VALUE"""),"Chapter 73: 57 Crunch Time
Attire (God of War) Free:
When in Rome! ...wait, wrong place. Ah well, the phrase still holds. You'll be able to have a a set of Greek or Spartan outfits so that you can blend in more efficiently. It doesn't have any extraordina"&amp;"ry properties, but it does at least help you look the part. Assuming you're human in appearance... but hey! If you're a monster, you're going to be the most trendy monster out there!
Item")</f>
        <v>Chapter 73: 57 Crunch Time
Attire (God of War) Free:
When in Rome! ...wait, wrong place. Ah well, the phrase still holds. You'll be able to have a a set of Greek or Spartan outfits so that you can blend in more efficiently. It doesn't have any extraordinary properties, but it does at least help you look the part. Assuming you're human in appearance... but hey! If you're a monster, you're going to be the most trendy monster out there!
Item</v>
      </c>
      <c r="B448" s="17">
        <f>IFERROR(__xludf.DUMMYFUNCTION("if(len(A448)&gt;0, value(REGEXEXTRACT(A448, ""Chapter ([0-9]*):"")), """")"),73.0)</f>
        <v>73</v>
      </c>
      <c r="C448" s="31" t="str">
        <f>IFERROR(__xludf.DUMMYFUNCTION("if(len(A448) &gt;0, REGEXEXTRACT(A448, ""Chapter [0-9]*: (.*)""), """")"),"57 Crunch Time")</f>
        <v>57 Crunch Time</v>
      </c>
      <c r="D448" s="31" t="str">
        <f>IFERROR(__xludf.DUMMYFUNCTION("if(len(A448)&gt;0, REGEXEXTRACT(A448, ""\n[^\(]*""), """")"),"
Attire ")</f>
        <v>
Attire </v>
      </c>
      <c r="E448" s="17" t="str">
        <f>IFERROR(__xludf.DUMMYFUNCTION("if(len(A448)&gt;0, REGEXEXTRACT(A448, ""\n([^\n]*)$""), """")"),"Item")</f>
        <v>Item</v>
      </c>
      <c r="F448" s="17" t="str">
        <f>IFERROR(__xludf.DUMMYFUNCTION("if(len(A448)&gt;0, REGEXEXTRACT(A448, ""\(([^\)]*)\)""), """")"),"God of War")</f>
        <v>God of War</v>
      </c>
      <c r="G448" s="17" t="str">
        <f>IFERROR(__xludf.DUMMYFUNCTION("if(len(A448)&gt;0, REGEXEXTRACT(A448, ""\)([^:]*):""), """")")," Free")</f>
        <v> Free</v>
      </c>
      <c r="H448" s="31" t="str">
        <f>IFERROR(__xludf.DUMMYFUNCTION("if(len(A448) &gt; 0, JOIN(char(10), FILTER(SPLIT(A448, char(10)), split(""false false "" &amp; rept(""true "", columns(SPLIT(A448, char(10)))-3) &amp; ""false"", "" ""))), """")"),"When in Rome! ...wait, wrong place. Ah well, the phrase still holds. You'll be able to have a a set of Greek or Spartan outfits so that you can blend in more efficiently. It doesn't have any extraordinary properties, but it does at least help you look the"&amp;" part. Assuming you're human in appearance... but hey! If you're a monster, you're going to be the most trendy monster out there!")</f>
        <v>When in Rome! ...wait, wrong place. Ah well, the phrase still holds. You'll be able to have a a set of Greek or Spartan outfits so that you can blend in more efficiently. It doesn't have any extraordinary properties, but it does at least help you look the part. Assuming you're human in appearance... but hey! If you're a monster, you're going to be the most trendy monster out there!</v>
      </c>
    </row>
    <row r="449">
      <c r="A449" s="31" t="str">
        <f>IFERROR(__xludf.DUMMYFUNCTION("""COMPUTED_VALUE"""),"Chapter 73: 57 Crunch Time
Daedalus' Student (God of War) 600:
It is one thing to work on forging mere sword and shield, but it is another to create truly marvelous wonders... for a mortal. You could make marvelous wings out of bird feathers and beeswax, "&amp;"capable of granting flight to anyone. Or maybe you wish to create an everchanging Labyrinth, that shifts and alters itself depending on how it moves. Regardless, your architect and forging skills have taken a dramatic increase, to the point where the thin"&amp;"gs you create just may have properties and quality they normally shouldn't have, albeit directed towards the purpose of your creations. Through your works, your will be known... but take care that the gods do not take offense with your work.
System")</f>
        <v>Chapter 73: 57 Crunch Time
Daedalus' Student (God of War) 600:
It is one thing to work on forging mere sword and shield, but it is another to create truly marvelous wonders... for a mortal. You could make marvelous wings out of bird feathers and beeswax, capable of granting flight to anyone. Or maybe you wish to create an everchanging Labyrinth, that shifts and alters itself depending on how it moves. Regardless, your architect and forging skills have taken a dramatic increase, to the point where the things you create just may have properties and quality they normally shouldn't have, albeit directed towards the purpose of your creations. Through your works, your will be known... but take care that the gods do not take offense with your work.
System</v>
      </c>
      <c r="B449" s="17">
        <f>IFERROR(__xludf.DUMMYFUNCTION("if(len(A449)&gt;0, value(REGEXEXTRACT(A449, ""Chapter ([0-9]*):"")), """")"),73.0)</f>
        <v>73</v>
      </c>
      <c r="C449" s="31" t="str">
        <f>IFERROR(__xludf.DUMMYFUNCTION("if(len(A449) &gt;0, REGEXEXTRACT(A449, ""Chapter [0-9]*: (.*)""), """")"),"57 Crunch Time")</f>
        <v>57 Crunch Time</v>
      </c>
      <c r="D449" s="31" t="str">
        <f>IFERROR(__xludf.DUMMYFUNCTION("if(len(A449)&gt;0, REGEXEXTRACT(A449, ""\n[^\(]*""), """")"),"
Daedalus' Student ")</f>
        <v>
Daedalus' Student </v>
      </c>
      <c r="E449" s="17" t="str">
        <f>IFERROR(__xludf.DUMMYFUNCTION("if(len(A449)&gt;0, REGEXEXTRACT(A449, ""\n([^\n]*)$""), """")"),"System")</f>
        <v>System</v>
      </c>
      <c r="F449" s="17" t="str">
        <f>IFERROR(__xludf.DUMMYFUNCTION("if(len(A449)&gt;0, REGEXEXTRACT(A449, ""\(([^\)]*)\)""), """")"),"God of War")</f>
        <v>God of War</v>
      </c>
      <c r="G449" s="17" t="str">
        <f>IFERROR(__xludf.DUMMYFUNCTION("if(len(A449)&gt;0, REGEXEXTRACT(A449, ""\)([^:]*):""), """")")," 600")</f>
        <v> 600</v>
      </c>
      <c r="H449" s="31" t="str">
        <f>IFERROR(__xludf.DUMMYFUNCTION("if(len(A449) &gt; 0, JOIN(char(10), FILTER(SPLIT(A449, char(10)), split(""false false "" &amp; rept(""true "", columns(SPLIT(A449, char(10)))-3) &amp; ""false"", "" ""))), """")"),"It is one thing to work on forging mere sword and shield, but it is another to create truly marvelous wonders... for a mortal. You could make marvelous wings out of bird feathers and beeswax, capable of granting flight to anyone. Or maybe you wish to crea"&amp;"te an everchanging Labyrinth, that shifts and alters itself depending on how it moves. Regardless, your architect and forging skills have taken a dramatic increase, to the point where the things you create just may have properties and quality they normall"&amp;"y shouldn't have, albeit directed towards the purpose of your creations. Through your works, your will be known... but take care that the gods do not take offense with your work.")</f>
        <v>It is one thing to work on forging mere sword and shield, but it is another to create truly marvelous wonders... for a mortal. You could make marvelous wings out of bird feathers and beeswax, capable of granting flight to anyone. Or maybe you wish to create an everchanging Labyrinth, that shifts and alters itself depending on how it moves. Regardless, your architect and forging skills have taken a dramatic increase, to the point where the things you create just may have properties and quality they normally shouldn't have, albeit directed towards the purpose of your creations. Through your works, your will be known... but take care that the gods do not take offense with your work.</v>
      </c>
    </row>
    <row r="450">
      <c r="A450" s="31" t="str">
        <f>IFERROR(__xludf.DUMMYFUNCTION("""COMPUTED_VALUE"""),"Chapter 73: 57 Crunch Time
ECHO device with HUD and a melee weapon (Borderlands) Free:
ECHO Recorders are portable audio recording devices with a number of visible controls on the unit. They appear to have a gain potentiometer, a one band/octave real-time"&amp;" analyser, and an adjustable microphone. Several other buttons presumably provide the basic functions of playing and recording audio data.
Item")</f>
        <v>Chapter 73: 57 Crunch Time
ECHO device with HUD and a melee weapon (Borderlands) Free:
ECHO Recorders are portable audio recording devices with a number of visible controls on the unit. They appear to have a gain potentiometer, a one band/octave real-time analyser, and an adjustable microphone. Several other buttons presumably provide the basic functions of playing and recording audio data.
Item</v>
      </c>
      <c r="B450" s="17">
        <f>IFERROR(__xludf.DUMMYFUNCTION("if(len(A450)&gt;0, value(REGEXEXTRACT(A450, ""Chapter ([0-9]*):"")), """")"),73.0)</f>
        <v>73</v>
      </c>
      <c r="C450" s="31" t="str">
        <f>IFERROR(__xludf.DUMMYFUNCTION("if(len(A450) &gt;0, REGEXEXTRACT(A450, ""Chapter [0-9]*: (.*)""), """")"),"57 Crunch Time")</f>
        <v>57 Crunch Time</v>
      </c>
      <c r="D450" s="31" t="str">
        <f>IFERROR(__xludf.DUMMYFUNCTION("if(len(A450)&gt;0, REGEXEXTRACT(A450, ""\n[^\(]*""), """")"),"
ECHO device with HUD and a melee weapon ")</f>
        <v>
ECHO device with HUD and a melee weapon </v>
      </c>
      <c r="E450" s="17" t="str">
        <f>IFERROR(__xludf.DUMMYFUNCTION("if(len(A450)&gt;0, REGEXEXTRACT(A450, ""\n([^\n]*)$""), """")"),"Item")</f>
        <v>Item</v>
      </c>
      <c r="F450" s="17" t="str">
        <f>IFERROR(__xludf.DUMMYFUNCTION("if(len(A450)&gt;0, REGEXEXTRACT(A450, ""\(([^\)]*)\)""), """")"),"Borderlands")</f>
        <v>Borderlands</v>
      </c>
      <c r="G450" s="17" t="str">
        <f>IFERROR(__xludf.DUMMYFUNCTION("if(len(A450)&gt;0, REGEXEXTRACT(A450, ""\)([^:]*):""), """")")," Free")</f>
        <v> Free</v>
      </c>
      <c r="H450" s="31" t="str">
        <f>IFERROR(__xludf.DUMMYFUNCTION("if(len(A450) &gt; 0, JOIN(char(10), FILTER(SPLIT(A450, char(10)), split(""false false "" &amp; rept(""true "", columns(SPLIT(A450, char(10)))-3) &amp; ""false"", "" ""))), """")"),"ECHO Recorders are portable audio recording devices with a number of visible controls on the unit. They appear to have a gain potentiometer, a one band/octave real-time analyser, and an adjustable microphone. Several other buttons presumably provide the b"&amp;"asic functions of playing and recording audio data.")</f>
        <v>ECHO Recorders are portable audio recording devices with a number of visible controls on the unit. They appear to have a gain potentiometer, a one band/octave real-time analyser, and an adjustable microphone. Several other buttons presumably provide the basic functions of playing and recording audio data.</v>
      </c>
    </row>
    <row r="451">
      <c r="A451" s="31" t="str">
        <f>IFERROR(__xludf.DUMMYFUNCTION("""COMPUTED_VALUE"""),"Chapter 73: 57 Crunch Time
Feel It Out (F.E.A.R.) 600:
Your ability to understand machines and designs are more than just knowledge, and anyone who follows your work would know this well. You have a subtle psionic ability to 'understand' the machines and "&amp;"items that you physically touch, to the point where you can understand how it might work. More importantly, what you could do to also make it better. Naturally the more complex or esoteric the item is, the more drastically the time needed increases. But t"&amp;"he more information you collect the more ideas and methods you can formulate to begin working. All psychic powers can be improved via training.
Analysis")</f>
        <v>Chapter 73: 57 Crunch Time
Feel It Out (F.E.A.R.) 600:
Your ability to understand machines and designs are more than just knowledge, and anyone who follows your work would know this well. You have a subtle psionic ability to 'understand' the machines and items that you physically touch, to the point where you can understand how it might work. More importantly, what you could do to also make it better. Naturally the more complex or esoteric the item is, the more drastically the time needed increases. But the more information you collect the more ideas and methods you can formulate to begin working. All psychic powers can be improved via training.
Analysis</v>
      </c>
      <c r="B451" s="17">
        <f>IFERROR(__xludf.DUMMYFUNCTION("if(len(A451)&gt;0, value(REGEXEXTRACT(A451, ""Chapter ([0-9]*):"")), """")"),73.0)</f>
        <v>73</v>
      </c>
      <c r="C451" s="31" t="str">
        <f>IFERROR(__xludf.DUMMYFUNCTION("if(len(A451) &gt;0, REGEXEXTRACT(A451, ""Chapter [0-9]*: (.*)""), """")"),"57 Crunch Time")</f>
        <v>57 Crunch Time</v>
      </c>
      <c r="D451" s="31" t="str">
        <f>IFERROR(__xludf.DUMMYFUNCTION("if(len(A451)&gt;0, REGEXEXTRACT(A451, ""\n[^\(]*""), """")"),"
Feel It Out ")</f>
        <v>
Feel It Out </v>
      </c>
      <c r="E451" s="17" t="str">
        <f>IFERROR(__xludf.DUMMYFUNCTION("if(len(A451)&gt;0, REGEXEXTRACT(A451, ""\n([^\n]*)$""), """")"),"Analysis")</f>
        <v>Analysis</v>
      </c>
      <c r="F451" s="17" t="str">
        <f>IFERROR(__xludf.DUMMYFUNCTION("if(len(A451)&gt;0, REGEXEXTRACT(A451, ""\(([^\)]*)\)""), """")"),"F.E.A.R.")</f>
        <v>F.E.A.R.</v>
      </c>
      <c r="G451" s="17" t="str">
        <f>IFERROR(__xludf.DUMMYFUNCTION("if(len(A451)&gt;0, REGEXEXTRACT(A451, ""\)([^:]*):""), """")")," 600")</f>
        <v> 600</v>
      </c>
      <c r="H451" s="31" t="str">
        <f>IFERROR(__xludf.DUMMYFUNCTION("if(len(A451) &gt; 0, JOIN(char(10), FILTER(SPLIT(A451, char(10)), split(""false false "" &amp; rept(""true "", columns(SPLIT(A451, char(10)))-3) &amp; ""false"", "" ""))), """")"),"Your ability to understand machines and designs are more than just knowledge, and anyone who follows your work would know this well. You have a subtle psionic ability to 'understand' the machines and items that you physically touch, to the point where you"&amp;" can understand how it might work. More importantly, what you could do to also make it better. Naturally the more complex or esoteric the item is, the more drastically the time needed increases. But the more information you collect the more ideas and meth"&amp;"ods you can formulate to begin working. All psychic powers can be improved via training.")</f>
        <v>Your ability to understand machines and designs are more than just knowledge, and anyone who follows your work would know this well. You have a subtle psionic ability to 'understand' the machines and items that you physically touch, to the point where you can understand how it might work. More importantly, what you could do to also make it better. Naturally the more complex or esoteric the item is, the more drastically the time needed increases. But the more information you collect the more ideas and methods you can formulate to begin working. All psychic powers can be improved via training.</v>
      </c>
    </row>
    <row r="452">
      <c r="A452" s="31" t="str">
        <f>IFERROR(__xludf.DUMMYFUNCTION("""COMPUTED_VALUE"""),"Chapter 73: 57 Crunch Time
Mechanical Master (Borderlands) 400:
You are a master armsmith and roboticist. You can build and maintain standard weapons and shields with ease, and if you put some effort into understanding it you could probably make E-Tech yo"&amp;"ur bitch. Further, you can make temporary Digistruct items, though they tend to explode after brief use. If you find the right components, you might even be able to modify good stuff into truly unique weapons; some might call them Legendary. Though for so"&amp;"me reason they always look kind of pearly.
System")</f>
        <v>Chapter 73: 57 Crunch Time
Mechanical Master (Borderlands) 400:
You are a master armsmith and roboticist. You can build and maintain standard weapons and shields with ease, and if you put some effort into understanding it you could probably make E-Tech your bitch. Further, you can make temporary Digistruct items, though they tend to explode after brief use. If you find the right components, you might even be able to modify good stuff into truly unique weapons; some might call them Legendary. Though for some reason they always look kind of pearly.
System</v>
      </c>
      <c r="B452" s="17">
        <f>IFERROR(__xludf.DUMMYFUNCTION("if(len(A452)&gt;0, value(REGEXEXTRACT(A452, ""Chapter ([0-9]*):"")), """")"),73.0)</f>
        <v>73</v>
      </c>
      <c r="C452" s="31" t="str">
        <f>IFERROR(__xludf.DUMMYFUNCTION("if(len(A452) &gt;0, REGEXEXTRACT(A452, ""Chapter [0-9]*: (.*)""), """")"),"57 Crunch Time")</f>
        <v>57 Crunch Time</v>
      </c>
      <c r="D452" s="31" t="str">
        <f>IFERROR(__xludf.DUMMYFUNCTION("if(len(A452)&gt;0, REGEXEXTRACT(A452, ""\n[^\(]*""), """")"),"
Mechanical Master ")</f>
        <v>
Mechanical Master </v>
      </c>
      <c r="E452" s="17" t="str">
        <f>IFERROR(__xludf.DUMMYFUNCTION("if(len(A452)&gt;0, REGEXEXTRACT(A452, ""\n([^\n]*)$""), """")"),"System")</f>
        <v>System</v>
      </c>
      <c r="F452" s="17" t="str">
        <f>IFERROR(__xludf.DUMMYFUNCTION("if(len(A452)&gt;0, REGEXEXTRACT(A452, ""\(([^\)]*)\)""), """")"),"Borderlands")</f>
        <v>Borderlands</v>
      </c>
      <c r="G452" s="17" t="str">
        <f>IFERROR(__xludf.DUMMYFUNCTION("if(len(A452)&gt;0, REGEXEXTRACT(A452, ""\)([^:]*):""), """")")," 400")</f>
        <v> 400</v>
      </c>
      <c r="H452" s="31" t="str">
        <f>IFERROR(__xludf.DUMMYFUNCTION("if(len(A452) &gt; 0, JOIN(char(10), FILTER(SPLIT(A452, char(10)), split(""false false "" &amp; rept(""true "", columns(SPLIT(A452, char(10)))-3) &amp; ""false"", "" ""))), """")"),"You are a master armsmith and roboticist. You can build and maintain standard weapons and shields with ease, and if you put some effort into understanding it you could probably make E-Tech your bitch. Further, you can make temporary Digistruct items, thou"&amp;"gh they tend to explode after brief use. If you find the right components, you might even be able to modify good stuff into truly unique weapons; some might call them Legendary. Though for some reason they always look kind of pearly.")</f>
        <v>You are a master armsmith and roboticist. You can build and maintain standard weapons and shields with ease, and if you put some effort into understanding it you could probably make E-Tech your bitch. Further, you can make temporary Digistruct items, though they tend to explode after brief use. If you find the right components, you might even be able to modify good stuff into truly unique weapons; some might call them Legendary. Though for some reason they always look kind of pearly.</v>
      </c>
    </row>
    <row r="453">
      <c r="A453" s="31" t="str">
        <f>IFERROR(__xludf.DUMMYFUNCTION("""COMPUTED_VALUE"""),"Chapter 73: 57 Crunch Time
Paxton Fettel(F.E.A.R.) Free:
There can be some pretty odd names people take up in places, and if you have an improper name it could lead to getting teased or ill-thought of. Not anymore! With this little bonus you could have an"&amp;"y strange-sounding name and people would treat you as seriously as they would anyone else. That's the key part, 'as serious as anyone else'.
Personal")</f>
        <v>Chapter 73: 57 Crunch Time
Paxton Fettel(F.E.A.R.) Free:
There can be some pretty odd names people take up in places, and if you have an improper name it could lead to getting teased or ill-thought of. Not anymore! With this little bonus you could have any strange-sounding name and people would treat you as seriously as they would anyone else. That's the key part, 'as serious as anyone else'.
Personal</v>
      </c>
      <c r="B453" s="17">
        <f>IFERROR(__xludf.DUMMYFUNCTION("if(len(A453)&gt;0, value(REGEXEXTRACT(A453, ""Chapter ([0-9]*):"")), """")"),73.0)</f>
        <v>73</v>
      </c>
      <c r="C453" s="31" t="str">
        <f>IFERROR(__xludf.DUMMYFUNCTION("if(len(A453) &gt;0, REGEXEXTRACT(A453, ""Chapter [0-9]*: (.*)""), """")"),"57 Crunch Time")</f>
        <v>57 Crunch Time</v>
      </c>
      <c r="D453" s="31" t="str">
        <f>IFERROR(__xludf.DUMMYFUNCTION("if(len(A453)&gt;0, REGEXEXTRACT(A453, ""\n[^\(]*""), """")"),"
Paxton Fettel")</f>
        <v>
Paxton Fettel</v>
      </c>
      <c r="E453" s="17" t="str">
        <f>IFERROR(__xludf.DUMMYFUNCTION("if(len(A453)&gt;0, REGEXEXTRACT(A453, ""\n([^\n]*)$""), """")"),"Personal")</f>
        <v>Personal</v>
      </c>
      <c r="F453" s="17" t="str">
        <f>IFERROR(__xludf.DUMMYFUNCTION("if(len(A453)&gt;0, REGEXEXTRACT(A453, ""\(([^\)]*)\)""), """")"),"F.E.A.R.")</f>
        <v>F.E.A.R.</v>
      </c>
      <c r="G453" s="17" t="str">
        <f>IFERROR(__xludf.DUMMYFUNCTION("if(len(A453)&gt;0, REGEXEXTRACT(A453, ""\)([^:]*):""), """")")," Free")</f>
        <v> Free</v>
      </c>
      <c r="H453" s="31" t="str">
        <f>IFERROR(__xludf.DUMMYFUNCTION("if(len(A453) &gt; 0, JOIN(char(10), FILTER(SPLIT(A453, char(10)), split(""false false "" &amp; rept(""true "", columns(SPLIT(A453, char(10)))-3) &amp; ""false"", "" ""))), """")"),"There can be some pretty odd names people take up in places, and if you have an improper name it could lead to getting teased or ill-thought of. Not anymore! With this little bonus you could have any strange-sounding name and people would treat you as ser"&amp;"iously as they would anyone else. That's the key part, 'as serious as anyone else'.")</f>
        <v>There can be some pretty odd names people take up in places, and if you have an improper name it could lead to getting teased or ill-thought of. Not anymore! With this little bonus you could have any strange-sounding name and people would treat you as seriously as they would anyone else. That's the key part, 'as serious as anyone else'.</v>
      </c>
    </row>
    <row r="454">
      <c r="A454" s="31" t="str">
        <f>IFERROR(__xludf.DUMMYFUNCTION("""COMPUTED_VALUE"""),"Chapter 73: 57 Crunch Time
Scowl of Sparta (God of War) Free:
There are times where you are angry, or disappointed. Like, INCREDIBLY angry or disappointed. However, in these times your face may be expressing maximum dissatisfaction but you must scowl HARD"&amp;"ER. That's why you can have this, on me. When your face does not match the depth of the emotion you are showing, people can get a really good idea of how far you really feel just by looking at you. As a bonus, this will work for you regardless of what for"&amp;"m you may be taking at the moment. DISAPPOINTED
Personal")</f>
        <v>Chapter 73: 57 Crunch Time
Scowl of Sparta (God of War) Free:
There are times where you are angry, or disappointed. Like, INCREDIBLY angry or disappointed. However, in these times your face may be expressing maximum dissatisfaction but you must scowl HARDER. That's why you can have this, on me. When your face does not match the depth of the emotion you are showing, people can get a really good idea of how far you really feel just by looking at you. As a bonus, this will work for you regardless of what form you may be taking at the moment. DISAPPOINTED
Personal</v>
      </c>
      <c r="B454" s="17">
        <f>IFERROR(__xludf.DUMMYFUNCTION("if(len(A454)&gt;0, value(REGEXEXTRACT(A454, ""Chapter ([0-9]*):"")), """")"),73.0)</f>
        <v>73</v>
      </c>
      <c r="C454" s="31" t="str">
        <f>IFERROR(__xludf.DUMMYFUNCTION("if(len(A454) &gt;0, REGEXEXTRACT(A454, ""Chapter [0-9]*: (.*)""), """")"),"57 Crunch Time")</f>
        <v>57 Crunch Time</v>
      </c>
      <c r="D454" s="31" t="str">
        <f>IFERROR(__xludf.DUMMYFUNCTION("if(len(A454)&gt;0, REGEXEXTRACT(A454, ""\n[^\(]*""), """")"),"
Scowl of Sparta ")</f>
        <v>
Scowl of Sparta </v>
      </c>
      <c r="E454" s="17" t="str">
        <f>IFERROR(__xludf.DUMMYFUNCTION("if(len(A454)&gt;0, REGEXEXTRACT(A454, ""\n([^\n]*)$""), """")"),"Personal")</f>
        <v>Personal</v>
      </c>
      <c r="F454" s="17" t="str">
        <f>IFERROR(__xludf.DUMMYFUNCTION("if(len(A454)&gt;0, REGEXEXTRACT(A454, ""\(([^\)]*)\)""), """")"),"God of War")</f>
        <v>God of War</v>
      </c>
      <c r="G454" s="17" t="str">
        <f>IFERROR(__xludf.DUMMYFUNCTION("if(len(A454)&gt;0, REGEXEXTRACT(A454, ""\)([^:]*):""), """")")," Free")</f>
        <v> Free</v>
      </c>
      <c r="H454" s="31" t="str">
        <f>IFERROR(__xludf.DUMMYFUNCTION("if(len(A454) &gt; 0, JOIN(char(10), FILTER(SPLIT(A454, char(10)), split(""false false "" &amp; rept(""true "", columns(SPLIT(A454, char(10)))-3) &amp; ""false"", "" ""))), """")"),"There are times where you are angry, or disappointed. Like, INCREDIBLY angry or disappointed. However, in these times your face may be expressing maximum dissatisfaction but you must scowl HARDER. That's why you can have this, on me. When your face does n"&amp;"ot match the depth of the emotion you are showing, people can get a really good idea of how far you really feel just by looking at you. As a bonus, this will work for you regardless of what form you may be taking at the moment. DISAPPOINTED")</f>
        <v>There are times where you are angry, or disappointed. Like, INCREDIBLY angry or disappointed. However, in these times your face may be expressing maximum dissatisfaction but you must scowl HARDER. That's why you can have this, on me. When your face does not match the depth of the emotion you are showing, people can get a really good idea of how far you really feel just by looking at you. As a bonus, this will work for you regardless of what form you may be taking at the moment. DISAPPOINTED</v>
      </c>
    </row>
    <row r="455">
      <c r="A455" s="31" t="str">
        <f>IFERROR(__xludf.DUMMYFUNCTION("""COMPUTED_VALUE"""),"Chapter 75: 58 Go Time - Preamble Survey
Nano-technician (Red Faction) 600:
Is it me or does “nanomachines” not sound like a word anymore? You now have a considerable talent in the field of nanotech. With time and study, you could recreate the Nanoforge, "&amp;"with dedication you could even improve on it. Keep in mind nanotech in this setting is exceptionally hard to work with, but can do anything from fixing a bridge, to disintegrating a starship, to enhancing human abilities.
System")</f>
        <v>Chapter 75: 58 Go Time - Preamble Survey
Nano-technician (Red Faction) 600:
Is it me or does “nanomachines” not sound like a word anymore? You now have a considerable talent in the field of nanotech. With time and study, you could recreate the Nanoforge, with dedication you could even improve on it. Keep in mind nanotech in this setting is exceptionally hard to work with, but can do anything from fixing a bridge, to disintegrating a starship, to enhancing human abilities.
System</v>
      </c>
      <c r="B455" s="17">
        <f>IFERROR(__xludf.DUMMYFUNCTION("if(len(A455)&gt;0, value(REGEXEXTRACT(A455, ""Chapter ([0-9]*):"")), """")"),75.0)</f>
        <v>75</v>
      </c>
      <c r="C455" s="31" t="str">
        <f>IFERROR(__xludf.DUMMYFUNCTION("if(len(A455) &gt;0, REGEXEXTRACT(A455, ""Chapter [0-9]*: (.*)""), """")"),"58 Go Time - Preamble Survey")</f>
        <v>58 Go Time - Preamble Survey</v>
      </c>
      <c r="D455" s="31" t="str">
        <f>IFERROR(__xludf.DUMMYFUNCTION("if(len(A455)&gt;0, REGEXEXTRACT(A455, ""\n[^\(]*""), """")"),"
Nano-technician ")</f>
        <v>
Nano-technician </v>
      </c>
      <c r="E455" s="17" t="str">
        <f>IFERROR(__xludf.DUMMYFUNCTION("if(len(A455)&gt;0, REGEXEXTRACT(A455, ""\n([^\n]*)$""), """")"),"System")</f>
        <v>System</v>
      </c>
      <c r="F455" s="17" t="str">
        <f>IFERROR(__xludf.DUMMYFUNCTION("if(len(A455)&gt;0, REGEXEXTRACT(A455, ""\(([^\)]*)\)""), """")"),"Red Faction")</f>
        <v>Red Faction</v>
      </c>
      <c r="G455" s="17" t="str">
        <f>IFERROR(__xludf.DUMMYFUNCTION("if(len(A455)&gt;0, REGEXEXTRACT(A455, ""\)([^:]*):""), """")")," 600")</f>
        <v> 600</v>
      </c>
      <c r="H455" s="31" t="str">
        <f>IFERROR(__xludf.DUMMYFUNCTION("if(len(A455) &gt; 0, JOIN(char(10), FILTER(SPLIT(A455, char(10)), split(""false false "" &amp; rept(""true "", columns(SPLIT(A455, char(10)))-3) &amp; ""false"", "" ""))), """")"),"Is it me or does “nanomachines” not sound like a word anymore? You now have a considerable talent in the field of nanotech. With time and study, you could recreate the Nanoforge, with dedication you could even improve on it. Keep in mind nanotech in this "&amp;"setting is exceptionally hard to work with, but can do anything from fixing a bridge, to disintegrating a starship, to enhancing human abilities.")</f>
        <v>Is it me or does “nanomachines” not sound like a word anymore? You now have a considerable talent in the field of nanotech. With time and study, you could recreate the Nanoforge, with dedication you could even improve on it. Keep in mind nanotech in this setting is exceptionally hard to work with, but can do anything from fixing a bridge, to disintegrating a starship, to enhancing human abilities.</v>
      </c>
    </row>
    <row r="456">
      <c r="A456" s="31" t="str">
        <f>IFERROR(__xludf.DUMMYFUNCTION("""COMPUTED_VALUE"""),"Chapter 75: 58 Go Time - Preamble Survey
Recycler (Red Faction) Free:
A new annex is added to your warehouse that allows you to convert salvaged metal and electronics into ammunition, fuel, and parts for any weapons or vehicles from this setting.
Facility")</f>
        <v>Chapter 75: 58 Go Time - Preamble Survey
Recycler (Red Faction) Free:
A new annex is added to your warehouse that allows you to convert salvaged metal and electronics into ammunition, fuel, and parts for any weapons or vehicles from this setting.
Facility</v>
      </c>
      <c r="B456" s="17">
        <f>IFERROR(__xludf.DUMMYFUNCTION("if(len(A456)&gt;0, value(REGEXEXTRACT(A456, ""Chapter ([0-9]*):"")), """")"),75.0)</f>
        <v>75</v>
      </c>
      <c r="C456" s="31" t="str">
        <f>IFERROR(__xludf.DUMMYFUNCTION("if(len(A456) &gt;0, REGEXEXTRACT(A456, ""Chapter [0-9]*: (.*)""), """")"),"58 Go Time - Preamble Survey")</f>
        <v>58 Go Time - Preamble Survey</v>
      </c>
      <c r="D456" s="31" t="str">
        <f>IFERROR(__xludf.DUMMYFUNCTION("if(len(A456)&gt;0, REGEXEXTRACT(A456, ""\n[^\(]*""), """")"),"
Recycler ")</f>
        <v>
Recycler </v>
      </c>
      <c r="E456" s="17" t="str">
        <f>IFERROR(__xludf.DUMMYFUNCTION("if(len(A456)&gt;0, REGEXEXTRACT(A456, ""\n([^\n]*)$""), """")"),"Facility")</f>
        <v>Facility</v>
      </c>
      <c r="F456" s="17" t="str">
        <f>IFERROR(__xludf.DUMMYFUNCTION("if(len(A456)&gt;0, REGEXEXTRACT(A456, ""\(([^\)]*)\)""), """")"),"Red Faction")</f>
        <v>Red Faction</v>
      </c>
      <c r="G456" s="17" t="str">
        <f>IFERROR(__xludf.DUMMYFUNCTION("if(len(A456)&gt;0, REGEXEXTRACT(A456, ""\)([^:]*):""), """")")," Free")</f>
        <v> Free</v>
      </c>
      <c r="H456" s="31" t="str">
        <f>IFERROR(__xludf.DUMMYFUNCTION("if(len(A456) &gt; 0, JOIN(char(10), FILTER(SPLIT(A456, char(10)), split(""false false "" &amp; rept(""true "", columns(SPLIT(A456, char(10)))-3) &amp; ""false"", "" ""))), """")"),"A new annex is added to your warehouse that allows you to convert salvaged metal and electronics into ammunition, fuel, and parts for any weapons or vehicles from this setting.")</f>
        <v>A new annex is added to your warehouse that allows you to convert salvaged metal and electronics into ammunition, fuel, and parts for any weapons or vehicles from this setting.</v>
      </c>
    </row>
    <row r="457">
      <c r="A457" s="31" t="str">
        <f>IFERROR(__xludf.DUMMYFUNCTION("""COMPUTED_VALUE"""),"Chapter 75: 58 Go Time - Preamble Survey
Sledgehammer (Red Faction) Free:
For centuries, miners have busted their butts swinging one very basic tool, The Sledgehammer. But on Mars, there’s more to this tool than meets the eye. Powered by mass-multiplier s"&amp;"ervos, this essential tool of the Red Faction pops on contact, delivering 1000lbs of kinetic force. When you swing the supercharged hammer, something is going to get leveled.
Item")</f>
        <v>Chapter 75: 58 Go Time - Preamble Survey
Sledgehammer (Red Faction) Free:
For centuries, miners have busted their butts swinging one very basic tool, The Sledgehammer. But on Mars, there’s more to this tool than meets the eye. Powered by mass-multiplier servos, this essential tool of the Red Faction pops on contact, delivering 1000lbs of kinetic force. When you swing the supercharged hammer, something is going to get leveled.
Item</v>
      </c>
      <c r="B457" s="17">
        <f>IFERROR(__xludf.DUMMYFUNCTION("if(len(A457)&gt;0, value(REGEXEXTRACT(A457, ""Chapter ([0-9]*):"")), """")"),75.0)</f>
        <v>75</v>
      </c>
      <c r="C457" s="31" t="str">
        <f>IFERROR(__xludf.DUMMYFUNCTION("if(len(A457) &gt;0, REGEXEXTRACT(A457, ""Chapter [0-9]*: (.*)""), """")"),"58 Go Time - Preamble Survey")</f>
        <v>58 Go Time - Preamble Survey</v>
      </c>
      <c r="D457" s="31" t="str">
        <f>IFERROR(__xludf.DUMMYFUNCTION("if(len(A457)&gt;0, REGEXEXTRACT(A457, ""\n[^\(]*""), """")"),"
Sledgehammer ")</f>
        <v>
Sledgehammer </v>
      </c>
      <c r="E457" s="17" t="str">
        <f>IFERROR(__xludf.DUMMYFUNCTION("if(len(A457)&gt;0, REGEXEXTRACT(A457, ""\n([^\n]*)$""), """")"),"Item")</f>
        <v>Item</v>
      </c>
      <c r="F457" s="17" t="str">
        <f>IFERROR(__xludf.DUMMYFUNCTION("if(len(A457)&gt;0, REGEXEXTRACT(A457, ""\(([^\)]*)\)""), """")"),"Red Faction")</f>
        <v>Red Faction</v>
      </c>
      <c r="G457" s="17" t="str">
        <f>IFERROR(__xludf.DUMMYFUNCTION("if(len(A457)&gt;0, REGEXEXTRACT(A457, ""\)([^:]*):""), """")")," Free")</f>
        <v> Free</v>
      </c>
      <c r="H457" s="31" t="str">
        <f>IFERROR(__xludf.DUMMYFUNCTION("if(len(A457) &gt; 0, JOIN(char(10), FILTER(SPLIT(A457, char(10)), split(""false false "" &amp; rept(""true "", columns(SPLIT(A457, char(10)))-3) &amp; ""false"", "" ""))), """")"),"For centuries, miners have busted their butts swinging one very basic tool, The Sledgehammer. But on Mars, there’s more to this tool than meets the eye. Powered by mass-multiplier servos, this essential tool of the Red Faction pops on contact, delivering "&amp;"1000lbs of kinetic force. When you swing the supercharged hammer, something is going to get leveled.")</f>
        <v>For centuries, miners have busted their butts swinging one very basic tool, The Sledgehammer. But on Mars, there’s more to this tool than meets the eye. Powered by mass-multiplier servos, this essential tool of the Red Faction pops on contact, delivering 1000lbs of kinetic force. When you swing the supercharged hammer, something is going to get leveled.</v>
      </c>
    </row>
    <row r="458">
      <c r="A458" s="31" t="str">
        <f>IFERROR(__xludf.DUMMYFUNCTION("""COMPUTED_VALUE"""),"Chapter 77: 58.2 Interlude Lisa Addendum Joe
Outside Context Problem (Worm) Free:
It'd be boring if you were to just die right at the start so for free you'll have a selective immunity to the powers of a few rather nasty plot device level opponents that b"&amp;"y all rights would probably want to kill you right out of the gate. Contessa, Ziz, and Zion's precog doesn't seem to be able to pick you up, instead returning a zero-sum error whenever they try to force the issue. They won't notice this until you garner e"&amp;"nough attention for them to try and then they might take further measures to see what the problem is. But at the moment you'll be safe from being instantly killed due to the threat you pose to their plans. This works on all shard/entity derived precog. Yo"&amp;"ur peculiar inter-dimensional nature just messes up their ability to predict you. Coil is an exception due to the weird nature of his power.
Personal")</f>
        <v>Chapter 77: 58.2 Interlude Lisa Addendum Joe
Outside Context Problem (Worm) Free:
It'd be boring if you were to just die right at the start so for free you'll have a selective immunity to the powers of a few rather nasty plot device level opponents that by all rights would probably want to kill you right out of the gate. Contessa, Ziz, and Zion's precog doesn't seem to be able to pick you up, instead returning a zero-sum error whenever they try to force the issue. They won't notice this until you garner enough attention for them to try and then they might take further measures to see what the problem is. But at the moment you'll be safe from being instantly killed due to the threat you pose to their plans. This works on all shard/entity derived precog. Your peculiar inter-dimensional nature just messes up their ability to predict you. Coil is an exception due to the weird nature of his power.
Personal</v>
      </c>
      <c r="B458" s="17">
        <f>IFERROR(__xludf.DUMMYFUNCTION("if(len(A458)&gt;0, value(REGEXEXTRACT(A458, ""Chapter ([0-9]*):"")), """")"),77.0)</f>
        <v>77</v>
      </c>
      <c r="C458" s="31" t="str">
        <f>IFERROR(__xludf.DUMMYFUNCTION("if(len(A458) &gt;0, REGEXEXTRACT(A458, ""Chapter [0-9]*: (.*)""), """")"),"58.2 Interlude Lisa Addendum Joe")</f>
        <v>58.2 Interlude Lisa Addendum Joe</v>
      </c>
      <c r="D458" s="31" t="str">
        <f>IFERROR(__xludf.DUMMYFUNCTION("if(len(A458)&gt;0, REGEXEXTRACT(A458, ""\n[^\(]*""), """")"),"
Outside Context Problem ")</f>
        <v>
Outside Context Problem </v>
      </c>
      <c r="E458" s="17" t="str">
        <f>IFERROR(__xludf.DUMMYFUNCTION("if(len(A458)&gt;0, REGEXEXTRACT(A458, ""\n([^\n]*)$""), """")"),"Personal")</f>
        <v>Personal</v>
      </c>
      <c r="F458" s="17" t="str">
        <f>IFERROR(__xludf.DUMMYFUNCTION("if(len(A458)&gt;0, REGEXEXTRACT(A458, ""\(([^\)]*)\)""), """")"),"Worm")</f>
        <v>Worm</v>
      </c>
      <c r="G458" s="17" t="str">
        <f>IFERROR(__xludf.DUMMYFUNCTION("if(len(A458)&gt;0, REGEXEXTRACT(A458, ""\)([^:]*):""), """")")," Free")</f>
        <v> Free</v>
      </c>
      <c r="H458" s="31" t="str">
        <f>IFERROR(__xludf.DUMMYFUNCTION("if(len(A458) &gt; 0, JOIN(char(10), FILTER(SPLIT(A458, char(10)), split(""false false "" &amp; rept(""true "", columns(SPLIT(A458, char(10)))-3) &amp; ""false"", "" ""))), """")"),"It'd be boring if you were to just die right at the start so for free you'll have a selective immunity to the powers of a few rather nasty plot device level opponents that by all rights would probably want to kill you right out of the gate. Contessa, Ziz,"&amp;" and Zion's precog doesn't seem to be able to pick you up, instead returning a zero-sum error whenever they try to force the issue. They won't notice this until you garner enough attention for them to try and then they might take further measures to see w"&amp;"hat the problem is. But at the moment you'll be safe from being instantly killed due to the threat you pose to their plans. This works on all shard/entity derived precog. Your peculiar inter-dimensional nature just messes up their ability to predict you. "&amp;"Coil is an exception due to the weird nature of his power.")</f>
        <v>It'd be boring if you were to just die right at the start so for free you'll have a selective immunity to the powers of a few rather nasty plot device level opponents that by all rights would probably want to kill you right out of the gate. Contessa, Ziz, and Zion's precog doesn't seem to be able to pick you up, instead returning a zero-sum error whenever they try to force the issue. They won't notice this until you garner enough attention for them to try and then they might take further measures to see what the problem is. But at the moment you'll be safe from being instantly killed due to the threat you pose to their plans. This works on all shard/entity derived precog. Your peculiar inter-dimensional nature just messes up their ability to predict you. Coil is an exception due to the weird nature of his power.</v>
      </c>
    </row>
    <row r="459">
      <c r="A459" s="31" t="str">
        <f>IFERROR(__xludf.DUMMYFUNCTION("""COMPUTED_VALUE"""),"Chapter 77: 58.2 Interlude Lisa Addendum Joe
Parahuman - Tinker - Miniaturization and Efficiency (Worm) 400:
It seems that you've triggered, and gained some rather impressive powers. This is optional, you can go without becoming a parahuman if you wish. A"&amp;"lthough that means you won't be getting any impressive new abilities to help keep you alive in this world. You can only have a single parahuman power. Powers adapt to whatever capabilities you already have. Taking them into account and ensuring you can us"&amp;"e your parahuman abilities in sync with them. Assume any potential incompatibilities are handled appropriately to allow a power to still perform its intended function. All powers may be toggled on or off, and you understand their nature and how to use the"&amp;"m instinctively, if not necessarily all the different ways they could be applied creatively.
Tinker: Whereas other parahumans get the power to do incredible things, Tinkers get the ability to build incredible things. Tinkers essentially have a database of"&amp;" extremely advanced scientific data and technology in their heads, letting them build and create things far ahead of their time. This data follows a certain theme, whether that be bombs, efficiency, vehicles, or otherwise which defines what their power le"&amp;"ts them build and work with. Tinkers need resources, time, and effort to do what other parahumans can do casually, but they are incredibly adaptable, able to show up to the next fight able to completely shut down opponents that were untouchable in their l"&amp;"ast encounter, all because they can build the right tool. Within their specialty a Tinker can build nearly anything they can imagine. Tinker abilities seamlessly integrate any such knowledge of technology and science you possess, meaning you don't have to"&amp;" make any extra effort to use your powers along with any other tech based perks you might have. The knowledge you gain is basically the collected science of hundreds of advanced civilizations within your area of expertise. You don't necessary have the cap"&amp;"ability to process and sort through it all at once, but your power will continue to feed you data and knowledge relevant to your endeavors and what you're building.
Miniaturization and Efficiency - You can miniaturize anything down to levels that any sane"&amp;" man would consider impossible. A fusion reactor the size of a watch battery would be the absolute minimum of what you are capable of, and you'd be able to make it far smaller than that. Your power also makes you a master of technological efficiency, anyt"&amp;"hing you make needing barely any energy to run compared to what it should and continue to do so for a very long time. These specialties also make you a master of nanotechnology and similar pursuits. Of course you aren't barred from building something big "&amp;"like a giant robot, just that it'll be impossibly efficient and crammed full of more weapons and subsystems then should be possible.
After this jump any powers are now part of you instead of your shard/passenger, and its connection is severed completely. "&amp;"All other shard limitations are released, even if you stay, letting Tinkers mass produce their tech, precogs see the Entities and Endbringers, etc. This doesn't enhance your power, only removes things like the Manton Limit that held it back before. The sa"&amp;"me applies to your companions and anyone you bring with you.
The inability of other people to properly maintain Tinker-Tech is simply because a Tinker's shard is hard coded to make it so anything they build is too complex and advanced to learn how to prop"&amp;"erly do so in any reasonable time frame. Like trying to teach cavemen how to build and maintain modern day computers. A Tinker completely understands the science behind what they have built, but would have to write a massive document to properly explain t"&amp;"he maintenance procedures. After this jump this is no longer a problem and you can make things that are easily maintainable and mass producible by others, with the caveat that it doesn't do away with the normal issues of trying to do so. Like said caveman"&amp;" example up above. You can design things to make it much easier, with your power helping instead of hindering.
Tinker abilities give you an insanely large and advanced database of scientific knowledge and superhuman skill at employing it, all within their"&amp;" specialty. Your power will always mean that within this field you'll learn, innovate, and improve in superhuman ways, growing beyond what you start with. This scientific information can be spread and taught just like anything else you know, others simply"&amp;" don't have your impossible skill and talent at it.
It's up to you on how powers budding off works in your jumpchain. Whether they do, or don't, or there are limits to it. You don't personally control this, but you can fanwank whatever you want. Your Jump"&amp;"chain, not mine. For those of you who aren't familiar with Worm, people close and somehow important to a parahuman will have what is known as a Second-Gen Trigger. Unlike First-Generation triggers these only require very little stress, and result in power"&amp;"s that are similar if different to the original parahuman. A single Third generation trigger was confirmed in canon, happening to a five year old.
Powers do grow with time and use, but this only expands already present parameters, it doesn't allow the dev"&amp;"elopment of new ones. Range, area, precision, strength, etc all increase, but your power only does what it could always do better, not gain entirely new capabilities. For example Skitter's range for her bug control expanded with time, she learned to compr"&amp;"ehend more of her bug's senses properly, and her bugs began acting with perfect coordination to her desires with nearly zero effort on her part.
System")</f>
        <v>Chapter 77: 58.2 Interlude Lisa Addendum Joe
Parahuman - Tinker - Miniaturization and Efficiency (Worm) 400:
It seems that you've triggered, and gained some rather impressive powers. This is optional, you can go without becoming a parahuman if you wish. Although that means you won't be getting any impressive new abilities to help keep you alive in this world. You can only have a single parahuman power. Powers adapt to whatever capabilities you already have. Taking them into account and ensuring you can use your parahuman abilities in sync with them. Assume any potential incompatibilities are handled appropriately to allow a power to still perform its intended function. All powers may be toggled on or off, and you understand their nature and how to use them instinctively, if not necessarily all the different ways they could be applied creatively.
Tinker: Whereas other parahumans get the power to do incredible things, Tinkers get the ability to build incredible things. Tinkers essentially have a database of extremely advanced scientific data and technology in their heads, letting them build and create things far ahead of their time. This data follows a certain theme, whether that be bombs, efficiency, vehicles, or otherwise which defines what their power lets them build and work with. Tinkers need resources, time, and effort to do what other parahumans can do casually, but they are incredibly adaptable, able to show up to the next fight able to completely shut down opponents that were untouchable in their last encounter, all because they can build the right tool. Within their specialty a Tinker can build nearly anything they can imagine. Tinker abilities seamlessly integrate any such knowledge of technology and science you possess, meaning you don't have to make any extra effort to use your powers along with any other tech based perks you might have. The knowledge you gain is basically the collected science of hundreds of advanced civilizations within your area of expertise. You don't necessary have the capability to process and sort through it all at once, but your power will continue to feed you data and knowledge relevant to your endeavors and what you're building.
Miniaturization and Efficiency - You can miniaturize anything down to levels that any sane man would consider impossible. A fusion reactor the size of a watch battery would be the absolute minimum of what you are capable of, and you'd be able to make it far smaller than that. Your power also makes you a master of technological efficiency, anything you make needing barely any energy to run compared to what it should and continue to do so for a very long time. These specialties also make you a master of nanotechnology and similar pursuits. Of course you aren't barred from building something big like a giant robot, just that it'll be impossibly efficient and crammed full of more weapons and subsystems then should be possible.
After this jump any powers are now part of you instead of your shard/passenger, and its connection is severed completely. All other shard limitations are released, even if you stay, letting Tinkers mass produce their tech, precogs see the Entities and Endbringers, etc. This doesn't enhance your power, only removes things like the Manton Limit that held it back before. The same applies to your companions and anyone you bring with you.
The inability of other people to properly maintain Tinker-Tech is simply because a Tinker's shard is hard coded to make it so anything they build is too complex and advanced to learn how to properly do so in any reasonable time frame. Like trying to teach cavemen how to build and maintain modern day computers. A Tinker completely understands the science behind what they have built, but would have to write a massive document to properly explain the maintenance procedures. After this jump this is no longer a problem and you can make things that are easily maintainable and mass producible by others, with the caveat that it doesn't do away with the normal issues of trying to do so. Like said caveman example up above. You can design things to make it much easier, with your power helping instead of hindering.
Tinker abilities give you an insanely large and advanced database of scientific knowledge and superhuman skill at employing it, all within their specialty. Your power will always mean that within this field you'll learn, innovate, and improve in superhuman ways, growing beyond what you start with. This scientific information can be spread and taught just like anything else you know, others simply don't have your impossible skill and talent at it.
It's up to you on how powers budding off works in your jumpchain. Whether they do, or don't, or there are limits to it. You don't personally control this, but you can fanwank whatever you want. Your Jumpchain, not mine. For those of you who aren't familiar with Worm, people close and somehow important to a parahuman will have what is known as a Second-Gen Trigger. Unlike First-Generation triggers these only require very little stress, and result in powers that are similar if different to the original parahuman. A single Third generation trigger was confirmed in canon, happening to a five year old.
Powers do grow with time and use, but this only expands already present parameters, it doesn't allow the development of new ones. Range, area, precision, strength, etc all increase, but your power only does what it could always do better, not gain entirely new capabilities. For example Skitter's range for her bug control expanded with time, she learned to comprehend more of her bug's senses properly, and her bugs began acting with perfect coordination to her desires with nearly zero effort on her part.
System</v>
      </c>
      <c r="B459" s="17">
        <f>IFERROR(__xludf.DUMMYFUNCTION("if(len(A459)&gt;0, value(REGEXEXTRACT(A459, ""Chapter ([0-9]*):"")), """")"),77.0)</f>
        <v>77</v>
      </c>
      <c r="C459" s="31" t="str">
        <f>IFERROR(__xludf.DUMMYFUNCTION("if(len(A459) &gt;0, REGEXEXTRACT(A459, ""Chapter [0-9]*: (.*)""), """")"),"58.2 Interlude Lisa Addendum Joe")</f>
        <v>58.2 Interlude Lisa Addendum Joe</v>
      </c>
      <c r="D459" s="31" t="str">
        <f>IFERROR(__xludf.DUMMYFUNCTION("if(len(A459)&gt;0, REGEXEXTRACT(A459, ""\n[^\(]*""), """")"),"
Parahuman - Tinker - Miniaturization and Efficiency ")</f>
        <v>
Parahuman - Tinker - Miniaturization and Efficiency </v>
      </c>
      <c r="E459" s="17" t="str">
        <f>IFERROR(__xludf.DUMMYFUNCTION("if(len(A459)&gt;0, REGEXEXTRACT(A459, ""\n([^\n]*)$""), """")"),"System")</f>
        <v>System</v>
      </c>
      <c r="F459" s="17" t="str">
        <f>IFERROR(__xludf.DUMMYFUNCTION("if(len(A459)&gt;0, REGEXEXTRACT(A459, ""\(([^\)]*)\)""), """")"),"Worm")</f>
        <v>Worm</v>
      </c>
      <c r="G459" s="17" t="str">
        <f>IFERROR(__xludf.DUMMYFUNCTION("if(len(A459)&gt;0, REGEXEXTRACT(A459, ""\)([^:]*):""), """")")," 400")</f>
        <v> 400</v>
      </c>
      <c r="H459" s="31" t="str">
        <f>IFERROR(__xludf.DUMMYFUNCTION("if(len(A459) &gt; 0, JOIN(char(10), FILTER(SPLIT(A459, char(10)), split(""false false "" &amp; rept(""true "", columns(SPLIT(A459, char(10)))-3) &amp; ""false"", "" ""))), """")"),"It seems that you've triggered, and gained some rather impressive powers. This is optional, you can go without becoming a parahuman if you wish. Although that means you won't be getting any impressive new abilities to help keep you alive in this world. Yo"&amp;"u can only have a single parahuman power. Powers adapt to whatever capabilities you already have. Taking them into account and ensuring you can use your parahuman abilities in sync with them. Assume any potential incompatibilities are handled appropriatel"&amp;"y to allow a power to still perform its intended function. All powers may be toggled on or off, and you understand their nature and how to use them instinctively, if not necessarily all the different ways they could be applied creatively.
Tinker: Whereas "&amp;"other parahumans get the power to do incredible things, Tinkers get the ability to build incredible things. Tinkers essentially have a database of extremely advanced scientific data and technology in their heads, letting them build and create things far a"&amp;"head of their time. This data follows a certain theme, whether that be bombs, efficiency, vehicles, or otherwise which defines what their power lets them build and work with. Tinkers need resources, time, and effort to do what other parahumans can do casu"&amp;"ally, but they are incredibly adaptable, able to show up to the next fight able to completely shut down opponents that were untouchable in their last encounter, all because they can build the right tool. Within their specialty a Tinker can build nearly an"&amp;"ything they can imagine. Tinker abilities seamlessly integrate any such knowledge of technology and science you possess, meaning you don't have to make any extra effort to use your powers along with any other tech based perks you might have. The knowledge"&amp;" you gain is basically the collected science of hundreds of advanced civilizations within your area of expertise. You don't necessary have the capability to process and sort through it all at once, but your power will continue to feed you data and knowled"&amp;"ge relevant to your endeavors and what you're building.
Miniaturization and Efficiency - You can miniaturize anything down to levels that any sane man would consider impossible. A fusion reactor the size of a watch battery would be the absolute minimum of"&amp;" what you are capable of, and you'd be able to make it far smaller than that. Your power also makes you a master of technological efficiency, anything you make needing barely any energy to run compared to what it should and continue to do so for a very lo"&amp;"ng time. These specialties also make you a master of nanotechnology and similar pursuits. Of course you aren't barred from building something big like a giant robot, just that it'll be impossibly efficient and crammed full of more weapons and subsystems t"&amp;"hen should be possible.
After this jump any powers are now part of you instead of your shard/passenger, and its connection is severed completely. All other shard limitations are released, even if you stay, letting Tinkers mass produce their tech, precogs "&amp;"see the Entities and Endbringers, etc. This doesn't enhance your power, only removes things like the Manton Limit that held it back before. The same applies to your companions and anyone you bring with you.
The inability of other people to properly mainta"&amp;"in Tinker-Tech is simply because a Tinker's shard is hard coded to make it so anything they build is too complex and advanced to learn how to properly do so in any reasonable time frame. Like trying to teach cavemen how to build and maintain modern day co"&amp;"mputers. A Tinker completely understands the science behind what they have built, but would have to write a massive document to properly explain the maintenance procedures. After this jump this is no longer a problem and you can make things that are easil"&amp;"y maintainable and mass producible by others, with the caveat that it doesn't do away with the normal issues of trying to do so. Like said caveman example up above. You can design things to make it much easier, with your power helping instead of hindering"&amp;".
Tinker abilities give you an insanely large and advanced database of scientific knowledge and superhuman skill at employing it, all within their specialty. Your power will always mean that within this field you'll learn, innovate, and improve in superhu"&amp;"man ways, growing beyond what you start with. This scientific information can be spread and taught just like anything else you know, others simply don't have your impossible skill and talent at it.
It's up to you on how powers budding off works in your ju"&amp;"mpchain. Whether they do, or don't, or there are limits to it. You don't personally control this, but you can fanwank whatever you want. Your Jumpchain, not mine. For those of you who aren't familiar with Worm, people close and somehow important to a para"&amp;"human will have what is known as a Second-Gen Trigger. Unlike First-Generation triggers these only require very little stress, and result in powers that are similar if different to the original parahuman. A single Third generation trigger was confirmed in"&amp;" canon, happening to a five year old.
Powers do grow with time and use, but this only expands already present parameters, it doesn't allow the development of new ones. Range, area, precision, strength, etc all increase, but your power only does what it co"&amp;"uld always do better, not gain entirely new capabilities. For example Skitter's range for her bug control expanded with time, she learned to comprehend more of her bug's senses properly, and her bugs began acting with perfect coordination to her desires w"&amp;"ith nearly zero effort on her part.")</f>
        <v>It seems that you've triggered, and gained some rather impressive powers. This is optional, you can go without becoming a parahuman if you wish. Although that means you won't be getting any impressive new abilities to help keep you alive in this world. You can only have a single parahuman power. Powers adapt to whatever capabilities you already have. Taking them into account and ensuring you can use your parahuman abilities in sync with them. Assume any potential incompatibilities are handled appropriately to allow a power to still perform its intended function. All powers may be toggled on or off, and you understand their nature and how to use them instinctively, if not necessarily all the different ways they could be applied creatively.
Tinker: Whereas other parahumans get the power to do incredible things, Tinkers get the ability to build incredible things. Tinkers essentially have a database of extremely advanced scientific data and technology in their heads, letting them build and create things far ahead of their time. This data follows a certain theme, whether that be bombs, efficiency, vehicles, or otherwise which defines what their power lets them build and work with. Tinkers need resources, time, and effort to do what other parahumans can do casually, but they are incredibly adaptable, able to show up to the next fight able to completely shut down opponents that were untouchable in their last encounter, all because they can build the right tool. Within their specialty a Tinker can build nearly anything they can imagine. Tinker abilities seamlessly integrate any such knowledge of technology and science you possess, meaning you don't have to make any extra effort to use your powers along with any other tech based perks you might have. The knowledge you gain is basically the collected science of hundreds of advanced civilizations within your area of expertise. You don't necessary have the capability to process and sort through it all at once, but your power will continue to feed you data and knowledge relevant to your endeavors and what you're building.
Miniaturization and Efficiency - You can miniaturize anything down to levels that any sane man would consider impossible. A fusion reactor the size of a watch battery would be the absolute minimum of what you are capable of, and you'd be able to make it far smaller than that. Your power also makes you a master of technological efficiency, anything you make needing barely any energy to run compared to what it should and continue to do so for a very long time. These specialties also make you a master of nanotechnology and similar pursuits. Of course you aren't barred from building something big like a giant robot, just that it'll be impossibly efficient and crammed full of more weapons and subsystems then should be possible.
After this jump any powers are now part of you instead of your shard/passenger, and its connection is severed completely. All other shard limitations are released, even if you stay, letting Tinkers mass produce their tech, precogs see the Entities and Endbringers, etc. This doesn't enhance your power, only removes things like the Manton Limit that held it back before. The same applies to your companions and anyone you bring with you.
The inability of other people to properly maintain Tinker-Tech is simply because a Tinker's shard is hard coded to make it so anything they build is too complex and advanced to learn how to properly do so in any reasonable time frame. Like trying to teach cavemen how to build and maintain modern day computers. A Tinker completely understands the science behind what they have built, but would have to write a massive document to properly explain the maintenance procedures. After this jump this is no longer a problem and you can make things that are easily maintainable and mass producible by others, with the caveat that it doesn't do away with the normal issues of trying to do so. Like said caveman example up above. You can design things to make it much easier, with your power helping instead of hindering.
Tinker abilities give you an insanely large and advanced database of scientific knowledge and superhuman skill at employing it, all within their specialty. Your power will always mean that within this field you'll learn, innovate, and improve in superhuman ways, growing beyond what you start with. This scientific information can be spread and taught just like anything else you know, others simply don't have your impossible skill and talent at it.
It's up to you on how powers budding off works in your jumpchain. Whether they do, or don't, or there are limits to it. You don't personally control this, but you can fanwank whatever you want. Your Jumpchain, not mine. For those of you who aren't familiar with Worm, people close and somehow important to a parahuman will have what is known as a Second-Gen Trigger. Unlike First-Generation triggers these only require very little stress, and result in powers that are similar if different to the original parahuman. A single Third generation trigger was confirmed in canon, happening to a five year old.
Powers do grow with time and use, but this only expands already present parameters, it doesn't allow the development of new ones. Range, area, precision, strength, etc all increase, but your power only does what it could always do better, not gain entirely new capabilities. For example Skitter's range for her bug control expanded with time, she learned to comprehend more of her bug's senses properly, and her bugs began acting with perfect coordination to her desires with nearly zero effort on her part.</v>
      </c>
    </row>
    <row r="460">
      <c r="A460" s="31" t="str">
        <f>IFERROR(__xludf.DUMMYFUNCTION("""COMPUTED_VALUE"""),"Chapter 77: 58.2 Interlude Lisa Addendum Joe
Tinker-Tech Cache (Worm) Free:
You get a decent sized cache of Tinker-Tech whose nature is up to you. Whether you want a large variety of computing and programming devices, an armory full of futuristic guns and"&amp;" weapons, or maybe just a ton of Tinker tools for your personal use. There is nothing crazy in here, but even basic Tinker tech is far more advanced than anything on modern earth. If you have a Tinker ability you get one purchase of this free for tech tha"&amp;"t corresponds to your specialty, giving you more than enough to get started. Note: Even the worst Tinker-Tech is hundreds of years ahead of modern day earth, and the samples you get here aren't bargain bin by any means, just not anything earth shaking.
Fa"&amp;"cility")</f>
        <v>Chapter 77: 58.2 Interlude Lisa Addendum Joe
Tinker-Tech Cache (Worm) Free:
You get a decent sized cache of Tinker-Tech whose nature is up to you. Whether you want a large variety of computing and programming devices, an armory full of futuristic guns and weapons, or maybe just a ton of Tinker tools for your personal use. There is nothing crazy in here, but even basic Tinker tech is far more advanced than anything on modern earth. If you have a Tinker ability you get one purchase of this free for tech that corresponds to your specialty, giving you more than enough to get started. Note: Even the worst Tinker-Tech is hundreds of years ahead of modern day earth, and the samples you get here aren't bargain bin by any means, just not anything earth shaking.
Facility</v>
      </c>
      <c r="B460" s="17">
        <f>IFERROR(__xludf.DUMMYFUNCTION("if(len(A460)&gt;0, value(REGEXEXTRACT(A460, ""Chapter ([0-9]*):"")), """")"),77.0)</f>
        <v>77</v>
      </c>
      <c r="C460" s="31" t="str">
        <f>IFERROR(__xludf.DUMMYFUNCTION("if(len(A460) &gt;0, REGEXEXTRACT(A460, ""Chapter [0-9]*: (.*)""), """")"),"58.2 Interlude Lisa Addendum Joe")</f>
        <v>58.2 Interlude Lisa Addendum Joe</v>
      </c>
      <c r="D460" s="31" t="str">
        <f>IFERROR(__xludf.DUMMYFUNCTION("if(len(A460)&gt;0, REGEXEXTRACT(A460, ""\n[^\(]*""), """")"),"
Tinker-Tech Cache ")</f>
        <v>
Tinker-Tech Cache </v>
      </c>
      <c r="E460" s="17" t="str">
        <f>IFERROR(__xludf.DUMMYFUNCTION("if(len(A460)&gt;0, REGEXEXTRACT(A460, ""\n([^\n]*)$""), """")"),"Facility")</f>
        <v>Facility</v>
      </c>
      <c r="F460" s="17" t="str">
        <f>IFERROR(__xludf.DUMMYFUNCTION("if(len(A460)&gt;0, REGEXEXTRACT(A460, ""\(([^\)]*)\)""), """")"),"Worm")</f>
        <v>Worm</v>
      </c>
      <c r="G460" s="17" t="str">
        <f>IFERROR(__xludf.DUMMYFUNCTION("if(len(A460)&gt;0, REGEXEXTRACT(A460, ""\)([^:]*):""), """")")," Free")</f>
        <v> Free</v>
      </c>
      <c r="H460" s="31" t="str">
        <f>IFERROR(__xludf.DUMMYFUNCTION("if(len(A460) &gt; 0, JOIN(char(10), FILTER(SPLIT(A460, char(10)), split(""false false "" &amp; rept(""true "", columns(SPLIT(A460, char(10)))-3) &amp; ""false"", "" ""))), """")"),"You get a decent sized cache of Tinker-Tech whose nature is up to you. Whether you want a large variety of computing and programming devices, an armory full of futuristic guns and weapons, or maybe just a ton of Tinker tools for your personal use. There i"&amp;"s nothing crazy in here, but even basic Tinker tech is far more advanced than anything on modern earth. If you have a Tinker ability you get one purchase of this free for tech that corresponds to your specialty, giving you more than enough to get started."&amp;" Note: Even the worst Tinker-Tech is hundreds of years ahead of modern day earth, and the samples you get here aren't bargain bin by any means, just not anything earth shaking.")</f>
        <v>You get a decent sized cache of Tinker-Tech whose nature is up to you. Whether you want a large variety of computing and programming devices, an armory full of futuristic guns and weapons, or maybe just a ton of Tinker tools for your personal use. There is nothing crazy in here, but even basic Tinker tech is far more advanced than anything on modern earth. If you have a Tinker ability you get one purchase of this free for tech that corresponds to your specialty, giving you more than enough to get started. Note: Even the worst Tinker-Tech is hundreds of years ahead of modern day earth, and the samples you get here aren't bargain bin by any means, just not anything earth shaking.</v>
      </c>
    </row>
    <row r="461">
      <c r="A461" s="31" t="str">
        <f>IFERROR(__xludf.DUMMYFUNCTION("""COMPUTED_VALUE"""),"Chapter 78: 59 Summit Openings Addendum Uppercrust
Demigod Atelier (Asura’s Wrath) 400:
You know the secret science of Mantra technology, and can build custom devices that are powered by prayer or emotion. Further, you can enhance or upgrade items from ot"&amp;"her jumps to use this same power source. If you take Cyborg Hindu Godbody, you may construct Demigod cybernetics for other people. After the jump concludes, you may also build Mantra Reactors. Demigod Atelier allows you to create any mantrapowered or inte"&amp;"grated device, up to and including the vast fleets of Shinkoku Tratstrium, the heavenly vessels of the divine armies, and even the antiGohma platform Brahmastra. The latter however would require millennia of effort, and was never completed even in the sco"&amp;"pe of the original setting.
System")</f>
        <v>Chapter 78: 59 Summit Openings Addendum Uppercrust
Demigod Atelier (Asura’s Wrath) 400:
You know the secret science of Mantra technology, and can build custom devices that are powered by prayer or emotion. Further, you can enhance or upgrade items from other jumps to use this same power source. If you take Cyborg Hindu Godbody, you may construct Demigod cybernetics for other people. After the jump concludes, you may also build Mantra Reactors. Demigod Atelier allows you to create any mantrapowered or integrated device, up to and including the vast fleets of Shinkoku Tratstrium, the heavenly vessels of the divine armies, and even the antiGohma platform Brahmastra. The latter however would require millennia of effort, and was never completed even in the scope of the original setting.
System</v>
      </c>
      <c r="B461" s="17">
        <f>IFERROR(__xludf.DUMMYFUNCTION("if(len(A461)&gt;0, value(REGEXEXTRACT(A461, ""Chapter ([0-9]*):"")), """")"),78.0)</f>
        <v>78</v>
      </c>
      <c r="C461" s="31" t="str">
        <f>IFERROR(__xludf.DUMMYFUNCTION("if(len(A461) &gt;0, REGEXEXTRACT(A461, ""Chapter [0-9]*: (.*)""), """")"),"59 Summit Openings Addendum Uppercrust")</f>
        <v>59 Summit Openings Addendum Uppercrust</v>
      </c>
      <c r="D461" s="31" t="str">
        <f>IFERROR(__xludf.DUMMYFUNCTION("if(len(A461)&gt;0, REGEXEXTRACT(A461, ""\n[^\(]*""), """")"),"
Demigod Atelier ")</f>
        <v>
Demigod Atelier </v>
      </c>
      <c r="E461" s="17" t="str">
        <f>IFERROR(__xludf.DUMMYFUNCTION("if(len(A461)&gt;0, REGEXEXTRACT(A461, ""\n([^\n]*)$""), """")"),"System")</f>
        <v>System</v>
      </c>
      <c r="F461" s="17" t="str">
        <f>IFERROR(__xludf.DUMMYFUNCTION("if(len(A461)&gt;0, REGEXEXTRACT(A461, ""\(([^\)]*)\)""), """")"),"Asura’s Wrath")</f>
        <v>Asura’s Wrath</v>
      </c>
      <c r="G461" s="17" t="str">
        <f>IFERROR(__xludf.DUMMYFUNCTION("if(len(A461)&gt;0, REGEXEXTRACT(A461, ""\)([^:]*):""), """")")," 400")</f>
        <v> 400</v>
      </c>
      <c r="H461" s="31" t="str">
        <f>IFERROR(__xludf.DUMMYFUNCTION("if(len(A461) &gt; 0, JOIN(char(10), FILTER(SPLIT(A461, char(10)), split(""false false "" &amp; rept(""true "", columns(SPLIT(A461, char(10)))-3) &amp; ""false"", "" ""))), """")"),"You know the secret science of Mantra technology, and can build custom devices that are powered by prayer or emotion. Further, you can enhance or upgrade items from other jumps to use this same power source. If you take Cyborg Hindu Godbody, you may const"&amp;"ruct Demigod cybernetics for other people. After the jump concludes, you may also build Mantra Reactors. Demigod Atelier allows you to create any mantrapowered or integrated device, up to and including the vast fleets of Shinkoku Tratstrium, the heavenly "&amp;"vessels of the divine armies, and even the antiGohma platform Brahmastra. The latter however would require millennia of effort, and was never completed even in the scope of the original setting.")</f>
        <v>You know the secret science of Mantra technology, and can build custom devices that are powered by prayer or emotion. Further, you can enhance or upgrade items from other jumps to use this same power source. If you take Cyborg Hindu Godbody, you may construct Demigod cybernetics for other people. After the jump concludes, you may also build Mantra Reactors. Demigod Atelier allows you to create any mantrapowered or integrated device, up to and including the vast fleets of Shinkoku Tratstrium, the heavenly vessels of the divine armies, and even the antiGohma platform Brahmastra. The latter however would require millennia of effort, and was never completed even in the scope of the original setting.</v>
      </c>
    </row>
    <row r="462">
      <c r="A462" s="31" t="str">
        <f>IFERROR(__xludf.DUMMYFUNCTION("""COMPUTED_VALUE"""),"Chapter 78: 59 Summit Openings Addendum Uppercrust
Imposing Declaration of Title (Asura’s Wrath) Free:
Whenever you do something dramatic or just something really badass, perception of you changes for a splitsecond. Observers see the title or highconcept "&amp;"description of your current state or action as awesome block characters superimposed on their vision. This applies to named attacks/combat maneuvers, legendary weapons, companions and so on.
Personal")</f>
        <v>Chapter 78: 59 Summit Openings Addendum Uppercrust
Imposing Declaration of Title (Asura’s Wrath) Free:
Whenever you do something dramatic or just something really badass, perception of you changes for a splitsecond. Observers see the title or highconcept description of your current state or action as awesome block characters superimposed on their vision. This applies to named attacks/combat maneuvers, legendary weapons, companions and so on.
Personal</v>
      </c>
      <c r="B462" s="17">
        <f>IFERROR(__xludf.DUMMYFUNCTION("if(len(A462)&gt;0, value(REGEXEXTRACT(A462, ""Chapter ([0-9]*):"")), """")"),78.0)</f>
        <v>78</v>
      </c>
      <c r="C462" s="31" t="str">
        <f>IFERROR(__xludf.DUMMYFUNCTION("if(len(A462) &gt;0, REGEXEXTRACT(A462, ""Chapter [0-9]*: (.*)""), """")"),"59 Summit Openings Addendum Uppercrust")</f>
        <v>59 Summit Openings Addendum Uppercrust</v>
      </c>
      <c r="D462" s="31" t="str">
        <f>IFERROR(__xludf.DUMMYFUNCTION("if(len(A462)&gt;0, REGEXEXTRACT(A462, ""\n[^\(]*""), """")"),"
Imposing Declaration of Title ")</f>
        <v>
Imposing Declaration of Title </v>
      </c>
      <c r="E462" s="17" t="str">
        <f>IFERROR(__xludf.DUMMYFUNCTION("if(len(A462)&gt;0, REGEXEXTRACT(A462, ""\n([^\n]*)$""), """")"),"Personal")</f>
        <v>Personal</v>
      </c>
      <c r="F462" s="17" t="str">
        <f>IFERROR(__xludf.DUMMYFUNCTION("if(len(A462)&gt;0, REGEXEXTRACT(A462, ""\(([^\)]*)\)""), """")"),"Asura’s Wrath")</f>
        <v>Asura’s Wrath</v>
      </c>
      <c r="G462" s="17" t="str">
        <f>IFERROR(__xludf.DUMMYFUNCTION("if(len(A462)&gt;0, REGEXEXTRACT(A462, ""\)([^:]*):""), """")")," Free")</f>
        <v> Free</v>
      </c>
      <c r="H462" s="31" t="str">
        <f>IFERROR(__xludf.DUMMYFUNCTION("if(len(A462) &gt; 0, JOIN(char(10), FILTER(SPLIT(A462, char(10)), split(""false false "" &amp; rept(""true "", columns(SPLIT(A462, char(10)))-3) &amp; ""false"", "" ""))), """")"),"Whenever you do something dramatic or just something really badass, perception of you changes for a splitsecond. Observers see the title or highconcept description of your current state or action as awesome block characters superimposed on their vision. T"&amp;"his applies to named attacks/combat maneuvers, legendary weapons, companions and so on.")</f>
        <v>Whenever you do something dramatic or just something really badass, perception of you changes for a splitsecond. Observers see the title or highconcept description of your current state or action as awesome block characters superimposed on their vision. This applies to named attacks/combat maneuvers, legendary weapons, companions and so on.</v>
      </c>
    </row>
    <row r="463">
      <c r="A463" s="31" t="str">
        <f>IFERROR(__xludf.DUMMYFUNCTION("""COMPUTED_VALUE"""),"Chapter 78: 59 Summit Openings Addendum Uppercrust
Mantra Generation (Asura’s Wrath) Free:
A being with a soul (you do have a soul, right?) can generate Mantra by prayer or feeling emotion. This mantra can be utilized by devices powered by Mantra Technolo"&amp;"gy, or the Demigods of Shinkoku Trastrium.
System")</f>
        <v>Chapter 78: 59 Summit Openings Addendum Uppercrust
Mantra Generation (Asura’s Wrath) Free:
A being with a soul (you do have a soul, right?) can generate Mantra by prayer or feeling emotion. This mantra can be utilized by devices powered by Mantra Technology, or the Demigods of Shinkoku Trastrium.
System</v>
      </c>
      <c r="B463" s="17">
        <f>IFERROR(__xludf.DUMMYFUNCTION("if(len(A463)&gt;0, value(REGEXEXTRACT(A463, ""Chapter ([0-9]*):"")), """")"),78.0)</f>
        <v>78</v>
      </c>
      <c r="C463" s="31" t="str">
        <f>IFERROR(__xludf.DUMMYFUNCTION("if(len(A463) &gt;0, REGEXEXTRACT(A463, ""Chapter [0-9]*: (.*)""), """")"),"59 Summit Openings Addendum Uppercrust")</f>
        <v>59 Summit Openings Addendum Uppercrust</v>
      </c>
      <c r="D463" s="31" t="str">
        <f>IFERROR(__xludf.DUMMYFUNCTION("if(len(A463)&gt;0, REGEXEXTRACT(A463, ""\n[^\(]*""), """")"),"
Mantra Generation ")</f>
        <v>
Mantra Generation </v>
      </c>
      <c r="E463" s="17" t="str">
        <f>IFERROR(__xludf.DUMMYFUNCTION("if(len(A463)&gt;0, REGEXEXTRACT(A463, ""\n([^\n]*)$""), """")"),"System")</f>
        <v>System</v>
      </c>
      <c r="F463" s="17" t="str">
        <f>IFERROR(__xludf.DUMMYFUNCTION("if(len(A463)&gt;0, REGEXEXTRACT(A463, ""\(([^\)]*)\)""), """")"),"Asura’s Wrath")</f>
        <v>Asura’s Wrath</v>
      </c>
      <c r="G463" s="17" t="str">
        <f>IFERROR(__xludf.DUMMYFUNCTION("if(len(A463)&gt;0, REGEXEXTRACT(A463, ""\)([^:]*):""), """")")," Free")</f>
        <v> Free</v>
      </c>
      <c r="H463" s="31" t="str">
        <f>IFERROR(__xludf.DUMMYFUNCTION("if(len(A463) &gt; 0, JOIN(char(10), FILTER(SPLIT(A463, char(10)), split(""false false "" &amp; rept(""true "", columns(SPLIT(A463, char(10)))-3) &amp; ""false"", "" ""))), """")"),"A being with a soul (you do have a soul, right?) can generate Mantra by prayer or feeling emotion. This mantra can be utilized by devices powered by Mantra Technology, or the Demigods of Shinkoku Trastrium.")</f>
        <v>A being with a soul (you do have a soul, right?) can generate Mantra by prayer or feeling emotion. This mantra can be utilized by devices powered by Mantra Technology, or the Demigods of Shinkoku Trastrium.</v>
      </c>
    </row>
    <row r="464">
      <c r="A464" s="31" t="str">
        <f>IFERROR(__xludf.DUMMYFUNCTION("""COMPUTED_VALUE"""),"Chapter 78: 59 Summit Openings Addendum Uppercrust
Minor Blessing Hades - Ferrokinesis (Percy Jackson) 100:
For one reason or another you've got a god who cares slightly about you and has seen fit to grant you some minor boon within their domains.
Skill")</f>
        <v>Chapter 78: 59 Summit Openings Addendum Uppercrust
Minor Blessing Hades - Ferrokinesis (Percy Jackson) 100:
For one reason or another you've got a god who cares slightly about you and has seen fit to grant you some minor boon within their domains.
Skill</v>
      </c>
      <c r="B464" s="17">
        <f>IFERROR(__xludf.DUMMYFUNCTION("if(len(A464)&gt;0, value(REGEXEXTRACT(A464, ""Chapter ([0-9]*):"")), """")"),78.0)</f>
        <v>78</v>
      </c>
      <c r="C464" s="31" t="str">
        <f>IFERROR(__xludf.DUMMYFUNCTION("if(len(A464) &gt;0, REGEXEXTRACT(A464, ""Chapter [0-9]*: (.*)""), """")"),"59 Summit Openings Addendum Uppercrust")</f>
        <v>59 Summit Openings Addendum Uppercrust</v>
      </c>
      <c r="D464" s="31" t="str">
        <f>IFERROR(__xludf.DUMMYFUNCTION("if(len(A464)&gt;0, REGEXEXTRACT(A464, ""\n[^\(]*""), """")"),"
Minor Blessing Hades - Ferrokinesis ")</f>
        <v>
Minor Blessing Hades - Ferrokinesis </v>
      </c>
      <c r="E464" s="17" t="str">
        <f>IFERROR(__xludf.DUMMYFUNCTION("if(len(A464)&gt;0, REGEXEXTRACT(A464, ""\n([^\n]*)$""), """")"),"Skill")</f>
        <v>Skill</v>
      </c>
      <c r="F464" s="17" t="str">
        <f>IFERROR(__xludf.DUMMYFUNCTION("if(len(A464)&gt;0, REGEXEXTRACT(A464, ""\(([^\)]*)\)""), """")"),"Percy Jackson")</f>
        <v>Percy Jackson</v>
      </c>
      <c r="G464" s="17" t="str">
        <f>IFERROR(__xludf.DUMMYFUNCTION("if(len(A464)&gt;0, REGEXEXTRACT(A464, ""\)([^:]*):""), """")")," 100")</f>
        <v> 100</v>
      </c>
      <c r="H464" s="31" t="str">
        <f>IFERROR(__xludf.DUMMYFUNCTION("if(len(A464) &gt; 0, JOIN(char(10), FILTER(SPLIT(A464, char(10)), split(""false false "" &amp; rept(""true "", columns(SPLIT(A464, char(10)))-3) &amp; ""false"", "" ""))), """")"),"For one reason or another you've got a god who cares slightly about you and has seen fit to grant you some minor boon within their domains.")</f>
        <v>For one reason or another you've got a god who cares slightly about you and has seen fit to grant you some minor boon within their domains.</v>
      </c>
    </row>
    <row r="465">
      <c r="A465" s="31" t="str">
        <f>IFERROR(__xludf.DUMMYFUNCTION("""COMPUTED_VALUE"""),"Chapter 78: 59 Summit Openings Addendum Uppercrust
Unnatural Skill: Music (Percy Jackson) 200:
Whether from your heritage or just being that good you've got one particular mundane skill that your feats with border on supernatural.
System")</f>
        <v>Chapter 78: 59 Summit Openings Addendum Uppercrust
Unnatural Skill: Music (Percy Jackson) 200:
Whether from your heritage or just being that good you've got one particular mundane skill that your feats with border on supernatural.
System</v>
      </c>
      <c r="B465" s="17">
        <f>IFERROR(__xludf.DUMMYFUNCTION("if(len(A465)&gt;0, value(REGEXEXTRACT(A465, ""Chapter ([0-9]*):"")), """")"),78.0)</f>
        <v>78</v>
      </c>
      <c r="C465" s="31" t="str">
        <f>IFERROR(__xludf.DUMMYFUNCTION("if(len(A465) &gt;0, REGEXEXTRACT(A465, ""Chapter [0-9]*: (.*)""), """")"),"59 Summit Openings Addendum Uppercrust")</f>
        <v>59 Summit Openings Addendum Uppercrust</v>
      </c>
      <c r="D465" s="31" t="str">
        <f>IFERROR(__xludf.DUMMYFUNCTION("if(len(A465)&gt;0, REGEXEXTRACT(A465, ""\n[^\(]*""), """")"),"
Unnatural Skill: Music ")</f>
        <v>
Unnatural Skill: Music </v>
      </c>
      <c r="E465" s="17" t="str">
        <f>IFERROR(__xludf.DUMMYFUNCTION("if(len(A465)&gt;0, REGEXEXTRACT(A465, ""\n([^\n]*)$""), """")"),"System")</f>
        <v>System</v>
      </c>
      <c r="F465" s="17" t="str">
        <f>IFERROR(__xludf.DUMMYFUNCTION("if(len(A465)&gt;0, REGEXEXTRACT(A465, ""\(([^\)]*)\)""), """")"),"Percy Jackson")</f>
        <v>Percy Jackson</v>
      </c>
      <c r="G465" s="17" t="str">
        <f>IFERROR(__xludf.DUMMYFUNCTION("if(len(A465)&gt;0, REGEXEXTRACT(A465, ""\)([^:]*):""), """")")," 200")</f>
        <v> 200</v>
      </c>
      <c r="H465" s="31" t="str">
        <f>IFERROR(__xludf.DUMMYFUNCTION("if(len(A465) &gt; 0, JOIN(char(10), FILTER(SPLIT(A465, char(10)), split(""false false "" &amp; rept(""true "", columns(SPLIT(A465, char(10)))-3) &amp; ""false"", "" ""))), """")"),"Whether from your heritage or just being that good you've got one particular mundane skill that your feats with border on supernatural.")</f>
        <v>Whether from your heritage or just being that good you've got one particular mundane skill that your feats with border on supernatural.</v>
      </c>
    </row>
    <row r="466">
      <c r="A466" s="31" t="str">
        <f>IFERROR(__xludf.DUMMYFUNCTION("""COMPUTED_VALUE"""),"Chapter 79: 60 Summit Discussions
Robotic Armor (Megaman Zero) Free:
You become human again. If you were a robot, that is. Upgrades will be converted into their human equivalents, if not integrated into your armor. Previous powers will be restored to thei"&amp;"r original, organic equivalents. Your robotic armor can be materialized onto your skin or clothing at will. It will remain in your warehouse otherwise. On the bright side you're unaffected by incompatibilities robots have with magic and the like. Assume s"&amp;"aid incompatibilities do not exist unless mentioned to exist. Regain your humanity and embrace yourself as you are.
Item")</f>
        <v>Chapter 79: 60 Summit Discussions
Robotic Armor (Megaman Zero) Free:
You become human again. If you were a robot, that is. Upgrades will be converted into their human equivalents, if not integrated into your armor. Previous powers will be restored to their original, organic equivalents. Your robotic armor can be materialized onto your skin or clothing at will. It will remain in your warehouse otherwise. On the bright side you're unaffected by incompatibilities robots have with magic and the like. Assume said incompatibilities do not exist unless mentioned to exist. Regain your humanity and embrace yourself as you are.
Item</v>
      </c>
      <c r="B466" s="17">
        <f>IFERROR(__xludf.DUMMYFUNCTION("if(len(A466)&gt;0, value(REGEXEXTRACT(A466, ""Chapter ([0-9]*):"")), """")"),79.0)</f>
        <v>79</v>
      </c>
      <c r="C466" s="31" t="str">
        <f>IFERROR(__xludf.DUMMYFUNCTION("if(len(A466) &gt;0, REGEXEXTRACT(A466, ""Chapter [0-9]*: (.*)""), """")"),"60 Summit Discussions")</f>
        <v>60 Summit Discussions</v>
      </c>
      <c r="D466" s="31" t="str">
        <f>IFERROR(__xludf.DUMMYFUNCTION("if(len(A466)&gt;0, REGEXEXTRACT(A466, ""\n[^\(]*""), """")"),"
Robotic Armor ")</f>
        <v>
Robotic Armor </v>
      </c>
      <c r="E466" s="17" t="str">
        <f>IFERROR(__xludf.DUMMYFUNCTION("if(len(A466)&gt;0, REGEXEXTRACT(A466, ""\n([^\n]*)$""), """")"),"Item")</f>
        <v>Item</v>
      </c>
      <c r="F466" s="17" t="str">
        <f>IFERROR(__xludf.DUMMYFUNCTION("if(len(A466)&gt;0, REGEXEXTRACT(A466, ""\(([^\)]*)\)""), """")"),"Megaman Zero")</f>
        <v>Megaman Zero</v>
      </c>
      <c r="G466" s="17" t="str">
        <f>IFERROR(__xludf.DUMMYFUNCTION("if(len(A466)&gt;0, REGEXEXTRACT(A466, ""\)([^:]*):""), """")")," Free")</f>
        <v> Free</v>
      </c>
      <c r="H466" s="31" t="str">
        <f>IFERROR(__xludf.DUMMYFUNCTION("if(len(A466) &gt; 0, JOIN(char(10), FILTER(SPLIT(A466, char(10)), split(""false false "" &amp; rept(""true "", columns(SPLIT(A466, char(10)))-3) &amp; ""false"", "" ""))), """")"),"You become human again. If you were a robot, that is. Upgrades will be converted into their human equivalents, if not integrated into your armor. Previous powers will be restored to their original, organic equivalents. Your robotic armor can be materializ"&amp;"ed onto your skin or clothing at will. It will remain in your warehouse otherwise. On the bright side you're unaffected by incompatibilities robots have with magic and the like. Assume said incompatibilities do not exist unless mentioned to exist. Regain "&amp;"your humanity and embrace yourself as you are.")</f>
        <v>You become human again. If you were a robot, that is. Upgrades will be converted into their human equivalents, if not integrated into your armor. Previous powers will be restored to their original, organic equivalents. Your robotic armor can be materialized onto your skin or clothing at will. It will remain in your warehouse otherwise. On the bright side you're unaffected by incompatibilities robots have with magic and the like. Assume said incompatibilities do not exist unless mentioned to exist. Regain your humanity and embrace yourself as you are.</v>
      </c>
    </row>
    <row r="467">
      <c r="A467" s="31" t="str">
        <f>IFERROR(__xludf.DUMMYFUNCTION("""COMPUTED_VALUE"""),"Chapter 79: 60 Summit Discussions
Scavenger (Megaman Zero) 400:
You have a knack for integrating junk into your systems or gear and for using them to make field repairs. After all, self-repair systems only go so far. You're good at finding compatible part"&amp;"s and jerry-rigging them for the above purposes. That buster could replace the rifle in your arm, while that torso could be scavenged from to repair your own. Though these parts might not work fully if faulty, and you can't integrate parts too different f"&amp;"rom or incompatible with whatever you're integrating it into, this allows for free upgrades and repairs, as well as self-sufficiency. Perfect for long solo assignments or just survival. Waste not, want not.
Analysis")</f>
        <v>Chapter 79: 60 Summit Discussions
Scavenger (Megaman Zero) 400:
You have a knack for integrating junk into your systems or gear and for using them to make field repairs. After all, self-repair systems only go so far. You're good at finding compatible parts and jerry-rigging them for the above purposes. That buster could replace the rifle in your arm, while that torso could be scavenged from to repair your own. Though these parts might not work fully if faulty, and you can't integrate parts too different from or incompatible with whatever you're integrating it into, this allows for free upgrades and repairs, as well as self-sufficiency. Perfect for long solo assignments or just survival. Waste not, want not.
Analysis</v>
      </c>
      <c r="B467" s="17">
        <f>IFERROR(__xludf.DUMMYFUNCTION("if(len(A467)&gt;0, value(REGEXEXTRACT(A467, ""Chapter ([0-9]*):"")), """")"),79.0)</f>
        <v>79</v>
      </c>
      <c r="C467" s="31" t="str">
        <f>IFERROR(__xludf.DUMMYFUNCTION("if(len(A467) &gt;0, REGEXEXTRACT(A467, ""Chapter [0-9]*: (.*)""), """")"),"60 Summit Discussions")</f>
        <v>60 Summit Discussions</v>
      </c>
      <c r="D467" s="31" t="str">
        <f>IFERROR(__xludf.DUMMYFUNCTION("if(len(A467)&gt;0, REGEXEXTRACT(A467, ""\n[^\(]*""), """")"),"
Scavenger ")</f>
        <v>
Scavenger </v>
      </c>
      <c r="E467" s="17" t="str">
        <f>IFERROR(__xludf.DUMMYFUNCTION("if(len(A467)&gt;0, REGEXEXTRACT(A467, ""\n([^\n]*)$""), """")"),"Analysis")</f>
        <v>Analysis</v>
      </c>
      <c r="F467" s="17" t="str">
        <f>IFERROR(__xludf.DUMMYFUNCTION("if(len(A467)&gt;0, REGEXEXTRACT(A467, ""\(([^\)]*)\)""), """")"),"Megaman Zero")</f>
        <v>Megaman Zero</v>
      </c>
      <c r="G467" s="17" t="str">
        <f>IFERROR(__xludf.DUMMYFUNCTION("if(len(A467)&gt;0, REGEXEXTRACT(A467, ""\)([^:]*):""), """")")," 400")</f>
        <v> 400</v>
      </c>
      <c r="H467" s="31" t="str">
        <f>IFERROR(__xludf.DUMMYFUNCTION("if(len(A467) &gt; 0, JOIN(char(10), FILTER(SPLIT(A467, char(10)), split(""false false "" &amp; rept(""true "", columns(SPLIT(A467, char(10)))-3) &amp; ""false"", "" ""))), """")"),"You have a knack for integrating junk into your systems or gear and for using them to make field repairs. After all, self-repair systems only go so far. You're good at finding compatible parts and jerry-rigging them for the above purposes. That buster cou"&amp;"ld replace the rifle in your arm, while that torso could be scavenged from to repair your own. Though these parts might not work fully if faulty, and you can't integrate parts too different from or incompatible with whatever you're integrating it into, th"&amp;"is allows for free upgrades and repairs, as well as self-sufficiency. Perfect for long solo assignments or just survival. Waste not, want not.")</f>
        <v>You have a knack for integrating junk into your systems or gear and for using them to make field repairs. After all, self-repair systems only go so far. You're good at finding compatible parts and jerry-rigging them for the above purposes. That buster could replace the rifle in your arm, while that torso could be scavenged from to repair your own. Though these parts might not work fully if faulty, and you can't integrate parts too different from or incompatible with whatever you're integrating it into, this allows for free upgrades and repairs, as well as self-sufficiency. Perfect for long solo assignments or just survival. Waste not, want not.</v>
      </c>
    </row>
    <row r="468">
      <c r="A468" s="31" t="str">
        <f>IFERROR(__xludf.DUMMYFUNCTION("""COMPUTED_VALUE"""),"Chapter 79: 60 Summit Discussions
Warning (Megaman Zero) Free:
This program gives your systems or sufficiently technologically advanced gear with displays the ability to display a warning before a fight with an exceptionally tough enemy by your standards."&amp;" Said warning appears as a capitalized 'warning' in orange font accompanied with a three boop alarm sound. Though it may not be particularly helpful, it's certainly a neat thing to have. Can be turned on or off.
Ability")</f>
        <v>Chapter 79: 60 Summit Discussions
Warning (Megaman Zero) Free:
This program gives your systems or sufficiently technologically advanced gear with displays the ability to display a warning before a fight with an exceptionally tough enemy by your standards. Said warning appears as a capitalized 'warning' in orange font accompanied with a three boop alarm sound. Though it may not be particularly helpful, it's certainly a neat thing to have. Can be turned on or off.
Ability</v>
      </c>
      <c r="B468" s="17">
        <f>IFERROR(__xludf.DUMMYFUNCTION("if(len(A468)&gt;0, value(REGEXEXTRACT(A468, ""Chapter ([0-9]*):"")), """")"),79.0)</f>
        <v>79</v>
      </c>
      <c r="C468" s="31" t="str">
        <f>IFERROR(__xludf.DUMMYFUNCTION("if(len(A468) &gt;0, REGEXEXTRACT(A468, ""Chapter [0-9]*: (.*)""), """")"),"60 Summit Discussions")</f>
        <v>60 Summit Discussions</v>
      </c>
      <c r="D468" s="31" t="str">
        <f>IFERROR(__xludf.DUMMYFUNCTION("if(len(A468)&gt;0, REGEXEXTRACT(A468, ""\n[^\(]*""), """")"),"
Warning ")</f>
        <v>
Warning </v>
      </c>
      <c r="E468" s="17" t="str">
        <f>IFERROR(__xludf.DUMMYFUNCTION("if(len(A468)&gt;0, REGEXEXTRACT(A468, ""\n([^\n]*)$""), """")"),"Ability")</f>
        <v>Ability</v>
      </c>
      <c r="F468" s="17" t="str">
        <f>IFERROR(__xludf.DUMMYFUNCTION("if(len(A468)&gt;0, REGEXEXTRACT(A468, ""\(([^\)]*)\)""), """")"),"Megaman Zero")</f>
        <v>Megaman Zero</v>
      </c>
      <c r="G468" s="17" t="str">
        <f>IFERROR(__xludf.DUMMYFUNCTION("if(len(A468)&gt;0, REGEXEXTRACT(A468, ""\)([^:]*):""), """")")," Free")</f>
        <v> Free</v>
      </c>
      <c r="H468" s="31" t="str">
        <f>IFERROR(__xludf.DUMMYFUNCTION("if(len(A468) &gt; 0, JOIN(char(10), FILTER(SPLIT(A468, char(10)), split(""false false "" &amp; rept(""true "", columns(SPLIT(A468, char(10)))-3) &amp; ""false"", "" ""))), """")"),"This program gives your systems or sufficiently technologically advanced gear with displays the ability to display a warning before a fight with an exceptionally tough enemy by your standards. Said warning appears as a capitalized 'warning' in orange font"&amp;" accompanied with a three boop alarm sound. Though it may not be particularly helpful, it's certainly a neat thing to have. Can be turned on or off.")</f>
        <v>This program gives your systems or sufficiently technologically advanced gear with displays the ability to display a warning before a fight with an exceptionally tough enemy by your standards. Said warning appears as a capitalized 'warning' in orange font accompanied with a three boop alarm sound. Though it may not be particularly helpful, it's certainly a neat thing to have. Can be turned on or off.</v>
      </c>
    </row>
    <row r="469">
      <c r="A469" s="31" t="str">
        <f>IFERROR(__xludf.DUMMYFUNCTION("""COMPUTED_VALUE"""),"Chapter 80: 61 Summit Confrontations
Fashion Nonvictim (The World Ends With You) 200:
For you, there is no such thing as suffering for the sake of fashion. As long as you wear fashionable clothing, you will always be perfectly comfortable no matter the we"&amp;"ather. You can make ill-fitting clothing look good on you with a couple subtle pins in the right places, and it'll always be comfortable no matter how big or small it is. Even in the thick of battle, you will be no worse off for your lack of armor- So lon"&amp;"g as you wear a single peice of armor, like a shoulderpad or gauntlet, your clothes will protect you as if they were a suit of armor made of the same material.
Fiat")</f>
        <v>Chapter 80: 61 Summit Confrontations
Fashion Nonvictim (The World Ends With You) 200:
For you, there is no such thing as suffering for the sake of fashion. As long as you wear fashionable clothing, you will always be perfectly comfortable no matter the weather. You can make ill-fitting clothing look good on you with a couple subtle pins in the right places, and it'll always be comfortable no matter how big or small it is. Even in the thick of battle, you will be no worse off for your lack of armor- So long as you wear a single peice of armor, like a shoulderpad or gauntlet, your clothes will protect you as if they were a suit of armor made of the same material.
Fiat</v>
      </c>
      <c r="B469" s="17">
        <f>IFERROR(__xludf.DUMMYFUNCTION("if(len(A469)&gt;0, value(REGEXEXTRACT(A469, ""Chapter ([0-9]*):"")), """")"),80.0)</f>
        <v>80</v>
      </c>
      <c r="C469" s="31" t="str">
        <f>IFERROR(__xludf.DUMMYFUNCTION("if(len(A469) &gt;0, REGEXEXTRACT(A469, ""Chapter [0-9]*: (.*)""), """")"),"61 Summit Confrontations")</f>
        <v>61 Summit Confrontations</v>
      </c>
      <c r="D469" s="31" t="str">
        <f>IFERROR(__xludf.DUMMYFUNCTION("if(len(A469)&gt;0, REGEXEXTRACT(A469, ""\n[^\(]*""), """")"),"
Fashion Nonvictim ")</f>
        <v>
Fashion Nonvictim </v>
      </c>
      <c r="E469" s="17" t="str">
        <f>IFERROR(__xludf.DUMMYFUNCTION("if(len(A469)&gt;0, REGEXEXTRACT(A469, ""\n([^\n]*)$""), """")"),"Fiat")</f>
        <v>Fiat</v>
      </c>
      <c r="F469" s="17" t="str">
        <f>IFERROR(__xludf.DUMMYFUNCTION("if(len(A469)&gt;0, REGEXEXTRACT(A469, ""\(([^\)]*)\)""), """")"),"The World Ends With You")</f>
        <v>The World Ends With You</v>
      </c>
      <c r="G469" s="17" t="str">
        <f>IFERROR(__xludf.DUMMYFUNCTION("if(len(A469)&gt;0, REGEXEXTRACT(A469, ""\)([^:]*):""), """")")," 200")</f>
        <v> 200</v>
      </c>
      <c r="H469" s="31" t="str">
        <f>IFERROR(__xludf.DUMMYFUNCTION("if(len(A469) &gt; 0, JOIN(char(10), FILTER(SPLIT(A469, char(10)), split(""false false "" &amp; rept(""true "", columns(SPLIT(A469, char(10)))-3) &amp; ""false"", "" ""))), """")"),"For you, there is no such thing as suffering for the sake of fashion. As long as you wear fashionable clothing, you will always be perfectly comfortable no matter the weather. You can make ill-fitting clothing look good on you with a couple subtle pins in"&amp;" the right places, and it'll always be comfortable no matter how big or small it is. Even in the thick of battle, you will be no worse off for your lack of armor- So long as you wear a single peice of armor, like a shoulderpad or gauntlet, your clothes wi"&amp;"ll protect you as if they were a suit of armor made of the same material.")</f>
        <v>For you, there is no such thing as suffering for the sake of fashion. As long as you wear fashionable clothing, you will always be perfectly comfortable no matter the weather. You can make ill-fitting clothing look good on you with a couple subtle pins in the right places, and it'll always be comfortable no matter how big or small it is. Even in the thick of battle, you will be no worse off for your lack of armor- So long as you wear a single peice of armor, like a shoulderpad or gauntlet, your clothes will protect you as if they were a suit of armor made of the same material.</v>
      </c>
    </row>
    <row r="470">
      <c r="A470" s="31" t="str">
        <f>IFERROR(__xludf.DUMMYFUNCTION("""COMPUTED_VALUE"""),"Chapter 80: 61 Summit Confrontations
Flaw - Doormat (The World Ends With You) Free?:
The Reaper's Game, above all else, is about personal growth. Only those who grow as a person and improve themselves are capable of freeing themselves from the game foreve"&amp;"r. Of course, in order to improve yourself, you have to have something to improve on. Here's a little help.
Doormat - Put simply, you're unassertive. You speak quietly, and it's easy to push you around - You generally go with whatever someone tells you to"&amp;" do, even if it's not really in your best interests, and you rarely come up with ideas on your own. Your partner will probably get tired real fast of having to tell you to do everything.
Revival OR Reaperdom
Revival:
Depending on what personality flaw you"&amp;" took, if you elect to press through and defeat it instead of becoming a Reaper you will earn an exclusive perk based upon your personality flaw.
Reaperdom:
Or, instead, you can take the easy way out and make a bargain for power. Reaperdom comes with a nu"&amp;"mber of benefits: First, you can now attune yourself to the UG or the RG as you see fit. When you're attuned to the UG, black skeletal wings manifest from your back. Attuning yourself to the UG makes you invisible and intangible. Attuning yourself to the "&amp;"UG also amplifies the power of your Psychs. Secondly, you can now fight Noise (or Players) on your own using a shadowy projection. You will be able to operate both bodies independently without confusion. However, it comes with a big caveat: Your continued"&amp;" existence depends upon the erasure of Players. If you don't erase any Players, then you will fade from existence after a week - So you must kill at least one Player in order to keep yourself alive. Considering that Reaper's Games might take place weeks o"&amp;"r even months apart, it's generally a good idea to erase mulitple players to ""bank up"" your timer. If you leave this world to go to another, then you will not need to kill people to sustain yourself, but you will need to kill people to access your Reape"&amp;"r powers. One kill will give you access to your powers for a week. These kills can be acheived directly or indirectly - So long as people died because of your actions, then it counts.
You also get access to exclusive Reaper perk Pin Creation
You have unlo"&amp;"cked the secret of creating pins. You can make custom pins with your own art on them, with the psych of your choice attached to them. You can still only use psychs you have purchased, but the pins you make will invariably be more powerful than anything yo"&amp;"u can buy.
Personal")</f>
        <v>Chapter 80: 61 Summit Confrontations
Flaw - Doormat (The World Ends With You) Free?:
The Reaper's Game, above all else, is about personal growth. Only those who grow as a person and improve themselves are capable of freeing themselves from the game forever. Of course, in order to improve yourself, you have to have something to improve on. Here's a little help.
Doormat - Put simply, you're unassertive. You speak quietly, and it's easy to push you around - You generally go with whatever someone tells you to do, even if it's not really in your best interests, and you rarely come up with ideas on your own. Your partner will probably get tired real fast of having to tell you to do everything.
Revival OR Reaperdom
Revival:
Depending on what personality flaw you took, if you elect to press through and defeat it instead of becoming a Reaper you will earn an exclusive perk based upon your personality flaw.
Reaperdom:
Or, instead, you can take the easy way out and make a bargain for power. Reaperdom comes with a number of benefits: First, you can now attune yourself to the UG or the RG as you see fit. When you're attuned to the UG, black skeletal wings manifest from your back. Attuning yourself to the UG makes you invisible and intangible. Attuning yourself to the UG also amplifies the power of your Psychs. Secondly, you can now fight Noise (or Players) on your own using a shadowy projection. You will be able to operate both bodies independently without confusion. However, it comes with a big caveat: Your continued existence depends upon the erasure of Players. If you don't erase any Players, then you will fade from existence after a week - So you must kill at least one Player in order to keep yourself alive. Considering that Reaper's Games might take place weeks or even months apart, it's generally a good idea to erase mulitple players to "bank up" your timer. If you leave this world to go to another, then you will not need to kill people to sustain yourself, but you will need to kill people to access your Reaper powers. One kill will give you access to your powers for a week. These kills can be acheived directly or indirectly - So long as people died because of your actions, then it counts.
You also get access to exclusive Reaper perk Pin Creation
You have unlocked the secret of creating pins. You can make custom pins with your own art on them, with the psych of your choice attached to them. You can still only use psychs you have purchased, but the pins you make will invariably be more powerful than anything you can buy.
Personal</v>
      </c>
      <c r="B470" s="17">
        <f>IFERROR(__xludf.DUMMYFUNCTION("if(len(A470)&gt;0, value(REGEXEXTRACT(A470, ""Chapter ([0-9]*):"")), """")"),80.0)</f>
        <v>80</v>
      </c>
      <c r="C470" s="31" t="str">
        <f>IFERROR(__xludf.DUMMYFUNCTION("if(len(A470) &gt;0, REGEXEXTRACT(A470, ""Chapter [0-9]*: (.*)""), """")"),"61 Summit Confrontations")</f>
        <v>61 Summit Confrontations</v>
      </c>
      <c r="D470" s="31" t="str">
        <f>IFERROR(__xludf.DUMMYFUNCTION("if(len(A470)&gt;0, REGEXEXTRACT(A470, ""\n[^\(]*""), """")"),"
Flaw - Doormat ")</f>
        <v>
Flaw - Doormat </v>
      </c>
      <c r="E470" s="17" t="str">
        <f>IFERROR(__xludf.DUMMYFUNCTION("if(len(A470)&gt;0, REGEXEXTRACT(A470, ""\n([^\n]*)$""), """")"),"Personal")</f>
        <v>Personal</v>
      </c>
      <c r="F470" s="17" t="str">
        <f>IFERROR(__xludf.DUMMYFUNCTION("if(len(A470)&gt;0, REGEXEXTRACT(A470, ""\(([^\)]*)\)""), """")"),"The World Ends With You")</f>
        <v>The World Ends With You</v>
      </c>
      <c r="G470" s="17" t="str">
        <f>IFERROR(__xludf.DUMMYFUNCTION("if(len(A470)&gt;0, REGEXEXTRACT(A470, ""\)([^:]*):""), """")")," Free?")</f>
        <v> Free?</v>
      </c>
      <c r="H470" s="31" t="str">
        <f>IFERROR(__xludf.DUMMYFUNCTION("if(len(A470) &gt; 0, JOIN(char(10), FILTER(SPLIT(A470, char(10)), split(""false false "" &amp; rept(""true "", columns(SPLIT(A470, char(10)))-3) &amp; ""false"", "" ""))), """")"),"The Reaper's Game, above all else, is about personal growth. Only those who grow as a person and improve themselves are capable of freeing themselves from the game forever. Of course, in order to improve yourself, you have to have something to improve on."&amp;" Here's a little help.
Doormat - Put simply, you're unassertive. You speak quietly, and it's easy to push you around - You generally go with whatever someone tells you to do, even if it's not really in your best interests, and you rarely come up with idea"&amp;"s on your own. Your partner will probably get tired real fast of having to tell you to do everything.
Revival OR Reaperdom
Revival:
Depending on what personality flaw you took, if you elect to press through and defeat it instead of becoming a Reaper you w"&amp;"ill earn an exclusive perk based upon your personality flaw.
Reaperdom:
Or, instead, you can take the easy way out and make a bargain for power. Reaperdom comes with a number of benefits: First, you can now attune yourself to the UG or the RG as you see f"&amp;"it. When you're attuned to the UG, black skeletal wings manifest from your back. Attuning yourself to the UG makes you invisible and intangible. Attuning yourself to the UG also amplifies the power of your Psychs. Secondly, you can now fight Noise (or Pla"&amp;"yers) on your own using a shadowy projection. You will be able to operate both bodies independently without confusion. However, it comes with a big caveat: Your continued existence depends upon the erasure of Players. If you don't erase any Players, then "&amp;"you will fade from existence after a week - So you must kill at least one Player in order to keep yourself alive. Considering that Reaper's Games might take place weeks or even months apart, it's generally a good idea to erase mulitple players to ""bank u"&amp;"p"" your timer. If you leave this world to go to another, then you will not need to kill people to sustain yourself, but you will need to kill people to access your Reaper powers. One kill will give you access to your powers for a week. These kills can be"&amp;" acheived directly or indirectly - So long as people died because of your actions, then it counts.
You also get access to exclusive Reaper perk Pin Creation
You have unlocked the secret of creating pins. You can make custom pins with your own art on them,"&amp;" with the psych of your choice attached to them. You can still only use psychs you have purchased, but the pins you make will invariably be more powerful than anything you can buy.")</f>
        <v>The Reaper's Game, above all else, is about personal growth. Only those who grow as a person and improve themselves are capable of freeing themselves from the game forever. Of course, in order to improve yourself, you have to have something to improve on. Here's a little help.
Doormat - Put simply, you're unassertive. You speak quietly, and it's easy to push you around - You generally go with whatever someone tells you to do, even if it's not really in your best interests, and you rarely come up with ideas on your own. Your partner will probably get tired real fast of having to tell you to do everything.
Revival OR Reaperdom
Revival:
Depending on what personality flaw you took, if you elect to press through and defeat it instead of becoming a Reaper you will earn an exclusive perk based upon your personality flaw.
Reaperdom:
Or, instead, you can take the easy way out and make a bargain for power. Reaperdom comes with a number of benefits: First, you can now attune yourself to the UG or the RG as you see fit. When you're attuned to the UG, black skeletal wings manifest from your back. Attuning yourself to the UG makes you invisible and intangible. Attuning yourself to the UG also amplifies the power of your Psychs. Secondly, you can now fight Noise (or Players) on your own using a shadowy projection. You will be able to operate both bodies independently without confusion. However, it comes with a big caveat: Your continued existence depends upon the erasure of Players. If you don't erase any Players, then you will fade from existence after a week - So you must kill at least one Player in order to keep yourself alive. Considering that Reaper's Games might take place weeks or even months apart, it's generally a good idea to erase mulitple players to "bank up" your timer. If you leave this world to go to another, then you will not need to kill people to sustain yourself, but you will need to kill people to access your Reaper powers. One kill will give you access to your powers for a week. These kills can be acheived directly or indirectly - So long as people died because of your actions, then it counts.
You also get access to exclusive Reaper perk Pin Creation
You have unlocked the secret of creating pins. You can make custom pins with your own art on them, with the psych of your choice attached to them. You can still only use psychs you have purchased, but the pins you make will invariably be more powerful than anything you can buy.</v>
      </c>
    </row>
    <row r="471">
      <c r="A471" s="31" t="str">
        <f>IFERROR(__xludf.DUMMYFUNCTION("""COMPUTED_VALUE"""),"Chapter 80: 61 Summit Confrontations
Atlantean Power Crystals (Shivers) 400:
Originally discovered by noted psychic Edward Layce, these shining golden gems draw power from the limitless energy from the Sun. When properly harnessed, these crystals can pr"&amp;"ovide enough energy to power an entire city, and if more could be produced, perhaps even a civilization. But be wary, for Atlantis itself once relied on these crystals, and their misuse directly led to that ancient city sinking beneath the waves.
Item")</f>
        <v>Chapter 80: 61 Summit Confrontations
Atlantean Power Crystals (Shivers) 400:
Originally discovered by noted psychic Edward Layce, these shining golden gems draw power from the limitless energy from the Sun. When properly harnessed, these crystals can provide enough energy to power an entire city, and if more could be produced, perhaps even a civilization. But be wary, for Atlantis itself once relied on these crystals, and their misuse directly led to that ancient city sinking beneath the waves.
Item</v>
      </c>
      <c r="B471" s="17">
        <f>IFERROR(__xludf.DUMMYFUNCTION("if(len(A471)&gt;0, value(REGEXEXTRACT(A471, ""Chapter ([0-9]*):"")), """")"),80.0)</f>
        <v>80</v>
      </c>
      <c r="C471" s="31" t="str">
        <f>IFERROR(__xludf.DUMMYFUNCTION("if(len(A471) &gt;0, REGEXEXTRACT(A471, ""Chapter [0-9]*: (.*)""), """")"),"61 Summit Confrontations
")</f>
        <v>61 Summit Confrontations
</v>
      </c>
      <c r="D471" s="31" t="str">
        <f>IFERROR(__xludf.DUMMYFUNCTION("if(len(A471)&gt;0, REGEXEXTRACT(A471, ""\n[^\(]*""), """")"),"
Atlantean Power Crystals ")</f>
        <v>
Atlantean Power Crystals </v>
      </c>
      <c r="E471" s="17" t="str">
        <f>IFERROR(__xludf.DUMMYFUNCTION("if(len(A471)&gt;0, REGEXEXTRACT(A471, ""\n([^\n]*)$""), """")"),"Item")</f>
        <v>Item</v>
      </c>
      <c r="F471" s="17" t="str">
        <f>IFERROR(__xludf.DUMMYFUNCTION("if(len(A471)&gt;0, REGEXEXTRACT(A471, ""\(([^\)]*)\)""), """")"),"Shivers")</f>
        <v>Shivers</v>
      </c>
      <c r="G471" s="17" t="str">
        <f>IFERROR(__xludf.DUMMYFUNCTION("if(len(A471)&gt;0, REGEXEXTRACT(A471, ""\)([^:]*):""), """")")," 400")</f>
        <v> 400</v>
      </c>
      <c r="H471" s="31" t="str">
        <f>IFERROR(__xludf.DUMMYFUNCTION("if(len(A471) &gt; 0, JOIN(char(10), FILTER(SPLIT(A471, char(10)), split(""false false "" &amp; rept(""true "", columns(SPLIT(A471, char(10)))-3) &amp; ""false"", "" ""))), """")"),"Originally discovered by noted psychic Edward Layce, these shining golden gems draw power from the limitless energy from the Sun. When properly harnessed, these crystals can provide enough energy to power an entire city, and if more could be produced, per"&amp;"haps even a civilization. But be wary, for Atlantis itself once relied on these crystals, and their misuse directly led to that ancient city sinking beneath the waves.")</f>
        <v>Originally discovered by noted psychic Edward Layce, these shining golden gems draw power from the limitless energy from the Sun. When properly harnessed, these crystals can provide enough energy to power an entire city, and if more could be produced, perhaps even a civilization. But be wary, for Atlantis itself once relied on these crystals, and their misuse directly led to that ancient city sinking beneath the waves.</v>
      </c>
    </row>
    <row r="472">
      <c r="A472" s="31" t="str">
        <f>IFERROR(__xludf.DUMMYFUNCTION("""COMPUTED_VALUE"""),"Chapter 81: 62 Summit Consensus
Shelving (Personal Reality) Free:
Basic metal shelves to keep your goods on, the kind you find in industrial big box stores, sized for pallets and numbered for sorting. You’ll get up to as many as will suit your initial spa"&amp;"ce allotment, but if you don’t take all of them, you’ll need to buy more on your own… they sell them at most business supply warehouses, ironically enough.
Item")</f>
        <v>Chapter 81: 62 Summit Consensus
Shelving (Personal Reality) Free:
Basic metal shelves to keep your goods on, the kind you find in industrial big box stores, sized for pallets and numbered for sorting. You’ll get up to as many as will suit your initial space allotment, but if you don’t take all of them, you’ll need to buy more on your own… they sell them at most business supply warehouses, ironically enough.
Item</v>
      </c>
      <c r="B472" s="17">
        <f>IFERROR(__xludf.DUMMYFUNCTION("if(len(A472)&gt;0, value(REGEXEXTRACT(A472, ""Chapter ([0-9]*):"")), """")"),81.0)</f>
        <v>81</v>
      </c>
      <c r="C472" s="31" t="str">
        <f>IFERROR(__xludf.DUMMYFUNCTION("if(len(A472) &gt;0, REGEXEXTRACT(A472, ""Chapter [0-9]*: (.*)""), """")"),"62 Summit Consensus")</f>
        <v>62 Summit Consensus</v>
      </c>
      <c r="D472" s="31" t="str">
        <f>IFERROR(__xludf.DUMMYFUNCTION("if(len(A472)&gt;0, REGEXEXTRACT(A472, ""\n[^\(]*""), """")"),"
Shelving ")</f>
        <v>
Shelving </v>
      </c>
      <c r="E472" s="17" t="str">
        <f>IFERROR(__xludf.DUMMYFUNCTION("if(len(A472)&gt;0, REGEXEXTRACT(A472, ""\n([^\n]*)$""), """")"),"Item")</f>
        <v>Item</v>
      </c>
      <c r="F472" s="17" t="str">
        <f>IFERROR(__xludf.DUMMYFUNCTION("if(len(A472)&gt;0, REGEXEXTRACT(A472, ""\(([^\)]*)\)""), """")"),"Personal Reality")</f>
        <v>Personal Reality</v>
      </c>
      <c r="G472" s="17" t="str">
        <f>IFERROR(__xludf.DUMMYFUNCTION("if(len(A472)&gt;0, REGEXEXTRACT(A472, ""\)([^:]*):""), """")")," Free")</f>
        <v> Free</v>
      </c>
      <c r="H472" s="31" t="str">
        <f>IFERROR(__xludf.DUMMYFUNCTION("if(len(A472) &gt; 0, JOIN(char(10), FILTER(SPLIT(A472, char(10)), split(""false false "" &amp; rept(""true "", columns(SPLIT(A472, char(10)))-3) &amp; ""false"", "" ""))), """")"),"Basic metal shelves to keep your goods on, the kind you find in industrial big box stores, sized for pallets and numbered for sorting. You’ll get up to as many as will suit your initial space allotment, but if you don’t take all of them, you’ll need to bu"&amp;"y more on your own… they sell them at most business supply warehouses, ironically enough.")</f>
        <v>Basic metal shelves to keep your goods on, the kind you find in industrial big box stores, sized for pallets and numbered for sorting. You’ll get up to as many as will suit your initial space allotment, but if you don’t take all of them, you’ll need to buy more on your own… they sell them at most business supply warehouses, ironically enough.</v>
      </c>
    </row>
    <row r="473">
      <c r="A473" s="31" t="str">
        <f>IFERROR(__xludf.DUMMYFUNCTION("""COMPUTED_VALUE"""),"Chapter 81: 62 Summit Consensus
Starting Space (Personal Reality) Free:
Your Personal Reality starts out with volume of 80 x 80 x 10 meters, so 6,400 square meters of floor space or 64,000 cubic meters of storage volume. In the archaic and silly ‘Imperial"&amp;"' measuring system this translates to 262.5 x 262.5 x 32.8 feet, so 68,889 square feet or 2,260,138 cubic feet.
Facility")</f>
        <v>Chapter 81: 62 Summit Consensus
Starting Space (Personal Reality) Free:
Your Personal Reality starts out with volume of 80 x 80 x 10 meters, so 6,400 square meters of floor space or 64,000 cubic meters of storage volume. In the archaic and silly ‘Imperial' measuring system this translates to 262.5 x 262.5 x 32.8 feet, so 68,889 square feet or 2,260,138 cubic feet.
Facility</v>
      </c>
      <c r="B473" s="17">
        <f>IFERROR(__xludf.DUMMYFUNCTION("if(len(A473)&gt;0, value(REGEXEXTRACT(A473, ""Chapter ([0-9]*):"")), """")"),81.0)</f>
        <v>81</v>
      </c>
      <c r="C473" s="31" t="str">
        <f>IFERROR(__xludf.DUMMYFUNCTION("if(len(A473) &gt;0, REGEXEXTRACT(A473, ""Chapter [0-9]*: (.*)""), """")"),"62 Summit Consensus")</f>
        <v>62 Summit Consensus</v>
      </c>
      <c r="D473" s="31" t="str">
        <f>IFERROR(__xludf.DUMMYFUNCTION("if(len(A473)&gt;0, REGEXEXTRACT(A473, ""\n[^\(]*""), """")"),"
Starting Space ")</f>
        <v>
Starting Space </v>
      </c>
      <c r="E473" s="17" t="str">
        <f>IFERROR(__xludf.DUMMYFUNCTION("if(len(A473)&gt;0, REGEXEXTRACT(A473, ""\n([^\n]*)$""), """")"),"Facility")</f>
        <v>Facility</v>
      </c>
      <c r="F473" s="17" t="str">
        <f>IFERROR(__xludf.DUMMYFUNCTION("if(len(A473)&gt;0, REGEXEXTRACT(A473, ""\(([^\)]*)\)""), """")"),"Personal Reality")</f>
        <v>Personal Reality</v>
      </c>
      <c r="G473" s="17" t="str">
        <f>IFERROR(__xludf.DUMMYFUNCTION("if(len(A473)&gt;0, REGEXEXTRACT(A473, ""\)([^:]*):""), """")")," Free")</f>
        <v> Free</v>
      </c>
      <c r="H473" s="31" t="str">
        <f>IFERROR(__xludf.DUMMYFUNCTION("if(len(A473) &gt; 0, JOIN(char(10), FILTER(SPLIT(A473, char(10)), split(""false false "" &amp; rept(""true "", columns(SPLIT(A473, char(10)))-3) &amp; ""false"", "" ""))), """")"),"Your Personal Reality starts out with volume of 80 x 80 x 10 meters, so 6,400 square meters of floor space or 64,000 cubic meters of storage volume. In the archaic and silly ‘Imperial' measuring system this translates to 262.5 x 262.5 x 32.8 feet, so 68,8"&amp;"89 square feet or 2,260,138 cubic feet.")</f>
        <v>Your Personal Reality starts out with volume of 80 x 80 x 10 meters, so 6,400 square meters of floor space or 64,000 cubic meters of storage volume. In the archaic and silly ‘Imperial' measuring system this translates to 262.5 x 262.5 x 32.8 feet, so 68,889 square feet or 2,260,138 cubic feet.</v>
      </c>
    </row>
    <row r="474">
      <c r="A474" s="31" t="str">
        <f>IFERROR(__xludf.DUMMYFUNCTION("""COMPUTED_VALUE"""),"Chapter 81: 62 Summit Consensus
Storage Solutions (Personal Reality) 200:
Your Personal Reality now has a specialized set of construction automatons which can produce the appropriate storage option for anything you know how to safely contain. These golems"&amp;" could make protective cases for your collectables, display cases for your pet universe, or just endless crates to stuff the preserved heads of everyone who has ever crossed you. All such storage items are fiat-backed never to weaken or wear out and can e"&amp;"asily integrate any form of security you might have. All will be clearly labeled.
Facility")</f>
        <v>Chapter 81: 62 Summit Consensus
Storage Solutions (Personal Reality) 200:
Your Personal Reality now has a specialized set of construction automatons which can produce the appropriate storage option for anything you know how to safely contain. These golems could make protective cases for your collectables, display cases for your pet universe, or just endless crates to stuff the preserved heads of everyone who has ever crossed you. All such storage items are fiat-backed never to weaken or wear out and can easily integrate any form of security you might have. All will be clearly labeled.
Facility</v>
      </c>
      <c r="B474" s="17">
        <f>IFERROR(__xludf.DUMMYFUNCTION("if(len(A474)&gt;0, value(REGEXEXTRACT(A474, ""Chapter ([0-9]*):"")), """")"),81.0)</f>
        <v>81</v>
      </c>
      <c r="C474" s="31" t="str">
        <f>IFERROR(__xludf.DUMMYFUNCTION("if(len(A474) &gt;0, REGEXEXTRACT(A474, ""Chapter [0-9]*: (.*)""), """")"),"62 Summit Consensus")</f>
        <v>62 Summit Consensus</v>
      </c>
      <c r="D474" s="31" t="str">
        <f>IFERROR(__xludf.DUMMYFUNCTION("if(len(A474)&gt;0, REGEXEXTRACT(A474, ""\n[^\(]*""), """")"),"
Storage Solutions ")</f>
        <v>
Storage Solutions </v>
      </c>
      <c r="E474" s="17" t="str">
        <f>IFERROR(__xludf.DUMMYFUNCTION("if(len(A474)&gt;0, REGEXEXTRACT(A474, ""\n([^\n]*)$""), """")"),"Facility")</f>
        <v>Facility</v>
      </c>
      <c r="F474" s="17" t="str">
        <f>IFERROR(__xludf.DUMMYFUNCTION("if(len(A474)&gt;0, REGEXEXTRACT(A474, ""\(([^\)]*)\)""), """")"),"Personal Reality")</f>
        <v>Personal Reality</v>
      </c>
      <c r="G474" s="17" t="str">
        <f>IFERROR(__xludf.DUMMYFUNCTION("if(len(A474)&gt;0, REGEXEXTRACT(A474, ""\)([^:]*):""), """")")," 200")</f>
        <v> 200</v>
      </c>
      <c r="H474" s="31" t="str">
        <f>IFERROR(__xludf.DUMMYFUNCTION("if(len(A474) &gt; 0, JOIN(char(10), FILTER(SPLIT(A474, char(10)), split(""false false "" &amp; rept(""true "", columns(SPLIT(A474, char(10)))-3) &amp; ""false"", "" ""))), """")"),"Your Personal Reality now has a specialized set of construction automatons which can produce the appropriate storage option for anything you know how to safely contain. These golems could make protective cases for your collectables, display cases for your"&amp;" pet universe, or just endless crates to stuff the preserved heads of everyone who has ever crossed you. All such storage items are fiat-backed never to weaken or wear out and can easily integrate any form of security you might have. All will be clearly l"&amp;"abeled.")</f>
        <v>Your Personal Reality now has a specialized set of construction automatons which can produce the appropriate storage option for anything you know how to safely contain. These golems could make protective cases for your collectables, display cases for your pet universe, or just endless crates to stuff the preserved heads of everyone who has ever crossed you. All such storage items are fiat-backed never to weaken or wear out and can easily integrate any form of security you might have. All will be clearly labeled.</v>
      </c>
    </row>
    <row r="475">
      <c r="A475" s="31" t="str">
        <f>IFERROR(__xludf.DUMMYFUNCTION("""COMPUTED_VALUE"""),"Chapter 82: 63 Summit Conclusion
Mantra Affinity (Asura’s Wrath) 100:
You are empowered by a single flavor of sentient emotion. When acting within the themes of your dominant Mantra, you are capable of peakhuman feats. You count as both a prayer source an"&amp;"d an emotional source of Mantra. There are eight Mantra affinities, Wrath, Violence, Vanity, Sloth, Melancholy, Lust, Greed, and Pride. Without a Mantra Affinity, you are denied the strength of emotion, and must subsist on ordinary Mantra. By taking this "&amp;"perk, your safe Mantra Level is set to 2, and you always count as having a minimum of Mantral Level 1 for purposes of determining such feats.
Personal")</f>
        <v>Chapter 82: 63 Summit Conclusion
Mantra Affinity (Asura’s Wrath) 100:
You are empowered by a single flavor of sentient emotion. When acting within the themes of your dominant Mantra, you are capable of peakhuman feats. You count as both a prayer source and an emotional source of Mantra. There are eight Mantra affinities, Wrath, Violence, Vanity, Sloth, Melancholy, Lust, Greed, and Pride. Without a Mantra Affinity, you are denied the strength of emotion, and must subsist on ordinary Mantra. By taking this perk, your safe Mantra Level is set to 2, and you always count as having a minimum of Mantral Level 1 for purposes of determining such feats.
Personal</v>
      </c>
      <c r="B475" s="17">
        <f>IFERROR(__xludf.DUMMYFUNCTION("if(len(A475)&gt;0, value(REGEXEXTRACT(A475, ""Chapter ([0-9]*):"")), """")"),82.0)</f>
        <v>82</v>
      </c>
      <c r="C475" s="31" t="str">
        <f>IFERROR(__xludf.DUMMYFUNCTION("if(len(A475) &gt;0, REGEXEXTRACT(A475, ""Chapter [0-9]*: (.*)""), """")"),"63 Summit Conclusion")</f>
        <v>63 Summit Conclusion</v>
      </c>
      <c r="D475" s="31" t="str">
        <f>IFERROR(__xludf.DUMMYFUNCTION("if(len(A475)&gt;0, REGEXEXTRACT(A475, ""\n[^\(]*""), """")"),"
Mantra Affinity ")</f>
        <v>
Mantra Affinity </v>
      </c>
      <c r="E475" s="17" t="str">
        <f>IFERROR(__xludf.DUMMYFUNCTION("if(len(A475)&gt;0, REGEXEXTRACT(A475, ""\n([^\n]*)$""), """")"),"Personal")</f>
        <v>Personal</v>
      </c>
      <c r="F475" s="17" t="str">
        <f>IFERROR(__xludf.DUMMYFUNCTION("if(len(A475)&gt;0, REGEXEXTRACT(A475, ""\(([^\)]*)\)""), """")"),"Asura’s Wrath")</f>
        <v>Asura’s Wrath</v>
      </c>
      <c r="G475" s="17" t="str">
        <f>IFERROR(__xludf.DUMMYFUNCTION("if(len(A475)&gt;0, REGEXEXTRACT(A475, ""\)([^:]*):""), """")")," 100")</f>
        <v> 100</v>
      </c>
      <c r="H475" s="31" t="str">
        <f>IFERROR(__xludf.DUMMYFUNCTION("if(len(A475) &gt; 0, JOIN(char(10), FILTER(SPLIT(A475, char(10)), split(""false false "" &amp; rept(""true "", columns(SPLIT(A475, char(10)))-3) &amp; ""false"", "" ""))), """")"),"You are empowered by a single flavor of sentient emotion. When acting within the themes of your dominant Mantra, you are capable of peakhuman feats. You count as both a prayer source and an emotional source of Mantra. There are eight Mantra affinities, Wr"&amp;"ath, Violence, Vanity, Sloth, Melancholy, Lust, Greed, and Pride. Without a Mantra Affinity, you are denied the strength of emotion, and must subsist on ordinary Mantra. By taking this perk, your safe Mantra Level is set to 2, and you always count as havi"&amp;"ng a minimum of Mantral Level 1 for purposes of determining such feats.")</f>
        <v>You are empowered by a single flavor of sentient emotion. When acting within the themes of your dominant Mantra, you are capable of peakhuman feats. You count as both a prayer source and an emotional source of Mantra. There are eight Mantra affinities, Wrath, Violence, Vanity, Sloth, Melancholy, Lust, Greed, and Pride. Without a Mantra Affinity, you are denied the strength of emotion, and must subsist on ordinary Mantra. By taking this perk, your safe Mantra Level is set to 2, and you always count as having a minimum of Mantral Level 1 for purposes of determining such feats.</v>
      </c>
    </row>
    <row r="476">
      <c r="A476" s="31" t="str">
        <f>IFERROR(__xludf.DUMMYFUNCTION("""COMPUTED_VALUE"""),"Chapter 82: 63 Summit Conclusion
Mantra Training and Techniques (Asura’s Wrath) 200:
You have learned or been taught numerous techniques to focus and express your Mantra, rendered as supernatural martial arts and superhuman feats of agility, durability an"&amp;"d so on. Meditative Kata can extend your natural lifespan, heal minor wounds and fight off sickness, while strikes and attacks could shatter walls. This increases your maximum Mantra level by 1.
As an added benefit, this perk also allows you to create you"&amp;"r own personal Mantra Form. Your first form will take approximately five years of study and meditation to fully construct, but when completed, you will be able to manifest an external mantra interface. To most people, it will look like an ornate halo, evo"&amp;"cative of your personality and mantra affinity.
A Mantra Form usually has a core theme, such as improved combat ability, damage resistance, speed or other such boosts. Establishing a form enhances your abilities, even beyond what a given level of Mantra w"&amp;"ould normally allow. With a mantra form active, you may easily perform superhuman physical, mental and social feats, even before the direct application of Mantra. These stances and techniques however cannot enhance stranger powers such as psychic blasts o"&amp;"r arcane magic, short of ensuring you can survive to perform them.
Successfully creating an initial form and manifesting it increases your capacity for Mantra by 1. Subsequent forms and other perks can increase this cap further, to a maximum of 8. You may"&amp;" use any mantra form you know, but you cannot stack them. Creating a new form takes ten years, times the number of forms you have already mastered.
Your halos can be attacked however, and if knocked aside or even destroyed. If that happens, you immediatel"&amp;"y drop down to Mantra Level 3, and any excess Mantra is wasted.
Skill")</f>
        <v>Chapter 82: 63 Summit Conclusion
Mantra Training and Techniques (Asura’s Wrath) 200:
You have learned or been taught numerous techniques to focus and express your Mantra, rendered as supernatural martial arts and superhuman feats of agility, durability and so on. Meditative Kata can extend your natural lifespan, heal minor wounds and fight off sickness, while strikes and attacks could shatter walls. This increases your maximum Mantra level by 1.
As an added benefit, this perk also allows you to create your own personal Mantra Form. Your first form will take approximately five years of study and meditation to fully construct, but when completed, you will be able to manifest an external mantra interface. To most people, it will look like an ornate halo, evocative of your personality and mantra affinity.
A Mantra Form usually has a core theme, such as improved combat ability, damage resistance, speed or other such boosts. Establishing a form enhances your abilities, even beyond what a given level of Mantra would normally allow. With a mantra form active, you may easily perform superhuman physical, mental and social feats, even before the direct application of Mantra. These stances and techniques however cannot enhance stranger powers such as psychic blasts or arcane magic, short of ensuring you can survive to perform them.
Successfully creating an initial form and manifesting it increases your capacity for Mantra by 1. Subsequent forms and other perks can increase this cap further, to a maximum of 8. You may use any mantra form you know, but you cannot stack them. Creating a new form takes ten years, times the number of forms you have already mastered.
Your halos can be attacked however, and if knocked aside or even destroyed. If that happens, you immediately drop down to Mantra Level 3, and any excess Mantra is wasted.
Skill</v>
      </c>
      <c r="B476" s="17">
        <f>IFERROR(__xludf.DUMMYFUNCTION("if(len(A476)&gt;0, value(REGEXEXTRACT(A476, ""Chapter ([0-9]*):"")), """")"),82.0)</f>
        <v>82</v>
      </c>
      <c r="C476" s="31" t="str">
        <f>IFERROR(__xludf.DUMMYFUNCTION("if(len(A476) &gt;0, REGEXEXTRACT(A476, ""Chapter [0-9]*: (.*)""), """")"),"63 Summit Conclusion")</f>
        <v>63 Summit Conclusion</v>
      </c>
      <c r="D476" s="31" t="str">
        <f>IFERROR(__xludf.DUMMYFUNCTION("if(len(A476)&gt;0, REGEXEXTRACT(A476, ""\n[^\(]*""), """")"),"
Mantra Training and Techniques ")</f>
        <v>
Mantra Training and Techniques </v>
      </c>
      <c r="E476" s="17" t="str">
        <f>IFERROR(__xludf.DUMMYFUNCTION("if(len(A476)&gt;0, REGEXEXTRACT(A476, ""\n([^\n]*)$""), """")"),"Skill")</f>
        <v>Skill</v>
      </c>
      <c r="F476" s="17" t="str">
        <f>IFERROR(__xludf.DUMMYFUNCTION("if(len(A476)&gt;0, REGEXEXTRACT(A476, ""\(([^\)]*)\)""), """")"),"Asura’s Wrath")</f>
        <v>Asura’s Wrath</v>
      </c>
      <c r="G476" s="17" t="str">
        <f>IFERROR(__xludf.DUMMYFUNCTION("if(len(A476)&gt;0, REGEXEXTRACT(A476, ""\)([^:]*):""), """")")," 200")</f>
        <v> 200</v>
      </c>
      <c r="H476" s="31" t="str">
        <f>IFERROR(__xludf.DUMMYFUNCTION("if(len(A476) &gt; 0, JOIN(char(10), FILTER(SPLIT(A476, char(10)), split(""false false "" &amp; rept(""true "", columns(SPLIT(A476, char(10)))-3) &amp; ""false"", "" ""))), """")"),"You have learned or been taught numerous techniques to focus and express your Mantra, rendered as supernatural martial arts and superhuman feats of agility, durability and so on. Meditative Kata can extend your natural lifespan, heal minor wounds and figh"&amp;"t off sickness, while strikes and attacks could shatter walls. This increases your maximum Mantra level by 1.
As an added benefit, this perk also allows you to create your own personal Mantra Form. Your first form will take approximately five years of stu"&amp;"dy and meditation to fully construct, but when completed, you will be able to manifest an external mantra interface. To most people, it will look like an ornate halo, evocative of your personality and mantra affinity.
A Mantra Form usually has a core them"&amp;"e, such as improved combat ability, damage resistance, speed or other such boosts. Establishing a form enhances your abilities, even beyond what a given level of Mantra would normally allow. With a mantra form active, you may easily perform superhuman phy"&amp;"sical, mental and social feats, even before the direct application of Mantra. These stances and techniques however cannot enhance stranger powers such as psychic blasts or arcane magic, short of ensuring you can survive to perform them.
Successfully creat"&amp;"ing an initial form and manifesting it increases your capacity for Mantra by 1. Subsequent forms and other perks can increase this cap further, to a maximum of 8. You may use any mantra form you know, but you cannot stack them. Creating a new form takes t"&amp;"en years, times the number of forms you have already mastered.
Your halos can be attacked however, and if knocked aside or even destroyed. If that happens, you immediately drop down to Mantra Level 3, and any excess Mantra is wasted.")</f>
        <v>You have learned or been taught numerous techniques to focus and express your Mantra, rendered as supernatural martial arts and superhuman feats of agility, durability and so on. Meditative Kata can extend your natural lifespan, heal minor wounds and fight off sickness, while strikes and attacks could shatter walls. This increases your maximum Mantra level by 1.
As an added benefit, this perk also allows you to create your own personal Mantra Form. Your first form will take approximately five years of study and meditation to fully construct, but when completed, you will be able to manifest an external mantra interface. To most people, it will look like an ornate halo, evocative of your personality and mantra affinity.
A Mantra Form usually has a core theme, such as improved combat ability, damage resistance, speed or other such boosts. Establishing a form enhances your abilities, even beyond what a given level of Mantra would normally allow. With a mantra form active, you may easily perform superhuman physical, mental and social feats, even before the direct application of Mantra. These stances and techniques however cannot enhance stranger powers such as psychic blasts or arcane magic, short of ensuring you can survive to perform them.
Successfully creating an initial form and manifesting it increases your capacity for Mantra by 1. Subsequent forms and other perks can increase this cap further, to a maximum of 8. You may use any mantra form you know, but you cannot stack them. Creating a new form takes ten years, times the number of forms you have already mastered.
Your halos can be attacked however, and if knocked aside or even destroyed. If that happens, you immediately drop down to Mantra Level 3, and any excess Mantra is wasted.</v>
      </c>
    </row>
    <row r="477">
      <c r="A477" s="31" t="str">
        <f>IFERROR(__xludf.DUMMYFUNCTION("""COMPUTED_VALUE"""),"Chapter 82: 63 Summit Conclusion
Resplendent Wardrobe (Asura’s Wrath) 50:
You have access to an unlimited closet or the finest designers of Shinkoku Trastrium, able to properly dress your theotech empowered form in the grandest of styles. Anyone with mant"&amp;"ra cybernetics can wear impossibly impractical clothing without any issue.
Facility")</f>
        <v>Chapter 82: 63 Summit Conclusion
Resplendent Wardrobe (Asura’s Wrath) 50:
You have access to an unlimited closet or the finest designers of Shinkoku Trastrium, able to properly dress your theotech empowered form in the grandest of styles. Anyone with mantra cybernetics can wear impossibly impractical clothing without any issue.
Facility</v>
      </c>
      <c r="B477" s="17">
        <f>IFERROR(__xludf.DUMMYFUNCTION("if(len(A477)&gt;0, value(REGEXEXTRACT(A477, ""Chapter ([0-9]*):"")), """")"),82.0)</f>
        <v>82</v>
      </c>
      <c r="C477" s="31" t="str">
        <f>IFERROR(__xludf.DUMMYFUNCTION("if(len(A477) &gt;0, REGEXEXTRACT(A477, ""Chapter [0-9]*: (.*)""), """")"),"63 Summit Conclusion")</f>
        <v>63 Summit Conclusion</v>
      </c>
      <c r="D477" s="31" t="str">
        <f>IFERROR(__xludf.DUMMYFUNCTION("if(len(A477)&gt;0, REGEXEXTRACT(A477, ""\n[^\(]*""), """")"),"
Resplendent Wardrobe ")</f>
        <v>
Resplendent Wardrobe </v>
      </c>
      <c r="E477" s="17" t="str">
        <f>IFERROR(__xludf.DUMMYFUNCTION("if(len(A477)&gt;0, REGEXEXTRACT(A477, ""\n([^\n]*)$""), """")"),"Facility")</f>
        <v>Facility</v>
      </c>
      <c r="F477" s="17" t="str">
        <f>IFERROR(__xludf.DUMMYFUNCTION("if(len(A477)&gt;0, REGEXEXTRACT(A477, ""\(([^\)]*)\)""), """")"),"Asura’s Wrath")</f>
        <v>Asura’s Wrath</v>
      </c>
      <c r="G477" s="17" t="str">
        <f>IFERROR(__xludf.DUMMYFUNCTION("if(len(A477)&gt;0, REGEXEXTRACT(A477, ""\)([^:]*):""), """")")," 50")</f>
        <v> 50</v>
      </c>
      <c r="H477" s="31" t="str">
        <f>IFERROR(__xludf.DUMMYFUNCTION("if(len(A477) &gt; 0, JOIN(char(10), FILTER(SPLIT(A477, char(10)), split(""false false "" &amp; rept(""true "", columns(SPLIT(A477, char(10)))-3) &amp; ""false"", "" ""))), """")"),"You have access to an unlimited closet or the finest designers of Shinkoku Trastrium, able to properly dress your theotech empowered form in the grandest of styles. Anyone with mantra cybernetics can wear impossibly impractical clothing without any issue.")</f>
        <v>You have access to an unlimited closet or the finest designers of Shinkoku Trastrium, able to properly dress your theotech empowered form in the grandest of styles. Anyone with mantra cybernetics can wear impossibly impractical clothing without any issue.</v>
      </c>
    </row>
    <row r="478">
      <c r="A478" s="31" t="str">
        <f>IFERROR(__xludf.DUMMYFUNCTION("""COMPUTED_VALUE"""),"Chapter 82: 63 Summit Conclusion
Shut Up! (Asura’s Wrath) 50:
You don’t have the patience for bullshit. During longwinded speeches or similar engagements that drag on and on, you will have a sense for when and how to best expedite the proceedings. You are"&amp;"n’t required to take the chance, but you will have to live with consequences if you do. This perk cannot let you automatically kill someone, no matter how hard you can hit.
Skill")</f>
        <v>Chapter 82: 63 Summit Conclusion
Shut Up! (Asura’s Wrath) 50:
You don’t have the patience for bullshit. During longwinded speeches or similar engagements that drag on and on, you will have a sense for when and how to best expedite the proceedings. You aren’t required to take the chance, but you will have to live with consequences if you do. This perk cannot let you automatically kill someone, no matter how hard you can hit.
Skill</v>
      </c>
      <c r="B478" s="17">
        <f>IFERROR(__xludf.DUMMYFUNCTION("if(len(A478)&gt;0, value(REGEXEXTRACT(A478, ""Chapter ([0-9]*):"")), """")"),82.0)</f>
        <v>82</v>
      </c>
      <c r="C478" s="31" t="str">
        <f>IFERROR(__xludf.DUMMYFUNCTION("if(len(A478) &gt;0, REGEXEXTRACT(A478, ""Chapter [0-9]*: (.*)""), """")"),"63 Summit Conclusion")</f>
        <v>63 Summit Conclusion</v>
      </c>
      <c r="D478" s="31" t="str">
        <f>IFERROR(__xludf.DUMMYFUNCTION("if(len(A478)&gt;0, REGEXEXTRACT(A478, ""\n[^\(]*""), """")"),"
Shut Up! ")</f>
        <v>
Shut Up! </v>
      </c>
      <c r="E478" s="17" t="str">
        <f>IFERROR(__xludf.DUMMYFUNCTION("if(len(A478)&gt;0, REGEXEXTRACT(A478, ""\n([^\n]*)$""), """")"),"Skill")</f>
        <v>Skill</v>
      </c>
      <c r="F478" s="17" t="str">
        <f>IFERROR(__xludf.DUMMYFUNCTION("if(len(A478)&gt;0, REGEXEXTRACT(A478, ""\(([^\)]*)\)""), """")"),"Asura’s Wrath")</f>
        <v>Asura’s Wrath</v>
      </c>
      <c r="G478" s="17" t="str">
        <f>IFERROR(__xludf.DUMMYFUNCTION("if(len(A478)&gt;0, REGEXEXTRACT(A478, ""\)([^:]*):""), """")")," 50")</f>
        <v> 50</v>
      </c>
      <c r="H478" s="31" t="str">
        <f>IFERROR(__xludf.DUMMYFUNCTION("if(len(A478) &gt; 0, JOIN(char(10), FILTER(SPLIT(A478, char(10)), split(""false false "" &amp; rept(""true "", columns(SPLIT(A478, char(10)))-3) &amp; ""false"", "" ""))), """")"),"You don’t have the patience for bullshit. During longwinded speeches or similar engagements that drag on and on, you will have a sense for when and how to best expedite the proceedings. You aren’t required to take the chance, but you will have to live wit"&amp;"h consequences if you do. This perk cannot let you automatically kill someone, no matter how hard you can hit.")</f>
        <v>You don’t have the patience for bullshit. During longwinded speeches or similar engagements that drag on and on, you will have a sense for when and how to best expedite the proceedings. You aren’t required to take the chance, but you will have to live with consequences if you do. This perk cannot let you automatically kill someone, no matter how hard you can hit.</v>
      </c>
    </row>
    <row r="479">
      <c r="A479" s="31" t="str">
        <f>IFERROR(__xludf.DUMMYFUNCTION("""COMPUTED_VALUE"""),"Chapter 82: 63 Summit Conclusion
upgrades! Upgrades!! UPGRADES!!! (Red Faction) 400:
You can make it all better. By studying a piece of technology for a short while, you can come up with ways to improve its functions or fix design flaws, though you’ll sti"&amp;"ll need the related technical skills to figure out details. In addition, you can use salvaged materials in lieu of fresh parts for this task.
Analysis")</f>
        <v>Chapter 82: 63 Summit Conclusion
upgrades! Upgrades!! UPGRADES!!! (Red Faction) 400:
You can make it all better. By studying a piece of technology for a short while, you can come up with ways to improve its functions or fix design flaws, though you’ll still need the related technical skills to figure out details. In addition, you can use salvaged materials in lieu of fresh parts for this task.
Analysis</v>
      </c>
      <c r="B479" s="17">
        <f>IFERROR(__xludf.DUMMYFUNCTION("if(len(A479)&gt;0, value(REGEXEXTRACT(A479, ""Chapter ([0-9]*):"")), """")"),82.0)</f>
        <v>82</v>
      </c>
      <c r="C479" s="31" t="str">
        <f>IFERROR(__xludf.DUMMYFUNCTION("if(len(A479) &gt;0, REGEXEXTRACT(A479, ""Chapter [0-9]*: (.*)""), """")"),"63 Summit Conclusion")</f>
        <v>63 Summit Conclusion</v>
      </c>
      <c r="D479" s="31" t="str">
        <f>IFERROR(__xludf.DUMMYFUNCTION("if(len(A479)&gt;0, REGEXEXTRACT(A479, ""\n[^\(]*""), """")"),"
upgrades! Upgrades!! UPGRADES!!! ")</f>
        <v>
upgrades! Upgrades!! UPGRADES!!! </v>
      </c>
      <c r="E479" s="17" t="str">
        <f>IFERROR(__xludf.DUMMYFUNCTION("if(len(A479)&gt;0, REGEXEXTRACT(A479, ""\n([^\n]*)$""), """")"),"Analysis")</f>
        <v>Analysis</v>
      </c>
      <c r="F479" s="17" t="str">
        <f>IFERROR(__xludf.DUMMYFUNCTION("if(len(A479)&gt;0, REGEXEXTRACT(A479, ""\(([^\)]*)\)""), """")"),"Red Faction")</f>
        <v>Red Faction</v>
      </c>
      <c r="G479" s="17" t="str">
        <f>IFERROR(__xludf.DUMMYFUNCTION("if(len(A479)&gt;0, REGEXEXTRACT(A479, ""\)([^:]*):""), """")")," 400")</f>
        <v> 400</v>
      </c>
      <c r="H479" s="31" t="str">
        <f>IFERROR(__xludf.DUMMYFUNCTION("if(len(A479) &gt; 0, JOIN(char(10), FILTER(SPLIT(A479, char(10)), split(""false false "" &amp; rept(""true "", columns(SPLIT(A479, char(10)))-3) &amp; ""false"", "" ""))), """")"),"You can make it all better. By studying a piece of technology for a short while, you can come up with ways to improve its functions or fix design flaws, though you’ll still need the related technical skills to figure out details. In addition, you can use "&amp;"salvaged materials in lieu of fresh parts for this task.")</f>
        <v>You can make it all better. By studying a piece of technology for a short while, you can come up with ways to improve its functions or fix design flaws, though you’ll still need the related technical skills to figure out details. In addition, you can use salvaged materials in lieu of fresh parts for this task.</v>
      </c>
    </row>
    <row r="480">
      <c r="A480" s="31" t="str">
        <f>IFERROR(__xludf.DUMMYFUNCTION("""COMPUTED_VALUE"""),"Chapter 85: 65 Summit Aftermath
Fueling Station (Personal Reality) 200:
This Garage Upgrade has two levels. The first provides all your vehicles with any standard mundane fuel and costs 50 WP. The second level, which costs an additional 150 WP, will fuel "&amp;"any vehicle you have no matter how esoteric the fuel might be, although said fuel can be used only to fuel your vehicles. Attempts to use it for other means may have terrible consequences.
Facility")</f>
        <v>Chapter 85: 65 Summit Aftermath
Fueling Station (Personal Reality) 200:
This Garage Upgrade has two levels. The first provides all your vehicles with any standard mundane fuel and costs 50 WP. The second level, which costs an additional 150 WP, will fuel any vehicle you have no matter how esoteric the fuel might be, although said fuel can be used only to fuel your vehicles. Attempts to use it for other means may have terrible consequences.
Facility</v>
      </c>
      <c r="B480" s="17">
        <f>IFERROR(__xludf.DUMMYFUNCTION("if(len(A480)&gt;0, value(REGEXEXTRACT(A480, ""Chapter ([0-9]*):"")), """")"),85.0)</f>
        <v>85</v>
      </c>
      <c r="C480" s="31" t="str">
        <f>IFERROR(__xludf.DUMMYFUNCTION("if(len(A480) &gt;0, REGEXEXTRACT(A480, ""Chapter [0-9]*: (.*)""), """")"),"65 Summit Aftermath")</f>
        <v>65 Summit Aftermath</v>
      </c>
      <c r="D480" s="31" t="str">
        <f>IFERROR(__xludf.DUMMYFUNCTION("if(len(A480)&gt;0, REGEXEXTRACT(A480, ""\n[^\(]*""), """")"),"
Fueling Station ")</f>
        <v>
Fueling Station </v>
      </c>
      <c r="E480" s="17" t="str">
        <f>IFERROR(__xludf.DUMMYFUNCTION("if(len(A480)&gt;0, REGEXEXTRACT(A480, ""\n([^\n]*)$""), """")"),"Facility")</f>
        <v>Facility</v>
      </c>
      <c r="F480" s="17" t="str">
        <f>IFERROR(__xludf.DUMMYFUNCTION("if(len(A480)&gt;0, REGEXEXTRACT(A480, ""\(([^\)]*)\)""), """")"),"Personal Reality")</f>
        <v>Personal Reality</v>
      </c>
      <c r="G480" s="17" t="str">
        <f>IFERROR(__xludf.DUMMYFUNCTION("if(len(A480)&gt;0, REGEXEXTRACT(A480, ""\)([^:]*):""), """")")," 200")</f>
        <v> 200</v>
      </c>
      <c r="H480" s="31" t="str">
        <f>IFERROR(__xludf.DUMMYFUNCTION("if(len(A480) &gt; 0, JOIN(char(10), FILTER(SPLIT(A480, char(10)), split(""false false "" &amp; rept(""true "", columns(SPLIT(A480, char(10)))-3) &amp; ""false"", "" ""))), """")"),"This Garage Upgrade has two levels. The first provides all your vehicles with any standard mundane fuel and costs 50 WP. The second level, which costs an additional 150 WP, will fuel any vehicle you have no matter how esoteric the fuel might be, although "&amp;"said fuel can be used only to fuel your vehicles. Attempts to use it for other means may have terrible consequences.")</f>
        <v>This Garage Upgrade has two levels. The first provides all your vehicles with any standard mundane fuel and costs 50 WP. The second level, which costs an additional 150 WP, will fuel any vehicle you have no matter how esoteric the fuel might be, although said fuel can be used only to fuel your vehicles. Attempts to use it for other means may have terrible consequences.</v>
      </c>
    </row>
    <row r="481">
      <c r="A481" s="31" t="str">
        <f>IFERROR(__xludf.DUMMYFUNCTION("""COMPUTED_VALUE"""),"Chapter 85: 65 Summit Aftermath
Garage (Personal Reality) 200:
A garage for you to place into your vehicles, automatically adjusting to meet with their requirements. Any sort of land, air, or space based personal vehicles (up to the size of 12 meters long"&amp;", 6 meters wide, and 4 meters tall). The Garage has room for up to 40 such vehicles, with every increase in your Starting Size also increasing the number of slots by a factor of 5. The Garage comes with its own entry room and a set of adaptors which can t"&amp;"urn garage doors (even non-automatic ones) into Personal Reality Portals. These adaptors respond to the presence of a Key Holder and open the way into the parking area. If you also have the Pond, this installs a Marina which comes with special adaptors fo"&amp;"r boat slots. Boat slots do not worry about the draft or masts of the boats you part in them, only the distance from the waterline to the top of the primary hull. Each size increase of the total Personal Reality also increases the maximum size of each veh"&amp;"icle slot by a factor of 5 (60x30x20, 300x150x100, 1500x750x500, etc.). Alternatively, you can purchase a Garage Upgrade for 50WP, which boosts each slot by a factor of 10.
Facility")</f>
        <v>Chapter 85: 65 Summit Aftermath
Garage (Personal Reality) 200:
A garage for you to place into your vehicles, automatically adjusting to meet with their requirements. Any sort of land, air, or space based personal vehicles (up to the size of 12 meters long, 6 meters wide, and 4 meters tall). The Garage has room for up to 40 such vehicles, with every increase in your Starting Size also increasing the number of slots by a factor of 5. The Garage comes with its own entry room and a set of adaptors which can turn garage doors (even non-automatic ones) into Personal Reality Portals. These adaptors respond to the presence of a Key Holder and open the way into the parking area. If you also have the Pond, this installs a Marina which comes with special adaptors for boat slots. Boat slots do not worry about the draft or masts of the boats you part in them, only the distance from the waterline to the top of the primary hull. Each size increase of the total Personal Reality also increases the maximum size of each vehicle slot by a factor of 5 (60x30x20, 300x150x100, 1500x750x500, etc.). Alternatively, you can purchase a Garage Upgrade for 50WP, which boosts each slot by a factor of 10.
Facility</v>
      </c>
      <c r="B481" s="17">
        <f>IFERROR(__xludf.DUMMYFUNCTION("if(len(A481)&gt;0, value(REGEXEXTRACT(A481, ""Chapter ([0-9]*):"")), """")"),85.0)</f>
        <v>85</v>
      </c>
      <c r="C481" s="31" t="str">
        <f>IFERROR(__xludf.DUMMYFUNCTION("if(len(A481) &gt;0, REGEXEXTRACT(A481, ""Chapter [0-9]*: (.*)""), """")"),"65 Summit Aftermath")</f>
        <v>65 Summit Aftermath</v>
      </c>
      <c r="D481" s="31" t="str">
        <f>IFERROR(__xludf.DUMMYFUNCTION("if(len(A481)&gt;0, REGEXEXTRACT(A481, ""\n[^\(]*""), """")"),"
Garage ")</f>
        <v>
Garage </v>
      </c>
      <c r="E481" s="17" t="str">
        <f>IFERROR(__xludf.DUMMYFUNCTION("if(len(A481)&gt;0, REGEXEXTRACT(A481, ""\n([^\n]*)$""), """")"),"Facility")</f>
        <v>Facility</v>
      </c>
      <c r="F481" s="17" t="str">
        <f>IFERROR(__xludf.DUMMYFUNCTION("if(len(A481)&gt;0, REGEXEXTRACT(A481, ""\(([^\)]*)\)""), """")"),"Personal Reality")</f>
        <v>Personal Reality</v>
      </c>
      <c r="G481" s="17" t="str">
        <f>IFERROR(__xludf.DUMMYFUNCTION("if(len(A481)&gt;0, REGEXEXTRACT(A481, ""\)([^:]*):""), """")")," 200")</f>
        <v> 200</v>
      </c>
      <c r="H481" s="31" t="str">
        <f>IFERROR(__xludf.DUMMYFUNCTION("if(len(A481) &gt; 0, JOIN(char(10), FILTER(SPLIT(A481, char(10)), split(""false false "" &amp; rept(""true "", columns(SPLIT(A481, char(10)))-3) &amp; ""false"", "" ""))), """")"),"A garage for you to place into your vehicles, automatically adjusting to meet with their requirements. Any sort of land, air, or space based personal vehicles (up to the size of 12 meters long, 6 meters wide, and 4 meters tall). The Garage has room for up"&amp;" to 40 such vehicles, with every increase in your Starting Size also increasing the number of slots by a factor of 5. The Garage comes with its own entry room and a set of adaptors which can turn garage doors (even non-automatic ones) into Personal Realit"&amp;"y Portals. These adaptors respond to the presence of a Key Holder and open the way into the parking area. If you also have the Pond, this installs a Marina which comes with special adaptors for boat slots. Boat slots do not worry about the draft or masts "&amp;"of the boats you part in them, only the distance from the waterline to the top of the primary hull. Each size increase of the total Personal Reality also increases the maximum size of each vehicle slot by a factor of 5 (60x30x20, 300x150x100, 1500x750x500"&amp;", etc.). Alternatively, you can purchase a Garage Upgrade for 50WP, which boosts each slot by a factor of 10.")</f>
        <v>A garage for you to place into your vehicles, automatically adjusting to meet with their requirements. Any sort of land, air, or space based personal vehicles (up to the size of 12 meters long, 6 meters wide, and 4 meters tall). The Garage has room for up to 40 such vehicles, with every increase in your Starting Size also increasing the number of slots by a factor of 5. The Garage comes with its own entry room and a set of adaptors which can turn garage doors (even non-automatic ones) into Personal Reality Portals. These adaptors respond to the presence of a Key Holder and open the way into the parking area. If you also have the Pond, this installs a Marina which comes with special adaptors for boat slots. Boat slots do not worry about the draft or masts of the boats you part in them, only the distance from the waterline to the top of the primary hull. Each size increase of the total Personal Reality also increases the maximum size of each vehicle slot by a factor of 5 (60x30x20, 300x150x100, 1500x750x500, etc.). Alternatively, you can purchase a Garage Upgrade for 50WP, which boosts each slot by a factor of 10.</v>
      </c>
    </row>
    <row r="482">
      <c r="A482" s="31" t="str">
        <f>IFERROR(__xludf.DUMMYFUNCTION("""COMPUTED_VALUE"""),"Chapter 85: 65 Summit Aftermath
Workshop: Electronics  (Personal Reality) 100:
Each purchase of this adds to your Personal Reality Workshop needed to perform specific type of craft, which is to be specified when purchase is made. It comes with a basic set"&amp;" of tools and supplies. Good for fixing or creating all sorts of things, although any complex parts or nonstandard supplies will have to be brought in from outside. Additional purchases can add different types of Workshops to your Personal Reality or expa"&amp;"nd existing ones. Anything built in one of those workshops is fiat backed to be restored to its original condition within 48 hours if damaged or destroyed. Repeatable
Facility")</f>
        <v>Chapter 85: 65 Summit Aftermath
Workshop: Electronics  (Personal Reality) 100:
Each purchase of this adds to your Personal Reality Workshop needed to perform specific type of craft, which is to be specified when purchase is made. It comes with a basic set of tools and supplies. Good for fixing or creating all sorts of things, although any complex parts or nonstandard supplies will have to be brought in from outside. Additional purchases can add different types of Workshops to your Personal Reality or expand existing ones. Anything built in one of those workshops is fiat backed to be restored to its original condition within 48 hours if damaged or destroyed. Repeatable
Facility</v>
      </c>
      <c r="B482" s="17">
        <f>IFERROR(__xludf.DUMMYFUNCTION("if(len(A482)&gt;0, value(REGEXEXTRACT(A482, ""Chapter ([0-9]*):"")), """")"),85.0)</f>
        <v>85</v>
      </c>
      <c r="C482" s="31" t="str">
        <f>IFERROR(__xludf.DUMMYFUNCTION("if(len(A482) &gt;0, REGEXEXTRACT(A482, ""Chapter [0-9]*: (.*)""), """")"),"65 Summit Aftermath")</f>
        <v>65 Summit Aftermath</v>
      </c>
      <c r="D482" s="31" t="str">
        <f>IFERROR(__xludf.DUMMYFUNCTION("if(len(A482)&gt;0, REGEXEXTRACT(A482, ""\n[^\(]*""), """")"),"
Workshop: Electronics  ")</f>
        <v>
Workshop: Electronics  </v>
      </c>
      <c r="E482" s="17" t="str">
        <f>IFERROR(__xludf.DUMMYFUNCTION("if(len(A482)&gt;0, REGEXEXTRACT(A482, ""\n([^\n]*)$""), """")"),"Facility")</f>
        <v>Facility</v>
      </c>
      <c r="F482" s="17" t="str">
        <f>IFERROR(__xludf.DUMMYFUNCTION("if(len(A482)&gt;0, REGEXEXTRACT(A482, ""\(([^\)]*)\)""), """")"),"Personal Reality")</f>
        <v>Personal Reality</v>
      </c>
      <c r="G482" s="17" t="str">
        <f>IFERROR(__xludf.DUMMYFUNCTION("if(len(A482)&gt;0, REGEXEXTRACT(A482, ""\)([^:]*):""), """")")," 100")</f>
        <v> 100</v>
      </c>
      <c r="H482" s="31" t="str">
        <f>IFERROR(__xludf.DUMMYFUNCTION("if(len(A482) &gt; 0, JOIN(char(10), FILTER(SPLIT(A482, char(10)), split(""false false "" &amp; rept(""true "", columns(SPLIT(A482, char(10)))-3) &amp; ""false"", "" ""))), """")"),"Each purchase of this adds to your Personal Reality Workshop needed to perform specific type of craft, which is to be specified when purchase is made. It comes with a basic set of tools and supplies. Good for fixing or creating all sorts of things, althou"&amp;"gh any complex parts or nonstandard supplies will have to be brought in from outside. Additional purchases can add different types of Workshops to your Personal Reality or expand existing ones. Anything built in one of those workshops is fiat backed to be"&amp;" restored to its original condition within 48 hours if damaged or destroyed. Repeatable")</f>
        <v>Each purchase of this adds to your Personal Reality Workshop needed to perform specific type of craft, which is to be specified when purchase is made. It comes with a basic set of tools and supplies. Good for fixing or creating all sorts of things, although any complex parts or nonstandard supplies will have to be brought in from outside. Additional purchases can add different types of Workshops to your Personal Reality or expand existing ones. Anything built in one of those workshops is fiat backed to be restored to its original condition within 48 hours if damaged or destroyed. Repeatable</v>
      </c>
    </row>
    <row r="483">
      <c r="A483" s="31" t="str">
        <f>IFERROR(__xludf.DUMMYFUNCTION("""COMPUTED_VALUE"""),"Chapter 90: 66 Review and Preparation
Technician (Alpha Centauri) 400:
Learning has become easier for you now, especially in the field of natural science and engineering, you absorb and retain information like a sponge and can mix and match theory and exp"&amp;"erience with much greater skill.
Personal")</f>
        <v>Chapter 90: 66 Review and Preparation
Technician (Alpha Centauri) 400:
Learning has become easier for you now, especially in the field of natural science and engineering, you absorb and retain information like a sponge and can mix and match theory and experience with much greater skill.
Personal</v>
      </c>
      <c r="B483" s="17">
        <f>IFERROR(__xludf.DUMMYFUNCTION("if(len(A483)&gt;0, value(REGEXEXTRACT(A483, ""Chapter ([0-9]*):"")), """")"),90.0)</f>
        <v>90</v>
      </c>
      <c r="C483" s="31" t="str">
        <f>IFERROR(__xludf.DUMMYFUNCTION("if(len(A483) &gt;0, REGEXEXTRACT(A483, ""Chapter [0-9]*: (.*)""), """")"),"66 Review and Preparation")</f>
        <v>66 Review and Preparation</v>
      </c>
      <c r="D483" s="31" t="str">
        <f>IFERROR(__xludf.DUMMYFUNCTION("if(len(A483)&gt;0, REGEXEXTRACT(A483, ""\n[^\(]*""), """")"),"
Technician ")</f>
        <v>
Technician </v>
      </c>
      <c r="E483" s="17" t="str">
        <f>IFERROR(__xludf.DUMMYFUNCTION("if(len(A483)&gt;0, REGEXEXTRACT(A483, ""\n([^\n]*)$""), """")"),"Personal")</f>
        <v>Personal</v>
      </c>
      <c r="F483" s="17" t="str">
        <f>IFERROR(__xludf.DUMMYFUNCTION("if(len(A483)&gt;0, REGEXEXTRACT(A483, ""\(([^\)]*)\)""), """")"),"Alpha Centauri")</f>
        <v>Alpha Centauri</v>
      </c>
      <c r="G483" s="17" t="str">
        <f>IFERROR(__xludf.DUMMYFUNCTION("if(len(A483)&gt;0, REGEXEXTRACT(A483, ""\)([^:]*):""), """")")," 400")</f>
        <v> 400</v>
      </c>
      <c r="H483" s="31" t="str">
        <f>IFERROR(__xludf.DUMMYFUNCTION("if(len(A483) &gt; 0, JOIN(char(10), FILTER(SPLIT(A483, char(10)), split(""false false "" &amp; rept(""true "", columns(SPLIT(A483, char(10)))-3) &amp; ""false"", "" ""))), """")"),"Learning has become easier for you now, especially in the field of natural science and engineering, you absorb and retain information like a sponge and can mix and match theory and experience with much greater skill.")</f>
        <v>Learning has become easier for you now, especially in the field of natural science and engineering, you absorb and retain information like a sponge and can mix and match theory and experience with much greater skill.</v>
      </c>
    </row>
    <row r="484">
      <c r="A484" s="31" t="str">
        <f>IFERROR(__xludf.DUMMYFUNCTION("""COMPUTED_VALUE"""),"Chapter 90: 66 Review and Preparation
Titan Chassis - Medium (Titanfall) Free:
Titans. Six meter tall war machines, these humanoid automatons are probably half the reason you're here. Titan's are controlled from a cockpit that forms the torso, inside is a"&amp;" projected display that is a feed from external camera's mounted on the Titan's hull. Titans incorporate a form of force field around the Titan called a bodyshield. Invisible until a projectile is in range, the body shield slows or stops projectiles and f"&amp;"orces explosive projectiles to detonate early, significantly reducing damage to the Titan. If a bodyshield is activated too often in a short period, it can be overloaded and go offline until it recharges, making the Titan significantly more vulnerable.
Ea"&amp;"ch Titan has it’s own unique core ability and them which the rest of the Titan is generally built around, with a supporting tactical, defensive and ordnance ability. A Titan’s depends the most on it’s battery packs, of which each Titan generally has sever"&amp;"al. While the reactor may power the Titan’s ordnance and tactical abilities, the batteries are large reserve power packs that are used in self repair and to maintain structural integrity. Once all battery power is consumed, the Titan will often lose the a"&amp;"bility to walk or maintain it’s bodyshield, and easily crumble under bombardment. This makes batteries tempting targets for other Pilots to attempt to steal via a ‘rodeo’ maneuver.
Every Titan also comes equipped with it’s own internal AI, which – on the "&amp;"surface – manages all internal Titan functions, such as power, stabilization and targeting. To a Pilot, however, an AI is much more than that. It is their partner both on and off the battlefield, loyal and helpful to a fault- to the point that many Pilots"&amp;" would call their Titans ‘friend’. While of the available classes, Legion, Scorch and Ronin are loaded with male AIs and Northstar, Tone and Ion loaded with female AIs, you may choose the programmed gender of your AI as well as it’s general voice. From th"&amp;"at point on, it is a fairly blank slate as far as personality development is concerned, being designed to eventually develop an AI to compliment you- it’s Pilot.
Buying a Titan chassis does not give you a single Titan. It instead gives you the plans to co"&amp;"nstruct Titans, and during the jump, privilege to request a Titan from your faction, if you are acting in their interest or have sufficient rank, you can request a Titan more often. You get a clip on device that instantly relays coordinates to your factio"&amp;"n for a Titan drop. If one of their ships are in range, a Titan will be delivered to your location in a drop pod.
Medium – The first Titan ever developed and tested in combat, the Atlas’ design methodology has survived the ages, being built around a balan"&amp;"ce of armor and speed. With two dashes to use, medium chassis can never the less take more of a beating, and have modern day descendants in the Tone and Ion Titans.
Vehicle")</f>
        <v>Chapter 90: 66 Review and Preparation
Titan Chassis - Medium (Titanfall) Free:
Titans. Six meter tall war machines, these humanoid automatons are probably half the reason you're here. Titan's are controlled from a cockpit that forms the torso, inside is a projected display that is a feed from external camera's mounted on the Titan's hull. Titans incorporate a form of force field around the Titan called a bodyshield. Invisible until a projectile is in range, the body shield slows or stops projectiles and forces explosive projectiles to detonate early, significantly reducing damage to the Titan. If a bodyshield is activated too often in a short period, it can be overloaded and go offline until it recharges, making the Titan significantly more vulnerable.
Each Titan has it’s own unique core ability and them which the rest of the Titan is generally built around, with a supporting tactical, defensive and ordnance ability. A Titan’s depends the most on it’s battery packs, of which each Titan generally has several. While the reactor may power the Titan’s ordnance and tactical abilities, the batteries are large reserve power packs that are used in self repair and to maintain structural integrity. Once all battery power is consumed, the Titan will often lose the ability to walk or maintain it’s bodyshield, and easily crumble under bombardment. This makes batteries tempting targets for other Pilots to attempt to steal via a ‘rodeo’ maneuver.
Every Titan also comes equipped with it’s own internal AI, which – on the surface – manages all internal Titan functions, such as power, stabilization and targeting. To a Pilot, however, an AI is much more than that. It is their partner both on and off the battlefield, loyal and helpful to a fault- to the point that many Pilots would call their Titans ‘friend’. While of the available classes, Legion, Scorch and Ronin are loaded with male AIs and Northstar, Tone and Ion loaded with female AIs, you may choose the programmed gender of your AI as well as it’s general voice. From that point on, it is a fairly blank slate as far as personality development is concerned, being designed to eventually develop an AI to compliment you- it’s Pilot.
Buying a Titan chassis does not give you a single Titan. It instead gives you the plans to construct Titans, and during the jump, privilege to request a Titan from your faction, if you are acting in their interest or have sufficient rank, you can request a Titan more often. You get a clip on device that instantly relays coordinates to your faction for a Titan drop. If one of their ships are in range, a Titan will be delivered to your location in a drop pod.
Medium – The first Titan ever developed and tested in combat, the Atlas’ design methodology has survived the ages, being built around a balance of armor and speed. With two dashes to use, medium chassis can never the less take more of a beating, and have modern day descendants in the Tone and Ion Titans.
Vehicle</v>
      </c>
      <c r="B484" s="17">
        <f>IFERROR(__xludf.DUMMYFUNCTION("if(len(A484)&gt;0, value(REGEXEXTRACT(A484, ""Chapter ([0-9]*):"")), """")"),90.0)</f>
        <v>90</v>
      </c>
      <c r="C484" s="31" t="str">
        <f>IFERROR(__xludf.DUMMYFUNCTION("if(len(A484) &gt;0, REGEXEXTRACT(A484, ""Chapter [0-9]*: (.*)""), """")"),"66 Review and Preparation")</f>
        <v>66 Review and Preparation</v>
      </c>
      <c r="D484" s="31" t="str">
        <f>IFERROR(__xludf.DUMMYFUNCTION("if(len(A484)&gt;0, REGEXEXTRACT(A484, ""\n[^\(]*""), """")"),"
Titan Chassis - Medium ")</f>
        <v>
Titan Chassis - Medium </v>
      </c>
      <c r="E484" s="17" t="str">
        <f>IFERROR(__xludf.DUMMYFUNCTION("if(len(A484)&gt;0, REGEXEXTRACT(A484, ""\n([^\n]*)$""), """")"),"Vehicle")</f>
        <v>Vehicle</v>
      </c>
      <c r="F484" s="17" t="str">
        <f>IFERROR(__xludf.DUMMYFUNCTION("if(len(A484)&gt;0, REGEXEXTRACT(A484, ""\(([^\)]*)\)""), """")"),"Titanfall")</f>
        <v>Titanfall</v>
      </c>
      <c r="G484" s="17" t="str">
        <f>IFERROR(__xludf.DUMMYFUNCTION("if(len(A484)&gt;0, REGEXEXTRACT(A484, ""\)([^:]*):""), """")")," Free")</f>
        <v> Free</v>
      </c>
      <c r="H484" s="31" t="str">
        <f>IFERROR(__xludf.DUMMYFUNCTION("if(len(A484) &gt; 0, JOIN(char(10), FILTER(SPLIT(A484, char(10)), split(""false false "" &amp; rept(""true "", columns(SPLIT(A484, char(10)))-3) &amp; ""false"", "" ""))), """")"),"Titans. Six meter tall war machines, these humanoid automatons are probably half the reason you're here. Titan's are controlled from a cockpit that forms the torso, inside is a projected display that is a feed from external camera's mounted on the Titan's"&amp;" hull. Titans incorporate a form of force field around the Titan called a bodyshield. Invisible until a projectile is in range, the body shield slows or stops projectiles and forces explosive projectiles to detonate early, significantly reducing damage to"&amp;" the Titan. If a bodyshield is activated too often in a short period, it can be overloaded and go offline until it recharges, making the Titan significantly more vulnerable.
Each Titan has it’s own unique core ability and them which the rest of the Titan "&amp;"is generally built around, with a supporting tactical, defensive and ordnance ability. A Titan’s depends the most on it’s battery packs, of which each Titan generally has several. While the reactor may power the Titan’s ordnance and tactical abilities, th"&amp;"e batteries are large reserve power packs that are used in self repair and to maintain structural integrity. Once all battery power is consumed, the Titan will often lose the ability to walk or maintain it’s bodyshield, and easily crumble under bombardmen"&amp;"t. This makes batteries tempting targets for other Pilots to attempt to steal via a ‘rodeo’ maneuver.
Every Titan also comes equipped with it’s own internal AI, which – on the surface – manages all internal Titan functions, such as power, stabilization an"&amp;"d targeting. To a Pilot, however, an AI is much more than that. It is their partner both on and off the battlefield, loyal and helpful to a fault- to the point that many Pilots would call their Titans ‘friend’. While of the available classes, Legion, Scor"&amp;"ch and Ronin are loaded with male AIs and Northstar, Tone and Ion loaded with female AIs, you may choose the programmed gender of your AI as well as it’s general voice. From that point on, it is a fairly blank slate as far as personality development is co"&amp;"ncerned, being designed to eventually develop an AI to compliment you- it’s Pilot.
Buying a Titan chassis does not give you a single Titan. It instead gives you the plans to construct Titans, and during the jump, privilege to request a Titan from your fac"&amp;"tion, if you are acting in their interest or have sufficient rank, you can request a Titan more often. You get a clip on device that instantly relays coordinates to your faction for a Titan drop. If one of their ships are in range, a Titan will be deliver"&amp;"ed to your location in a drop pod.
Medium – The first Titan ever developed and tested in combat, the Atlas’ design methodology has survived the ages, being built around a balance of armor and speed. With two dashes to use, medium chassis can never the les"&amp;"s take more of a beating, and have modern day descendants in the Tone and Ion Titans.")</f>
        <v>Titans. Six meter tall war machines, these humanoid automatons are probably half the reason you're here. Titan's are controlled from a cockpit that forms the torso, inside is a projected display that is a feed from external camera's mounted on the Titan's hull. Titans incorporate a form of force field around the Titan called a bodyshield. Invisible until a projectile is in range, the body shield slows or stops projectiles and forces explosive projectiles to detonate early, significantly reducing damage to the Titan. If a bodyshield is activated too often in a short period, it can be overloaded and go offline until it recharges, making the Titan significantly more vulnerable.
Each Titan has it’s own unique core ability and them which the rest of the Titan is generally built around, with a supporting tactical, defensive and ordnance ability. A Titan’s depends the most on it’s battery packs, of which each Titan generally has several. While the reactor may power the Titan’s ordnance and tactical abilities, the batteries are large reserve power packs that are used in self repair and to maintain structural integrity. Once all battery power is consumed, the Titan will often lose the ability to walk or maintain it’s bodyshield, and easily crumble under bombardment. This makes batteries tempting targets for other Pilots to attempt to steal via a ‘rodeo’ maneuver.
Every Titan also comes equipped with it’s own internal AI, which – on the surface – manages all internal Titan functions, such as power, stabilization and targeting. To a Pilot, however, an AI is much more than that. It is their partner both on and off the battlefield, loyal and helpful to a fault- to the point that many Pilots would call their Titans ‘friend’. While of the available classes, Legion, Scorch and Ronin are loaded with male AIs and Northstar, Tone and Ion loaded with female AIs, you may choose the programmed gender of your AI as well as it’s general voice. From that point on, it is a fairly blank slate as far as personality development is concerned, being designed to eventually develop an AI to compliment you- it’s Pilot.
Buying a Titan chassis does not give you a single Titan. It instead gives you the plans to construct Titans, and during the jump, privilege to request a Titan from your faction, if you are acting in their interest or have sufficient rank, you can request a Titan more often. You get a clip on device that instantly relays coordinates to your faction for a Titan drop. If one of their ships are in range, a Titan will be delivered to your location in a drop pod.
Medium – The first Titan ever developed and tested in combat, the Atlas’ design methodology has survived the ages, being built around a balance of armor and speed. With two dashes to use, medium chassis can never the less take more of a beating, and have modern day descendants in the Tone and Ion Titans.</v>
      </c>
    </row>
    <row r="485">
      <c r="A485" s="31" t="str">
        <f>IFERROR(__xludf.DUMMYFUNCTION("""COMPUTED_VALUE"""),"Chapter 90: 66 Review and Preparation
Titan Engineering (Titanfall) 100:
Titans are incredibly complex machines, and due to the disposable nature of their use and production, and not designed for easy repair. You've got the deft touch though, and know exa"&amp;"ctly where to tweak and shore up the structure to keep it purring like it's fresh out of the drop pod for years.
System")</f>
        <v>Chapter 90: 66 Review and Preparation
Titan Engineering (Titanfall) 100:
Titans are incredibly complex machines, and due to the disposable nature of their use and production, and not designed for easy repair. You've got the deft touch though, and know exactly where to tweak and shore up the structure to keep it purring like it's fresh out of the drop pod for years.
System</v>
      </c>
      <c r="B485" s="17">
        <f>IFERROR(__xludf.DUMMYFUNCTION("if(len(A485)&gt;0, value(REGEXEXTRACT(A485, ""Chapter ([0-9]*):"")), """")"),90.0)</f>
        <v>90</v>
      </c>
      <c r="C485" s="31" t="str">
        <f>IFERROR(__xludf.DUMMYFUNCTION("if(len(A485) &gt;0, REGEXEXTRACT(A485, ""Chapter [0-9]*: (.*)""), """")"),"66 Review and Preparation")</f>
        <v>66 Review and Preparation</v>
      </c>
      <c r="D485" s="31" t="str">
        <f>IFERROR(__xludf.DUMMYFUNCTION("if(len(A485)&gt;0, REGEXEXTRACT(A485, ""\n[^\(]*""), """")"),"
Titan Engineering ")</f>
        <v>
Titan Engineering </v>
      </c>
      <c r="E485" s="17" t="str">
        <f>IFERROR(__xludf.DUMMYFUNCTION("if(len(A485)&gt;0, REGEXEXTRACT(A485, ""\n([^\n]*)$""), """")"),"System")</f>
        <v>System</v>
      </c>
      <c r="F485" s="17" t="str">
        <f>IFERROR(__xludf.DUMMYFUNCTION("if(len(A485)&gt;0, REGEXEXTRACT(A485, ""\(([^\)]*)\)""), """")"),"Titanfall")</f>
        <v>Titanfall</v>
      </c>
      <c r="G485" s="17" t="str">
        <f>IFERROR(__xludf.DUMMYFUNCTION("if(len(A485)&gt;0, REGEXEXTRACT(A485, ""\)([^:]*):""), """")")," 100")</f>
        <v> 100</v>
      </c>
      <c r="H485" s="31" t="str">
        <f>IFERROR(__xludf.DUMMYFUNCTION("if(len(A485) &gt; 0, JOIN(char(10), FILTER(SPLIT(A485, char(10)), split(""false false "" &amp; rept(""true "", columns(SPLIT(A485, char(10)))-3) &amp; ""false"", "" ""))), """")"),"Titans are incredibly complex machines, and due to the disposable nature of their use and production, and not designed for easy repair. You've got the deft touch though, and know exactly where to tweak and shore up the structure to keep it purring like it"&amp;"'s fresh out of the drop pod for years.")</f>
        <v>Titans are incredibly complex machines, and due to the disposable nature of their use and production, and not designed for easy repair. You've got the deft touch though, and know exactly where to tweak and shore up the structure to keep it purring like it's fresh out of the drop pod for years.</v>
      </c>
    </row>
    <row r="486">
      <c r="A486" s="31" t="str">
        <f>IFERROR(__xludf.DUMMYFUNCTION("""COMPUTED_VALUE"""),"Chapter 90: 66 Review and Preparation
Titan Hangar (Titanfall) Free:
A sophisticated auto-factory, this attachment to the warehouse will manufacture any Titan you have the plans for. The designator now causes one of these Titans to be deployed to the poin"&amp;"t you designate in a drop pod when used. Once deployed, another Titan won't be produced until you return it to the warehouse or it is destroyed. Additionally, a Titan is now constructed once a day for free, but if you want more than one Titan per day, it "&amp;"will still construct you more if you can feed it the necessary raw materials.
Facility")</f>
        <v>Chapter 90: 66 Review and Preparation
Titan Hangar (Titanfall) Free:
A sophisticated auto-factory, this attachment to the warehouse will manufacture any Titan you have the plans for. The designator now causes one of these Titans to be deployed to the point you designate in a drop pod when used. Once deployed, another Titan won't be produced until you return it to the warehouse or it is destroyed. Additionally, a Titan is now constructed once a day for free, but if you want more than one Titan per day, it will still construct you more if you can feed it the necessary raw materials.
Facility</v>
      </c>
      <c r="B486" s="17">
        <f>IFERROR(__xludf.DUMMYFUNCTION("if(len(A486)&gt;0, value(REGEXEXTRACT(A486, ""Chapter ([0-9]*):"")), """")"),90.0)</f>
        <v>90</v>
      </c>
      <c r="C486" s="31" t="str">
        <f>IFERROR(__xludf.DUMMYFUNCTION("if(len(A486) &gt;0, REGEXEXTRACT(A486, ""Chapter [0-9]*: (.*)""), """")"),"66 Review and Preparation")</f>
        <v>66 Review and Preparation</v>
      </c>
      <c r="D486" s="31" t="str">
        <f>IFERROR(__xludf.DUMMYFUNCTION("if(len(A486)&gt;0, REGEXEXTRACT(A486, ""\n[^\(]*""), """")"),"
Titan Hangar ")</f>
        <v>
Titan Hangar </v>
      </c>
      <c r="E486" s="17" t="str">
        <f>IFERROR(__xludf.DUMMYFUNCTION("if(len(A486)&gt;0, REGEXEXTRACT(A486, ""\n([^\n]*)$""), """")"),"Facility")</f>
        <v>Facility</v>
      </c>
      <c r="F486" s="17" t="str">
        <f>IFERROR(__xludf.DUMMYFUNCTION("if(len(A486)&gt;0, REGEXEXTRACT(A486, ""\(([^\)]*)\)""), """")"),"Titanfall")</f>
        <v>Titanfall</v>
      </c>
      <c r="G486" s="17" t="str">
        <f>IFERROR(__xludf.DUMMYFUNCTION("if(len(A486)&gt;0, REGEXEXTRACT(A486, ""\)([^:]*):""), """")")," Free")</f>
        <v> Free</v>
      </c>
      <c r="H486" s="31" t="str">
        <f>IFERROR(__xludf.DUMMYFUNCTION("if(len(A486) &gt; 0, JOIN(char(10), FILTER(SPLIT(A486, char(10)), split(""false false "" &amp; rept(""true "", columns(SPLIT(A486, char(10)))-3) &amp; ""false"", "" ""))), """")"),"A sophisticated auto-factory, this attachment to the warehouse will manufacture any Titan you have the plans for. The designator now causes one of these Titans to be deployed to the point you designate in a drop pod when used. Once deployed, another Titan"&amp;" won't be produced until you return it to the warehouse or it is destroyed. Additionally, a Titan is now constructed once a day for free, but if you want more than one Titan per day, it will still construct you more if you can feed it the necessary raw ma"&amp;"terials.")</f>
        <v>A sophisticated auto-factory, this attachment to the warehouse will manufacture any Titan you have the plans for. The designator now causes one of these Titans to be deployed to the point you designate in a drop pod when used. Once deployed, another Titan won't be produced until you return it to the warehouse or it is destroyed. Additionally, a Titan is now constructed once a day for free, but if you want more than one Titan per day, it will still construct you more if you can feed it the necessary raw materials.</v>
      </c>
    </row>
    <row r="487">
      <c r="A487" s="31" t="str">
        <f>IFERROR(__xludf.DUMMYFUNCTION("""COMPUTED_VALUE"""),"Chapter 91: 67 Development Plans
Natural Lighting (Personal Reality) 50:
Completely natural lighting that looks and feels and functions as good as the real thing (sun, moon, or starlight). Comes with sectional dimmer switches and can be sourceless or from"&amp;" any lamplike object you bring into the Personal Reality. Purchasing this upgrades all sources of lighting you bring in, even things like TVs and Computer Monitors to be perfectly safe and naturally adjusting for minimal eye-strain. This replaces Neutral "&amp;"Lighting and does not require any power source.
Facility")</f>
        <v>Chapter 91: 67 Development Plans
Natural Lighting (Personal Reality) 50:
Completely natural lighting that looks and feels and functions as good as the real thing (sun, moon, or starlight). Comes with sectional dimmer switches and can be sourceless or from any lamplike object you bring into the Personal Reality. Purchasing this upgrades all sources of lighting you bring in, even things like TVs and Computer Monitors to be perfectly safe and naturally adjusting for minimal eye-strain. This replaces Neutral Lighting and does not require any power source.
Facility</v>
      </c>
      <c r="B487" s="17">
        <f>IFERROR(__xludf.DUMMYFUNCTION("if(len(A487)&gt;0, value(REGEXEXTRACT(A487, ""Chapter ([0-9]*):"")), """")"),91.0)</f>
        <v>91</v>
      </c>
      <c r="C487" s="31" t="str">
        <f>IFERROR(__xludf.DUMMYFUNCTION("if(len(A487) &gt;0, REGEXEXTRACT(A487, ""Chapter [0-9]*: (.*)""), """")"),"67 Development Plans")</f>
        <v>67 Development Plans</v>
      </c>
      <c r="D487" s="31" t="str">
        <f>IFERROR(__xludf.DUMMYFUNCTION("if(len(A487)&gt;0, REGEXEXTRACT(A487, ""\n[^\(]*""), """")"),"
Natural Lighting ")</f>
        <v>
Natural Lighting </v>
      </c>
      <c r="E487" s="17" t="str">
        <f>IFERROR(__xludf.DUMMYFUNCTION("if(len(A487)&gt;0, REGEXEXTRACT(A487, ""\n([^\n]*)$""), """")"),"Facility")</f>
        <v>Facility</v>
      </c>
      <c r="F487" s="17" t="str">
        <f>IFERROR(__xludf.DUMMYFUNCTION("if(len(A487)&gt;0, REGEXEXTRACT(A487, ""\(([^\)]*)\)""), """")"),"Personal Reality")</f>
        <v>Personal Reality</v>
      </c>
      <c r="G487" s="17" t="str">
        <f>IFERROR(__xludf.DUMMYFUNCTION("if(len(A487)&gt;0, REGEXEXTRACT(A487, ""\)([^:]*):""), """")")," 50")</f>
        <v> 50</v>
      </c>
      <c r="H487" s="31" t="str">
        <f>IFERROR(__xludf.DUMMYFUNCTION("if(len(A487) &gt; 0, JOIN(char(10), FILTER(SPLIT(A487, char(10)), split(""false false "" &amp; rept(""true "", columns(SPLIT(A487, char(10)))-3) &amp; ""false"", "" ""))), """")"),"Completely natural lighting that looks and feels and functions as good as the real thing (sun, moon, or starlight). Comes with sectional dimmer switches and can be sourceless or from any lamplike object you bring into the Personal Reality. Purchasing this"&amp;" upgrades all sources of lighting you bring in, even things like TVs and Computer Monitors to be perfectly safe and naturally adjusting for minimal eye-strain. This replaces Neutral Lighting and does not require any power source.")</f>
        <v>Completely natural lighting that looks and feels and functions as good as the real thing (sun, moon, or starlight). Comes with sectional dimmer switches and can be sourceless or from any lamplike object you bring into the Personal Reality. Purchasing this upgrades all sources of lighting you bring in, even things like TVs and Computer Monitors to be perfectly safe and naturally adjusting for minimal eye-strain. This replaces Neutral Lighting and does not require any power source.</v>
      </c>
    </row>
    <row r="488">
      <c r="A488" s="31" t="str">
        <f>IFERROR(__xludf.DUMMYFUNCTION("""COMPUTED_VALUE"""),"Chapter 91: 67 Development Plans
Neutral Lighting (Personal Reality) Free:
These lights are nothing special, It’s a color-neutral, source neutral ambient lighting system. It’s not really that bright… think early twilight gloom, but if you want better, ins"&amp;"tall it.
Facility")</f>
        <v>Chapter 91: 67 Development Plans
Neutral Lighting (Personal Reality) Free:
These lights are nothing special, It’s a color-neutral, source neutral ambient lighting system. It’s not really that bright… think early twilight gloom, but if you want better, install it.
Facility</v>
      </c>
      <c r="B488" s="17">
        <f>IFERROR(__xludf.DUMMYFUNCTION("if(len(A488)&gt;0, value(REGEXEXTRACT(A488, ""Chapter ([0-9]*):"")), """")"),91.0)</f>
        <v>91</v>
      </c>
      <c r="C488" s="31" t="str">
        <f>IFERROR(__xludf.DUMMYFUNCTION("if(len(A488) &gt;0, REGEXEXTRACT(A488, ""Chapter [0-9]*: (.*)""), """")"),"67 Development Plans")</f>
        <v>67 Development Plans</v>
      </c>
      <c r="D488" s="31" t="str">
        <f>IFERROR(__xludf.DUMMYFUNCTION("if(len(A488)&gt;0, REGEXEXTRACT(A488, ""\n[^\(]*""), """")"),"
Neutral Lighting ")</f>
        <v>
Neutral Lighting </v>
      </c>
      <c r="E488" s="17" t="str">
        <f>IFERROR(__xludf.DUMMYFUNCTION("if(len(A488)&gt;0, REGEXEXTRACT(A488, ""\n([^\n]*)$""), """")"),"Facility")</f>
        <v>Facility</v>
      </c>
      <c r="F488" s="17" t="str">
        <f>IFERROR(__xludf.DUMMYFUNCTION("if(len(A488)&gt;0, REGEXEXTRACT(A488, ""\(([^\)]*)\)""), """")"),"Personal Reality")</f>
        <v>Personal Reality</v>
      </c>
      <c r="G488" s="17" t="str">
        <f>IFERROR(__xludf.DUMMYFUNCTION("if(len(A488)&gt;0, REGEXEXTRACT(A488, ""\)([^:]*):""), """")")," Free")</f>
        <v> Free</v>
      </c>
      <c r="H488" s="31" t="str">
        <f>IFERROR(__xludf.DUMMYFUNCTION("if(len(A488) &gt; 0, JOIN(char(10), FILTER(SPLIT(A488, char(10)), split(""false false "" &amp; rept(""true "", columns(SPLIT(A488, char(10)))-3) &amp; ""false"", "" ""))), """")"),"These lights are nothing special, It’s a color-neutral, source neutral ambient lighting system. It’s not really that bright… think early twilight gloom, but if you want better, install it.")</f>
        <v>These lights are nothing special, It’s a color-neutral, source neutral ambient lighting system. It’s not really that bright… think early twilight gloom, but if you want better, install it.</v>
      </c>
    </row>
    <row r="489">
      <c r="A489" s="31" t="str">
        <f>IFERROR(__xludf.DUMMYFUNCTION("""COMPUTED_VALUE"""),"Chapter 91: 67 Development Plans
Pilot Simulator (Personal Reality) 100:
This adds a high tech simulator to your Personal Reality that perfectly replicates the experience of driving, piloting, or otherwise operating any vehicle that exists in your Origina"&amp;"l Reality or any Host Reality you’ve ever visited. Up to 20 people can use the same simulator for larger vehicles and there are 12 total simulators which can be linked together to make much larger simulations or team practices. Best of all, this allows yo"&amp;"u and your companion do any required testing for various driving and piloting licenses. Licenses given with this are accepted in all jumps as long you’d qualify to that locale’s basic competence level. (For instance, it’s much much harder to get a Finnish"&amp;" Driver’s License than a French one.)
Facility")</f>
        <v>Chapter 91: 67 Development Plans
Pilot Simulator (Personal Reality) 100:
This adds a high tech simulator to your Personal Reality that perfectly replicates the experience of driving, piloting, or otherwise operating any vehicle that exists in your Original Reality or any Host Reality you’ve ever visited. Up to 20 people can use the same simulator for larger vehicles and there are 12 total simulators which can be linked together to make much larger simulations or team practices. Best of all, this allows you and your companion do any required testing for various driving and piloting licenses. Licenses given with this are accepted in all jumps as long you’d qualify to that locale’s basic competence level. (For instance, it’s much much harder to get a Finnish Driver’s License than a French one.)
Facility</v>
      </c>
      <c r="B489" s="17">
        <f>IFERROR(__xludf.DUMMYFUNCTION("if(len(A489)&gt;0, value(REGEXEXTRACT(A489, ""Chapter ([0-9]*):"")), """")"),91.0)</f>
        <v>91</v>
      </c>
      <c r="C489" s="31" t="str">
        <f>IFERROR(__xludf.DUMMYFUNCTION("if(len(A489) &gt;0, REGEXEXTRACT(A489, ""Chapter [0-9]*: (.*)""), """")"),"67 Development Plans")</f>
        <v>67 Development Plans</v>
      </c>
      <c r="D489" s="31" t="str">
        <f>IFERROR(__xludf.DUMMYFUNCTION("if(len(A489)&gt;0, REGEXEXTRACT(A489, ""\n[^\(]*""), """")"),"
Pilot Simulator ")</f>
        <v>
Pilot Simulator </v>
      </c>
      <c r="E489" s="17" t="str">
        <f>IFERROR(__xludf.DUMMYFUNCTION("if(len(A489)&gt;0, REGEXEXTRACT(A489, ""\n([^\n]*)$""), """")"),"Facility")</f>
        <v>Facility</v>
      </c>
      <c r="F489" s="17" t="str">
        <f>IFERROR(__xludf.DUMMYFUNCTION("if(len(A489)&gt;0, REGEXEXTRACT(A489, ""\(([^\)]*)\)""), """")"),"Personal Reality")</f>
        <v>Personal Reality</v>
      </c>
      <c r="G489" s="17" t="str">
        <f>IFERROR(__xludf.DUMMYFUNCTION("if(len(A489)&gt;0, REGEXEXTRACT(A489, ""\)([^:]*):""), """")")," 100")</f>
        <v> 100</v>
      </c>
      <c r="H489" s="31" t="str">
        <f>IFERROR(__xludf.DUMMYFUNCTION("if(len(A489) &gt; 0, JOIN(char(10), FILTER(SPLIT(A489, char(10)), split(""false false "" &amp; rept(""true "", columns(SPLIT(A489, char(10)))-3) &amp; ""false"", "" ""))), """")"),"This adds a high tech simulator to your Personal Reality that perfectly replicates the experience of driving, piloting, or otherwise operating any vehicle that exists in your Original Reality or any Host Reality you’ve ever visited. Up to 20 people can us"&amp;"e the same simulator for larger vehicles and there are 12 total simulators which can be linked together to make much larger simulations or team practices. Best of all, this allows you and your companion do any required testing for various driving and pilo"&amp;"ting licenses. Licenses given with this are accepted in all jumps as long you’d qualify to that locale’s basic competence level. (For instance, it’s much much harder to get a Finnish Driver’s License than a French one.)")</f>
        <v>This adds a high tech simulator to your Personal Reality that perfectly replicates the experience of driving, piloting, or otherwise operating any vehicle that exists in your Original Reality or any Host Reality you’ve ever visited. Up to 20 people can use the same simulator for larger vehicles and there are 12 total simulators which can be linked together to make much larger simulations or team practices. Best of all, this allows you and your companion do any required testing for various driving and piloting licenses. Licenses given with this are accepted in all jumps as long you’d qualify to that locale’s basic competence level. (For instance, it’s much much harder to get a Finnish Driver’s License than a French one.)</v>
      </c>
    </row>
    <row r="490">
      <c r="A490" s="31" t="str">
        <f>IFERROR(__xludf.DUMMYFUNCTION("""COMPUTED_VALUE"""),"Chapter 91: 67 Development Plans
The Meaning of Life (Personal Reality) 100:
This The Pond Upgrade adds in fish and shellfish and pondweed/seaweed to your pond. Also the occasional duck or swan or other waterfowl. Maybe some frogs or lizards or small rept"&amp;"ilians, but nothing dangerous… unless you bought a specific limitation.
Facility")</f>
        <v>Chapter 91: 67 Development Plans
The Meaning of Life (Personal Reality) 100:
This The Pond Upgrade adds in fish and shellfish and pondweed/seaweed to your pond. Also the occasional duck or swan or other waterfowl. Maybe some frogs or lizards or small reptilians, but nothing dangerous… unless you bought a specific limitation.
Facility</v>
      </c>
      <c r="B490" s="17">
        <f>IFERROR(__xludf.DUMMYFUNCTION("if(len(A490)&gt;0, value(REGEXEXTRACT(A490, ""Chapter ([0-9]*):"")), """")"),91.0)</f>
        <v>91</v>
      </c>
      <c r="C490" s="31" t="str">
        <f>IFERROR(__xludf.DUMMYFUNCTION("if(len(A490) &gt;0, REGEXEXTRACT(A490, ""Chapter [0-9]*: (.*)""), """")"),"67 Development Plans")</f>
        <v>67 Development Plans</v>
      </c>
      <c r="D490" s="31" t="str">
        <f>IFERROR(__xludf.DUMMYFUNCTION("if(len(A490)&gt;0, REGEXEXTRACT(A490, ""\n[^\(]*""), """")"),"
The Meaning of Life ")</f>
        <v>
The Meaning of Life </v>
      </c>
      <c r="E490" s="17" t="str">
        <f>IFERROR(__xludf.DUMMYFUNCTION("if(len(A490)&gt;0, REGEXEXTRACT(A490, ""\n([^\n]*)$""), """")"),"Facility")</f>
        <v>Facility</v>
      </c>
      <c r="F490" s="17" t="str">
        <f>IFERROR(__xludf.DUMMYFUNCTION("if(len(A490)&gt;0, REGEXEXTRACT(A490, ""\(([^\)]*)\)""), """")"),"Personal Reality")</f>
        <v>Personal Reality</v>
      </c>
      <c r="G490" s="17" t="str">
        <f>IFERROR(__xludf.DUMMYFUNCTION("if(len(A490)&gt;0, REGEXEXTRACT(A490, ""\)([^:]*):""), """")")," 100")</f>
        <v> 100</v>
      </c>
      <c r="H490" s="31" t="str">
        <f>IFERROR(__xludf.DUMMYFUNCTION("if(len(A490) &gt; 0, JOIN(char(10), FILTER(SPLIT(A490, char(10)), split(""false false "" &amp; rept(""true "", columns(SPLIT(A490, char(10)))-3) &amp; ""false"", "" ""))), """")"),"This The Pond Upgrade adds in fish and shellfish and pondweed/seaweed to your pond. Also the occasional duck or swan or other waterfowl. Maybe some frogs or lizards or small reptilians, but nothing dangerous… unless you bought a specific limitation.")</f>
        <v>This The Pond Upgrade adds in fish and shellfish and pondweed/seaweed to your pond. Also the occasional duck or swan or other waterfowl. Maybe some frogs or lizards or small reptilians, but nothing dangerous… unless you bought a specific limitation.</v>
      </c>
    </row>
    <row r="491">
      <c r="A491" s="31" t="str">
        <f>IFERROR(__xludf.DUMMYFUNCTION("""COMPUTED_VALUE"""),"Chapter 91: 67 Development Plans
The Pond (Personal Reality) 200:
One of the four walls of your Personal Reality has been replaced with a water feature. This is essentially a pond, but you can give it tides and or waves, make it fresh or salt, and give it"&amp;" a beach if you like. If you buy the Garage option, it comes with a Marina for your boats and a second entry zone so you can drive your boats out into the host reality. For -50WP each, can be expanded to additional walls.
Facility")</f>
        <v>Chapter 91: 67 Development Plans
The Pond (Personal Reality) 200:
One of the four walls of your Personal Reality has been replaced with a water feature. This is essentially a pond, but you can give it tides and or waves, make it fresh or salt, and give it a beach if you like. If you buy the Garage option, it comes with a Marina for your boats and a second entry zone so you can drive your boats out into the host reality. For -50WP each, can be expanded to additional walls.
Facility</v>
      </c>
      <c r="B491" s="17">
        <f>IFERROR(__xludf.DUMMYFUNCTION("if(len(A491)&gt;0, value(REGEXEXTRACT(A491, ""Chapter ([0-9]*):"")), """")"),91.0)</f>
        <v>91</v>
      </c>
      <c r="C491" s="31" t="str">
        <f>IFERROR(__xludf.DUMMYFUNCTION("if(len(A491) &gt;0, REGEXEXTRACT(A491, ""Chapter [0-9]*: (.*)""), """")"),"67 Development Plans")</f>
        <v>67 Development Plans</v>
      </c>
      <c r="D491" s="31" t="str">
        <f>IFERROR(__xludf.DUMMYFUNCTION("if(len(A491)&gt;0, REGEXEXTRACT(A491, ""\n[^\(]*""), """")"),"
The Pond ")</f>
        <v>
The Pond </v>
      </c>
      <c r="E491" s="17" t="str">
        <f>IFERROR(__xludf.DUMMYFUNCTION("if(len(A491)&gt;0, REGEXEXTRACT(A491, ""\n([^\n]*)$""), """")"),"Facility")</f>
        <v>Facility</v>
      </c>
      <c r="F491" s="17" t="str">
        <f>IFERROR(__xludf.DUMMYFUNCTION("if(len(A491)&gt;0, REGEXEXTRACT(A491, ""\(([^\)]*)\)""), """")"),"Personal Reality")</f>
        <v>Personal Reality</v>
      </c>
      <c r="G491" s="17" t="str">
        <f>IFERROR(__xludf.DUMMYFUNCTION("if(len(A491)&gt;0, REGEXEXTRACT(A491, ""\)([^:]*):""), """")")," 200")</f>
        <v> 200</v>
      </c>
      <c r="H491" s="31" t="str">
        <f>IFERROR(__xludf.DUMMYFUNCTION("if(len(A491) &gt; 0, JOIN(char(10), FILTER(SPLIT(A491, char(10)), split(""false false "" &amp; rept(""true "", columns(SPLIT(A491, char(10)))-3) &amp; ""false"", "" ""))), """")"),"One of the four walls of your Personal Reality has been replaced with a water feature. This is essentially a pond, but you can give it tides and or waves, make it fresh or salt, and give it a beach if you like. If you buy the Garage option, it comes with "&amp;"a Marina for your boats and a second entry zone so you can drive your boats out into the host reality. For -50WP each, can be expanded to additional walls.")</f>
        <v>One of the four walls of your Personal Reality has been replaced with a water feature. This is essentially a pond, but you can give it tides and or waves, make it fresh or salt, and give it a beach if you like. If you buy the Garage option, it comes with a Marina for your boats and a second entry zone so you can drive your boats out into the host reality. For -50WP each, can be expanded to additional walls.</v>
      </c>
    </row>
    <row r="492">
      <c r="A492" s="31" t="str">
        <f>IFERROR(__xludf.DUMMYFUNCTION("""COMPUTED_VALUE"""),"Chapter 91: 67 Development Plans
The Pond-Expansion (Personal Reality) 50:
For -50WP each, can be expanded to additional walls.
Facility")</f>
        <v>Chapter 91: 67 Development Plans
The Pond-Expansion (Personal Reality) 50:
For -50WP each, can be expanded to additional walls.
Facility</v>
      </c>
      <c r="B492" s="17">
        <f>IFERROR(__xludf.DUMMYFUNCTION("if(len(A492)&gt;0, value(REGEXEXTRACT(A492, ""Chapter ([0-9]*):"")), """")"),91.0)</f>
        <v>91</v>
      </c>
      <c r="C492" s="31" t="str">
        <f>IFERROR(__xludf.DUMMYFUNCTION("if(len(A492) &gt;0, REGEXEXTRACT(A492, ""Chapter [0-9]*: (.*)""), """")"),"67 Development Plans")</f>
        <v>67 Development Plans</v>
      </c>
      <c r="D492" s="31" t="str">
        <f>IFERROR(__xludf.DUMMYFUNCTION("if(len(A492)&gt;0, REGEXEXTRACT(A492, ""\n[^\(]*""), """")"),"
The Pond-Expansion ")</f>
        <v>
The Pond-Expansion </v>
      </c>
      <c r="E492" s="17" t="str">
        <f>IFERROR(__xludf.DUMMYFUNCTION("if(len(A492)&gt;0, REGEXEXTRACT(A492, ""\n([^\n]*)$""), """")"),"Facility")</f>
        <v>Facility</v>
      </c>
      <c r="F492" s="17" t="str">
        <f>IFERROR(__xludf.DUMMYFUNCTION("if(len(A492)&gt;0, REGEXEXTRACT(A492, ""\(([^\)]*)\)""), """")"),"Personal Reality")</f>
        <v>Personal Reality</v>
      </c>
      <c r="G492" s="17" t="str">
        <f>IFERROR(__xludf.DUMMYFUNCTION("if(len(A492)&gt;0, REGEXEXTRACT(A492, ""\)([^:]*):""), """")")," 50")</f>
        <v> 50</v>
      </c>
      <c r="H492" s="31" t="str">
        <f>IFERROR(__xludf.DUMMYFUNCTION("if(len(A492) &gt; 0, JOIN(char(10), FILTER(SPLIT(A492, char(10)), split(""false false "" &amp; rept(""true "", columns(SPLIT(A492, char(10)))-3) &amp; ""false"", "" ""))), """")"),"For -50WP each, can be expanded to additional walls.")</f>
        <v>For -50WP each, can be expanded to additional walls.</v>
      </c>
    </row>
    <row r="493">
      <c r="A493" s="31" t="str">
        <f>IFERROR(__xludf.DUMMYFUNCTION("""COMPUTED_VALUE"""),"Chapter 92: 68 Personal Training
Touched by the Protoculture (Macross) 500:
The Protoculture were a powerful group, having been the creators of the Zentraedi, and having fought off the Protodeviln in their time. They could terraform entire worlds, trave"&amp;"rse the galaxy in seconds, and were the first advanced humanoid civilization to exist... and now in some way, you carry their legacy. Along with the ability to understand a species' culture and the paths they could take for evolution, you now have an unde"&amp;"rstanding of 'Space Fold' technology, which allows faster-than-light communication and the generation of micro-wormholes to traverse space in a much faster method.
System")</f>
        <v>Chapter 92: 68 Personal Training
Touched by the Protoculture (Macross) 500:
The Protoculture were a powerful group, having been the creators of the Zentraedi, and having fought off the Protodeviln in their time. They could terraform entire worlds, traverse the galaxy in seconds, and were the first advanced humanoid civilization to exist... and now in some way, you carry their legacy. Along with the ability to understand a species' culture and the paths they could take for evolution, you now have an understanding of 'Space Fold' technology, which allows faster-than-light communication and the generation of micro-wormholes to traverse space in a much faster method.
System</v>
      </c>
      <c r="B493" s="17">
        <f>IFERROR(__xludf.DUMMYFUNCTION("if(len(A493)&gt;0, value(REGEXEXTRACT(A493, ""Chapter ([0-9]*):"")), """")"),92.0)</f>
        <v>92</v>
      </c>
      <c r="C493" s="31" t="str">
        <f>IFERROR(__xludf.DUMMYFUNCTION("if(len(A493) &gt;0, REGEXEXTRACT(A493, ""Chapter [0-9]*: (.*)""), """")"),"68 Personal Training
")</f>
        <v>68 Personal Training
</v>
      </c>
      <c r="D493" s="31" t="str">
        <f>IFERROR(__xludf.DUMMYFUNCTION("if(len(A493)&gt;0, REGEXEXTRACT(A493, ""\n[^\(]*""), """")"),"
Touched by the Protoculture ")</f>
        <v>
Touched by the Protoculture </v>
      </c>
      <c r="E493" s="17" t="str">
        <f>IFERROR(__xludf.DUMMYFUNCTION("if(len(A493)&gt;0, REGEXEXTRACT(A493, ""\n([^\n]*)$""), """")"),"System")</f>
        <v>System</v>
      </c>
      <c r="F493" s="17" t="str">
        <f>IFERROR(__xludf.DUMMYFUNCTION("if(len(A493)&gt;0, REGEXEXTRACT(A493, ""\(([^\)]*)\)""), """")"),"Macross")</f>
        <v>Macross</v>
      </c>
      <c r="G493" s="17" t="str">
        <f>IFERROR(__xludf.DUMMYFUNCTION("if(len(A493)&gt;0, REGEXEXTRACT(A493, ""\)([^:]*):""), """")")," 500")</f>
        <v> 500</v>
      </c>
      <c r="H493" s="31" t="str">
        <f>IFERROR(__xludf.DUMMYFUNCTION("if(len(A493) &gt; 0, JOIN(char(10), FILTER(SPLIT(A493, char(10)), split(""false false "" &amp; rept(""true "", columns(SPLIT(A493, char(10)))-3) &amp; ""false"", "" ""))), """")"),"The Protoculture were a powerful group, having been the creators of the Zentraedi, and having fought off the Protodeviln in their time. They could terraform entire worlds, traverse the galaxy in seconds, and were the first advanced humanoid civilization t"&amp;"o exist... and now in some way, you carry their legacy. Along with the ability to understand a species' culture and the paths they could take for evolution, you now have an understanding of 'Space Fold' technology, which allows faster-than-light communica"&amp;"tion and the generation of micro-wormholes to traverse space in a much faster method.")</f>
        <v>The Protoculture were a powerful group, having been the creators of the Zentraedi, and having fought off the Protodeviln in their time. They could terraform entire worlds, traverse the galaxy in seconds, and were the first advanced humanoid civilization to exist... and now in some way, you carry their legacy. Along with the ability to understand a species' culture and the paths they could take for evolution, you now have an understanding of 'Space Fold' technology, which allows faster-than-light communication and the generation of micro-wormholes to traverse space in a much faster method.</v>
      </c>
    </row>
    <row r="494">
      <c r="A494" s="31" t="str">
        <f>IFERROR(__xludf.DUMMYFUNCTION("""COMPUTED_VALUE"""),"Chapter 96: 69 Magic Instruction
Additional Space (Personal Reality) 200:
This Starting Space Upgrade expands your Personal Reality by a factor of 10 in each dimension… or rather the standard three dimensions, you rabid cheeselord. This can be purchased m"&amp;"ultiple times. Additional Space also upgrades various expansion options. The first purchase of this brings you to 64 Million Cubic Meters, then 64 Billion Cubic Meters, then 64 Trillion Cubic Meters. Earth’s volume, for reference, is 1 Hexillion Cubic Met"&amp;"ers and it’s surface area is 510 Quadrillion Square Meters. Cover the Earth in storage facilities 100 meters high and you get 51 Quintillion Cubic Meters of Storage space. Repeatable
Facility")</f>
        <v>Chapter 96: 69 Magic Instruction
Additional Space (Personal Reality) 200:
This Starting Space Upgrade expands your Personal Reality by a factor of 10 in each dimension… or rather the standard three dimensions, you rabid cheeselord. This can be purchased multiple times. Additional Space also upgrades various expansion options. The first purchase of this brings you to 64 Million Cubic Meters, then 64 Billion Cubic Meters, then 64 Trillion Cubic Meters. Earth’s volume, for reference, is 1 Hexillion Cubic Meters and it’s surface area is 510 Quadrillion Square Meters. Cover the Earth in storage facilities 100 meters high and you get 51 Quintillion Cubic Meters of Storage space. Repeatable
Facility</v>
      </c>
      <c r="B494" s="17">
        <f>IFERROR(__xludf.DUMMYFUNCTION("if(len(A494)&gt;0, value(REGEXEXTRACT(A494, ""Chapter ([0-9]*):"")), """")"),96.0)</f>
        <v>96</v>
      </c>
      <c r="C494" s="31" t="str">
        <f>IFERROR(__xludf.DUMMYFUNCTION("if(len(A494) &gt;0, REGEXEXTRACT(A494, ""Chapter [0-9]*: (.*)""), """")"),"69 Magic Instruction")</f>
        <v>69 Magic Instruction</v>
      </c>
      <c r="D494" s="31" t="str">
        <f>IFERROR(__xludf.DUMMYFUNCTION("if(len(A494)&gt;0, REGEXEXTRACT(A494, ""\n[^\(]*""), """")"),"
Additional Space ")</f>
        <v>
Additional Space </v>
      </c>
      <c r="E494" s="17" t="str">
        <f>IFERROR(__xludf.DUMMYFUNCTION("if(len(A494)&gt;0, REGEXEXTRACT(A494, ""\n([^\n]*)$""), """")"),"Facility")</f>
        <v>Facility</v>
      </c>
      <c r="F494" s="17" t="str">
        <f>IFERROR(__xludf.DUMMYFUNCTION("if(len(A494)&gt;0, REGEXEXTRACT(A494, ""\(([^\)]*)\)""), """")"),"Personal Reality")</f>
        <v>Personal Reality</v>
      </c>
      <c r="G494" s="17" t="str">
        <f>IFERROR(__xludf.DUMMYFUNCTION("if(len(A494)&gt;0, REGEXEXTRACT(A494, ""\)([^:]*):""), """")")," 200")</f>
        <v> 200</v>
      </c>
      <c r="H494" s="31" t="str">
        <f>IFERROR(__xludf.DUMMYFUNCTION("if(len(A494) &gt; 0, JOIN(char(10), FILTER(SPLIT(A494, char(10)), split(""false false "" &amp; rept(""true "", columns(SPLIT(A494, char(10)))-3) &amp; ""false"", "" ""))), """")"),"This Starting Space Upgrade expands your Personal Reality by a factor of 10 in each dimension… or rather the standard three dimensions, you rabid cheeselord. This can be purchased multiple times. Additional Space also upgrades various expansion options. T"&amp;"he first purchase of this brings you to 64 Million Cubic Meters, then 64 Billion Cubic Meters, then 64 Trillion Cubic Meters. Earth’s volume, for reference, is 1 Hexillion Cubic Meters and it’s surface area is 510 Quadrillion Square Meters. Cover the Eart"&amp;"h in storage facilities 100 meters high and you get 51 Quintillion Cubic Meters of Storage space. Repeatable")</f>
        <v>This Starting Space Upgrade expands your Personal Reality by a factor of 10 in each dimension… or rather the standard three dimensions, you rabid cheeselord. This can be purchased multiple times. Additional Space also upgrades various expansion options. The first purchase of this brings you to 64 Million Cubic Meters, then 64 Billion Cubic Meters, then 64 Trillion Cubic Meters. Earth’s volume, for reference, is 1 Hexillion Cubic Meters and it’s surface area is 510 Quadrillion Square Meters. Cover the Earth in storage facilities 100 meters high and you get 51 Quintillion Cubic Meters of Storage space. Repeatable</v>
      </c>
    </row>
    <row r="495">
      <c r="A495" s="31" t="str">
        <f>IFERROR(__xludf.DUMMYFUNCTION("""COMPUTED_VALUE"""),"Chapter 96: 69 Magic Instruction
Extranet (Personal Reality) 200:
This handy add on connects your Personal Reality with the local Data Networks of the Universe you’re currently in… not only that, but it gets the kind of performance only really ever seen b"&amp;"y ISPs at their hubs. If your current Reality of Residence does not have a Data Network, this will connect to the nearest equivalent.. yes, even if that is nothing more than a town gossip and a local library.
Facility")</f>
        <v>Chapter 96: 69 Magic Instruction
Extranet (Personal Reality) 200:
This handy add on connects your Personal Reality with the local Data Networks of the Universe you’re currently in… not only that, but it gets the kind of performance only really ever seen by ISPs at their hubs. If your current Reality of Residence does not have a Data Network, this will connect to the nearest equivalent.. yes, even if that is nothing more than a town gossip and a local library.
Facility</v>
      </c>
      <c r="B495" s="17">
        <f>IFERROR(__xludf.DUMMYFUNCTION("if(len(A495)&gt;0, value(REGEXEXTRACT(A495, ""Chapter ([0-9]*):"")), """")"),96.0)</f>
        <v>96</v>
      </c>
      <c r="C495" s="31" t="str">
        <f>IFERROR(__xludf.DUMMYFUNCTION("if(len(A495) &gt;0, REGEXEXTRACT(A495, ""Chapter [0-9]*: (.*)""), """")"),"69 Magic Instruction")</f>
        <v>69 Magic Instruction</v>
      </c>
      <c r="D495" s="31" t="str">
        <f>IFERROR(__xludf.DUMMYFUNCTION("if(len(A495)&gt;0, REGEXEXTRACT(A495, ""\n[^\(]*""), """")"),"
Extranet ")</f>
        <v>
Extranet </v>
      </c>
      <c r="E495" s="17" t="str">
        <f>IFERROR(__xludf.DUMMYFUNCTION("if(len(A495)&gt;0, REGEXEXTRACT(A495, ""\n([^\n]*)$""), """")"),"Facility")</f>
        <v>Facility</v>
      </c>
      <c r="F495" s="17" t="str">
        <f>IFERROR(__xludf.DUMMYFUNCTION("if(len(A495)&gt;0, REGEXEXTRACT(A495, ""\(([^\)]*)\)""), """")"),"Personal Reality")</f>
        <v>Personal Reality</v>
      </c>
      <c r="G495" s="17" t="str">
        <f>IFERROR(__xludf.DUMMYFUNCTION("if(len(A495)&gt;0, REGEXEXTRACT(A495, ""\)([^:]*):""), """")")," 200")</f>
        <v> 200</v>
      </c>
      <c r="H495" s="31" t="str">
        <f>IFERROR(__xludf.DUMMYFUNCTION("if(len(A495) &gt; 0, JOIN(char(10), FILTER(SPLIT(A495, char(10)), split(""false false "" &amp; rept(""true "", columns(SPLIT(A495, char(10)))-3) &amp; ""false"", "" ""))), """")"),"This handy add on connects your Personal Reality with the local Data Networks of the Universe you’re currently in… not only that, but it gets the kind of performance only really ever seen by ISPs at their hubs. If your current Reality of Residence does no"&amp;"t have a Data Network, this will connect to the nearest equivalent.. yes, even if that is nothing more than a town gossip and a local library.")</f>
        <v>This handy add on connects your Personal Reality with the local Data Networks of the Universe you’re currently in… not only that, but it gets the kind of performance only really ever seen by ISPs at their hubs. If your current Reality of Residence does not have a Data Network, this will connect to the nearest equivalent.. yes, even if that is nothing more than a town gossip and a local library.</v>
      </c>
    </row>
    <row r="496">
      <c r="A496" s="31" t="str">
        <f>IFERROR(__xludf.DUMMYFUNCTION("""COMPUTED_VALUE"""),"Chapter 96: 69 Magic Instruction
Bigger on the Inside (RWBY) 100:
A book teaching miniaturization techniques. Starts with Bazookas into bottles, leads into Cars into cupholders. They still weigh the same, unfortunately. A master of this knows how to min"&amp;"iaturize around living things! It's very uncomfortable for them, so they won't stay like that. Mastery of a skill-book, as you stretch beyond what the public can accomplish, will take at least three years of independent study and practice, with the approp"&amp;"riate resources.
System")</f>
        <v>Chapter 96: 69 Magic Instruction
Bigger on the Inside (RWBY) 100:
A book teaching miniaturization techniques. Starts with Bazookas into bottles, leads into Cars into cupholders. They still weigh the same, unfortunately. A master of this knows how to miniaturize around living things! It's very uncomfortable for them, so they won't stay like that. Mastery of a skill-book, as you stretch beyond what the public can accomplish, will take at least three years of independent study and practice, with the appropriate resources.
System</v>
      </c>
      <c r="B496" s="17">
        <f>IFERROR(__xludf.DUMMYFUNCTION("if(len(A496)&gt;0, value(REGEXEXTRACT(A496, ""Chapter ([0-9]*):"")), """")"),96.0)</f>
        <v>96</v>
      </c>
      <c r="C496" s="31" t="str">
        <f>IFERROR(__xludf.DUMMYFUNCTION("if(len(A496) &gt;0, REGEXEXTRACT(A496, ""Chapter [0-9]*: (.*)""), """")"),"69 Magic Instruction
")</f>
        <v>69 Magic Instruction
</v>
      </c>
      <c r="D496" s="31" t="str">
        <f>IFERROR(__xludf.DUMMYFUNCTION("if(len(A496)&gt;0, REGEXEXTRACT(A496, ""\n[^\(]*""), """")"),"
Bigger on the Inside ")</f>
        <v>
Bigger on the Inside </v>
      </c>
      <c r="E496" s="17" t="str">
        <f>IFERROR(__xludf.DUMMYFUNCTION("if(len(A496)&gt;0, REGEXEXTRACT(A496, ""\n([^\n]*)$""), """")"),"System")</f>
        <v>System</v>
      </c>
      <c r="F496" s="17" t="str">
        <f>IFERROR(__xludf.DUMMYFUNCTION("if(len(A496)&gt;0, REGEXEXTRACT(A496, ""\(([^\)]*)\)""), """")"),"RWBY")</f>
        <v>RWBY</v>
      </c>
      <c r="G496" s="17" t="str">
        <f>IFERROR(__xludf.DUMMYFUNCTION("if(len(A496)&gt;0, REGEXEXTRACT(A496, ""\)([^:]*):""), """")")," 100")</f>
        <v> 100</v>
      </c>
      <c r="H496" s="31" t="str">
        <f>IFERROR(__xludf.DUMMYFUNCTION("if(len(A496) &gt; 0, JOIN(char(10), FILTER(SPLIT(A496, char(10)), split(""false false "" &amp; rept(""true "", columns(SPLIT(A496, char(10)))-3) &amp; ""false"", "" ""))), """")"),"A book teaching miniaturization techniques. Starts with Bazookas into bottles, leads into Cars into cupholders. They still weigh the same, unfortunately. A master of this knows how to miniaturize around living things! It's very uncomfortable for them, so "&amp;"they won't stay like that. Mastery of a skill-book, as you stretch beyond what the public can accomplish, will take at least three years of independent study and practice, with the appropriate resources.")</f>
        <v>A book teaching miniaturization techniques. Starts with Bazookas into bottles, leads into Cars into cupholders. They still weigh the same, unfortunately. A master of this knows how to miniaturize around living things! It's very uncomfortable for them, so they won't stay like that. Mastery of a skill-book, as you stretch beyond what the public can accomplish, will take at least three years of independent study and practice, with the appropriate resources.</v>
      </c>
    </row>
    <row r="497">
      <c r="A497" s="31" t="str">
        <f>IFERROR(__xludf.DUMMYFUNCTION("""COMPUTED_VALUE"""),"Chapter 97: 70 Media Presence
Key Link (Personal Reality) 50:
With this Access Key Upgrade, you can now close the door while you are in the Personal Reality and use your key in a special podium in the entryway to link your Personal Reality Door to any doo"&amp;"r in your current Host Reality that you’ve previously used your Access Key on. If you have extra keys, any door opened by any of them can be accessed. You may also use a recall function to bring up a list of all the doors that have been accessed by any ke"&amp;"y, thus allowing you to follow a Companion should you so desire.
Facility")</f>
        <v>Chapter 97: 70 Media Presence
Key Link (Personal Reality) 50:
With this Access Key Upgrade, you can now close the door while you are in the Personal Reality and use your key in a special podium in the entryway to link your Personal Reality Door to any door in your current Host Reality that you’ve previously used your Access Key on. If you have extra keys, any door opened by any of them can be accessed. You may also use a recall function to bring up a list of all the doors that have been accessed by any key, thus allowing you to follow a Companion should you so desire.
Facility</v>
      </c>
      <c r="B497" s="17">
        <f>IFERROR(__xludf.DUMMYFUNCTION("if(len(A497)&gt;0, value(REGEXEXTRACT(A497, ""Chapter ([0-9]*):"")), """")"),97.0)</f>
        <v>97</v>
      </c>
      <c r="C497" s="31" t="str">
        <f>IFERROR(__xludf.DUMMYFUNCTION("if(len(A497) &gt;0, REGEXEXTRACT(A497, ""Chapter [0-9]*: (.*)""), """")"),"70 Media Presence")</f>
        <v>70 Media Presence</v>
      </c>
      <c r="D497" s="31" t="str">
        <f>IFERROR(__xludf.DUMMYFUNCTION("if(len(A497)&gt;0, REGEXEXTRACT(A497, ""\n[^\(]*""), """")"),"
Key Link ")</f>
        <v>
Key Link </v>
      </c>
      <c r="E497" s="17" t="str">
        <f>IFERROR(__xludf.DUMMYFUNCTION("if(len(A497)&gt;0, REGEXEXTRACT(A497, ""\n([^\n]*)$""), """")"),"Facility")</f>
        <v>Facility</v>
      </c>
      <c r="F497" s="17" t="str">
        <f>IFERROR(__xludf.DUMMYFUNCTION("if(len(A497)&gt;0, REGEXEXTRACT(A497, ""\(([^\)]*)\)""), """")"),"Personal Reality")</f>
        <v>Personal Reality</v>
      </c>
      <c r="G497" s="17" t="str">
        <f>IFERROR(__xludf.DUMMYFUNCTION("if(len(A497)&gt;0, REGEXEXTRACT(A497, ""\)([^:]*):""), """")")," 50")</f>
        <v> 50</v>
      </c>
      <c r="H497" s="31" t="str">
        <f>IFERROR(__xludf.DUMMYFUNCTION("if(len(A497) &gt; 0, JOIN(char(10), FILTER(SPLIT(A497, char(10)), split(""false false "" &amp; rept(""true "", columns(SPLIT(A497, char(10)))-3) &amp; ""false"", "" ""))), """")"),"With this Access Key Upgrade, you can now close the door while you are in the Personal Reality and use your key in a special podium in the entryway to link your Personal Reality Door to any door in your current Host Reality that you’ve previously used you"&amp;"r Access Key on. If you have extra keys, any door opened by any of them can be accessed. You may also use a recall function to bring up a list of all the doors that have been accessed by any key, thus allowing you to follow a Companion should you so desir"&amp;"e.")</f>
        <v>With this Access Key Upgrade, you can now close the door while you are in the Personal Reality and use your key in a special podium in the entryway to link your Personal Reality Door to any door in your current Host Reality that you’ve previously used your Access Key on. If you have extra keys, any door opened by any of them can be accessed. You may also use a recall function to bring up a list of all the doors that have been accessed by any key, thus allowing you to follow a Companion should you so desire.</v>
      </c>
    </row>
    <row r="498">
      <c r="A498" s="31" t="str">
        <f>IFERROR(__xludf.DUMMYFUNCTION("""COMPUTED_VALUE"""),"Chapter 97: 70 Media Presence
Windows (Personal Reality) 50:
Rooms in your Personal Reality receive windows which look out onto some scenery of the current Jump. The view can be customized per room, but can’t be used for spying purposes or to view private"&amp;" moments.
Facility")</f>
        <v>Chapter 97: 70 Media Presence
Windows (Personal Reality) 50:
Rooms in your Personal Reality receive windows which look out onto some scenery of the current Jump. The view can be customized per room, but can’t be used for spying purposes or to view private moments.
Facility</v>
      </c>
      <c r="B498" s="17">
        <f>IFERROR(__xludf.DUMMYFUNCTION("if(len(A498)&gt;0, value(REGEXEXTRACT(A498, ""Chapter ([0-9]*):"")), """")"),97.0)</f>
        <v>97</v>
      </c>
      <c r="C498" s="31" t="str">
        <f>IFERROR(__xludf.DUMMYFUNCTION("if(len(A498) &gt;0, REGEXEXTRACT(A498, ""Chapter [0-9]*: (.*)""), """")"),"70 Media Presence")</f>
        <v>70 Media Presence</v>
      </c>
      <c r="D498" s="31" t="str">
        <f>IFERROR(__xludf.DUMMYFUNCTION("if(len(A498)&gt;0, REGEXEXTRACT(A498, ""\n[^\(]*""), """")"),"
Windows ")</f>
        <v>
Windows </v>
      </c>
      <c r="E498" s="17" t="str">
        <f>IFERROR(__xludf.DUMMYFUNCTION("if(len(A498)&gt;0, REGEXEXTRACT(A498, ""\n([^\n]*)$""), """")"),"Facility")</f>
        <v>Facility</v>
      </c>
      <c r="F498" s="17" t="str">
        <f>IFERROR(__xludf.DUMMYFUNCTION("if(len(A498)&gt;0, REGEXEXTRACT(A498, ""\(([^\)]*)\)""), """")"),"Personal Reality")</f>
        <v>Personal Reality</v>
      </c>
      <c r="G498" s="17" t="str">
        <f>IFERROR(__xludf.DUMMYFUNCTION("if(len(A498)&gt;0, REGEXEXTRACT(A498, ""\)([^:]*):""), """")")," 50")</f>
        <v> 50</v>
      </c>
      <c r="H498" s="31" t="str">
        <f>IFERROR(__xludf.DUMMYFUNCTION("if(len(A498) &gt; 0, JOIN(char(10), FILTER(SPLIT(A498, char(10)), split(""false false "" &amp; rept(""true "", columns(SPLIT(A498, char(10)))-3) &amp; ""false"", "" ""))), """")"),"Rooms in your Personal Reality receive windows which look out onto some scenery of the current Jump. The view can be customized per room, but can’t be used for spying purposes or to view private moments.")</f>
        <v>Rooms in your Personal Reality receive windows which look out onto some scenery of the current Jump. The view can be customized per room, but can’t be used for spying purposes or to view private moments.</v>
      </c>
    </row>
    <row r="499">
      <c r="A499" s="31" t="str">
        <f>IFERROR(__xludf.DUMMYFUNCTION("""COMPUTED_VALUE"""),"Chapter 98: 71 Good Faith - Preamble PHO
Shooting Range (Personal Reality) 50:
This adds a high tech shooting range to your Personal Reality so that you and your companions can to practice your marksmanship in a safe environment. The Shooting Range comes "&amp;"with a fully functional but harmless copy of any weapon you’re familiar with. They have the exact same weight, balance, and accuracy. These duplicates are colored like nerf weapons so you don’t get them confused if you accidentally take them out of the Ra"&amp;"nge. If you also have the Underside or Arena, you automatically get a self-reconfiguring laser-tag arena. If you have both you automatically get an urban combat training course, and if you have the Woods, you get an outdoor shooting range / wilderness com"&amp;"bat training ground. If you have Weather Control, you can change the terrain and climate inside this zone. Said zones’ size depends on how much space you have. If you’re running with only Starting Size, your Laser-Tag Arenas are going to be 40 m on a side"&amp;" and 2 stories tall. Every size expansion applies to the arenas as well, doubling the height and multiplying the footprint by x100 (400 m x 400 m x 4 stories, 4 km x 4 km x 8 stories, 40 km x 40 km by 16 stories, and so on.)
Facility")</f>
        <v>Chapter 98: 71 Good Faith - Preamble PHO
Shooting Range (Personal Reality) 50:
This adds a high tech shooting range to your Personal Reality so that you and your companions can to practice your marksmanship in a safe environment. The Shooting Range comes with a fully functional but harmless copy of any weapon you’re familiar with. They have the exact same weight, balance, and accuracy. These duplicates are colored like nerf weapons so you don’t get them confused if you accidentally take them out of the Range. If you also have the Underside or Arena, you automatically get a self-reconfiguring laser-tag arena. If you have both you automatically get an urban combat training course, and if you have the Woods, you get an outdoor shooting range / wilderness combat training ground. If you have Weather Control, you can change the terrain and climate inside this zone. Said zones’ size depends on how much space you have. If you’re running with only Starting Size, your Laser-Tag Arenas are going to be 40 m on a side and 2 stories tall. Every size expansion applies to the arenas as well, doubling the height and multiplying the footprint by x100 (400 m x 400 m x 4 stories, 4 km x 4 km x 8 stories, 40 km x 40 km by 16 stories, and so on.)
Facility</v>
      </c>
      <c r="B499" s="17">
        <f>IFERROR(__xludf.DUMMYFUNCTION("if(len(A499)&gt;0, value(REGEXEXTRACT(A499, ""Chapter ([0-9]*):"")), """")"),98.0)</f>
        <v>98</v>
      </c>
      <c r="C499" s="31" t="str">
        <f>IFERROR(__xludf.DUMMYFUNCTION("if(len(A499) &gt;0, REGEXEXTRACT(A499, ""Chapter [0-9]*: (.*)""), """")"),"71 Good Faith - Preamble PHO")</f>
        <v>71 Good Faith - Preamble PHO</v>
      </c>
      <c r="D499" s="31" t="str">
        <f>IFERROR(__xludf.DUMMYFUNCTION("if(len(A499)&gt;0, REGEXEXTRACT(A499, ""\n[^\(]*""), """")"),"
Shooting Range ")</f>
        <v>
Shooting Range </v>
      </c>
      <c r="E499" s="17" t="str">
        <f>IFERROR(__xludf.DUMMYFUNCTION("if(len(A499)&gt;0, REGEXEXTRACT(A499, ""\n([^\n]*)$""), """")"),"Facility")</f>
        <v>Facility</v>
      </c>
      <c r="F499" s="17" t="str">
        <f>IFERROR(__xludf.DUMMYFUNCTION("if(len(A499)&gt;0, REGEXEXTRACT(A499, ""\(([^\)]*)\)""), """")"),"Personal Reality")</f>
        <v>Personal Reality</v>
      </c>
      <c r="G499" s="17" t="str">
        <f>IFERROR(__xludf.DUMMYFUNCTION("if(len(A499)&gt;0, REGEXEXTRACT(A499, ""\)([^:]*):""), """")")," 50")</f>
        <v> 50</v>
      </c>
      <c r="H499" s="31" t="str">
        <f>IFERROR(__xludf.DUMMYFUNCTION("if(len(A499) &gt; 0, JOIN(char(10), FILTER(SPLIT(A499, char(10)), split(""false false "" &amp; rept(""true "", columns(SPLIT(A499, char(10)))-3) &amp; ""false"", "" ""))), """")"),"This adds a high tech shooting range to your Personal Reality so that you and your companions can to practice your marksmanship in a safe environment. The Shooting Range comes with a fully functional but harmless copy of any weapon you’re familiar with. T"&amp;"hey have the exact same weight, balance, and accuracy. These duplicates are colored like nerf weapons so you don’t get them confused if you accidentally take them out of the Range. If you also have the Underside or Arena, you automatically get a self-reco"&amp;"nfiguring laser-tag arena. If you have both you automatically get an urban combat training course, and if you have the Woods, you get an outdoor shooting range / wilderness combat training ground. If you have Weather Control, you can change the terrain an"&amp;"d climate inside this zone. Said zones’ size depends on how much space you have. If you’re running with only Starting Size, your Laser-Tag Arenas are going to be 40 m on a side and 2 stories tall. Every size expansion applies to the arenas as well, doubli"&amp;"ng the height and multiplying the footprint by x100 (400 m x 400 m x 4 stories, 4 km x 4 km x 8 stories, 40 km x 40 km by 16 stories, and so on.)")</f>
        <v>This adds a high tech shooting range to your Personal Reality so that you and your companions can to practice your marksmanship in a safe environment. The Shooting Range comes with a fully functional but harmless copy of any weapon you’re familiar with. They have the exact same weight, balance, and accuracy. These duplicates are colored like nerf weapons so you don’t get them confused if you accidentally take them out of the Range. If you also have the Underside or Arena, you automatically get a self-reconfiguring laser-tag arena. If you have both you automatically get an urban combat training course, and if you have the Woods, you get an outdoor shooting range / wilderness combat training ground. If you have Weather Control, you can change the terrain and climate inside this zone. Said zones’ size depends on how much space you have. If you’re running with only Starting Size, your Laser-Tag Arenas are going to be 40 m on a side and 2 stories tall. Every size expansion applies to the arenas as well, doubling the height and multiplying the footprint by x100 (400 m x 400 m x 4 stories, 4 km x 4 km x 8 stories, 40 km x 40 km by 16 stories, and so on.)</v>
      </c>
    </row>
    <row r="500">
      <c r="A500" s="31" t="str">
        <f>IFERROR(__xludf.DUMMYFUNCTION("""COMPUTED_VALUE"""),"Chapter 98: 71 Good Faith - Preamble PHO
Trophy Room (Personal Reality) 50:
A spacious chamber set up for you to aesthetically showcase the various trophies and rewards you will gather on your chain. It keeps them safe and from causing harm or from decayi"&amp;"ng.
Facility")</f>
        <v>Chapter 98: 71 Good Faith - Preamble PHO
Trophy Room (Personal Reality) 50:
A spacious chamber set up for you to aesthetically showcase the various trophies and rewards you will gather on your chain. It keeps them safe and from causing harm or from decaying.
Facility</v>
      </c>
      <c r="B500" s="17">
        <f>IFERROR(__xludf.DUMMYFUNCTION("if(len(A500)&gt;0, value(REGEXEXTRACT(A500, ""Chapter ([0-9]*):"")), """")"),98.0)</f>
        <v>98</v>
      </c>
      <c r="C500" s="31" t="str">
        <f>IFERROR(__xludf.DUMMYFUNCTION("if(len(A500) &gt;0, REGEXEXTRACT(A500, ""Chapter [0-9]*: (.*)""), """")"),"71 Good Faith - Preamble PHO")</f>
        <v>71 Good Faith - Preamble PHO</v>
      </c>
      <c r="D500" s="31" t="str">
        <f>IFERROR(__xludf.DUMMYFUNCTION("if(len(A500)&gt;0, REGEXEXTRACT(A500, ""\n[^\(]*""), """")"),"
Trophy Room ")</f>
        <v>
Trophy Room </v>
      </c>
      <c r="E500" s="17" t="str">
        <f>IFERROR(__xludf.DUMMYFUNCTION("if(len(A500)&gt;0, REGEXEXTRACT(A500, ""\n([^\n]*)$""), """")"),"Facility")</f>
        <v>Facility</v>
      </c>
      <c r="F500" s="17" t="str">
        <f>IFERROR(__xludf.DUMMYFUNCTION("if(len(A500)&gt;0, REGEXEXTRACT(A500, ""\(([^\)]*)\)""), """")"),"Personal Reality")</f>
        <v>Personal Reality</v>
      </c>
      <c r="G500" s="17" t="str">
        <f>IFERROR(__xludf.DUMMYFUNCTION("if(len(A500)&gt;0, REGEXEXTRACT(A500, ""\)([^:]*):""), """")")," 50")</f>
        <v> 50</v>
      </c>
      <c r="H500" s="31" t="str">
        <f>IFERROR(__xludf.DUMMYFUNCTION("if(len(A500) &gt; 0, JOIN(char(10), FILTER(SPLIT(A500, char(10)), split(""false false "" &amp; rept(""true "", columns(SPLIT(A500, char(10)))-3) &amp; ""false"", "" ""))), """")"),"A spacious chamber set up for you to aesthetically showcase the various trophies and rewards you will gather on your chain. It keeps them safe and from causing harm or from decaying.")</f>
        <v>A spacious chamber set up for you to aesthetically showcase the various trophies and rewards you will gather on your chain. It keeps them safe and from causing harm or from decaying.</v>
      </c>
    </row>
    <row r="501">
      <c r="A501" s="31" t="str">
        <f>IFERROR(__xludf.DUMMYFUNCTION("""COMPUTED_VALUE"""),"Chapter 98: 71 Good Faith - Preamble PHO
Cyborg Hindu Godbody (Asura’s Wrath) 400:
You have a genetically, cybernetically and magically enhanced physiology, and the knowledge to propagate this technology. Your capacity to wield Mantra is enhanced, both "&amp;"accepting general Mantra as well as your primary association. This constructed body can heal itself, or be repaired by yourself or others. Your magical physiology is obvious, but always aesthetically pleasing. You can survive in space without a suit, endu"&amp;"re planetbusting attacks with sufficient Mantra, and are otherwise ageless. This increases your maximum Mantra Level by 2.
If you took any of the theotech cybernetic perks, those upgrades are integrated seamlessly into your body however, channeling large"&amp;"r amounts of Mantra can gradually reveal your body’s true nature. Basically you get a perfect passive ‘I’m normal!’ disguise until you bust open the mantra.
Personal")</f>
        <v>Chapter 98: 71 Good Faith - Preamble PHO
Cyborg Hindu Godbody (Asura’s Wrath) 400:
You have a genetically, cybernetically and magically enhanced physiology, and the knowledge to propagate this technology. Your capacity to wield Mantra is enhanced, both accepting general Mantra as well as your primary association. This constructed body can heal itself, or be repaired by yourself or others. Your magical physiology is obvious, but always aesthetically pleasing. You can survive in space without a suit, endure planetbusting attacks with sufficient Mantra, and are otherwise ageless. This increases your maximum Mantra Level by 2.
If you took any of the theotech cybernetic perks, those upgrades are integrated seamlessly into your body however, channeling larger amounts of Mantra can gradually reveal your body’s true nature. Basically you get a perfect passive ‘I’m normal!’ disguise until you bust open the mantra.
Personal</v>
      </c>
      <c r="B501" s="17">
        <f>IFERROR(__xludf.DUMMYFUNCTION("if(len(A501)&gt;0, value(REGEXEXTRACT(A501, ""Chapter ([0-9]*):"")), """")"),98.0)</f>
        <v>98</v>
      </c>
      <c r="C501" s="31" t="str">
        <f>IFERROR(__xludf.DUMMYFUNCTION("if(len(A501) &gt;0, REGEXEXTRACT(A501, ""Chapter [0-9]*: (.*)""), """")"),"71 Good Faith - Preamble PHO
")</f>
        <v>71 Good Faith - Preamble PHO
</v>
      </c>
      <c r="D501" s="31" t="str">
        <f>IFERROR(__xludf.DUMMYFUNCTION("if(len(A501)&gt;0, REGEXEXTRACT(A501, ""\n[^\(]*""), """")"),"
Cyborg Hindu Godbody ")</f>
        <v>
Cyborg Hindu Godbody </v>
      </c>
      <c r="E501" s="17" t="str">
        <f>IFERROR(__xludf.DUMMYFUNCTION("if(len(A501)&gt;0, REGEXEXTRACT(A501, ""\n([^\n]*)$""), """")"),"Personal")</f>
        <v>Personal</v>
      </c>
      <c r="F501" s="17" t="str">
        <f>IFERROR(__xludf.DUMMYFUNCTION("if(len(A501)&gt;0, REGEXEXTRACT(A501, ""\(([^\)]*)\)""), """")"),"Asura’s Wrath")</f>
        <v>Asura’s Wrath</v>
      </c>
      <c r="G501" s="17" t="str">
        <f>IFERROR(__xludf.DUMMYFUNCTION("if(len(A501)&gt;0, REGEXEXTRACT(A501, ""\)([^:]*):""), """")")," 400")</f>
        <v> 400</v>
      </c>
      <c r="H501" s="31" t="str">
        <f>IFERROR(__xludf.DUMMYFUNCTION("if(len(A501) &gt; 0, JOIN(char(10), FILTER(SPLIT(A501, char(10)), split(""false false "" &amp; rept(""true "", columns(SPLIT(A501, char(10)))-3) &amp; ""false"", "" ""))), """")"),"You have a genetically, cybernetically and magically enhanced physiology, and the knowledge to propagate this technology. Your capacity to wield Mantra is enhanced, both accepting general Mantra as well as your primary association. This constructed body c"&amp;"an heal itself, or be repaired by yourself or others. Your magical physiology is obvious, but always aesthetically pleasing. You can survive in space without a suit, endure planetbusting attacks with sufficient Mantra, and are otherwise ageless. This incr"&amp;"eases your maximum Mantra Level by 2.
If you took any of the theotech cybernetic perks, those upgrades are integrated seamlessly into your body however, channeling larger amounts of Mantra can gradually reveal your body’s true nature. Basically you get a"&amp;" perfect passive ‘I’m normal!’ disguise until you bust open the mantra.")</f>
        <v>You have a genetically, cybernetically and magically enhanced physiology, and the knowledge to propagate this technology. Your capacity to wield Mantra is enhanced, both accepting general Mantra as well as your primary association. This constructed body can heal itself, or be repaired by yourself or others. Your magical physiology is obvious, but always aesthetically pleasing. You can survive in space without a suit, endure planetbusting attacks with sufficient Mantra, and are otherwise ageless. This increases your maximum Mantra Level by 2.
If you took any of the theotech cybernetic perks, those upgrades are integrated seamlessly into your body however, channeling larger amounts of Mantra can gradually reveal your body’s true nature. Basically you get a perfect passive ‘I’m normal!’ disguise until you bust open the mantra.</v>
      </c>
    </row>
    <row r="502">
      <c r="A502" s="31" t="str">
        <f>IFERROR(__xludf.DUMMYFUNCTION("""COMPUTED_VALUE"""),"Chapter 98: 71 Good Faith - Preamble PHO
Technical Training (40k Redux) 100:
Skill in using and maintaining 40k tech, does not apply to Ancient or Alien technology.
System")</f>
        <v>Chapter 98: 71 Good Faith - Preamble PHO
Technical Training (40k Redux) 100:
Skill in using and maintaining 40k tech, does not apply to Ancient or Alien technology.
System</v>
      </c>
      <c r="B502" s="17">
        <f>IFERROR(__xludf.DUMMYFUNCTION("if(len(A502)&gt;0, value(REGEXEXTRACT(A502, ""Chapter ([0-9]*):"")), """")"),98.0)</f>
        <v>98</v>
      </c>
      <c r="C502" s="31" t="str">
        <f>IFERROR(__xludf.DUMMYFUNCTION("if(len(A502) &gt;0, REGEXEXTRACT(A502, ""Chapter [0-9]*: (.*)""), """")"),"71 Good Faith - Preamble PHO
")</f>
        <v>71 Good Faith - Preamble PHO
</v>
      </c>
      <c r="D502" s="31" t="str">
        <f>IFERROR(__xludf.DUMMYFUNCTION("if(len(A502)&gt;0, REGEXEXTRACT(A502, ""\n[^\(]*""), """")"),"
Technical Training ")</f>
        <v>
Technical Training </v>
      </c>
      <c r="E502" s="17" t="str">
        <f>IFERROR(__xludf.DUMMYFUNCTION("if(len(A502)&gt;0, REGEXEXTRACT(A502, ""\n([^\n]*)$""), """")"),"System")</f>
        <v>System</v>
      </c>
      <c r="F502" s="17" t="str">
        <f>IFERROR(__xludf.DUMMYFUNCTION("if(len(A502)&gt;0, REGEXEXTRACT(A502, ""\(([^\)]*)\)""), """")"),"40k Redux")</f>
        <v>40k Redux</v>
      </c>
      <c r="G502" s="17" t="str">
        <f>IFERROR(__xludf.DUMMYFUNCTION("if(len(A502)&gt;0, REGEXEXTRACT(A502, ""\)([^:]*):""), """")")," 100")</f>
        <v> 100</v>
      </c>
      <c r="H502" s="31" t="str">
        <f>IFERROR(__xludf.DUMMYFUNCTION("if(len(A502) &gt; 0, JOIN(char(10), FILTER(SPLIT(A502, char(10)), split(""false false "" &amp; rept(""true "", columns(SPLIT(A502, char(10)))-3) &amp; ""false"", "" ""))), """")"),"Skill in using and maintaining 40k tech, does not apply to Ancient or Alien technology.")</f>
        <v>Skill in using and maintaining 40k tech, does not apply to Ancient or Alien technology.</v>
      </c>
    </row>
    <row r="503">
      <c r="A503" s="31" t="str">
        <f>IFERROR(__xludf.DUMMYFUNCTION("""COMPUTED_VALUE"""),"Chapter 99: 72 Cakewalk
Fly a Kite (Personal Reality) 100:
While this doesn’t add any usable height to your Personal Reality, it means that all the sky space is free for use for flying kites or hot air ballooning
Facility")</f>
        <v>Chapter 99: 72 Cakewalk
Fly a Kite (Personal Reality) 100:
While this doesn’t add any usable height to your Personal Reality, it means that all the sky space is free for use for flying kites or hot air ballooning
Facility</v>
      </c>
      <c r="B503" s="17">
        <f>IFERROR(__xludf.DUMMYFUNCTION("if(len(A503)&gt;0, value(REGEXEXTRACT(A503, ""Chapter ([0-9]*):"")), """")"),99.0)</f>
        <v>99</v>
      </c>
      <c r="C503" s="31" t="str">
        <f>IFERROR(__xludf.DUMMYFUNCTION("if(len(A503) &gt;0, REGEXEXTRACT(A503, ""Chapter [0-9]*: (.*)""), """")"),"72 Cakewalk")</f>
        <v>72 Cakewalk</v>
      </c>
      <c r="D503" s="31" t="str">
        <f>IFERROR(__xludf.DUMMYFUNCTION("if(len(A503)&gt;0, REGEXEXTRACT(A503, ""\n[^\(]*""), """")"),"
Fly a Kite ")</f>
        <v>
Fly a Kite </v>
      </c>
      <c r="E503" s="17" t="str">
        <f>IFERROR(__xludf.DUMMYFUNCTION("if(len(A503)&gt;0, REGEXEXTRACT(A503, ""\n([^\n]*)$""), """")"),"Facility")</f>
        <v>Facility</v>
      </c>
      <c r="F503" s="17" t="str">
        <f>IFERROR(__xludf.DUMMYFUNCTION("if(len(A503)&gt;0, REGEXEXTRACT(A503, ""\(([^\)]*)\)""), """")"),"Personal Reality")</f>
        <v>Personal Reality</v>
      </c>
      <c r="G503" s="17" t="str">
        <f>IFERROR(__xludf.DUMMYFUNCTION("if(len(A503)&gt;0, REGEXEXTRACT(A503, ""\)([^:]*):""), """")")," 100")</f>
        <v> 100</v>
      </c>
      <c r="H503" s="31" t="str">
        <f>IFERROR(__xludf.DUMMYFUNCTION("if(len(A503) &gt; 0, JOIN(char(10), FILTER(SPLIT(A503, char(10)), split(""false false "" &amp; rept(""true "", columns(SPLIT(A503, char(10)))-3) &amp; ""false"", "" ""))), """")"),"While this doesn’t add any usable height to your Personal Reality, it means that all the sky space is free for use for flying kites or hot air ballooning")</f>
        <v>While this doesn’t add any usable height to your Personal Reality, it means that all the sky space is free for use for flying kites or hot air ballooning</v>
      </c>
    </row>
    <row r="504">
      <c r="A504" s="31" t="str">
        <f>IFERROR(__xludf.DUMMYFUNCTION("""COMPUTED_VALUE"""),"Chapter 99: 72 Cakewalk
Sky Simulator (Personal Reality) 100:
This replaces your boring drab ceiling with a completely realistic sky simulation… or a non-realistic sky simulation if you prefer the universe to look like something out a Bosch painting. Sinc"&amp;"e this means you won’t have a ceiling to attach anything to, all your lighting options now come with Street Lamps. Note that this does not add any height to your Personal Reality.
Facility")</f>
        <v>Chapter 99: 72 Cakewalk
Sky Simulator (Personal Reality) 100:
This replaces your boring drab ceiling with a completely realistic sky simulation… or a non-realistic sky simulation if you prefer the universe to look like something out a Bosch painting. Since this means you won’t have a ceiling to attach anything to, all your lighting options now come with Street Lamps. Note that this does not add any height to your Personal Reality.
Facility</v>
      </c>
      <c r="B504" s="17">
        <f>IFERROR(__xludf.DUMMYFUNCTION("if(len(A504)&gt;0, value(REGEXEXTRACT(A504, ""Chapter ([0-9]*):"")), """")"),99.0)</f>
        <v>99</v>
      </c>
      <c r="C504" s="31" t="str">
        <f>IFERROR(__xludf.DUMMYFUNCTION("if(len(A504) &gt;0, REGEXEXTRACT(A504, ""Chapter [0-9]*: (.*)""), """")"),"72 Cakewalk")</f>
        <v>72 Cakewalk</v>
      </c>
      <c r="D504" s="31" t="str">
        <f>IFERROR(__xludf.DUMMYFUNCTION("if(len(A504)&gt;0, REGEXEXTRACT(A504, ""\n[^\(]*""), """")"),"
Sky Simulator ")</f>
        <v>
Sky Simulator </v>
      </c>
      <c r="E504" s="17" t="str">
        <f>IFERROR(__xludf.DUMMYFUNCTION("if(len(A504)&gt;0, REGEXEXTRACT(A504, ""\n([^\n]*)$""), """")"),"Facility")</f>
        <v>Facility</v>
      </c>
      <c r="F504" s="17" t="str">
        <f>IFERROR(__xludf.DUMMYFUNCTION("if(len(A504)&gt;0, REGEXEXTRACT(A504, ""\(([^\)]*)\)""), """")"),"Personal Reality")</f>
        <v>Personal Reality</v>
      </c>
      <c r="G504" s="17" t="str">
        <f>IFERROR(__xludf.DUMMYFUNCTION("if(len(A504)&gt;0, REGEXEXTRACT(A504, ""\)([^:]*):""), """")")," 100")</f>
        <v> 100</v>
      </c>
      <c r="H504" s="31" t="str">
        <f>IFERROR(__xludf.DUMMYFUNCTION("if(len(A504) &gt; 0, JOIN(char(10), FILTER(SPLIT(A504, char(10)), split(""false false "" &amp; rept(""true "", columns(SPLIT(A504, char(10)))-3) &amp; ""false"", "" ""))), """")"),"This replaces your boring drab ceiling with a completely realistic sky simulation… or a non-realistic sky simulation if you prefer the universe to look like something out a Bosch painting. Since this means you won’t have a ceiling to attach anything to, a"&amp;"ll your lighting options now come with Street Lamps. Note that this does not add any height to your Personal Reality.")</f>
        <v>This replaces your boring drab ceiling with a completely realistic sky simulation… or a non-realistic sky simulation if you prefer the universe to look like something out a Bosch painting. Since this means you won’t have a ceiling to attach anything to, all your lighting options now come with Street Lamps. Note that this does not add any height to your Personal Reality.</v>
      </c>
    </row>
    <row r="505">
      <c r="A505" s="31"/>
      <c r="B505" s="17" t="str">
        <f>IFERROR(__xludf.DUMMYFUNCTION("if(len(A505)&gt;0, value(REGEXEXTRACT(A505, ""Chapter ([0-9]*):"")), """")"),"")</f>
        <v/>
      </c>
      <c r="C505" s="31" t="str">
        <f>IFERROR(__xludf.DUMMYFUNCTION("if(len(A505) &gt;0, REGEXEXTRACT(A505, ""Chapter [0-9]*: (.*)""), """")"),"")</f>
        <v/>
      </c>
      <c r="D505" s="31" t="str">
        <f>IFERROR(__xludf.DUMMYFUNCTION("if(len(A505)&gt;0, REGEXEXTRACT(A505, ""\n[^\(]*""), """")"),"")</f>
        <v/>
      </c>
      <c r="E505" s="17" t="str">
        <f>IFERROR(__xludf.DUMMYFUNCTION("if(len(A505)&gt;0, REGEXEXTRACT(A505, ""\n([^\n]*)$""), """")"),"")</f>
        <v/>
      </c>
      <c r="F505" s="17" t="str">
        <f>IFERROR(__xludf.DUMMYFUNCTION("if(len(A505)&gt;0, REGEXEXTRACT(A505, ""\(([^\)]*)\)""), """")"),"")</f>
        <v/>
      </c>
      <c r="G505" s="17" t="str">
        <f>IFERROR(__xludf.DUMMYFUNCTION("if(len(A505)&gt;0, REGEXEXTRACT(A505, ""\)([^:]*):""), """")"),"")</f>
        <v/>
      </c>
      <c r="H505" s="31" t="str">
        <f>IFERROR(__xludf.DUMMYFUNCTION("if(len(A505) &gt; 0, JOIN(char(10), FILTER(SPLIT(A505, char(10)), split(""false false "" &amp; rept(""true "", columns(SPLIT(A505, char(10)))-3) &amp; ""false"", "" ""))), """")"),"")</f>
        <v/>
      </c>
    </row>
    <row r="506">
      <c r="A506" s="31"/>
      <c r="B506" s="17" t="str">
        <f>IFERROR(__xludf.DUMMYFUNCTION("if(len(A506)&gt;0, value(REGEXEXTRACT(A506, ""Chapter ([0-9]*):"")), """")"),"")</f>
        <v/>
      </c>
      <c r="C506" s="31" t="str">
        <f>IFERROR(__xludf.DUMMYFUNCTION("if(len(A506) &gt;0, REGEXEXTRACT(A506, ""Chapter [0-9]*: (.*)""), """")"),"")</f>
        <v/>
      </c>
      <c r="D506" s="31" t="str">
        <f>IFERROR(__xludf.DUMMYFUNCTION("if(len(A506)&gt;0, REGEXEXTRACT(A506, ""\n[^\(]*""), """")"),"")</f>
        <v/>
      </c>
      <c r="E506" s="17" t="str">
        <f>IFERROR(__xludf.DUMMYFUNCTION("if(len(A506)&gt;0, REGEXEXTRACT(A506, ""\n([^\n]*)$""), """")"),"")</f>
        <v/>
      </c>
      <c r="F506" s="17" t="str">
        <f>IFERROR(__xludf.DUMMYFUNCTION("if(len(A506)&gt;0, REGEXEXTRACT(A506, ""\(([^\)]*)\)""), """")"),"")</f>
        <v/>
      </c>
      <c r="G506" s="17" t="str">
        <f>IFERROR(__xludf.DUMMYFUNCTION("if(len(A506)&gt;0, REGEXEXTRACT(A506, ""\)([^:]*):""), """")"),"")</f>
        <v/>
      </c>
      <c r="H506" s="31" t="str">
        <f>IFERROR(__xludf.DUMMYFUNCTION("if(len(A506) &gt; 0, JOIN(char(10), FILTER(SPLIT(A506, char(10)), split(""false false "" &amp; rept(""true "", columns(SPLIT(A506, char(10)))-3) &amp; ""false"", "" ""))), """")"),"")</f>
        <v/>
      </c>
    </row>
    <row r="507">
      <c r="A507" s="31"/>
      <c r="B507" s="17" t="str">
        <f>IFERROR(__xludf.DUMMYFUNCTION("if(len(A507)&gt;0, value(REGEXEXTRACT(A507, ""Chapter ([0-9]*):"")), """")"),"")</f>
        <v/>
      </c>
      <c r="C507" s="31" t="str">
        <f>IFERROR(__xludf.DUMMYFUNCTION("if(len(A507) &gt;0, REGEXEXTRACT(A507, ""Chapter [0-9]*: (.*)""), """")"),"")</f>
        <v/>
      </c>
      <c r="D507" s="31" t="str">
        <f>IFERROR(__xludf.DUMMYFUNCTION("if(len(A507)&gt;0, REGEXEXTRACT(A507, ""\n[^\(]*""), """")"),"")</f>
        <v/>
      </c>
      <c r="E507" s="17" t="str">
        <f>IFERROR(__xludf.DUMMYFUNCTION("if(len(A507)&gt;0, REGEXEXTRACT(A507, ""\n([^\n]*)$""), """")"),"")</f>
        <v/>
      </c>
      <c r="F507" s="17" t="str">
        <f>IFERROR(__xludf.DUMMYFUNCTION("if(len(A507)&gt;0, REGEXEXTRACT(A507, ""\(([^\)]*)\)""), """")"),"")</f>
        <v/>
      </c>
      <c r="G507" s="17" t="str">
        <f>IFERROR(__xludf.DUMMYFUNCTION("if(len(A507)&gt;0, REGEXEXTRACT(A507, ""\)([^:]*):""), """")"),"")</f>
        <v/>
      </c>
      <c r="H507" s="31" t="str">
        <f>IFERROR(__xludf.DUMMYFUNCTION("if(len(A507) &gt; 0, JOIN(char(10), FILTER(SPLIT(A507, char(10)), split(""false false "" &amp; rept(""true "", columns(SPLIT(A507, char(10)))-3) &amp; ""false"", "" ""))), """")"),"")</f>
        <v/>
      </c>
    </row>
    <row r="508">
      <c r="A508" s="31"/>
      <c r="B508" s="17" t="str">
        <f>IFERROR(__xludf.DUMMYFUNCTION("if(len(A508)&gt;0, value(REGEXEXTRACT(A508, ""Chapter ([0-9]*):"")), """")"),"")</f>
        <v/>
      </c>
      <c r="C508" s="31" t="str">
        <f>IFERROR(__xludf.DUMMYFUNCTION("if(len(A508) &gt;0, REGEXEXTRACT(A508, ""Chapter [0-9]*: (.*)""), """")"),"")</f>
        <v/>
      </c>
      <c r="D508" s="31" t="str">
        <f>IFERROR(__xludf.DUMMYFUNCTION("if(len(A508)&gt;0, REGEXEXTRACT(A508, ""\n[^\(]*""), """")"),"")</f>
        <v/>
      </c>
      <c r="E508" s="17" t="str">
        <f>IFERROR(__xludf.DUMMYFUNCTION("if(len(A508)&gt;0, REGEXEXTRACT(A508, ""\n([^\n]*)$""), """")"),"")</f>
        <v/>
      </c>
      <c r="F508" s="17" t="str">
        <f>IFERROR(__xludf.DUMMYFUNCTION("if(len(A508)&gt;0, REGEXEXTRACT(A508, ""\(([^\)]*)\)""), """")"),"")</f>
        <v/>
      </c>
      <c r="G508" s="17" t="str">
        <f>IFERROR(__xludf.DUMMYFUNCTION("if(len(A508)&gt;0, REGEXEXTRACT(A508, ""\)([^:]*):""), """")"),"")</f>
        <v/>
      </c>
      <c r="H508" s="31" t="str">
        <f>IFERROR(__xludf.DUMMYFUNCTION("if(len(A508) &gt; 0, JOIN(char(10), FILTER(SPLIT(A508, char(10)), split(""false false "" &amp; rept(""true "", columns(SPLIT(A508, char(10)))-3) &amp; ""false"", "" ""))), """")"),"")</f>
        <v/>
      </c>
    </row>
    <row r="509">
      <c r="A509" s="31"/>
      <c r="B509" s="17" t="str">
        <f>IFERROR(__xludf.DUMMYFUNCTION("if(len(A509)&gt;0, value(REGEXEXTRACT(A509, ""Chapter ([0-9]*):"")), """")"),"")</f>
        <v/>
      </c>
      <c r="C509" s="31" t="str">
        <f>IFERROR(__xludf.DUMMYFUNCTION("if(len(A509) &gt;0, REGEXEXTRACT(A509, ""Chapter [0-9]*: (.*)""), """")"),"")</f>
        <v/>
      </c>
      <c r="D509" s="31" t="str">
        <f>IFERROR(__xludf.DUMMYFUNCTION("if(len(A509)&gt;0, REGEXEXTRACT(A509, ""\n[^\(]*""), """")"),"")</f>
        <v/>
      </c>
      <c r="E509" s="17" t="str">
        <f>IFERROR(__xludf.DUMMYFUNCTION("if(len(A509)&gt;0, REGEXEXTRACT(A509, ""\n([^\n]*)$""), """")"),"")</f>
        <v/>
      </c>
      <c r="F509" s="17" t="str">
        <f>IFERROR(__xludf.DUMMYFUNCTION("if(len(A509)&gt;0, REGEXEXTRACT(A509, ""\(([^\)]*)\)""), """")"),"")</f>
        <v/>
      </c>
      <c r="G509" s="17" t="str">
        <f>IFERROR(__xludf.DUMMYFUNCTION("if(len(A509)&gt;0, REGEXEXTRACT(A509, ""\)([^:]*):""), """")"),"")</f>
        <v/>
      </c>
      <c r="H509" s="31" t="str">
        <f>IFERROR(__xludf.DUMMYFUNCTION("if(len(A509) &gt; 0, JOIN(char(10), FILTER(SPLIT(A509, char(10)), split(""false false "" &amp; rept(""true "", columns(SPLIT(A509, char(10)))-3) &amp; ""false"", "" ""))), """")"),"")</f>
        <v/>
      </c>
    </row>
    <row r="510">
      <c r="A510" s="31"/>
      <c r="B510" s="17" t="str">
        <f>IFERROR(__xludf.DUMMYFUNCTION("if(len(A510)&gt;0, value(REGEXEXTRACT(A510, ""Chapter ([0-9]*):"")), """")"),"")</f>
        <v/>
      </c>
      <c r="C510" s="31" t="str">
        <f>IFERROR(__xludf.DUMMYFUNCTION("if(len(A510) &gt;0, REGEXEXTRACT(A510, ""Chapter [0-9]*: (.*)""), """")"),"")</f>
        <v/>
      </c>
      <c r="D510" s="31" t="str">
        <f>IFERROR(__xludf.DUMMYFUNCTION("if(len(A510)&gt;0, REGEXEXTRACT(A510, ""\n[^\(]*""), """")"),"")</f>
        <v/>
      </c>
      <c r="E510" s="17" t="str">
        <f>IFERROR(__xludf.DUMMYFUNCTION("if(len(A510)&gt;0, REGEXEXTRACT(A510, ""\n([^\n]*)$""), """")"),"")</f>
        <v/>
      </c>
      <c r="F510" s="17" t="str">
        <f>IFERROR(__xludf.DUMMYFUNCTION("if(len(A510)&gt;0, REGEXEXTRACT(A510, ""\(([^\)]*)\)""), """")"),"")</f>
        <v/>
      </c>
      <c r="G510" s="17" t="str">
        <f>IFERROR(__xludf.DUMMYFUNCTION("if(len(A510)&gt;0, REGEXEXTRACT(A510, ""\)([^:]*):""), """")"),"")</f>
        <v/>
      </c>
      <c r="H510" s="31" t="str">
        <f>IFERROR(__xludf.DUMMYFUNCTION("if(len(A510) &gt; 0, JOIN(char(10), FILTER(SPLIT(A510, char(10)), split(""false false "" &amp; rept(""true "", columns(SPLIT(A510, char(10)))-3) &amp; ""false"", "" ""))), """")"),"")</f>
        <v/>
      </c>
    </row>
    <row r="511">
      <c r="A511" s="31"/>
      <c r="B511" s="17" t="str">
        <f>IFERROR(__xludf.DUMMYFUNCTION("if(len(A511)&gt;0, value(REGEXEXTRACT(A511, ""Chapter ([0-9]*):"")), """")"),"")</f>
        <v/>
      </c>
      <c r="C511" s="31" t="str">
        <f>IFERROR(__xludf.DUMMYFUNCTION("if(len(A511) &gt;0, REGEXEXTRACT(A511, ""Chapter [0-9]*: (.*)""), """")"),"")</f>
        <v/>
      </c>
      <c r="D511" s="31" t="str">
        <f>IFERROR(__xludf.DUMMYFUNCTION("if(len(A511)&gt;0, REGEXEXTRACT(A511, ""\n[^\(]*""), """")"),"")</f>
        <v/>
      </c>
      <c r="E511" s="17" t="str">
        <f>IFERROR(__xludf.DUMMYFUNCTION("if(len(A511)&gt;0, REGEXEXTRACT(A511, ""\n([^\n]*)$""), """")"),"")</f>
        <v/>
      </c>
      <c r="F511" s="17" t="str">
        <f>IFERROR(__xludf.DUMMYFUNCTION("if(len(A511)&gt;0, REGEXEXTRACT(A511, ""\(([^\)]*)\)""), """")"),"")</f>
        <v/>
      </c>
      <c r="G511" s="17" t="str">
        <f>IFERROR(__xludf.DUMMYFUNCTION("if(len(A511)&gt;0, REGEXEXTRACT(A511, ""\)([^:]*):""), """")"),"")</f>
        <v/>
      </c>
      <c r="H511" s="31" t="str">
        <f>IFERROR(__xludf.DUMMYFUNCTION("if(len(A511) &gt; 0, JOIN(char(10), FILTER(SPLIT(A511, char(10)), split(""false false "" &amp; rept(""true "", columns(SPLIT(A511, char(10)))-3) &amp; ""false"", "" ""))), """")"),"")</f>
        <v/>
      </c>
    </row>
    <row r="512">
      <c r="A512" s="31"/>
      <c r="B512" s="17" t="str">
        <f>IFERROR(__xludf.DUMMYFUNCTION("if(len(A512)&gt;0, value(REGEXEXTRACT(A512, ""Chapter ([0-9]*):"")), """")"),"")</f>
        <v/>
      </c>
      <c r="C512" s="31" t="str">
        <f>IFERROR(__xludf.DUMMYFUNCTION("if(len(A512) &gt;0, REGEXEXTRACT(A512, ""Chapter [0-9]*: (.*)""), """")"),"")</f>
        <v/>
      </c>
      <c r="D512" s="31" t="str">
        <f>IFERROR(__xludf.DUMMYFUNCTION("if(len(A512)&gt;0, REGEXEXTRACT(A512, ""\n[^\(]*""), """")"),"")</f>
        <v/>
      </c>
      <c r="E512" s="17" t="str">
        <f>IFERROR(__xludf.DUMMYFUNCTION("if(len(A512)&gt;0, REGEXEXTRACT(A512, ""\n([^\n]*)$""), """")"),"")</f>
        <v/>
      </c>
      <c r="F512" s="17" t="str">
        <f>IFERROR(__xludf.DUMMYFUNCTION("if(len(A512)&gt;0, REGEXEXTRACT(A512, ""\(([^\)]*)\)""), """")"),"")</f>
        <v/>
      </c>
      <c r="G512" s="17" t="str">
        <f>IFERROR(__xludf.DUMMYFUNCTION("if(len(A512)&gt;0, REGEXEXTRACT(A512, ""\)([^:]*):""), """")"),"")</f>
        <v/>
      </c>
      <c r="H512" s="31" t="str">
        <f>IFERROR(__xludf.DUMMYFUNCTION("if(len(A512) &gt; 0, JOIN(char(10), FILTER(SPLIT(A512, char(10)), split(""false false "" &amp; rept(""true "", columns(SPLIT(A512, char(10)))-3) &amp; ""false"", "" ""))), """")"),"")</f>
        <v/>
      </c>
    </row>
    <row r="513">
      <c r="A513" s="31"/>
      <c r="B513" s="17" t="str">
        <f>IFERROR(__xludf.DUMMYFUNCTION("if(len(A513)&gt;0, value(REGEXEXTRACT(A513, ""Chapter ([0-9]*):"")), """")"),"")</f>
        <v/>
      </c>
      <c r="C513" s="31" t="str">
        <f>IFERROR(__xludf.DUMMYFUNCTION("if(len(A513) &gt;0, REGEXEXTRACT(A513, ""Chapter [0-9]*: (.*)""), """")"),"")</f>
        <v/>
      </c>
      <c r="D513" s="31" t="str">
        <f>IFERROR(__xludf.DUMMYFUNCTION("if(len(A513)&gt;0, REGEXEXTRACT(A513, ""\n[^\(]*""), """")"),"")</f>
        <v/>
      </c>
      <c r="E513" s="17" t="str">
        <f>IFERROR(__xludf.DUMMYFUNCTION("if(len(A513)&gt;0, REGEXEXTRACT(A513, ""\n([^\n]*)$""), """")"),"")</f>
        <v/>
      </c>
      <c r="F513" s="17" t="str">
        <f>IFERROR(__xludf.DUMMYFUNCTION("if(len(A513)&gt;0, REGEXEXTRACT(A513, ""\(([^\)]*)\)""), """")"),"")</f>
        <v/>
      </c>
      <c r="G513" s="17" t="str">
        <f>IFERROR(__xludf.DUMMYFUNCTION("if(len(A513)&gt;0, REGEXEXTRACT(A513, ""\)([^:]*):""), """")"),"")</f>
        <v/>
      </c>
      <c r="H513" s="31" t="str">
        <f>IFERROR(__xludf.DUMMYFUNCTION("if(len(A513) &gt; 0, JOIN(char(10), FILTER(SPLIT(A513, char(10)), split(""false false "" &amp; rept(""true "", columns(SPLIT(A513, char(10)))-3) &amp; ""false"", "" ""))), """")"),"")</f>
        <v/>
      </c>
    </row>
    <row r="514">
      <c r="A514" s="31"/>
      <c r="B514" s="17" t="str">
        <f>IFERROR(__xludf.DUMMYFUNCTION("if(len(A514)&gt;0, value(REGEXEXTRACT(A514, ""Chapter ([0-9]*):"")), """")"),"")</f>
        <v/>
      </c>
      <c r="C514" s="31" t="str">
        <f>IFERROR(__xludf.DUMMYFUNCTION("if(len(A514) &gt;0, REGEXEXTRACT(A514, ""Chapter [0-9]*: (.*)""), """")"),"")</f>
        <v/>
      </c>
      <c r="D514" s="31" t="str">
        <f>IFERROR(__xludf.DUMMYFUNCTION("if(len(A514)&gt;0, REGEXEXTRACT(A514, ""\n[^\(]*""), """")"),"")</f>
        <v/>
      </c>
      <c r="E514" s="17" t="str">
        <f>IFERROR(__xludf.DUMMYFUNCTION("if(len(A514)&gt;0, REGEXEXTRACT(A514, ""\n([^\n]*)$""), """")"),"")</f>
        <v/>
      </c>
      <c r="F514" s="17" t="str">
        <f>IFERROR(__xludf.DUMMYFUNCTION("if(len(A514)&gt;0, REGEXEXTRACT(A514, ""\(([^\)]*)\)""), """")"),"")</f>
        <v/>
      </c>
      <c r="G514" s="17" t="str">
        <f>IFERROR(__xludf.DUMMYFUNCTION("if(len(A514)&gt;0, REGEXEXTRACT(A514, ""\)([^:]*):""), """")"),"")</f>
        <v/>
      </c>
      <c r="H514" s="31" t="str">
        <f>IFERROR(__xludf.DUMMYFUNCTION("if(len(A514) &gt; 0, JOIN(char(10), FILTER(SPLIT(A514, char(10)), split(""false false "" &amp; rept(""true "", columns(SPLIT(A514, char(10)))-3) &amp; ""false"", "" ""))), """")"),"")</f>
        <v/>
      </c>
    </row>
    <row r="515">
      <c r="A515" s="31"/>
      <c r="B515" s="17" t="str">
        <f>IFERROR(__xludf.DUMMYFUNCTION("if(len(A515)&gt;0, value(REGEXEXTRACT(A515, ""Chapter ([0-9]*):"")), """")"),"")</f>
        <v/>
      </c>
      <c r="C515" s="31" t="str">
        <f>IFERROR(__xludf.DUMMYFUNCTION("if(len(A515) &gt;0, REGEXEXTRACT(A515, ""Chapter [0-9]*: (.*)""), """")"),"")</f>
        <v/>
      </c>
      <c r="D515" s="31" t="str">
        <f>IFERROR(__xludf.DUMMYFUNCTION("if(len(A515)&gt;0, REGEXEXTRACT(A515, ""\n[^\(]*""), """")"),"")</f>
        <v/>
      </c>
      <c r="E515" s="17" t="str">
        <f>IFERROR(__xludf.DUMMYFUNCTION("if(len(A515)&gt;0, REGEXEXTRACT(A515, ""\n([^\n]*)$""), """")"),"")</f>
        <v/>
      </c>
      <c r="F515" s="17" t="str">
        <f>IFERROR(__xludf.DUMMYFUNCTION("if(len(A515)&gt;0, REGEXEXTRACT(A515, ""\(([^\)]*)\)""), """")"),"")</f>
        <v/>
      </c>
      <c r="G515" s="17" t="str">
        <f>IFERROR(__xludf.DUMMYFUNCTION("if(len(A515)&gt;0, REGEXEXTRACT(A515, ""\)([^:]*):""), """")"),"")</f>
        <v/>
      </c>
      <c r="H515" s="31" t="str">
        <f>IFERROR(__xludf.DUMMYFUNCTION("if(len(A515) &gt; 0, JOIN(char(10), FILTER(SPLIT(A515, char(10)), split(""false false "" &amp; rept(""true "", columns(SPLIT(A515, char(10)))-3) &amp; ""false"", "" ""))), """")"),"")</f>
        <v/>
      </c>
    </row>
    <row r="516">
      <c r="A516" s="31"/>
      <c r="B516" s="17" t="str">
        <f>IFERROR(__xludf.DUMMYFUNCTION("if(len(A516)&gt;0, value(REGEXEXTRACT(A516, ""Chapter ([0-9]*):"")), """")"),"")</f>
        <v/>
      </c>
      <c r="C516" s="31" t="str">
        <f>IFERROR(__xludf.DUMMYFUNCTION("if(len(A516) &gt;0, REGEXEXTRACT(A516, ""Chapter [0-9]*: (.*)""), """")"),"")</f>
        <v/>
      </c>
      <c r="D516" s="31" t="str">
        <f>IFERROR(__xludf.DUMMYFUNCTION("if(len(A516)&gt;0, REGEXEXTRACT(A516, ""\n[^\(]*""), """")"),"")</f>
        <v/>
      </c>
      <c r="E516" s="17" t="str">
        <f>IFERROR(__xludf.DUMMYFUNCTION("if(len(A516)&gt;0, REGEXEXTRACT(A516, ""\n([^\n]*)$""), """")"),"")</f>
        <v/>
      </c>
      <c r="F516" s="17" t="str">
        <f>IFERROR(__xludf.DUMMYFUNCTION("if(len(A516)&gt;0, REGEXEXTRACT(A516, ""\(([^\)]*)\)""), """")"),"")</f>
        <v/>
      </c>
      <c r="G516" s="17" t="str">
        <f>IFERROR(__xludf.DUMMYFUNCTION("if(len(A516)&gt;0, REGEXEXTRACT(A516, ""\)([^:]*):""), """")"),"")</f>
        <v/>
      </c>
      <c r="H516" s="31" t="str">
        <f>IFERROR(__xludf.DUMMYFUNCTION("if(len(A516) &gt; 0, JOIN(char(10), FILTER(SPLIT(A516, char(10)), split(""false false "" &amp; rept(""true "", columns(SPLIT(A516, char(10)))-3) &amp; ""false"", "" ""))), """")"),"")</f>
        <v/>
      </c>
    </row>
    <row r="517">
      <c r="A517" s="31"/>
      <c r="B517" s="17" t="str">
        <f>IFERROR(__xludf.DUMMYFUNCTION("if(len(A517)&gt;0, value(REGEXEXTRACT(A517, ""Chapter ([0-9]*):"")), """")"),"")</f>
        <v/>
      </c>
      <c r="C517" s="31" t="str">
        <f>IFERROR(__xludf.DUMMYFUNCTION("if(len(A517) &gt;0, REGEXEXTRACT(A517, ""Chapter [0-9]*: (.*)""), """")"),"")</f>
        <v/>
      </c>
      <c r="D517" s="31" t="str">
        <f>IFERROR(__xludf.DUMMYFUNCTION("if(len(A517)&gt;0, REGEXEXTRACT(A517, ""\n[^\(]*""), """")"),"")</f>
        <v/>
      </c>
      <c r="E517" s="17" t="str">
        <f>IFERROR(__xludf.DUMMYFUNCTION("if(len(A517)&gt;0, REGEXEXTRACT(A517, ""\n([^\n]*)$""), """")"),"")</f>
        <v/>
      </c>
      <c r="F517" s="17" t="str">
        <f>IFERROR(__xludf.DUMMYFUNCTION("if(len(A517)&gt;0, REGEXEXTRACT(A517, ""\(([^\)]*)\)""), """")"),"")</f>
        <v/>
      </c>
      <c r="G517" s="17" t="str">
        <f>IFERROR(__xludf.DUMMYFUNCTION("if(len(A517)&gt;0, REGEXEXTRACT(A517, ""\)([^:]*):""), """")"),"")</f>
        <v/>
      </c>
      <c r="H517" s="31" t="str">
        <f>IFERROR(__xludf.DUMMYFUNCTION("if(len(A517) &gt; 0, JOIN(char(10), FILTER(SPLIT(A517, char(10)), split(""false false "" &amp; rept(""true "", columns(SPLIT(A517, char(10)))-3) &amp; ""false"", "" ""))), """")"),"")</f>
        <v/>
      </c>
    </row>
    <row r="518">
      <c r="A518" s="31"/>
      <c r="B518" s="17" t="str">
        <f>IFERROR(__xludf.DUMMYFUNCTION("if(len(A518)&gt;0, value(REGEXEXTRACT(A518, ""Chapter ([0-9]*):"")), """")"),"")</f>
        <v/>
      </c>
      <c r="C518" s="31" t="str">
        <f>IFERROR(__xludf.DUMMYFUNCTION("if(len(A518) &gt;0, REGEXEXTRACT(A518, ""Chapter [0-9]*: (.*)""), """")"),"")</f>
        <v/>
      </c>
      <c r="D518" s="31" t="str">
        <f>IFERROR(__xludf.DUMMYFUNCTION("if(len(A518)&gt;0, REGEXEXTRACT(A518, ""\n[^\(]*""), """")"),"")</f>
        <v/>
      </c>
      <c r="E518" s="17" t="str">
        <f>IFERROR(__xludf.DUMMYFUNCTION("if(len(A518)&gt;0, REGEXEXTRACT(A518, ""\n([^\n]*)$""), """")"),"")</f>
        <v/>
      </c>
      <c r="F518" s="17" t="str">
        <f>IFERROR(__xludf.DUMMYFUNCTION("if(len(A518)&gt;0, REGEXEXTRACT(A518, ""\(([^\)]*)\)""), """")"),"")</f>
        <v/>
      </c>
      <c r="G518" s="17" t="str">
        <f>IFERROR(__xludf.DUMMYFUNCTION("if(len(A518)&gt;0, REGEXEXTRACT(A518, ""\)([^:]*):""), """")"),"")</f>
        <v/>
      </c>
      <c r="H518" s="31" t="str">
        <f>IFERROR(__xludf.DUMMYFUNCTION("if(len(A518) &gt; 0, JOIN(char(10), FILTER(SPLIT(A518, char(10)), split(""false false "" &amp; rept(""true "", columns(SPLIT(A518, char(10)))-3) &amp; ""false"", "" ""))), """")"),"")</f>
        <v/>
      </c>
    </row>
    <row r="519">
      <c r="A519" s="31"/>
      <c r="B519" s="17" t="str">
        <f>IFERROR(__xludf.DUMMYFUNCTION("if(len(A519)&gt;0, value(REGEXEXTRACT(A519, ""Chapter ([0-9]*):"")), """")"),"")</f>
        <v/>
      </c>
      <c r="C519" s="31" t="str">
        <f>IFERROR(__xludf.DUMMYFUNCTION("if(len(A519) &gt;0, REGEXEXTRACT(A519, ""Chapter [0-9]*: (.*)""), """")"),"")</f>
        <v/>
      </c>
      <c r="D519" s="31" t="str">
        <f>IFERROR(__xludf.DUMMYFUNCTION("if(len(A519)&gt;0, REGEXEXTRACT(A519, ""\n[^\(]*""), """")"),"")</f>
        <v/>
      </c>
      <c r="E519" s="17" t="str">
        <f>IFERROR(__xludf.DUMMYFUNCTION("if(len(A519)&gt;0, REGEXEXTRACT(A519, ""\n([^\n]*)$""), """")"),"")</f>
        <v/>
      </c>
      <c r="F519" s="17" t="str">
        <f>IFERROR(__xludf.DUMMYFUNCTION("if(len(A519)&gt;0, REGEXEXTRACT(A519, ""\(([^\)]*)\)""), """")"),"")</f>
        <v/>
      </c>
      <c r="G519" s="17" t="str">
        <f>IFERROR(__xludf.DUMMYFUNCTION("if(len(A519)&gt;0, REGEXEXTRACT(A519, ""\)([^:]*):""), """")"),"")</f>
        <v/>
      </c>
      <c r="H519" s="31" t="str">
        <f>IFERROR(__xludf.DUMMYFUNCTION("if(len(A519) &gt; 0, JOIN(char(10), FILTER(SPLIT(A519, char(10)), split(""false false "" &amp; rept(""true "", columns(SPLIT(A519, char(10)))-3) &amp; ""false"", "" ""))), """")"),"")</f>
        <v/>
      </c>
    </row>
    <row r="520">
      <c r="A520" s="31"/>
      <c r="B520" s="17" t="str">
        <f>IFERROR(__xludf.DUMMYFUNCTION("if(len(A520)&gt;0, value(REGEXEXTRACT(A520, ""Chapter ([0-9]*):"")), """")"),"")</f>
        <v/>
      </c>
      <c r="C520" s="31" t="str">
        <f>IFERROR(__xludf.DUMMYFUNCTION("if(len(A520) &gt;0, REGEXEXTRACT(A520, ""Chapter [0-9]*: (.*)""), """")"),"")</f>
        <v/>
      </c>
      <c r="D520" s="31" t="str">
        <f>IFERROR(__xludf.DUMMYFUNCTION("if(len(A520)&gt;0, REGEXEXTRACT(A520, ""\n[^\(]*""), """")"),"")</f>
        <v/>
      </c>
      <c r="E520" s="17" t="str">
        <f>IFERROR(__xludf.DUMMYFUNCTION("if(len(A520)&gt;0, REGEXEXTRACT(A520, ""\n([^\n]*)$""), """")"),"")</f>
        <v/>
      </c>
      <c r="F520" s="17" t="str">
        <f>IFERROR(__xludf.DUMMYFUNCTION("if(len(A520)&gt;0, REGEXEXTRACT(A520, ""\(([^\)]*)\)""), """")"),"")</f>
        <v/>
      </c>
      <c r="G520" s="17" t="str">
        <f>IFERROR(__xludf.DUMMYFUNCTION("if(len(A520)&gt;0, REGEXEXTRACT(A520, ""\)([^:]*):""), """")"),"")</f>
        <v/>
      </c>
      <c r="H520" s="31" t="str">
        <f>IFERROR(__xludf.DUMMYFUNCTION("if(len(A520) &gt; 0, JOIN(char(10), FILTER(SPLIT(A520, char(10)), split(""false false "" &amp; rept(""true "", columns(SPLIT(A520, char(10)))-3) &amp; ""false"", "" ""))), """")"),"")</f>
        <v/>
      </c>
    </row>
    <row r="521">
      <c r="A521" s="31"/>
      <c r="B521" s="17" t="str">
        <f>IFERROR(__xludf.DUMMYFUNCTION("if(len(A521)&gt;0, value(REGEXEXTRACT(A521, ""Chapter ([0-9]*):"")), """")"),"")</f>
        <v/>
      </c>
      <c r="C521" s="31" t="str">
        <f>IFERROR(__xludf.DUMMYFUNCTION("if(len(A521) &gt;0, REGEXEXTRACT(A521, ""Chapter [0-9]*: (.*)""), """")"),"")</f>
        <v/>
      </c>
      <c r="D521" s="31" t="str">
        <f>IFERROR(__xludf.DUMMYFUNCTION("if(len(A521)&gt;0, REGEXEXTRACT(A521, ""\n[^\(]*""), """")"),"")</f>
        <v/>
      </c>
      <c r="E521" s="17" t="str">
        <f>IFERROR(__xludf.DUMMYFUNCTION("if(len(A521)&gt;0, REGEXEXTRACT(A521, ""\n([^\n]*)$""), """")"),"")</f>
        <v/>
      </c>
      <c r="F521" s="17" t="str">
        <f>IFERROR(__xludf.DUMMYFUNCTION("if(len(A521)&gt;0, REGEXEXTRACT(A521, ""\(([^\)]*)\)""), """")"),"")</f>
        <v/>
      </c>
      <c r="G521" s="17" t="str">
        <f>IFERROR(__xludf.DUMMYFUNCTION("if(len(A521)&gt;0, REGEXEXTRACT(A521, ""\)([^:]*):""), """")"),"")</f>
        <v/>
      </c>
      <c r="H521" s="31" t="str">
        <f>IFERROR(__xludf.DUMMYFUNCTION("if(len(A521) &gt; 0, JOIN(char(10), FILTER(SPLIT(A521, char(10)), split(""false false "" &amp; rept(""true "", columns(SPLIT(A521, char(10)))-3) &amp; ""false"", "" ""))), """")"),"")</f>
        <v/>
      </c>
    </row>
    <row r="522">
      <c r="A522" s="31"/>
      <c r="B522" s="17" t="str">
        <f>IFERROR(__xludf.DUMMYFUNCTION("if(len(A522)&gt;0, value(REGEXEXTRACT(A522, ""Chapter ([0-9]*):"")), """")"),"")</f>
        <v/>
      </c>
      <c r="C522" s="31" t="str">
        <f>IFERROR(__xludf.DUMMYFUNCTION("if(len(A522) &gt;0, REGEXEXTRACT(A522, ""Chapter [0-9]*: (.*)""), """")"),"")</f>
        <v/>
      </c>
      <c r="D522" s="31" t="str">
        <f>IFERROR(__xludf.DUMMYFUNCTION("if(len(A522)&gt;0, REGEXEXTRACT(A522, ""\n[^\(]*""), """")"),"")</f>
        <v/>
      </c>
      <c r="E522" s="17" t="str">
        <f>IFERROR(__xludf.DUMMYFUNCTION("if(len(A522)&gt;0, REGEXEXTRACT(A522, ""\n([^\n]*)$""), """")"),"")</f>
        <v/>
      </c>
      <c r="F522" s="17" t="str">
        <f>IFERROR(__xludf.DUMMYFUNCTION("if(len(A522)&gt;0, REGEXEXTRACT(A522, ""\(([^\)]*)\)""), """")"),"")</f>
        <v/>
      </c>
      <c r="G522" s="17" t="str">
        <f>IFERROR(__xludf.DUMMYFUNCTION("if(len(A522)&gt;0, REGEXEXTRACT(A522, ""\)([^:]*):""), """")"),"")</f>
        <v/>
      </c>
      <c r="H522" s="31" t="str">
        <f>IFERROR(__xludf.DUMMYFUNCTION("if(len(A522) &gt; 0, JOIN(char(10), FILTER(SPLIT(A522, char(10)), split(""false false "" &amp; rept(""true "", columns(SPLIT(A522, char(10)))-3) &amp; ""false"", "" ""))), """")"),"")</f>
        <v/>
      </c>
    </row>
    <row r="523">
      <c r="A523" s="31"/>
      <c r="B523" s="17" t="str">
        <f>IFERROR(__xludf.DUMMYFUNCTION("if(len(A523)&gt;0, value(REGEXEXTRACT(A523, ""Chapter ([0-9]*):"")), """")"),"")</f>
        <v/>
      </c>
      <c r="C523" s="31" t="str">
        <f>IFERROR(__xludf.DUMMYFUNCTION("if(len(A523) &gt;0, REGEXEXTRACT(A523, ""Chapter [0-9]*: (.*)""), """")"),"")</f>
        <v/>
      </c>
      <c r="D523" s="31" t="str">
        <f>IFERROR(__xludf.DUMMYFUNCTION("if(len(A523)&gt;0, REGEXEXTRACT(A523, ""\n[^\(]*""), """")"),"")</f>
        <v/>
      </c>
      <c r="E523" s="17" t="str">
        <f>IFERROR(__xludf.DUMMYFUNCTION("if(len(A523)&gt;0, REGEXEXTRACT(A523, ""\n([^\n]*)$""), """")"),"")</f>
        <v/>
      </c>
      <c r="F523" s="17" t="str">
        <f>IFERROR(__xludf.DUMMYFUNCTION("if(len(A523)&gt;0, REGEXEXTRACT(A523, ""\(([^\)]*)\)""), """")"),"")</f>
        <v/>
      </c>
      <c r="G523" s="17" t="str">
        <f>IFERROR(__xludf.DUMMYFUNCTION("if(len(A523)&gt;0, REGEXEXTRACT(A523, ""\)([^:]*):""), """")"),"")</f>
        <v/>
      </c>
      <c r="H523" s="31" t="str">
        <f>IFERROR(__xludf.DUMMYFUNCTION("if(len(A523) &gt; 0, JOIN(char(10), FILTER(SPLIT(A523, char(10)), split(""false false "" &amp; rept(""true "", columns(SPLIT(A523, char(10)))-3) &amp; ""false"", "" ""))), """")"),"")</f>
        <v/>
      </c>
    </row>
    <row r="524">
      <c r="A524" s="31"/>
      <c r="B524" s="17" t="str">
        <f>IFERROR(__xludf.DUMMYFUNCTION("if(len(A524)&gt;0, value(REGEXEXTRACT(A524, ""Chapter ([0-9]*):"")), """")"),"")</f>
        <v/>
      </c>
      <c r="C524" s="31" t="str">
        <f>IFERROR(__xludf.DUMMYFUNCTION("if(len(A524) &gt;0, REGEXEXTRACT(A524, ""Chapter [0-9]*: (.*)""), """")"),"")</f>
        <v/>
      </c>
      <c r="D524" s="31" t="str">
        <f>IFERROR(__xludf.DUMMYFUNCTION("if(len(A524)&gt;0, REGEXEXTRACT(A524, ""\n[^\(]*""), """")"),"")</f>
        <v/>
      </c>
      <c r="E524" s="17" t="str">
        <f>IFERROR(__xludf.DUMMYFUNCTION("if(len(A524)&gt;0, REGEXEXTRACT(A524, ""\n([^\n]*)$""), """")"),"")</f>
        <v/>
      </c>
      <c r="F524" s="17" t="str">
        <f>IFERROR(__xludf.DUMMYFUNCTION("if(len(A524)&gt;0, REGEXEXTRACT(A524, ""\(([^\)]*)\)""), """")"),"")</f>
        <v/>
      </c>
      <c r="G524" s="17" t="str">
        <f>IFERROR(__xludf.DUMMYFUNCTION("if(len(A524)&gt;0, REGEXEXTRACT(A524, ""\)([^:]*):""), """")"),"")</f>
        <v/>
      </c>
      <c r="H524" s="31" t="str">
        <f>IFERROR(__xludf.DUMMYFUNCTION("if(len(A524) &gt; 0, JOIN(char(10), FILTER(SPLIT(A524, char(10)), split(""false false "" &amp; rept(""true "", columns(SPLIT(A524, char(10)))-3) &amp; ""false"", "" ""))), """")"),"")</f>
        <v/>
      </c>
    </row>
    <row r="525">
      <c r="A525" s="31"/>
      <c r="B525" s="17" t="str">
        <f>IFERROR(__xludf.DUMMYFUNCTION("if(len(A525)&gt;0, value(REGEXEXTRACT(A525, ""Chapter ([0-9]*):"")), """")"),"")</f>
        <v/>
      </c>
      <c r="C525" s="31" t="str">
        <f>IFERROR(__xludf.DUMMYFUNCTION("if(len(A525) &gt;0, REGEXEXTRACT(A525, ""Chapter [0-9]*: (.*)""), """")"),"")</f>
        <v/>
      </c>
      <c r="D525" s="31" t="str">
        <f>IFERROR(__xludf.DUMMYFUNCTION("if(len(A525)&gt;0, REGEXEXTRACT(A525, ""\n[^\(]*""), """")"),"")</f>
        <v/>
      </c>
      <c r="E525" s="17" t="str">
        <f>IFERROR(__xludf.DUMMYFUNCTION("if(len(A525)&gt;0, REGEXEXTRACT(A525, ""\n([^\n]*)$""), """")"),"")</f>
        <v/>
      </c>
      <c r="F525" s="17" t="str">
        <f>IFERROR(__xludf.DUMMYFUNCTION("if(len(A525)&gt;0, REGEXEXTRACT(A525, ""\(([^\)]*)\)""), """")"),"")</f>
        <v/>
      </c>
      <c r="G525" s="17" t="str">
        <f>IFERROR(__xludf.DUMMYFUNCTION("if(len(A525)&gt;0, REGEXEXTRACT(A525, ""\)([^:]*):""), """")"),"")</f>
        <v/>
      </c>
      <c r="H525" s="31" t="str">
        <f>IFERROR(__xludf.DUMMYFUNCTION("if(len(A525) &gt; 0, JOIN(char(10), FILTER(SPLIT(A525, char(10)), split(""false false "" &amp; rept(""true "", columns(SPLIT(A525, char(10)))-3) &amp; ""false"", "" ""))), """")"),"")</f>
        <v/>
      </c>
    </row>
    <row r="526">
      <c r="A526" s="31"/>
      <c r="B526" s="17" t="str">
        <f>IFERROR(__xludf.DUMMYFUNCTION("if(len(A526)&gt;0, value(REGEXEXTRACT(A526, ""Chapter ([0-9]*):"")), """")"),"")</f>
        <v/>
      </c>
      <c r="C526" s="31" t="str">
        <f>IFERROR(__xludf.DUMMYFUNCTION("if(len(A526) &gt;0, REGEXEXTRACT(A526, ""Chapter [0-9]*: (.*)""), """")"),"")</f>
        <v/>
      </c>
      <c r="D526" s="31" t="str">
        <f>IFERROR(__xludf.DUMMYFUNCTION("if(len(A526)&gt;0, REGEXEXTRACT(A526, ""\n[^\(]*""), """")"),"")</f>
        <v/>
      </c>
      <c r="E526" s="17" t="str">
        <f>IFERROR(__xludf.DUMMYFUNCTION("if(len(A526)&gt;0, REGEXEXTRACT(A526, ""\n([^\n]*)$""), """")"),"")</f>
        <v/>
      </c>
      <c r="F526" s="17" t="str">
        <f>IFERROR(__xludf.DUMMYFUNCTION("if(len(A526)&gt;0, REGEXEXTRACT(A526, ""\(([^\)]*)\)""), """")"),"")</f>
        <v/>
      </c>
      <c r="G526" s="17" t="str">
        <f>IFERROR(__xludf.DUMMYFUNCTION("if(len(A526)&gt;0, REGEXEXTRACT(A526, ""\)([^:]*):""), """")"),"")</f>
        <v/>
      </c>
      <c r="H526" s="31" t="str">
        <f>IFERROR(__xludf.DUMMYFUNCTION("if(len(A526) &gt; 0, JOIN(char(10), FILTER(SPLIT(A526, char(10)), split(""false false "" &amp; rept(""true "", columns(SPLIT(A526, char(10)))-3) &amp; ""false"", "" ""))), """")"),"")</f>
        <v/>
      </c>
    </row>
    <row r="527">
      <c r="A527" s="31"/>
      <c r="B527" s="17" t="str">
        <f>IFERROR(__xludf.DUMMYFUNCTION("if(len(A527)&gt;0, value(REGEXEXTRACT(A527, ""Chapter ([0-9]*):"")), """")"),"")</f>
        <v/>
      </c>
      <c r="C527" s="31" t="str">
        <f>IFERROR(__xludf.DUMMYFUNCTION("if(len(A527) &gt;0, REGEXEXTRACT(A527, ""Chapter [0-9]*: (.*)""), """")"),"")</f>
        <v/>
      </c>
      <c r="D527" s="31" t="str">
        <f>IFERROR(__xludf.DUMMYFUNCTION("if(len(A527)&gt;0, REGEXEXTRACT(A527, ""\n[^\(]*""), """")"),"")</f>
        <v/>
      </c>
      <c r="E527" s="17" t="str">
        <f>IFERROR(__xludf.DUMMYFUNCTION("if(len(A527)&gt;0, REGEXEXTRACT(A527, ""\n([^\n]*)$""), """")"),"")</f>
        <v/>
      </c>
      <c r="F527" s="17" t="str">
        <f>IFERROR(__xludf.DUMMYFUNCTION("if(len(A527)&gt;0, REGEXEXTRACT(A527, ""\(([^\)]*)\)""), """")"),"")</f>
        <v/>
      </c>
      <c r="G527" s="17" t="str">
        <f>IFERROR(__xludf.DUMMYFUNCTION("if(len(A527)&gt;0, REGEXEXTRACT(A527, ""\)([^:]*):""), """")"),"")</f>
        <v/>
      </c>
      <c r="H527" s="31" t="str">
        <f>IFERROR(__xludf.DUMMYFUNCTION("if(len(A527) &gt; 0, JOIN(char(10), FILTER(SPLIT(A527, char(10)), split(""false false "" &amp; rept(""true "", columns(SPLIT(A527, char(10)))-3) &amp; ""false"", "" ""))), """")"),"")</f>
        <v/>
      </c>
    </row>
    <row r="528">
      <c r="A528" s="31"/>
      <c r="B528" s="17" t="str">
        <f>IFERROR(__xludf.DUMMYFUNCTION("if(len(A528)&gt;0, value(REGEXEXTRACT(A528, ""Chapter ([0-9]*):"")), """")"),"")</f>
        <v/>
      </c>
      <c r="C528" s="31" t="str">
        <f>IFERROR(__xludf.DUMMYFUNCTION("if(len(A528) &gt;0, REGEXEXTRACT(A528, ""Chapter [0-9]*: (.*)""), """")"),"")</f>
        <v/>
      </c>
      <c r="D528" s="31" t="str">
        <f>IFERROR(__xludf.DUMMYFUNCTION("if(len(A528)&gt;0, REGEXEXTRACT(A528, ""\n[^\(]*""), """")"),"")</f>
        <v/>
      </c>
      <c r="E528" s="17" t="str">
        <f>IFERROR(__xludf.DUMMYFUNCTION("if(len(A528)&gt;0, REGEXEXTRACT(A528, ""\n([^\n]*)$""), """")"),"")</f>
        <v/>
      </c>
      <c r="F528" s="17" t="str">
        <f>IFERROR(__xludf.DUMMYFUNCTION("if(len(A528)&gt;0, REGEXEXTRACT(A528, ""\(([^\)]*)\)""), """")"),"")</f>
        <v/>
      </c>
      <c r="G528" s="17" t="str">
        <f>IFERROR(__xludf.DUMMYFUNCTION("if(len(A528)&gt;0, REGEXEXTRACT(A528, ""\)([^:]*):""), """")"),"")</f>
        <v/>
      </c>
      <c r="H528" s="31" t="str">
        <f>IFERROR(__xludf.DUMMYFUNCTION("if(len(A528) &gt; 0, JOIN(char(10), FILTER(SPLIT(A528, char(10)), split(""false false "" &amp; rept(""true "", columns(SPLIT(A528, char(10)))-3) &amp; ""false"", "" ""))), """")"),"")</f>
        <v/>
      </c>
    </row>
    <row r="529">
      <c r="A529" s="31"/>
      <c r="B529" s="17" t="str">
        <f>IFERROR(__xludf.DUMMYFUNCTION("if(len(A529)&gt;0, value(REGEXEXTRACT(A529, ""Chapter ([0-9]*):"")), """")"),"")</f>
        <v/>
      </c>
      <c r="C529" s="31" t="str">
        <f>IFERROR(__xludf.DUMMYFUNCTION("if(len(A529) &gt;0, REGEXEXTRACT(A529, ""Chapter [0-9]*: (.*)""), """")"),"")</f>
        <v/>
      </c>
      <c r="D529" s="31" t="str">
        <f>IFERROR(__xludf.DUMMYFUNCTION("if(len(A529)&gt;0, REGEXEXTRACT(A529, ""\n[^\(]*""), """")"),"")</f>
        <v/>
      </c>
      <c r="E529" s="17" t="str">
        <f>IFERROR(__xludf.DUMMYFUNCTION("if(len(A529)&gt;0, REGEXEXTRACT(A529, ""\n([^\n]*)$""), """")"),"")</f>
        <v/>
      </c>
      <c r="F529" s="17" t="str">
        <f>IFERROR(__xludf.DUMMYFUNCTION("if(len(A529)&gt;0, REGEXEXTRACT(A529, ""\(([^\)]*)\)""), """")"),"")</f>
        <v/>
      </c>
      <c r="G529" s="17" t="str">
        <f>IFERROR(__xludf.DUMMYFUNCTION("if(len(A529)&gt;0, REGEXEXTRACT(A529, ""\)([^:]*):""), """")"),"")</f>
        <v/>
      </c>
      <c r="H529" s="31" t="str">
        <f>IFERROR(__xludf.DUMMYFUNCTION("if(len(A529) &gt; 0, JOIN(char(10), FILTER(SPLIT(A529, char(10)), split(""false false "" &amp; rept(""true "", columns(SPLIT(A529, char(10)))-3) &amp; ""false"", "" ""))), """")"),"")</f>
        <v/>
      </c>
    </row>
    <row r="530">
      <c r="A530" s="31"/>
      <c r="B530" s="17" t="str">
        <f>IFERROR(__xludf.DUMMYFUNCTION("if(len(A530)&gt;0, value(REGEXEXTRACT(A530, ""Chapter ([0-9]*):"")), """")"),"")</f>
        <v/>
      </c>
      <c r="C530" s="31" t="str">
        <f>IFERROR(__xludf.DUMMYFUNCTION("if(len(A530) &gt;0, REGEXEXTRACT(A530, ""Chapter [0-9]*: (.*)""), """")"),"")</f>
        <v/>
      </c>
      <c r="D530" s="31" t="str">
        <f>IFERROR(__xludf.DUMMYFUNCTION("if(len(A530)&gt;0, REGEXEXTRACT(A530, ""\n[^\(]*""), """")"),"")</f>
        <v/>
      </c>
      <c r="E530" s="17" t="str">
        <f>IFERROR(__xludf.DUMMYFUNCTION("if(len(A530)&gt;0, REGEXEXTRACT(A530, ""\n([^\n]*)$""), """")"),"")</f>
        <v/>
      </c>
      <c r="F530" s="17" t="str">
        <f>IFERROR(__xludf.DUMMYFUNCTION("if(len(A530)&gt;0, REGEXEXTRACT(A530, ""\(([^\)]*)\)""), """")"),"")</f>
        <v/>
      </c>
      <c r="G530" s="17" t="str">
        <f>IFERROR(__xludf.DUMMYFUNCTION("if(len(A530)&gt;0, REGEXEXTRACT(A530, ""\)([^:]*):""), """")"),"")</f>
        <v/>
      </c>
      <c r="H530" s="31" t="str">
        <f>IFERROR(__xludf.DUMMYFUNCTION("if(len(A530) &gt; 0, JOIN(char(10), FILTER(SPLIT(A530, char(10)), split(""false false "" &amp; rept(""true "", columns(SPLIT(A530, char(10)))-3) &amp; ""false"", "" ""))), """")"),"")</f>
        <v/>
      </c>
    </row>
    <row r="531">
      <c r="A531" s="31"/>
      <c r="B531" s="17" t="str">
        <f>IFERROR(__xludf.DUMMYFUNCTION("if(len(A531)&gt;0, value(REGEXEXTRACT(A531, ""Chapter ([0-9]*):"")), """")"),"")</f>
        <v/>
      </c>
      <c r="C531" s="31" t="str">
        <f>IFERROR(__xludf.DUMMYFUNCTION("if(len(A531) &gt;0, REGEXEXTRACT(A531, ""Chapter [0-9]*: (.*)""), """")"),"")</f>
        <v/>
      </c>
      <c r="D531" s="31" t="str">
        <f>IFERROR(__xludf.DUMMYFUNCTION("if(len(A531)&gt;0, REGEXEXTRACT(A531, ""\n[^\(]*""), """")"),"")</f>
        <v/>
      </c>
      <c r="E531" s="17" t="str">
        <f>IFERROR(__xludf.DUMMYFUNCTION("if(len(A531)&gt;0, REGEXEXTRACT(A531, ""\n([^\n]*)$""), """")"),"")</f>
        <v/>
      </c>
      <c r="F531" s="17" t="str">
        <f>IFERROR(__xludf.DUMMYFUNCTION("if(len(A531)&gt;0, REGEXEXTRACT(A531, ""\(([^\)]*)\)""), """")"),"")</f>
        <v/>
      </c>
      <c r="G531" s="17" t="str">
        <f>IFERROR(__xludf.DUMMYFUNCTION("if(len(A531)&gt;0, REGEXEXTRACT(A531, ""\)([^:]*):""), """")"),"")</f>
        <v/>
      </c>
      <c r="H531" s="31" t="str">
        <f>IFERROR(__xludf.DUMMYFUNCTION("if(len(A531) &gt; 0, JOIN(char(10), FILTER(SPLIT(A531, char(10)), split(""false false "" &amp; rept(""true "", columns(SPLIT(A531, char(10)))-3) &amp; ""false"", "" ""))), """")"),"")</f>
        <v/>
      </c>
    </row>
    <row r="532">
      <c r="A532" s="31"/>
      <c r="B532" s="17" t="str">
        <f>IFERROR(__xludf.DUMMYFUNCTION("if(len(A532)&gt;0, value(REGEXEXTRACT(A532, ""Chapter ([0-9]*):"")), """")"),"")</f>
        <v/>
      </c>
      <c r="C532" s="31" t="str">
        <f>IFERROR(__xludf.DUMMYFUNCTION("if(len(A532) &gt;0, REGEXEXTRACT(A532, ""Chapter [0-9]*: (.*)""), """")"),"")</f>
        <v/>
      </c>
      <c r="D532" s="31" t="str">
        <f>IFERROR(__xludf.DUMMYFUNCTION("if(len(A532)&gt;0, REGEXEXTRACT(A532, ""\n[^\(]*""), """")"),"")</f>
        <v/>
      </c>
      <c r="E532" s="17" t="str">
        <f>IFERROR(__xludf.DUMMYFUNCTION("if(len(A532)&gt;0, REGEXEXTRACT(A532, ""\n([^\n]*)$""), """")"),"")</f>
        <v/>
      </c>
      <c r="F532" s="17" t="str">
        <f>IFERROR(__xludf.DUMMYFUNCTION("if(len(A532)&gt;0, REGEXEXTRACT(A532, ""\(([^\)]*)\)""), """")"),"")</f>
        <v/>
      </c>
      <c r="G532" s="17" t="str">
        <f>IFERROR(__xludf.DUMMYFUNCTION("if(len(A532)&gt;0, REGEXEXTRACT(A532, ""\)([^:]*):""), """")"),"")</f>
        <v/>
      </c>
      <c r="H532" s="31" t="str">
        <f>IFERROR(__xludf.DUMMYFUNCTION("if(len(A532) &gt; 0, JOIN(char(10), FILTER(SPLIT(A532, char(10)), split(""false false "" &amp; rept(""true "", columns(SPLIT(A532, char(10)))-3) &amp; ""false"", "" ""))), """")"),"")</f>
        <v/>
      </c>
    </row>
    <row r="533">
      <c r="A533" s="31"/>
      <c r="B533" s="17" t="str">
        <f>IFERROR(__xludf.DUMMYFUNCTION("if(len(A533)&gt;0, value(REGEXEXTRACT(A533, ""Chapter ([0-9]*):"")), """")"),"")</f>
        <v/>
      </c>
      <c r="C533" s="31" t="str">
        <f>IFERROR(__xludf.DUMMYFUNCTION("if(len(A533) &gt;0, REGEXEXTRACT(A533, ""Chapter [0-9]*: (.*)""), """")"),"")</f>
        <v/>
      </c>
      <c r="D533" s="31" t="str">
        <f>IFERROR(__xludf.DUMMYFUNCTION("if(len(A533)&gt;0, REGEXEXTRACT(A533, ""\n[^\(]*""), """")"),"")</f>
        <v/>
      </c>
      <c r="E533" s="17" t="str">
        <f>IFERROR(__xludf.DUMMYFUNCTION("if(len(A533)&gt;0, REGEXEXTRACT(A533, ""\n([^\n]*)$""), """")"),"")</f>
        <v/>
      </c>
      <c r="F533" s="17" t="str">
        <f>IFERROR(__xludf.DUMMYFUNCTION("if(len(A533)&gt;0, REGEXEXTRACT(A533, ""\(([^\)]*)\)""), """")"),"")</f>
        <v/>
      </c>
      <c r="G533" s="17" t="str">
        <f>IFERROR(__xludf.DUMMYFUNCTION("if(len(A533)&gt;0, REGEXEXTRACT(A533, ""\)([^:]*):""), """")"),"")</f>
        <v/>
      </c>
      <c r="H533" s="31" t="str">
        <f>IFERROR(__xludf.DUMMYFUNCTION("if(len(A533) &gt; 0, JOIN(char(10), FILTER(SPLIT(A533, char(10)), split(""false false "" &amp; rept(""true "", columns(SPLIT(A533, char(10)))-3) &amp; ""false"", "" ""))), """")"),"")</f>
        <v/>
      </c>
    </row>
    <row r="534">
      <c r="A534" s="31"/>
      <c r="B534" s="17" t="str">
        <f>IFERROR(__xludf.DUMMYFUNCTION("if(len(A534)&gt;0, value(REGEXEXTRACT(A534, ""Chapter ([0-9]*):"")), """")"),"")</f>
        <v/>
      </c>
      <c r="C534" s="31" t="str">
        <f>IFERROR(__xludf.DUMMYFUNCTION("if(len(A534) &gt;0, REGEXEXTRACT(A534, ""Chapter [0-9]*: (.*)""), """")"),"")</f>
        <v/>
      </c>
      <c r="D534" s="31" t="str">
        <f>IFERROR(__xludf.DUMMYFUNCTION("if(len(A534)&gt;0, REGEXEXTRACT(A534, ""\n[^\(]*""), """")"),"")</f>
        <v/>
      </c>
      <c r="E534" s="17" t="str">
        <f>IFERROR(__xludf.DUMMYFUNCTION("if(len(A534)&gt;0, REGEXEXTRACT(A534, ""\n([^\n]*)$""), """")"),"")</f>
        <v/>
      </c>
      <c r="F534" s="17" t="str">
        <f>IFERROR(__xludf.DUMMYFUNCTION("if(len(A534)&gt;0, REGEXEXTRACT(A534, ""\(([^\)]*)\)""), """")"),"")</f>
        <v/>
      </c>
      <c r="G534" s="17" t="str">
        <f>IFERROR(__xludf.DUMMYFUNCTION("if(len(A534)&gt;0, REGEXEXTRACT(A534, ""\)([^:]*):""), """")"),"")</f>
        <v/>
      </c>
      <c r="H534" s="31" t="str">
        <f>IFERROR(__xludf.DUMMYFUNCTION("if(len(A534) &gt; 0, JOIN(char(10), FILTER(SPLIT(A534, char(10)), split(""false false "" &amp; rept(""true "", columns(SPLIT(A534, char(10)))-3) &amp; ""false"", "" ""))), """")"),"")</f>
        <v/>
      </c>
    </row>
    <row r="535">
      <c r="A535" s="31"/>
      <c r="B535" s="17" t="str">
        <f>IFERROR(__xludf.DUMMYFUNCTION("if(len(A535)&gt;0, value(REGEXEXTRACT(A535, ""Chapter ([0-9]*):"")), """")"),"")</f>
        <v/>
      </c>
      <c r="C535" s="31" t="str">
        <f>IFERROR(__xludf.DUMMYFUNCTION("if(len(A535) &gt;0, REGEXEXTRACT(A535, ""Chapter [0-9]*: (.*)""), """")"),"")</f>
        <v/>
      </c>
      <c r="D535" s="31" t="str">
        <f>IFERROR(__xludf.DUMMYFUNCTION("if(len(A535)&gt;0, REGEXEXTRACT(A535, ""\n[^\(]*""), """")"),"")</f>
        <v/>
      </c>
      <c r="E535" s="17" t="str">
        <f>IFERROR(__xludf.DUMMYFUNCTION("if(len(A535)&gt;0, REGEXEXTRACT(A535, ""\n([^\n]*)$""), """")"),"")</f>
        <v/>
      </c>
      <c r="F535" s="17" t="str">
        <f>IFERROR(__xludf.DUMMYFUNCTION("if(len(A535)&gt;0, REGEXEXTRACT(A535, ""\(([^\)]*)\)""), """")"),"")</f>
        <v/>
      </c>
      <c r="G535" s="17" t="str">
        <f>IFERROR(__xludf.DUMMYFUNCTION("if(len(A535)&gt;0, REGEXEXTRACT(A535, ""\)([^:]*):""), """")"),"")</f>
        <v/>
      </c>
      <c r="H535" s="31" t="str">
        <f>IFERROR(__xludf.DUMMYFUNCTION("if(len(A535) &gt; 0, JOIN(char(10), FILTER(SPLIT(A535, char(10)), split(""false false "" &amp; rept(""true "", columns(SPLIT(A535, char(10)))-3) &amp; ""false"", "" ""))), """")"),"")</f>
        <v/>
      </c>
    </row>
    <row r="536">
      <c r="A536" s="31"/>
      <c r="B536" s="17" t="str">
        <f>IFERROR(__xludf.DUMMYFUNCTION("if(len(A536)&gt;0, value(REGEXEXTRACT(A536, ""Chapter ([0-9]*):"")), """")"),"")</f>
        <v/>
      </c>
      <c r="C536" s="31" t="str">
        <f>IFERROR(__xludf.DUMMYFUNCTION("if(len(A536) &gt;0, REGEXEXTRACT(A536, ""Chapter [0-9]*: (.*)""), """")"),"")</f>
        <v/>
      </c>
      <c r="D536" s="31" t="str">
        <f>IFERROR(__xludf.DUMMYFUNCTION("if(len(A536)&gt;0, REGEXEXTRACT(A536, ""\n[^\(]*""), """")"),"")</f>
        <v/>
      </c>
      <c r="E536" s="17" t="str">
        <f>IFERROR(__xludf.DUMMYFUNCTION("if(len(A536)&gt;0, REGEXEXTRACT(A536, ""\n([^\n]*)$""), """")"),"")</f>
        <v/>
      </c>
      <c r="F536" s="17" t="str">
        <f>IFERROR(__xludf.DUMMYFUNCTION("if(len(A536)&gt;0, REGEXEXTRACT(A536, ""\(([^\)]*)\)""), """")"),"")</f>
        <v/>
      </c>
      <c r="G536" s="17" t="str">
        <f>IFERROR(__xludf.DUMMYFUNCTION("if(len(A536)&gt;0, REGEXEXTRACT(A536, ""\)([^:]*):""), """")"),"")</f>
        <v/>
      </c>
      <c r="H536" s="31" t="str">
        <f>IFERROR(__xludf.DUMMYFUNCTION("if(len(A536) &gt; 0, JOIN(char(10), FILTER(SPLIT(A536, char(10)), split(""false false "" &amp; rept(""true "", columns(SPLIT(A536, char(10)))-3) &amp; ""false"", "" ""))), """")"),"")</f>
        <v/>
      </c>
    </row>
    <row r="537">
      <c r="A537" s="31"/>
      <c r="B537" s="17" t="str">
        <f>IFERROR(__xludf.DUMMYFUNCTION("if(len(A537)&gt;0, value(REGEXEXTRACT(A537, ""Chapter ([0-9]*):"")), """")"),"")</f>
        <v/>
      </c>
      <c r="C537" s="31" t="str">
        <f>IFERROR(__xludf.DUMMYFUNCTION("if(len(A537) &gt;0, REGEXEXTRACT(A537, ""Chapter [0-9]*: (.*)""), """")"),"")</f>
        <v/>
      </c>
      <c r="D537" s="31" t="str">
        <f>IFERROR(__xludf.DUMMYFUNCTION("if(len(A537)&gt;0, REGEXEXTRACT(A537, ""\n[^\(]*""), """")"),"")</f>
        <v/>
      </c>
      <c r="E537" s="17" t="str">
        <f>IFERROR(__xludf.DUMMYFUNCTION("if(len(A537)&gt;0, REGEXEXTRACT(A537, ""\n([^\n]*)$""), """")"),"")</f>
        <v/>
      </c>
      <c r="F537" s="17" t="str">
        <f>IFERROR(__xludf.DUMMYFUNCTION("if(len(A537)&gt;0, REGEXEXTRACT(A537, ""\(([^\)]*)\)""), """")"),"")</f>
        <v/>
      </c>
      <c r="G537" s="17" t="str">
        <f>IFERROR(__xludf.DUMMYFUNCTION("if(len(A537)&gt;0, REGEXEXTRACT(A537, ""\)([^:]*):""), """")"),"")</f>
        <v/>
      </c>
      <c r="H537" s="31" t="str">
        <f>IFERROR(__xludf.DUMMYFUNCTION("if(len(A537) &gt; 0, JOIN(char(10), FILTER(SPLIT(A537, char(10)), split(""false false "" &amp; rept(""true "", columns(SPLIT(A537, char(10)))-3) &amp; ""false"", "" ""))), """")"),"")</f>
        <v/>
      </c>
    </row>
    <row r="538">
      <c r="A538" s="31"/>
      <c r="B538" s="17" t="str">
        <f>IFERROR(__xludf.DUMMYFUNCTION("if(len(A538)&gt;0, value(REGEXEXTRACT(A538, ""Chapter ([0-9]*):"")), """")"),"")</f>
        <v/>
      </c>
      <c r="C538" s="31" t="str">
        <f>IFERROR(__xludf.DUMMYFUNCTION("if(len(A538) &gt;0, REGEXEXTRACT(A538, ""Chapter [0-9]*: (.*)""), """")"),"")</f>
        <v/>
      </c>
      <c r="D538" s="31" t="str">
        <f>IFERROR(__xludf.DUMMYFUNCTION("if(len(A538)&gt;0, REGEXEXTRACT(A538, ""\n[^\(]*""), """")"),"")</f>
        <v/>
      </c>
      <c r="E538" s="17" t="str">
        <f>IFERROR(__xludf.DUMMYFUNCTION("if(len(A538)&gt;0, REGEXEXTRACT(A538, ""\n([^\n]*)$""), """")"),"")</f>
        <v/>
      </c>
      <c r="F538" s="17" t="str">
        <f>IFERROR(__xludf.DUMMYFUNCTION("if(len(A538)&gt;0, REGEXEXTRACT(A538, ""\(([^\)]*)\)""), """")"),"")</f>
        <v/>
      </c>
      <c r="G538" s="17" t="str">
        <f>IFERROR(__xludf.DUMMYFUNCTION("if(len(A538)&gt;0, REGEXEXTRACT(A538, ""\)([^:]*):""), """")"),"")</f>
        <v/>
      </c>
      <c r="H538" s="31" t="str">
        <f>IFERROR(__xludf.DUMMYFUNCTION("if(len(A538) &gt; 0, JOIN(char(10), FILTER(SPLIT(A538, char(10)), split(""false false "" &amp; rept(""true "", columns(SPLIT(A538, char(10)))-3) &amp; ""false"", "" ""))), """")"),"")</f>
        <v/>
      </c>
    </row>
    <row r="539">
      <c r="A539" s="31"/>
      <c r="B539" s="17" t="str">
        <f>IFERROR(__xludf.DUMMYFUNCTION("if(len(A539)&gt;0, value(REGEXEXTRACT(A539, ""Chapter ([0-9]*):"")), """")"),"")</f>
        <v/>
      </c>
      <c r="C539" s="31" t="str">
        <f>IFERROR(__xludf.DUMMYFUNCTION("if(len(A539) &gt;0, REGEXEXTRACT(A539, ""Chapter [0-9]*: (.*)""), """")"),"")</f>
        <v/>
      </c>
      <c r="D539" s="31" t="str">
        <f>IFERROR(__xludf.DUMMYFUNCTION("if(len(A539)&gt;0, REGEXEXTRACT(A539, ""\n[^\(]*""), """")"),"")</f>
        <v/>
      </c>
      <c r="E539" s="17" t="str">
        <f>IFERROR(__xludf.DUMMYFUNCTION("if(len(A539)&gt;0, REGEXEXTRACT(A539, ""\n([^\n]*)$""), """")"),"")</f>
        <v/>
      </c>
      <c r="F539" s="17" t="str">
        <f>IFERROR(__xludf.DUMMYFUNCTION("if(len(A539)&gt;0, REGEXEXTRACT(A539, ""\(([^\)]*)\)""), """")"),"")</f>
        <v/>
      </c>
      <c r="G539" s="17" t="str">
        <f>IFERROR(__xludf.DUMMYFUNCTION("if(len(A539)&gt;0, REGEXEXTRACT(A539, ""\)([^:]*):""), """")"),"")</f>
        <v/>
      </c>
      <c r="H539" s="31" t="str">
        <f>IFERROR(__xludf.DUMMYFUNCTION("if(len(A539) &gt; 0, JOIN(char(10), FILTER(SPLIT(A539, char(10)), split(""false false "" &amp; rept(""true "", columns(SPLIT(A539, char(10)))-3) &amp; ""false"", "" ""))), """")"),"")</f>
        <v/>
      </c>
    </row>
    <row r="540">
      <c r="A540" s="31"/>
      <c r="B540" s="17" t="str">
        <f>IFERROR(__xludf.DUMMYFUNCTION("if(len(A540)&gt;0, value(REGEXEXTRACT(A540, ""Chapter ([0-9]*):"")), """")"),"")</f>
        <v/>
      </c>
      <c r="C540" s="31" t="str">
        <f>IFERROR(__xludf.DUMMYFUNCTION("if(len(A540) &gt;0, REGEXEXTRACT(A540, ""Chapter [0-9]*: (.*)""), """")"),"")</f>
        <v/>
      </c>
      <c r="D540" s="31" t="str">
        <f>IFERROR(__xludf.DUMMYFUNCTION("if(len(A540)&gt;0, REGEXEXTRACT(A540, ""\n[^\(]*""), """")"),"")</f>
        <v/>
      </c>
      <c r="E540" s="17" t="str">
        <f>IFERROR(__xludf.DUMMYFUNCTION("if(len(A540)&gt;0, REGEXEXTRACT(A540, ""\n([^\n]*)$""), """")"),"")</f>
        <v/>
      </c>
      <c r="F540" s="17" t="str">
        <f>IFERROR(__xludf.DUMMYFUNCTION("if(len(A540)&gt;0, REGEXEXTRACT(A540, ""\(([^\)]*)\)""), """")"),"")</f>
        <v/>
      </c>
      <c r="G540" s="17" t="str">
        <f>IFERROR(__xludf.DUMMYFUNCTION("if(len(A540)&gt;0, REGEXEXTRACT(A540, ""\)([^:]*):""), """")"),"")</f>
        <v/>
      </c>
      <c r="H540" s="31" t="str">
        <f>IFERROR(__xludf.DUMMYFUNCTION("if(len(A540) &gt; 0, JOIN(char(10), FILTER(SPLIT(A540, char(10)), split(""false false "" &amp; rept(""true "", columns(SPLIT(A540, char(10)))-3) &amp; ""false"", "" ""))), """")"),"")</f>
        <v/>
      </c>
    </row>
    <row r="541">
      <c r="A541" s="31"/>
      <c r="B541" s="17" t="str">
        <f>IFERROR(__xludf.DUMMYFUNCTION("if(len(A541)&gt;0, value(REGEXEXTRACT(A541, ""Chapter ([0-9]*):"")), """")"),"")</f>
        <v/>
      </c>
      <c r="C541" s="31" t="str">
        <f>IFERROR(__xludf.DUMMYFUNCTION("if(len(A541) &gt;0, REGEXEXTRACT(A541, ""Chapter [0-9]*: (.*)""), """")"),"")</f>
        <v/>
      </c>
      <c r="D541" s="31" t="str">
        <f>IFERROR(__xludf.DUMMYFUNCTION("if(len(A541)&gt;0, REGEXEXTRACT(A541, ""\n[^\(]*""), """")"),"")</f>
        <v/>
      </c>
      <c r="E541" s="17" t="str">
        <f>IFERROR(__xludf.DUMMYFUNCTION("if(len(A541)&gt;0, REGEXEXTRACT(A541, ""\n([^\n]*)$""), """")"),"")</f>
        <v/>
      </c>
      <c r="F541" s="17" t="str">
        <f>IFERROR(__xludf.DUMMYFUNCTION("if(len(A541)&gt;0, REGEXEXTRACT(A541, ""\(([^\)]*)\)""), """")"),"")</f>
        <v/>
      </c>
      <c r="G541" s="17" t="str">
        <f>IFERROR(__xludf.DUMMYFUNCTION("if(len(A541)&gt;0, REGEXEXTRACT(A541, ""\)([^:]*):""), """")"),"")</f>
        <v/>
      </c>
      <c r="H541" s="31" t="str">
        <f>IFERROR(__xludf.DUMMYFUNCTION("if(len(A541) &gt; 0, JOIN(char(10), FILTER(SPLIT(A541, char(10)), split(""false false "" &amp; rept(""true "", columns(SPLIT(A541, char(10)))-3) &amp; ""false"", "" ""))), """")"),"")</f>
        <v/>
      </c>
    </row>
    <row r="542">
      <c r="A542" s="31"/>
      <c r="B542" s="17" t="str">
        <f>IFERROR(__xludf.DUMMYFUNCTION("if(len(A542)&gt;0, value(REGEXEXTRACT(A542, ""Chapter ([0-9]*):"")), """")"),"")</f>
        <v/>
      </c>
      <c r="C542" s="31" t="str">
        <f>IFERROR(__xludf.DUMMYFUNCTION("if(len(A542) &gt;0, REGEXEXTRACT(A542, ""Chapter [0-9]*: (.*)""), """")"),"")</f>
        <v/>
      </c>
      <c r="D542" s="31" t="str">
        <f>IFERROR(__xludf.DUMMYFUNCTION("if(len(A542)&gt;0, REGEXEXTRACT(A542, ""\n[^\(]*""), """")"),"")</f>
        <v/>
      </c>
      <c r="E542" s="17" t="str">
        <f>IFERROR(__xludf.DUMMYFUNCTION("if(len(A542)&gt;0, REGEXEXTRACT(A542, ""\n([^\n]*)$""), """")"),"")</f>
        <v/>
      </c>
      <c r="F542" s="17" t="str">
        <f>IFERROR(__xludf.DUMMYFUNCTION("if(len(A542)&gt;0, REGEXEXTRACT(A542, ""\(([^\)]*)\)""), """")"),"")</f>
        <v/>
      </c>
      <c r="G542" s="17" t="str">
        <f>IFERROR(__xludf.DUMMYFUNCTION("if(len(A542)&gt;0, REGEXEXTRACT(A542, ""\)([^:]*):""), """")"),"")</f>
        <v/>
      </c>
      <c r="H542" s="31" t="str">
        <f>IFERROR(__xludf.DUMMYFUNCTION("if(len(A542) &gt; 0, JOIN(char(10), FILTER(SPLIT(A542, char(10)), split(""false false "" &amp; rept(""true "", columns(SPLIT(A542, char(10)))-3) &amp; ""false"", "" ""))), """")"),"")</f>
        <v/>
      </c>
    </row>
    <row r="543">
      <c r="A543" s="31"/>
      <c r="B543" s="17" t="str">
        <f>IFERROR(__xludf.DUMMYFUNCTION("if(len(A543)&gt;0, value(REGEXEXTRACT(A543, ""Chapter ([0-9]*):"")), """")"),"")</f>
        <v/>
      </c>
      <c r="C543" s="31" t="str">
        <f>IFERROR(__xludf.DUMMYFUNCTION("if(len(A543) &gt;0, REGEXEXTRACT(A543, ""Chapter [0-9]*: (.*)""), """")"),"")</f>
        <v/>
      </c>
      <c r="D543" s="31" t="str">
        <f>IFERROR(__xludf.DUMMYFUNCTION("if(len(A543)&gt;0, REGEXEXTRACT(A543, ""\n[^\(]*""), """")"),"")</f>
        <v/>
      </c>
      <c r="E543" s="17" t="str">
        <f>IFERROR(__xludf.DUMMYFUNCTION("if(len(A543)&gt;0, REGEXEXTRACT(A543, ""\n([^\n]*)$""), """")"),"")</f>
        <v/>
      </c>
      <c r="F543" s="17" t="str">
        <f>IFERROR(__xludf.DUMMYFUNCTION("if(len(A543)&gt;0, REGEXEXTRACT(A543, ""\(([^\)]*)\)""), """")"),"")</f>
        <v/>
      </c>
      <c r="G543" s="17" t="str">
        <f>IFERROR(__xludf.DUMMYFUNCTION("if(len(A543)&gt;0, REGEXEXTRACT(A543, ""\)([^:]*):""), """")"),"")</f>
        <v/>
      </c>
      <c r="H543" s="31" t="str">
        <f>IFERROR(__xludf.DUMMYFUNCTION("if(len(A543) &gt; 0, JOIN(char(10), FILTER(SPLIT(A543, char(10)), split(""false false "" &amp; rept(""true "", columns(SPLIT(A543, char(10)))-3) &amp; ""false"", "" ""))), """")"),"")</f>
        <v/>
      </c>
    </row>
    <row r="544">
      <c r="A544" s="31"/>
      <c r="B544" s="17" t="str">
        <f>IFERROR(__xludf.DUMMYFUNCTION("if(len(A544)&gt;0, value(REGEXEXTRACT(A544, ""Chapter ([0-9]*):"")), """")"),"")</f>
        <v/>
      </c>
      <c r="C544" s="31" t="str">
        <f>IFERROR(__xludf.DUMMYFUNCTION("if(len(A544) &gt;0, REGEXEXTRACT(A544, ""Chapter [0-9]*: (.*)""), """")"),"")</f>
        <v/>
      </c>
      <c r="D544" s="31" t="str">
        <f>IFERROR(__xludf.DUMMYFUNCTION("if(len(A544)&gt;0, REGEXEXTRACT(A544, ""\n[^\(]*""), """")"),"")</f>
        <v/>
      </c>
      <c r="E544" s="17" t="str">
        <f>IFERROR(__xludf.DUMMYFUNCTION("if(len(A544)&gt;0, REGEXEXTRACT(A544, ""\n([^\n]*)$""), """")"),"")</f>
        <v/>
      </c>
      <c r="F544" s="17" t="str">
        <f>IFERROR(__xludf.DUMMYFUNCTION("if(len(A544)&gt;0, REGEXEXTRACT(A544, ""\(([^\)]*)\)""), """")"),"")</f>
        <v/>
      </c>
      <c r="G544" s="17" t="str">
        <f>IFERROR(__xludf.DUMMYFUNCTION("if(len(A544)&gt;0, REGEXEXTRACT(A544, ""\)([^:]*):""), """")"),"")</f>
        <v/>
      </c>
      <c r="H544" s="31" t="str">
        <f>IFERROR(__xludf.DUMMYFUNCTION("if(len(A544) &gt; 0, JOIN(char(10), FILTER(SPLIT(A544, char(10)), split(""false false "" &amp; rept(""true "", columns(SPLIT(A544, char(10)))-3) &amp; ""false"", "" ""))), """")"),"")</f>
        <v/>
      </c>
    </row>
    <row r="545">
      <c r="A545" s="31"/>
      <c r="B545" s="17" t="str">
        <f>IFERROR(__xludf.DUMMYFUNCTION("if(len(A545)&gt;0, value(REGEXEXTRACT(A545, ""Chapter ([0-9]*):"")), """")"),"")</f>
        <v/>
      </c>
      <c r="C545" s="31" t="str">
        <f>IFERROR(__xludf.DUMMYFUNCTION("if(len(A545) &gt;0, REGEXEXTRACT(A545, ""Chapter [0-9]*: (.*)""), """")"),"")</f>
        <v/>
      </c>
      <c r="D545" s="31" t="str">
        <f>IFERROR(__xludf.DUMMYFUNCTION("if(len(A545)&gt;0, REGEXEXTRACT(A545, ""\n[^\(]*""), """")"),"")</f>
        <v/>
      </c>
      <c r="E545" s="17" t="str">
        <f>IFERROR(__xludf.DUMMYFUNCTION("if(len(A545)&gt;0, REGEXEXTRACT(A545, ""\n([^\n]*)$""), """")"),"")</f>
        <v/>
      </c>
      <c r="F545" s="17" t="str">
        <f>IFERROR(__xludf.DUMMYFUNCTION("if(len(A545)&gt;0, REGEXEXTRACT(A545, ""\(([^\)]*)\)""), """")"),"")</f>
        <v/>
      </c>
      <c r="G545" s="17" t="str">
        <f>IFERROR(__xludf.DUMMYFUNCTION("if(len(A545)&gt;0, REGEXEXTRACT(A545, ""\)([^:]*):""), """")"),"")</f>
        <v/>
      </c>
      <c r="H545" s="31" t="str">
        <f>IFERROR(__xludf.DUMMYFUNCTION("if(len(A545) &gt; 0, JOIN(char(10), FILTER(SPLIT(A545, char(10)), split(""false false "" &amp; rept(""true "", columns(SPLIT(A545, char(10)))-3) &amp; ""false"", "" ""))), """")"),"")</f>
        <v/>
      </c>
    </row>
    <row r="546">
      <c r="A546" s="31"/>
      <c r="B546" s="17" t="str">
        <f>IFERROR(__xludf.DUMMYFUNCTION("if(len(A546)&gt;0, value(REGEXEXTRACT(A546, ""Chapter ([0-9]*):"")), """")"),"")</f>
        <v/>
      </c>
      <c r="C546" s="31" t="str">
        <f>IFERROR(__xludf.DUMMYFUNCTION("if(len(A546) &gt;0, REGEXEXTRACT(A546, ""Chapter [0-9]*: (.*)""), """")"),"")</f>
        <v/>
      </c>
      <c r="D546" s="31" t="str">
        <f>IFERROR(__xludf.DUMMYFUNCTION("if(len(A546)&gt;0, REGEXEXTRACT(A546, ""\n[^\(]*""), """")"),"")</f>
        <v/>
      </c>
      <c r="E546" s="17" t="str">
        <f>IFERROR(__xludf.DUMMYFUNCTION("if(len(A546)&gt;0, REGEXEXTRACT(A546, ""\n([^\n]*)$""), """")"),"")</f>
        <v/>
      </c>
      <c r="F546" s="17" t="str">
        <f>IFERROR(__xludf.DUMMYFUNCTION("if(len(A546)&gt;0, REGEXEXTRACT(A546, ""\(([^\)]*)\)""), """")"),"")</f>
        <v/>
      </c>
      <c r="G546" s="17" t="str">
        <f>IFERROR(__xludf.DUMMYFUNCTION("if(len(A546)&gt;0, REGEXEXTRACT(A546, ""\)([^:]*):""), """")"),"")</f>
        <v/>
      </c>
      <c r="H546" s="31" t="str">
        <f>IFERROR(__xludf.DUMMYFUNCTION("if(len(A546) &gt; 0, JOIN(char(10), FILTER(SPLIT(A546, char(10)), split(""false false "" &amp; rept(""true "", columns(SPLIT(A546, char(10)))-3) &amp; ""false"", "" ""))), """")"),"")</f>
        <v/>
      </c>
    </row>
    <row r="547">
      <c r="A547" s="31"/>
      <c r="B547" s="17" t="str">
        <f>IFERROR(__xludf.DUMMYFUNCTION("if(len(A547)&gt;0, value(REGEXEXTRACT(A547, ""Chapter ([0-9]*):"")), """")"),"")</f>
        <v/>
      </c>
      <c r="C547" s="31" t="str">
        <f>IFERROR(__xludf.DUMMYFUNCTION("if(len(A547) &gt;0, REGEXEXTRACT(A547, ""Chapter [0-9]*: (.*)""), """")"),"")</f>
        <v/>
      </c>
      <c r="D547" s="31" t="str">
        <f>IFERROR(__xludf.DUMMYFUNCTION("if(len(A547)&gt;0, REGEXEXTRACT(A547, ""\n[^\(]*""), """")"),"")</f>
        <v/>
      </c>
      <c r="E547" s="17" t="str">
        <f>IFERROR(__xludf.DUMMYFUNCTION("if(len(A547)&gt;0, REGEXEXTRACT(A547, ""\n([^\n]*)$""), """")"),"")</f>
        <v/>
      </c>
      <c r="F547" s="17" t="str">
        <f>IFERROR(__xludf.DUMMYFUNCTION("if(len(A547)&gt;0, REGEXEXTRACT(A547, ""\(([^\)]*)\)""), """")"),"")</f>
        <v/>
      </c>
      <c r="G547" s="17" t="str">
        <f>IFERROR(__xludf.DUMMYFUNCTION("if(len(A547)&gt;0, REGEXEXTRACT(A547, ""\)([^:]*):""), """")"),"")</f>
        <v/>
      </c>
      <c r="H547" s="31" t="str">
        <f>IFERROR(__xludf.DUMMYFUNCTION("if(len(A547) &gt; 0, JOIN(char(10), FILTER(SPLIT(A547, char(10)), split(""false false "" &amp; rept(""true "", columns(SPLIT(A547, char(10)))-3) &amp; ""false"", "" ""))), """")"),"")</f>
        <v/>
      </c>
    </row>
    <row r="548">
      <c r="A548" s="31"/>
      <c r="B548" s="17" t="str">
        <f>IFERROR(__xludf.DUMMYFUNCTION("if(len(A548)&gt;0, value(REGEXEXTRACT(A548, ""Chapter ([0-9]*):"")), """")"),"")</f>
        <v/>
      </c>
      <c r="C548" s="31" t="str">
        <f>IFERROR(__xludf.DUMMYFUNCTION("if(len(A548) &gt;0, REGEXEXTRACT(A548, ""Chapter [0-9]*: (.*)""), """")"),"")</f>
        <v/>
      </c>
      <c r="D548" s="31" t="str">
        <f>IFERROR(__xludf.DUMMYFUNCTION("if(len(A548)&gt;0, REGEXEXTRACT(A548, ""\n[^\(]*""), """")"),"")</f>
        <v/>
      </c>
      <c r="E548" s="17" t="str">
        <f>IFERROR(__xludf.DUMMYFUNCTION("if(len(A548)&gt;0, REGEXEXTRACT(A548, ""\n([^\n]*)$""), """")"),"")</f>
        <v/>
      </c>
      <c r="F548" s="17" t="str">
        <f>IFERROR(__xludf.DUMMYFUNCTION("if(len(A548)&gt;0, REGEXEXTRACT(A548, ""\(([^\)]*)\)""), """")"),"")</f>
        <v/>
      </c>
      <c r="G548" s="17" t="str">
        <f>IFERROR(__xludf.DUMMYFUNCTION("if(len(A548)&gt;0, REGEXEXTRACT(A548, ""\)([^:]*):""), """")"),"")</f>
        <v/>
      </c>
      <c r="H548" s="31" t="str">
        <f>IFERROR(__xludf.DUMMYFUNCTION("if(len(A548) &gt; 0, JOIN(char(10), FILTER(SPLIT(A548, char(10)), split(""false false "" &amp; rept(""true "", columns(SPLIT(A548, char(10)))-3) &amp; ""false"", "" ""))), """")"),"")</f>
        <v/>
      </c>
    </row>
    <row r="549">
      <c r="A549" s="31"/>
      <c r="B549" s="17" t="str">
        <f>IFERROR(__xludf.DUMMYFUNCTION("if(len(A549)&gt;0, value(REGEXEXTRACT(A549, ""Chapter ([0-9]*):"")), """")"),"")</f>
        <v/>
      </c>
      <c r="C549" s="31" t="str">
        <f>IFERROR(__xludf.DUMMYFUNCTION("if(len(A549) &gt;0, REGEXEXTRACT(A549, ""Chapter [0-9]*: (.*)""), """")"),"")</f>
        <v/>
      </c>
      <c r="D549" s="31" t="str">
        <f>IFERROR(__xludf.DUMMYFUNCTION("if(len(A549)&gt;0, REGEXEXTRACT(A549, ""\n[^\(]*""), """")"),"")</f>
        <v/>
      </c>
      <c r="E549" s="17" t="str">
        <f>IFERROR(__xludf.DUMMYFUNCTION("if(len(A549)&gt;0, REGEXEXTRACT(A549, ""\n([^\n]*)$""), """")"),"")</f>
        <v/>
      </c>
      <c r="F549" s="17" t="str">
        <f>IFERROR(__xludf.DUMMYFUNCTION("if(len(A549)&gt;0, REGEXEXTRACT(A549, ""\(([^\)]*)\)""), """")"),"")</f>
        <v/>
      </c>
      <c r="G549" s="17" t="str">
        <f>IFERROR(__xludf.DUMMYFUNCTION("if(len(A549)&gt;0, REGEXEXTRACT(A549, ""\)([^:]*):""), """")"),"")</f>
        <v/>
      </c>
      <c r="H549" s="31" t="str">
        <f>IFERROR(__xludf.DUMMYFUNCTION("if(len(A549) &gt; 0, JOIN(char(10), FILTER(SPLIT(A549, char(10)), split(""false false "" &amp; rept(""true "", columns(SPLIT(A549, char(10)))-3) &amp; ""false"", "" ""))), """")"),"")</f>
        <v/>
      </c>
    </row>
    <row r="550">
      <c r="A550" s="31"/>
      <c r="B550" s="17" t="str">
        <f>IFERROR(__xludf.DUMMYFUNCTION("if(len(A550)&gt;0, value(REGEXEXTRACT(A550, ""Chapter ([0-9]*):"")), """")"),"")</f>
        <v/>
      </c>
      <c r="C550" s="31" t="str">
        <f>IFERROR(__xludf.DUMMYFUNCTION("if(len(A550) &gt;0, REGEXEXTRACT(A550, ""Chapter [0-9]*: (.*)""), """")"),"")</f>
        <v/>
      </c>
      <c r="D550" s="31" t="str">
        <f>IFERROR(__xludf.DUMMYFUNCTION("if(len(A550)&gt;0, REGEXEXTRACT(A550, ""\n[^\(]*""), """")"),"")</f>
        <v/>
      </c>
      <c r="E550" s="17" t="str">
        <f>IFERROR(__xludf.DUMMYFUNCTION("if(len(A550)&gt;0, REGEXEXTRACT(A550, ""\n([^\n]*)$""), """")"),"")</f>
        <v/>
      </c>
      <c r="F550" s="17" t="str">
        <f>IFERROR(__xludf.DUMMYFUNCTION("if(len(A550)&gt;0, REGEXEXTRACT(A550, ""\(([^\)]*)\)""), """")"),"")</f>
        <v/>
      </c>
      <c r="G550" s="17" t="str">
        <f>IFERROR(__xludf.DUMMYFUNCTION("if(len(A550)&gt;0, REGEXEXTRACT(A550, ""\)([^:]*):""), """")"),"")</f>
        <v/>
      </c>
      <c r="H550" s="31" t="str">
        <f>IFERROR(__xludf.DUMMYFUNCTION("if(len(A550) &gt; 0, JOIN(char(10), FILTER(SPLIT(A550, char(10)), split(""false false "" &amp; rept(""true "", columns(SPLIT(A550, char(10)))-3) &amp; ""false"", "" ""))), """")"),"")</f>
        <v/>
      </c>
    </row>
    <row r="551">
      <c r="A551" s="31"/>
      <c r="B551" s="17" t="str">
        <f>IFERROR(__xludf.DUMMYFUNCTION("if(len(A551)&gt;0, value(REGEXEXTRACT(A551, ""Chapter ([0-9]*):"")), """")"),"")</f>
        <v/>
      </c>
      <c r="C551" s="31" t="str">
        <f>IFERROR(__xludf.DUMMYFUNCTION("if(len(A551) &gt;0, REGEXEXTRACT(A551, ""Chapter [0-9]*: (.*)""), """")"),"")</f>
        <v/>
      </c>
      <c r="D551" s="31" t="str">
        <f>IFERROR(__xludf.DUMMYFUNCTION("if(len(A551)&gt;0, REGEXEXTRACT(A551, ""\n[^\(]*""), """")"),"")</f>
        <v/>
      </c>
      <c r="E551" s="17" t="str">
        <f>IFERROR(__xludf.DUMMYFUNCTION("if(len(A551)&gt;0, REGEXEXTRACT(A551, ""\n([^\n]*)$""), """")"),"")</f>
        <v/>
      </c>
      <c r="F551" s="17" t="str">
        <f>IFERROR(__xludf.DUMMYFUNCTION("if(len(A551)&gt;0, REGEXEXTRACT(A551, ""\(([^\)]*)\)""), """")"),"")</f>
        <v/>
      </c>
      <c r="G551" s="17" t="str">
        <f>IFERROR(__xludf.DUMMYFUNCTION("if(len(A551)&gt;0, REGEXEXTRACT(A551, ""\)([^:]*):""), """")"),"")</f>
        <v/>
      </c>
      <c r="H551" s="31" t="str">
        <f>IFERROR(__xludf.DUMMYFUNCTION("if(len(A551) &gt; 0, JOIN(char(10), FILTER(SPLIT(A551, char(10)), split(""false false "" &amp; rept(""true "", columns(SPLIT(A551, char(10)))-3) &amp; ""false"", "" ""))), """")"),"")</f>
        <v/>
      </c>
    </row>
    <row r="552">
      <c r="A552" s="31"/>
      <c r="B552" s="17" t="str">
        <f>IFERROR(__xludf.DUMMYFUNCTION("if(len(A552)&gt;0, value(REGEXEXTRACT(A552, ""Chapter ([0-9]*):"")), """")"),"")</f>
        <v/>
      </c>
      <c r="C552" s="31" t="str">
        <f>IFERROR(__xludf.DUMMYFUNCTION("if(len(A552) &gt;0, REGEXEXTRACT(A552, ""Chapter [0-9]*: (.*)""), """")"),"")</f>
        <v/>
      </c>
      <c r="D552" s="31" t="str">
        <f>IFERROR(__xludf.DUMMYFUNCTION("if(len(A552)&gt;0, REGEXEXTRACT(A552, ""\n[^\(]*""), """")"),"")</f>
        <v/>
      </c>
      <c r="E552" s="17" t="str">
        <f>IFERROR(__xludf.DUMMYFUNCTION("if(len(A552)&gt;0, REGEXEXTRACT(A552, ""\n([^\n]*)$""), """")"),"")</f>
        <v/>
      </c>
      <c r="F552" s="17" t="str">
        <f>IFERROR(__xludf.DUMMYFUNCTION("if(len(A552)&gt;0, REGEXEXTRACT(A552, ""\(([^\)]*)\)""), """")"),"")</f>
        <v/>
      </c>
      <c r="G552" s="17" t="str">
        <f>IFERROR(__xludf.DUMMYFUNCTION("if(len(A552)&gt;0, REGEXEXTRACT(A552, ""\)([^:]*):""), """")"),"")</f>
        <v/>
      </c>
      <c r="H552" s="31" t="str">
        <f>IFERROR(__xludf.DUMMYFUNCTION("if(len(A552) &gt; 0, JOIN(char(10), FILTER(SPLIT(A552, char(10)), split(""false false "" &amp; rept(""true "", columns(SPLIT(A552, char(10)))-3) &amp; ""false"", "" ""))), """")"),"")</f>
        <v/>
      </c>
    </row>
    <row r="553">
      <c r="A553" s="31"/>
      <c r="B553" s="17" t="str">
        <f>IFERROR(__xludf.DUMMYFUNCTION("if(len(A553)&gt;0, value(REGEXEXTRACT(A553, ""Chapter ([0-9]*):"")), """")"),"")</f>
        <v/>
      </c>
      <c r="C553" s="31" t="str">
        <f>IFERROR(__xludf.DUMMYFUNCTION("if(len(A553) &gt;0, REGEXEXTRACT(A553, ""Chapter [0-9]*: (.*)""), """")"),"")</f>
        <v/>
      </c>
      <c r="D553" s="31" t="str">
        <f>IFERROR(__xludf.DUMMYFUNCTION("if(len(A553)&gt;0, REGEXEXTRACT(A553, ""\n[^\(]*""), """")"),"")</f>
        <v/>
      </c>
      <c r="E553" s="17" t="str">
        <f>IFERROR(__xludf.DUMMYFUNCTION("if(len(A553)&gt;0, REGEXEXTRACT(A553, ""\n([^\n]*)$""), """")"),"")</f>
        <v/>
      </c>
      <c r="F553" s="17" t="str">
        <f>IFERROR(__xludf.DUMMYFUNCTION("if(len(A553)&gt;0, REGEXEXTRACT(A553, ""\(([^\)]*)\)""), """")"),"")</f>
        <v/>
      </c>
      <c r="G553" s="17" t="str">
        <f>IFERROR(__xludf.DUMMYFUNCTION("if(len(A553)&gt;0, REGEXEXTRACT(A553, ""\)([^:]*):""), """")"),"")</f>
        <v/>
      </c>
      <c r="H553" s="31" t="str">
        <f>IFERROR(__xludf.DUMMYFUNCTION("if(len(A553) &gt; 0, JOIN(char(10), FILTER(SPLIT(A553, char(10)), split(""false false "" &amp; rept(""true "", columns(SPLIT(A553, char(10)))-3) &amp; ""false"", "" ""))), """")"),"")</f>
        <v/>
      </c>
    </row>
    <row r="554">
      <c r="A554" s="31"/>
      <c r="B554" s="17" t="str">
        <f>IFERROR(__xludf.DUMMYFUNCTION("if(len(A554)&gt;0, value(REGEXEXTRACT(A554, ""Chapter ([0-9]*):"")), """")"),"")</f>
        <v/>
      </c>
      <c r="C554" s="31" t="str">
        <f>IFERROR(__xludf.DUMMYFUNCTION("if(len(A554) &gt;0, REGEXEXTRACT(A554, ""Chapter [0-9]*: (.*)""), """")"),"")</f>
        <v/>
      </c>
      <c r="D554" s="31" t="str">
        <f>IFERROR(__xludf.DUMMYFUNCTION("if(len(A554)&gt;0, REGEXEXTRACT(A554, ""\n[^\(]*""), """")"),"")</f>
        <v/>
      </c>
      <c r="E554" s="17" t="str">
        <f>IFERROR(__xludf.DUMMYFUNCTION("if(len(A554)&gt;0, REGEXEXTRACT(A554, ""\n([^\n]*)$""), """")"),"")</f>
        <v/>
      </c>
      <c r="F554" s="17" t="str">
        <f>IFERROR(__xludf.DUMMYFUNCTION("if(len(A554)&gt;0, REGEXEXTRACT(A554, ""\(([^\)]*)\)""), """")"),"")</f>
        <v/>
      </c>
      <c r="G554" s="17" t="str">
        <f>IFERROR(__xludf.DUMMYFUNCTION("if(len(A554)&gt;0, REGEXEXTRACT(A554, ""\)([^:]*):""), """")"),"")</f>
        <v/>
      </c>
      <c r="H554" s="31" t="str">
        <f>IFERROR(__xludf.DUMMYFUNCTION("if(len(A554) &gt; 0, JOIN(char(10), FILTER(SPLIT(A554, char(10)), split(""false false "" &amp; rept(""true "", columns(SPLIT(A554, char(10)))-3) &amp; ""false"", "" ""))), """")"),"")</f>
        <v/>
      </c>
    </row>
    <row r="555">
      <c r="A555" s="31"/>
      <c r="B555" s="17" t="str">
        <f>IFERROR(__xludf.DUMMYFUNCTION("if(len(A555)&gt;0, value(REGEXEXTRACT(A555, ""Chapter ([0-9]*):"")), """")"),"")</f>
        <v/>
      </c>
      <c r="C555" s="31" t="str">
        <f>IFERROR(__xludf.DUMMYFUNCTION("if(len(A555) &gt;0, REGEXEXTRACT(A555, ""Chapter [0-9]*: (.*)""), """")"),"")</f>
        <v/>
      </c>
      <c r="D555" s="31" t="str">
        <f>IFERROR(__xludf.DUMMYFUNCTION("if(len(A555)&gt;0, REGEXEXTRACT(A555, ""\n[^\(]*""), """")"),"")</f>
        <v/>
      </c>
      <c r="E555" s="17" t="str">
        <f>IFERROR(__xludf.DUMMYFUNCTION("if(len(A555)&gt;0, REGEXEXTRACT(A555, ""\n([^\n]*)$""), """")"),"")</f>
        <v/>
      </c>
      <c r="F555" s="17" t="str">
        <f>IFERROR(__xludf.DUMMYFUNCTION("if(len(A555)&gt;0, REGEXEXTRACT(A555, ""\(([^\)]*)\)""), """")"),"")</f>
        <v/>
      </c>
      <c r="G555" s="17" t="str">
        <f>IFERROR(__xludf.DUMMYFUNCTION("if(len(A555)&gt;0, REGEXEXTRACT(A555, ""\)([^:]*):""), """")"),"")</f>
        <v/>
      </c>
      <c r="H555" s="31" t="str">
        <f>IFERROR(__xludf.DUMMYFUNCTION("if(len(A555) &gt; 0, JOIN(char(10), FILTER(SPLIT(A555, char(10)), split(""false false "" &amp; rept(""true "", columns(SPLIT(A555, char(10)))-3) &amp; ""false"", "" ""))), """")"),"")</f>
        <v/>
      </c>
    </row>
    <row r="556">
      <c r="A556" s="31"/>
      <c r="B556" s="17" t="str">
        <f>IFERROR(__xludf.DUMMYFUNCTION("if(len(A556)&gt;0, value(REGEXEXTRACT(A556, ""Chapter ([0-9]*):"")), """")"),"")</f>
        <v/>
      </c>
      <c r="C556" s="31" t="str">
        <f>IFERROR(__xludf.DUMMYFUNCTION("if(len(A556) &gt;0, REGEXEXTRACT(A556, ""Chapter [0-9]*: (.*)""), """")"),"")</f>
        <v/>
      </c>
      <c r="D556" s="31" t="str">
        <f>IFERROR(__xludf.DUMMYFUNCTION("if(len(A556)&gt;0, REGEXEXTRACT(A556, ""\n[^\(]*""), """")"),"")</f>
        <v/>
      </c>
      <c r="E556" s="17" t="str">
        <f>IFERROR(__xludf.DUMMYFUNCTION("if(len(A556)&gt;0, REGEXEXTRACT(A556, ""\n([^\n]*)$""), """")"),"")</f>
        <v/>
      </c>
      <c r="F556" s="17" t="str">
        <f>IFERROR(__xludf.DUMMYFUNCTION("if(len(A556)&gt;0, REGEXEXTRACT(A556, ""\(([^\)]*)\)""), """")"),"")</f>
        <v/>
      </c>
      <c r="G556" s="17" t="str">
        <f>IFERROR(__xludf.DUMMYFUNCTION("if(len(A556)&gt;0, REGEXEXTRACT(A556, ""\)([^:]*):""), """")"),"")</f>
        <v/>
      </c>
      <c r="H556" s="31" t="str">
        <f>IFERROR(__xludf.DUMMYFUNCTION("if(len(A556) &gt; 0, JOIN(char(10), FILTER(SPLIT(A556, char(10)), split(""false false "" &amp; rept(""true "", columns(SPLIT(A556, char(10)))-3) &amp; ""false"", "" ""))), """")"),"")</f>
        <v/>
      </c>
    </row>
    <row r="557">
      <c r="A557" s="31"/>
      <c r="B557" s="17" t="str">
        <f>IFERROR(__xludf.DUMMYFUNCTION("if(len(A557)&gt;0, value(REGEXEXTRACT(A557, ""Chapter ([0-9]*):"")), """")"),"")</f>
        <v/>
      </c>
      <c r="C557" s="31" t="str">
        <f>IFERROR(__xludf.DUMMYFUNCTION("if(len(A557) &gt;0, REGEXEXTRACT(A557, ""Chapter [0-9]*: (.*)""), """")"),"")</f>
        <v/>
      </c>
      <c r="D557" s="31" t="str">
        <f>IFERROR(__xludf.DUMMYFUNCTION("if(len(A557)&gt;0, REGEXEXTRACT(A557, ""\n[^\(]*""), """")"),"")</f>
        <v/>
      </c>
      <c r="E557" s="17" t="str">
        <f>IFERROR(__xludf.DUMMYFUNCTION("if(len(A557)&gt;0, REGEXEXTRACT(A557, ""\n([^\n]*)$""), """")"),"")</f>
        <v/>
      </c>
      <c r="F557" s="17" t="str">
        <f>IFERROR(__xludf.DUMMYFUNCTION("if(len(A557)&gt;0, REGEXEXTRACT(A557, ""\(([^\)]*)\)""), """")"),"")</f>
        <v/>
      </c>
      <c r="G557" s="17" t="str">
        <f>IFERROR(__xludf.DUMMYFUNCTION("if(len(A557)&gt;0, REGEXEXTRACT(A557, ""\)([^:]*):""), """")"),"")</f>
        <v/>
      </c>
      <c r="H557" s="31" t="str">
        <f>IFERROR(__xludf.DUMMYFUNCTION("if(len(A557) &gt; 0, JOIN(char(10), FILTER(SPLIT(A557, char(10)), split(""false false "" &amp; rept(""true "", columns(SPLIT(A557, char(10)))-3) &amp; ""false"", "" ""))), """")"),"")</f>
        <v/>
      </c>
    </row>
    <row r="558">
      <c r="A558" s="31"/>
      <c r="B558" s="17" t="str">
        <f>IFERROR(__xludf.DUMMYFUNCTION("if(len(A558)&gt;0, value(REGEXEXTRACT(A558, ""Chapter ([0-9]*):"")), """")"),"")</f>
        <v/>
      </c>
      <c r="C558" s="31" t="str">
        <f>IFERROR(__xludf.DUMMYFUNCTION("if(len(A558) &gt;0, REGEXEXTRACT(A558, ""Chapter [0-9]*: (.*)""), """")"),"")</f>
        <v/>
      </c>
      <c r="D558" s="31" t="str">
        <f>IFERROR(__xludf.DUMMYFUNCTION("if(len(A558)&gt;0, REGEXEXTRACT(A558, ""\n[^\(]*""), """")"),"")</f>
        <v/>
      </c>
      <c r="E558" s="17" t="str">
        <f>IFERROR(__xludf.DUMMYFUNCTION("if(len(A558)&gt;0, REGEXEXTRACT(A558, ""\n([^\n]*)$""), """")"),"")</f>
        <v/>
      </c>
      <c r="F558" s="17" t="str">
        <f>IFERROR(__xludf.DUMMYFUNCTION("if(len(A558)&gt;0, REGEXEXTRACT(A558, ""\(([^\)]*)\)""), """")"),"")</f>
        <v/>
      </c>
      <c r="G558" s="17" t="str">
        <f>IFERROR(__xludf.DUMMYFUNCTION("if(len(A558)&gt;0, REGEXEXTRACT(A558, ""\)([^:]*):""), """")"),"")</f>
        <v/>
      </c>
      <c r="H558" s="31" t="str">
        <f>IFERROR(__xludf.DUMMYFUNCTION("if(len(A558) &gt; 0, JOIN(char(10), FILTER(SPLIT(A558, char(10)), split(""false false "" &amp; rept(""true "", columns(SPLIT(A558, char(10)))-3) &amp; ""false"", "" ""))), """")"),"")</f>
        <v/>
      </c>
    </row>
    <row r="559">
      <c r="A559" s="31"/>
      <c r="B559" s="17" t="str">
        <f>IFERROR(__xludf.DUMMYFUNCTION("if(len(A559)&gt;0, value(REGEXEXTRACT(A559, ""Chapter ([0-9]*):"")), """")"),"")</f>
        <v/>
      </c>
      <c r="C559" s="31" t="str">
        <f>IFERROR(__xludf.DUMMYFUNCTION("if(len(A559) &gt;0, REGEXEXTRACT(A559, ""Chapter [0-9]*: (.*)""), """")"),"")</f>
        <v/>
      </c>
      <c r="D559" s="31" t="str">
        <f>IFERROR(__xludf.DUMMYFUNCTION("if(len(A559)&gt;0, REGEXEXTRACT(A559, ""\n[^\(]*""), """")"),"")</f>
        <v/>
      </c>
      <c r="E559" s="17" t="str">
        <f>IFERROR(__xludf.DUMMYFUNCTION("if(len(A559)&gt;0, REGEXEXTRACT(A559, ""\n([^\n]*)$""), """")"),"")</f>
        <v/>
      </c>
      <c r="F559" s="17" t="str">
        <f>IFERROR(__xludf.DUMMYFUNCTION("if(len(A559)&gt;0, REGEXEXTRACT(A559, ""\(([^\)]*)\)""), """")"),"")</f>
        <v/>
      </c>
      <c r="G559" s="17" t="str">
        <f>IFERROR(__xludf.DUMMYFUNCTION("if(len(A559)&gt;0, REGEXEXTRACT(A559, ""\)([^:]*):""), """")"),"")</f>
        <v/>
      </c>
      <c r="H559" s="31" t="str">
        <f>IFERROR(__xludf.DUMMYFUNCTION("if(len(A559) &gt; 0, JOIN(char(10), FILTER(SPLIT(A559, char(10)), split(""false false "" &amp; rept(""true "", columns(SPLIT(A559, char(10)))-3) &amp; ""false"", "" ""))), """")"),"")</f>
        <v/>
      </c>
    </row>
    <row r="560">
      <c r="A560" s="31"/>
      <c r="B560" s="17" t="str">
        <f>IFERROR(__xludf.DUMMYFUNCTION("if(len(A560)&gt;0, value(REGEXEXTRACT(A560, ""Chapter ([0-9]*):"")), """")"),"")</f>
        <v/>
      </c>
      <c r="C560" s="31" t="str">
        <f>IFERROR(__xludf.DUMMYFUNCTION("if(len(A560) &gt;0, REGEXEXTRACT(A560, ""Chapter [0-9]*: (.*)""), """")"),"")</f>
        <v/>
      </c>
      <c r="D560" s="31" t="str">
        <f>IFERROR(__xludf.DUMMYFUNCTION("if(len(A560)&gt;0, REGEXEXTRACT(A560, ""\n[^\(]*""), """")"),"")</f>
        <v/>
      </c>
      <c r="E560" s="17" t="str">
        <f>IFERROR(__xludf.DUMMYFUNCTION("if(len(A560)&gt;0, REGEXEXTRACT(A560, ""\n([^\n]*)$""), """")"),"")</f>
        <v/>
      </c>
      <c r="F560" s="17" t="str">
        <f>IFERROR(__xludf.DUMMYFUNCTION("if(len(A560)&gt;0, REGEXEXTRACT(A560, ""\(([^\)]*)\)""), """")"),"")</f>
        <v/>
      </c>
      <c r="G560" s="17" t="str">
        <f>IFERROR(__xludf.DUMMYFUNCTION("if(len(A560)&gt;0, REGEXEXTRACT(A560, ""\)([^:]*):""), """")"),"")</f>
        <v/>
      </c>
      <c r="H560" s="31" t="str">
        <f>IFERROR(__xludf.DUMMYFUNCTION("if(len(A560) &gt; 0, JOIN(char(10), FILTER(SPLIT(A560, char(10)), split(""false false "" &amp; rept(""true "", columns(SPLIT(A560, char(10)))-3) &amp; ""false"", "" ""))), """")"),"")</f>
        <v/>
      </c>
    </row>
    <row r="561">
      <c r="A561" s="31"/>
      <c r="B561" s="17" t="str">
        <f>IFERROR(__xludf.DUMMYFUNCTION("if(len(A561)&gt;0, value(REGEXEXTRACT(A561, ""Chapter ([0-9]*):"")), """")"),"")</f>
        <v/>
      </c>
      <c r="C561" s="31" t="str">
        <f>IFERROR(__xludf.DUMMYFUNCTION("if(len(A561) &gt;0, REGEXEXTRACT(A561, ""Chapter [0-9]*: (.*)""), """")"),"")</f>
        <v/>
      </c>
      <c r="D561" s="31" t="str">
        <f>IFERROR(__xludf.DUMMYFUNCTION("if(len(A561)&gt;0, REGEXEXTRACT(A561, ""\n[^\(]*""), """")"),"")</f>
        <v/>
      </c>
      <c r="E561" s="17" t="str">
        <f>IFERROR(__xludf.DUMMYFUNCTION("if(len(A561)&gt;0, REGEXEXTRACT(A561, ""\n([^\n]*)$""), """")"),"")</f>
        <v/>
      </c>
      <c r="F561" s="17" t="str">
        <f>IFERROR(__xludf.DUMMYFUNCTION("if(len(A561)&gt;0, REGEXEXTRACT(A561, ""\(([^\)]*)\)""), """")"),"")</f>
        <v/>
      </c>
      <c r="G561" s="17" t="str">
        <f>IFERROR(__xludf.DUMMYFUNCTION("if(len(A561)&gt;0, REGEXEXTRACT(A561, ""\)([^:]*):""), """")"),"")</f>
        <v/>
      </c>
      <c r="H561" s="31" t="str">
        <f>IFERROR(__xludf.DUMMYFUNCTION("if(len(A561) &gt; 0, JOIN(char(10), FILTER(SPLIT(A561, char(10)), split(""false false "" &amp; rept(""true "", columns(SPLIT(A561, char(10)))-3) &amp; ""false"", "" ""))), """")"),"")</f>
        <v/>
      </c>
    </row>
    <row r="562">
      <c r="A562" s="31"/>
      <c r="B562" s="17" t="str">
        <f>IFERROR(__xludf.DUMMYFUNCTION("if(len(A562)&gt;0, value(REGEXEXTRACT(A562, ""Chapter ([0-9]*):"")), """")"),"")</f>
        <v/>
      </c>
      <c r="C562" s="31" t="str">
        <f>IFERROR(__xludf.DUMMYFUNCTION("if(len(A562) &gt;0, REGEXEXTRACT(A562, ""Chapter [0-9]*: (.*)""), """")"),"")</f>
        <v/>
      </c>
      <c r="D562" s="31" t="str">
        <f>IFERROR(__xludf.DUMMYFUNCTION("if(len(A562)&gt;0, REGEXEXTRACT(A562, ""\n[^\(]*""), """")"),"")</f>
        <v/>
      </c>
      <c r="E562" s="17" t="str">
        <f>IFERROR(__xludf.DUMMYFUNCTION("if(len(A562)&gt;0, REGEXEXTRACT(A562, ""\n([^\n]*)$""), """")"),"")</f>
        <v/>
      </c>
      <c r="F562" s="17" t="str">
        <f>IFERROR(__xludf.DUMMYFUNCTION("if(len(A562)&gt;0, REGEXEXTRACT(A562, ""\(([^\)]*)\)""), """")"),"")</f>
        <v/>
      </c>
      <c r="G562" s="17" t="str">
        <f>IFERROR(__xludf.DUMMYFUNCTION("if(len(A562)&gt;0, REGEXEXTRACT(A562, ""\)([^:]*):""), """")"),"")</f>
        <v/>
      </c>
      <c r="H562" s="31" t="str">
        <f>IFERROR(__xludf.DUMMYFUNCTION("if(len(A562) &gt; 0, JOIN(char(10), FILTER(SPLIT(A562, char(10)), split(""false false "" &amp; rept(""true "", columns(SPLIT(A562, char(10)))-3) &amp; ""false"", "" ""))), """")"),"")</f>
        <v/>
      </c>
    </row>
    <row r="563">
      <c r="A563" s="31"/>
      <c r="B563" s="17" t="str">
        <f>IFERROR(__xludf.DUMMYFUNCTION("if(len(A563)&gt;0, value(REGEXEXTRACT(A563, ""Chapter ([0-9]*):"")), """")"),"")</f>
        <v/>
      </c>
      <c r="C563" s="31" t="str">
        <f>IFERROR(__xludf.DUMMYFUNCTION("if(len(A563) &gt;0, REGEXEXTRACT(A563, ""Chapter [0-9]*: (.*)""), """")"),"")</f>
        <v/>
      </c>
      <c r="D563" s="31" t="str">
        <f>IFERROR(__xludf.DUMMYFUNCTION("if(len(A563)&gt;0, REGEXEXTRACT(A563, ""\n[^\(]*""), """")"),"")</f>
        <v/>
      </c>
      <c r="E563" s="17" t="str">
        <f>IFERROR(__xludf.DUMMYFUNCTION("if(len(A563)&gt;0, REGEXEXTRACT(A563, ""\n([^\n]*)$""), """")"),"")</f>
        <v/>
      </c>
      <c r="F563" s="17" t="str">
        <f>IFERROR(__xludf.DUMMYFUNCTION("if(len(A563)&gt;0, REGEXEXTRACT(A563, ""\(([^\)]*)\)""), """")"),"")</f>
        <v/>
      </c>
      <c r="G563" s="17" t="str">
        <f>IFERROR(__xludf.DUMMYFUNCTION("if(len(A563)&gt;0, REGEXEXTRACT(A563, ""\)([^:]*):""), """")"),"")</f>
        <v/>
      </c>
      <c r="H563" s="31" t="str">
        <f>IFERROR(__xludf.DUMMYFUNCTION("if(len(A563) &gt; 0, JOIN(char(10), FILTER(SPLIT(A563, char(10)), split(""false false "" &amp; rept(""true "", columns(SPLIT(A563, char(10)))-3) &amp; ""false"", "" ""))), """")"),"")</f>
        <v/>
      </c>
    </row>
    <row r="564">
      <c r="A564" s="31"/>
      <c r="B564" s="17" t="str">
        <f>IFERROR(__xludf.DUMMYFUNCTION("if(len(A564)&gt;0, value(REGEXEXTRACT(A564, ""Chapter ([0-9]*):"")), """")"),"")</f>
        <v/>
      </c>
      <c r="C564" s="31" t="str">
        <f>IFERROR(__xludf.DUMMYFUNCTION("if(len(A564) &gt;0, REGEXEXTRACT(A564, ""Chapter [0-9]*: (.*)""), """")"),"")</f>
        <v/>
      </c>
      <c r="D564" s="31" t="str">
        <f>IFERROR(__xludf.DUMMYFUNCTION("if(len(A564)&gt;0, REGEXEXTRACT(A564, ""\n[^\(]*""), """")"),"")</f>
        <v/>
      </c>
      <c r="E564" s="17" t="str">
        <f>IFERROR(__xludf.DUMMYFUNCTION("if(len(A564)&gt;0, REGEXEXTRACT(A564, ""\n([^\n]*)$""), """")"),"")</f>
        <v/>
      </c>
      <c r="F564" s="17" t="str">
        <f>IFERROR(__xludf.DUMMYFUNCTION("if(len(A564)&gt;0, REGEXEXTRACT(A564, ""\(([^\)]*)\)""), """")"),"")</f>
        <v/>
      </c>
      <c r="G564" s="17" t="str">
        <f>IFERROR(__xludf.DUMMYFUNCTION("if(len(A564)&gt;0, REGEXEXTRACT(A564, ""\)([^:]*):""), """")"),"")</f>
        <v/>
      </c>
      <c r="H564" s="31" t="str">
        <f>IFERROR(__xludf.DUMMYFUNCTION("if(len(A564) &gt; 0, JOIN(char(10), FILTER(SPLIT(A564, char(10)), split(""false false "" &amp; rept(""true "", columns(SPLIT(A564, char(10)))-3) &amp; ""false"", "" ""))), """")"),"")</f>
        <v/>
      </c>
    </row>
    <row r="565">
      <c r="A565" s="31"/>
      <c r="B565" s="17" t="str">
        <f>IFERROR(__xludf.DUMMYFUNCTION("if(len(A565)&gt;0, value(REGEXEXTRACT(A565, ""Chapter ([0-9]*):"")), """")"),"")</f>
        <v/>
      </c>
      <c r="C565" s="31" t="str">
        <f>IFERROR(__xludf.DUMMYFUNCTION("if(len(A565) &gt;0, REGEXEXTRACT(A565, ""Chapter [0-9]*: (.*)""), """")"),"")</f>
        <v/>
      </c>
      <c r="D565" s="31" t="str">
        <f>IFERROR(__xludf.DUMMYFUNCTION("if(len(A565)&gt;0, REGEXEXTRACT(A565, ""\n[^\(]*""), """")"),"")</f>
        <v/>
      </c>
      <c r="E565" s="17" t="str">
        <f>IFERROR(__xludf.DUMMYFUNCTION("if(len(A565)&gt;0, REGEXEXTRACT(A565, ""\n([^\n]*)$""), """")"),"")</f>
        <v/>
      </c>
      <c r="F565" s="17" t="str">
        <f>IFERROR(__xludf.DUMMYFUNCTION("if(len(A565)&gt;0, REGEXEXTRACT(A565, ""\(([^\)]*)\)""), """")"),"")</f>
        <v/>
      </c>
      <c r="G565" s="17" t="str">
        <f>IFERROR(__xludf.DUMMYFUNCTION("if(len(A565)&gt;0, REGEXEXTRACT(A565, ""\)([^:]*):""), """")"),"")</f>
        <v/>
      </c>
      <c r="H565" s="31" t="str">
        <f>IFERROR(__xludf.DUMMYFUNCTION("if(len(A565) &gt; 0, JOIN(char(10), FILTER(SPLIT(A565, char(10)), split(""false false "" &amp; rept(""true "", columns(SPLIT(A565, char(10)))-3) &amp; ""false"", "" ""))), """")"),"")</f>
        <v/>
      </c>
    </row>
    <row r="566">
      <c r="A566" s="31"/>
      <c r="B566" s="17" t="str">
        <f>IFERROR(__xludf.DUMMYFUNCTION("if(len(A566)&gt;0, value(REGEXEXTRACT(A566, ""Chapter ([0-9]*):"")), """")"),"")</f>
        <v/>
      </c>
      <c r="C566" s="31" t="str">
        <f>IFERROR(__xludf.DUMMYFUNCTION("if(len(A566) &gt;0, REGEXEXTRACT(A566, ""Chapter [0-9]*: (.*)""), """")"),"")</f>
        <v/>
      </c>
      <c r="D566" s="31" t="str">
        <f>IFERROR(__xludf.DUMMYFUNCTION("if(len(A566)&gt;0, REGEXEXTRACT(A566, ""\n[^\(]*""), """")"),"")</f>
        <v/>
      </c>
      <c r="E566" s="17" t="str">
        <f>IFERROR(__xludf.DUMMYFUNCTION("if(len(A566)&gt;0, REGEXEXTRACT(A566, ""\n([^\n]*)$""), """")"),"")</f>
        <v/>
      </c>
      <c r="F566" s="17" t="str">
        <f>IFERROR(__xludf.DUMMYFUNCTION("if(len(A566)&gt;0, REGEXEXTRACT(A566, ""\(([^\)]*)\)""), """")"),"")</f>
        <v/>
      </c>
      <c r="G566" s="17" t="str">
        <f>IFERROR(__xludf.DUMMYFUNCTION("if(len(A566)&gt;0, REGEXEXTRACT(A566, ""\)([^:]*):""), """")"),"")</f>
        <v/>
      </c>
      <c r="H566" s="31" t="str">
        <f>IFERROR(__xludf.DUMMYFUNCTION("if(len(A566) &gt; 0, JOIN(char(10), FILTER(SPLIT(A566, char(10)), split(""false false "" &amp; rept(""true "", columns(SPLIT(A566, char(10)))-3) &amp; ""false"", "" ""))), """")"),"")</f>
        <v/>
      </c>
    </row>
    <row r="567">
      <c r="A567" s="31"/>
      <c r="B567" s="17" t="str">
        <f>IFERROR(__xludf.DUMMYFUNCTION("if(len(A567)&gt;0, value(REGEXEXTRACT(A567, ""Chapter ([0-9]*):"")), """")"),"")</f>
        <v/>
      </c>
      <c r="C567" s="31" t="str">
        <f>IFERROR(__xludf.DUMMYFUNCTION("if(len(A567) &gt;0, REGEXEXTRACT(A567, ""Chapter [0-9]*: (.*)""), """")"),"")</f>
        <v/>
      </c>
      <c r="D567" s="31" t="str">
        <f>IFERROR(__xludf.DUMMYFUNCTION("if(len(A567)&gt;0, REGEXEXTRACT(A567, ""\n[^\(]*""), """")"),"")</f>
        <v/>
      </c>
      <c r="E567" s="17" t="str">
        <f>IFERROR(__xludf.DUMMYFUNCTION("if(len(A567)&gt;0, REGEXEXTRACT(A567, ""\n([^\n]*)$""), """")"),"")</f>
        <v/>
      </c>
      <c r="F567" s="17" t="str">
        <f>IFERROR(__xludf.DUMMYFUNCTION("if(len(A567)&gt;0, REGEXEXTRACT(A567, ""\(([^\)]*)\)""), """")"),"")</f>
        <v/>
      </c>
      <c r="G567" s="17" t="str">
        <f>IFERROR(__xludf.DUMMYFUNCTION("if(len(A567)&gt;0, REGEXEXTRACT(A567, ""\)([^:]*):""), """")"),"")</f>
        <v/>
      </c>
      <c r="H567" s="31" t="str">
        <f>IFERROR(__xludf.DUMMYFUNCTION("if(len(A567) &gt; 0, JOIN(char(10), FILTER(SPLIT(A567, char(10)), split(""false false "" &amp; rept(""true "", columns(SPLIT(A567, char(10)))-3) &amp; ""false"", "" ""))), """")"),"")</f>
        <v/>
      </c>
    </row>
    <row r="568">
      <c r="A568" s="31"/>
      <c r="B568" s="17" t="str">
        <f>IFERROR(__xludf.DUMMYFUNCTION("if(len(A568)&gt;0, value(REGEXEXTRACT(A568, ""Chapter ([0-9]*):"")), """")"),"")</f>
        <v/>
      </c>
      <c r="C568" s="31" t="str">
        <f>IFERROR(__xludf.DUMMYFUNCTION("if(len(A568) &gt;0, REGEXEXTRACT(A568, ""Chapter [0-9]*: (.*)""), """")"),"")</f>
        <v/>
      </c>
      <c r="D568" s="31" t="str">
        <f>IFERROR(__xludf.DUMMYFUNCTION("if(len(A568)&gt;0, REGEXEXTRACT(A568, ""\n[^\(]*""), """")"),"")</f>
        <v/>
      </c>
      <c r="E568" s="17" t="str">
        <f>IFERROR(__xludf.DUMMYFUNCTION("if(len(A568)&gt;0, REGEXEXTRACT(A568, ""\n([^\n]*)$""), """")"),"")</f>
        <v/>
      </c>
      <c r="F568" s="17" t="str">
        <f>IFERROR(__xludf.DUMMYFUNCTION("if(len(A568)&gt;0, REGEXEXTRACT(A568, ""\(([^\)]*)\)""), """")"),"")</f>
        <v/>
      </c>
      <c r="G568" s="17" t="str">
        <f>IFERROR(__xludf.DUMMYFUNCTION("if(len(A568)&gt;0, REGEXEXTRACT(A568, ""\)([^:]*):""), """")"),"")</f>
        <v/>
      </c>
      <c r="H568" s="31" t="str">
        <f>IFERROR(__xludf.DUMMYFUNCTION("if(len(A568) &gt; 0, JOIN(char(10), FILTER(SPLIT(A568, char(10)), split(""false false "" &amp; rept(""true "", columns(SPLIT(A568, char(10)))-3) &amp; ""false"", "" ""))), """")"),"")</f>
        <v/>
      </c>
    </row>
    <row r="569">
      <c r="A569" s="31"/>
      <c r="B569" s="17" t="str">
        <f>IFERROR(__xludf.DUMMYFUNCTION("if(len(A569)&gt;0, value(REGEXEXTRACT(A569, ""Chapter ([0-9]*):"")), """")"),"")</f>
        <v/>
      </c>
      <c r="C569" s="31" t="str">
        <f>IFERROR(__xludf.DUMMYFUNCTION("if(len(A569) &gt;0, REGEXEXTRACT(A569, ""Chapter [0-9]*: (.*)""), """")"),"")</f>
        <v/>
      </c>
      <c r="D569" s="31" t="str">
        <f>IFERROR(__xludf.DUMMYFUNCTION("if(len(A569)&gt;0, REGEXEXTRACT(A569, ""\n[^\(]*""), """")"),"")</f>
        <v/>
      </c>
      <c r="E569" s="17" t="str">
        <f>IFERROR(__xludf.DUMMYFUNCTION("if(len(A569)&gt;0, REGEXEXTRACT(A569, ""\n([^\n]*)$""), """")"),"")</f>
        <v/>
      </c>
      <c r="F569" s="17" t="str">
        <f>IFERROR(__xludf.DUMMYFUNCTION("if(len(A569)&gt;0, REGEXEXTRACT(A569, ""\(([^\)]*)\)""), """")"),"")</f>
        <v/>
      </c>
      <c r="G569" s="17" t="str">
        <f>IFERROR(__xludf.DUMMYFUNCTION("if(len(A569)&gt;0, REGEXEXTRACT(A569, ""\)([^:]*):""), """")"),"")</f>
        <v/>
      </c>
      <c r="H569" s="31" t="str">
        <f>IFERROR(__xludf.DUMMYFUNCTION("if(len(A569) &gt; 0, JOIN(char(10), FILTER(SPLIT(A569, char(10)), split(""false false "" &amp; rept(""true "", columns(SPLIT(A569, char(10)))-3) &amp; ""false"", "" ""))), """")"),"")</f>
        <v/>
      </c>
    </row>
    <row r="570">
      <c r="A570" s="31"/>
      <c r="B570" s="17" t="str">
        <f>IFERROR(__xludf.DUMMYFUNCTION("if(len(A570)&gt;0, value(REGEXEXTRACT(A570, ""Chapter ([0-9]*):"")), """")"),"")</f>
        <v/>
      </c>
      <c r="C570" s="31" t="str">
        <f>IFERROR(__xludf.DUMMYFUNCTION("if(len(A570) &gt;0, REGEXEXTRACT(A570, ""Chapter [0-9]*: (.*)""), """")"),"")</f>
        <v/>
      </c>
      <c r="D570" s="31" t="str">
        <f>IFERROR(__xludf.DUMMYFUNCTION("if(len(A570)&gt;0, REGEXEXTRACT(A570, ""\n[^\(]*""), """")"),"")</f>
        <v/>
      </c>
      <c r="E570" s="17" t="str">
        <f>IFERROR(__xludf.DUMMYFUNCTION("if(len(A570)&gt;0, REGEXEXTRACT(A570, ""\n([^\n]*)$""), """")"),"")</f>
        <v/>
      </c>
      <c r="F570" s="17" t="str">
        <f>IFERROR(__xludf.DUMMYFUNCTION("if(len(A570)&gt;0, REGEXEXTRACT(A570, ""\(([^\)]*)\)""), """")"),"")</f>
        <v/>
      </c>
      <c r="G570" s="17" t="str">
        <f>IFERROR(__xludf.DUMMYFUNCTION("if(len(A570)&gt;0, REGEXEXTRACT(A570, ""\)([^:]*):""), """")"),"")</f>
        <v/>
      </c>
      <c r="H570" s="31" t="str">
        <f>IFERROR(__xludf.DUMMYFUNCTION("if(len(A570) &gt; 0, JOIN(char(10), FILTER(SPLIT(A570, char(10)), split(""false false "" &amp; rept(""true "", columns(SPLIT(A570, char(10)))-3) &amp; ""false"", "" ""))), """")"),"")</f>
        <v/>
      </c>
    </row>
    <row r="571">
      <c r="A571" s="31"/>
      <c r="B571" s="17" t="str">
        <f>IFERROR(__xludf.DUMMYFUNCTION("if(len(A571)&gt;0, value(REGEXEXTRACT(A571, ""Chapter ([0-9]*):"")), """")"),"")</f>
        <v/>
      </c>
      <c r="C571" s="31" t="str">
        <f>IFERROR(__xludf.DUMMYFUNCTION("if(len(A571) &gt;0, REGEXEXTRACT(A571, ""Chapter [0-9]*: (.*)""), """")"),"")</f>
        <v/>
      </c>
      <c r="D571" s="31" t="str">
        <f>IFERROR(__xludf.DUMMYFUNCTION("if(len(A571)&gt;0, REGEXEXTRACT(A571, ""\n[^\(]*""), """")"),"")</f>
        <v/>
      </c>
      <c r="E571" s="17" t="str">
        <f>IFERROR(__xludf.DUMMYFUNCTION("if(len(A571)&gt;0, REGEXEXTRACT(A571, ""\n([^\n]*)$""), """")"),"")</f>
        <v/>
      </c>
      <c r="F571" s="17" t="str">
        <f>IFERROR(__xludf.DUMMYFUNCTION("if(len(A571)&gt;0, REGEXEXTRACT(A571, ""\(([^\)]*)\)""), """")"),"")</f>
        <v/>
      </c>
      <c r="G571" s="17" t="str">
        <f>IFERROR(__xludf.DUMMYFUNCTION("if(len(A571)&gt;0, REGEXEXTRACT(A571, ""\)([^:]*):""), """")"),"")</f>
        <v/>
      </c>
      <c r="H571" s="31" t="str">
        <f>IFERROR(__xludf.DUMMYFUNCTION("if(len(A571) &gt; 0, JOIN(char(10), FILTER(SPLIT(A571, char(10)), split(""false false "" &amp; rept(""true "", columns(SPLIT(A571, char(10)))-3) &amp; ""false"", "" ""))), """")"),"")</f>
        <v/>
      </c>
    </row>
    <row r="572">
      <c r="A572" s="31"/>
      <c r="B572" s="17" t="str">
        <f>IFERROR(__xludf.DUMMYFUNCTION("if(len(A572)&gt;0, value(REGEXEXTRACT(A572, ""Chapter ([0-9]*):"")), """")"),"")</f>
        <v/>
      </c>
      <c r="C572" s="31" t="str">
        <f>IFERROR(__xludf.DUMMYFUNCTION("if(len(A572) &gt;0, REGEXEXTRACT(A572, ""Chapter [0-9]*: (.*)""), """")"),"")</f>
        <v/>
      </c>
      <c r="D572" s="31" t="str">
        <f>IFERROR(__xludf.DUMMYFUNCTION("if(len(A572)&gt;0, REGEXEXTRACT(A572, ""\n[^\(]*""), """")"),"")</f>
        <v/>
      </c>
      <c r="E572" s="17" t="str">
        <f>IFERROR(__xludf.DUMMYFUNCTION("if(len(A572)&gt;0, REGEXEXTRACT(A572, ""\n([^\n]*)$""), """")"),"")</f>
        <v/>
      </c>
      <c r="F572" s="17" t="str">
        <f>IFERROR(__xludf.DUMMYFUNCTION("if(len(A572)&gt;0, REGEXEXTRACT(A572, ""\(([^\)]*)\)""), """")"),"")</f>
        <v/>
      </c>
      <c r="G572" s="17" t="str">
        <f>IFERROR(__xludf.DUMMYFUNCTION("if(len(A572)&gt;0, REGEXEXTRACT(A572, ""\)([^:]*):""), """")"),"")</f>
        <v/>
      </c>
      <c r="H572" s="31" t="str">
        <f>IFERROR(__xludf.DUMMYFUNCTION("if(len(A572) &gt; 0, JOIN(char(10), FILTER(SPLIT(A572, char(10)), split(""false false "" &amp; rept(""true "", columns(SPLIT(A572, char(10)))-3) &amp; ""false"", "" ""))), """")"),"")</f>
        <v/>
      </c>
    </row>
    <row r="573">
      <c r="A573" s="31"/>
      <c r="B573" s="17" t="str">
        <f>IFERROR(__xludf.DUMMYFUNCTION("if(len(A573)&gt;0, value(REGEXEXTRACT(A573, ""Chapter ([0-9]*):"")), """")"),"")</f>
        <v/>
      </c>
      <c r="C573" s="31" t="str">
        <f>IFERROR(__xludf.DUMMYFUNCTION("if(len(A573) &gt;0, REGEXEXTRACT(A573, ""Chapter [0-9]*: (.*)""), """")"),"")</f>
        <v/>
      </c>
      <c r="D573" s="31" t="str">
        <f>IFERROR(__xludf.DUMMYFUNCTION("if(len(A573)&gt;0, REGEXEXTRACT(A573, ""\n[^\(]*""), """")"),"")</f>
        <v/>
      </c>
      <c r="E573" s="17" t="str">
        <f>IFERROR(__xludf.DUMMYFUNCTION("if(len(A573)&gt;0, REGEXEXTRACT(A573, ""\n([^\n]*)$""), """")"),"")</f>
        <v/>
      </c>
      <c r="F573" s="17" t="str">
        <f>IFERROR(__xludf.DUMMYFUNCTION("if(len(A573)&gt;0, REGEXEXTRACT(A573, ""\(([^\)]*)\)""), """")"),"")</f>
        <v/>
      </c>
      <c r="G573" s="17" t="str">
        <f>IFERROR(__xludf.DUMMYFUNCTION("if(len(A573)&gt;0, REGEXEXTRACT(A573, ""\)([^:]*):""), """")"),"")</f>
        <v/>
      </c>
      <c r="H573" s="31" t="str">
        <f>IFERROR(__xludf.DUMMYFUNCTION("if(len(A573) &gt; 0, JOIN(char(10), FILTER(SPLIT(A573, char(10)), split(""false false "" &amp; rept(""true "", columns(SPLIT(A573, char(10)))-3) &amp; ""false"", "" ""))), """")"),"")</f>
        <v/>
      </c>
    </row>
    <row r="574">
      <c r="A574" s="31"/>
      <c r="B574" s="17" t="str">
        <f>IFERROR(__xludf.DUMMYFUNCTION("if(len(A574)&gt;0, value(REGEXEXTRACT(A574, ""Chapter ([0-9]*):"")), """")"),"")</f>
        <v/>
      </c>
      <c r="C574" s="31" t="str">
        <f>IFERROR(__xludf.DUMMYFUNCTION("if(len(A574) &gt;0, REGEXEXTRACT(A574, ""Chapter [0-9]*: (.*)""), """")"),"")</f>
        <v/>
      </c>
      <c r="D574" s="31" t="str">
        <f>IFERROR(__xludf.DUMMYFUNCTION("if(len(A574)&gt;0, REGEXEXTRACT(A574, ""\n[^\(]*""), """")"),"")</f>
        <v/>
      </c>
      <c r="E574" s="17" t="str">
        <f>IFERROR(__xludf.DUMMYFUNCTION("if(len(A574)&gt;0, REGEXEXTRACT(A574, ""\n([^\n]*)$""), """")"),"")</f>
        <v/>
      </c>
      <c r="F574" s="17" t="str">
        <f>IFERROR(__xludf.DUMMYFUNCTION("if(len(A574)&gt;0, REGEXEXTRACT(A574, ""\(([^\)]*)\)""), """")"),"")</f>
        <v/>
      </c>
      <c r="G574" s="17" t="str">
        <f>IFERROR(__xludf.DUMMYFUNCTION("if(len(A574)&gt;0, REGEXEXTRACT(A574, ""\)([^:]*):""), """")"),"")</f>
        <v/>
      </c>
      <c r="H574" s="31" t="str">
        <f>IFERROR(__xludf.DUMMYFUNCTION("if(len(A574) &gt; 0, JOIN(char(10), FILTER(SPLIT(A574, char(10)), split(""false false "" &amp; rept(""true "", columns(SPLIT(A574, char(10)))-3) &amp; ""false"", "" ""))), """")"),"")</f>
        <v/>
      </c>
    </row>
    <row r="575">
      <c r="A575" s="31"/>
      <c r="B575" s="17" t="str">
        <f>IFERROR(__xludf.DUMMYFUNCTION("if(len(A575)&gt;0, value(REGEXEXTRACT(A575, ""Chapter ([0-9]*):"")), """")"),"")</f>
        <v/>
      </c>
      <c r="C575" s="31" t="str">
        <f>IFERROR(__xludf.DUMMYFUNCTION("if(len(A575) &gt;0, REGEXEXTRACT(A575, ""Chapter [0-9]*: (.*)""), """")"),"")</f>
        <v/>
      </c>
      <c r="D575" s="31" t="str">
        <f>IFERROR(__xludf.DUMMYFUNCTION("if(len(A575)&gt;0, REGEXEXTRACT(A575, ""\n[^\(]*""), """")"),"")</f>
        <v/>
      </c>
      <c r="E575" s="17" t="str">
        <f>IFERROR(__xludf.DUMMYFUNCTION("if(len(A575)&gt;0, REGEXEXTRACT(A575, ""\n([^\n]*)$""), """")"),"")</f>
        <v/>
      </c>
      <c r="F575" s="17" t="str">
        <f>IFERROR(__xludf.DUMMYFUNCTION("if(len(A575)&gt;0, REGEXEXTRACT(A575, ""\(([^\)]*)\)""), """")"),"")</f>
        <v/>
      </c>
      <c r="G575" s="17" t="str">
        <f>IFERROR(__xludf.DUMMYFUNCTION("if(len(A575)&gt;0, REGEXEXTRACT(A575, ""\)([^:]*):""), """")"),"")</f>
        <v/>
      </c>
      <c r="H575" s="31" t="str">
        <f>IFERROR(__xludf.DUMMYFUNCTION("if(len(A575) &gt; 0, JOIN(char(10), FILTER(SPLIT(A575, char(10)), split(""false false "" &amp; rept(""true "", columns(SPLIT(A575, char(10)))-3) &amp; ""false"", "" ""))), """")"),"")</f>
        <v/>
      </c>
    </row>
    <row r="576">
      <c r="A576" s="31"/>
      <c r="B576" s="17" t="str">
        <f>IFERROR(__xludf.DUMMYFUNCTION("if(len(A576)&gt;0, value(REGEXEXTRACT(A576, ""Chapter ([0-9]*):"")), """")"),"")</f>
        <v/>
      </c>
      <c r="C576" s="31" t="str">
        <f>IFERROR(__xludf.DUMMYFUNCTION("if(len(A576) &gt;0, REGEXEXTRACT(A576, ""Chapter [0-9]*: (.*)""), """")"),"")</f>
        <v/>
      </c>
      <c r="D576" s="31" t="str">
        <f>IFERROR(__xludf.DUMMYFUNCTION("if(len(A576)&gt;0, REGEXEXTRACT(A576, ""\n[^\(]*""), """")"),"")</f>
        <v/>
      </c>
      <c r="E576" s="17" t="str">
        <f>IFERROR(__xludf.DUMMYFUNCTION("if(len(A576)&gt;0, REGEXEXTRACT(A576, ""\n([^\n]*)$""), """")"),"")</f>
        <v/>
      </c>
      <c r="F576" s="17" t="str">
        <f>IFERROR(__xludf.DUMMYFUNCTION("if(len(A576)&gt;0, REGEXEXTRACT(A576, ""\(([^\)]*)\)""), """")"),"")</f>
        <v/>
      </c>
      <c r="G576" s="17" t="str">
        <f>IFERROR(__xludf.DUMMYFUNCTION("if(len(A576)&gt;0, REGEXEXTRACT(A576, ""\)([^:]*):""), """")"),"")</f>
        <v/>
      </c>
      <c r="H576" s="31" t="str">
        <f>IFERROR(__xludf.DUMMYFUNCTION("if(len(A576) &gt; 0, JOIN(char(10), FILTER(SPLIT(A576, char(10)), split(""false false "" &amp; rept(""true "", columns(SPLIT(A576, char(10)))-3) &amp; ""false"", "" ""))), """")"),"")</f>
        <v/>
      </c>
    </row>
    <row r="577">
      <c r="A577" s="31"/>
      <c r="B577" s="17" t="str">
        <f>IFERROR(__xludf.DUMMYFUNCTION("if(len(A577)&gt;0, value(REGEXEXTRACT(A577, ""Chapter ([0-9]*):"")), """")"),"")</f>
        <v/>
      </c>
      <c r="C577" s="31" t="str">
        <f>IFERROR(__xludf.DUMMYFUNCTION("if(len(A577) &gt;0, REGEXEXTRACT(A577, ""Chapter [0-9]*: (.*)""), """")"),"")</f>
        <v/>
      </c>
      <c r="D577" s="31" t="str">
        <f>IFERROR(__xludf.DUMMYFUNCTION("if(len(A577)&gt;0, REGEXEXTRACT(A577, ""\n[^\(]*""), """")"),"")</f>
        <v/>
      </c>
      <c r="E577" s="17" t="str">
        <f>IFERROR(__xludf.DUMMYFUNCTION("if(len(A577)&gt;0, REGEXEXTRACT(A577, ""\n([^\n]*)$""), """")"),"")</f>
        <v/>
      </c>
      <c r="F577" s="17" t="str">
        <f>IFERROR(__xludf.DUMMYFUNCTION("if(len(A577)&gt;0, REGEXEXTRACT(A577, ""\(([^\)]*)\)""), """")"),"")</f>
        <v/>
      </c>
      <c r="G577" s="17" t="str">
        <f>IFERROR(__xludf.DUMMYFUNCTION("if(len(A577)&gt;0, REGEXEXTRACT(A577, ""\)([^:]*):""), """")"),"")</f>
        <v/>
      </c>
      <c r="H577" s="31" t="str">
        <f>IFERROR(__xludf.DUMMYFUNCTION("if(len(A577) &gt; 0, JOIN(char(10), FILTER(SPLIT(A577, char(10)), split(""false false "" &amp; rept(""true "", columns(SPLIT(A577, char(10)))-3) &amp; ""false"", "" ""))), """")"),"")</f>
        <v/>
      </c>
    </row>
    <row r="578">
      <c r="A578" s="31"/>
      <c r="B578" s="17" t="str">
        <f>IFERROR(__xludf.DUMMYFUNCTION("if(len(A578)&gt;0, value(REGEXEXTRACT(A578, ""Chapter ([0-9]*):"")), """")"),"")</f>
        <v/>
      </c>
      <c r="C578" s="31" t="str">
        <f>IFERROR(__xludf.DUMMYFUNCTION("if(len(A578) &gt;0, REGEXEXTRACT(A578, ""Chapter [0-9]*: (.*)""), """")"),"")</f>
        <v/>
      </c>
      <c r="D578" s="31" t="str">
        <f>IFERROR(__xludf.DUMMYFUNCTION("if(len(A578)&gt;0, REGEXEXTRACT(A578, ""\n[^\(]*""), """")"),"")</f>
        <v/>
      </c>
      <c r="E578" s="17" t="str">
        <f>IFERROR(__xludf.DUMMYFUNCTION("if(len(A578)&gt;0, REGEXEXTRACT(A578, ""\n([^\n]*)$""), """")"),"")</f>
        <v/>
      </c>
      <c r="F578" s="17" t="str">
        <f>IFERROR(__xludf.DUMMYFUNCTION("if(len(A578)&gt;0, REGEXEXTRACT(A578, ""\(([^\)]*)\)""), """")"),"")</f>
        <v/>
      </c>
      <c r="G578" s="17" t="str">
        <f>IFERROR(__xludf.DUMMYFUNCTION("if(len(A578)&gt;0, REGEXEXTRACT(A578, ""\)([^:]*):""), """")"),"")</f>
        <v/>
      </c>
      <c r="H578" s="31" t="str">
        <f>IFERROR(__xludf.DUMMYFUNCTION("if(len(A578) &gt; 0, JOIN(char(10), FILTER(SPLIT(A578, char(10)), split(""false false "" &amp; rept(""true "", columns(SPLIT(A578, char(10)))-3) &amp; ""false"", "" ""))), """")"),"")</f>
        <v/>
      </c>
    </row>
    <row r="579">
      <c r="A579" s="31"/>
      <c r="B579" s="17" t="str">
        <f>IFERROR(__xludf.DUMMYFUNCTION("if(len(A579)&gt;0, value(REGEXEXTRACT(A579, ""Chapter ([0-9]*):"")), """")"),"")</f>
        <v/>
      </c>
      <c r="C579" s="31" t="str">
        <f>IFERROR(__xludf.DUMMYFUNCTION("if(len(A579) &gt;0, REGEXEXTRACT(A579, ""Chapter [0-9]*: (.*)""), """")"),"")</f>
        <v/>
      </c>
      <c r="D579" s="31" t="str">
        <f>IFERROR(__xludf.DUMMYFUNCTION("if(len(A579)&gt;0, REGEXEXTRACT(A579, ""\n[^\(]*""), """")"),"")</f>
        <v/>
      </c>
      <c r="E579" s="17" t="str">
        <f>IFERROR(__xludf.DUMMYFUNCTION("if(len(A579)&gt;0, REGEXEXTRACT(A579, ""\n([^\n]*)$""), """")"),"")</f>
        <v/>
      </c>
      <c r="F579" s="17" t="str">
        <f>IFERROR(__xludf.DUMMYFUNCTION("if(len(A579)&gt;0, REGEXEXTRACT(A579, ""\(([^\)]*)\)""), """")"),"")</f>
        <v/>
      </c>
      <c r="G579" s="17" t="str">
        <f>IFERROR(__xludf.DUMMYFUNCTION("if(len(A579)&gt;0, REGEXEXTRACT(A579, ""\)([^:]*):""), """")"),"")</f>
        <v/>
      </c>
      <c r="H579" s="31" t="str">
        <f>IFERROR(__xludf.DUMMYFUNCTION("if(len(A579) &gt; 0, JOIN(char(10), FILTER(SPLIT(A579, char(10)), split(""false false "" &amp; rept(""true "", columns(SPLIT(A579, char(10)))-3) &amp; ""false"", "" ""))), """")"),"")</f>
        <v/>
      </c>
    </row>
    <row r="580">
      <c r="A580" s="31"/>
      <c r="B580" s="17" t="str">
        <f>IFERROR(__xludf.DUMMYFUNCTION("if(len(A580)&gt;0, value(REGEXEXTRACT(A580, ""Chapter ([0-9]*):"")), """")"),"")</f>
        <v/>
      </c>
      <c r="C580" s="31" t="str">
        <f>IFERROR(__xludf.DUMMYFUNCTION("if(len(A580) &gt;0, REGEXEXTRACT(A580, ""Chapter [0-9]*: (.*)""), """")"),"")</f>
        <v/>
      </c>
      <c r="D580" s="31" t="str">
        <f>IFERROR(__xludf.DUMMYFUNCTION("if(len(A580)&gt;0, REGEXEXTRACT(A580, ""\n[^\(]*""), """")"),"")</f>
        <v/>
      </c>
      <c r="E580" s="17" t="str">
        <f>IFERROR(__xludf.DUMMYFUNCTION("if(len(A580)&gt;0, REGEXEXTRACT(A580, ""\n([^\n]*)$""), """")"),"")</f>
        <v/>
      </c>
      <c r="F580" s="17" t="str">
        <f>IFERROR(__xludf.DUMMYFUNCTION("if(len(A580)&gt;0, REGEXEXTRACT(A580, ""\(([^\)]*)\)""), """")"),"")</f>
        <v/>
      </c>
      <c r="G580" s="17" t="str">
        <f>IFERROR(__xludf.DUMMYFUNCTION("if(len(A580)&gt;0, REGEXEXTRACT(A580, ""\)([^:]*):""), """")"),"")</f>
        <v/>
      </c>
      <c r="H580" s="31" t="str">
        <f>IFERROR(__xludf.DUMMYFUNCTION("if(len(A580) &gt; 0, JOIN(char(10), FILTER(SPLIT(A580, char(10)), split(""false false "" &amp; rept(""true "", columns(SPLIT(A580, char(10)))-3) &amp; ""false"", "" ""))), """")"),"")</f>
        <v/>
      </c>
    </row>
    <row r="581">
      <c r="A581" s="31"/>
      <c r="B581" s="17" t="str">
        <f>IFERROR(__xludf.DUMMYFUNCTION("if(len(A581)&gt;0, value(REGEXEXTRACT(A581, ""Chapter ([0-9]*):"")), """")"),"")</f>
        <v/>
      </c>
      <c r="C581" s="31" t="str">
        <f>IFERROR(__xludf.DUMMYFUNCTION("if(len(A581) &gt;0, REGEXEXTRACT(A581, ""Chapter [0-9]*: (.*)""), """")"),"")</f>
        <v/>
      </c>
      <c r="D581" s="31" t="str">
        <f>IFERROR(__xludf.DUMMYFUNCTION("if(len(A581)&gt;0, REGEXEXTRACT(A581, ""\n[^\(]*""), """")"),"")</f>
        <v/>
      </c>
      <c r="E581" s="17" t="str">
        <f>IFERROR(__xludf.DUMMYFUNCTION("if(len(A581)&gt;0, REGEXEXTRACT(A581, ""\n([^\n]*)$""), """")"),"")</f>
        <v/>
      </c>
      <c r="F581" s="17" t="str">
        <f>IFERROR(__xludf.DUMMYFUNCTION("if(len(A581)&gt;0, REGEXEXTRACT(A581, ""\(([^\)]*)\)""), """")"),"")</f>
        <v/>
      </c>
      <c r="G581" s="17" t="str">
        <f>IFERROR(__xludf.DUMMYFUNCTION("if(len(A581)&gt;0, REGEXEXTRACT(A581, ""\)([^:]*):""), """")"),"")</f>
        <v/>
      </c>
      <c r="H581" s="31" t="str">
        <f>IFERROR(__xludf.DUMMYFUNCTION("if(len(A581) &gt; 0, JOIN(char(10), FILTER(SPLIT(A581, char(10)), split(""false false "" &amp; rept(""true "", columns(SPLIT(A581, char(10)))-3) &amp; ""false"", "" ""))), """")"),"")</f>
        <v/>
      </c>
    </row>
    <row r="582">
      <c r="A582" s="31"/>
      <c r="B582" s="17" t="str">
        <f>IFERROR(__xludf.DUMMYFUNCTION("if(len(A582)&gt;0, value(REGEXEXTRACT(A582, ""Chapter ([0-9]*):"")), """")"),"")</f>
        <v/>
      </c>
      <c r="C582" s="31" t="str">
        <f>IFERROR(__xludf.DUMMYFUNCTION("if(len(A582) &gt;0, REGEXEXTRACT(A582, ""Chapter [0-9]*: (.*)""), """")"),"")</f>
        <v/>
      </c>
      <c r="D582" s="31" t="str">
        <f>IFERROR(__xludf.DUMMYFUNCTION("if(len(A582)&gt;0, REGEXEXTRACT(A582, ""\n[^\(]*""), """")"),"")</f>
        <v/>
      </c>
      <c r="E582" s="17" t="str">
        <f>IFERROR(__xludf.DUMMYFUNCTION("if(len(A582)&gt;0, REGEXEXTRACT(A582, ""\n([^\n]*)$""), """")"),"")</f>
        <v/>
      </c>
      <c r="F582" s="17" t="str">
        <f>IFERROR(__xludf.DUMMYFUNCTION("if(len(A582)&gt;0, REGEXEXTRACT(A582, ""\(([^\)]*)\)""), """")"),"")</f>
        <v/>
      </c>
      <c r="G582" s="17" t="str">
        <f>IFERROR(__xludf.DUMMYFUNCTION("if(len(A582)&gt;0, REGEXEXTRACT(A582, ""\)([^:]*):""), """")"),"")</f>
        <v/>
      </c>
      <c r="H582" s="31" t="str">
        <f>IFERROR(__xludf.DUMMYFUNCTION("if(len(A582) &gt; 0, JOIN(char(10), FILTER(SPLIT(A582, char(10)), split(""false false "" &amp; rept(""true "", columns(SPLIT(A582, char(10)))-3) &amp; ""false"", "" ""))), """")"),"")</f>
        <v/>
      </c>
    </row>
    <row r="583">
      <c r="A583" s="31"/>
      <c r="B583" s="17" t="str">
        <f>IFERROR(__xludf.DUMMYFUNCTION("if(len(A583)&gt;0, value(REGEXEXTRACT(A583, ""Chapter ([0-9]*):"")), """")"),"")</f>
        <v/>
      </c>
      <c r="C583" s="31" t="str">
        <f>IFERROR(__xludf.DUMMYFUNCTION("if(len(A583) &gt;0, REGEXEXTRACT(A583, ""Chapter [0-9]*: (.*)""), """")"),"")</f>
        <v/>
      </c>
      <c r="D583" s="31" t="str">
        <f>IFERROR(__xludf.DUMMYFUNCTION("if(len(A583)&gt;0, REGEXEXTRACT(A583, ""\n[^\(]*""), """")"),"")</f>
        <v/>
      </c>
      <c r="E583" s="17" t="str">
        <f>IFERROR(__xludf.DUMMYFUNCTION("if(len(A583)&gt;0, REGEXEXTRACT(A583, ""\n([^\n]*)$""), """")"),"")</f>
        <v/>
      </c>
      <c r="F583" s="17" t="str">
        <f>IFERROR(__xludf.DUMMYFUNCTION("if(len(A583)&gt;0, REGEXEXTRACT(A583, ""\(([^\)]*)\)""), """")"),"")</f>
        <v/>
      </c>
      <c r="G583" s="17" t="str">
        <f>IFERROR(__xludf.DUMMYFUNCTION("if(len(A583)&gt;0, REGEXEXTRACT(A583, ""\)([^:]*):""), """")"),"")</f>
        <v/>
      </c>
      <c r="H583" s="31" t="str">
        <f>IFERROR(__xludf.DUMMYFUNCTION("if(len(A583) &gt; 0, JOIN(char(10), FILTER(SPLIT(A583, char(10)), split(""false false "" &amp; rept(""true "", columns(SPLIT(A583, char(10)))-3) &amp; ""false"", "" ""))), """")"),"")</f>
        <v/>
      </c>
    </row>
    <row r="584">
      <c r="A584" s="31"/>
      <c r="B584" s="17" t="str">
        <f>IFERROR(__xludf.DUMMYFUNCTION("if(len(A584)&gt;0, value(REGEXEXTRACT(A584, ""Chapter ([0-9]*):"")), """")"),"")</f>
        <v/>
      </c>
      <c r="C584" s="31" t="str">
        <f>IFERROR(__xludf.DUMMYFUNCTION("if(len(A584) &gt;0, REGEXEXTRACT(A584, ""Chapter [0-9]*: (.*)""), """")"),"")</f>
        <v/>
      </c>
      <c r="D584" s="31" t="str">
        <f>IFERROR(__xludf.DUMMYFUNCTION("if(len(A584)&gt;0, REGEXEXTRACT(A584, ""\n[^\(]*""), """")"),"")</f>
        <v/>
      </c>
      <c r="E584" s="17" t="str">
        <f>IFERROR(__xludf.DUMMYFUNCTION("if(len(A584)&gt;0, REGEXEXTRACT(A584, ""\n([^\n]*)$""), """")"),"")</f>
        <v/>
      </c>
      <c r="F584" s="17" t="str">
        <f>IFERROR(__xludf.DUMMYFUNCTION("if(len(A584)&gt;0, REGEXEXTRACT(A584, ""\(([^\)]*)\)""), """")"),"")</f>
        <v/>
      </c>
      <c r="G584" s="17" t="str">
        <f>IFERROR(__xludf.DUMMYFUNCTION("if(len(A584)&gt;0, REGEXEXTRACT(A584, ""\)([^:]*):""), """")"),"")</f>
        <v/>
      </c>
      <c r="H584" s="31" t="str">
        <f>IFERROR(__xludf.DUMMYFUNCTION("if(len(A584) &gt; 0, JOIN(char(10), FILTER(SPLIT(A584, char(10)), split(""false false "" &amp; rept(""true "", columns(SPLIT(A584, char(10)))-3) &amp; ""false"", "" ""))), """")"),"")</f>
        <v/>
      </c>
    </row>
    <row r="585">
      <c r="A585" s="31"/>
      <c r="B585" s="17" t="str">
        <f>IFERROR(__xludf.DUMMYFUNCTION("if(len(A585)&gt;0, value(REGEXEXTRACT(A585, ""Chapter ([0-9]*):"")), """")"),"")</f>
        <v/>
      </c>
      <c r="C585" s="31" t="str">
        <f>IFERROR(__xludf.DUMMYFUNCTION("if(len(A585) &gt;0, REGEXEXTRACT(A585, ""Chapter [0-9]*: (.*)""), """")"),"")</f>
        <v/>
      </c>
      <c r="D585" s="31" t="str">
        <f>IFERROR(__xludf.DUMMYFUNCTION("if(len(A585)&gt;0, REGEXEXTRACT(A585, ""\n[^\(]*""), """")"),"")</f>
        <v/>
      </c>
      <c r="E585" s="17" t="str">
        <f>IFERROR(__xludf.DUMMYFUNCTION("if(len(A585)&gt;0, REGEXEXTRACT(A585, ""\n([^\n]*)$""), """")"),"")</f>
        <v/>
      </c>
      <c r="F585" s="17" t="str">
        <f>IFERROR(__xludf.DUMMYFUNCTION("if(len(A585)&gt;0, REGEXEXTRACT(A585, ""\(([^\)]*)\)""), """")"),"")</f>
        <v/>
      </c>
      <c r="G585" s="17" t="str">
        <f>IFERROR(__xludf.DUMMYFUNCTION("if(len(A585)&gt;0, REGEXEXTRACT(A585, ""\)([^:]*):""), """")"),"")</f>
        <v/>
      </c>
      <c r="H585" s="31" t="str">
        <f>IFERROR(__xludf.DUMMYFUNCTION("if(len(A585) &gt; 0, JOIN(char(10), FILTER(SPLIT(A585, char(10)), split(""false false "" &amp; rept(""true "", columns(SPLIT(A585, char(10)))-3) &amp; ""false"", "" ""))), """")"),"")</f>
        <v/>
      </c>
    </row>
    <row r="586">
      <c r="A586" s="31"/>
      <c r="B586" s="17" t="str">
        <f>IFERROR(__xludf.DUMMYFUNCTION("if(len(A586)&gt;0, value(REGEXEXTRACT(A586, ""Chapter ([0-9]*):"")), """")"),"")</f>
        <v/>
      </c>
      <c r="C586" s="31" t="str">
        <f>IFERROR(__xludf.DUMMYFUNCTION("if(len(A586) &gt;0, REGEXEXTRACT(A586, ""Chapter [0-9]*: (.*)""), """")"),"")</f>
        <v/>
      </c>
      <c r="D586" s="31" t="str">
        <f>IFERROR(__xludf.DUMMYFUNCTION("if(len(A586)&gt;0, REGEXEXTRACT(A586, ""\n[^\(]*""), """")"),"")</f>
        <v/>
      </c>
      <c r="E586" s="17" t="str">
        <f>IFERROR(__xludf.DUMMYFUNCTION("if(len(A586)&gt;0, REGEXEXTRACT(A586, ""\n([^\n]*)$""), """")"),"")</f>
        <v/>
      </c>
      <c r="F586" s="17" t="str">
        <f>IFERROR(__xludf.DUMMYFUNCTION("if(len(A586)&gt;0, REGEXEXTRACT(A586, ""\(([^\)]*)\)""), """")"),"")</f>
        <v/>
      </c>
      <c r="G586" s="17" t="str">
        <f>IFERROR(__xludf.DUMMYFUNCTION("if(len(A586)&gt;0, REGEXEXTRACT(A586, ""\)([^:]*):""), """")"),"")</f>
        <v/>
      </c>
      <c r="H586" s="31" t="str">
        <f>IFERROR(__xludf.DUMMYFUNCTION("if(len(A586) &gt; 0, JOIN(char(10), FILTER(SPLIT(A586, char(10)), split(""false false "" &amp; rept(""true "", columns(SPLIT(A586, char(10)))-3) &amp; ""false"", "" ""))), """")"),"")</f>
        <v/>
      </c>
    </row>
    <row r="587">
      <c r="A587" s="31"/>
      <c r="B587" s="17" t="str">
        <f>IFERROR(__xludf.DUMMYFUNCTION("if(len(A587)&gt;0, value(REGEXEXTRACT(A587, ""Chapter ([0-9]*):"")), """")"),"")</f>
        <v/>
      </c>
      <c r="C587" s="31" t="str">
        <f>IFERROR(__xludf.DUMMYFUNCTION("if(len(A587) &gt;0, REGEXEXTRACT(A587, ""Chapter [0-9]*: (.*)""), """")"),"")</f>
        <v/>
      </c>
      <c r="D587" s="31" t="str">
        <f>IFERROR(__xludf.DUMMYFUNCTION("if(len(A587)&gt;0, REGEXEXTRACT(A587, ""\n[^\(]*""), """")"),"")</f>
        <v/>
      </c>
      <c r="E587" s="17" t="str">
        <f>IFERROR(__xludf.DUMMYFUNCTION("if(len(A587)&gt;0, REGEXEXTRACT(A587, ""\n([^\n]*)$""), """")"),"")</f>
        <v/>
      </c>
      <c r="F587" s="17" t="str">
        <f>IFERROR(__xludf.DUMMYFUNCTION("if(len(A587)&gt;0, REGEXEXTRACT(A587, ""\(([^\)]*)\)""), """")"),"")</f>
        <v/>
      </c>
      <c r="G587" s="17" t="str">
        <f>IFERROR(__xludf.DUMMYFUNCTION("if(len(A587)&gt;0, REGEXEXTRACT(A587, ""\)([^:]*):""), """")"),"")</f>
        <v/>
      </c>
      <c r="H587" s="31" t="str">
        <f>IFERROR(__xludf.DUMMYFUNCTION("if(len(A587) &gt; 0, JOIN(char(10), FILTER(SPLIT(A587, char(10)), split(""false false "" &amp; rept(""true "", columns(SPLIT(A587, char(10)))-3) &amp; ""false"", "" ""))), """")"),"")</f>
        <v/>
      </c>
    </row>
    <row r="588">
      <c r="A588" s="31"/>
      <c r="B588" s="17" t="str">
        <f>IFERROR(__xludf.DUMMYFUNCTION("if(len(A588)&gt;0, value(REGEXEXTRACT(A588, ""Chapter ([0-9]*):"")), """")"),"")</f>
        <v/>
      </c>
      <c r="C588" s="31" t="str">
        <f>IFERROR(__xludf.DUMMYFUNCTION("if(len(A588) &gt;0, REGEXEXTRACT(A588, ""Chapter [0-9]*: (.*)""), """")"),"")</f>
        <v/>
      </c>
      <c r="D588" s="31" t="str">
        <f>IFERROR(__xludf.DUMMYFUNCTION("if(len(A588)&gt;0, REGEXEXTRACT(A588, ""\n[^\(]*""), """")"),"")</f>
        <v/>
      </c>
      <c r="E588" s="17" t="str">
        <f>IFERROR(__xludf.DUMMYFUNCTION("if(len(A588)&gt;0, REGEXEXTRACT(A588, ""\n([^\n]*)$""), """")"),"")</f>
        <v/>
      </c>
      <c r="F588" s="17" t="str">
        <f>IFERROR(__xludf.DUMMYFUNCTION("if(len(A588)&gt;0, REGEXEXTRACT(A588, ""\(([^\)]*)\)""), """")"),"")</f>
        <v/>
      </c>
      <c r="G588" s="17" t="str">
        <f>IFERROR(__xludf.DUMMYFUNCTION("if(len(A588)&gt;0, REGEXEXTRACT(A588, ""\)([^:]*):""), """")"),"")</f>
        <v/>
      </c>
      <c r="H588" s="31" t="str">
        <f>IFERROR(__xludf.DUMMYFUNCTION("if(len(A588) &gt; 0, JOIN(char(10), FILTER(SPLIT(A588, char(10)), split(""false false "" &amp; rept(""true "", columns(SPLIT(A588, char(10)))-3) &amp; ""false"", "" ""))), """")"),"")</f>
        <v/>
      </c>
    </row>
    <row r="589">
      <c r="A589" s="31"/>
      <c r="B589" s="17" t="str">
        <f>IFERROR(__xludf.DUMMYFUNCTION("if(len(A589)&gt;0, value(REGEXEXTRACT(A589, ""Chapter ([0-9]*):"")), """")"),"")</f>
        <v/>
      </c>
      <c r="C589" s="31" t="str">
        <f>IFERROR(__xludf.DUMMYFUNCTION("if(len(A589) &gt;0, REGEXEXTRACT(A589, ""Chapter [0-9]*: (.*)""), """")"),"")</f>
        <v/>
      </c>
      <c r="D589" s="31" t="str">
        <f>IFERROR(__xludf.DUMMYFUNCTION("if(len(A589)&gt;0, REGEXEXTRACT(A589, ""\n[^\(]*""), """")"),"")</f>
        <v/>
      </c>
      <c r="E589" s="17" t="str">
        <f>IFERROR(__xludf.DUMMYFUNCTION("if(len(A589)&gt;0, REGEXEXTRACT(A589, ""\n([^\n]*)$""), """")"),"")</f>
        <v/>
      </c>
      <c r="F589" s="17" t="str">
        <f>IFERROR(__xludf.DUMMYFUNCTION("if(len(A589)&gt;0, REGEXEXTRACT(A589, ""\(([^\)]*)\)""), """")"),"")</f>
        <v/>
      </c>
      <c r="G589" s="17" t="str">
        <f>IFERROR(__xludf.DUMMYFUNCTION("if(len(A589)&gt;0, REGEXEXTRACT(A589, ""\)([^:]*):""), """")"),"")</f>
        <v/>
      </c>
      <c r="H589" s="31" t="str">
        <f>IFERROR(__xludf.DUMMYFUNCTION("if(len(A589) &gt; 0, JOIN(char(10), FILTER(SPLIT(A589, char(10)), split(""false false "" &amp; rept(""true "", columns(SPLIT(A589, char(10)))-3) &amp; ""false"", "" ""))), """")"),"")</f>
        <v/>
      </c>
    </row>
    <row r="590">
      <c r="A590" s="31"/>
      <c r="B590" s="17" t="str">
        <f>IFERROR(__xludf.DUMMYFUNCTION("if(len(A590)&gt;0, value(REGEXEXTRACT(A590, ""Chapter ([0-9]*):"")), """")"),"")</f>
        <v/>
      </c>
      <c r="C590" s="31" t="str">
        <f>IFERROR(__xludf.DUMMYFUNCTION("if(len(A590) &gt;0, REGEXEXTRACT(A590, ""Chapter [0-9]*: (.*)""), """")"),"")</f>
        <v/>
      </c>
      <c r="D590" s="31" t="str">
        <f>IFERROR(__xludf.DUMMYFUNCTION("if(len(A590)&gt;0, REGEXEXTRACT(A590, ""\n[^\(]*""), """")"),"")</f>
        <v/>
      </c>
      <c r="E590" s="17" t="str">
        <f>IFERROR(__xludf.DUMMYFUNCTION("if(len(A590)&gt;0, REGEXEXTRACT(A590, ""\n([^\n]*)$""), """")"),"")</f>
        <v/>
      </c>
      <c r="F590" s="17" t="str">
        <f>IFERROR(__xludf.DUMMYFUNCTION("if(len(A590)&gt;0, REGEXEXTRACT(A590, ""\(([^\)]*)\)""), """")"),"")</f>
        <v/>
      </c>
      <c r="G590" s="17" t="str">
        <f>IFERROR(__xludf.DUMMYFUNCTION("if(len(A590)&gt;0, REGEXEXTRACT(A590, ""\)([^:]*):""), """")"),"")</f>
        <v/>
      </c>
      <c r="H590" s="31" t="str">
        <f>IFERROR(__xludf.DUMMYFUNCTION("if(len(A590) &gt; 0, JOIN(char(10), FILTER(SPLIT(A590, char(10)), split(""false false "" &amp; rept(""true "", columns(SPLIT(A590, char(10)))-3) &amp; ""false"", "" ""))), """")"),"")</f>
        <v/>
      </c>
    </row>
    <row r="591">
      <c r="A591" s="31"/>
      <c r="B591" s="17" t="str">
        <f>IFERROR(__xludf.DUMMYFUNCTION("if(len(A591)&gt;0, value(REGEXEXTRACT(A591, ""Chapter ([0-9]*):"")), """")"),"")</f>
        <v/>
      </c>
      <c r="C591" s="31" t="str">
        <f>IFERROR(__xludf.DUMMYFUNCTION("if(len(A591) &gt;0, REGEXEXTRACT(A591, ""Chapter [0-9]*: (.*)""), """")"),"")</f>
        <v/>
      </c>
      <c r="D591" s="31" t="str">
        <f>IFERROR(__xludf.DUMMYFUNCTION("if(len(A591)&gt;0, REGEXEXTRACT(A591, ""\n[^\(]*""), """")"),"")</f>
        <v/>
      </c>
      <c r="E591" s="17" t="str">
        <f>IFERROR(__xludf.DUMMYFUNCTION("if(len(A591)&gt;0, REGEXEXTRACT(A591, ""\n([^\n]*)$""), """")"),"")</f>
        <v/>
      </c>
      <c r="F591" s="17" t="str">
        <f>IFERROR(__xludf.DUMMYFUNCTION("if(len(A591)&gt;0, REGEXEXTRACT(A591, ""\(([^\)]*)\)""), """")"),"")</f>
        <v/>
      </c>
      <c r="G591" s="17" t="str">
        <f>IFERROR(__xludf.DUMMYFUNCTION("if(len(A591)&gt;0, REGEXEXTRACT(A591, ""\)([^:]*):""), """")"),"")</f>
        <v/>
      </c>
      <c r="H591" s="31" t="str">
        <f>IFERROR(__xludf.DUMMYFUNCTION("if(len(A591) &gt; 0, JOIN(char(10), FILTER(SPLIT(A591, char(10)), split(""false false "" &amp; rept(""true "", columns(SPLIT(A591, char(10)))-3) &amp; ""false"", "" ""))), """")"),"")</f>
        <v/>
      </c>
    </row>
    <row r="592">
      <c r="A592" s="31"/>
      <c r="B592" s="17" t="str">
        <f>IFERROR(__xludf.DUMMYFUNCTION("if(len(A592)&gt;0, value(REGEXEXTRACT(A592, ""Chapter ([0-9]*):"")), """")"),"")</f>
        <v/>
      </c>
      <c r="C592" s="31" t="str">
        <f>IFERROR(__xludf.DUMMYFUNCTION("if(len(A592) &gt;0, REGEXEXTRACT(A592, ""Chapter [0-9]*: (.*)""), """")"),"")</f>
        <v/>
      </c>
      <c r="D592" s="31" t="str">
        <f>IFERROR(__xludf.DUMMYFUNCTION("if(len(A592)&gt;0, REGEXEXTRACT(A592, ""\n[^\(]*""), """")"),"")</f>
        <v/>
      </c>
      <c r="E592" s="17" t="str">
        <f>IFERROR(__xludf.DUMMYFUNCTION("if(len(A592)&gt;0, REGEXEXTRACT(A592, ""\n([^\n]*)$""), """")"),"")</f>
        <v/>
      </c>
      <c r="F592" s="17" t="str">
        <f>IFERROR(__xludf.DUMMYFUNCTION("if(len(A592)&gt;0, REGEXEXTRACT(A592, ""\(([^\)]*)\)""), """")"),"")</f>
        <v/>
      </c>
      <c r="G592" s="17" t="str">
        <f>IFERROR(__xludf.DUMMYFUNCTION("if(len(A592)&gt;0, REGEXEXTRACT(A592, ""\)([^:]*):""), """")"),"")</f>
        <v/>
      </c>
      <c r="H592" s="31" t="str">
        <f>IFERROR(__xludf.DUMMYFUNCTION("if(len(A592) &gt; 0, JOIN(char(10), FILTER(SPLIT(A592, char(10)), split(""false false "" &amp; rept(""true "", columns(SPLIT(A592, char(10)))-3) &amp; ""false"", "" ""))), """")"),"")</f>
        <v/>
      </c>
    </row>
    <row r="593">
      <c r="A593" s="31"/>
      <c r="B593" s="17" t="str">
        <f>IFERROR(__xludf.DUMMYFUNCTION("if(len(A593)&gt;0, value(REGEXEXTRACT(A593, ""Chapter ([0-9]*):"")), """")"),"")</f>
        <v/>
      </c>
      <c r="C593" s="31" t="str">
        <f>IFERROR(__xludf.DUMMYFUNCTION("if(len(A593) &gt;0, REGEXEXTRACT(A593, ""Chapter [0-9]*: (.*)""), """")"),"")</f>
        <v/>
      </c>
      <c r="D593" s="31" t="str">
        <f>IFERROR(__xludf.DUMMYFUNCTION("if(len(A593)&gt;0, REGEXEXTRACT(A593, ""\n[^\(]*""), """")"),"")</f>
        <v/>
      </c>
      <c r="E593" s="17" t="str">
        <f>IFERROR(__xludf.DUMMYFUNCTION("if(len(A593)&gt;0, REGEXEXTRACT(A593, ""\n([^\n]*)$""), """")"),"")</f>
        <v/>
      </c>
      <c r="F593" s="17" t="str">
        <f>IFERROR(__xludf.DUMMYFUNCTION("if(len(A593)&gt;0, REGEXEXTRACT(A593, ""\(([^\)]*)\)""), """")"),"")</f>
        <v/>
      </c>
      <c r="G593" s="17" t="str">
        <f>IFERROR(__xludf.DUMMYFUNCTION("if(len(A593)&gt;0, REGEXEXTRACT(A593, ""\)([^:]*):""), """")"),"")</f>
        <v/>
      </c>
      <c r="H593" s="31" t="str">
        <f>IFERROR(__xludf.DUMMYFUNCTION("if(len(A593) &gt; 0, JOIN(char(10), FILTER(SPLIT(A593, char(10)), split(""false false "" &amp; rept(""true "", columns(SPLIT(A593, char(10)))-3) &amp; ""false"", "" ""))), """")"),"")</f>
        <v/>
      </c>
    </row>
    <row r="594">
      <c r="A594" s="31"/>
      <c r="B594" s="17" t="str">
        <f>IFERROR(__xludf.DUMMYFUNCTION("if(len(A594)&gt;0, value(REGEXEXTRACT(A594, ""Chapter ([0-9]*):"")), """")"),"")</f>
        <v/>
      </c>
      <c r="C594" s="31" t="str">
        <f>IFERROR(__xludf.DUMMYFUNCTION("if(len(A594) &gt;0, REGEXEXTRACT(A594, ""Chapter [0-9]*: (.*)""), """")"),"")</f>
        <v/>
      </c>
      <c r="D594" s="31" t="str">
        <f>IFERROR(__xludf.DUMMYFUNCTION("if(len(A594)&gt;0, REGEXEXTRACT(A594, ""\n[^\(]*""), """")"),"")</f>
        <v/>
      </c>
      <c r="E594" s="17" t="str">
        <f>IFERROR(__xludf.DUMMYFUNCTION("if(len(A594)&gt;0, REGEXEXTRACT(A594, ""\n([^\n]*)$""), """")"),"")</f>
        <v/>
      </c>
      <c r="F594" s="17" t="str">
        <f>IFERROR(__xludf.DUMMYFUNCTION("if(len(A594)&gt;0, REGEXEXTRACT(A594, ""\(([^\)]*)\)""), """")"),"")</f>
        <v/>
      </c>
      <c r="G594" s="17" t="str">
        <f>IFERROR(__xludf.DUMMYFUNCTION("if(len(A594)&gt;0, REGEXEXTRACT(A594, ""\)([^:]*):""), """")"),"")</f>
        <v/>
      </c>
      <c r="H594" s="31" t="str">
        <f>IFERROR(__xludf.DUMMYFUNCTION("if(len(A594) &gt; 0, JOIN(char(10), FILTER(SPLIT(A594, char(10)), split(""false false "" &amp; rept(""true "", columns(SPLIT(A594, char(10)))-3) &amp; ""false"", "" ""))), """")"),"")</f>
        <v/>
      </c>
    </row>
    <row r="595">
      <c r="A595" s="31"/>
      <c r="B595" s="17" t="str">
        <f>IFERROR(__xludf.DUMMYFUNCTION("if(len(A595)&gt;0, value(REGEXEXTRACT(A595, ""Chapter ([0-9]*):"")), """")"),"")</f>
        <v/>
      </c>
      <c r="C595" s="31" t="str">
        <f>IFERROR(__xludf.DUMMYFUNCTION("if(len(A595) &gt;0, REGEXEXTRACT(A595, ""Chapter [0-9]*: (.*)""), """")"),"")</f>
        <v/>
      </c>
      <c r="D595" s="31" t="str">
        <f>IFERROR(__xludf.DUMMYFUNCTION("if(len(A595)&gt;0, REGEXEXTRACT(A595, ""\n[^\(]*""), """")"),"")</f>
        <v/>
      </c>
      <c r="E595" s="17" t="str">
        <f>IFERROR(__xludf.DUMMYFUNCTION("if(len(A595)&gt;0, REGEXEXTRACT(A595, ""\n([^\n]*)$""), """")"),"")</f>
        <v/>
      </c>
      <c r="F595" s="17" t="str">
        <f>IFERROR(__xludf.DUMMYFUNCTION("if(len(A595)&gt;0, REGEXEXTRACT(A595, ""\(([^\)]*)\)""), """")"),"")</f>
        <v/>
      </c>
      <c r="G595" s="17" t="str">
        <f>IFERROR(__xludf.DUMMYFUNCTION("if(len(A595)&gt;0, REGEXEXTRACT(A595, ""\)([^:]*):""), """")"),"")</f>
        <v/>
      </c>
      <c r="H595" s="31" t="str">
        <f>IFERROR(__xludf.DUMMYFUNCTION("if(len(A595) &gt; 0, JOIN(char(10), FILTER(SPLIT(A595, char(10)), split(""false false "" &amp; rept(""true "", columns(SPLIT(A595, char(10)))-3) &amp; ""false"", "" ""))), """")"),"")</f>
        <v/>
      </c>
    </row>
    <row r="596">
      <c r="A596" s="31"/>
      <c r="B596" s="17" t="str">
        <f>IFERROR(__xludf.DUMMYFUNCTION("if(len(A596)&gt;0, value(REGEXEXTRACT(A596, ""Chapter ([0-9]*):"")), """")"),"")</f>
        <v/>
      </c>
      <c r="C596" s="31" t="str">
        <f>IFERROR(__xludf.DUMMYFUNCTION("if(len(A596) &gt;0, REGEXEXTRACT(A596, ""Chapter [0-9]*: (.*)""), """")"),"")</f>
        <v/>
      </c>
      <c r="D596" s="31" t="str">
        <f>IFERROR(__xludf.DUMMYFUNCTION("if(len(A596)&gt;0, REGEXEXTRACT(A596, ""\n[^\(]*""), """")"),"")</f>
        <v/>
      </c>
      <c r="E596" s="17" t="str">
        <f>IFERROR(__xludf.DUMMYFUNCTION("if(len(A596)&gt;0, REGEXEXTRACT(A596, ""\n([^\n]*)$""), """")"),"")</f>
        <v/>
      </c>
      <c r="F596" s="17" t="str">
        <f>IFERROR(__xludf.DUMMYFUNCTION("if(len(A596)&gt;0, REGEXEXTRACT(A596, ""\(([^\)]*)\)""), """")"),"")</f>
        <v/>
      </c>
      <c r="G596" s="17" t="str">
        <f>IFERROR(__xludf.DUMMYFUNCTION("if(len(A596)&gt;0, REGEXEXTRACT(A596, ""\)([^:]*):""), """")"),"")</f>
        <v/>
      </c>
      <c r="H596" s="31" t="str">
        <f>IFERROR(__xludf.DUMMYFUNCTION("if(len(A596) &gt; 0, JOIN(char(10), FILTER(SPLIT(A596, char(10)), split(""false false "" &amp; rept(""true "", columns(SPLIT(A596, char(10)))-3) &amp; ""false"", "" ""))), """")"),"")</f>
        <v/>
      </c>
    </row>
    <row r="597">
      <c r="A597" s="31"/>
      <c r="B597" s="17" t="str">
        <f>IFERROR(__xludf.DUMMYFUNCTION("if(len(A597)&gt;0, value(REGEXEXTRACT(A597, ""Chapter ([0-9]*):"")), """")"),"")</f>
        <v/>
      </c>
      <c r="C597" s="31" t="str">
        <f>IFERROR(__xludf.DUMMYFUNCTION("if(len(A597) &gt;0, REGEXEXTRACT(A597, ""Chapter [0-9]*: (.*)""), """")"),"")</f>
        <v/>
      </c>
      <c r="D597" s="31" t="str">
        <f>IFERROR(__xludf.DUMMYFUNCTION("if(len(A597)&gt;0, REGEXEXTRACT(A597, ""\n[^\(]*""), """")"),"")</f>
        <v/>
      </c>
      <c r="E597" s="17" t="str">
        <f>IFERROR(__xludf.DUMMYFUNCTION("if(len(A597)&gt;0, REGEXEXTRACT(A597, ""\n([^\n]*)$""), """")"),"")</f>
        <v/>
      </c>
      <c r="F597" s="17" t="str">
        <f>IFERROR(__xludf.DUMMYFUNCTION("if(len(A597)&gt;0, REGEXEXTRACT(A597, ""\(([^\)]*)\)""), """")"),"")</f>
        <v/>
      </c>
      <c r="G597" s="17" t="str">
        <f>IFERROR(__xludf.DUMMYFUNCTION("if(len(A597)&gt;0, REGEXEXTRACT(A597, ""\)([^:]*):""), """")"),"")</f>
        <v/>
      </c>
      <c r="H597" s="31" t="str">
        <f>IFERROR(__xludf.DUMMYFUNCTION("if(len(A597) &gt; 0, JOIN(char(10), FILTER(SPLIT(A597, char(10)), split(""false false "" &amp; rept(""true "", columns(SPLIT(A597, char(10)))-3) &amp; ""false"", "" ""))), """")"),"")</f>
        <v/>
      </c>
    </row>
    <row r="598">
      <c r="A598" s="31"/>
      <c r="B598" s="17" t="str">
        <f>IFERROR(__xludf.DUMMYFUNCTION("if(len(A598)&gt;0, value(REGEXEXTRACT(A598, ""Chapter ([0-9]*):"")), """")"),"")</f>
        <v/>
      </c>
      <c r="C598" s="31" t="str">
        <f>IFERROR(__xludf.DUMMYFUNCTION("if(len(A598) &gt;0, REGEXEXTRACT(A598, ""Chapter [0-9]*: (.*)""), """")"),"")</f>
        <v/>
      </c>
      <c r="D598" s="31" t="str">
        <f>IFERROR(__xludf.DUMMYFUNCTION("if(len(A598)&gt;0, REGEXEXTRACT(A598, ""\n[^\(]*""), """")"),"")</f>
        <v/>
      </c>
      <c r="E598" s="17" t="str">
        <f>IFERROR(__xludf.DUMMYFUNCTION("if(len(A598)&gt;0, REGEXEXTRACT(A598, ""\n([^\n]*)$""), """")"),"")</f>
        <v/>
      </c>
      <c r="F598" s="17" t="str">
        <f>IFERROR(__xludf.DUMMYFUNCTION("if(len(A598)&gt;0, REGEXEXTRACT(A598, ""\(([^\)]*)\)""), """")"),"")</f>
        <v/>
      </c>
      <c r="G598" s="17" t="str">
        <f>IFERROR(__xludf.DUMMYFUNCTION("if(len(A598)&gt;0, REGEXEXTRACT(A598, ""\)([^:]*):""), """")"),"")</f>
        <v/>
      </c>
      <c r="H598" s="31" t="str">
        <f>IFERROR(__xludf.DUMMYFUNCTION("if(len(A598) &gt; 0, JOIN(char(10), FILTER(SPLIT(A598, char(10)), split(""false false "" &amp; rept(""true "", columns(SPLIT(A598, char(10)))-3) &amp; ""false"", "" ""))), """")"),"")</f>
        <v/>
      </c>
    </row>
    <row r="599">
      <c r="A599" s="31"/>
      <c r="B599" s="17" t="str">
        <f>IFERROR(__xludf.DUMMYFUNCTION("if(len(A599)&gt;0, value(REGEXEXTRACT(A599, ""Chapter ([0-9]*):"")), """")"),"")</f>
        <v/>
      </c>
      <c r="C599" s="31" t="str">
        <f>IFERROR(__xludf.DUMMYFUNCTION("if(len(A599) &gt;0, REGEXEXTRACT(A599, ""Chapter [0-9]*: (.*)""), """")"),"")</f>
        <v/>
      </c>
      <c r="D599" s="31" t="str">
        <f>IFERROR(__xludf.DUMMYFUNCTION("if(len(A599)&gt;0, REGEXEXTRACT(A599, ""\n[^\(]*""), """")"),"")</f>
        <v/>
      </c>
      <c r="E599" s="17" t="str">
        <f>IFERROR(__xludf.DUMMYFUNCTION("if(len(A599)&gt;0, REGEXEXTRACT(A599, ""\n([^\n]*)$""), """")"),"")</f>
        <v/>
      </c>
      <c r="F599" s="17" t="str">
        <f>IFERROR(__xludf.DUMMYFUNCTION("if(len(A599)&gt;0, REGEXEXTRACT(A599, ""\(([^\)]*)\)""), """")"),"")</f>
        <v/>
      </c>
      <c r="G599" s="17" t="str">
        <f>IFERROR(__xludf.DUMMYFUNCTION("if(len(A599)&gt;0, REGEXEXTRACT(A599, ""\)([^:]*):""), """")"),"")</f>
        <v/>
      </c>
      <c r="H599" s="31" t="str">
        <f>IFERROR(__xludf.DUMMYFUNCTION("if(len(A599) &gt; 0, JOIN(char(10), FILTER(SPLIT(A599, char(10)), split(""false false "" &amp; rept(""true "", columns(SPLIT(A599, char(10)))-3) &amp; ""false"", "" ""))), """")"),"")</f>
        <v/>
      </c>
    </row>
    <row r="600">
      <c r="A600" s="31"/>
      <c r="B600" s="17" t="str">
        <f>IFERROR(__xludf.DUMMYFUNCTION("if(len(A600)&gt;0, value(REGEXEXTRACT(A600, ""Chapter ([0-9]*):"")), """")"),"")</f>
        <v/>
      </c>
      <c r="C600" s="31" t="str">
        <f>IFERROR(__xludf.DUMMYFUNCTION("if(len(A600) &gt;0, REGEXEXTRACT(A600, ""Chapter [0-9]*: (.*)""), """")"),"")</f>
        <v/>
      </c>
      <c r="D600" s="31" t="str">
        <f>IFERROR(__xludf.DUMMYFUNCTION("if(len(A600)&gt;0, REGEXEXTRACT(A600, ""\n[^\(]*""), """")"),"")</f>
        <v/>
      </c>
      <c r="E600" s="17" t="str">
        <f>IFERROR(__xludf.DUMMYFUNCTION("if(len(A600)&gt;0, REGEXEXTRACT(A600, ""\n([^\n]*)$""), """")"),"")</f>
        <v/>
      </c>
      <c r="F600" s="17" t="str">
        <f>IFERROR(__xludf.DUMMYFUNCTION("if(len(A600)&gt;0, REGEXEXTRACT(A600, ""\(([^\)]*)\)""), """")"),"")</f>
        <v/>
      </c>
      <c r="G600" s="17" t="str">
        <f>IFERROR(__xludf.DUMMYFUNCTION("if(len(A600)&gt;0, REGEXEXTRACT(A600, ""\)([^:]*):""), """")"),"")</f>
        <v/>
      </c>
      <c r="H600" s="31" t="str">
        <f>IFERROR(__xludf.DUMMYFUNCTION("if(len(A600) &gt; 0, JOIN(char(10), FILTER(SPLIT(A600, char(10)), split(""false false "" &amp; rept(""true "", columns(SPLIT(A600, char(10)))-3) &amp; ""false"", "" ""))), """")"),"")</f>
        <v/>
      </c>
    </row>
    <row r="601">
      <c r="A601" s="31"/>
      <c r="B601" s="17" t="str">
        <f>IFERROR(__xludf.DUMMYFUNCTION("if(len(A601)&gt;0, value(REGEXEXTRACT(A601, ""Chapter ([0-9]*):"")), """")"),"")</f>
        <v/>
      </c>
      <c r="C601" s="31" t="str">
        <f>IFERROR(__xludf.DUMMYFUNCTION("if(len(A601) &gt;0, REGEXEXTRACT(A601, ""Chapter [0-9]*: (.*)""), """")"),"")</f>
        <v/>
      </c>
      <c r="D601" s="31" t="str">
        <f>IFERROR(__xludf.DUMMYFUNCTION("if(len(A601)&gt;0, REGEXEXTRACT(A601, ""\n[^\(]*""), """")"),"")</f>
        <v/>
      </c>
      <c r="E601" s="17" t="str">
        <f>IFERROR(__xludf.DUMMYFUNCTION("if(len(A601)&gt;0, REGEXEXTRACT(A601, ""\n([^\n]*)$""), """")"),"")</f>
        <v/>
      </c>
      <c r="F601" s="17" t="str">
        <f>IFERROR(__xludf.DUMMYFUNCTION("if(len(A601)&gt;0, REGEXEXTRACT(A601, ""\(([^\)]*)\)""), """")"),"")</f>
        <v/>
      </c>
      <c r="G601" s="17" t="str">
        <f>IFERROR(__xludf.DUMMYFUNCTION("if(len(A601)&gt;0, REGEXEXTRACT(A601, ""\)([^:]*):""), """")"),"")</f>
        <v/>
      </c>
      <c r="H601" s="31" t="str">
        <f>IFERROR(__xludf.DUMMYFUNCTION("if(len(A601) &gt; 0, JOIN(char(10), FILTER(SPLIT(A601, char(10)), split(""false false "" &amp; rept(""true "", columns(SPLIT(A601, char(10)))-3) &amp; ""false"", "" ""))), """")"),"")</f>
        <v/>
      </c>
    </row>
    <row r="602">
      <c r="A602" s="31"/>
      <c r="B602" s="17" t="str">
        <f>IFERROR(__xludf.DUMMYFUNCTION("if(len(A602)&gt;0, value(REGEXEXTRACT(A602, ""Chapter ([0-9]*):"")), """")"),"")</f>
        <v/>
      </c>
      <c r="C602" s="31" t="str">
        <f>IFERROR(__xludf.DUMMYFUNCTION("if(len(A602) &gt;0, REGEXEXTRACT(A602, ""Chapter [0-9]*: (.*)""), """")"),"")</f>
        <v/>
      </c>
      <c r="D602" s="31" t="str">
        <f>IFERROR(__xludf.DUMMYFUNCTION("if(len(A602)&gt;0, REGEXEXTRACT(A602, ""\n[^\(]*""), """")"),"")</f>
        <v/>
      </c>
      <c r="E602" s="17" t="str">
        <f>IFERROR(__xludf.DUMMYFUNCTION("if(len(A602)&gt;0, REGEXEXTRACT(A602, ""\n([^\n]*)$""), """")"),"")</f>
        <v/>
      </c>
      <c r="F602" s="17" t="str">
        <f>IFERROR(__xludf.DUMMYFUNCTION("if(len(A602)&gt;0, REGEXEXTRACT(A602, ""\(([^\)]*)\)""), """")"),"")</f>
        <v/>
      </c>
      <c r="G602" s="17" t="str">
        <f>IFERROR(__xludf.DUMMYFUNCTION("if(len(A602)&gt;0, REGEXEXTRACT(A602, ""\)([^:]*):""), """")"),"")</f>
        <v/>
      </c>
      <c r="H602" s="31" t="str">
        <f>IFERROR(__xludf.DUMMYFUNCTION("if(len(A602) &gt; 0, JOIN(char(10), FILTER(SPLIT(A602, char(10)), split(""false false "" &amp; rept(""true "", columns(SPLIT(A602, char(10)))-3) &amp; ""false"", "" ""))), """")"),"")</f>
        <v/>
      </c>
    </row>
    <row r="603">
      <c r="A603" s="31"/>
      <c r="B603" s="17" t="str">
        <f>IFERROR(__xludf.DUMMYFUNCTION("if(len(A603)&gt;0, value(REGEXEXTRACT(A603, ""Chapter ([0-9]*):"")), """")"),"")</f>
        <v/>
      </c>
      <c r="C603" s="31" t="str">
        <f>IFERROR(__xludf.DUMMYFUNCTION("if(len(A603) &gt;0, REGEXEXTRACT(A603, ""Chapter [0-9]*: (.*)""), """")"),"")</f>
        <v/>
      </c>
      <c r="D603" s="31" t="str">
        <f>IFERROR(__xludf.DUMMYFUNCTION("if(len(A603)&gt;0, REGEXEXTRACT(A603, ""\n[^\(]*""), """")"),"")</f>
        <v/>
      </c>
      <c r="E603" s="17" t="str">
        <f>IFERROR(__xludf.DUMMYFUNCTION("if(len(A603)&gt;0, REGEXEXTRACT(A603, ""\n([^\n]*)$""), """")"),"")</f>
        <v/>
      </c>
      <c r="F603" s="17" t="str">
        <f>IFERROR(__xludf.DUMMYFUNCTION("if(len(A603)&gt;0, REGEXEXTRACT(A603, ""\(([^\)]*)\)""), """")"),"")</f>
        <v/>
      </c>
      <c r="G603" s="17" t="str">
        <f>IFERROR(__xludf.DUMMYFUNCTION("if(len(A603)&gt;0, REGEXEXTRACT(A603, ""\)([^:]*):""), """")"),"")</f>
        <v/>
      </c>
      <c r="H603" s="31" t="str">
        <f>IFERROR(__xludf.DUMMYFUNCTION("if(len(A603) &gt; 0, JOIN(char(10), FILTER(SPLIT(A603, char(10)), split(""false false "" &amp; rept(""true "", columns(SPLIT(A603, char(10)))-3) &amp; ""false"", "" ""))), """")"),"")</f>
        <v/>
      </c>
    </row>
    <row r="604">
      <c r="A604" s="31"/>
      <c r="B604" s="17" t="str">
        <f>IFERROR(__xludf.DUMMYFUNCTION("if(len(A604)&gt;0, value(REGEXEXTRACT(A604, ""Chapter ([0-9]*):"")), """")"),"")</f>
        <v/>
      </c>
      <c r="C604" s="31" t="str">
        <f>IFERROR(__xludf.DUMMYFUNCTION("if(len(A604) &gt;0, REGEXEXTRACT(A604, ""Chapter [0-9]*: (.*)""), """")"),"")</f>
        <v/>
      </c>
      <c r="D604" s="31" t="str">
        <f>IFERROR(__xludf.DUMMYFUNCTION("if(len(A604)&gt;0, REGEXEXTRACT(A604, ""\n[^\(]*""), """")"),"")</f>
        <v/>
      </c>
      <c r="E604" s="17" t="str">
        <f>IFERROR(__xludf.DUMMYFUNCTION("if(len(A604)&gt;0, REGEXEXTRACT(A604, ""\n([^\n]*)$""), """")"),"")</f>
        <v/>
      </c>
      <c r="F604" s="17" t="str">
        <f>IFERROR(__xludf.DUMMYFUNCTION("if(len(A604)&gt;0, REGEXEXTRACT(A604, ""\(([^\)]*)\)""), """")"),"")</f>
        <v/>
      </c>
      <c r="G604" s="17" t="str">
        <f>IFERROR(__xludf.DUMMYFUNCTION("if(len(A604)&gt;0, REGEXEXTRACT(A604, ""\)([^:]*):""), """")"),"")</f>
        <v/>
      </c>
      <c r="H604" s="31" t="str">
        <f>IFERROR(__xludf.DUMMYFUNCTION("if(len(A604) &gt; 0, JOIN(char(10), FILTER(SPLIT(A604, char(10)), split(""false false "" &amp; rept(""true "", columns(SPLIT(A604, char(10)))-3) &amp; ""false"", "" ""))), """")"),"")</f>
        <v/>
      </c>
    </row>
    <row r="605">
      <c r="A605" s="31"/>
      <c r="B605" s="17" t="str">
        <f>IFERROR(__xludf.DUMMYFUNCTION("if(len(A605)&gt;0, value(REGEXEXTRACT(A605, ""Chapter ([0-9]*):"")), """")"),"")</f>
        <v/>
      </c>
      <c r="C605" s="31" t="str">
        <f>IFERROR(__xludf.DUMMYFUNCTION("if(len(A605) &gt;0, REGEXEXTRACT(A605, ""Chapter [0-9]*: (.*)""), """")"),"")</f>
        <v/>
      </c>
      <c r="D605" s="31" t="str">
        <f>IFERROR(__xludf.DUMMYFUNCTION("if(len(A605)&gt;0, REGEXEXTRACT(A605, ""\n[^\(]*""), """")"),"")</f>
        <v/>
      </c>
      <c r="E605" s="17" t="str">
        <f>IFERROR(__xludf.DUMMYFUNCTION("if(len(A605)&gt;0, REGEXEXTRACT(A605, ""\n([^\n]*)$""), """")"),"")</f>
        <v/>
      </c>
      <c r="F605" s="17" t="str">
        <f>IFERROR(__xludf.DUMMYFUNCTION("if(len(A605)&gt;0, REGEXEXTRACT(A605, ""\(([^\)]*)\)""), """")"),"")</f>
        <v/>
      </c>
      <c r="G605" s="17" t="str">
        <f>IFERROR(__xludf.DUMMYFUNCTION("if(len(A605)&gt;0, REGEXEXTRACT(A605, ""\)([^:]*):""), """")"),"")</f>
        <v/>
      </c>
      <c r="H605" s="31" t="str">
        <f>IFERROR(__xludf.DUMMYFUNCTION("if(len(A605) &gt; 0, JOIN(char(10), FILTER(SPLIT(A605, char(10)), split(""false false "" &amp; rept(""true "", columns(SPLIT(A605, char(10)))-3) &amp; ""false"", "" ""))), """")"),"")</f>
        <v/>
      </c>
    </row>
    <row r="606">
      <c r="A606" s="31"/>
      <c r="B606" s="17" t="str">
        <f>IFERROR(__xludf.DUMMYFUNCTION("if(len(A606)&gt;0, value(REGEXEXTRACT(A606, ""Chapter ([0-9]*):"")), """")"),"")</f>
        <v/>
      </c>
      <c r="C606" s="31" t="str">
        <f>IFERROR(__xludf.DUMMYFUNCTION("if(len(A606) &gt;0, REGEXEXTRACT(A606, ""Chapter [0-9]*: (.*)""), """")"),"")</f>
        <v/>
      </c>
      <c r="D606" s="31" t="str">
        <f>IFERROR(__xludf.DUMMYFUNCTION("if(len(A606)&gt;0, REGEXEXTRACT(A606, ""\n[^\(]*""), """")"),"")</f>
        <v/>
      </c>
      <c r="E606" s="17" t="str">
        <f>IFERROR(__xludf.DUMMYFUNCTION("if(len(A606)&gt;0, REGEXEXTRACT(A606, ""\n([^\n]*)$""), """")"),"")</f>
        <v/>
      </c>
      <c r="F606" s="17" t="str">
        <f>IFERROR(__xludf.DUMMYFUNCTION("if(len(A606)&gt;0, REGEXEXTRACT(A606, ""\(([^\)]*)\)""), """")"),"")</f>
        <v/>
      </c>
      <c r="G606" s="17" t="str">
        <f>IFERROR(__xludf.DUMMYFUNCTION("if(len(A606)&gt;0, REGEXEXTRACT(A606, ""\)([^:]*):""), """")"),"")</f>
        <v/>
      </c>
      <c r="H606" s="31" t="str">
        <f>IFERROR(__xludf.DUMMYFUNCTION("if(len(A606) &gt; 0, JOIN(char(10), FILTER(SPLIT(A606, char(10)), split(""false false "" &amp; rept(""true "", columns(SPLIT(A606, char(10)))-3) &amp; ""false"", "" ""))), """")"),"")</f>
        <v/>
      </c>
    </row>
    <row r="607">
      <c r="A607" s="31"/>
      <c r="B607" s="17" t="str">
        <f>IFERROR(__xludf.DUMMYFUNCTION("if(len(A607)&gt;0, value(REGEXEXTRACT(A607, ""Chapter ([0-9]*):"")), """")"),"")</f>
        <v/>
      </c>
      <c r="C607" s="31" t="str">
        <f>IFERROR(__xludf.DUMMYFUNCTION("if(len(A607) &gt;0, REGEXEXTRACT(A607, ""Chapter [0-9]*: (.*)""), """")"),"")</f>
        <v/>
      </c>
      <c r="D607" s="31" t="str">
        <f>IFERROR(__xludf.DUMMYFUNCTION("if(len(A607)&gt;0, REGEXEXTRACT(A607, ""\n[^\(]*""), """")"),"")</f>
        <v/>
      </c>
      <c r="E607" s="17" t="str">
        <f>IFERROR(__xludf.DUMMYFUNCTION("if(len(A607)&gt;0, REGEXEXTRACT(A607, ""\n([^\n]*)$""), """")"),"")</f>
        <v/>
      </c>
      <c r="F607" s="17" t="str">
        <f>IFERROR(__xludf.DUMMYFUNCTION("if(len(A607)&gt;0, REGEXEXTRACT(A607, ""\(([^\)]*)\)""), """")"),"")</f>
        <v/>
      </c>
      <c r="G607" s="17" t="str">
        <f>IFERROR(__xludf.DUMMYFUNCTION("if(len(A607)&gt;0, REGEXEXTRACT(A607, ""\)([^:]*):""), """")"),"")</f>
        <v/>
      </c>
      <c r="H607" s="31" t="str">
        <f>IFERROR(__xludf.DUMMYFUNCTION("if(len(A607) &gt; 0, JOIN(char(10), FILTER(SPLIT(A607, char(10)), split(""false false "" &amp; rept(""true "", columns(SPLIT(A607, char(10)))-3) &amp; ""false"", "" ""))), """")"),"")</f>
        <v/>
      </c>
    </row>
    <row r="608">
      <c r="A608" s="31"/>
      <c r="B608" s="17" t="str">
        <f>IFERROR(__xludf.DUMMYFUNCTION("if(len(A608)&gt;0, value(REGEXEXTRACT(A608, ""Chapter ([0-9]*):"")), """")"),"")</f>
        <v/>
      </c>
      <c r="C608" s="31" t="str">
        <f>IFERROR(__xludf.DUMMYFUNCTION("if(len(A608) &gt;0, REGEXEXTRACT(A608, ""Chapter [0-9]*: (.*)""), """")"),"")</f>
        <v/>
      </c>
      <c r="D608" s="31" t="str">
        <f>IFERROR(__xludf.DUMMYFUNCTION("if(len(A608)&gt;0, REGEXEXTRACT(A608, ""\n[^\(]*""), """")"),"")</f>
        <v/>
      </c>
      <c r="E608" s="17" t="str">
        <f>IFERROR(__xludf.DUMMYFUNCTION("if(len(A608)&gt;0, REGEXEXTRACT(A608, ""\n([^\n]*)$""), """")"),"")</f>
        <v/>
      </c>
      <c r="F608" s="17" t="str">
        <f>IFERROR(__xludf.DUMMYFUNCTION("if(len(A608)&gt;0, REGEXEXTRACT(A608, ""\(([^\)]*)\)""), """")"),"")</f>
        <v/>
      </c>
      <c r="G608" s="17" t="str">
        <f>IFERROR(__xludf.DUMMYFUNCTION("if(len(A608)&gt;0, REGEXEXTRACT(A608, ""\)([^:]*):""), """")"),"")</f>
        <v/>
      </c>
      <c r="H608" s="31" t="str">
        <f>IFERROR(__xludf.DUMMYFUNCTION("if(len(A608) &gt; 0, JOIN(char(10), FILTER(SPLIT(A608, char(10)), split(""false false "" &amp; rept(""true "", columns(SPLIT(A608, char(10)))-3) &amp; ""false"", "" ""))), """")"),"")</f>
        <v/>
      </c>
    </row>
    <row r="609">
      <c r="A609" s="31"/>
      <c r="B609" s="17" t="str">
        <f>IFERROR(__xludf.DUMMYFUNCTION("if(len(A609)&gt;0, value(REGEXEXTRACT(A609, ""Chapter ([0-9]*):"")), """")"),"")</f>
        <v/>
      </c>
      <c r="C609" s="31" t="str">
        <f>IFERROR(__xludf.DUMMYFUNCTION("if(len(A609) &gt;0, REGEXEXTRACT(A609, ""Chapter [0-9]*: (.*)""), """")"),"")</f>
        <v/>
      </c>
      <c r="D609" s="31" t="str">
        <f>IFERROR(__xludf.DUMMYFUNCTION("if(len(A609)&gt;0, REGEXEXTRACT(A609, ""\n[^\(]*""), """")"),"")</f>
        <v/>
      </c>
      <c r="E609" s="17" t="str">
        <f>IFERROR(__xludf.DUMMYFUNCTION("if(len(A609)&gt;0, REGEXEXTRACT(A609, ""\n([^\n]*)$""), """")"),"")</f>
        <v/>
      </c>
      <c r="F609" s="17" t="str">
        <f>IFERROR(__xludf.DUMMYFUNCTION("if(len(A609)&gt;0, REGEXEXTRACT(A609, ""\(([^\)]*)\)""), """")"),"")</f>
        <v/>
      </c>
      <c r="G609" s="17" t="str">
        <f>IFERROR(__xludf.DUMMYFUNCTION("if(len(A609)&gt;0, REGEXEXTRACT(A609, ""\)([^:]*):""), """")"),"")</f>
        <v/>
      </c>
      <c r="H609" s="31" t="str">
        <f>IFERROR(__xludf.DUMMYFUNCTION("if(len(A609) &gt; 0, JOIN(char(10), FILTER(SPLIT(A609, char(10)), split(""false false "" &amp; rept(""true "", columns(SPLIT(A609, char(10)))-3) &amp; ""false"", "" ""))), """")"),"")</f>
        <v/>
      </c>
    </row>
    <row r="610">
      <c r="A610" s="31"/>
      <c r="B610" s="17" t="str">
        <f>IFERROR(__xludf.DUMMYFUNCTION("if(len(A610)&gt;0, value(REGEXEXTRACT(A610, ""Chapter ([0-9]*):"")), """")"),"")</f>
        <v/>
      </c>
      <c r="C610" s="31" t="str">
        <f>IFERROR(__xludf.DUMMYFUNCTION("if(len(A610) &gt;0, REGEXEXTRACT(A610, ""Chapter [0-9]*: (.*)""), """")"),"")</f>
        <v/>
      </c>
      <c r="D610" s="31" t="str">
        <f>IFERROR(__xludf.DUMMYFUNCTION("if(len(A610)&gt;0, REGEXEXTRACT(A610, ""\n[^\(]*""), """")"),"")</f>
        <v/>
      </c>
      <c r="E610" s="17" t="str">
        <f>IFERROR(__xludf.DUMMYFUNCTION("if(len(A610)&gt;0, REGEXEXTRACT(A610, ""\n([^\n]*)$""), """")"),"")</f>
        <v/>
      </c>
      <c r="F610" s="17" t="str">
        <f>IFERROR(__xludf.DUMMYFUNCTION("if(len(A610)&gt;0, REGEXEXTRACT(A610, ""\(([^\)]*)\)""), """")"),"")</f>
        <v/>
      </c>
      <c r="G610" s="17" t="str">
        <f>IFERROR(__xludf.DUMMYFUNCTION("if(len(A610)&gt;0, REGEXEXTRACT(A610, ""\)([^:]*):""), """")"),"")</f>
        <v/>
      </c>
      <c r="H610" s="31" t="str">
        <f>IFERROR(__xludf.DUMMYFUNCTION("if(len(A610) &gt; 0, JOIN(char(10), FILTER(SPLIT(A610, char(10)), split(""false false "" &amp; rept(""true "", columns(SPLIT(A610, char(10)))-3) &amp; ""false"", "" ""))), """")"),"")</f>
        <v/>
      </c>
    </row>
    <row r="611">
      <c r="A611" s="31"/>
      <c r="B611" s="17" t="str">
        <f>IFERROR(__xludf.DUMMYFUNCTION("if(len(A611)&gt;0, value(REGEXEXTRACT(A611, ""Chapter ([0-9]*):"")), """")"),"")</f>
        <v/>
      </c>
      <c r="C611" s="31" t="str">
        <f>IFERROR(__xludf.DUMMYFUNCTION("if(len(A611) &gt;0, REGEXEXTRACT(A611, ""Chapter [0-9]*: (.*)""), """")"),"")</f>
        <v/>
      </c>
      <c r="D611" s="31" t="str">
        <f>IFERROR(__xludf.DUMMYFUNCTION("if(len(A611)&gt;0, REGEXEXTRACT(A611, ""\n[^\(]*""), """")"),"")</f>
        <v/>
      </c>
      <c r="E611" s="17" t="str">
        <f>IFERROR(__xludf.DUMMYFUNCTION("if(len(A611)&gt;0, REGEXEXTRACT(A611, ""\n([^\n]*)$""), """")"),"")</f>
        <v/>
      </c>
      <c r="F611" s="17" t="str">
        <f>IFERROR(__xludf.DUMMYFUNCTION("if(len(A611)&gt;0, REGEXEXTRACT(A611, ""\(([^\)]*)\)""), """")"),"")</f>
        <v/>
      </c>
      <c r="G611" s="17" t="str">
        <f>IFERROR(__xludf.DUMMYFUNCTION("if(len(A611)&gt;0, REGEXEXTRACT(A611, ""\)([^:]*):""), """")"),"")</f>
        <v/>
      </c>
      <c r="H611" s="31" t="str">
        <f>IFERROR(__xludf.DUMMYFUNCTION("if(len(A611) &gt; 0, JOIN(char(10), FILTER(SPLIT(A611, char(10)), split(""false false "" &amp; rept(""true "", columns(SPLIT(A611, char(10)))-3) &amp; ""false"", "" ""))), """")"),"")</f>
        <v/>
      </c>
    </row>
    <row r="612">
      <c r="A612" s="31"/>
      <c r="B612" s="17" t="str">
        <f>IFERROR(__xludf.DUMMYFUNCTION("if(len(A612)&gt;0, value(REGEXEXTRACT(A612, ""Chapter ([0-9]*):"")), """")"),"")</f>
        <v/>
      </c>
      <c r="C612" s="31" t="str">
        <f>IFERROR(__xludf.DUMMYFUNCTION("if(len(A612) &gt;0, REGEXEXTRACT(A612, ""Chapter [0-9]*: (.*)""), """")"),"")</f>
        <v/>
      </c>
      <c r="D612" s="31" t="str">
        <f>IFERROR(__xludf.DUMMYFUNCTION("if(len(A612)&gt;0, REGEXEXTRACT(A612, ""\n[^\(]*""), """")"),"")</f>
        <v/>
      </c>
      <c r="E612" s="17" t="str">
        <f>IFERROR(__xludf.DUMMYFUNCTION("if(len(A612)&gt;0, REGEXEXTRACT(A612, ""\n([^\n]*)$""), """")"),"")</f>
        <v/>
      </c>
      <c r="F612" s="17" t="str">
        <f>IFERROR(__xludf.DUMMYFUNCTION("if(len(A612)&gt;0, REGEXEXTRACT(A612, ""\(([^\)]*)\)""), """")"),"")</f>
        <v/>
      </c>
      <c r="G612" s="17" t="str">
        <f>IFERROR(__xludf.DUMMYFUNCTION("if(len(A612)&gt;0, REGEXEXTRACT(A612, ""\)([^:]*):""), """")"),"")</f>
        <v/>
      </c>
      <c r="H612" s="31" t="str">
        <f>IFERROR(__xludf.DUMMYFUNCTION("if(len(A612) &gt; 0, JOIN(char(10), FILTER(SPLIT(A612, char(10)), split(""false false "" &amp; rept(""true "", columns(SPLIT(A612, char(10)))-3) &amp; ""false"", "" ""))), """")"),"")</f>
        <v/>
      </c>
    </row>
    <row r="613">
      <c r="A613" s="31"/>
      <c r="B613" s="17" t="str">
        <f>IFERROR(__xludf.DUMMYFUNCTION("if(len(A613)&gt;0, value(REGEXEXTRACT(A613, ""Chapter ([0-9]*):"")), """")"),"")</f>
        <v/>
      </c>
      <c r="C613" s="31" t="str">
        <f>IFERROR(__xludf.DUMMYFUNCTION("if(len(A613) &gt;0, REGEXEXTRACT(A613, ""Chapter [0-9]*: (.*)""), """")"),"")</f>
        <v/>
      </c>
      <c r="D613" s="31" t="str">
        <f>IFERROR(__xludf.DUMMYFUNCTION("if(len(A613)&gt;0, REGEXEXTRACT(A613, ""\n[^\(]*""), """")"),"")</f>
        <v/>
      </c>
      <c r="E613" s="17" t="str">
        <f>IFERROR(__xludf.DUMMYFUNCTION("if(len(A613)&gt;0, REGEXEXTRACT(A613, ""\n([^\n]*)$""), """")"),"")</f>
        <v/>
      </c>
      <c r="F613" s="17" t="str">
        <f>IFERROR(__xludf.DUMMYFUNCTION("if(len(A613)&gt;0, REGEXEXTRACT(A613, ""\(([^\)]*)\)""), """")"),"")</f>
        <v/>
      </c>
      <c r="G613" s="17" t="str">
        <f>IFERROR(__xludf.DUMMYFUNCTION("if(len(A613)&gt;0, REGEXEXTRACT(A613, ""\)([^:]*):""), """")"),"")</f>
        <v/>
      </c>
      <c r="H613" s="31" t="str">
        <f>IFERROR(__xludf.DUMMYFUNCTION("if(len(A613) &gt; 0, JOIN(char(10), FILTER(SPLIT(A613, char(10)), split(""false false "" &amp; rept(""true "", columns(SPLIT(A613, char(10)))-3) &amp; ""false"", "" ""))), """")"),"")</f>
        <v/>
      </c>
    </row>
    <row r="614">
      <c r="A614" s="31"/>
      <c r="B614" s="17" t="str">
        <f>IFERROR(__xludf.DUMMYFUNCTION("if(len(A614)&gt;0, value(REGEXEXTRACT(A614, ""Chapter ([0-9]*):"")), """")"),"")</f>
        <v/>
      </c>
      <c r="C614" s="31" t="str">
        <f>IFERROR(__xludf.DUMMYFUNCTION("if(len(A614) &gt;0, REGEXEXTRACT(A614, ""Chapter [0-9]*: (.*)""), """")"),"")</f>
        <v/>
      </c>
      <c r="D614" s="31" t="str">
        <f>IFERROR(__xludf.DUMMYFUNCTION("if(len(A614)&gt;0, REGEXEXTRACT(A614, ""\n[^\(]*""), """")"),"")</f>
        <v/>
      </c>
      <c r="E614" s="17" t="str">
        <f>IFERROR(__xludf.DUMMYFUNCTION("if(len(A614)&gt;0, REGEXEXTRACT(A614, ""\n([^\n]*)$""), """")"),"")</f>
        <v/>
      </c>
      <c r="F614" s="17" t="str">
        <f>IFERROR(__xludf.DUMMYFUNCTION("if(len(A614)&gt;0, REGEXEXTRACT(A614, ""\(([^\)]*)\)""), """")"),"")</f>
        <v/>
      </c>
      <c r="G614" s="17" t="str">
        <f>IFERROR(__xludf.DUMMYFUNCTION("if(len(A614)&gt;0, REGEXEXTRACT(A614, ""\)([^:]*):""), """")"),"")</f>
        <v/>
      </c>
      <c r="H614" s="31" t="str">
        <f>IFERROR(__xludf.DUMMYFUNCTION("if(len(A614) &gt; 0, JOIN(char(10), FILTER(SPLIT(A614, char(10)), split(""false false "" &amp; rept(""true "", columns(SPLIT(A614, char(10)))-3) &amp; ""false"", "" ""))), """")"),"")</f>
        <v/>
      </c>
    </row>
    <row r="615">
      <c r="A615" s="31"/>
      <c r="B615" s="17" t="str">
        <f>IFERROR(__xludf.DUMMYFUNCTION("if(len(A615)&gt;0, value(REGEXEXTRACT(A615, ""Chapter ([0-9]*):"")), """")"),"")</f>
        <v/>
      </c>
      <c r="C615" s="31" t="str">
        <f>IFERROR(__xludf.DUMMYFUNCTION("if(len(A615) &gt;0, REGEXEXTRACT(A615, ""Chapter [0-9]*: (.*)""), """")"),"")</f>
        <v/>
      </c>
      <c r="D615" s="31" t="str">
        <f>IFERROR(__xludf.DUMMYFUNCTION("if(len(A615)&gt;0, REGEXEXTRACT(A615, ""\n[^\(]*""), """")"),"")</f>
        <v/>
      </c>
      <c r="E615" s="17" t="str">
        <f>IFERROR(__xludf.DUMMYFUNCTION("if(len(A615)&gt;0, REGEXEXTRACT(A615, ""\n([^\n]*)$""), """")"),"")</f>
        <v/>
      </c>
      <c r="F615" s="17" t="str">
        <f>IFERROR(__xludf.DUMMYFUNCTION("if(len(A615)&gt;0, REGEXEXTRACT(A615, ""\(([^\)]*)\)""), """")"),"")</f>
        <v/>
      </c>
      <c r="G615" s="17" t="str">
        <f>IFERROR(__xludf.DUMMYFUNCTION("if(len(A615)&gt;0, REGEXEXTRACT(A615, ""\)([^:]*):""), """")"),"")</f>
        <v/>
      </c>
      <c r="H615" s="31" t="str">
        <f>IFERROR(__xludf.DUMMYFUNCTION("if(len(A615) &gt; 0, JOIN(char(10), FILTER(SPLIT(A615, char(10)), split(""false false "" &amp; rept(""true "", columns(SPLIT(A615, char(10)))-3) &amp; ""false"", "" ""))), """")"),"")</f>
        <v/>
      </c>
    </row>
    <row r="616">
      <c r="A616" s="31"/>
      <c r="B616" s="17" t="str">
        <f>IFERROR(__xludf.DUMMYFUNCTION("if(len(A616)&gt;0, value(REGEXEXTRACT(A616, ""Chapter ([0-9]*):"")), """")"),"")</f>
        <v/>
      </c>
      <c r="C616" s="31" t="str">
        <f>IFERROR(__xludf.DUMMYFUNCTION("if(len(A616) &gt;0, REGEXEXTRACT(A616, ""Chapter [0-9]*: (.*)""), """")"),"")</f>
        <v/>
      </c>
      <c r="D616" s="31" t="str">
        <f>IFERROR(__xludf.DUMMYFUNCTION("if(len(A616)&gt;0, REGEXEXTRACT(A616, ""\n[^\(]*""), """")"),"")</f>
        <v/>
      </c>
      <c r="E616" s="17" t="str">
        <f>IFERROR(__xludf.DUMMYFUNCTION("if(len(A616)&gt;0, REGEXEXTRACT(A616, ""\n([^\n]*)$""), """")"),"")</f>
        <v/>
      </c>
      <c r="F616" s="17" t="str">
        <f>IFERROR(__xludf.DUMMYFUNCTION("if(len(A616)&gt;0, REGEXEXTRACT(A616, ""\(([^\)]*)\)""), """")"),"")</f>
        <v/>
      </c>
      <c r="G616" s="17" t="str">
        <f>IFERROR(__xludf.DUMMYFUNCTION("if(len(A616)&gt;0, REGEXEXTRACT(A616, ""\)([^:]*):""), """")"),"")</f>
        <v/>
      </c>
      <c r="H616" s="31" t="str">
        <f>IFERROR(__xludf.DUMMYFUNCTION("if(len(A616) &gt; 0, JOIN(char(10), FILTER(SPLIT(A616, char(10)), split(""false false "" &amp; rept(""true "", columns(SPLIT(A616, char(10)))-3) &amp; ""false"", "" ""))), """")"),"")</f>
        <v/>
      </c>
    </row>
    <row r="617">
      <c r="A617" s="31"/>
      <c r="B617" s="17" t="str">
        <f>IFERROR(__xludf.DUMMYFUNCTION("if(len(A617)&gt;0, value(REGEXEXTRACT(A617, ""Chapter ([0-9]*):"")), """")"),"")</f>
        <v/>
      </c>
      <c r="C617" s="31" t="str">
        <f>IFERROR(__xludf.DUMMYFUNCTION("if(len(A617) &gt;0, REGEXEXTRACT(A617, ""Chapter [0-9]*: (.*)""), """")"),"")</f>
        <v/>
      </c>
      <c r="D617" s="31" t="str">
        <f>IFERROR(__xludf.DUMMYFUNCTION("if(len(A617)&gt;0, REGEXEXTRACT(A617, ""\n[^\(]*""), """")"),"")</f>
        <v/>
      </c>
      <c r="E617" s="17" t="str">
        <f>IFERROR(__xludf.DUMMYFUNCTION("if(len(A617)&gt;0, REGEXEXTRACT(A617, ""\n([^\n]*)$""), """")"),"")</f>
        <v/>
      </c>
      <c r="F617" s="17" t="str">
        <f>IFERROR(__xludf.DUMMYFUNCTION("if(len(A617)&gt;0, REGEXEXTRACT(A617, ""\(([^\)]*)\)""), """")"),"")</f>
        <v/>
      </c>
      <c r="G617" s="17" t="str">
        <f>IFERROR(__xludf.DUMMYFUNCTION("if(len(A617)&gt;0, REGEXEXTRACT(A617, ""\)([^:]*):""), """")"),"")</f>
        <v/>
      </c>
      <c r="H617" s="31" t="str">
        <f>IFERROR(__xludf.DUMMYFUNCTION("if(len(A617) &gt; 0, JOIN(char(10), FILTER(SPLIT(A617, char(10)), split(""false false "" &amp; rept(""true "", columns(SPLIT(A617, char(10)))-3) &amp; ""false"", "" ""))), """")"),"")</f>
        <v/>
      </c>
    </row>
    <row r="618">
      <c r="A618" s="31"/>
      <c r="B618" s="17" t="str">
        <f>IFERROR(__xludf.DUMMYFUNCTION("if(len(A618)&gt;0, value(REGEXEXTRACT(A618, ""Chapter ([0-9]*):"")), """")"),"")</f>
        <v/>
      </c>
      <c r="C618" s="31" t="str">
        <f>IFERROR(__xludf.DUMMYFUNCTION("if(len(A618) &gt;0, REGEXEXTRACT(A618, ""Chapter [0-9]*: (.*)""), """")"),"")</f>
        <v/>
      </c>
      <c r="D618" s="31" t="str">
        <f>IFERROR(__xludf.DUMMYFUNCTION("if(len(A618)&gt;0, REGEXEXTRACT(A618, ""\n[^\(]*""), """")"),"")</f>
        <v/>
      </c>
      <c r="E618" s="17" t="str">
        <f>IFERROR(__xludf.DUMMYFUNCTION("if(len(A618)&gt;0, REGEXEXTRACT(A618, ""\n([^\n]*)$""), """")"),"")</f>
        <v/>
      </c>
      <c r="F618" s="17" t="str">
        <f>IFERROR(__xludf.DUMMYFUNCTION("if(len(A618)&gt;0, REGEXEXTRACT(A618, ""\(([^\)]*)\)""), """")"),"")</f>
        <v/>
      </c>
      <c r="G618" s="17" t="str">
        <f>IFERROR(__xludf.DUMMYFUNCTION("if(len(A618)&gt;0, REGEXEXTRACT(A618, ""\)([^:]*):""), """")"),"")</f>
        <v/>
      </c>
      <c r="H618" s="31" t="str">
        <f>IFERROR(__xludf.DUMMYFUNCTION("if(len(A618) &gt; 0, JOIN(char(10), FILTER(SPLIT(A618, char(10)), split(""false false "" &amp; rept(""true "", columns(SPLIT(A618, char(10)))-3) &amp; ""false"", "" ""))), """")"),"")</f>
        <v/>
      </c>
    </row>
    <row r="619">
      <c r="A619" s="31"/>
      <c r="B619" s="17" t="str">
        <f>IFERROR(__xludf.DUMMYFUNCTION("if(len(A619)&gt;0, value(REGEXEXTRACT(A619, ""Chapter ([0-9]*):"")), """")"),"")</f>
        <v/>
      </c>
      <c r="C619" s="31" t="str">
        <f>IFERROR(__xludf.DUMMYFUNCTION("if(len(A619) &gt;0, REGEXEXTRACT(A619, ""Chapter [0-9]*: (.*)""), """")"),"")</f>
        <v/>
      </c>
      <c r="D619" s="31" t="str">
        <f>IFERROR(__xludf.DUMMYFUNCTION("if(len(A619)&gt;0, REGEXEXTRACT(A619, ""\n[^\(]*""), """")"),"")</f>
        <v/>
      </c>
      <c r="E619" s="17" t="str">
        <f>IFERROR(__xludf.DUMMYFUNCTION("if(len(A619)&gt;0, REGEXEXTRACT(A619, ""\n([^\n]*)$""), """")"),"")</f>
        <v/>
      </c>
      <c r="F619" s="17" t="str">
        <f>IFERROR(__xludf.DUMMYFUNCTION("if(len(A619)&gt;0, REGEXEXTRACT(A619, ""\(([^\)]*)\)""), """")"),"")</f>
        <v/>
      </c>
      <c r="G619" s="17" t="str">
        <f>IFERROR(__xludf.DUMMYFUNCTION("if(len(A619)&gt;0, REGEXEXTRACT(A619, ""\)([^:]*):""), """")"),"")</f>
        <v/>
      </c>
      <c r="H619" s="31" t="str">
        <f>IFERROR(__xludf.DUMMYFUNCTION("if(len(A619) &gt; 0, JOIN(char(10), FILTER(SPLIT(A619, char(10)), split(""false false "" &amp; rept(""true "", columns(SPLIT(A619, char(10)))-3) &amp; ""false"", "" ""))), """")"),"")</f>
        <v/>
      </c>
    </row>
    <row r="620">
      <c r="A620" s="31"/>
      <c r="B620" s="17" t="str">
        <f>IFERROR(__xludf.DUMMYFUNCTION("if(len(A620)&gt;0, value(REGEXEXTRACT(A620, ""Chapter ([0-9]*):"")), """")"),"")</f>
        <v/>
      </c>
      <c r="C620" s="31" t="str">
        <f>IFERROR(__xludf.DUMMYFUNCTION("if(len(A620) &gt;0, REGEXEXTRACT(A620, ""Chapter [0-9]*: (.*)""), """")"),"")</f>
        <v/>
      </c>
      <c r="D620" s="31" t="str">
        <f>IFERROR(__xludf.DUMMYFUNCTION("if(len(A620)&gt;0, REGEXEXTRACT(A620, ""\n[^\(]*""), """")"),"")</f>
        <v/>
      </c>
      <c r="E620" s="17" t="str">
        <f>IFERROR(__xludf.DUMMYFUNCTION("if(len(A620)&gt;0, REGEXEXTRACT(A620, ""\n([^\n]*)$""), """")"),"")</f>
        <v/>
      </c>
      <c r="F620" s="17" t="str">
        <f>IFERROR(__xludf.DUMMYFUNCTION("if(len(A620)&gt;0, REGEXEXTRACT(A620, ""\(([^\)]*)\)""), """")"),"")</f>
        <v/>
      </c>
      <c r="G620" s="17" t="str">
        <f>IFERROR(__xludf.DUMMYFUNCTION("if(len(A620)&gt;0, REGEXEXTRACT(A620, ""\)([^:]*):""), """")"),"")</f>
        <v/>
      </c>
      <c r="H620" s="31" t="str">
        <f>IFERROR(__xludf.DUMMYFUNCTION("if(len(A620) &gt; 0, JOIN(char(10), FILTER(SPLIT(A620, char(10)), split(""false false "" &amp; rept(""true "", columns(SPLIT(A620, char(10)))-3) &amp; ""false"", "" ""))), """")"),"")</f>
        <v/>
      </c>
    </row>
    <row r="621">
      <c r="A621" s="31"/>
      <c r="B621" s="17" t="str">
        <f>IFERROR(__xludf.DUMMYFUNCTION("if(len(A621)&gt;0, value(REGEXEXTRACT(A621, ""Chapter ([0-9]*):"")), """")"),"")</f>
        <v/>
      </c>
      <c r="C621" s="31" t="str">
        <f>IFERROR(__xludf.DUMMYFUNCTION("if(len(A621) &gt;0, REGEXEXTRACT(A621, ""Chapter [0-9]*: (.*)""), """")"),"")</f>
        <v/>
      </c>
      <c r="D621" s="31" t="str">
        <f>IFERROR(__xludf.DUMMYFUNCTION("if(len(A621)&gt;0, REGEXEXTRACT(A621, ""\n[^\(]*""), """")"),"")</f>
        <v/>
      </c>
      <c r="E621" s="17" t="str">
        <f>IFERROR(__xludf.DUMMYFUNCTION("if(len(A621)&gt;0, REGEXEXTRACT(A621, ""\n([^\n]*)$""), """")"),"")</f>
        <v/>
      </c>
      <c r="F621" s="17" t="str">
        <f>IFERROR(__xludf.DUMMYFUNCTION("if(len(A621)&gt;0, REGEXEXTRACT(A621, ""\(([^\)]*)\)""), """")"),"")</f>
        <v/>
      </c>
      <c r="G621" s="17" t="str">
        <f>IFERROR(__xludf.DUMMYFUNCTION("if(len(A621)&gt;0, REGEXEXTRACT(A621, ""\)([^:]*):""), """")"),"")</f>
        <v/>
      </c>
      <c r="H621" s="31" t="str">
        <f>IFERROR(__xludf.DUMMYFUNCTION("if(len(A621) &gt; 0, JOIN(char(10), FILTER(SPLIT(A621, char(10)), split(""false false "" &amp; rept(""true "", columns(SPLIT(A621, char(10)))-3) &amp; ""false"", "" ""))), """")"),"")</f>
        <v/>
      </c>
    </row>
    <row r="622">
      <c r="A622" s="31"/>
      <c r="B622" s="17" t="str">
        <f>IFERROR(__xludf.DUMMYFUNCTION("if(len(A622)&gt;0, value(REGEXEXTRACT(A622, ""Chapter ([0-9]*):"")), """")"),"")</f>
        <v/>
      </c>
      <c r="C622" s="31" t="str">
        <f>IFERROR(__xludf.DUMMYFUNCTION("if(len(A622) &gt;0, REGEXEXTRACT(A622, ""Chapter [0-9]*: (.*)""), """")"),"")</f>
        <v/>
      </c>
      <c r="D622" s="31" t="str">
        <f>IFERROR(__xludf.DUMMYFUNCTION("if(len(A622)&gt;0, REGEXEXTRACT(A622, ""\n[^\(]*""), """")"),"")</f>
        <v/>
      </c>
      <c r="E622" s="17" t="str">
        <f>IFERROR(__xludf.DUMMYFUNCTION("if(len(A622)&gt;0, REGEXEXTRACT(A622, ""\n([^\n]*)$""), """")"),"")</f>
        <v/>
      </c>
      <c r="F622" s="17" t="str">
        <f>IFERROR(__xludf.DUMMYFUNCTION("if(len(A622)&gt;0, REGEXEXTRACT(A622, ""\(([^\)]*)\)""), """")"),"")</f>
        <v/>
      </c>
      <c r="G622" s="17" t="str">
        <f>IFERROR(__xludf.DUMMYFUNCTION("if(len(A622)&gt;0, REGEXEXTRACT(A622, ""\)([^:]*):""), """")"),"")</f>
        <v/>
      </c>
      <c r="H622" s="31" t="str">
        <f>IFERROR(__xludf.DUMMYFUNCTION("if(len(A622) &gt; 0, JOIN(char(10), FILTER(SPLIT(A622, char(10)), split(""false false "" &amp; rept(""true "", columns(SPLIT(A622, char(10)))-3) &amp; ""false"", "" ""))), """")"),"")</f>
        <v/>
      </c>
    </row>
    <row r="623">
      <c r="A623" s="31"/>
      <c r="B623" s="17" t="str">
        <f>IFERROR(__xludf.DUMMYFUNCTION("if(len(A623)&gt;0, value(REGEXEXTRACT(A623, ""Chapter ([0-9]*):"")), """")"),"")</f>
        <v/>
      </c>
      <c r="C623" s="31" t="str">
        <f>IFERROR(__xludf.DUMMYFUNCTION("if(len(A623) &gt;0, REGEXEXTRACT(A623, ""Chapter [0-9]*: (.*)""), """")"),"")</f>
        <v/>
      </c>
      <c r="D623" s="31" t="str">
        <f>IFERROR(__xludf.DUMMYFUNCTION("if(len(A623)&gt;0, REGEXEXTRACT(A623, ""\n[^\(]*""), """")"),"")</f>
        <v/>
      </c>
      <c r="E623" s="17" t="str">
        <f>IFERROR(__xludf.DUMMYFUNCTION("if(len(A623)&gt;0, REGEXEXTRACT(A623, ""\n([^\n]*)$""), """")"),"")</f>
        <v/>
      </c>
      <c r="F623" s="17" t="str">
        <f>IFERROR(__xludf.DUMMYFUNCTION("if(len(A623)&gt;0, REGEXEXTRACT(A623, ""\(([^\)]*)\)""), """")"),"")</f>
        <v/>
      </c>
      <c r="G623" s="17" t="str">
        <f>IFERROR(__xludf.DUMMYFUNCTION("if(len(A623)&gt;0, REGEXEXTRACT(A623, ""\)([^:]*):""), """")"),"")</f>
        <v/>
      </c>
      <c r="H623" s="31" t="str">
        <f>IFERROR(__xludf.DUMMYFUNCTION("if(len(A623) &gt; 0, JOIN(char(10), FILTER(SPLIT(A623, char(10)), split(""false false "" &amp; rept(""true "", columns(SPLIT(A623, char(10)))-3) &amp; ""false"", "" ""))), """")"),"")</f>
        <v/>
      </c>
    </row>
    <row r="624">
      <c r="A624" s="31"/>
      <c r="B624" s="17" t="str">
        <f>IFERROR(__xludf.DUMMYFUNCTION("if(len(A624)&gt;0, value(REGEXEXTRACT(A624, ""Chapter ([0-9]*):"")), """")"),"")</f>
        <v/>
      </c>
      <c r="C624" s="31" t="str">
        <f>IFERROR(__xludf.DUMMYFUNCTION("if(len(A624) &gt;0, REGEXEXTRACT(A624, ""Chapter [0-9]*: (.*)""), """")"),"")</f>
        <v/>
      </c>
      <c r="D624" s="31" t="str">
        <f>IFERROR(__xludf.DUMMYFUNCTION("if(len(A624)&gt;0, REGEXEXTRACT(A624, ""\n[^\(]*""), """")"),"")</f>
        <v/>
      </c>
      <c r="E624" s="17" t="str">
        <f>IFERROR(__xludf.DUMMYFUNCTION("if(len(A624)&gt;0, REGEXEXTRACT(A624, ""\n([^\n]*)$""), """")"),"")</f>
        <v/>
      </c>
      <c r="F624" s="17" t="str">
        <f>IFERROR(__xludf.DUMMYFUNCTION("if(len(A624)&gt;0, REGEXEXTRACT(A624, ""\(([^\)]*)\)""), """")"),"")</f>
        <v/>
      </c>
      <c r="G624" s="17" t="str">
        <f>IFERROR(__xludf.DUMMYFUNCTION("if(len(A624)&gt;0, REGEXEXTRACT(A624, ""\)([^:]*):""), """")"),"")</f>
        <v/>
      </c>
      <c r="H624" s="31" t="str">
        <f>IFERROR(__xludf.DUMMYFUNCTION("if(len(A624) &gt; 0, JOIN(char(10), FILTER(SPLIT(A624, char(10)), split(""false false "" &amp; rept(""true "", columns(SPLIT(A624, char(10)))-3) &amp; ""false"", "" ""))), """")"),"")</f>
        <v/>
      </c>
    </row>
    <row r="625">
      <c r="A625" s="31"/>
      <c r="B625" s="17" t="str">
        <f>IFERROR(__xludf.DUMMYFUNCTION("if(len(A625)&gt;0, value(REGEXEXTRACT(A625, ""Chapter ([0-9]*):"")), """")"),"")</f>
        <v/>
      </c>
      <c r="C625" s="31" t="str">
        <f>IFERROR(__xludf.DUMMYFUNCTION("if(len(A625) &gt;0, REGEXEXTRACT(A625, ""Chapter [0-9]*: (.*)""), """")"),"")</f>
        <v/>
      </c>
      <c r="D625" s="31" t="str">
        <f>IFERROR(__xludf.DUMMYFUNCTION("if(len(A625)&gt;0, REGEXEXTRACT(A625, ""\n[^\(]*""), """")"),"")</f>
        <v/>
      </c>
      <c r="E625" s="17" t="str">
        <f>IFERROR(__xludf.DUMMYFUNCTION("if(len(A625)&gt;0, REGEXEXTRACT(A625, ""\n([^\n]*)$""), """")"),"")</f>
        <v/>
      </c>
      <c r="F625" s="17" t="str">
        <f>IFERROR(__xludf.DUMMYFUNCTION("if(len(A625)&gt;0, REGEXEXTRACT(A625, ""\(([^\)]*)\)""), """")"),"")</f>
        <v/>
      </c>
      <c r="G625" s="17" t="str">
        <f>IFERROR(__xludf.DUMMYFUNCTION("if(len(A625)&gt;0, REGEXEXTRACT(A625, ""\)([^:]*):""), """")"),"")</f>
        <v/>
      </c>
      <c r="H625" s="31" t="str">
        <f>IFERROR(__xludf.DUMMYFUNCTION("if(len(A625) &gt; 0, JOIN(char(10), FILTER(SPLIT(A625, char(10)), split(""false false "" &amp; rept(""true "", columns(SPLIT(A625, char(10)))-3) &amp; ""false"", "" ""))), """")"),"")</f>
        <v/>
      </c>
    </row>
    <row r="626">
      <c r="A626" s="31"/>
      <c r="B626" s="17" t="str">
        <f>IFERROR(__xludf.DUMMYFUNCTION("if(len(A626)&gt;0, value(REGEXEXTRACT(A626, ""Chapter ([0-9]*):"")), """")"),"")</f>
        <v/>
      </c>
      <c r="C626" s="31" t="str">
        <f>IFERROR(__xludf.DUMMYFUNCTION("if(len(A626) &gt;0, REGEXEXTRACT(A626, ""Chapter [0-9]*: (.*)""), """")"),"")</f>
        <v/>
      </c>
      <c r="D626" s="31" t="str">
        <f>IFERROR(__xludf.DUMMYFUNCTION("if(len(A626)&gt;0, REGEXEXTRACT(A626, ""\n[^\(]*""), """")"),"")</f>
        <v/>
      </c>
      <c r="E626" s="17" t="str">
        <f>IFERROR(__xludf.DUMMYFUNCTION("if(len(A626)&gt;0, REGEXEXTRACT(A626, ""\n([^\n]*)$""), """")"),"")</f>
        <v/>
      </c>
      <c r="F626" s="17" t="str">
        <f>IFERROR(__xludf.DUMMYFUNCTION("if(len(A626)&gt;0, REGEXEXTRACT(A626, ""\(([^\)]*)\)""), """")"),"")</f>
        <v/>
      </c>
      <c r="G626" s="17" t="str">
        <f>IFERROR(__xludf.DUMMYFUNCTION("if(len(A626)&gt;0, REGEXEXTRACT(A626, ""\)([^:]*):""), """")"),"")</f>
        <v/>
      </c>
      <c r="H626" s="31" t="str">
        <f>IFERROR(__xludf.DUMMYFUNCTION("if(len(A626) &gt; 0, JOIN(char(10), FILTER(SPLIT(A626, char(10)), split(""false false "" &amp; rept(""true "", columns(SPLIT(A626, char(10)))-3) &amp; ""false"", "" ""))), """")"),"")</f>
        <v/>
      </c>
    </row>
    <row r="627">
      <c r="A627" s="31"/>
      <c r="B627" s="17" t="str">
        <f>IFERROR(__xludf.DUMMYFUNCTION("if(len(A627)&gt;0, value(REGEXEXTRACT(A627, ""Chapter ([0-9]*):"")), """")"),"")</f>
        <v/>
      </c>
      <c r="C627" s="31" t="str">
        <f>IFERROR(__xludf.DUMMYFUNCTION("if(len(A627) &gt;0, REGEXEXTRACT(A627, ""Chapter [0-9]*: (.*)""), """")"),"")</f>
        <v/>
      </c>
      <c r="D627" s="31" t="str">
        <f>IFERROR(__xludf.DUMMYFUNCTION("if(len(A627)&gt;0, REGEXEXTRACT(A627, ""\n[^\(]*""), """")"),"")</f>
        <v/>
      </c>
      <c r="E627" s="17" t="str">
        <f>IFERROR(__xludf.DUMMYFUNCTION("if(len(A627)&gt;0, REGEXEXTRACT(A627, ""\n([^\n]*)$""), """")"),"")</f>
        <v/>
      </c>
      <c r="F627" s="17" t="str">
        <f>IFERROR(__xludf.DUMMYFUNCTION("if(len(A627)&gt;0, REGEXEXTRACT(A627, ""\(([^\)]*)\)""), """")"),"")</f>
        <v/>
      </c>
      <c r="G627" s="17" t="str">
        <f>IFERROR(__xludf.DUMMYFUNCTION("if(len(A627)&gt;0, REGEXEXTRACT(A627, ""\)([^:]*):""), """")"),"")</f>
        <v/>
      </c>
      <c r="H627" s="31" t="str">
        <f>IFERROR(__xludf.DUMMYFUNCTION("if(len(A627) &gt; 0, JOIN(char(10), FILTER(SPLIT(A627, char(10)), split(""false false "" &amp; rept(""true "", columns(SPLIT(A627, char(10)))-3) &amp; ""false"", "" ""))), """")"),"")</f>
        <v/>
      </c>
    </row>
    <row r="628">
      <c r="A628" s="31"/>
      <c r="B628" s="17" t="str">
        <f>IFERROR(__xludf.DUMMYFUNCTION("if(len(A628)&gt;0, value(REGEXEXTRACT(A628, ""Chapter ([0-9]*):"")), """")"),"")</f>
        <v/>
      </c>
      <c r="C628" s="31" t="str">
        <f>IFERROR(__xludf.DUMMYFUNCTION("if(len(A628) &gt;0, REGEXEXTRACT(A628, ""Chapter [0-9]*: (.*)""), """")"),"")</f>
        <v/>
      </c>
      <c r="D628" s="31" t="str">
        <f>IFERROR(__xludf.DUMMYFUNCTION("if(len(A628)&gt;0, REGEXEXTRACT(A628, ""\n[^\(]*""), """")"),"")</f>
        <v/>
      </c>
      <c r="E628" s="17" t="str">
        <f>IFERROR(__xludf.DUMMYFUNCTION("if(len(A628)&gt;0, REGEXEXTRACT(A628, ""\n([^\n]*)$""), """")"),"")</f>
        <v/>
      </c>
      <c r="F628" s="17" t="str">
        <f>IFERROR(__xludf.DUMMYFUNCTION("if(len(A628)&gt;0, REGEXEXTRACT(A628, ""\(([^\)]*)\)""), """")"),"")</f>
        <v/>
      </c>
      <c r="G628" s="17" t="str">
        <f>IFERROR(__xludf.DUMMYFUNCTION("if(len(A628)&gt;0, REGEXEXTRACT(A628, ""\)([^:]*):""), """")"),"")</f>
        <v/>
      </c>
      <c r="H628" s="31" t="str">
        <f>IFERROR(__xludf.DUMMYFUNCTION("if(len(A628) &gt; 0, JOIN(char(10), FILTER(SPLIT(A628, char(10)), split(""false false "" &amp; rept(""true "", columns(SPLIT(A628, char(10)))-3) &amp; ""false"", "" ""))), """")"),"")</f>
        <v/>
      </c>
    </row>
    <row r="629">
      <c r="A629" s="31"/>
      <c r="B629" s="17" t="str">
        <f>IFERROR(__xludf.DUMMYFUNCTION("if(len(A629)&gt;0, value(REGEXEXTRACT(A629, ""Chapter ([0-9]*):"")), """")"),"")</f>
        <v/>
      </c>
      <c r="C629" s="31" t="str">
        <f>IFERROR(__xludf.DUMMYFUNCTION("if(len(A629) &gt;0, REGEXEXTRACT(A629, ""Chapter [0-9]*: (.*)""), """")"),"")</f>
        <v/>
      </c>
      <c r="D629" s="31" t="str">
        <f>IFERROR(__xludf.DUMMYFUNCTION("if(len(A629)&gt;0, REGEXEXTRACT(A629, ""\n[^\(]*""), """")"),"")</f>
        <v/>
      </c>
      <c r="E629" s="17" t="str">
        <f>IFERROR(__xludf.DUMMYFUNCTION("if(len(A629)&gt;0, REGEXEXTRACT(A629, ""\n([^\n]*)$""), """")"),"")</f>
        <v/>
      </c>
      <c r="F629" s="17" t="str">
        <f>IFERROR(__xludf.DUMMYFUNCTION("if(len(A629)&gt;0, REGEXEXTRACT(A629, ""\(([^\)]*)\)""), """")"),"")</f>
        <v/>
      </c>
      <c r="G629" s="17" t="str">
        <f>IFERROR(__xludf.DUMMYFUNCTION("if(len(A629)&gt;0, REGEXEXTRACT(A629, ""\)([^:]*):""), """")"),"")</f>
        <v/>
      </c>
      <c r="H629" s="31" t="str">
        <f>IFERROR(__xludf.DUMMYFUNCTION("if(len(A629) &gt; 0, JOIN(char(10), FILTER(SPLIT(A629, char(10)), split(""false false "" &amp; rept(""true "", columns(SPLIT(A629, char(10)))-3) &amp; ""false"", "" ""))), """")"),"")</f>
        <v/>
      </c>
    </row>
    <row r="630">
      <c r="A630" s="31"/>
      <c r="B630" s="17" t="str">
        <f>IFERROR(__xludf.DUMMYFUNCTION("if(len(A630)&gt;0, value(REGEXEXTRACT(A630, ""Chapter ([0-9]*):"")), """")"),"")</f>
        <v/>
      </c>
      <c r="C630" s="31" t="str">
        <f>IFERROR(__xludf.DUMMYFUNCTION("if(len(A630) &gt;0, REGEXEXTRACT(A630, ""Chapter [0-9]*: (.*)""), """")"),"")</f>
        <v/>
      </c>
      <c r="D630" s="31" t="str">
        <f>IFERROR(__xludf.DUMMYFUNCTION("if(len(A630)&gt;0, REGEXEXTRACT(A630, ""\n[^\(]*""), """")"),"")</f>
        <v/>
      </c>
      <c r="E630" s="17" t="str">
        <f>IFERROR(__xludf.DUMMYFUNCTION("if(len(A630)&gt;0, REGEXEXTRACT(A630, ""\n([^\n]*)$""), """")"),"")</f>
        <v/>
      </c>
      <c r="F630" s="17" t="str">
        <f>IFERROR(__xludf.DUMMYFUNCTION("if(len(A630)&gt;0, REGEXEXTRACT(A630, ""\(([^\)]*)\)""), """")"),"")</f>
        <v/>
      </c>
      <c r="G630" s="17" t="str">
        <f>IFERROR(__xludf.DUMMYFUNCTION("if(len(A630)&gt;0, REGEXEXTRACT(A630, ""\)([^:]*):""), """")"),"")</f>
        <v/>
      </c>
      <c r="H630" s="31" t="str">
        <f>IFERROR(__xludf.DUMMYFUNCTION("if(len(A630) &gt; 0, JOIN(char(10), FILTER(SPLIT(A630, char(10)), split(""false false "" &amp; rept(""true "", columns(SPLIT(A630, char(10)))-3) &amp; ""false"", "" ""))), """")"),"")</f>
        <v/>
      </c>
    </row>
    <row r="631">
      <c r="A631" s="31"/>
      <c r="B631" s="17" t="str">
        <f>IFERROR(__xludf.DUMMYFUNCTION("if(len(A631)&gt;0, value(REGEXEXTRACT(A631, ""Chapter ([0-9]*):"")), """")"),"")</f>
        <v/>
      </c>
      <c r="C631" s="31" t="str">
        <f>IFERROR(__xludf.DUMMYFUNCTION("if(len(A631) &gt;0, REGEXEXTRACT(A631, ""Chapter [0-9]*: (.*)""), """")"),"")</f>
        <v/>
      </c>
      <c r="D631" s="31" t="str">
        <f>IFERROR(__xludf.DUMMYFUNCTION("if(len(A631)&gt;0, REGEXEXTRACT(A631, ""\n[^\(]*""), """")"),"")</f>
        <v/>
      </c>
      <c r="E631" s="17" t="str">
        <f>IFERROR(__xludf.DUMMYFUNCTION("if(len(A631)&gt;0, REGEXEXTRACT(A631, ""\n([^\n]*)$""), """")"),"")</f>
        <v/>
      </c>
      <c r="F631" s="17" t="str">
        <f>IFERROR(__xludf.DUMMYFUNCTION("if(len(A631)&gt;0, REGEXEXTRACT(A631, ""\(([^\)]*)\)""), """")"),"")</f>
        <v/>
      </c>
      <c r="G631" s="17" t="str">
        <f>IFERROR(__xludf.DUMMYFUNCTION("if(len(A631)&gt;0, REGEXEXTRACT(A631, ""\)([^:]*):""), """")"),"")</f>
        <v/>
      </c>
      <c r="H631" s="31" t="str">
        <f>IFERROR(__xludf.DUMMYFUNCTION("if(len(A631) &gt; 0, JOIN(char(10), FILTER(SPLIT(A631, char(10)), split(""false false "" &amp; rept(""true "", columns(SPLIT(A631, char(10)))-3) &amp; ""false"", "" ""))), """")"),"")</f>
        <v/>
      </c>
    </row>
    <row r="632">
      <c r="A632" s="31"/>
      <c r="B632" s="17" t="str">
        <f>IFERROR(__xludf.DUMMYFUNCTION("if(len(A632)&gt;0, value(REGEXEXTRACT(A632, ""Chapter ([0-9]*):"")), """")"),"")</f>
        <v/>
      </c>
      <c r="C632" s="31" t="str">
        <f>IFERROR(__xludf.DUMMYFUNCTION("if(len(A632) &gt;0, REGEXEXTRACT(A632, ""Chapter [0-9]*: (.*)""), """")"),"")</f>
        <v/>
      </c>
      <c r="D632" s="31" t="str">
        <f>IFERROR(__xludf.DUMMYFUNCTION("if(len(A632)&gt;0, REGEXEXTRACT(A632, ""\n[^\(]*""), """")"),"")</f>
        <v/>
      </c>
      <c r="E632" s="17" t="str">
        <f>IFERROR(__xludf.DUMMYFUNCTION("if(len(A632)&gt;0, REGEXEXTRACT(A632, ""\n([^\n]*)$""), """")"),"")</f>
        <v/>
      </c>
      <c r="F632" s="17" t="str">
        <f>IFERROR(__xludf.DUMMYFUNCTION("if(len(A632)&gt;0, REGEXEXTRACT(A632, ""\(([^\)]*)\)""), """")"),"")</f>
        <v/>
      </c>
      <c r="G632" s="17" t="str">
        <f>IFERROR(__xludf.DUMMYFUNCTION("if(len(A632)&gt;0, REGEXEXTRACT(A632, ""\)([^:]*):""), """")"),"")</f>
        <v/>
      </c>
      <c r="H632" s="31" t="str">
        <f>IFERROR(__xludf.DUMMYFUNCTION("if(len(A632) &gt; 0, JOIN(char(10), FILTER(SPLIT(A632, char(10)), split(""false false "" &amp; rept(""true "", columns(SPLIT(A632, char(10)))-3) &amp; ""false"", "" ""))), """")"),"")</f>
        <v/>
      </c>
    </row>
    <row r="633">
      <c r="A633" s="31"/>
      <c r="B633" s="17" t="str">
        <f>IFERROR(__xludf.DUMMYFUNCTION("if(len(A633)&gt;0, value(REGEXEXTRACT(A633, ""Chapter ([0-9]*):"")), """")"),"")</f>
        <v/>
      </c>
      <c r="C633" s="31" t="str">
        <f>IFERROR(__xludf.DUMMYFUNCTION("if(len(A633) &gt;0, REGEXEXTRACT(A633, ""Chapter [0-9]*: (.*)""), """")"),"")</f>
        <v/>
      </c>
      <c r="D633" s="31" t="str">
        <f>IFERROR(__xludf.DUMMYFUNCTION("if(len(A633)&gt;0, REGEXEXTRACT(A633, ""\n[^\(]*""), """")"),"")</f>
        <v/>
      </c>
      <c r="E633" s="17" t="str">
        <f>IFERROR(__xludf.DUMMYFUNCTION("if(len(A633)&gt;0, REGEXEXTRACT(A633, ""\n([^\n]*)$""), """")"),"")</f>
        <v/>
      </c>
      <c r="F633" s="17" t="str">
        <f>IFERROR(__xludf.DUMMYFUNCTION("if(len(A633)&gt;0, REGEXEXTRACT(A633, ""\(([^\)]*)\)""), """")"),"")</f>
        <v/>
      </c>
      <c r="G633" s="17" t="str">
        <f>IFERROR(__xludf.DUMMYFUNCTION("if(len(A633)&gt;0, REGEXEXTRACT(A633, ""\)([^:]*):""), """")"),"")</f>
        <v/>
      </c>
      <c r="H633" s="31" t="str">
        <f>IFERROR(__xludf.DUMMYFUNCTION("if(len(A633) &gt; 0, JOIN(char(10), FILTER(SPLIT(A633, char(10)), split(""false false "" &amp; rept(""true "", columns(SPLIT(A633, char(10)))-3) &amp; ""false"", "" ""))), """")"),"")</f>
        <v/>
      </c>
    </row>
    <row r="634">
      <c r="A634" s="31"/>
      <c r="B634" s="17" t="str">
        <f>IFERROR(__xludf.DUMMYFUNCTION("if(len(A634)&gt;0, value(REGEXEXTRACT(A634, ""Chapter ([0-9]*):"")), """")"),"")</f>
        <v/>
      </c>
      <c r="C634" s="31" t="str">
        <f>IFERROR(__xludf.DUMMYFUNCTION("if(len(A634) &gt;0, REGEXEXTRACT(A634, ""Chapter [0-9]*: (.*)""), """")"),"")</f>
        <v/>
      </c>
      <c r="D634" s="31" t="str">
        <f>IFERROR(__xludf.DUMMYFUNCTION("if(len(A634)&gt;0, REGEXEXTRACT(A634, ""\n[^\(]*""), """")"),"")</f>
        <v/>
      </c>
      <c r="E634" s="17" t="str">
        <f>IFERROR(__xludf.DUMMYFUNCTION("if(len(A634)&gt;0, REGEXEXTRACT(A634, ""\n([^\n]*)$""), """")"),"")</f>
        <v/>
      </c>
      <c r="F634" s="17" t="str">
        <f>IFERROR(__xludf.DUMMYFUNCTION("if(len(A634)&gt;0, REGEXEXTRACT(A634, ""\(([^\)]*)\)""), """")"),"")</f>
        <v/>
      </c>
      <c r="G634" s="17" t="str">
        <f>IFERROR(__xludf.DUMMYFUNCTION("if(len(A634)&gt;0, REGEXEXTRACT(A634, ""\)([^:]*):""), """")"),"")</f>
        <v/>
      </c>
      <c r="H634" s="31" t="str">
        <f>IFERROR(__xludf.DUMMYFUNCTION("if(len(A634) &gt; 0, JOIN(char(10), FILTER(SPLIT(A634, char(10)), split(""false false "" &amp; rept(""true "", columns(SPLIT(A634, char(10)))-3) &amp; ""false"", "" ""))), """")"),"")</f>
        <v/>
      </c>
    </row>
    <row r="635">
      <c r="A635" s="31"/>
      <c r="B635" s="17" t="str">
        <f>IFERROR(__xludf.DUMMYFUNCTION("if(len(A635)&gt;0, value(REGEXEXTRACT(A635, ""Chapter ([0-9]*):"")), """")"),"")</f>
        <v/>
      </c>
      <c r="C635" s="31" t="str">
        <f>IFERROR(__xludf.DUMMYFUNCTION("if(len(A635) &gt;0, REGEXEXTRACT(A635, ""Chapter [0-9]*: (.*)""), """")"),"")</f>
        <v/>
      </c>
      <c r="D635" s="31" t="str">
        <f>IFERROR(__xludf.DUMMYFUNCTION("if(len(A635)&gt;0, REGEXEXTRACT(A635, ""\n[^\(]*""), """")"),"")</f>
        <v/>
      </c>
      <c r="E635" s="17" t="str">
        <f>IFERROR(__xludf.DUMMYFUNCTION("if(len(A635)&gt;0, REGEXEXTRACT(A635, ""\n([^\n]*)$""), """")"),"")</f>
        <v/>
      </c>
      <c r="F635" s="17" t="str">
        <f>IFERROR(__xludf.DUMMYFUNCTION("if(len(A635)&gt;0, REGEXEXTRACT(A635, ""\(([^\)]*)\)""), """")"),"")</f>
        <v/>
      </c>
      <c r="G635" s="17" t="str">
        <f>IFERROR(__xludf.DUMMYFUNCTION("if(len(A635)&gt;0, REGEXEXTRACT(A635, ""\)([^:]*):""), """")"),"")</f>
        <v/>
      </c>
      <c r="H635" s="31" t="str">
        <f>IFERROR(__xludf.DUMMYFUNCTION("if(len(A635) &gt; 0, JOIN(char(10), FILTER(SPLIT(A635, char(10)), split(""false false "" &amp; rept(""true "", columns(SPLIT(A635, char(10)))-3) &amp; ""false"", "" ""))), """")"),"")</f>
        <v/>
      </c>
    </row>
    <row r="636">
      <c r="A636" s="31"/>
      <c r="B636" s="17" t="str">
        <f>IFERROR(__xludf.DUMMYFUNCTION("if(len(A636)&gt;0, value(REGEXEXTRACT(A636, ""Chapter ([0-9]*):"")), """")"),"")</f>
        <v/>
      </c>
      <c r="C636" s="31" t="str">
        <f>IFERROR(__xludf.DUMMYFUNCTION("if(len(A636) &gt;0, REGEXEXTRACT(A636, ""Chapter [0-9]*: (.*)""), """")"),"")</f>
        <v/>
      </c>
      <c r="D636" s="31" t="str">
        <f>IFERROR(__xludf.DUMMYFUNCTION("if(len(A636)&gt;0, REGEXEXTRACT(A636, ""\n[^\(]*""), """")"),"")</f>
        <v/>
      </c>
      <c r="E636" s="17" t="str">
        <f>IFERROR(__xludf.DUMMYFUNCTION("if(len(A636)&gt;0, REGEXEXTRACT(A636, ""\n([^\n]*)$""), """")"),"")</f>
        <v/>
      </c>
      <c r="F636" s="17" t="str">
        <f>IFERROR(__xludf.DUMMYFUNCTION("if(len(A636)&gt;0, REGEXEXTRACT(A636, ""\(([^\)]*)\)""), """")"),"")</f>
        <v/>
      </c>
      <c r="G636" s="17" t="str">
        <f>IFERROR(__xludf.DUMMYFUNCTION("if(len(A636)&gt;0, REGEXEXTRACT(A636, ""\)([^:]*):""), """")"),"")</f>
        <v/>
      </c>
      <c r="H636" s="31" t="str">
        <f>IFERROR(__xludf.DUMMYFUNCTION("if(len(A636) &gt; 0, JOIN(char(10), FILTER(SPLIT(A636, char(10)), split(""false false "" &amp; rept(""true "", columns(SPLIT(A636, char(10)))-3) &amp; ""false"", "" ""))), """")"),"")</f>
        <v/>
      </c>
    </row>
    <row r="637">
      <c r="A637" s="31"/>
      <c r="B637" s="17" t="str">
        <f>IFERROR(__xludf.DUMMYFUNCTION("if(len(A637)&gt;0, value(REGEXEXTRACT(A637, ""Chapter ([0-9]*):"")), """")"),"")</f>
        <v/>
      </c>
      <c r="C637" s="31" t="str">
        <f>IFERROR(__xludf.DUMMYFUNCTION("if(len(A637) &gt;0, REGEXEXTRACT(A637, ""Chapter [0-9]*: (.*)""), """")"),"")</f>
        <v/>
      </c>
      <c r="D637" s="31" t="str">
        <f>IFERROR(__xludf.DUMMYFUNCTION("if(len(A637)&gt;0, REGEXEXTRACT(A637, ""\n[^\(]*""), """")"),"")</f>
        <v/>
      </c>
      <c r="E637" s="17" t="str">
        <f>IFERROR(__xludf.DUMMYFUNCTION("if(len(A637)&gt;0, REGEXEXTRACT(A637, ""\n([^\n]*)$""), """")"),"")</f>
        <v/>
      </c>
      <c r="F637" s="17" t="str">
        <f>IFERROR(__xludf.DUMMYFUNCTION("if(len(A637)&gt;0, REGEXEXTRACT(A637, ""\(([^\)]*)\)""), """")"),"")</f>
        <v/>
      </c>
      <c r="G637" s="17" t="str">
        <f>IFERROR(__xludf.DUMMYFUNCTION("if(len(A637)&gt;0, REGEXEXTRACT(A637, ""\)([^:]*):""), """")"),"")</f>
        <v/>
      </c>
      <c r="H637" s="31" t="str">
        <f>IFERROR(__xludf.DUMMYFUNCTION("if(len(A637) &gt; 0, JOIN(char(10), FILTER(SPLIT(A637, char(10)), split(""false false "" &amp; rept(""true "", columns(SPLIT(A637, char(10)))-3) &amp; ""false"", "" ""))), """")"),"")</f>
        <v/>
      </c>
    </row>
    <row r="638">
      <c r="A638" s="31"/>
      <c r="B638" s="17" t="str">
        <f>IFERROR(__xludf.DUMMYFUNCTION("if(len(A638)&gt;0, value(REGEXEXTRACT(A638, ""Chapter ([0-9]*):"")), """")"),"")</f>
        <v/>
      </c>
      <c r="C638" s="31" t="str">
        <f>IFERROR(__xludf.DUMMYFUNCTION("if(len(A638) &gt;0, REGEXEXTRACT(A638, ""Chapter [0-9]*: (.*)""), """")"),"")</f>
        <v/>
      </c>
      <c r="D638" s="31" t="str">
        <f>IFERROR(__xludf.DUMMYFUNCTION("if(len(A638)&gt;0, REGEXEXTRACT(A638, ""\n[^\(]*""), """")"),"")</f>
        <v/>
      </c>
      <c r="E638" s="17" t="str">
        <f>IFERROR(__xludf.DUMMYFUNCTION("if(len(A638)&gt;0, REGEXEXTRACT(A638, ""\n([^\n]*)$""), """")"),"")</f>
        <v/>
      </c>
      <c r="F638" s="17" t="str">
        <f>IFERROR(__xludf.DUMMYFUNCTION("if(len(A638)&gt;0, REGEXEXTRACT(A638, ""\(([^\)]*)\)""), """")"),"")</f>
        <v/>
      </c>
      <c r="G638" s="17" t="str">
        <f>IFERROR(__xludf.DUMMYFUNCTION("if(len(A638)&gt;0, REGEXEXTRACT(A638, ""\)([^:]*):""), """")"),"")</f>
        <v/>
      </c>
      <c r="H638" s="31" t="str">
        <f>IFERROR(__xludf.DUMMYFUNCTION("if(len(A638) &gt; 0, JOIN(char(10), FILTER(SPLIT(A638, char(10)), split(""false false "" &amp; rept(""true "", columns(SPLIT(A638, char(10)))-3) &amp; ""false"", "" ""))), """")"),"")</f>
        <v/>
      </c>
    </row>
    <row r="639">
      <c r="A639" s="31"/>
      <c r="B639" s="17" t="str">
        <f>IFERROR(__xludf.DUMMYFUNCTION("if(len(A639)&gt;0, value(REGEXEXTRACT(A639, ""Chapter ([0-9]*):"")), """")"),"")</f>
        <v/>
      </c>
      <c r="C639" s="31" t="str">
        <f>IFERROR(__xludf.DUMMYFUNCTION("if(len(A639) &gt;0, REGEXEXTRACT(A639, ""Chapter [0-9]*: (.*)""), """")"),"")</f>
        <v/>
      </c>
      <c r="D639" s="31" t="str">
        <f>IFERROR(__xludf.DUMMYFUNCTION("if(len(A639)&gt;0, REGEXEXTRACT(A639, ""\n[^\(]*""), """")"),"")</f>
        <v/>
      </c>
      <c r="E639" s="17" t="str">
        <f>IFERROR(__xludf.DUMMYFUNCTION("if(len(A639)&gt;0, REGEXEXTRACT(A639, ""\n([^\n]*)$""), """")"),"")</f>
        <v/>
      </c>
      <c r="F639" s="17" t="str">
        <f>IFERROR(__xludf.DUMMYFUNCTION("if(len(A639)&gt;0, REGEXEXTRACT(A639, ""\(([^\)]*)\)""), """")"),"")</f>
        <v/>
      </c>
      <c r="G639" s="17" t="str">
        <f>IFERROR(__xludf.DUMMYFUNCTION("if(len(A639)&gt;0, REGEXEXTRACT(A639, ""\)([^:]*):""), """")"),"")</f>
        <v/>
      </c>
      <c r="H639" s="31" t="str">
        <f>IFERROR(__xludf.DUMMYFUNCTION("if(len(A639) &gt; 0, JOIN(char(10), FILTER(SPLIT(A639, char(10)), split(""false false "" &amp; rept(""true "", columns(SPLIT(A639, char(10)))-3) &amp; ""false"", "" ""))), """")"),"")</f>
        <v/>
      </c>
    </row>
    <row r="640">
      <c r="A640" s="31"/>
      <c r="B640" s="17" t="str">
        <f>IFERROR(__xludf.DUMMYFUNCTION("if(len(A640)&gt;0, value(REGEXEXTRACT(A640, ""Chapter ([0-9]*):"")), """")"),"")</f>
        <v/>
      </c>
      <c r="C640" s="31" t="str">
        <f>IFERROR(__xludf.DUMMYFUNCTION("if(len(A640) &gt;0, REGEXEXTRACT(A640, ""Chapter [0-9]*: (.*)""), """")"),"")</f>
        <v/>
      </c>
      <c r="D640" s="31" t="str">
        <f>IFERROR(__xludf.DUMMYFUNCTION("if(len(A640)&gt;0, REGEXEXTRACT(A640, ""\n[^\(]*""), """")"),"")</f>
        <v/>
      </c>
      <c r="E640" s="17" t="str">
        <f>IFERROR(__xludf.DUMMYFUNCTION("if(len(A640)&gt;0, REGEXEXTRACT(A640, ""\n([^\n]*)$""), """")"),"")</f>
        <v/>
      </c>
      <c r="F640" s="17" t="str">
        <f>IFERROR(__xludf.DUMMYFUNCTION("if(len(A640)&gt;0, REGEXEXTRACT(A640, ""\(([^\)]*)\)""), """")"),"")</f>
        <v/>
      </c>
      <c r="G640" s="17" t="str">
        <f>IFERROR(__xludf.DUMMYFUNCTION("if(len(A640)&gt;0, REGEXEXTRACT(A640, ""\)([^:]*):""), """")"),"")</f>
        <v/>
      </c>
      <c r="H640" s="31" t="str">
        <f>IFERROR(__xludf.DUMMYFUNCTION("if(len(A640) &gt; 0, JOIN(char(10), FILTER(SPLIT(A640, char(10)), split(""false false "" &amp; rept(""true "", columns(SPLIT(A640, char(10)))-3) &amp; ""false"", "" ""))), """")"),"")</f>
        <v/>
      </c>
    </row>
    <row r="641">
      <c r="A641" s="31"/>
      <c r="B641" s="17" t="str">
        <f>IFERROR(__xludf.DUMMYFUNCTION("if(len(A641)&gt;0, value(REGEXEXTRACT(A641, ""Chapter ([0-9]*):"")), """")"),"")</f>
        <v/>
      </c>
      <c r="C641" s="31" t="str">
        <f>IFERROR(__xludf.DUMMYFUNCTION("if(len(A641) &gt;0, REGEXEXTRACT(A641, ""Chapter [0-9]*: (.*)""), """")"),"")</f>
        <v/>
      </c>
      <c r="D641" s="31" t="str">
        <f>IFERROR(__xludf.DUMMYFUNCTION("if(len(A641)&gt;0, REGEXEXTRACT(A641, ""\n[^\(]*""), """")"),"")</f>
        <v/>
      </c>
      <c r="E641" s="17" t="str">
        <f>IFERROR(__xludf.DUMMYFUNCTION("if(len(A641)&gt;0, REGEXEXTRACT(A641, ""\n([^\n]*)$""), """")"),"")</f>
        <v/>
      </c>
      <c r="F641" s="17" t="str">
        <f>IFERROR(__xludf.DUMMYFUNCTION("if(len(A641)&gt;0, REGEXEXTRACT(A641, ""\(([^\)]*)\)""), """")"),"")</f>
        <v/>
      </c>
      <c r="G641" s="17" t="str">
        <f>IFERROR(__xludf.DUMMYFUNCTION("if(len(A641)&gt;0, REGEXEXTRACT(A641, ""\)([^:]*):""), """")"),"")</f>
        <v/>
      </c>
      <c r="H641" s="31" t="str">
        <f>IFERROR(__xludf.DUMMYFUNCTION("if(len(A641) &gt; 0, JOIN(char(10), FILTER(SPLIT(A641, char(10)), split(""false false "" &amp; rept(""true "", columns(SPLIT(A641, char(10)))-3) &amp; ""false"", "" ""))), """")"),"")</f>
        <v/>
      </c>
    </row>
    <row r="642">
      <c r="A642" s="31"/>
      <c r="B642" s="17" t="str">
        <f>IFERROR(__xludf.DUMMYFUNCTION("if(len(A642)&gt;0, value(REGEXEXTRACT(A642, ""Chapter ([0-9]*):"")), """")"),"")</f>
        <v/>
      </c>
      <c r="C642" s="31" t="str">
        <f>IFERROR(__xludf.DUMMYFUNCTION("if(len(A642) &gt;0, REGEXEXTRACT(A642, ""Chapter [0-9]*: (.*)""), """")"),"")</f>
        <v/>
      </c>
      <c r="D642" s="31" t="str">
        <f>IFERROR(__xludf.DUMMYFUNCTION("if(len(A642)&gt;0, REGEXEXTRACT(A642, ""\n[^\(]*""), """")"),"")</f>
        <v/>
      </c>
      <c r="E642" s="17" t="str">
        <f>IFERROR(__xludf.DUMMYFUNCTION("if(len(A642)&gt;0, REGEXEXTRACT(A642, ""\n([^\n]*)$""), """")"),"")</f>
        <v/>
      </c>
      <c r="F642" s="17" t="str">
        <f>IFERROR(__xludf.DUMMYFUNCTION("if(len(A642)&gt;0, REGEXEXTRACT(A642, ""\(([^\)]*)\)""), """")"),"")</f>
        <v/>
      </c>
      <c r="G642" s="17" t="str">
        <f>IFERROR(__xludf.DUMMYFUNCTION("if(len(A642)&gt;0, REGEXEXTRACT(A642, ""\)([^:]*):""), """")"),"")</f>
        <v/>
      </c>
      <c r="H642" s="31" t="str">
        <f>IFERROR(__xludf.DUMMYFUNCTION("if(len(A642) &gt; 0, JOIN(char(10), FILTER(SPLIT(A642, char(10)), split(""false false "" &amp; rept(""true "", columns(SPLIT(A642, char(10)))-3) &amp; ""false"", "" ""))), """")"),"")</f>
        <v/>
      </c>
    </row>
    <row r="643">
      <c r="A643" s="31"/>
      <c r="B643" s="17" t="str">
        <f>IFERROR(__xludf.DUMMYFUNCTION("if(len(A643)&gt;0, value(REGEXEXTRACT(A643, ""Chapter ([0-9]*):"")), """")"),"")</f>
        <v/>
      </c>
      <c r="C643" s="31" t="str">
        <f>IFERROR(__xludf.DUMMYFUNCTION("if(len(A643) &gt;0, REGEXEXTRACT(A643, ""Chapter [0-9]*: (.*)""), """")"),"")</f>
        <v/>
      </c>
      <c r="D643" s="31" t="str">
        <f>IFERROR(__xludf.DUMMYFUNCTION("if(len(A643)&gt;0, REGEXEXTRACT(A643, ""\n[^\(]*""), """")"),"")</f>
        <v/>
      </c>
      <c r="E643" s="17" t="str">
        <f>IFERROR(__xludf.DUMMYFUNCTION("if(len(A643)&gt;0, REGEXEXTRACT(A643, ""\n([^\n]*)$""), """")"),"")</f>
        <v/>
      </c>
      <c r="F643" s="17" t="str">
        <f>IFERROR(__xludf.DUMMYFUNCTION("if(len(A643)&gt;0, REGEXEXTRACT(A643, ""\(([^\)]*)\)""), """")"),"")</f>
        <v/>
      </c>
      <c r="G643" s="17" t="str">
        <f>IFERROR(__xludf.DUMMYFUNCTION("if(len(A643)&gt;0, REGEXEXTRACT(A643, ""\)([^:]*):""), """")"),"")</f>
        <v/>
      </c>
      <c r="H643" s="31" t="str">
        <f>IFERROR(__xludf.DUMMYFUNCTION("if(len(A643) &gt; 0, JOIN(char(10), FILTER(SPLIT(A643, char(10)), split(""false false "" &amp; rept(""true "", columns(SPLIT(A643, char(10)))-3) &amp; ""false"", "" ""))), """")"),"")</f>
        <v/>
      </c>
    </row>
    <row r="644">
      <c r="A644" s="31"/>
      <c r="B644" s="17" t="str">
        <f>IFERROR(__xludf.DUMMYFUNCTION("if(len(A644)&gt;0, value(REGEXEXTRACT(A644, ""Chapter ([0-9]*):"")), """")"),"")</f>
        <v/>
      </c>
      <c r="C644" s="31" t="str">
        <f>IFERROR(__xludf.DUMMYFUNCTION("if(len(A644) &gt;0, REGEXEXTRACT(A644, ""Chapter [0-9]*: (.*)""), """")"),"")</f>
        <v/>
      </c>
      <c r="D644" s="31" t="str">
        <f>IFERROR(__xludf.DUMMYFUNCTION("if(len(A644)&gt;0, REGEXEXTRACT(A644, ""\n[^\(]*""), """")"),"")</f>
        <v/>
      </c>
      <c r="E644" s="17" t="str">
        <f>IFERROR(__xludf.DUMMYFUNCTION("if(len(A644)&gt;0, REGEXEXTRACT(A644, ""\n([^\n]*)$""), """")"),"")</f>
        <v/>
      </c>
      <c r="F644" s="17" t="str">
        <f>IFERROR(__xludf.DUMMYFUNCTION("if(len(A644)&gt;0, REGEXEXTRACT(A644, ""\(([^\)]*)\)""), """")"),"")</f>
        <v/>
      </c>
      <c r="G644" s="17" t="str">
        <f>IFERROR(__xludf.DUMMYFUNCTION("if(len(A644)&gt;0, REGEXEXTRACT(A644, ""\)([^:]*):""), """")"),"")</f>
        <v/>
      </c>
      <c r="H644" s="31" t="str">
        <f>IFERROR(__xludf.DUMMYFUNCTION("if(len(A644) &gt; 0, JOIN(char(10), FILTER(SPLIT(A644, char(10)), split(""false false "" &amp; rept(""true "", columns(SPLIT(A644, char(10)))-3) &amp; ""false"", "" ""))), """")"),"")</f>
        <v/>
      </c>
    </row>
    <row r="645">
      <c r="A645" s="31"/>
      <c r="B645" s="17" t="str">
        <f>IFERROR(__xludf.DUMMYFUNCTION("if(len(A645)&gt;0, value(REGEXEXTRACT(A645, ""Chapter ([0-9]*):"")), """")"),"")</f>
        <v/>
      </c>
      <c r="C645" s="31" t="str">
        <f>IFERROR(__xludf.DUMMYFUNCTION("if(len(A645) &gt;0, REGEXEXTRACT(A645, ""Chapter [0-9]*: (.*)""), """")"),"")</f>
        <v/>
      </c>
      <c r="D645" s="31" t="str">
        <f>IFERROR(__xludf.DUMMYFUNCTION("if(len(A645)&gt;0, REGEXEXTRACT(A645, ""\n[^\(]*""), """")"),"")</f>
        <v/>
      </c>
      <c r="E645" s="17" t="str">
        <f>IFERROR(__xludf.DUMMYFUNCTION("if(len(A645)&gt;0, REGEXEXTRACT(A645, ""\n([^\n]*)$""), """")"),"")</f>
        <v/>
      </c>
      <c r="F645" s="17" t="str">
        <f>IFERROR(__xludf.DUMMYFUNCTION("if(len(A645)&gt;0, REGEXEXTRACT(A645, ""\(([^\)]*)\)""), """")"),"")</f>
        <v/>
      </c>
      <c r="G645" s="17" t="str">
        <f>IFERROR(__xludf.DUMMYFUNCTION("if(len(A645)&gt;0, REGEXEXTRACT(A645, ""\)([^:]*):""), """")"),"")</f>
        <v/>
      </c>
      <c r="H645" s="31" t="str">
        <f>IFERROR(__xludf.DUMMYFUNCTION("if(len(A645) &gt; 0, JOIN(char(10), FILTER(SPLIT(A645, char(10)), split(""false false "" &amp; rept(""true "", columns(SPLIT(A645, char(10)))-3) &amp; ""false"", "" ""))), """")"),"")</f>
        <v/>
      </c>
    </row>
    <row r="646">
      <c r="A646" s="31"/>
      <c r="B646" s="17" t="str">
        <f>IFERROR(__xludf.DUMMYFUNCTION("if(len(A646)&gt;0, value(REGEXEXTRACT(A646, ""Chapter ([0-9]*):"")), """")"),"")</f>
        <v/>
      </c>
      <c r="C646" s="31" t="str">
        <f>IFERROR(__xludf.DUMMYFUNCTION("if(len(A646) &gt;0, REGEXEXTRACT(A646, ""Chapter [0-9]*: (.*)""), """")"),"")</f>
        <v/>
      </c>
      <c r="D646" s="31" t="str">
        <f>IFERROR(__xludf.DUMMYFUNCTION("if(len(A646)&gt;0, REGEXEXTRACT(A646, ""\n[^\(]*""), """")"),"")</f>
        <v/>
      </c>
      <c r="E646" s="17" t="str">
        <f>IFERROR(__xludf.DUMMYFUNCTION("if(len(A646)&gt;0, REGEXEXTRACT(A646, ""\n([^\n]*)$""), """")"),"")</f>
        <v/>
      </c>
      <c r="F646" s="17" t="str">
        <f>IFERROR(__xludf.DUMMYFUNCTION("if(len(A646)&gt;0, REGEXEXTRACT(A646, ""\(([^\)]*)\)""), """")"),"")</f>
        <v/>
      </c>
      <c r="G646" s="17" t="str">
        <f>IFERROR(__xludf.DUMMYFUNCTION("if(len(A646)&gt;0, REGEXEXTRACT(A646, ""\)([^:]*):""), """")"),"")</f>
        <v/>
      </c>
      <c r="H646" s="31" t="str">
        <f>IFERROR(__xludf.DUMMYFUNCTION("if(len(A646) &gt; 0, JOIN(char(10), FILTER(SPLIT(A646, char(10)), split(""false false "" &amp; rept(""true "", columns(SPLIT(A646, char(10)))-3) &amp; ""false"", "" ""))), """")"),"")</f>
        <v/>
      </c>
    </row>
    <row r="647">
      <c r="A647" s="31"/>
      <c r="B647" s="17" t="str">
        <f>IFERROR(__xludf.DUMMYFUNCTION("if(len(A647)&gt;0, value(REGEXEXTRACT(A647, ""Chapter ([0-9]*):"")), """")"),"")</f>
        <v/>
      </c>
      <c r="C647" s="31" t="str">
        <f>IFERROR(__xludf.DUMMYFUNCTION("if(len(A647) &gt;0, REGEXEXTRACT(A647, ""Chapter [0-9]*: (.*)""), """")"),"")</f>
        <v/>
      </c>
      <c r="D647" s="31" t="str">
        <f>IFERROR(__xludf.DUMMYFUNCTION("if(len(A647)&gt;0, REGEXEXTRACT(A647, ""\n[^\(]*""), """")"),"")</f>
        <v/>
      </c>
      <c r="E647" s="17" t="str">
        <f>IFERROR(__xludf.DUMMYFUNCTION("if(len(A647)&gt;0, REGEXEXTRACT(A647, ""\n([^\n]*)$""), """")"),"")</f>
        <v/>
      </c>
      <c r="F647" s="17" t="str">
        <f>IFERROR(__xludf.DUMMYFUNCTION("if(len(A647)&gt;0, REGEXEXTRACT(A647, ""\(([^\)]*)\)""), """")"),"")</f>
        <v/>
      </c>
      <c r="G647" s="17" t="str">
        <f>IFERROR(__xludf.DUMMYFUNCTION("if(len(A647)&gt;0, REGEXEXTRACT(A647, ""\)([^:]*):""), """")"),"")</f>
        <v/>
      </c>
      <c r="H647" s="31" t="str">
        <f>IFERROR(__xludf.DUMMYFUNCTION("if(len(A647) &gt; 0, JOIN(char(10), FILTER(SPLIT(A647, char(10)), split(""false false "" &amp; rept(""true "", columns(SPLIT(A647, char(10)))-3) &amp; ""false"", "" ""))), """")"),"")</f>
        <v/>
      </c>
    </row>
    <row r="648">
      <c r="A648" s="31"/>
      <c r="B648" s="17" t="str">
        <f>IFERROR(__xludf.DUMMYFUNCTION("if(len(A648)&gt;0, value(REGEXEXTRACT(A648, ""Chapter ([0-9]*):"")), """")"),"")</f>
        <v/>
      </c>
      <c r="C648" s="31" t="str">
        <f>IFERROR(__xludf.DUMMYFUNCTION("if(len(A648) &gt;0, REGEXEXTRACT(A648, ""Chapter [0-9]*: (.*)""), """")"),"")</f>
        <v/>
      </c>
      <c r="D648" s="31" t="str">
        <f>IFERROR(__xludf.DUMMYFUNCTION("if(len(A648)&gt;0, REGEXEXTRACT(A648, ""\n[^\(]*""), """")"),"")</f>
        <v/>
      </c>
      <c r="E648" s="17" t="str">
        <f>IFERROR(__xludf.DUMMYFUNCTION("if(len(A648)&gt;0, REGEXEXTRACT(A648, ""\n([^\n]*)$""), """")"),"")</f>
        <v/>
      </c>
      <c r="F648" s="17" t="str">
        <f>IFERROR(__xludf.DUMMYFUNCTION("if(len(A648)&gt;0, REGEXEXTRACT(A648, ""\(([^\)]*)\)""), """")"),"")</f>
        <v/>
      </c>
      <c r="G648" s="17" t="str">
        <f>IFERROR(__xludf.DUMMYFUNCTION("if(len(A648)&gt;0, REGEXEXTRACT(A648, ""\)([^:]*):""), """")"),"")</f>
        <v/>
      </c>
      <c r="H648" s="31" t="str">
        <f>IFERROR(__xludf.DUMMYFUNCTION("if(len(A648) &gt; 0, JOIN(char(10), FILTER(SPLIT(A648, char(10)), split(""false false "" &amp; rept(""true "", columns(SPLIT(A648, char(10)))-3) &amp; ""false"", "" ""))), """")"),"")</f>
        <v/>
      </c>
    </row>
    <row r="649">
      <c r="A649" s="31"/>
      <c r="B649" s="17" t="str">
        <f>IFERROR(__xludf.DUMMYFUNCTION("if(len(A649)&gt;0, value(REGEXEXTRACT(A649, ""Chapter ([0-9]*):"")), """")"),"")</f>
        <v/>
      </c>
      <c r="C649" s="31" t="str">
        <f>IFERROR(__xludf.DUMMYFUNCTION("if(len(A649) &gt;0, REGEXEXTRACT(A649, ""Chapter [0-9]*: (.*)""), """")"),"")</f>
        <v/>
      </c>
      <c r="D649" s="31" t="str">
        <f>IFERROR(__xludf.DUMMYFUNCTION("if(len(A649)&gt;0, REGEXEXTRACT(A649, ""\n[^\(]*""), """")"),"")</f>
        <v/>
      </c>
      <c r="E649" s="17" t="str">
        <f>IFERROR(__xludf.DUMMYFUNCTION("if(len(A649)&gt;0, REGEXEXTRACT(A649, ""\n([^\n]*)$""), """")"),"")</f>
        <v/>
      </c>
      <c r="F649" s="17" t="str">
        <f>IFERROR(__xludf.DUMMYFUNCTION("if(len(A649)&gt;0, REGEXEXTRACT(A649, ""\(([^\)]*)\)""), """")"),"")</f>
        <v/>
      </c>
      <c r="G649" s="17" t="str">
        <f>IFERROR(__xludf.DUMMYFUNCTION("if(len(A649)&gt;0, REGEXEXTRACT(A649, ""\)([^:]*):""), """")"),"")</f>
        <v/>
      </c>
      <c r="H649" s="31" t="str">
        <f>IFERROR(__xludf.DUMMYFUNCTION("if(len(A649) &gt; 0, JOIN(char(10), FILTER(SPLIT(A649, char(10)), split(""false false "" &amp; rept(""true "", columns(SPLIT(A649, char(10)))-3) &amp; ""false"", "" ""))), """")"),"")</f>
        <v/>
      </c>
    </row>
    <row r="650">
      <c r="A650" s="31"/>
      <c r="B650" s="17" t="str">
        <f>IFERROR(__xludf.DUMMYFUNCTION("if(len(A650)&gt;0, value(REGEXEXTRACT(A650, ""Chapter ([0-9]*):"")), """")"),"")</f>
        <v/>
      </c>
      <c r="C650" s="31" t="str">
        <f>IFERROR(__xludf.DUMMYFUNCTION("if(len(A650) &gt;0, REGEXEXTRACT(A650, ""Chapter [0-9]*: (.*)""), """")"),"")</f>
        <v/>
      </c>
      <c r="D650" s="31" t="str">
        <f>IFERROR(__xludf.DUMMYFUNCTION("if(len(A650)&gt;0, REGEXEXTRACT(A650, ""\n[^\(]*""), """")"),"")</f>
        <v/>
      </c>
      <c r="E650" s="17" t="str">
        <f>IFERROR(__xludf.DUMMYFUNCTION("if(len(A650)&gt;0, REGEXEXTRACT(A650, ""\n([^\n]*)$""), """")"),"")</f>
        <v/>
      </c>
      <c r="F650" s="17" t="str">
        <f>IFERROR(__xludf.DUMMYFUNCTION("if(len(A650)&gt;0, REGEXEXTRACT(A650, ""\(([^\)]*)\)""), """")"),"")</f>
        <v/>
      </c>
      <c r="G650" s="17" t="str">
        <f>IFERROR(__xludf.DUMMYFUNCTION("if(len(A650)&gt;0, REGEXEXTRACT(A650, ""\)([^:]*):""), """")"),"")</f>
        <v/>
      </c>
      <c r="H650" s="31" t="str">
        <f>IFERROR(__xludf.DUMMYFUNCTION("if(len(A650) &gt; 0, JOIN(char(10), FILTER(SPLIT(A650, char(10)), split(""false false "" &amp; rept(""true "", columns(SPLIT(A650, char(10)))-3) &amp; ""false"", "" ""))), """")"),"")</f>
        <v/>
      </c>
    </row>
    <row r="651">
      <c r="A651" s="31"/>
      <c r="B651" s="17" t="str">
        <f>IFERROR(__xludf.DUMMYFUNCTION("if(len(A651)&gt;0, value(REGEXEXTRACT(A651, ""Chapter ([0-9]*):"")), """")"),"")</f>
        <v/>
      </c>
      <c r="C651" s="31" t="str">
        <f>IFERROR(__xludf.DUMMYFUNCTION("if(len(A651) &gt;0, REGEXEXTRACT(A651, ""Chapter [0-9]*: (.*)""), """")"),"")</f>
        <v/>
      </c>
      <c r="D651" s="31" t="str">
        <f>IFERROR(__xludf.DUMMYFUNCTION("if(len(A651)&gt;0, REGEXEXTRACT(A651, ""\n[^\(]*""), """")"),"")</f>
        <v/>
      </c>
      <c r="E651" s="17" t="str">
        <f>IFERROR(__xludf.DUMMYFUNCTION("if(len(A651)&gt;0, REGEXEXTRACT(A651, ""\n([^\n]*)$""), """")"),"")</f>
        <v/>
      </c>
      <c r="F651" s="17" t="str">
        <f>IFERROR(__xludf.DUMMYFUNCTION("if(len(A651)&gt;0, REGEXEXTRACT(A651, ""\(([^\)]*)\)""), """")"),"")</f>
        <v/>
      </c>
      <c r="G651" s="17" t="str">
        <f>IFERROR(__xludf.DUMMYFUNCTION("if(len(A651)&gt;0, REGEXEXTRACT(A651, ""\)([^:]*):""), """")"),"")</f>
        <v/>
      </c>
      <c r="H651" s="31" t="str">
        <f>IFERROR(__xludf.DUMMYFUNCTION("if(len(A651) &gt; 0, JOIN(char(10), FILTER(SPLIT(A651, char(10)), split(""false false "" &amp; rept(""true "", columns(SPLIT(A651, char(10)))-3) &amp; ""false"", "" ""))), """")"),"")</f>
        <v/>
      </c>
    </row>
    <row r="652">
      <c r="A652" s="31"/>
      <c r="B652" s="17" t="str">
        <f>IFERROR(__xludf.DUMMYFUNCTION("if(len(A652)&gt;0, value(REGEXEXTRACT(A652, ""Chapter ([0-9]*):"")), """")"),"")</f>
        <v/>
      </c>
      <c r="C652" s="31" t="str">
        <f>IFERROR(__xludf.DUMMYFUNCTION("if(len(A652) &gt;0, REGEXEXTRACT(A652, ""Chapter [0-9]*: (.*)""), """")"),"")</f>
        <v/>
      </c>
      <c r="D652" s="31" t="str">
        <f>IFERROR(__xludf.DUMMYFUNCTION("if(len(A652)&gt;0, REGEXEXTRACT(A652, ""\n[^\(]*""), """")"),"")</f>
        <v/>
      </c>
      <c r="E652" s="17" t="str">
        <f>IFERROR(__xludf.DUMMYFUNCTION("if(len(A652)&gt;0, REGEXEXTRACT(A652, ""\n([^\n]*)$""), """")"),"")</f>
        <v/>
      </c>
      <c r="F652" s="17" t="str">
        <f>IFERROR(__xludf.DUMMYFUNCTION("if(len(A652)&gt;0, REGEXEXTRACT(A652, ""\(([^\)]*)\)""), """")"),"")</f>
        <v/>
      </c>
      <c r="G652" s="17" t="str">
        <f>IFERROR(__xludf.DUMMYFUNCTION("if(len(A652)&gt;0, REGEXEXTRACT(A652, ""\)([^:]*):""), """")"),"")</f>
        <v/>
      </c>
      <c r="H652" s="31" t="str">
        <f>IFERROR(__xludf.DUMMYFUNCTION("if(len(A652) &gt; 0, JOIN(char(10), FILTER(SPLIT(A652, char(10)), split(""false false "" &amp; rept(""true "", columns(SPLIT(A652, char(10)))-3) &amp; ""false"", "" ""))), """")"),"")</f>
        <v/>
      </c>
    </row>
    <row r="653">
      <c r="A653" s="31"/>
      <c r="B653" s="17" t="str">
        <f>IFERROR(__xludf.DUMMYFUNCTION("if(len(A653)&gt;0, value(REGEXEXTRACT(A653, ""Chapter ([0-9]*):"")), """")"),"")</f>
        <v/>
      </c>
      <c r="C653" s="31" t="str">
        <f>IFERROR(__xludf.DUMMYFUNCTION("if(len(A653) &gt;0, REGEXEXTRACT(A653, ""Chapter [0-9]*: (.*)""), """")"),"")</f>
        <v/>
      </c>
      <c r="D653" s="31" t="str">
        <f>IFERROR(__xludf.DUMMYFUNCTION("if(len(A653)&gt;0, REGEXEXTRACT(A653, ""\n[^\(]*""), """")"),"")</f>
        <v/>
      </c>
      <c r="E653" s="17" t="str">
        <f>IFERROR(__xludf.DUMMYFUNCTION("if(len(A653)&gt;0, REGEXEXTRACT(A653, ""\n([^\n]*)$""), """")"),"")</f>
        <v/>
      </c>
      <c r="F653" s="17" t="str">
        <f>IFERROR(__xludf.DUMMYFUNCTION("if(len(A653)&gt;0, REGEXEXTRACT(A653, ""\(([^\)]*)\)""), """")"),"")</f>
        <v/>
      </c>
      <c r="G653" s="17" t="str">
        <f>IFERROR(__xludf.DUMMYFUNCTION("if(len(A653)&gt;0, REGEXEXTRACT(A653, ""\)([^:]*):""), """")"),"")</f>
        <v/>
      </c>
      <c r="H653" s="31" t="str">
        <f>IFERROR(__xludf.DUMMYFUNCTION("if(len(A653) &gt; 0, JOIN(char(10), FILTER(SPLIT(A653, char(10)), split(""false false "" &amp; rept(""true "", columns(SPLIT(A653, char(10)))-3) &amp; ""false"", "" ""))), """")"),"")</f>
        <v/>
      </c>
    </row>
    <row r="654">
      <c r="A654" s="31"/>
      <c r="B654" s="17" t="str">
        <f>IFERROR(__xludf.DUMMYFUNCTION("if(len(A654)&gt;0, value(REGEXEXTRACT(A654, ""Chapter ([0-9]*):"")), """")"),"")</f>
        <v/>
      </c>
      <c r="C654" s="31" t="str">
        <f>IFERROR(__xludf.DUMMYFUNCTION("if(len(A654) &gt;0, REGEXEXTRACT(A654, ""Chapter [0-9]*: (.*)""), """")"),"")</f>
        <v/>
      </c>
      <c r="D654" s="31" t="str">
        <f>IFERROR(__xludf.DUMMYFUNCTION("if(len(A654)&gt;0, REGEXEXTRACT(A654, ""\n[^\(]*""), """")"),"")</f>
        <v/>
      </c>
      <c r="E654" s="17" t="str">
        <f>IFERROR(__xludf.DUMMYFUNCTION("if(len(A654)&gt;0, REGEXEXTRACT(A654, ""\n([^\n]*)$""), """")"),"")</f>
        <v/>
      </c>
      <c r="F654" s="17" t="str">
        <f>IFERROR(__xludf.DUMMYFUNCTION("if(len(A654)&gt;0, REGEXEXTRACT(A654, ""\(([^\)]*)\)""), """")"),"")</f>
        <v/>
      </c>
      <c r="G654" s="17" t="str">
        <f>IFERROR(__xludf.DUMMYFUNCTION("if(len(A654)&gt;0, REGEXEXTRACT(A654, ""\)([^:]*):""), """")"),"")</f>
        <v/>
      </c>
      <c r="H654" s="31" t="str">
        <f>IFERROR(__xludf.DUMMYFUNCTION("if(len(A654) &gt; 0, JOIN(char(10), FILTER(SPLIT(A654, char(10)), split(""false false "" &amp; rept(""true "", columns(SPLIT(A654, char(10)))-3) &amp; ""false"", "" ""))), """")"),"")</f>
        <v/>
      </c>
    </row>
    <row r="655">
      <c r="A655" s="31"/>
      <c r="B655" s="17" t="str">
        <f>IFERROR(__xludf.DUMMYFUNCTION("if(len(A655)&gt;0, value(REGEXEXTRACT(A655, ""Chapter ([0-9]*):"")), """")"),"")</f>
        <v/>
      </c>
      <c r="C655" s="31" t="str">
        <f>IFERROR(__xludf.DUMMYFUNCTION("if(len(A655) &gt;0, REGEXEXTRACT(A655, ""Chapter [0-9]*: (.*)""), """")"),"")</f>
        <v/>
      </c>
      <c r="D655" s="31" t="str">
        <f>IFERROR(__xludf.DUMMYFUNCTION("if(len(A655)&gt;0, REGEXEXTRACT(A655, ""\n[^\(]*""), """")"),"")</f>
        <v/>
      </c>
      <c r="E655" s="17" t="str">
        <f>IFERROR(__xludf.DUMMYFUNCTION("if(len(A655)&gt;0, REGEXEXTRACT(A655, ""\n([^\n]*)$""), """")"),"")</f>
        <v/>
      </c>
      <c r="F655" s="17" t="str">
        <f>IFERROR(__xludf.DUMMYFUNCTION("if(len(A655)&gt;0, REGEXEXTRACT(A655, ""\(([^\)]*)\)""), """")"),"")</f>
        <v/>
      </c>
      <c r="G655" s="17" t="str">
        <f>IFERROR(__xludf.DUMMYFUNCTION("if(len(A655)&gt;0, REGEXEXTRACT(A655, ""\)([^:]*):""), """")"),"")</f>
        <v/>
      </c>
      <c r="H655" s="31" t="str">
        <f>IFERROR(__xludf.DUMMYFUNCTION("if(len(A655) &gt; 0, JOIN(char(10), FILTER(SPLIT(A655, char(10)), split(""false false "" &amp; rept(""true "", columns(SPLIT(A655, char(10)))-3) &amp; ""false"", "" ""))), """")"),"")</f>
        <v/>
      </c>
    </row>
    <row r="656">
      <c r="A656" s="31"/>
      <c r="B656" s="17" t="str">
        <f>IFERROR(__xludf.DUMMYFUNCTION("if(len(A656)&gt;0, value(REGEXEXTRACT(A656, ""Chapter ([0-9]*):"")), """")"),"")</f>
        <v/>
      </c>
      <c r="C656" s="31" t="str">
        <f>IFERROR(__xludf.DUMMYFUNCTION("if(len(A656) &gt;0, REGEXEXTRACT(A656, ""Chapter [0-9]*: (.*)""), """")"),"")</f>
        <v/>
      </c>
      <c r="D656" s="31" t="str">
        <f>IFERROR(__xludf.DUMMYFUNCTION("if(len(A656)&gt;0, REGEXEXTRACT(A656, ""\n[^\(]*""), """")"),"")</f>
        <v/>
      </c>
      <c r="E656" s="17" t="str">
        <f>IFERROR(__xludf.DUMMYFUNCTION("if(len(A656)&gt;0, REGEXEXTRACT(A656, ""\n([^\n]*)$""), """")"),"")</f>
        <v/>
      </c>
      <c r="F656" s="17" t="str">
        <f>IFERROR(__xludf.DUMMYFUNCTION("if(len(A656)&gt;0, REGEXEXTRACT(A656, ""\(([^\)]*)\)""), """")"),"")</f>
        <v/>
      </c>
      <c r="G656" s="17" t="str">
        <f>IFERROR(__xludf.DUMMYFUNCTION("if(len(A656)&gt;0, REGEXEXTRACT(A656, ""\)([^:]*):""), """")"),"")</f>
        <v/>
      </c>
      <c r="H656" s="31" t="str">
        <f>IFERROR(__xludf.DUMMYFUNCTION("if(len(A656) &gt; 0, JOIN(char(10), FILTER(SPLIT(A656, char(10)), split(""false false "" &amp; rept(""true "", columns(SPLIT(A656, char(10)))-3) &amp; ""false"", "" ""))), """")"),"")</f>
        <v/>
      </c>
    </row>
    <row r="657">
      <c r="A657" s="31"/>
      <c r="B657" s="17" t="str">
        <f>IFERROR(__xludf.DUMMYFUNCTION("if(len(A657)&gt;0, value(REGEXEXTRACT(A657, ""Chapter ([0-9]*):"")), """")"),"")</f>
        <v/>
      </c>
      <c r="C657" s="31" t="str">
        <f>IFERROR(__xludf.DUMMYFUNCTION("if(len(A657) &gt;0, REGEXEXTRACT(A657, ""Chapter [0-9]*: (.*)""), """")"),"")</f>
        <v/>
      </c>
      <c r="D657" s="31" t="str">
        <f>IFERROR(__xludf.DUMMYFUNCTION("if(len(A657)&gt;0, REGEXEXTRACT(A657, ""\n[^\(]*""), """")"),"")</f>
        <v/>
      </c>
      <c r="E657" s="17" t="str">
        <f>IFERROR(__xludf.DUMMYFUNCTION("if(len(A657)&gt;0, REGEXEXTRACT(A657, ""\n([^\n]*)$""), """")"),"")</f>
        <v/>
      </c>
      <c r="F657" s="17" t="str">
        <f>IFERROR(__xludf.DUMMYFUNCTION("if(len(A657)&gt;0, REGEXEXTRACT(A657, ""\(([^\)]*)\)""), """")"),"")</f>
        <v/>
      </c>
      <c r="G657" s="17" t="str">
        <f>IFERROR(__xludf.DUMMYFUNCTION("if(len(A657)&gt;0, REGEXEXTRACT(A657, ""\)([^:]*):""), """")"),"")</f>
        <v/>
      </c>
      <c r="H657" s="31" t="str">
        <f>IFERROR(__xludf.DUMMYFUNCTION("if(len(A657) &gt; 0, JOIN(char(10), FILTER(SPLIT(A657, char(10)), split(""false false "" &amp; rept(""true "", columns(SPLIT(A657, char(10)))-3) &amp; ""false"", "" ""))), """")"),"")</f>
        <v/>
      </c>
    </row>
    <row r="658">
      <c r="A658" s="31"/>
      <c r="B658" s="17" t="str">
        <f>IFERROR(__xludf.DUMMYFUNCTION("if(len(A658)&gt;0, value(REGEXEXTRACT(A658, ""Chapter ([0-9]*):"")), """")"),"")</f>
        <v/>
      </c>
      <c r="C658" s="31" t="str">
        <f>IFERROR(__xludf.DUMMYFUNCTION("if(len(A658) &gt;0, REGEXEXTRACT(A658, ""Chapter [0-9]*: (.*)""), """")"),"")</f>
        <v/>
      </c>
      <c r="D658" s="31" t="str">
        <f>IFERROR(__xludf.DUMMYFUNCTION("if(len(A658)&gt;0, REGEXEXTRACT(A658, ""\n[^\(]*""), """")"),"")</f>
        <v/>
      </c>
      <c r="E658" s="17" t="str">
        <f>IFERROR(__xludf.DUMMYFUNCTION("if(len(A658)&gt;0, REGEXEXTRACT(A658, ""\n([^\n]*)$""), """")"),"")</f>
        <v/>
      </c>
      <c r="F658" s="17" t="str">
        <f>IFERROR(__xludf.DUMMYFUNCTION("if(len(A658)&gt;0, REGEXEXTRACT(A658, ""\(([^\)]*)\)""), """")"),"")</f>
        <v/>
      </c>
      <c r="G658" s="17" t="str">
        <f>IFERROR(__xludf.DUMMYFUNCTION("if(len(A658)&gt;0, REGEXEXTRACT(A658, ""\)([^:]*):""), """")"),"")</f>
        <v/>
      </c>
      <c r="H658" s="31" t="str">
        <f>IFERROR(__xludf.DUMMYFUNCTION("if(len(A658) &gt; 0, JOIN(char(10), FILTER(SPLIT(A658, char(10)), split(""false false "" &amp; rept(""true "", columns(SPLIT(A658, char(10)))-3) &amp; ""false"", "" ""))), """")"),"")</f>
        <v/>
      </c>
    </row>
    <row r="659">
      <c r="A659" s="31"/>
      <c r="B659" s="17" t="str">
        <f>IFERROR(__xludf.DUMMYFUNCTION("if(len(A659)&gt;0, value(REGEXEXTRACT(A659, ""Chapter ([0-9]*):"")), """")"),"")</f>
        <v/>
      </c>
      <c r="C659" s="31" t="str">
        <f>IFERROR(__xludf.DUMMYFUNCTION("if(len(A659) &gt;0, REGEXEXTRACT(A659, ""Chapter [0-9]*: (.*)""), """")"),"")</f>
        <v/>
      </c>
      <c r="D659" s="31" t="str">
        <f>IFERROR(__xludf.DUMMYFUNCTION("if(len(A659)&gt;0, REGEXEXTRACT(A659, ""\n[^\(]*""), """")"),"")</f>
        <v/>
      </c>
      <c r="E659" s="17" t="str">
        <f>IFERROR(__xludf.DUMMYFUNCTION("if(len(A659)&gt;0, REGEXEXTRACT(A659, ""\n([^\n]*)$""), """")"),"")</f>
        <v/>
      </c>
      <c r="F659" s="17" t="str">
        <f>IFERROR(__xludf.DUMMYFUNCTION("if(len(A659)&gt;0, REGEXEXTRACT(A659, ""\(([^\)]*)\)""), """")"),"")</f>
        <v/>
      </c>
      <c r="G659" s="17" t="str">
        <f>IFERROR(__xludf.DUMMYFUNCTION("if(len(A659)&gt;0, REGEXEXTRACT(A659, ""\)([^:]*):""), """")"),"")</f>
        <v/>
      </c>
      <c r="H659" s="31" t="str">
        <f>IFERROR(__xludf.DUMMYFUNCTION("if(len(A659) &gt; 0, JOIN(char(10), FILTER(SPLIT(A659, char(10)), split(""false false "" &amp; rept(""true "", columns(SPLIT(A659, char(10)))-3) &amp; ""false"", "" ""))), """")"),"")</f>
        <v/>
      </c>
    </row>
    <row r="660">
      <c r="A660" s="31"/>
      <c r="B660" s="17" t="str">
        <f>IFERROR(__xludf.DUMMYFUNCTION("if(len(A660)&gt;0, value(REGEXEXTRACT(A660, ""Chapter ([0-9]*):"")), """")"),"")</f>
        <v/>
      </c>
      <c r="C660" s="31" t="str">
        <f>IFERROR(__xludf.DUMMYFUNCTION("if(len(A660) &gt;0, REGEXEXTRACT(A660, ""Chapter [0-9]*: (.*)""), """")"),"")</f>
        <v/>
      </c>
      <c r="D660" s="31" t="str">
        <f>IFERROR(__xludf.DUMMYFUNCTION("if(len(A660)&gt;0, REGEXEXTRACT(A660, ""\n[^\(]*""), """")"),"")</f>
        <v/>
      </c>
      <c r="E660" s="17" t="str">
        <f>IFERROR(__xludf.DUMMYFUNCTION("if(len(A660)&gt;0, REGEXEXTRACT(A660, ""\n([^\n]*)$""), """")"),"")</f>
        <v/>
      </c>
      <c r="F660" s="17" t="str">
        <f>IFERROR(__xludf.DUMMYFUNCTION("if(len(A660)&gt;0, REGEXEXTRACT(A660, ""\(([^\)]*)\)""), """")"),"")</f>
        <v/>
      </c>
      <c r="G660" s="17" t="str">
        <f>IFERROR(__xludf.DUMMYFUNCTION("if(len(A660)&gt;0, REGEXEXTRACT(A660, ""\)([^:]*):""), """")"),"")</f>
        <v/>
      </c>
      <c r="H660" s="31" t="str">
        <f>IFERROR(__xludf.DUMMYFUNCTION("if(len(A660) &gt; 0, JOIN(char(10), FILTER(SPLIT(A660, char(10)), split(""false false "" &amp; rept(""true "", columns(SPLIT(A660, char(10)))-3) &amp; ""false"", "" ""))), """")"),"")</f>
        <v/>
      </c>
    </row>
    <row r="661">
      <c r="A661" s="31"/>
      <c r="B661" s="17" t="str">
        <f>IFERROR(__xludf.DUMMYFUNCTION("if(len(A661)&gt;0, value(REGEXEXTRACT(A661, ""Chapter ([0-9]*):"")), """")"),"")</f>
        <v/>
      </c>
      <c r="C661" s="31" t="str">
        <f>IFERROR(__xludf.DUMMYFUNCTION("if(len(A661) &gt;0, REGEXEXTRACT(A661, ""Chapter [0-9]*: (.*)""), """")"),"")</f>
        <v/>
      </c>
      <c r="D661" s="31" t="str">
        <f>IFERROR(__xludf.DUMMYFUNCTION("if(len(A661)&gt;0, REGEXEXTRACT(A661, ""\n[^\(]*""), """")"),"")</f>
        <v/>
      </c>
      <c r="E661" s="17" t="str">
        <f>IFERROR(__xludf.DUMMYFUNCTION("if(len(A661)&gt;0, REGEXEXTRACT(A661, ""\n([^\n]*)$""), """")"),"")</f>
        <v/>
      </c>
      <c r="F661" s="17" t="str">
        <f>IFERROR(__xludf.DUMMYFUNCTION("if(len(A661)&gt;0, REGEXEXTRACT(A661, ""\(([^\)]*)\)""), """")"),"")</f>
        <v/>
      </c>
      <c r="G661" s="17" t="str">
        <f>IFERROR(__xludf.DUMMYFUNCTION("if(len(A661)&gt;0, REGEXEXTRACT(A661, ""\)([^:]*):""), """")"),"")</f>
        <v/>
      </c>
      <c r="H661" s="31" t="str">
        <f>IFERROR(__xludf.DUMMYFUNCTION("if(len(A661) &gt; 0, JOIN(char(10), FILTER(SPLIT(A661, char(10)), split(""false false "" &amp; rept(""true "", columns(SPLIT(A661, char(10)))-3) &amp; ""false"", "" ""))), """")"),"")</f>
        <v/>
      </c>
    </row>
    <row r="662">
      <c r="A662" s="31"/>
      <c r="B662" s="17" t="str">
        <f>IFERROR(__xludf.DUMMYFUNCTION("if(len(A662)&gt;0, value(REGEXEXTRACT(A662, ""Chapter ([0-9]*):"")), """")"),"")</f>
        <v/>
      </c>
      <c r="C662" s="31" t="str">
        <f>IFERROR(__xludf.DUMMYFUNCTION("if(len(A662) &gt;0, REGEXEXTRACT(A662, ""Chapter [0-9]*: (.*)""), """")"),"")</f>
        <v/>
      </c>
      <c r="D662" s="31" t="str">
        <f>IFERROR(__xludf.DUMMYFUNCTION("if(len(A662)&gt;0, REGEXEXTRACT(A662, ""\n[^\(]*""), """")"),"")</f>
        <v/>
      </c>
      <c r="E662" s="17" t="str">
        <f>IFERROR(__xludf.DUMMYFUNCTION("if(len(A662)&gt;0, REGEXEXTRACT(A662, ""\n([^\n]*)$""), """")"),"")</f>
        <v/>
      </c>
      <c r="F662" s="17" t="str">
        <f>IFERROR(__xludf.DUMMYFUNCTION("if(len(A662)&gt;0, REGEXEXTRACT(A662, ""\(([^\)]*)\)""), """")"),"")</f>
        <v/>
      </c>
      <c r="G662" s="17" t="str">
        <f>IFERROR(__xludf.DUMMYFUNCTION("if(len(A662)&gt;0, REGEXEXTRACT(A662, ""\)([^:]*):""), """")"),"")</f>
        <v/>
      </c>
      <c r="H662" s="31" t="str">
        <f>IFERROR(__xludf.DUMMYFUNCTION("if(len(A662) &gt; 0, JOIN(char(10), FILTER(SPLIT(A662, char(10)), split(""false false "" &amp; rept(""true "", columns(SPLIT(A662, char(10)))-3) &amp; ""false"", "" ""))), """")"),"")</f>
        <v/>
      </c>
    </row>
    <row r="663">
      <c r="A663" s="31"/>
      <c r="B663" s="17" t="str">
        <f>IFERROR(__xludf.DUMMYFUNCTION("if(len(A663)&gt;0, value(REGEXEXTRACT(A663, ""Chapter ([0-9]*):"")), """")"),"")</f>
        <v/>
      </c>
      <c r="C663" s="31" t="str">
        <f>IFERROR(__xludf.DUMMYFUNCTION("if(len(A663) &gt;0, REGEXEXTRACT(A663, ""Chapter [0-9]*: (.*)""), """")"),"")</f>
        <v/>
      </c>
      <c r="D663" s="31" t="str">
        <f>IFERROR(__xludf.DUMMYFUNCTION("if(len(A663)&gt;0, REGEXEXTRACT(A663, ""\n[^\(]*""), """")"),"")</f>
        <v/>
      </c>
      <c r="E663" s="17" t="str">
        <f>IFERROR(__xludf.DUMMYFUNCTION("if(len(A663)&gt;0, REGEXEXTRACT(A663, ""\n([^\n]*)$""), """")"),"")</f>
        <v/>
      </c>
      <c r="F663" s="17" t="str">
        <f>IFERROR(__xludf.DUMMYFUNCTION("if(len(A663)&gt;0, REGEXEXTRACT(A663, ""\(([^\)]*)\)""), """")"),"")</f>
        <v/>
      </c>
      <c r="G663" s="17" t="str">
        <f>IFERROR(__xludf.DUMMYFUNCTION("if(len(A663)&gt;0, REGEXEXTRACT(A663, ""\)([^:]*):""), """")"),"")</f>
        <v/>
      </c>
      <c r="H663" s="31" t="str">
        <f>IFERROR(__xludf.DUMMYFUNCTION("if(len(A663) &gt; 0, JOIN(char(10), FILTER(SPLIT(A663, char(10)), split(""false false "" &amp; rept(""true "", columns(SPLIT(A663, char(10)))-3) &amp; ""false"", "" ""))), """")"),"")</f>
        <v/>
      </c>
    </row>
    <row r="664">
      <c r="A664" s="31"/>
      <c r="B664" s="17" t="str">
        <f>IFERROR(__xludf.DUMMYFUNCTION("if(len(A664)&gt;0, value(REGEXEXTRACT(A664, ""Chapter ([0-9]*):"")), """")"),"")</f>
        <v/>
      </c>
      <c r="C664" s="31" t="str">
        <f>IFERROR(__xludf.DUMMYFUNCTION("if(len(A664) &gt;0, REGEXEXTRACT(A664, ""Chapter [0-9]*: (.*)""), """")"),"")</f>
        <v/>
      </c>
      <c r="D664" s="31" t="str">
        <f>IFERROR(__xludf.DUMMYFUNCTION("if(len(A664)&gt;0, REGEXEXTRACT(A664, ""\n[^\(]*""), """")"),"")</f>
        <v/>
      </c>
      <c r="E664" s="17" t="str">
        <f>IFERROR(__xludf.DUMMYFUNCTION("if(len(A664)&gt;0, REGEXEXTRACT(A664, ""\n([^\n]*)$""), """")"),"")</f>
        <v/>
      </c>
      <c r="F664" s="17" t="str">
        <f>IFERROR(__xludf.DUMMYFUNCTION("if(len(A664)&gt;0, REGEXEXTRACT(A664, ""\(([^\)]*)\)""), """")"),"")</f>
        <v/>
      </c>
      <c r="G664" s="17" t="str">
        <f>IFERROR(__xludf.DUMMYFUNCTION("if(len(A664)&gt;0, REGEXEXTRACT(A664, ""\)([^:]*):""), """")"),"")</f>
        <v/>
      </c>
      <c r="H664" s="31" t="str">
        <f>IFERROR(__xludf.DUMMYFUNCTION("if(len(A664) &gt; 0, JOIN(char(10), FILTER(SPLIT(A664, char(10)), split(""false false "" &amp; rept(""true "", columns(SPLIT(A664, char(10)))-3) &amp; ""false"", "" ""))), """")"),"")</f>
        <v/>
      </c>
    </row>
    <row r="665">
      <c r="A665" s="31"/>
      <c r="B665" s="17" t="str">
        <f>IFERROR(__xludf.DUMMYFUNCTION("if(len(A665)&gt;0, value(REGEXEXTRACT(A665, ""Chapter ([0-9]*):"")), """")"),"")</f>
        <v/>
      </c>
      <c r="C665" s="31" t="str">
        <f>IFERROR(__xludf.DUMMYFUNCTION("if(len(A665) &gt;0, REGEXEXTRACT(A665, ""Chapter [0-9]*: (.*)""), """")"),"")</f>
        <v/>
      </c>
      <c r="D665" s="31" t="str">
        <f>IFERROR(__xludf.DUMMYFUNCTION("if(len(A665)&gt;0, REGEXEXTRACT(A665, ""\n[^\(]*""), """")"),"")</f>
        <v/>
      </c>
      <c r="E665" s="17" t="str">
        <f>IFERROR(__xludf.DUMMYFUNCTION("if(len(A665)&gt;0, REGEXEXTRACT(A665, ""\n([^\n]*)$""), """")"),"")</f>
        <v/>
      </c>
      <c r="F665" s="17" t="str">
        <f>IFERROR(__xludf.DUMMYFUNCTION("if(len(A665)&gt;0, REGEXEXTRACT(A665, ""\(([^\)]*)\)""), """")"),"")</f>
        <v/>
      </c>
      <c r="G665" s="17" t="str">
        <f>IFERROR(__xludf.DUMMYFUNCTION("if(len(A665)&gt;0, REGEXEXTRACT(A665, ""\)([^:]*):""), """")"),"")</f>
        <v/>
      </c>
      <c r="H665" s="31" t="str">
        <f>IFERROR(__xludf.DUMMYFUNCTION("if(len(A665) &gt; 0, JOIN(char(10), FILTER(SPLIT(A665, char(10)), split(""false false "" &amp; rept(""true "", columns(SPLIT(A665, char(10)))-3) &amp; ""false"", "" ""))), """")"),"")</f>
        <v/>
      </c>
    </row>
    <row r="666">
      <c r="A666" s="31"/>
      <c r="B666" s="17" t="str">
        <f>IFERROR(__xludf.DUMMYFUNCTION("if(len(A666)&gt;0, value(REGEXEXTRACT(A666, ""Chapter ([0-9]*):"")), """")"),"")</f>
        <v/>
      </c>
      <c r="C666" s="31" t="str">
        <f>IFERROR(__xludf.DUMMYFUNCTION("if(len(A666) &gt;0, REGEXEXTRACT(A666, ""Chapter [0-9]*: (.*)""), """")"),"")</f>
        <v/>
      </c>
      <c r="D666" s="31" t="str">
        <f>IFERROR(__xludf.DUMMYFUNCTION("if(len(A666)&gt;0, REGEXEXTRACT(A666, ""\n[^\(]*""), """")"),"")</f>
        <v/>
      </c>
      <c r="E666" s="17" t="str">
        <f>IFERROR(__xludf.DUMMYFUNCTION("if(len(A666)&gt;0, REGEXEXTRACT(A666, ""\n([^\n]*)$""), """")"),"")</f>
        <v/>
      </c>
      <c r="F666" s="17" t="str">
        <f>IFERROR(__xludf.DUMMYFUNCTION("if(len(A666)&gt;0, REGEXEXTRACT(A666, ""\(([^\)]*)\)""), """")"),"")</f>
        <v/>
      </c>
      <c r="G666" s="17" t="str">
        <f>IFERROR(__xludf.DUMMYFUNCTION("if(len(A666)&gt;0, REGEXEXTRACT(A666, ""\)([^:]*):""), """")"),"")</f>
        <v/>
      </c>
      <c r="H666" s="31" t="str">
        <f>IFERROR(__xludf.DUMMYFUNCTION("if(len(A666) &gt; 0, JOIN(char(10), FILTER(SPLIT(A666, char(10)), split(""false false "" &amp; rept(""true "", columns(SPLIT(A666, char(10)))-3) &amp; ""false"", "" ""))), """")"),"")</f>
        <v/>
      </c>
    </row>
    <row r="667">
      <c r="A667" s="31"/>
      <c r="B667" s="17" t="str">
        <f>IFERROR(__xludf.DUMMYFUNCTION("if(len(A667)&gt;0, value(REGEXEXTRACT(A667, ""Chapter ([0-9]*):"")), """")"),"")</f>
        <v/>
      </c>
      <c r="C667" s="31" t="str">
        <f>IFERROR(__xludf.DUMMYFUNCTION("if(len(A667) &gt;0, REGEXEXTRACT(A667, ""Chapter [0-9]*: (.*)""), """")"),"")</f>
        <v/>
      </c>
      <c r="D667" s="31" t="str">
        <f>IFERROR(__xludf.DUMMYFUNCTION("if(len(A667)&gt;0, REGEXEXTRACT(A667, ""\n[^\(]*""), """")"),"")</f>
        <v/>
      </c>
      <c r="E667" s="17" t="str">
        <f>IFERROR(__xludf.DUMMYFUNCTION("if(len(A667)&gt;0, REGEXEXTRACT(A667, ""\n([^\n]*)$""), """")"),"")</f>
        <v/>
      </c>
      <c r="F667" s="17" t="str">
        <f>IFERROR(__xludf.DUMMYFUNCTION("if(len(A667)&gt;0, REGEXEXTRACT(A667, ""\(([^\)]*)\)""), """")"),"")</f>
        <v/>
      </c>
      <c r="G667" s="17" t="str">
        <f>IFERROR(__xludf.DUMMYFUNCTION("if(len(A667)&gt;0, REGEXEXTRACT(A667, ""\)([^:]*):""), """")"),"")</f>
        <v/>
      </c>
      <c r="H667" s="31" t="str">
        <f>IFERROR(__xludf.DUMMYFUNCTION("if(len(A667) &gt; 0, JOIN(char(10), FILTER(SPLIT(A667, char(10)), split(""false false "" &amp; rept(""true "", columns(SPLIT(A667, char(10)))-3) &amp; ""false"", "" ""))), """")"),"")</f>
        <v/>
      </c>
    </row>
    <row r="668">
      <c r="A668" s="31"/>
      <c r="B668" s="17" t="str">
        <f>IFERROR(__xludf.DUMMYFUNCTION("if(len(A668)&gt;0, value(REGEXEXTRACT(A668, ""Chapter ([0-9]*):"")), """")"),"")</f>
        <v/>
      </c>
      <c r="C668" s="31" t="str">
        <f>IFERROR(__xludf.DUMMYFUNCTION("if(len(A668) &gt;0, REGEXEXTRACT(A668, ""Chapter [0-9]*: (.*)""), """")"),"")</f>
        <v/>
      </c>
      <c r="D668" s="31" t="str">
        <f>IFERROR(__xludf.DUMMYFUNCTION("if(len(A668)&gt;0, REGEXEXTRACT(A668, ""\n[^\(]*""), """")"),"")</f>
        <v/>
      </c>
      <c r="E668" s="17" t="str">
        <f>IFERROR(__xludf.DUMMYFUNCTION("if(len(A668)&gt;0, REGEXEXTRACT(A668, ""\n([^\n]*)$""), """")"),"")</f>
        <v/>
      </c>
      <c r="F668" s="17" t="str">
        <f>IFERROR(__xludf.DUMMYFUNCTION("if(len(A668)&gt;0, REGEXEXTRACT(A668, ""\(([^\)]*)\)""), """")"),"")</f>
        <v/>
      </c>
      <c r="G668" s="17" t="str">
        <f>IFERROR(__xludf.DUMMYFUNCTION("if(len(A668)&gt;0, REGEXEXTRACT(A668, ""\)([^:]*):""), """")"),"")</f>
        <v/>
      </c>
      <c r="H668" s="31" t="str">
        <f>IFERROR(__xludf.DUMMYFUNCTION("if(len(A668) &gt; 0, JOIN(char(10), FILTER(SPLIT(A668, char(10)), split(""false false "" &amp; rept(""true "", columns(SPLIT(A668, char(10)))-3) &amp; ""false"", "" ""))), """")"),"")</f>
        <v/>
      </c>
    </row>
    <row r="669">
      <c r="A669" s="31"/>
      <c r="B669" s="17" t="str">
        <f>IFERROR(__xludf.DUMMYFUNCTION("if(len(A669)&gt;0, value(REGEXEXTRACT(A669, ""Chapter ([0-9]*):"")), """")"),"")</f>
        <v/>
      </c>
      <c r="C669" s="31" t="str">
        <f>IFERROR(__xludf.DUMMYFUNCTION("if(len(A669) &gt;0, REGEXEXTRACT(A669, ""Chapter [0-9]*: (.*)""), """")"),"")</f>
        <v/>
      </c>
      <c r="D669" s="31" t="str">
        <f>IFERROR(__xludf.DUMMYFUNCTION("if(len(A669)&gt;0, REGEXEXTRACT(A669, ""\n[^\(]*""), """")"),"")</f>
        <v/>
      </c>
      <c r="E669" s="17" t="str">
        <f>IFERROR(__xludf.DUMMYFUNCTION("if(len(A669)&gt;0, REGEXEXTRACT(A669, ""\n([^\n]*)$""), """")"),"")</f>
        <v/>
      </c>
      <c r="F669" s="17" t="str">
        <f>IFERROR(__xludf.DUMMYFUNCTION("if(len(A669)&gt;0, REGEXEXTRACT(A669, ""\(([^\)]*)\)""), """")"),"")</f>
        <v/>
      </c>
      <c r="G669" s="17" t="str">
        <f>IFERROR(__xludf.DUMMYFUNCTION("if(len(A669)&gt;0, REGEXEXTRACT(A669, ""\)([^:]*):""), """")"),"")</f>
        <v/>
      </c>
      <c r="H669" s="31" t="str">
        <f>IFERROR(__xludf.DUMMYFUNCTION("if(len(A669) &gt; 0, JOIN(char(10), FILTER(SPLIT(A669, char(10)), split(""false false "" &amp; rept(""true "", columns(SPLIT(A669, char(10)))-3) &amp; ""false"", "" ""))), """")"),"")</f>
        <v/>
      </c>
    </row>
    <row r="670">
      <c r="A670" s="31"/>
      <c r="B670" s="17" t="str">
        <f>IFERROR(__xludf.DUMMYFUNCTION("if(len(A670)&gt;0, value(REGEXEXTRACT(A670, ""Chapter ([0-9]*):"")), """")"),"")</f>
        <v/>
      </c>
      <c r="C670" s="31" t="str">
        <f>IFERROR(__xludf.DUMMYFUNCTION("if(len(A670) &gt;0, REGEXEXTRACT(A670, ""Chapter [0-9]*: (.*)""), """")"),"")</f>
        <v/>
      </c>
      <c r="D670" s="31" t="str">
        <f>IFERROR(__xludf.DUMMYFUNCTION("if(len(A670)&gt;0, REGEXEXTRACT(A670, ""\n[^\(]*""), """")"),"")</f>
        <v/>
      </c>
      <c r="E670" s="17" t="str">
        <f>IFERROR(__xludf.DUMMYFUNCTION("if(len(A670)&gt;0, REGEXEXTRACT(A670, ""\n([^\n]*)$""), """")"),"")</f>
        <v/>
      </c>
      <c r="F670" s="17" t="str">
        <f>IFERROR(__xludf.DUMMYFUNCTION("if(len(A670)&gt;0, REGEXEXTRACT(A670, ""\(([^\)]*)\)""), """")"),"")</f>
        <v/>
      </c>
      <c r="G670" s="17" t="str">
        <f>IFERROR(__xludf.DUMMYFUNCTION("if(len(A670)&gt;0, REGEXEXTRACT(A670, ""\)([^:]*):""), """")"),"")</f>
        <v/>
      </c>
      <c r="H670" s="31" t="str">
        <f>IFERROR(__xludf.DUMMYFUNCTION("if(len(A670) &gt; 0, JOIN(char(10), FILTER(SPLIT(A670, char(10)), split(""false false "" &amp; rept(""true "", columns(SPLIT(A670, char(10)))-3) &amp; ""false"", "" ""))), """")"),"")</f>
        <v/>
      </c>
    </row>
    <row r="671">
      <c r="A671" s="31"/>
      <c r="B671" s="17" t="str">
        <f>IFERROR(__xludf.DUMMYFUNCTION("if(len(A671)&gt;0, value(REGEXEXTRACT(A671, ""Chapter ([0-9]*):"")), """")"),"")</f>
        <v/>
      </c>
      <c r="C671" s="31" t="str">
        <f>IFERROR(__xludf.DUMMYFUNCTION("if(len(A671) &gt;0, REGEXEXTRACT(A671, ""Chapter [0-9]*: (.*)""), """")"),"")</f>
        <v/>
      </c>
      <c r="D671" s="31" t="str">
        <f>IFERROR(__xludf.DUMMYFUNCTION("if(len(A671)&gt;0, REGEXEXTRACT(A671, ""\n[^\(]*""), """")"),"")</f>
        <v/>
      </c>
      <c r="E671" s="17" t="str">
        <f>IFERROR(__xludf.DUMMYFUNCTION("if(len(A671)&gt;0, REGEXEXTRACT(A671, ""\n([^\n]*)$""), """")"),"")</f>
        <v/>
      </c>
      <c r="F671" s="17" t="str">
        <f>IFERROR(__xludf.DUMMYFUNCTION("if(len(A671)&gt;0, REGEXEXTRACT(A671, ""\(([^\)]*)\)""), """")"),"")</f>
        <v/>
      </c>
      <c r="G671" s="17" t="str">
        <f>IFERROR(__xludf.DUMMYFUNCTION("if(len(A671)&gt;0, REGEXEXTRACT(A671, ""\)([^:]*):""), """")"),"")</f>
        <v/>
      </c>
      <c r="H671" s="31" t="str">
        <f>IFERROR(__xludf.DUMMYFUNCTION("if(len(A671) &gt; 0, JOIN(char(10), FILTER(SPLIT(A671, char(10)), split(""false false "" &amp; rept(""true "", columns(SPLIT(A671, char(10)))-3) &amp; ""false"", "" ""))), """")"),"")</f>
        <v/>
      </c>
    </row>
    <row r="672">
      <c r="A672" s="31"/>
      <c r="B672" s="17" t="str">
        <f>IFERROR(__xludf.DUMMYFUNCTION("if(len(A672)&gt;0, value(REGEXEXTRACT(A672, ""Chapter ([0-9]*):"")), """")"),"")</f>
        <v/>
      </c>
      <c r="C672" s="31" t="str">
        <f>IFERROR(__xludf.DUMMYFUNCTION("if(len(A672) &gt;0, REGEXEXTRACT(A672, ""Chapter [0-9]*: (.*)""), """")"),"")</f>
        <v/>
      </c>
      <c r="D672" s="31" t="str">
        <f>IFERROR(__xludf.DUMMYFUNCTION("if(len(A672)&gt;0, REGEXEXTRACT(A672, ""\n[^\(]*""), """")"),"")</f>
        <v/>
      </c>
      <c r="E672" s="17" t="str">
        <f>IFERROR(__xludf.DUMMYFUNCTION("if(len(A672)&gt;0, REGEXEXTRACT(A672, ""\n([^\n]*)$""), """")"),"")</f>
        <v/>
      </c>
      <c r="F672" s="17" t="str">
        <f>IFERROR(__xludf.DUMMYFUNCTION("if(len(A672)&gt;0, REGEXEXTRACT(A672, ""\(([^\)]*)\)""), """")"),"")</f>
        <v/>
      </c>
      <c r="G672" s="17" t="str">
        <f>IFERROR(__xludf.DUMMYFUNCTION("if(len(A672)&gt;0, REGEXEXTRACT(A672, ""\)([^:]*):""), """")"),"")</f>
        <v/>
      </c>
      <c r="H672" s="31" t="str">
        <f>IFERROR(__xludf.DUMMYFUNCTION("if(len(A672) &gt; 0, JOIN(char(10), FILTER(SPLIT(A672, char(10)), split(""false false "" &amp; rept(""true "", columns(SPLIT(A672, char(10)))-3) &amp; ""false"", "" ""))), """")"),"")</f>
        <v/>
      </c>
    </row>
    <row r="673">
      <c r="A673" s="31"/>
      <c r="B673" s="17" t="str">
        <f>IFERROR(__xludf.DUMMYFUNCTION("if(len(A673)&gt;0, value(REGEXEXTRACT(A673, ""Chapter ([0-9]*):"")), """")"),"")</f>
        <v/>
      </c>
      <c r="C673" s="31" t="str">
        <f>IFERROR(__xludf.DUMMYFUNCTION("if(len(A673) &gt;0, REGEXEXTRACT(A673, ""Chapter [0-9]*: (.*)""), """")"),"")</f>
        <v/>
      </c>
      <c r="D673" s="31" t="str">
        <f>IFERROR(__xludf.DUMMYFUNCTION("if(len(A673)&gt;0, REGEXEXTRACT(A673, ""\n[^\(]*""), """")"),"")</f>
        <v/>
      </c>
      <c r="E673" s="17" t="str">
        <f>IFERROR(__xludf.DUMMYFUNCTION("if(len(A673)&gt;0, REGEXEXTRACT(A673, ""\n([^\n]*)$""), """")"),"")</f>
        <v/>
      </c>
      <c r="F673" s="17" t="str">
        <f>IFERROR(__xludf.DUMMYFUNCTION("if(len(A673)&gt;0, REGEXEXTRACT(A673, ""\(([^\)]*)\)""), """")"),"")</f>
        <v/>
      </c>
      <c r="G673" s="17" t="str">
        <f>IFERROR(__xludf.DUMMYFUNCTION("if(len(A673)&gt;0, REGEXEXTRACT(A673, ""\)([^:]*):""), """")"),"")</f>
        <v/>
      </c>
      <c r="H673" s="31" t="str">
        <f>IFERROR(__xludf.DUMMYFUNCTION("if(len(A673) &gt; 0, JOIN(char(10), FILTER(SPLIT(A673, char(10)), split(""false false "" &amp; rept(""true "", columns(SPLIT(A673, char(10)))-3) &amp; ""false"", "" ""))), """")"),"")</f>
        <v/>
      </c>
    </row>
    <row r="674">
      <c r="A674" s="31"/>
      <c r="B674" s="17" t="str">
        <f>IFERROR(__xludf.DUMMYFUNCTION("if(len(A674)&gt;0, value(REGEXEXTRACT(A674, ""Chapter ([0-9]*):"")), """")"),"")</f>
        <v/>
      </c>
      <c r="C674" s="31" t="str">
        <f>IFERROR(__xludf.DUMMYFUNCTION("if(len(A674) &gt;0, REGEXEXTRACT(A674, ""Chapter [0-9]*: (.*)""), """")"),"")</f>
        <v/>
      </c>
      <c r="D674" s="31" t="str">
        <f>IFERROR(__xludf.DUMMYFUNCTION("if(len(A674)&gt;0, REGEXEXTRACT(A674, ""\n[^\(]*""), """")"),"")</f>
        <v/>
      </c>
      <c r="E674" s="17" t="str">
        <f>IFERROR(__xludf.DUMMYFUNCTION("if(len(A674)&gt;0, REGEXEXTRACT(A674, ""\n([^\n]*)$""), """")"),"")</f>
        <v/>
      </c>
      <c r="F674" s="17" t="str">
        <f>IFERROR(__xludf.DUMMYFUNCTION("if(len(A674)&gt;0, REGEXEXTRACT(A674, ""\(([^\)]*)\)""), """")"),"")</f>
        <v/>
      </c>
      <c r="G674" s="17" t="str">
        <f>IFERROR(__xludf.DUMMYFUNCTION("if(len(A674)&gt;0, REGEXEXTRACT(A674, ""\)([^:]*):""), """")"),"")</f>
        <v/>
      </c>
      <c r="H674" s="31" t="str">
        <f>IFERROR(__xludf.DUMMYFUNCTION("if(len(A674) &gt; 0, JOIN(char(10), FILTER(SPLIT(A674, char(10)), split(""false false "" &amp; rept(""true "", columns(SPLIT(A674, char(10)))-3) &amp; ""false"", "" ""))), """")"),"")</f>
        <v/>
      </c>
    </row>
    <row r="675">
      <c r="A675" s="31"/>
      <c r="B675" s="17" t="str">
        <f>IFERROR(__xludf.DUMMYFUNCTION("if(len(A675)&gt;0, value(REGEXEXTRACT(A675, ""Chapter ([0-9]*):"")), """")"),"")</f>
        <v/>
      </c>
      <c r="C675" s="31" t="str">
        <f>IFERROR(__xludf.DUMMYFUNCTION("if(len(A675) &gt;0, REGEXEXTRACT(A675, ""Chapter [0-9]*: (.*)""), """")"),"")</f>
        <v/>
      </c>
      <c r="D675" s="31" t="str">
        <f>IFERROR(__xludf.DUMMYFUNCTION("if(len(A675)&gt;0, REGEXEXTRACT(A675, ""\n[^\(]*""), """")"),"")</f>
        <v/>
      </c>
      <c r="E675" s="17" t="str">
        <f>IFERROR(__xludf.DUMMYFUNCTION("if(len(A675)&gt;0, REGEXEXTRACT(A675, ""\n([^\n]*)$""), """")"),"")</f>
        <v/>
      </c>
      <c r="F675" s="17" t="str">
        <f>IFERROR(__xludf.DUMMYFUNCTION("if(len(A675)&gt;0, REGEXEXTRACT(A675, ""\(([^\)]*)\)""), """")"),"")</f>
        <v/>
      </c>
      <c r="G675" s="17" t="str">
        <f>IFERROR(__xludf.DUMMYFUNCTION("if(len(A675)&gt;0, REGEXEXTRACT(A675, ""\)([^:]*):""), """")"),"")</f>
        <v/>
      </c>
      <c r="H675" s="31" t="str">
        <f>IFERROR(__xludf.DUMMYFUNCTION("if(len(A675) &gt; 0, JOIN(char(10), FILTER(SPLIT(A675, char(10)), split(""false false "" &amp; rept(""true "", columns(SPLIT(A675, char(10)))-3) &amp; ""false"", "" ""))), """")"),"")</f>
        <v/>
      </c>
    </row>
    <row r="676">
      <c r="A676" s="31"/>
      <c r="B676" s="17" t="str">
        <f>IFERROR(__xludf.DUMMYFUNCTION("if(len(A676)&gt;0, value(REGEXEXTRACT(A676, ""Chapter ([0-9]*):"")), """")"),"")</f>
        <v/>
      </c>
      <c r="C676" s="31" t="str">
        <f>IFERROR(__xludf.DUMMYFUNCTION("if(len(A676) &gt;0, REGEXEXTRACT(A676, ""Chapter [0-9]*: (.*)""), """")"),"")</f>
        <v/>
      </c>
      <c r="D676" s="31" t="str">
        <f>IFERROR(__xludf.DUMMYFUNCTION("if(len(A676)&gt;0, REGEXEXTRACT(A676, ""\n[^\(]*""), """")"),"")</f>
        <v/>
      </c>
      <c r="E676" s="17" t="str">
        <f>IFERROR(__xludf.DUMMYFUNCTION("if(len(A676)&gt;0, REGEXEXTRACT(A676, ""\n([^\n]*)$""), """")"),"")</f>
        <v/>
      </c>
      <c r="F676" s="17" t="str">
        <f>IFERROR(__xludf.DUMMYFUNCTION("if(len(A676)&gt;0, REGEXEXTRACT(A676, ""\(([^\)]*)\)""), """")"),"")</f>
        <v/>
      </c>
      <c r="G676" s="17" t="str">
        <f>IFERROR(__xludf.DUMMYFUNCTION("if(len(A676)&gt;0, REGEXEXTRACT(A676, ""\)([^:]*):""), """")"),"")</f>
        <v/>
      </c>
      <c r="H676" s="31" t="str">
        <f>IFERROR(__xludf.DUMMYFUNCTION("if(len(A676) &gt; 0, JOIN(char(10), FILTER(SPLIT(A676, char(10)), split(""false false "" &amp; rept(""true "", columns(SPLIT(A676, char(10)))-3) &amp; ""false"", "" ""))), """")"),"")</f>
        <v/>
      </c>
    </row>
    <row r="677">
      <c r="A677" s="31"/>
      <c r="B677" s="17" t="str">
        <f>IFERROR(__xludf.DUMMYFUNCTION("if(len(A677)&gt;0, value(REGEXEXTRACT(A677, ""Chapter ([0-9]*):"")), """")"),"")</f>
        <v/>
      </c>
      <c r="C677" s="31" t="str">
        <f>IFERROR(__xludf.DUMMYFUNCTION("if(len(A677) &gt;0, REGEXEXTRACT(A677, ""Chapter [0-9]*: (.*)""), """")"),"")</f>
        <v/>
      </c>
      <c r="D677" s="31" t="str">
        <f>IFERROR(__xludf.DUMMYFUNCTION("if(len(A677)&gt;0, REGEXEXTRACT(A677, ""\n[^\(]*""), """")"),"")</f>
        <v/>
      </c>
      <c r="E677" s="17" t="str">
        <f>IFERROR(__xludf.DUMMYFUNCTION("if(len(A677)&gt;0, REGEXEXTRACT(A677, ""\n([^\n]*)$""), """")"),"")</f>
        <v/>
      </c>
      <c r="F677" s="17" t="str">
        <f>IFERROR(__xludf.DUMMYFUNCTION("if(len(A677)&gt;0, REGEXEXTRACT(A677, ""\(([^\)]*)\)""), """")"),"")</f>
        <v/>
      </c>
      <c r="G677" s="17" t="str">
        <f>IFERROR(__xludf.DUMMYFUNCTION("if(len(A677)&gt;0, REGEXEXTRACT(A677, ""\)([^:]*):""), """")"),"")</f>
        <v/>
      </c>
      <c r="H677" s="31" t="str">
        <f>IFERROR(__xludf.DUMMYFUNCTION("if(len(A677) &gt; 0, JOIN(char(10), FILTER(SPLIT(A677, char(10)), split(""false false "" &amp; rept(""true "", columns(SPLIT(A677, char(10)))-3) &amp; ""false"", "" ""))), """")"),"")</f>
        <v/>
      </c>
    </row>
    <row r="678">
      <c r="A678" s="31"/>
      <c r="B678" s="17" t="str">
        <f>IFERROR(__xludf.DUMMYFUNCTION("if(len(A678)&gt;0, value(REGEXEXTRACT(A678, ""Chapter ([0-9]*):"")), """")"),"")</f>
        <v/>
      </c>
      <c r="C678" s="31" t="str">
        <f>IFERROR(__xludf.DUMMYFUNCTION("if(len(A678) &gt;0, REGEXEXTRACT(A678, ""Chapter [0-9]*: (.*)""), """")"),"")</f>
        <v/>
      </c>
      <c r="D678" s="31" t="str">
        <f>IFERROR(__xludf.DUMMYFUNCTION("if(len(A678)&gt;0, REGEXEXTRACT(A678, ""\n[^\(]*""), """")"),"")</f>
        <v/>
      </c>
      <c r="E678" s="17" t="str">
        <f>IFERROR(__xludf.DUMMYFUNCTION("if(len(A678)&gt;0, REGEXEXTRACT(A678, ""\n([^\n]*)$""), """")"),"")</f>
        <v/>
      </c>
      <c r="F678" s="17" t="str">
        <f>IFERROR(__xludf.DUMMYFUNCTION("if(len(A678)&gt;0, REGEXEXTRACT(A678, ""\(([^\)]*)\)""), """")"),"")</f>
        <v/>
      </c>
      <c r="G678" s="17" t="str">
        <f>IFERROR(__xludf.DUMMYFUNCTION("if(len(A678)&gt;0, REGEXEXTRACT(A678, ""\)([^:]*):""), """")"),"")</f>
        <v/>
      </c>
      <c r="H678" s="31" t="str">
        <f>IFERROR(__xludf.DUMMYFUNCTION("if(len(A678) &gt; 0, JOIN(char(10), FILTER(SPLIT(A678, char(10)), split(""false false "" &amp; rept(""true "", columns(SPLIT(A678, char(10)))-3) &amp; ""false"", "" ""))), """")"),"")</f>
        <v/>
      </c>
    </row>
    <row r="679">
      <c r="A679" s="31"/>
      <c r="B679" s="17" t="str">
        <f>IFERROR(__xludf.DUMMYFUNCTION("if(len(A679)&gt;0, value(REGEXEXTRACT(A679, ""Chapter ([0-9]*):"")), """")"),"")</f>
        <v/>
      </c>
      <c r="C679" s="31" t="str">
        <f>IFERROR(__xludf.DUMMYFUNCTION("if(len(A679) &gt;0, REGEXEXTRACT(A679, ""Chapter [0-9]*: (.*)""), """")"),"")</f>
        <v/>
      </c>
      <c r="D679" s="31" t="str">
        <f>IFERROR(__xludf.DUMMYFUNCTION("if(len(A679)&gt;0, REGEXEXTRACT(A679, ""\n[^\(]*""), """")"),"")</f>
        <v/>
      </c>
      <c r="E679" s="17" t="str">
        <f>IFERROR(__xludf.DUMMYFUNCTION("if(len(A679)&gt;0, REGEXEXTRACT(A679, ""\n([^\n]*)$""), """")"),"")</f>
        <v/>
      </c>
      <c r="F679" s="17" t="str">
        <f>IFERROR(__xludf.DUMMYFUNCTION("if(len(A679)&gt;0, REGEXEXTRACT(A679, ""\(([^\)]*)\)""), """")"),"")</f>
        <v/>
      </c>
      <c r="G679" s="17" t="str">
        <f>IFERROR(__xludf.DUMMYFUNCTION("if(len(A679)&gt;0, REGEXEXTRACT(A679, ""\)([^:]*):""), """")"),"")</f>
        <v/>
      </c>
      <c r="H679" s="31" t="str">
        <f>IFERROR(__xludf.DUMMYFUNCTION("if(len(A679) &gt; 0, JOIN(char(10), FILTER(SPLIT(A679, char(10)), split(""false false "" &amp; rept(""true "", columns(SPLIT(A679, char(10)))-3) &amp; ""false"", "" ""))), """")"),"")</f>
        <v/>
      </c>
    </row>
    <row r="680">
      <c r="A680" s="31"/>
      <c r="B680" s="17" t="str">
        <f>IFERROR(__xludf.DUMMYFUNCTION("if(len(A680)&gt;0, value(REGEXEXTRACT(A680, ""Chapter ([0-9]*):"")), """")"),"")</f>
        <v/>
      </c>
      <c r="C680" s="31" t="str">
        <f>IFERROR(__xludf.DUMMYFUNCTION("if(len(A680) &gt;0, REGEXEXTRACT(A680, ""Chapter [0-9]*: (.*)""), """")"),"")</f>
        <v/>
      </c>
      <c r="D680" s="31" t="str">
        <f>IFERROR(__xludf.DUMMYFUNCTION("if(len(A680)&gt;0, REGEXEXTRACT(A680, ""\n[^\(]*""), """")"),"")</f>
        <v/>
      </c>
      <c r="E680" s="17" t="str">
        <f>IFERROR(__xludf.DUMMYFUNCTION("if(len(A680)&gt;0, REGEXEXTRACT(A680, ""\n([^\n]*)$""), """")"),"")</f>
        <v/>
      </c>
      <c r="F680" s="17" t="str">
        <f>IFERROR(__xludf.DUMMYFUNCTION("if(len(A680)&gt;0, REGEXEXTRACT(A680, ""\(([^\)]*)\)""), """")"),"")</f>
        <v/>
      </c>
      <c r="G680" s="17" t="str">
        <f>IFERROR(__xludf.DUMMYFUNCTION("if(len(A680)&gt;0, REGEXEXTRACT(A680, ""\)([^:]*):""), """")"),"")</f>
        <v/>
      </c>
      <c r="H680" s="31" t="str">
        <f>IFERROR(__xludf.DUMMYFUNCTION("if(len(A680) &gt; 0, JOIN(char(10), FILTER(SPLIT(A680, char(10)), split(""false false "" &amp; rept(""true "", columns(SPLIT(A680, char(10)))-3) &amp; ""false"", "" ""))), """")"),"")</f>
        <v/>
      </c>
    </row>
    <row r="681">
      <c r="A681" s="31"/>
      <c r="B681" s="17" t="str">
        <f>IFERROR(__xludf.DUMMYFUNCTION("if(len(A681)&gt;0, value(REGEXEXTRACT(A681, ""Chapter ([0-9]*):"")), """")"),"")</f>
        <v/>
      </c>
      <c r="C681" s="31" t="str">
        <f>IFERROR(__xludf.DUMMYFUNCTION("if(len(A681) &gt;0, REGEXEXTRACT(A681, ""Chapter [0-9]*: (.*)""), """")"),"")</f>
        <v/>
      </c>
      <c r="D681" s="31" t="str">
        <f>IFERROR(__xludf.DUMMYFUNCTION("if(len(A681)&gt;0, REGEXEXTRACT(A681, ""\n[^\(]*""), """")"),"")</f>
        <v/>
      </c>
      <c r="E681" s="17" t="str">
        <f>IFERROR(__xludf.DUMMYFUNCTION("if(len(A681)&gt;0, REGEXEXTRACT(A681, ""\n([^\n]*)$""), """")"),"")</f>
        <v/>
      </c>
      <c r="F681" s="17" t="str">
        <f>IFERROR(__xludf.DUMMYFUNCTION("if(len(A681)&gt;0, REGEXEXTRACT(A681, ""\(([^\)]*)\)""), """")"),"")</f>
        <v/>
      </c>
      <c r="G681" s="17" t="str">
        <f>IFERROR(__xludf.DUMMYFUNCTION("if(len(A681)&gt;0, REGEXEXTRACT(A681, ""\)([^:]*):""), """")"),"")</f>
        <v/>
      </c>
      <c r="H681" s="31" t="str">
        <f>IFERROR(__xludf.DUMMYFUNCTION("if(len(A681) &gt; 0, JOIN(char(10), FILTER(SPLIT(A681, char(10)), split(""false false "" &amp; rept(""true "", columns(SPLIT(A681, char(10)))-3) &amp; ""false"", "" ""))), """")"),"")</f>
        <v/>
      </c>
    </row>
    <row r="682">
      <c r="A682" s="31"/>
      <c r="B682" s="17" t="str">
        <f>IFERROR(__xludf.DUMMYFUNCTION("if(len(A682)&gt;0, value(REGEXEXTRACT(A682, ""Chapter ([0-9]*):"")), """")"),"")</f>
        <v/>
      </c>
      <c r="C682" s="31" t="str">
        <f>IFERROR(__xludf.DUMMYFUNCTION("if(len(A682) &gt;0, REGEXEXTRACT(A682, ""Chapter [0-9]*: (.*)""), """")"),"")</f>
        <v/>
      </c>
      <c r="D682" s="31" t="str">
        <f>IFERROR(__xludf.DUMMYFUNCTION("if(len(A682)&gt;0, REGEXEXTRACT(A682, ""\n[^\(]*""), """")"),"")</f>
        <v/>
      </c>
      <c r="E682" s="17" t="str">
        <f>IFERROR(__xludf.DUMMYFUNCTION("if(len(A682)&gt;0, REGEXEXTRACT(A682, ""\n([^\n]*)$""), """")"),"")</f>
        <v/>
      </c>
      <c r="F682" s="17" t="str">
        <f>IFERROR(__xludf.DUMMYFUNCTION("if(len(A682)&gt;0, REGEXEXTRACT(A682, ""\(([^\)]*)\)""), """")"),"")</f>
        <v/>
      </c>
      <c r="G682" s="17" t="str">
        <f>IFERROR(__xludf.DUMMYFUNCTION("if(len(A682)&gt;0, REGEXEXTRACT(A682, ""\)([^:]*):""), """")"),"")</f>
        <v/>
      </c>
      <c r="H682" s="31" t="str">
        <f>IFERROR(__xludf.DUMMYFUNCTION("if(len(A682) &gt; 0, JOIN(char(10), FILTER(SPLIT(A682, char(10)), split(""false false "" &amp; rept(""true "", columns(SPLIT(A682, char(10)))-3) &amp; ""false"", "" ""))), """")"),"")</f>
        <v/>
      </c>
    </row>
    <row r="683">
      <c r="A683" s="31"/>
      <c r="B683" s="17" t="str">
        <f>IFERROR(__xludf.DUMMYFUNCTION("if(len(A683)&gt;0, value(REGEXEXTRACT(A683, ""Chapter ([0-9]*):"")), """")"),"")</f>
        <v/>
      </c>
      <c r="C683" s="31" t="str">
        <f>IFERROR(__xludf.DUMMYFUNCTION("if(len(A683) &gt;0, REGEXEXTRACT(A683, ""Chapter [0-9]*: (.*)""), """")"),"")</f>
        <v/>
      </c>
      <c r="D683" s="31" t="str">
        <f>IFERROR(__xludf.DUMMYFUNCTION("if(len(A683)&gt;0, REGEXEXTRACT(A683, ""\n[^\(]*""), """")"),"")</f>
        <v/>
      </c>
      <c r="E683" s="17" t="str">
        <f>IFERROR(__xludf.DUMMYFUNCTION("if(len(A683)&gt;0, REGEXEXTRACT(A683, ""\n([^\n]*)$""), """")"),"")</f>
        <v/>
      </c>
      <c r="F683" s="17" t="str">
        <f>IFERROR(__xludf.DUMMYFUNCTION("if(len(A683)&gt;0, REGEXEXTRACT(A683, ""\(([^\)]*)\)""), """")"),"")</f>
        <v/>
      </c>
      <c r="G683" s="17" t="str">
        <f>IFERROR(__xludf.DUMMYFUNCTION("if(len(A683)&gt;0, REGEXEXTRACT(A683, ""\)([^:]*):""), """")"),"")</f>
        <v/>
      </c>
      <c r="H683" s="31" t="str">
        <f>IFERROR(__xludf.DUMMYFUNCTION("if(len(A683) &gt; 0, JOIN(char(10), FILTER(SPLIT(A683, char(10)), split(""false false "" &amp; rept(""true "", columns(SPLIT(A683, char(10)))-3) &amp; ""false"", "" ""))), """")"),"")</f>
        <v/>
      </c>
    </row>
    <row r="684">
      <c r="A684" s="31"/>
      <c r="B684" s="17" t="str">
        <f>IFERROR(__xludf.DUMMYFUNCTION("if(len(A684)&gt;0, value(REGEXEXTRACT(A684, ""Chapter ([0-9]*):"")), """")"),"")</f>
        <v/>
      </c>
      <c r="C684" s="31" t="str">
        <f>IFERROR(__xludf.DUMMYFUNCTION("if(len(A684) &gt;0, REGEXEXTRACT(A684, ""Chapter [0-9]*: (.*)""), """")"),"")</f>
        <v/>
      </c>
      <c r="D684" s="31" t="str">
        <f>IFERROR(__xludf.DUMMYFUNCTION("if(len(A684)&gt;0, REGEXEXTRACT(A684, ""\n[^\(]*""), """")"),"")</f>
        <v/>
      </c>
      <c r="E684" s="17" t="str">
        <f>IFERROR(__xludf.DUMMYFUNCTION("if(len(A684)&gt;0, REGEXEXTRACT(A684, ""\n([^\n]*)$""), """")"),"")</f>
        <v/>
      </c>
      <c r="F684" s="17" t="str">
        <f>IFERROR(__xludf.DUMMYFUNCTION("if(len(A684)&gt;0, REGEXEXTRACT(A684, ""\(([^\)]*)\)""), """")"),"")</f>
        <v/>
      </c>
      <c r="G684" s="17" t="str">
        <f>IFERROR(__xludf.DUMMYFUNCTION("if(len(A684)&gt;0, REGEXEXTRACT(A684, ""\)([^:]*):""), """")"),"")</f>
        <v/>
      </c>
      <c r="H684" s="31" t="str">
        <f>IFERROR(__xludf.DUMMYFUNCTION("if(len(A684) &gt; 0, JOIN(char(10), FILTER(SPLIT(A684, char(10)), split(""false false "" &amp; rept(""true "", columns(SPLIT(A684, char(10)))-3) &amp; ""false"", "" ""))), """")"),"")</f>
        <v/>
      </c>
    </row>
    <row r="685">
      <c r="A685" s="31"/>
      <c r="B685" s="17" t="str">
        <f>IFERROR(__xludf.DUMMYFUNCTION("if(len(A685)&gt;0, value(REGEXEXTRACT(A685, ""Chapter ([0-9]*):"")), """")"),"")</f>
        <v/>
      </c>
      <c r="C685" s="31" t="str">
        <f>IFERROR(__xludf.DUMMYFUNCTION("if(len(A685) &gt;0, REGEXEXTRACT(A685, ""Chapter [0-9]*: (.*)""), """")"),"")</f>
        <v/>
      </c>
      <c r="D685" s="31" t="str">
        <f>IFERROR(__xludf.DUMMYFUNCTION("if(len(A685)&gt;0, REGEXEXTRACT(A685, ""\n[^\(]*""), """")"),"")</f>
        <v/>
      </c>
      <c r="E685" s="17" t="str">
        <f>IFERROR(__xludf.DUMMYFUNCTION("if(len(A685)&gt;0, REGEXEXTRACT(A685, ""\n([^\n]*)$""), """")"),"")</f>
        <v/>
      </c>
      <c r="F685" s="17" t="str">
        <f>IFERROR(__xludf.DUMMYFUNCTION("if(len(A685)&gt;0, REGEXEXTRACT(A685, ""\(([^\)]*)\)""), """")"),"")</f>
        <v/>
      </c>
      <c r="G685" s="17" t="str">
        <f>IFERROR(__xludf.DUMMYFUNCTION("if(len(A685)&gt;0, REGEXEXTRACT(A685, ""\)([^:]*):""), """")"),"")</f>
        <v/>
      </c>
      <c r="H685" s="31" t="str">
        <f>IFERROR(__xludf.DUMMYFUNCTION("if(len(A685) &gt; 0, JOIN(char(10), FILTER(SPLIT(A685, char(10)), split(""false false "" &amp; rept(""true "", columns(SPLIT(A685, char(10)))-3) &amp; ""false"", "" ""))), """")"),"")</f>
        <v/>
      </c>
    </row>
    <row r="686">
      <c r="A686" s="31"/>
      <c r="B686" s="17" t="str">
        <f>IFERROR(__xludf.DUMMYFUNCTION("if(len(A686)&gt;0, value(REGEXEXTRACT(A686, ""Chapter ([0-9]*):"")), """")"),"")</f>
        <v/>
      </c>
      <c r="C686" s="31" t="str">
        <f>IFERROR(__xludf.DUMMYFUNCTION("if(len(A686) &gt;0, REGEXEXTRACT(A686, ""Chapter [0-9]*: (.*)""), """")"),"")</f>
        <v/>
      </c>
      <c r="D686" s="31" t="str">
        <f>IFERROR(__xludf.DUMMYFUNCTION("if(len(A686)&gt;0, REGEXEXTRACT(A686, ""\n[^\(]*""), """")"),"")</f>
        <v/>
      </c>
      <c r="E686" s="17" t="str">
        <f>IFERROR(__xludf.DUMMYFUNCTION("if(len(A686)&gt;0, REGEXEXTRACT(A686, ""\n([^\n]*)$""), """")"),"")</f>
        <v/>
      </c>
      <c r="F686" s="17" t="str">
        <f>IFERROR(__xludf.DUMMYFUNCTION("if(len(A686)&gt;0, REGEXEXTRACT(A686, ""\(([^\)]*)\)""), """")"),"")</f>
        <v/>
      </c>
      <c r="G686" s="17" t="str">
        <f>IFERROR(__xludf.DUMMYFUNCTION("if(len(A686)&gt;0, REGEXEXTRACT(A686, ""\)([^:]*):""), """")"),"")</f>
        <v/>
      </c>
      <c r="H686" s="31" t="str">
        <f>IFERROR(__xludf.DUMMYFUNCTION("if(len(A686) &gt; 0, JOIN(char(10), FILTER(SPLIT(A686, char(10)), split(""false false "" &amp; rept(""true "", columns(SPLIT(A686, char(10)))-3) &amp; ""false"", "" ""))), """")"),"")</f>
        <v/>
      </c>
    </row>
    <row r="687">
      <c r="A687" s="31"/>
      <c r="B687" s="17" t="str">
        <f>IFERROR(__xludf.DUMMYFUNCTION("if(len(A687)&gt;0, value(REGEXEXTRACT(A687, ""Chapter ([0-9]*):"")), """")"),"")</f>
        <v/>
      </c>
      <c r="C687" s="31" t="str">
        <f>IFERROR(__xludf.DUMMYFUNCTION("if(len(A687) &gt;0, REGEXEXTRACT(A687, ""Chapter [0-9]*: (.*)""), """")"),"")</f>
        <v/>
      </c>
      <c r="D687" s="31" t="str">
        <f>IFERROR(__xludf.DUMMYFUNCTION("if(len(A687)&gt;0, REGEXEXTRACT(A687, ""\n[^\(]*""), """")"),"")</f>
        <v/>
      </c>
      <c r="E687" s="17" t="str">
        <f>IFERROR(__xludf.DUMMYFUNCTION("if(len(A687)&gt;0, REGEXEXTRACT(A687, ""\n([^\n]*)$""), """")"),"")</f>
        <v/>
      </c>
      <c r="F687" s="17" t="str">
        <f>IFERROR(__xludf.DUMMYFUNCTION("if(len(A687)&gt;0, REGEXEXTRACT(A687, ""\(([^\)]*)\)""), """")"),"")</f>
        <v/>
      </c>
      <c r="G687" s="17" t="str">
        <f>IFERROR(__xludf.DUMMYFUNCTION("if(len(A687)&gt;0, REGEXEXTRACT(A687, ""\)([^:]*):""), """")"),"")</f>
        <v/>
      </c>
      <c r="H687" s="31" t="str">
        <f>IFERROR(__xludf.DUMMYFUNCTION("if(len(A687) &gt; 0, JOIN(char(10), FILTER(SPLIT(A687, char(10)), split(""false false "" &amp; rept(""true "", columns(SPLIT(A687, char(10)))-3) &amp; ""false"", "" ""))), """")"),"")</f>
        <v/>
      </c>
    </row>
    <row r="688">
      <c r="A688" s="31"/>
      <c r="B688" s="17" t="str">
        <f>IFERROR(__xludf.DUMMYFUNCTION("if(len(A688)&gt;0, value(REGEXEXTRACT(A688, ""Chapter ([0-9]*):"")), """")"),"")</f>
        <v/>
      </c>
      <c r="C688" s="31" t="str">
        <f>IFERROR(__xludf.DUMMYFUNCTION("if(len(A688) &gt;0, REGEXEXTRACT(A688, ""Chapter [0-9]*: (.*)""), """")"),"")</f>
        <v/>
      </c>
      <c r="D688" s="31" t="str">
        <f>IFERROR(__xludf.DUMMYFUNCTION("if(len(A688)&gt;0, REGEXEXTRACT(A688, ""\n[^\(]*""), """")"),"")</f>
        <v/>
      </c>
      <c r="E688" s="17" t="str">
        <f>IFERROR(__xludf.DUMMYFUNCTION("if(len(A688)&gt;0, REGEXEXTRACT(A688, ""\n([^\n]*)$""), """")"),"")</f>
        <v/>
      </c>
      <c r="F688" s="17" t="str">
        <f>IFERROR(__xludf.DUMMYFUNCTION("if(len(A688)&gt;0, REGEXEXTRACT(A688, ""\(([^\)]*)\)""), """")"),"")</f>
        <v/>
      </c>
      <c r="G688" s="17" t="str">
        <f>IFERROR(__xludf.DUMMYFUNCTION("if(len(A688)&gt;0, REGEXEXTRACT(A688, ""\)([^:]*):""), """")"),"")</f>
        <v/>
      </c>
      <c r="H688" s="31" t="str">
        <f>IFERROR(__xludf.DUMMYFUNCTION("if(len(A688) &gt; 0, JOIN(char(10), FILTER(SPLIT(A688, char(10)), split(""false false "" &amp; rept(""true "", columns(SPLIT(A688, char(10)))-3) &amp; ""false"", "" ""))), """")"),"")</f>
        <v/>
      </c>
    </row>
    <row r="689">
      <c r="A689" s="31"/>
      <c r="B689" s="17" t="str">
        <f>IFERROR(__xludf.DUMMYFUNCTION("if(len(A689)&gt;0, value(REGEXEXTRACT(A689, ""Chapter ([0-9]*):"")), """")"),"")</f>
        <v/>
      </c>
      <c r="C689" s="31" t="str">
        <f>IFERROR(__xludf.DUMMYFUNCTION("if(len(A689) &gt;0, REGEXEXTRACT(A689, ""Chapter [0-9]*: (.*)""), """")"),"")</f>
        <v/>
      </c>
      <c r="D689" s="31" t="str">
        <f>IFERROR(__xludf.DUMMYFUNCTION("if(len(A689)&gt;0, REGEXEXTRACT(A689, ""\n[^\(]*""), """")"),"")</f>
        <v/>
      </c>
      <c r="E689" s="17" t="str">
        <f>IFERROR(__xludf.DUMMYFUNCTION("if(len(A689)&gt;0, REGEXEXTRACT(A689, ""\n([^\n]*)$""), """")"),"")</f>
        <v/>
      </c>
      <c r="F689" s="17" t="str">
        <f>IFERROR(__xludf.DUMMYFUNCTION("if(len(A689)&gt;0, REGEXEXTRACT(A689, ""\(([^\)]*)\)""), """")"),"")</f>
        <v/>
      </c>
      <c r="G689" s="17" t="str">
        <f>IFERROR(__xludf.DUMMYFUNCTION("if(len(A689)&gt;0, REGEXEXTRACT(A689, ""\)([^:]*):""), """")"),"")</f>
        <v/>
      </c>
      <c r="H689" s="31" t="str">
        <f>IFERROR(__xludf.DUMMYFUNCTION("if(len(A689) &gt; 0, JOIN(char(10), FILTER(SPLIT(A689, char(10)), split(""false false "" &amp; rept(""true "", columns(SPLIT(A689, char(10)))-3) &amp; ""false"", "" ""))), """")"),"")</f>
        <v/>
      </c>
    </row>
    <row r="690">
      <c r="A690" s="31"/>
      <c r="B690" s="17" t="str">
        <f>IFERROR(__xludf.DUMMYFUNCTION("if(len(A690)&gt;0, value(REGEXEXTRACT(A690, ""Chapter ([0-9]*):"")), """")"),"")</f>
        <v/>
      </c>
      <c r="C690" s="31" t="str">
        <f>IFERROR(__xludf.DUMMYFUNCTION("if(len(A690) &gt;0, REGEXEXTRACT(A690, ""Chapter [0-9]*: (.*)""), """")"),"")</f>
        <v/>
      </c>
      <c r="D690" s="31" t="str">
        <f>IFERROR(__xludf.DUMMYFUNCTION("if(len(A690)&gt;0, REGEXEXTRACT(A690, ""\n[^\(]*""), """")"),"")</f>
        <v/>
      </c>
      <c r="E690" s="17" t="str">
        <f>IFERROR(__xludf.DUMMYFUNCTION("if(len(A690)&gt;0, REGEXEXTRACT(A690, ""\n([^\n]*)$""), """")"),"")</f>
        <v/>
      </c>
      <c r="F690" s="17" t="str">
        <f>IFERROR(__xludf.DUMMYFUNCTION("if(len(A690)&gt;0, REGEXEXTRACT(A690, ""\(([^\)]*)\)""), """")"),"")</f>
        <v/>
      </c>
      <c r="G690" s="17" t="str">
        <f>IFERROR(__xludf.DUMMYFUNCTION("if(len(A690)&gt;0, REGEXEXTRACT(A690, ""\)([^:]*):""), """")"),"")</f>
        <v/>
      </c>
      <c r="H690" s="31" t="str">
        <f>IFERROR(__xludf.DUMMYFUNCTION("if(len(A690) &gt; 0, JOIN(char(10), FILTER(SPLIT(A690, char(10)), split(""false false "" &amp; rept(""true "", columns(SPLIT(A690, char(10)))-3) &amp; ""false"", "" ""))), """")"),"")</f>
        <v/>
      </c>
    </row>
    <row r="691">
      <c r="A691" s="31"/>
      <c r="B691" s="17" t="str">
        <f>IFERROR(__xludf.DUMMYFUNCTION("if(len(A691)&gt;0, value(REGEXEXTRACT(A691, ""Chapter ([0-9]*):"")), """")"),"")</f>
        <v/>
      </c>
      <c r="C691" s="31" t="str">
        <f>IFERROR(__xludf.DUMMYFUNCTION("if(len(A691) &gt;0, REGEXEXTRACT(A691, ""Chapter [0-9]*: (.*)""), """")"),"")</f>
        <v/>
      </c>
      <c r="D691" s="31" t="str">
        <f>IFERROR(__xludf.DUMMYFUNCTION("if(len(A691)&gt;0, REGEXEXTRACT(A691, ""\n[^\(]*""), """")"),"")</f>
        <v/>
      </c>
      <c r="E691" s="17" t="str">
        <f>IFERROR(__xludf.DUMMYFUNCTION("if(len(A691)&gt;0, REGEXEXTRACT(A691, ""\n([^\n]*)$""), """")"),"")</f>
        <v/>
      </c>
      <c r="F691" s="17" t="str">
        <f>IFERROR(__xludf.DUMMYFUNCTION("if(len(A691)&gt;0, REGEXEXTRACT(A691, ""\(([^\)]*)\)""), """")"),"")</f>
        <v/>
      </c>
      <c r="G691" s="17" t="str">
        <f>IFERROR(__xludf.DUMMYFUNCTION("if(len(A691)&gt;0, REGEXEXTRACT(A691, ""\)([^:]*):""), """")"),"")</f>
        <v/>
      </c>
      <c r="H691" s="31" t="str">
        <f>IFERROR(__xludf.DUMMYFUNCTION("if(len(A691) &gt; 0, JOIN(char(10), FILTER(SPLIT(A691, char(10)), split(""false false "" &amp; rept(""true "", columns(SPLIT(A691, char(10)))-3) &amp; ""false"", "" ""))), """")"),"")</f>
        <v/>
      </c>
    </row>
    <row r="692">
      <c r="A692" s="31"/>
      <c r="B692" s="17" t="str">
        <f>IFERROR(__xludf.DUMMYFUNCTION("if(len(A692)&gt;0, value(REGEXEXTRACT(A692, ""Chapter ([0-9]*):"")), """")"),"")</f>
        <v/>
      </c>
      <c r="C692" s="31" t="str">
        <f>IFERROR(__xludf.DUMMYFUNCTION("if(len(A692) &gt;0, REGEXEXTRACT(A692, ""Chapter [0-9]*: (.*)""), """")"),"")</f>
        <v/>
      </c>
      <c r="D692" s="31" t="str">
        <f>IFERROR(__xludf.DUMMYFUNCTION("if(len(A692)&gt;0, REGEXEXTRACT(A692, ""\n[^\(]*""), """")"),"")</f>
        <v/>
      </c>
      <c r="E692" s="17" t="str">
        <f>IFERROR(__xludf.DUMMYFUNCTION("if(len(A692)&gt;0, REGEXEXTRACT(A692, ""\n([^\n]*)$""), """")"),"")</f>
        <v/>
      </c>
      <c r="F692" s="17" t="str">
        <f>IFERROR(__xludf.DUMMYFUNCTION("if(len(A692)&gt;0, REGEXEXTRACT(A692, ""\(([^\)]*)\)""), """")"),"")</f>
        <v/>
      </c>
      <c r="G692" s="17" t="str">
        <f>IFERROR(__xludf.DUMMYFUNCTION("if(len(A692)&gt;0, REGEXEXTRACT(A692, ""\)([^:]*):""), """")"),"")</f>
        <v/>
      </c>
      <c r="H692" s="31" t="str">
        <f>IFERROR(__xludf.DUMMYFUNCTION("if(len(A692) &gt; 0, JOIN(char(10), FILTER(SPLIT(A692, char(10)), split(""false false "" &amp; rept(""true "", columns(SPLIT(A692, char(10)))-3) &amp; ""false"", "" ""))), """")"),"")</f>
        <v/>
      </c>
    </row>
    <row r="693">
      <c r="A693" s="31"/>
      <c r="B693" s="17" t="str">
        <f>IFERROR(__xludf.DUMMYFUNCTION("if(len(A693)&gt;0, value(REGEXEXTRACT(A693, ""Chapter ([0-9]*):"")), """")"),"")</f>
        <v/>
      </c>
      <c r="C693" s="31" t="str">
        <f>IFERROR(__xludf.DUMMYFUNCTION("if(len(A693) &gt;0, REGEXEXTRACT(A693, ""Chapter [0-9]*: (.*)""), """")"),"")</f>
        <v/>
      </c>
      <c r="D693" s="31" t="str">
        <f>IFERROR(__xludf.DUMMYFUNCTION("if(len(A693)&gt;0, REGEXEXTRACT(A693, ""\n[^\(]*""), """")"),"")</f>
        <v/>
      </c>
      <c r="E693" s="17" t="str">
        <f>IFERROR(__xludf.DUMMYFUNCTION("if(len(A693)&gt;0, REGEXEXTRACT(A693, ""\n([^\n]*)$""), """")"),"")</f>
        <v/>
      </c>
      <c r="F693" s="17" t="str">
        <f>IFERROR(__xludf.DUMMYFUNCTION("if(len(A693)&gt;0, REGEXEXTRACT(A693, ""\(([^\)]*)\)""), """")"),"")</f>
        <v/>
      </c>
      <c r="G693" s="17" t="str">
        <f>IFERROR(__xludf.DUMMYFUNCTION("if(len(A693)&gt;0, REGEXEXTRACT(A693, ""\)([^:]*):""), """")"),"")</f>
        <v/>
      </c>
      <c r="H693" s="31" t="str">
        <f>IFERROR(__xludf.DUMMYFUNCTION("if(len(A693) &gt; 0, JOIN(char(10), FILTER(SPLIT(A693, char(10)), split(""false false "" &amp; rept(""true "", columns(SPLIT(A693, char(10)))-3) &amp; ""false"", "" ""))), """")"),"")</f>
        <v/>
      </c>
    </row>
    <row r="694">
      <c r="A694" s="31"/>
      <c r="B694" s="17" t="str">
        <f>IFERROR(__xludf.DUMMYFUNCTION("if(len(A694)&gt;0, value(REGEXEXTRACT(A694, ""Chapter ([0-9]*):"")), """")"),"")</f>
        <v/>
      </c>
      <c r="C694" s="31" t="str">
        <f>IFERROR(__xludf.DUMMYFUNCTION("if(len(A694) &gt;0, REGEXEXTRACT(A694, ""Chapter [0-9]*: (.*)""), """")"),"")</f>
        <v/>
      </c>
      <c r="D694" s="31" t="str">
        <f>IFERROR(__xludf.DUMMYFUNCTION("if(len(A694)&gt;0, REGEXEXTRACT(A694, ""\n[^\(]*""), """")"),"")</f>
        <v/>
      </c>
      <c r="E694" s="17" t="str">
        <f>IFERROR(__xludf.DUMMYFUNCTION("if(len(A694)&gt;0, REGEXEXTRACT(A694, ""\n([^\n]*)$""), """")"),"")</f>
        <v/>
      </c>
      <c r="F694" s="17" t="str">
        <f>IFERROR(__xludf.DUMMYFUNCTION("if(len(A694)&gt;0, REGEXEXTRACT(A694, ""\(([^\)]*)\)""), """")"),"")</f>
        <v/>
      </c>
      <c r="G694" s="17" t="str">
        <f>IFERROR(__xludf.DUMMYFUNCTION("if(len(A694)&gt;0, REGEXEXTRACT(A694, ""\)([^:]*):""), """")"),"")</f>
        <v/>
      </c>
      <c r="H694" s="31" t="str">
        <f>IFERROR(__xludf.DUMMYFUNCTION("if(len(A694) &gt; 0, JOIN(char(10), FILTER(SPLIT(A694, char(10)), split(""false false "" &amp; rept(""true "", columns(SPLIT(A694, char(10)))-3) &amp; ""false"", "" ""))), """")"),"")</f>
        <v/>
      </c>
    </row>
    <row r="695">
      <c r="A695" s="31"/>
      <c r="B695" s="17" t="str">
        <f>IFERROR(__xludf.DUMMYFUNCTION("if(len(A695)&gt;0, value(REGEXEXTRACT(A695, ""Chapter ([0-9]*):"")), """")"),"")</f>
        <v/>
      </c>
      <c r="C695" s="31" t="str">
        <f>IFERROR(__xludf.DUMMYFUNCTION("if(len(A695) &gt;0, REGEXEXTRACT(A695, ""Chapter [0-9]*: (.*)""), """")"),"")</f>
        <v/>
      </c>
      <c r="D695" s="31" t="str">
        <f>IFERROR(__xludf.DUMMYFUNCTION("if(len(A695)&gt;0, REGEXEXTRACT(A695, ""\n[^\(]*""), """")"),"")</f>
        <v/>
      </c>
      <c r="E695" s="17" t="str">
        <f>IFERROR(__xludf.DUMMYFUNCTION("if(len(A695)&gt;0, REGEXEXTRACT(A695, ""\n([^\n]*)$""), """")"),"")</f>
        <v/>
      </c>
      <c r="F695" s="17" t="str">
        <f>IFERROR(__xludf.DUMMYFUNCTION("if(len(A695)&gt;0, REGEXEXTRACT(A695, ""\(([^\)]*)\)""), """")"),"")</f>
        <v/>
      </c>
      <c r="G695" s="17" t="str">
        <f>IFERROR(__xludf.DUMMYFUNCTION("if(len(A695)&gt;0, REGEXEXTRACT(A695, ""\)([^:]*):""), """")"),"")</f>
        <v/>
      </c>
      <c r="H695" s="31" t="str">
        <f>IFERROR(__xludf.DUMMYFUNCTION("if(len(A695) &gt; 0, JOIN(char(10), FILTER(SPLIT(A695, char(10)), split(""false false "" &amp; rept(""true "", columns(SPLIT(A695, char(10)))-3) &amp; ""false"", "" ""))), """")"),"")</f>
        <v/>
      </c>
    </row>
    <row r="696">
      <c r="A696" s="31"/>
      <c r="B696" s="17" t="str">
        <f>IFERROR(__xludf.DUMMYFUNCTION("if(len(A696)&gt;0, value(REGEXEXTRACT(A696, ""Chapter ([0-9]*):"")), """")"),"")</f>
        <v/>
      </c>
      <c r="C696" s="31" t="str">
        <f>IFERROR(__xludf.DUMMYFUNCTION("if(len(A696) &gt;0, REGEXEXTRACT(A696, ""Chapter [0-9]*: (.*)""), """")"),"")</f>
        <v/>
      </c>
      <c r="D696" s="31" t="str">
        <f>IFERROR(__xludf.DUMMYFUNCTION("if(len(A696)&gt;0, REGEXEXTRACT(A696, ""\n[^\(]*""), """")"),"")</f>
        <v/>
      </c>
      <c r="E696" s="17" t="str">
        <f>IFERROR(__xludf.DUMMYFUNCTION("if(len(A696)&gt;0, REGEXEXTRACT(A696, ""\n([^\n]*)$""), """")"),"")</f>
        <v/>
      </c>
      <c r="F696" s="17" t="str">
        <f>IFERROR(__xludf.DUMMYFUNCTION("if(len(A696)&gt;0, REGEXEXTRACT(A696, ""\(([^\)]*)\)""), """")"),"")</f>
        <v/>
      </c>
      <c r="G696" s="17" t="str">
        <f>IFERROR(__xludf.DUMMYFUNCTION("if(len(A696)&gt;0, REGEXEXTRACT(A696, ""\)([^:]*):""), """")"),"")</f>
        <v/>
      </c>
      <c r="H696" s="31" t="str">
        <f>IFERROR(__xludf.DUMMYFUNCTION("if(len(A696) &gt; 0, JOIN(char(10), FILTER(SPLIT(A696, char(10)), split(""false false "" &amp; rept(""true "", columns(SPLIT(A696, char(10)))-3) &amp; ""false"", "" ""))), """")"),"")</f>
        <v/>
      </c>
    </row>
    <row r="697">
      <c r="A697" s="31"/>
      <c r="B697" s="17" t="str">
        <f>IFERROR(__xludf.DUMMYFUNCTION("if(len(A697)&gt;0, value(REGEXEXTRACT(A697, ""Chapter ([0-9]*):"")), """")"),"")</f>
        <v/>
      </c>
      <c r="C697" s="31" t="str">
        <f>IFERROR(__xludf.DUMMYFUNCTION("if(len(A697) &gt;0, REGEXEXTRACT(A697, ""Chapter [0-9]*: (.*)""), """")"),"")</f>
        <v/>
      </c>
      <c r="D697" s="31" t="str">
        <f>IFERROR(__xludf.DUMMYFUNCTION("if(len(A697)&gt;0, REGEXEXTRACT(A697, ""\n[^\(]*""), """")"),"")</f>
        <v/>
      </c>
      <c r="E697" s="17" t="str">
        <f>IFERROR(__xludf.DUMMYFUNCTION("if(len(A697)&gt;0, REGEXEXTRACT(A697, ""\n([^\n]*)$""), """")"),"")</f>
        <v/>
      </c>
      <c r="F697" s="17" t="str">
        <f>IFERROR(__xludf.DUMMYFUNCTION("if(len(A697)&gt;0, REGEXEXTRACT(A697, ""\(([^\)]*)\)""), """")"),"")</f>
        <v/>
      </c>
      <c r="G697" s="17" t="str">
        <f>IFERROR(__xludf.DUMMYFUNCTION("if(len(A697)&gt;0, REGEXEXTRACT(A697, ""\)([^:]*):""), """")"),"")</f>
        <v/>
      </c>
      <c r="H697" s="31" t="str">
        <f>IFERROR(__xludf.DUMMYFUNCTION("if(len(A697) &gt; 0, JOIN(char(10), FILTER(SPLIT(A697, char(10)), split(""false false "" &amp; rept(""true "", columns(SPLIT(A697, char(10)))-3) &amp; ""false"", "" ""))), """")"),"")</f>
        <v/>
      </c>
    </row>
    <row r="698">
      <c r="A698" s="31"/>
      <c r="B698" s="17" t="str">
        <f>IFERROR(__xludf.DUMMYFUNCTION("if(len(A698)&gt;0, value(REGEXEXTRACT(A698, ""Chapter ([0-9]*):"")), """")"),"")</f>
        <v/>
      </c>
      <c r="C698" s="31" t="str">
        <f>IFERROR(__xludf.DUMMYFUNCTION("if(len(A698) &gt;0, REGEXEXTRACT(A698, ""Chapter [0-9]*: (.*)""), """")"),"")</f>
        <v/>
      </c>
      <c r="D698" s="31" t="str">
        <f>IFERROR(__xludf.DUMMYFUNCTION("if(len(A698)&gt;0, REGEXEXTRACT(A698, ""\n[^\(]*""), """")"),"")</f>
        <v/>
      </c>
      <c r="E698" s="17" t="str">
        <f>IFERROR(__xludf.DUMMYFUNCTION("if(len(A698)&gt;0, REGEXEXTRACT(A698, ""\n([^\n]*)$""), """")"),"")</f>
        <v/>
      </c>
      <c r="F698" s="17" t="str">
        <f>IFERROR(__xludf.DUMMYFUNCTION("if(len(A698)&gt;0, REGEXEXTRACT(A698, ""\(([^\)]*)\)""), """")"),"")</f>
        <v/>
      </c>
      <c r="G698" s="17" t="str">
        <f>IFERROR(__xludf.DUMMYFUNCTION("if(len(A698)&gt;0, REGEXEXTRACT(A698, ""\)([^:]*):""), """")"),"")</f>
        <v/>
      </c>
      <c r="H698" s="31" t="str">
        <f>IFERROR(__xludf.DUMMYFUNCTION("if(len(A698) &gt; 0, JOIN(char(10), FILTER(SPLIT(A698, char(10)), split(""false false "" &amp; rept(""true "", columns(SPLIT(A698, char(10)))-3) &amp; ""false"", "" ""))), """")"),"")</f>
        <v/>
      </c>
    </row>
    <row r="699">
      <c r="A699" s="31"/>
      <c r="B699" s="17" t="str">
        <f>IFERROR(__xludf.DUMMYFUNCTION("if(len(A699)&gt;0, value(REGEXEXTRACT(A699, ""Chapter ([0-9]*):"")), """")"),"")</f>
        <v/>
      </c>
      <c r="C699" s="31" t="str">
        <f>IFERROR(__xludf.DUMMYFUNCTION("if(len(A699) &gt;0, REGEXEXTRACT(A699, ""Chapter [0-9]*: (.*)""), """")"),"")</f>
        <v/>
      </c>
      <c r="D699" s="31" t="str">
        <f>IFERROR(__xludf.DUMMYFUNCTION("if(len(A699)&gt;0, REGEXEXTRACT(A699, ""\n[^\(]*""), """")"),"")</f>
        <v/>
      </c>
      <c r="E699" s="17" t="str">
        <f>IFERROR(__xludf.DUMMYFUNCTION("if(len(A699)&gt;0, REGEXEXTRACT(A699, ""\n([^\n]*)$""), """")"),"")</f>
        <v/>
      </c>
      <c r="F699" s="17" t="str">
        <f>IFERROR(__xludf.DUMMYFUNCTION("if(len(A699)&gt;0, REGEXEXTRACT(A699, ""\(([^\)]*)\)""), """")"),"")</f>
        <v/>
      </c>
      <c r="G699" s="17" t="str">
        <f>IFERROR(__xludf.DUMMYFUNCTION("if(len(A699)&gt;0, REGEXEXTRACT(A699, ""\)([^:]*):""), """")"),"")</f>
        <v/>
      </c>
      <c r="H699" s="31" t="str">
        <f>IFERROR(__xludf.DUMMYFUNCTION("if(len(A699) &gt; 0, JOIN(char(10), FILTER(SPLIT(A699, char(10)), split(""false false "" &amp; rept(""true "", columns(SPLIT(A699, char(10)))-3) &amp; ""false"", "" ""))), """")"),"")</f>
        <v/>
      </c>
    </row>
    <row r="700">
      <c r="A700" s="31"/>
      <c r="B700" s="17" t="str">
        <f>IFERROR(__xludf.DUMMYFUNCTION("if(len(A700)&gt;0, value(REGEXEXTRACT(A700, ""Chapter ([0-9]*):"")), """")"),"")</f>
        <v/>
      </c>
      <c r="C700" s="31" t="str">
        <f>IFERROR(__xludf.DUMMYFUNCTION("if(len(A700) &gt;0, REGEXEXTRACT(A700, ""Chapter [0-9]*: (.*)""), """")"),"")</f>
        <v/>
      </c>
      <c r="D700" s="31" t="str">
        <f>IFERROR(__xludf.DUMMYFUNCTION("if(len(A700)&gt;0, REGEXEXTRACT(A700, ""\n[^\(]*""), """")"),"")</f>
        <v/>
      </c>
      <c r="E700" s="17" t="str">
        <f>IFERROR(__xludf.DUMMYFUNCTION("if(len(A700)&gt;0, REGEXEXTRACT(A700, ""\n([^\n]*)$""), """")"),"")</f>
        <v/>
      </c>
      <c r="F700" s="17" t="str">
        <f>IFERROR(__xludf.DUMMYFUNCTION("if(len(A700)&gt;0, REGEXEXTRACT(A700, ""\(([^\)]*)\)""), """")"),"")</f>
        <v/>
      </c>
      <c r="G700" s="17" t="str">
        <f>IFERROR(__xludf.DUMMYFUNCTION("if(len(A700)&gt;0, REGEXEXTRACT(A700, ""\)([^:]*):""), """")"),"")</f>
        <v/>
      </c>
      <c r="H700" s="31" t="str">
        <f>IFERROR(__xludf.DUMMYFUNCTION("if(len(A700) &gt; 0, JOIN(char(10), FILTER(SPLIT(A700, char(10)), split(""false false "" &amp; rept(""true "", columns(SPLIT(A700, char(10)))-3) &amp; ""false"", "" ""))), """")"),"")</f>
        <v/>
      </c>
    </row>
    <row r="701">
      <c r="A701" s="31"/>
      <c r="B701" s="17" t="str">
        <f>IFERROR(__xludf.DUMMYFUNCTION("if(len(A701)&gt;0, value(REGEXEXTRACT(A701, ""Chapter ([0-9]*):"")), """")"),"")</f>
        <v/>
      </c>
      <c r="C701" s="31" t="str">
        <f>IFERROR(__xludf.DUMMYFUNCTION("if(len(A701) &gt;0, REGEXEXTRACT(A701, ""Chapter [0-9]*: (.*)""), """")"),"")</f>
        <v/>
      </c>
      <c r="D701" s="31" t="str">
        <f>IFERROR(__xludf.DUMMYFUNCTION("if(len(A701)&gt;0, REGEXEXTRACT(A701, ""\n[^\(]*""), """")"),"")</f>
        <v/>
      </c>
      <c r="E701" s="17" t="str">
        <f>IFERROR(__xludf.DUMMYFUNCTION("if(len(A701)&gt;0, REGEXEXTRACT(A701, ""\n([^\n]*)$""), """")"),"")</f>
        <v/>
      </c>
      <c r="F701" s="17" t="str">
        <f>IFERROR(__xludf.DUMMYFUNCTION("if(len(A701)&gt;0, REGEXEXTRACT(A701, ""\(([^\)]*)\)""), """")"),"")</f>
        <v/>
      </c>
      <c r="G701" s="17" t="str">
        <f>IFERROR(__xludf.DUMMYFUNCTION("if(len(A701)&gt;0, REGEXEXTRACT(A701, ""\)([^:]*):""), """")"),"")</f>
        <v/>
      </c>
      <c r="H701" s="31" t="str">
        <f>IFERROR(__xludf.DUMMYFUNCTION("if(len(A701) &gt; 0, JOIN(char(10), FILTER(SPLIT(A701, char(10)), split(""false false "" &amp; rept(""true "", columns(SPLIT(A701, char(10)))-3) &amp; ""false"", "" ""))), """")"),"")</f>
        <v/>
      </c>
    </row>
    <row r="702">
      <c r="A702" s="31"/>
      <c r="B702" s="17" t="str">
        <f>IFERROR(__xludf.DUMMYFUNCTION("if(len(A702)&gt;0, value(REGEXEXTRACT(A702, ""Chapter ([0-9]*):"")), """")"),"")</f>
        <v/>
      </c>
      <c r="C702" s="31" t="str">
        <f>IFERROR(__xludf.DUMMYFUNCTION("if(len(A702) &gt;0, REGEXEXTRACT(A702, ""Chapter [0-9]*: (.*)""), """")"),"")</f>
        <v/>
      </c>
      <c r="D702" s="31" t="str">
        <f>IFERROR(__xludf.DUMMYFUNCTION("if(len(A702)&gt;0, REGEXEXTRACT(A702, ""\n[^\(]*""), """")"),"")</f>
        <v/>
      </c>
      <c r="E702" s="17" t="str">
        <f>IFERROR(__xludf.DUMMYFUNCTION("if(len(A702)&gt;0, REGEXEXTRACT(A702, ""\n([^\n]*)$""), """")"),"")</f>
        <v/>
      </c>
      <c r="F702" s="17" t="str">
        <f>IFERROR(__xludf.DUMMYFUNCTION("if(len(A702)&gt;0, REGEXEXTRACT(A702, ""\(([^\)]*)\)""), """")"),"")</f>
        <v/>
      </c>
      <c r="G702" s="17" t="str">
        <f>IFERROR(__xludf.DUMMYFUNCTION("if(len(A702)&gt;0, REGEXEXTRACT(A702, ""\)([^:]*):""), """")"),"")</f>
        <v/>
      </c>
      <c r="H702" s="31" t="str">
        <f>IFERROR(__xludf.DUMMYFUNCTION("if(len(A702) &gt; 0, JOIN(char(10), FILTER(SPLIT(A702, char(10)), split(""false false "" &amp; rept(""true "", columns(SPLIT(A702, char(10)))-3) &amp; ""false"", "" ""))), """")"),"")</f>
        <v/>
      </c>
    </row>
    <row r="703">
      <c r="A703" s="31"/>
      <c r="B703" s="17" t="str">
        <f>IFERROR(__xludf.DUMMYFUNCTION("if(len(A703)&gt;0, value(REGEXEXTRACT(A703, ""Chapter ([0-9]*):"")), """")"),"")</f>
        <v/>
      </c>
      <c r="C703" s="31" t="str">
        <f>IFERROR(__xludf.DUMMYFUNCTION("if(len(A703) &gt;0, REGEXEXTRACT(A703, ""Chapter [0-9]*: (.*)""), """")"),"")</f>
        <v/>
      </c>
      <c r="D703" s="31" t="str">
        <f>IFERROR(__xludf.DUMMYFUNCTION("if(len(A703)&gt;0, REGEXEXTRACT(A703, ""\n[^\(]*""), """")"),"")</f>
        <v/>
      </c>
      <c r="E703" s="17" t="str">
        <f>IFERROR(__xludf.DUMMYFUNCTION("if(len(A703)&gt;0, REGEXEXTRACT(A703, ""\n([^\n]*)$""), """")"),"")</f>
        <v/>
      </c>
      <c r="F703" s="17" t="str">
        <f>IFERROR(__xludf.DUMMYFUNCTION("if(len(A703)&gt;0, REGEXEXTRACT(A703, ""\(([^\)]*)\)""), """")"),"")</f>
        <v/>
      </c>
      <c r="G703" s="17" t="str">
        <f>IFERROR(__xludf.DUMMYFUNCTION("if(len(A703)&gt;0, REGEXEXTRACT(A703, ""\)([^:]*):""), """")"),"")</f>
        <v/>
      </c>
      <c r="H703" s="31" t="str">
        <f>IFERROR(__xludf.DUMMYFUNCTION("if(len(A703) &gt; 0, JOIN(char(10), FILTER(SPLIT(A703, char(10)), split(""false false "" &amp; rept(""true "", columns(SPLIT(A703, char(10)))-3) &amp; ""false"", "" ""))), """")"),"")</f>
        <v/>
      </c>
    </row>
    <row r="704">
      <c r="A704" s="31"/>
      <c r="B704" s="17" t="str">
        <f>IFERROR(__xludf.DUMMYFUNCTION("if(len(A704)&gt;0, value(REGEXEXTRACT(A704, ""Chapter ([0-9]*):"")), """")"),"")</f>
        <v/>
      </c>
      <c r="C704" s="31" t="str">
        <f>IFERROR(__xludf.DUMMYFUNCTION("if(len(A704) &gt;0, REGEXEXTRACT(A704, ""Chapter [0-9]*: (.*)""), """")"),"")</f>
        <v/>
      </c>
      <c r="D704" s="31" t="str">
        <f>IFERROR(__xludf.DUMMYFUNCTION("if(len(A704)&gt;0, REGEXEXTRACT(A704, ""\n[^\(]*""), """")"),"")</f>
        <v/>
      </c>
      <c r="E704" s="17" t="str">
        <f>IFERROR(__xludf.DUMMYFUNCTION("if(len(A704)&gt;0, REGEXEXTRACT(A704, ""\n([^\n]*)$""), """")"),"")</f>
        <v/>
      </c>
      <c r="F704" s="17" t="str">
        <f>IFERROR(__xludf.DUMMYFUNCTION("if(len(A704)&gt;0, REGEXEXTRACT(A704, ""\(([^\)]*)\)""), """")"),"")</f>
        <v/>
      </c>
      <c r="G704" s="17" t="str">
        <f>IFERROR(__xludf.DUMMYFUNCTION("if(len(A704)&gt;0, REGEXEXTRACT(A704, ""\)([^:]*):""), """")"),"")</f>
        <v/>
      </c>
      <c r="H704" s="31" t="str">
        <f>IFERROR(__xludf.DUMMYFUNCTION("if(len(A704) &gt; 0, JOIN(char(10), FILTER(SPLIT(A704, char(10)), split(""false false "" &amp; rept(""true "", columns(SPLIT(A704, char(10)))-3) &amp; ""false"", "" ""))), """")"),"")</f>
        <v/>
      </c>
    </row>
    <row r="705">
      <c r="A705" s="31"/>
      <c r="B705" s="17" t="str">
        <f>IFERROR(__xludf.DUMMYFUNCTION("if(len(A705)&gt;0, value(REGEXEXTRACT(A705, ""Chapter ([0-9]*):"")), """")"),"")</f>
        <v/>
      </c>
      <c r="C705" s="31" t="str">
        <f>IFERROR(__xludf.DUMMYFUNCTION("if(len(A705) &gt;0, REGEXEXTRACT(A705, ""Chapter [0-9]*: (.*)""), """")"),"")</f>
        <v/>
      </c>
      <c r="D705" s="31" t="str">
        <f>IFERROR(__xludf.DUMMYFUNCTION("if(len(A705)&gt;0, REGEXEXTRACT(A705, ""\n[^\(]*""), """")"),"")</f>
        <v/>
      </c>
      <c r="E705" s="17" t="str">
        <f>IFERROR(__xludf.DUMMYFUNCTION("if(len(A705)&gt;0, REGEXEXTRACT(A705, ""\n([^\n]*)$""), """")"),"")</f>
        <v/>
      </c>
      <c r="F705" s="17" t="str">
        <f>IFERROR(__xludf.DUMMYFUNCTION("if(len(A705)&gt;0, REGEXEXTRACT(A705, ""\(([^\)]*)\)""), """")"),"")</f>
        <v/>
      </c>
      <c r="G705" s="17" t="str">
        <f>IFERROR(__xludf.DUMMYFUNCTION("if(len(A705)&gt;0, REGEXEXTRACT(A705, ""\)([^:]*):""), """")"),"")</f>
        <v/>
      </c>
      <c r="H705" s="31" t="str">
        <f>IFERROR(__xludf.DUMMYFUNCTION("if(len(A705) &gt; 0, JOIN(char(10), FILTER(SPLIT(A705, char(10)), split(""false false "" &amp; rept(""true "", columns(SPLIT(A705, char(10)))-3) &amp; ""false"", "" ""))), """")"),"")</f>
        <v/>
      </c>
    </row>
    <row r="706">
      <c r="A706" s="31"/>
      <c r="B706" s="17" t="str">
        <f>IFERROR(__xludf.DUMMYFUNCTION("if(len(A706)&gt;0, value(REGEXEXTRACT(A706, ""Chapter ([0-9]*):"")), """")"),"")</f>
        <v/>
      </c>
      <c r="C706" s="31" t="str">
        <f>IFERROR(__xludf.DUMMYFUNCTION("if(len(A706) &gt;0, REGEXEXTRACT(A706, ""Chapter [0-9]*: (.*)""), """")"),"")</f>
        <v/>
      </c>
      <c r="D706" s="31" t="str">
        <f>IFERROR(__xludf.DUMMYFUNCTION("if(len(A706)&gt;0, REGEXEXTRACT(A706, ""\n[^\(]*""), """")"),"")</f>
        <v/>
      </c>
      <c r="E706" s="17" t="str">
        <f>IFERROR(__xludf.DUMMYFUNCTION("if(len(A706)&gt;0, REGEXEXTRACT(A706, ""\n([^\n]*)$""), """")"),"")</f>
        <v/>
      </c>
      <c r="F706" s="17" t="str">
        <f>IFERROR(__xludf.DUMMYFUNCTION("if(len(A706)&gt;0, REGEXEXTRACT(A706, ""\(([^\)]*)\)""), """")"),"")</f>
        <v/>
      </c>
      <c r="G706" s="17" t="str">
        <f>IFERROR(__xludf.DUMMYFUNCTION("if(len(A706)&gt;0, REGEXEXTRACT(A706, ""\)([^:]*):""), """")"),"")</f>
        <v/>
      </c>
      <c r="H706" s="31" t="str">
        <f>IFERROR(__xludf.DUMMYFUNCTION("if(len(A706) &gt; 0, JOIN(char(10), FILTER(SPLIT(A706, char(10)), split(""false false "" &amp; rept(""true "", columns(SPLIT(A706, char(10)))-3) &amp; ""false"", "" ""))), """")"),"")</f>
        <v/>
      </c>
    </row>
    <row r="707">
      <c r="A707" s="31"/>
      <c r="B707" s="17" t="str">
        <f>IFERROR(__xludf.DUMMYFUNCTION("if(len(A707)&gt;0, value(REGEXEXTRACT(A707, ""Chapter ([0-9]*):"")), """")"),"")</f>
        <v/>
      </c>
      <c r="C707" s="31" t="str">
        <f>IFERROR(__xludf.DUMMYFUNCTION("if(len(A707) &gt;0, REGEXEXTRACT(A707, ""Chapter [0-9]*: (.*)""), """")"),"")</f>
        <v/>
      </c>
      <c r="D707" s="31" t="str">
        <f>IFERROR(__xludf.DUMMYFUNCTION("if(len(A707)&gt;0, REGEXEXTRACT(A707, ""\n[^\(]*""), """")"),"")</f>
        <v/>
      </c>
      <c r="E707" s="17" t="str">
        <f>IFERROR(__xludf.DUMMYFUNCTION("if(len(A707)&gt;0, REGEXEXTRACT(A707, ""\n([^\n]*)$""), """")"),"")</f>
        <v/>
      </c>
      <c r="F707" s="17" t="str">
        <f>IFERROR(__xludf.DUMMYFUNCTION("if(len(A707)&gt;0, REGEXEXTRACT(A707, ""\(([^\)]*)\)""), """")"),"")</f>
        <v/>
      </c>
      <c r="G707" s="17" t="str">
        <f>IFERROR(__xludf.DUMMYFUNCTION("if(len(A707)&gt;0, REGEXEXTRACT(A707, ""\)([^:]*):""), """")"),"")</f>
        <v/>
      </c>
      <c r="H707" s="31" t="str">
        <f>IFERROR(__xludf.DUMMYFUNCTION("if(len(A707) &gt; 0, JOIN(char(10), FILTER(SPLIT(A707, char(10)), split(""false false "" &amp; rept(""true "", columns(SPLIT(A707, char(10)))-3) &amp; ""false"", "" ""))), """")"),"")</f>
        <v/>
      </c>
    </row>
    <row r="708">
      <c r="A708" s="31"/>
      <c r="B708" s="17" t="str">
        <f>IFERROR(__xludf.DUMMYFUNCTION("if(len(A708)&gt;0, value(REGEXEXTRACT(A708, ""Chapter ([0-9]*):"")), """")"),"")</f>
        <v/>
      </c>
      <c r="C708" s="31" t="str">
        <f>IFERROR(__xludf.DUMMYFUNCTION("if(len(A708) &gt;0, REGEXEXTRACT(A708, ""Chapter [0-9]*: (.*)""), """")"),"")</f>
        <v/>
      </c>
      <c r="D708" s="31" t="str">
        <f>IFERROR(__xludf.DUMMYFUNCTION("if(len(A708)&gt;0, REGEXEXTRACT(A708, ""\n[^\(]*""), """")"),"")</f>
        <v/>
      </c>
      <c r="E708" s="17" t="str">
        <f>IFERROR(__xludf.DUMMYFUNCTION("if(len(A708)&gt;0, REGEXEXTRACT(A708, ""\n([^\n]*)$""), """")"),"")</f>
        <v/>
      </c>
      <c r="F708" s="17" t="str">
        <f>IFERROR(__xludf.DUMMYFUNCTION("if(len(A708)&gt;0, REGEXEXTRACT(A708, ""\(([^\)]*)\)""), """")"),"")</f>
        <v/>
      </c>
      <c r="G708" s="17" t="str">
        <f>IFERROR(__xludf.DUMMYFUNCTION("if(len(A708)&gt;0, REGEXEXTRACT(A708, ""\)([^:]*):""), """")"),"")</f>
        <v/>
      </c>
      <c r="H708" s="31" t="str">
        <f>IFERROR(__xludf.DUMMYFUNCTION("if(len(A708) &gt; 0, JOIN(char(10), FILTER(SPLIT(A708, char(10)), split(""false false "" &amp; rept(""true "", columns(SPLIT(A708, char(10)))-3) &amp; ""false"", "" ""))), """")"),"")</f>
        <v/>
      </c>
    </row>
    <row r="709">
      <c r="A709" s="31"/>
      <c r="B709" s="17" t="str">
        <f>IFERROR(__xludf.DUMMYFUNCTION("if(len(A709)&gt;0, value(REGEXEXTRACT(A709, ""Chapter ([0-9]*):"")), """")"),"")</f>
        <v/>
      </c>
      <c r="C709" s="31" t="str">
        <f>IFERROR(__xludf.DUMMYFUNCTION("if(len(A709) &gt;0, REGEXEXTRACT(A709, ""Chapter [0-9]*: (.*)""), """")"),"")</f>
        <v/>
      </c>
      <c r="D709" s="31" t="str">
        <f>IFERROR(__xludf.DUMMYFUNCTION("if(len(A709)&gt;0, REGEXEXTRACT(A709, ""\n[^\(]*""), """")"),"")</f>
        <v/>
      </c>
      <c r="E709" s="17" t="str">
        <f>IFERROR(__xludf.DUMMYFUNCTION("if(len(A709)&gt;0, REGEXEXTRACT(A709, ""\n([^\n]*)$""), """")"),"")</f>
        <v/>
      </c>
      <c r="F709" s="17" t="str">
        <f>IFERROR(__xludf.DUMMYFUNCTION("if(len(A709)&gt;0, REGEXEXTRACT(A709, ""\(([^\)]*)\)""), """")"),"")</f>
        <v/>
      </c>
      <c r="G709" s="17" t="str">
        <f>IFERROR(__xludf.DUMMYFUNCTION("if(len(A709)&gt;0, REGEXEXTRACT(A709, ""\)([^:]*):""), """")"),"")</f>
        <v/>
      </c>
      <c r="H709" s="31" t="str">
        <f>IFERROR(__xludf.DUMMYFUNCTION("if(len(A709) &gt; 0, JOIN(char(10), FILTER(SPLIT(A709, char(10)), split(""false false "" &amp; rept(""true "", columns(SPLIT(A709, char(10)))-3) &amp; ""false"", "" ""))), """")"),"")</f>
        <v/>
      </c>
    </row>
    <row r="710">
      <c r="A710" s="31"/>
      <c r="B710" s="17" t="str">
        <f>IFERROR(__xludf.DUMMYFUNCTION("if(len(A710)&gt;0, value(REGEXEXTRACT(A710, ""Chapter ([0-9]*):"")), """")"),"")</f>
        <v/>
      </c>
      <c r="C710" s="31" t="str">
        <f>IFERROR(__xludf.DUMMYFUNCTION("if(len(A710) &gt;0, REGEXEXTRACT(A710, ""Chapter [0-9]*: (.*)""), """")"),"")</f>
        <v/>
      </c>
      <c r="D710" s="31" t="str">
        <f>IFERROR(__xludf.DUMMYFUNCTION("if(len(A710)&gt;0, REGEXEXTRACT(A710, ""\n[^\(]*""), """")"),"")</f>
        <v/>
      </c>
      <c r="E710" s="17" t="str">
        <f>IFERROR(__xludf.DUMMYFUNCTION("if(len(A710)&gt;0, REGEXEXTRACT(A710, ""\n([^\n]*)$""), """")"),"")</f>
        <v/>
      </c>
      <c r="F710" s="17" t="str">
        <f>IFERROR(__xludf.DUMMYFUNCTION("if(len(A710)&gt;0, REGEXEXTRACT(A710, ""\(([^\)]*)\)""), """")"),"")</f>
        <v/>
      </c>
      <c r="G710" s="17" t="str">
        <f>IFERROR(__xludf.DUMMYFUNCTION("if(len(A710)&gt;0, REGEXEXTRACT(A710, ""\)([^:]*):""), """")"),"")</f>
        <v/>
      </c>
      <c r="H710" s="31" t="str">
        <f>IFERROR(__xludf.DUMMYFUNCTION("if(len(A710) &gt; 0, JOIN(char(10), FILTER(SPLIT(A710, char(10)), split(""false false "" &amp; rept(""true "", columns(SPLIT(A710, char(10)))-3) &amp; ""false"", "" ""))), """")"),"")</f>
        <v/>
      </c>
    </row>
    <row r="711">
      <c r="A711" s="31"/>
      <c r="B711" s="17" t="str">
        <f>IFERROR(__xludf.DUMMYFUNCTION("if(len(A711)&gt;0, value(REGEXEXTRACT(A711, ""Chapter ([0-9]*):"")), """")"),"")</f>
        <v/>
      </c>
      <c r="C711" s="31" t="str">
        <f>IFERROR(__xludf.DUMMYFUNCTION("if(len(A711) &gt;0, REGEXEXTRACT(A711, ""Chapter [0-9]*: (.*)""), """")"),"")</f>
        <v/>
      </c>
      <c r="D711" s="31" t="str">
        <f>IFERROR(__xludf.DUMMYFUNCTION("if(len(A711)&gt;0, REGEXEXTRACT(A711, ""\n[^\(]*""), """")"),"")</f>
        <v/>
      </c>
      <c r="E711" s="17" t="str">
        <f>IFERROR(__xludf.DUMMYFUNCTION("if(len(A711)&gt;0, REGEXEXTRACT(A711, ""\n([^\n]*)$""), """")"),"")</f>
        <v/>
      </c>
      <c r="F711" s="17" t="str">
        <f>IFERROR(__xludf.DUMMYFUNCTION("if(len(A711)&gt;0, REGEXEXTRACT(A711, ""\(([^\)]*)\)""), """")"),"")</f>
        <v/>
      </c>
      <c r="G711" s="17" t="str">
        <f>IFERROR(__xludf.DUMMYFUNCTION("if(len(A711)&gt;0, REGEXEXTRACT(A711, ""\)([^:]*):""), """")"),"")</f>
        <v/>
      </c>
      <c r="H711" s="31" t="str">
        <f>IFERROR(__xludf.DUMMYFUNCTION("if(len(A711) &gt; 0, JOIN(char(10), FILTER(SPLIT(A711, char(10)), split(""false false "" &amp; rept(""true "", columns(SPLIT(A711, char(10)))-3) &amp; ""false"", "" ""))), """")"),"")</f>
        <v/>
      </c>
    </row>
    <row r="712">
      <c r="A712" s="31"/>
      <c r="B712" s="17" t="str">
        <f>IFERROR(__xludf.DUMMYFUNCTION("if(len(A712)&gt;0, value(REGEXEXTRACT(A712, ""Chapter ([0-9]*):"")), """")"),"")</f>
        <v/>
      </c>
      <c r="C712" s="31" t="str">
        <f>IFERROR(__xludf.DUMMYFUNCTION("if(len(A712) &gt;0, REGEXEXTRACT(A712, ""Chapter [0-9]*: (.*)""), """")"),"")</f>
        <v/>
      </c>
      <c r="D712" s="31" t="str">
        <f>IFERROR(__xludf.DUMMYFUNCTION("if(len(A712)&gt;0, REGEXEXTRACT(A712, ""\n[^\(]*""), """")"),"")</f>
        <v/>
      </c>
      <c r="E712" s="17" t="str">
        <f>IFERROR(__xludf.DUMMYFUNCTION("if(len(A712)&gt;0, REGEXEXTRACT(A712, ""\n([^\n]*)$""), """")"),"")</f>
        <v/>
      </c>
      <c r="F712" s="17" t="str">
        <f>IFERROR(__xludf.DUMMYFUNCTION("if(len(A712)&gt;0, REGEXEXTRACT(A712, ""\(([^\)]*)\)""), """")"),"")</f>
        <v/>
      </c>
      <c r="G712" s="17" t="str">
        <f>IFERROR(__xludf.DUMMYFUNCTION("if(len(A712)&gt;0, REGEXEXTRACT(A712, ""\)([^:]*):""), """")"),"")</f>
        <v/>
      </c>
      <c r="H712" s="31" t="str">
        <f>IFERROR(__xludf.DUMMYFUNCTION("if(len(A712) &gt; 0, JOIN(char(10), FILTER(SPLIT(A712, char(10)), split(""false false "" &amp; rept(""true "", columns(SPLIT(A712, char(10)))-3) &amp; ""false"", "" ""))), """")"),"")</f>
        <v/>
      </c>
    </row>
    <row r="713">
      <c r="A713" s="31"/>
      <c r="B713" s="17" t="str">
        <f>IFERROR(__xludf.DUMMYFUNCTION("if(len(A713)&gt;0, value(REGEXEXTRACT(A713, ""Chapter ([0-9]*):"")), """")"),"")</f>
        <v/>
      </c>
      <c r="C713" s="31" t="str">
        <f>IFERROR(__xludf.DUMMYFUNCTION("if(len(A713) &gt;0, REGEXEXTRACT(A713, ""Chapter [0-9]*: (.*)""), """")"),"")</f>
        <v/>
      </c>
      <c r="D713" s="31" t="str">
        <f>IFERROR(__xludf.DUMMYFUNCTION("if(len(A713)&gt;0, REGEXEXTRACT(A713, ""\n[^\(]*""), """")"),"")</f>
        <v/>
      </c>
      <c r="E713" s="17" t="str">
        <f>IFERROR(__xludf.DUMMYFUNCTION("if(len(A713)&gt;0, REGEXEXTRACT(A713, ""\n([^\n]*)$""), """")"),"")</f>
        <v/>
      </c>
      <c r="F713" s="17" t="str">
        <f>IFERROR(__xludf.DUMMYFUNCTION("if(len(A713)&gt;0, REGEXEXTRACT(A713, ""\(([^\)]*)\)""), """")"),"")</f>
        <v/>
      </c>
      <c r="G713" s="17" t="str">
        <f>IFERROR(__xludf.DUMMYFUNCTION("if(len(A713)&gt;0, REGEXEXTRACT(A713, ""\)([^:]*):""), """")"),"")</f>
        <v/>
      </c>
      <c r="H713" s="31" t="str">
        <f>IFERROR(__xludf.DUMMYFUNCTION("if(len(A713) &gt; 0, JOIN(char(10), FILTER(SPLIT(A713, char(10)), split(""false false "" &amp; rept(""true "", columns(SPLIT(A713, char(10)))-3) &amp; ""false"", "" ""))), """")"),"")</f>
        <v/>
      </c>
    </row>
    <row r="714">
      <c r="A714" s="31"/>
      <c r="B714" s="17" t="str">
        <f>IFERROR(__xludf.DUMMYFUNCTION("if(len(A714)&gt;0, value(REGEXEXTRACT(A714, ""Chapter ([0-9]*):"")), """")"),"")</f>
        <v/>
      </c>
      <c r="C714" s="31" t="str">
        <f>IFERROR(__xludf.DUMMYFUNCTION("if(len(A714) &gt;0, REGEXEXTRACT(A714, ""Chapter [0-9]*: (.*)""), """")"),"")</f>
        <v/>
      </c>
      <c r="D714" s="31" t="str">
        <f>IFERROR(__xludf.DUMMYFUNCTION("if(len(A714)&gt;0, REGEXEXTRACT(A714, ""\n[^\(]*""), """")"),"")</f>
        <v/>
      </c>
      <c r="E714" s="17" t="str">
        <f>IFERROR(__xludf.DUMMYFUNCTION("if(len(A714)&gt;0, REGEXEXTRACT(A714, ""\n([^\n]*)$""), """")"),"")</f>
        <v/>
      </c>
      <c r="F714" s="17" t="str">
        <f>IFERROR(__xludf.DUMMYFUNCTION("if(len(A714)&gt;0, REGEXEXTRACT(A714, ""\(([^\)]*)\)""), """")"),"")</f>
        <v/>
      </c>
      <c r="G714" s="17" t="str">
        <f>IFERROR(__xludf.DUMMYFUNCTION("if(len(A714)&gt;0, REGEXEXTRACT(A714, ""\)([^:]*):""), """")"),"")</f>
        <v/>
      </c>
      <c r="H714" s="31" t="str">
        <f>IFERROR(__xludf.DUMMYFUNCTION("if(len(A714) &gt; 0, JOIN(char(10), FILTER(SPLIT(A714, char(10)), split(""false false "" &amp; rept(""true "", columns(SPLIT(A714, char(10)))-3) &amp; ""false"", "" ""))), """")"),"")</f>
        <v/>
      </c>
    </row>
    <row r="715">
      <c r="A715" s="31"/>
      <c r="B715" s="17" t="str">
        <f>IFERROR(__xludf.DUMMYFUNCTION("if(len(A715)&gt;0, value(REGEXEXTRACT(A715, ""Chapter ([0-9]*):"")), """")"),"")</f>
        <v/>
      </c>
      <c r="C715" s="31" t="str">
        <f>IFERROR(__xludf.DUMMYFUNCTION("if(len(A715) &gt;0, REGEXEXTRACT(A715, ""Chapter [0-9]*: (.*)""), """")"),"")</f>
        <v/>
      </c>
      <c r="D715" s="31" t="str">
        <f>IFERROR(__xludf.DUMMYFUNCTION("if(len(A715)&gt;0, REGEXEXTRACT(A715, ""\n[^\(]*""), """")"),"")</f>
        <v/>
      </c>
      <c r="E715" s="17" t="str">
        <f>IFERROR(__xludf.DUMMYFUNCTION("if(len(A715)&gt;0, REGEXEXTRACT(A715, ""\n([^\n]*)$""), """")"),"")</f>
        <v/>
      </c>
      <c r="F715" s="17" t="str">
        <f>IFERROR(__xludf.DUMMYFUNCTION("if(len(A715)&gt;0, REGEXEXTRACT(A715, ""\(([^\)]*)\)""), """")"),"")</f>
        <v/>
      </c>
      <c r="G715" s="17" t="str">
        <f>IFERROR(__xludf.DUMMYFUNCTION("if(len(A715)&gt;0, REGEXEXTRACT(A715, ""\)([^:]*):""), """")"),"")</f>
        <v/>
      </c>
      <c r="H715" s="31" t="str">
        <f>IFERROR(__xludf.DUMMYFUNCTION("if(len(A715) &gt; 0, JOIN(char(10), FILTER(SPLIT(A715, char(10)), split(""false false "" &amp; rept(""true "", columns(SPLIT(A715, char(10)))-3) &amp; ""false"", "" ""))), """")"),"")</f>
        <v/>
      </c>
    </row>
    <row r="716">
      <c r="A716" s="31"/>
      <c r="B716" s="17" t="str">
        <f>IFERROR(__xludf.DUMMYFUNCTION("if(len(A716)&gt;0, value(REGEXEXTRACT(A716, ""Chapter ([0-9]*):"")), """")"),"")</f>
        <v/>
      </c>
      <c r="C716" s="31" t="str">
        <f>IFERROR(__xludf.DUMMYFUNCTION("if(len(A716) &gt;0, REGEXEXTRACT(A716, ""Chapter [0-9]*: (.*)""), """")"),"")</f>
        <v/>
      </c>
      <c r="D716" s="31" t="str">
        <f>IFERROR(__xludf.DUMMYFUNCTION("if(len(A716)&gt;0, REGEXEXTRACT(A716, ""\n[^\(]*""), """")"),"")</f>
        <v/>
      </c>
      <c r="E716" s="17" t="str">
        <f>IFERROR(__xludf.DUMMYFUNCTION("if(len(A716)&gt;0, REGEXEXTRACT(A716, ""\n([^\n]*)$""), """")"),"")</f>
        <v/>
      </c>
      <c r="F716" s="17" t="str">
        <f>IFERROR(__xludf.DUMMYFUNCTION("if(len(A716)&gt;0, REGEXEXTRACT(A716, ""\(([^\)]*)\)""), """")"),"")</f>
        <v/>
      </c>
      <c r="G716" s="17" t="str">
        <f>IFERROR(__xludf.DUMMYFUNCTION("if(len(A716)&gt;0, REGEXEXTRACT(A716, ""\)([^:]*):""), """")"),"")</f>
        <v/>
      </c>
      <c r="H716" s="31" t="str">
        <f>IFERROR(__xludf.DUMMYFUNCTION("if(len(A716) &gt; 0, JOIN(char(10), FILTER(SPLIT(A716, char(10)), split(""false false "" &amp; rept(""true "", columns(SPLIT(A716, char(10)))-3) &amp; ""false"", "" ""))), """")"),"")</f>
        <v/>
      </c>
    </row>
    <row r="717">
      <c r="A717" s="31"/>
      <c r="B717" s="17" t="str">
        <f>IFERROR(__xludf.DUMMYFUNCTION("if(len(A717)&gt;0, value(REGEXEXTRACT(A717, ""Chapter ([0-9]*):"")), """")"),"")</f>
        <v/>
      </c>
      <c r="C717" s="31" t="str">
        <f>IFERROR(__xludf.DUMMYFUNCTION("if(len(A717) &gt;0, REGEXEXTRACT(A717, ""Chapter [0-9]*: (.*)""), """")"),"")</f>
        <v/>
      </c>
      <c r="D717" s="31" t="str">
        <f>IFERROR(__xludf.DUMMYFUNCTION("if(len(A717)&gt;0, REGEXEXTRACT(A717, ""\n[^\(]*""), """")"),"")</f>
        <v/>
      </c>
      <c r="E717" s="17" t="str">
        <f>IFERROR(__xludf.DUMMYFUNCTION("if(len(A717)&gt;0, REGEXEXTRACT(A717, ""\n([^\n]*)$""), """")"),"")</f>
        <v/>
      </c>
      <c r="F717" s="17" t="str">
        <f>IFERROR(__xludf.DUMMYFUNCTION("if(len(A717)&gt;0, REGEXEXTRACT(A717, ""\(([^\)]*)\)""), """")"),"")</f>
        <v/>
      </c>
      <c r="G717" s="17" t="str">
        <f>IFERROR(__xludf.DUMMYFUNCTION("if(len(A717)&gt;0, REGEXEXTRACT(A717, ""\)([^:]*):""), """")"),"")</f>
        <v/>
      </c>
      <c r="H717" s="31" t="str">
        <f>IFERROR(__xludf.DUMMYFUNCTION("if(len(A717) &gt; 0, JOIN(char(10), FILTER(SPLIT(A717, char(10)), split(""false false "" &amp; rept(""true "", columns(SPLIT(A717, char(10)))-3) &amp; ""false"", "" ""))), """")"),"")</f>
        <v/>
      </c>
    </row>
    <row r="718">
      <c r="A718" s="31"/>
      <c r="B718" s="17" t="str">
        <f>IFERROR(__xludf.DUMMYFUNCTION("if(len(A718)&gt;0, value(REGEXEXTRACT(A718, ""Chapter ([0-9]*):"")), """")"),"")</f>
        <v/>
      </c>
      <c r="C718" s="31" t="str">
        <f>IFERROR(__xludf.DUMMYFUNCTION("if(len(A718) &gt;0, REGEXEXTRACT(A718, ""Chapter [0-9]*: (.*)""), """")"),"")</f>
        <v/>
      </c>
      <c r="D718" s="31" t="str">
        <f>IFERROR(__xludf.DUMMYFUNCTION("if(len(A718)&gt;0, REGEXEXTRACT(A718, ""\n[^\(]*""), """")"),"")</f>
        <v/>
      </c>
      <c r="E718" s="17" t="str">
        <f>IFERROR(__xludf.DUMMYFUNCTION("if(len(A718)&gt;0, REGEXEXTRACT(A718, ""\n([^\n]*)$""), """")"),"")</f>
        <v/>
      </c>
      <c r="F718" s="17" t="str">
        <f>IFERROR(__xludf.DUMMYFUNCTION("if(len(A718)&gt;0, REGEXEXTRACT(A718, ""\(([^\)]*)\)""), """")"),"")</f>
        <v/>
      </c>
      <c r="G718" s="17" t="str">
        <f>IFERROR(__xludf.DUMMYFUNCTION("if(len(A718)&gt;0, REGEXEXTRACT(A718, ""\)([^:]*):""), """")"),"")</f>
        <v/>
      </c>
      <c r="H718" s="31" t="str">
        <f>IFERROR(__xludf.DUMMYFUNCTION("if(len(A718) &gt; 0, JOIN(char(10), FILTER(SPLIT(A718, char(10)), split(""false false "" &amp; rept(""true "", columns(SPLIT(A718, char(10)))-3) &amp; ""false"", "" ""))), """")"),"")</f>
        <v/>
      </c>
    </row>
    <row r="719">
      <c r="A719" s="31"/>
      <c r="B719" s="17" t="str">
        <f>IFERROR(__xludf.DUMMYFUNCTION("if(len(A719)&gt;0, value(REGEXEXTRACT(A719, ""Chapter ([0-9]*):"")), """")"),"")</f>
        <v/>
      </c>
      <c r="C719" s="31" t="str">
        <f>IFERROR(__xludf.DUMMYFUNCTION("if(len(A719) &gt;0, REGEXEXTRACT(A719, ""Chapter [0-9]*: (.*)""), """")"),"")</f>
        <v/>
      </c>
      <c r="D719" s="31" t="str">
        <f>IFERROR(__xludf.DUMMYFUNCTION("if(len(A719)&gt;0, REGEXEXTRACT(A719, ""\n[^\(]*""), """")"),"")</f>
        <v/>
      </c>
      <c r="E719" s="17" t="str">
        <f>IFERROR(__xludf.DUMMYFUNCTION("if(len(A719)&gt;0, REGEXEXTRACT(A719, ""\n([^\n]*)$""), """")"),"")</f>
        <v/>
      </c>
      <c r="F719" s="17" t="str">
        <f>IFERROR(__xludf.DUMMYFUNCTION("if(len(A719)&gt;0, REGEXEXTRACT(A719, ""\(([^\)]*)\)""), """")"),"")</f>
        <v/>
      </c>
      <c r="G719" s="17" t="str">
        <f>IFERROR(__xludf.DUMMYFUNCTION("if(len(A719)&gt;0, REGEXEXTRACT(A719, ""\)([^:]*):""), """")"),"")</f>
        <v/>
      </c>
      <c r="H719" s="31" t="str">
        <f>IFERROR(__xludf.DUMMYFUNCTION("if(len(A719) &gt; 0, JOIN(char(10), FILTER(SPLIT(A719, char(10)), split(""false false "" &amp; rept(""true "", columns(SPLIT(A719, char(10)))-3) &amp; ""false"", "" ""))), """")"),"")</f>
        <v/>
      </c>
    </row>
    <row r="720">
      <c r="A720" s="31"/>
      <c r="B720" s="17" t="str">
        <f>IFERROR(__xludf.DUMMYFUNCTION("if(len(A720)&gt;0, value(REGEXEXTRACT(A720, ""Chapter ([0-9]*):"")), """")"),"")</f>
        <v/>
      </c>
      <c r="C720" s="31" t="str">
        <f>IFERROR(__xludf.DUMMYFUNCTION("if(len(A720) &gt;0, REGEXEXTRACT(A720, ""Chapter [0-9]*: (.*)""), """")"),"")</f>
        <v/>
      </c>
      <c r="D720" s="31" t="str">
        <f>IFERROR(__xludf.DUMMYFUNCTION("if(len(A720)&gt;0, REGEXEXTRACT(A720, ""\n[^\(]*""), """")"),"")</f>
        <v/>
      </c>
      <c r="E720" s="17" t="str">
        <f>IFERROR(__xludf.DUMMYFUNCTION("if(len(A720)&gt;0, REGEXEXTRACT(A720, ""\n([^\n]*)$""), """")"),"")</f>
        <v/>
      </c>
      <c r="F720" s="17" t="str">
        <f>IFERROR(__xludf.DUMMYFUNCTION("if(len(A720)&gt;0, REGEXEXTRACT(A720, ""\(([^\)]*)\)""), """")"),"")</f>
        <v/>
      </c>
      <c r="G720" s="17" t="str">
        <f>IFERROR(__xludf.DUMMYFUNCTION("if(len(A720)&gt;0, REGEXEXTRACT(A720, ""\)([^:]*):""), """")"),"")</f>
        <v/>
      </c>
      <c r="H720" s="31" t="str">
        <f>IFERROR(__xludf.DUMMYFUNCTION("if(len(A720) &gt; 0, JOIN(char(10), FILTER(SPLIT(A720, char(10)), split(""false false "" &amp; rept(""true "", columns(SPLIT(A720, char(10)))-3) &amp; ""false"", "" ""))), """")"),"")</f>
        <v/>
      </c>
    </row>
    <row r="721">
      <c r="A721" s="31"/>
      <c r="B721" s="17" t="str">
        <f>IFERROR(__xludf.DUMMYFUNCTION("if(len(A721)&gt;0, value(REGEXEXTRACT(A721, ""Chapter ([0-9]*):"")), """")"),"")</f>
        <v/>
      </c>
      <c r="C721" s="31" t="str">
        <f>IFERROR(__xludf.DUMMYFUNCTION("if(len(A721) &gt;0, REGEXEXTRACT(A721, ""Chapter [0-9]*: (.*)""), """")"),"")</f>
        <v/>
      </c>
      <c r="D721" s="31" t="str">
        <f>IFERROR(__xludf.DUMMYFUNCTION("if(len(A721)&gt;0, REGEXEXTRACT(A721, ""\n[^\(]*""), """")"),"")</f>
        <v/>
      </c>
      <c r="E721" s="17" t="str">
        <f>IFERROR(__xludf.DUMMYFUNCTION("if(len(A721)&gt;0, REGEXEXTRACT(A721, ""\n([^\n]*)$""), """")"),"")</f>
        <v/>
      </c>
      <c r="F721" s="17" t="str">
        <f>IFERROR(__xludf.DUMMYFUNCTION("if(len(A721)&gt;0, REGEXEXTRACT(A721, ""\(([^\)]*)\)""), """")"),"")</f>
        <v/>
      </c>
      <c r="G721" s="17" t="str">
        <f>IFERROR(__xludf.DUMMYFUNCTION("if(len(A721)&gt;0, REGEXEXTRACT(A721, ""\)([^:]*):""), """")"),"")</f>
        <v/>
      </c>
      <c r="H721" s="31" t="str">
        <f>IFERROR(__xludf.DUMMYFUNCTION("if(len(A721) &gt; 0, JOIN(char(10), FILTER(SPLIT(A721, char(10)), split(""false false "" &amp; rept(""true "", columns(SPLIT(A721, char(10)))-3) &amp; ""false"", "" ""))), """")"),"")</f>
        <v/>
      </c>
    </row>
    <row r="722">
      <c r="A722" s="31"/>
      <c r="B722" s="17" t="str">
        <f>IFERROR(__xludf.DUMMYFUNCTION("if(len(A722)&gt;0, value(REGEXEXTRACT(A722, ""Chapter ([0-9]*):"")), """")"),"")</f>
        <v/>
      </c>
      <c r="C722" s="31" t="str">
        <f>IFERROR(__xludf.DUMMYFUNCTION("if(len(A722) &gt;0, REGEXEXTRACT(A722, ""Chapter [0-9]*: (.*)""), """")"),"")</f>
        <v/>
      </c>
      <c r="D722" s="31" t="str">
        <f>IFERROR(__xludf.DUMMYFUNCTION("if(len(A722)&gt;0, REGEXEXTRACT(A722, ""\n[^\(]*""), """")"),"")</f>
        <v/>
      </c>
      <c r="E722" s="17" t="str">
        <f>IFERROR(__xludf.DUMMYFUNCTION("if(len(A722)&gt;0, REGEXEXTRACT(A722, ""\n([^\n]*)$""), """")"),"")</f>
        <v/>
      </c>
      <c r="F722" s="17" t="str">
        <f>IFERROR(__xludf.DUMMYFUNCTION("if(len(A722)&gt;0, REGEXEXTRACT(A722, ""\(([^\)]*)\)""), """")"),"")</f>
        <v/>
      </c>
      <c r="G722" s="17" t="str">
        <f>IFERROR(__xludf.DUMMYFUNCTION("if(len(A722)&gt;0, REGEXEXTRACT(A722, ""\)([^:]*):""), """")"),"")</f>
        <v/>
      </c>
      <c r="H722" s="31" t="str">
        <f>IFERROR(__xludf.DUMMYFUNCTION("if(len(A722) &gt; 0, JOIN(char(10), FILTER(SPLIT(A722, char(10)), split(""false false "" &amp; rept(""true "", columns(SPLIT(A722, char(10)))-3) &amp; ""false"", "" ""))), """")"),"")</f>
        <v/>
      </c>
    </row>
    <row r="723">
      <c r="A723" s="31"/>
      <c r="B723" s="17" t="str">
        <f>IFERROR(__xludf.DUMMYFUNCTION("if(len(A723)&gt;0, value(REGEXEXTRACT(A723, ""Chapter ([0-9]*):"")), """")"),"")</f>
        <v/>
      </c>
      <c r="C723" s="31" t="str">
        <f>IFERROR(__xludf.DUMMYFUNCTION("if(len(A723) &gt;0, REGEXEXTRACT(A723, ""Chapter [0-9]*: (.*)""), """")"),"")</f>
        <v/>
      </c>
      <c r="D723" s="31" t="str">
        <f>IFERROR(__xludf.DUMMYFUNCTION("if(len(A723)&gt;0, REGEXEXTRACT(A723, ""\n[^\(]*""), """")"),"")</f>
        <v/>
      </c>
      <c r="E723" s="17" t="str">
        <f>IFERROR(__xludf.DUMMYFUNCTION("if(len(A723)&gt;0, REGEXEXTRACT(A723, ""\n([^\n]*)$""), """")"),"")</f>
        <v/>
      </c>
      <c r="F723" s="17" t="str">
        <f>IFERROR(__xludf.DUMMYFUNCTION("if(len(A723)&gt;0, REGEXEXTRACT(A723, ""\(([^\)]*)\)""), """")"),"")</f>
        <v/>
      </c>
      <c r="G723" s="17" t="str">
        <f>IFERROR(__xludf.DUMMYFUNCTION("if(len(A723)&gt;0, REGEXEXTRACT(A723, ""\)([^:]*):""), """")"),"")</f>
        <v/>
      </c>
      <c r="H723" s="31" t="str">
        <f>IFERROR(__xludf.DUMMYFUNCTION("if(len(A723) &gt; 0, JOIN(char(10), FILTER(SPLIT(A723, char(10)), split(""false false "" &amp; rept(""true "", columns(SPLIT(A723, char(10)))-3) &amp; ""false"", "" ""))), """")"),"")</f>
        <v/>
      </c>
    </row>
    <row r="724">
      <c r="A724" s="31"/>
      <c r="B724" s="17" t="str">
        <f>IFERROR(__xludf.DUMMYFUNCTION("if(len(A724)&gt;0, value(REGEXEXTRACT(A724, ""Chapter ([0-9]*):"")), """")"),"")</f>
        <v/>
      </c>
      <c r="C724" s="31" t="str">
        <f>IFERROR(__xludf.DUMMYFUNCTION("if(len(A724) &gt;0, REGEXEXTRACT(A724, ""Chapter [0-9]*: (.*)""), """")"),"")</f>
        <v/>
      </c>
      <c r="D724" s="31" t="str">
        <f>IFERROR(__xludf.DUMMYFUNCTION("if(len(A724)&gt;0, REGEXEXTRACT(A724, ""\n[^\(]*""), """")"),"")</f>
        <v/>
      </c>
      <c r="E724" s="17" t="str">
        <f>IFERROR(__xludf.DUMMYFUNCTION("if(len(A724)&gt;0, REGEXEXTRACT(A724, ""\n([^\n]*)$""), """")"),"")</f>
        <v/>
      </c>
      <c r="F724" s="17" t="str">
        <f>IFERROR(__xludf.DUMMYFUNCTION("if(len(A724)&gt;0, REGEXEXTRACT(A724, ""\(([^\)]*)\)""), """")"),"")</f>
        <v/>
      </c>
      <c r="G724" s="17" t="str">
        <f>IFERROR(__xludf.DUMMYFUNCTION("if(len(A724)&gt;0, REGEXEXTRACT(A724, ""\)([^:]*):""), """")"),"")</f>
        <v/>
      </c>
      <c r="H724" s="31" t="str">
        <f>IFERROR(__xludf.DUMMYFUNCTION("if(len(A724) &gt; 0, JOIN(char(10), FILTER(SPLIT(A724, char(10)), split(""false false "" &amp; rept(""true "", columns(SPLIT(A724, char(10)))-3) &amp; ""false"", "" ""))), """")"),"")</f>
        <v/>
      </c>
    </row>
    <row r="725">
      <c r="A725" s="31"/>
      <c r="B725" s="17" t="str">
        <f>IFERROR(__xludf.DUMMYFUNCTION("if(len(A725)&gt;0, value(REGEXEXTRACT(A725, ""Chapter ([0-9]*):"")), """")"),"")</f>
        <v/>
      </c>
      <c r="C725" s="31" t="str">
        <f>IFERROR(__xludf.DUMMYFUNCTION("if(len(A725) &gt;0, REGEXEXTRACT(A725, ""Chapter [0-9]*: (.*)""), """")"),"")</f>
        <v/>
      </c>
      <c r="D725" s="31" t="str">
        <f>IFERROR(__xludf.DUMMYFUNCTION("if(len(A725)&gt;0, REGEXEXTRACT(A725, ""\n[^\(]*""), """")"),"")</f>
        <v/>
      </c>
      <c r="E725" s="17" t="str">
        <f>IFERROR(__xludf.DUMMYFUNCTION("if(len(A725)&gt;0, REGEXEXTRACT(A725, ""\n([^\n]*)$""), """")"),"")</f>
        <v/>
      </c>
      <c r="F725" s="17" t="str">
        <f>IFERROR(__xludf.DUMMYFUNCTION("if(len(A725)&gt;0, REGEXEXTRACT(A725, ""\(([^\)]*)\)""), """")"),"")</f>
        <v/>
      </c>
      <c r="G725" s="17" t="str">
        <f>IFERROR(__xludf.DUMMYFUNCTION("if(len(A725)&gt;0, REGEXEXTRACT(A725, ""\)([^:]*):""), """")"),"")</f>
        <v/>
      </c>
      <c r="H725" s="31" t="str">
        <f>IFERROR(__xludf.DUMMYFUNCTION("if(len(A725) &gt; 0, JOIN(char(10), FILTER(SPLIT(A725, char(10)), split(""false false "" &amp; rept(""true "", columns(SPLIT(A725, char(10)))-3) &amp; ""false"", "" ""))), """")"),"")</f>
        <v/>
      </c>
    </row>
    <row r="726">
      <c r="A726" s="31"/>
      <c r="B726" s="17" t="str">
        <f>IFERROR(__xludf.DUMMYFUNCTION("if(len(A726)&gt;0, value(REGEXEXTRACT(A726, ""Chapter ([0-9]*):"")), """")"),"")</f>
        <v/>
      </c>
      <c r="C726" s="31" t="str">
        <f>IFERROR(__xludf.DUMMYFUNCTION("if(len(A726) &gt;0, REGEXEXTRACT(A726, ""Chapter [0-9]*: (.*)""), """")"),"")</f>
        <v/>
      </c>
      <c r="D726" s="31" t="str">
        <f>IFERROR(__xludf.DUMMYFUNCTION("if(len(A726)&gt;0, REGEXEXTRACT(A726, ""\n[^\(]*""), """")"),"")</f>
        <v/>
      </c>
      <c r="E726" s="17" t="str">
        <f>IFERROR(__xludf.DUMMYFUNCTION("if(len(A726)&gt;0, REGEXEXTRACT(A726, ""\n([^\n]*)$""), """")"),"")</f>
        <v/>
      </c>
      <c r="F726" s="17" t="str">
        <f>IFERROR(__xludf.DUMMYFUNCTION("if(len(A726)&gt;0, REGEXEXTRACT(A726, ""\(([^\)]*)\)""), """")"),"")</f>
        <v/>
      </c>
      <c r="G726" s="17" t="str">
        <f>IFERROR(__xludf.DUMMYFUNCTION("if(len(A726)&gt;0, REGEXEXTRACT(A726, ""\)([^:]*):""), """")"),"")</f>
        <v/>
      </c>
      <c r="H726" s="31" t="str">
        <f>IFERROR(__xludf.DUMMYFUNCTION("if(len(A726) &gt; 0, JOIN(char(10), FILTER(SPLIT(A726, char(10)), split(""false false "" &amp; rept(""true "", columns(SPLIT(A726, char(10)))-3) &amp; ""false"", "" ""))), """")"),"")</f>
        <v/>
      </c>
    </row>
    <row r="727">
      <c r="A727" s="31"/>
      <c r="B727" s="17" t="str">
        <f>IFERROR(__xludf.DUMMYFUNCTION("if(len(A727)&gt;0, value(REGEXEXTRACT(A727, ""Chapter ([0-9]*):"")), """")"),"")</f>
        <v/>
      </c>
      <c r="C727" s="31" t="str">
        <f>IFERROR(__xludf.DUMMYFUNCTION("if(len(A727) &gt;0, REGEXEXTRACT(A727, ""Chapter [0-9]*: (.*)""), """")"),"")</f>
        <v/>
      </c>
      <c r="D727" s="31" t="str">
        <f>IFERROR(__xludf.DUMMYFUNCTION("if(len(A727)&gt;0, REGEXEXTRACT(A727, ""\n[^\(]*""), """")"),"")</f>
        <v/>
      </c>
      <c r="E727" s="17" t="str">
        <f>IFERROR(__xludf.DUMMYFUNCTION("if(len(A727)&gt;0, REGEXEXTRACT(A727, ""\n([^\n]*)$""), """")"),"")</f>
        <v/>
      </c>
      <c r="F727" s="17" t="str">
        <f>IFERROR(__xludf.DUMMYFUNCTION("if(len(A727)&gt;0, REGEXEXTRACT(A727, ""\(([^\)]*)\)""), """")"),"")</f>
        <v/>
      </c>
      <c r="G727" s="17" t="str">
        <f>IFERROR(__xludf.DUMMYFUNCTION("if(len(A727)&gt;0, REGEXEXTRACT(A727, ""\)([^:]*):""), """")"),"")</f>
        <v/>
      </c>
      <c r="H727" s="31" t="str">
        <f>IFERROR(__xludf.DUMMYFUNCTION("if(len(A727) &gt; 0, JOIN(char(10), FILTER(SPLIT(A727, char(10)), split(""false false "" &amp; rept(""true "", columns(SPLIT(A727, char(10)))-3) &amp; ""false"", "" ""))), """")"),"")</f>
        <v/>
      </c>
    </row>
    <row r="728">
      <c r="A728" s="31"/>
      <c r="B728" s="17" t="str">
        <f>IFERROR(__xludf.DUMMYFUNCTION("if(len(A728)&gt;0, value(REGEXEXTRACT(A728, ""Chapter ([0-9]*):"")), """")"),"")</f>
        <v/>
      </c>
      <c r="C728" s="31" t="str">
        <f>IFERROR(__xludf.DUMMYFUNCTION("if(len(A728) &gt;0, REGEXEXTRACT(A728, ""Chapter [0-9]*: (.*)""), """")"),"")</f>
        <v/>
      </c>
      <c r="D728" s="31" t="str">
        <f>IFERROR(__xludf.DUMMYFUNCTION("if(len(A728)&gt;0, REGEXEXTRACT(A728, ""\n[^\(]*""), """")"),"")</f>
        <v/>
      </c>
      <c r="E728" s="17" t="str">
        <f>IFERROR(__xludf.DUMMYFUNCTION("if(len(A728)&gt;0, REGEXEXTRACT(A728, ""\n([^\n]*)$""), """")"),"")</f>
        <v/>
      </c>
      <c r="F728" s="17" t="str">
        <f>IFERROR(__xludf.DUMMYFUNCTION("if(len(A728)&gt;0, REGEXEXTRACT(A728, ""\(([^\)]*)\)""), """")"),"")</f>
        <v/>
      </c>
      <c r="G728" s="17" t="str">
        <f>IFERROR(__xludf.DUMMYFUNCTION("if(len(A728)&gt;0, REGEXEXTRACT(A728, ""\)([^:]*):""), """")"),"")</f>
        <v/>
      </c>
      <c r="H728" s="31" t="str">
        <f>IFERROR(__xludf.DUMMYFUNCTION("if(len(A728) &gt; 0, JOIN(char(10), FILTER(SPLIT(A728, char(10)), split(""false false "" &amp; rept(""true "", columns(SPLIT(A728, char(10)))-3) &amp; ""false"", "" ""))), """")"),"")</f>
        <v/>
      </c>
    </row>
    <row r="729">
      <c r="A729" s="31"/>
      <c r="B729" s="17" t="str">
        <f>IFERROR(__xludf.DUMMYFUNCTION("if(len(A729)&gt;0, value(REGEXEXTRACT(A729, ""Chapter ([0-9]*):"")), """")"),"")</f>
        <v/>
      </c>
      <c r="C729" s="31" t="str">
        <f>IFERROR(__xludf.DUMMYFUNCTION("if(len(A729) &gt;0, REGEXEXTRACT(A729, ""Chapter [0-9]*: (.*)""), """")"),"")</f>
        <v/>
      </c>
      <c r="D729" s="31" t="str">
        <f>IFERROR(__xludf.DUMMYFUNCTION("if(len(A729)&gt;0, REGEXEXTRACT(A729, ""\n[^\(]*""), """")"),"")</f>
        <v/>
      </c>
      <c r="E729" s="17" t="str">
        <f>IFERROR(__xludf.DUMMYFUNCTION("if(len(A729)&gt;0, REGEXEXTRACT(A729, ""\n([^\n]*)$""), """")"),"")</f>
        <v/>
      </c>
      <c r="F729" s="17" t="str">
        <f>IFERROR(__xludf.DUMMYFUNCTION("if(len(A729)&gt;0, REGEXEXTRACT(A729, ""\(([^\)]*)\)""), """")"),"")</f>
        <v/>
      </c>
      <c r="G729" s="17" t="str">
        <f>IFERROR(__xludf.DUMMYFUNCTION("if(len(A729)&gt;0, REGEXEXTRACT(A729, ""\)([^:]*):""), """")"),"")</f>
        <v/>
      </c>
      <c r="H729" s="31" t="str">
        <f>IFERROR(__xludf.DUMMYFUNCTION("if(len(A729) &gt; 0, JOIN(char(10), FILTER(SPLIT(A729, char(10)), split(""false false "" &amp; rept(""true "", columns(SPLIT(A729, char(10)))-3) &amp; ""false"", "" ""))), """")"),"")</f>
        <v/>
      </c>
    </row>
    <row r="730">
      <c r="A730" s="31"/>
      <c r="B730" s="17" t="str">
        <f>IFERROR(__xludf.DUMMYFUNCTION("if(len(A730)&gt;0, value(REGEXEXTRACT(A730, ""Chapter ([0-9]*):"")), """")"),"")</f>
        <v/>
      </c>
      <c r="C730" s="31" t="str">
        <f>IFERROR(__xludf.DUMMYFUNCTION("if(len(A730) &gt;0, REGEXEXTRACT(A730, ""Chapter [0-9]*: (.*)""), """")"),"")</f>
        <v/>
      </c>
      <c r="D730" s="31" t="str">
        <f>IFERROR(__xludf.DUMMYFUNCTION("if(len(A730)&gt;0, REGEXEXTRACT(A730, ""\n[^\(]*""), """")"),"")</f>
        <v/>
      </c>
      <c r="E730" s="17" t="str">
        <f>IFERROR(__xludf.DUMMYFUNCTION("if(len(A730)&gt;0, REGEXEXTRACT(A730, ""\n([^\n]*)$""), """")"),"")</f>
        <v/>
      </c>
      <c r="F730" s="17" t="str">
        <f>IFERROR(__xludf.DUMMYFUNCTION("if(len(A730)&gt;0, REGEXEXTRACT(A730, ""\(([^\)]*)\)""), """")"),"")</f>
        <v/>
      </c>
      <c r="G730" s="17" t="str">
        <f>IFERROR(__xludf.DUMMYFUNCTION("if(len(A730)&gt;0, REGEXEXTRACT(A730, ""\)([^:]*):""), """")"),"")</f>
        <v/>
      </c>
      <c r="H730" s="31" t="str">
        <f>IFERROR(__xludf.DUMMYFUNCTION("if(len(A730) &gt; 0, JOIN(char(10), FILTER(SPLIT(A730, char(10)), split(""false false "" &amp; rept(""true "", columns(SPLIT(A730, char(10)))-3) &amp; ""false"", "" ""))), """")"),"")</f>
        <v/>
      </c>
    </row>
    <row r="731">
      <c r="A731" s="31"/>
      <c r="B731" s="17" t="str">
        <f>IFERROR(__xludf.DUMMYFUNCTION("if(len(A731)&gt;0, value(REGEXEXTRACT(A731, ""Chapter ([0-9]*):"")), """")"),"")</f>
        <v/>
      </c>
      <c r="C731" s="31" t="str">
        <f>IFERROR(__xludf.DUMMYFUNCTION("if(len(A731) &gt;0, REGEXEXTRACT(A731, ""Chapter [0-9]*: (.*)""), """")"),"")</f>
        <v/>
      </c>
      <c r="D731" s="31" t="str">
        <f>IFERROR(__xludf.DUMMYFUNCTION("if(len(A731)&gt;0, REGEXEXTRACT(A731, ""\n[^\(]*""), """")"),"")</f>
        <v/>
      </c>
      <c r="E731" s="17" t="str">
        <f>IFERROR(__xludf.DUMMYFUNCTION("if(len(A731)&gt;0, REGEXEXTRACT(A731, ""\n([^\n]*)$""), """")"),"")</f>
        <v/>
      </c>
      <c r="F731" s="17" t="str">
        <f>IFERROR(__xludf.DUMMYFUNCTION("if(len(A731)&gt;0, REGEXEXTRACT(A731, ""\(([^\)]*)\)""), """")"),"")</f>
        <v/>
      </c>
      <c r="G731" s="17" t="str">
        <f>IFERROR(__xludf.DUMMYFUNCTION("if(len(A731)&gt;0, REGEXEXTRACT(A731, ""\)([^:]*):""), """")"),"")</f>
        <v/>
      </c>
      <c r="H731" s="31" t="str">
        <f>IFERROR(__xludf.DUMMYFUNCTION("if(len(A731) &gt; 0, JOIN(char(10), FILTER(SPLIT(A731, char(10)), split(""false false "" &amp; rept(""true "", columns(SPLIT(A731, char(10)))-3) &amp; ""false"", "" ""))), """")"),"")</f>
        <v/>
      </c>
    </row>
    <row r="732">
      <c r="A732" s="31"/>
      <c r="B732" s="17" t="str">
        <f>IFERROR(__xludf.DUMMYFUNCTION("if(len(A732)&gt;0, value(REGEXEXTRACT(A732, ""Chapter ([0-9]*):"")), """")"),"")</f>
        <v/>
      </c>
      <c r="C732" s="31" t="str">
        <f>IFERROR(__xludf.DUMMYFUNCTION("if(len(A732) &gt;0, REGEXEXTRACT(A732, ""Chapter [0-9]*: (.*)""), """")"),"")</f>
        <v/>
      </c>
      <c r="D732" s="31" t="str">
        <f>IFERROR(__xludf.DUMMYFUNCTION("if(len(A732)&gt;0, REGEXEXTRACT(A732, ""\n[^\(]*""), """")"),"")</f>
        <v/>
      </c>
      <c r="E732" s="17" t="str">
        <f>IFERROR(__xludf.DUMMYFUNCTION("if(len(A732)&gt;0, REGEXEXTRACT(A732, ""\n([^\n]*)$""), """")"),"")</f>
        <v/>
      </c>
      <c r="F732" s="17" t="str">
        <f>IFERROR(__xludf.DUMMYFUNCTION("if(len(A732)&gt;0, REGEXEXTRACT(A732, ""\(([^\)]*)\)""), """")"),"")</f>
        <v/>
      </c>
      <c r="G732" s="17" t="str">
        <f>IFERROR(__xludf.DUMMYFUNCTION("if(len(A732)&gt;0, REGEXEXTRACT(A732, ""\)([^:]*):""), """")"),"")</f>
        <v/>
      </c>
      <c r="H732" s="31" t="str">
        <f>IFERROR(__xludf.DUMMYFUNCTION("if(len(A732) &gt; 0, JOIN(char(10), FILTER(SPLIT(A732, char(10)), split(""false false "" &amp; rept(""true "", columns(SPLIT(A732, char(10)))-3) &amp; ""false"", "" ""))), """")"),"")</f>
        <v/>
      </c>
    </row>
    <row r="733">
      <c r="A733" s="31"/>
      <c r="B733" s="17" t="str">
        <f>IFERROR(__xludf.DUMMYFUNCTION("if(len(A733)&gt;0, value(REGEXEXTRACT(A733, ""Chapter ([0-9]*):"")), """")"),"")</f>
        <v/>
      </c>
      <c r="C733" s="31" t="str">
        <f>IFERROR(__xludf.DUMMYFUNCTION("if(len(A733) &gt;0, REGEXEXTRACT(A733, ""Chapter [0-9]*: (.*)""), """")"),"")</f>
        <v/>
      </c>
      <c r="D733" s="31" t="str">
        <f>IFERROR(__xludf.DUMMYFUNCTION("if(len(A733)&gt;0, REGEXEXTRACT(A733, ""\n[^\(]*""), """")"),"")</f>
        <v/>
      </c>
      <c r="E733" s="17" t="str">
        <f>IFERROR(__xludf.DUMMYFUNCTION("if(len(A733)&gt;0, REGEXEXTRACT(A733, ""\n([^\n]*)$""), """")"),"")</f>
        <v/>
      </c>
      <c r="F733" s="17" t="str">
        <f>IFERROR(__xludf.DUMMYFUNCTION("if(len(A733)&gt;0, REGEXEXTRACT(A733, ""\(([^\)]*)\)""), """")"),"")</f>
        <v/>
      </c>
      <c r="G733" s="17" t="str">
        <f>IFERROR(__xludf.DUMMYFUNCTION("if(len(A733)&gt;0, REGEXEXTRACT(A733, ""\)([^:]*):""), """")"),"")</f>
        <v/>
      </c>
      <c r="H733" s="31" t="str">
        <f>IFERROR(__xludf.DUMMYFUNCTION("if(len(A733) &gt; 0, JOIN(char(10), FILTER(SPLIT(A733, char(10)), split(""false false "" &amp; rept(""true "", columns(SPLIT(A733, char(10)))-3) &amp; ""false"", "" ""))), """")"),"")</f>
        <v/>
      </c>
    </row>
    <row r="734">
      <c r="A734" s="31"/>
      <c r="B734" s="17" t="str">
        <f>IFERROR(__xludf.DUMMYFUNCTION("if(len(A734)&gt;0, value(REGEXEXTRACT(A734, ""Chapter ([0-9]*):"")), """")"),"")</f>
        <v/>
      </c>
      <c r="C734" s="31" t="str">
        <f>IFERROR(__xludf.DUMMYFUNCTION("if(len(A734) &gt;0, REGEXEXTRACT(A734, ""Chapter [0-9]*: (.*)""), """")"),"")</f>
        <v/>
      </c>
      <c r="D734" s="31" t="str">
        <f>IFERROR(__xludf.DUMMYFUNCTION("if(len(A734)&gt;0, REGEXEXTRACT(A734, ""\n[^\(]*""), """")"),"")</f>
        <v/>
      </c>
      <c r="E734" s="17" t="str">
        <f>IFERROR(__xludf.DUMMYFUNCTION("if(len(A734)&gt;0, REGEXEXTRACT(A734, ""\n([^\n]*)$""), """")"),"")</f>
        <v/>
      </c>
      <c r="F734" s="17" t="str">
        <f>IFERROR(__xludf.DUMMYFUNCTION("if(len(A734)&gt;0, REGEXEXTRACT(A734, ""\(([^\)]*)\)""), """")"),"")</f>
        <v/>
      </c>
      <c r="G734" s="17" t="str">
        <f>IFERROR(__xludf.DUMMYFUNCTION("if(len(A734)&gt;0, REGEXEXTRACT(A734, ""\)([^:]*):""), """")"),"")</f>
        <v/>
      </c>
      <c r="H734" s="31" t="str">
        <f>IFERROR(__xludf.DUMMYFUNCTION("if(len(A734) &gt; 0, JOIN(char(10), FILTER(SPLIT(A734, char(10)), split(""false false "" &amp; rept(""true "", columns(SPLIT(A734, char(10)))-3) &amp; ""false"", "" ""))), """")"),"")</f>
        <v/>
      </c>
    </row>
    <row r="735">
      <c r="A735" s="31"/>
      <c r="B735" s="17" t="str">
        <f>IFERROR(__xludf.DUMMYFUNCTION("if(len(A735)&gt;0, value(REGEXEXTRACT(A735, ""Chapter ([0-9]*):"")), """")"),"")</f>
        <v/>
      </c>
      <c r="C735" s="31" t="str">
        <f>IFERROR(__xludf.DUMMYFUNCTION("if(len(A735) &gt;0, REGEXEXTRACT(A735, ""Chapter [0-9]*: (.*)""), """")"),"")</f>
        <v/>
      </c>
      <c r="D735" s="31" t="str">
        <f>IFERROR(__xludf.DUMMYFUNCTION("if(len(A735)&gt;0, REGEXEXTRACT(A735, ""\n[^\(]*""), """")"),"")</f>
        <v/>
      </c>
      <c r="E735" s="17" t="str">
        <f>IFERROR(__xludf.DUMMYFUNCTION("if(len(A735)&gt;0, REGEXEXTRACT(A735, ""\n([^\n]*)$""), """")"),"")</f>
        <v/>
      </c>
      <c r="F735" s="17" t="str">
        <f>IFERROR(__xludf.DUMMYFUNCTION("if(len(A735)&gt;0, REGEXEXTRACT(A735, ""\(([^\)]*)\)""), """")"),"")</f>
        <v/>
      </c>
      <c r="G735" s="17" t="str">
        <f>IFERROR(__xludf.DUMMYFUNCTION("if(len(A735)&gt;0, REGEXEXTRACT(A735, ""\)([^:]*):""), """")"),"")</f>
        <v/>
      </c>
      <c r="H735" s="31" t="str">
        <f>IFERROR(__xludf.DUMMYFUNCTION("if(len(A735) &gt; 0, JOIN(char(10), FILTER(SPLIT(A735, char(10)), split(""false false "" &amp; rept(""true "", columns(SPLIT(A735, char(10)))-3) &amp; ""false"", "" ""))), """")"),"")</f>
        <v/>
      </c>
    </row>
    <row r="736">
      <c r="A736" s="31"/>
      <c r="B736" s="17" t="str">
        <f>IFERROR(__xludf.DUMMYFUNCTION("if(len(A736)&gt;0, value(REGEXEXTRACT(A736, ""Chapter ([0-9]*):"")), """")"),"")</f>
        <v/>
      </c>
      <c r="C736" s="31" t="str">
        <f>IFERROR(__xludf.DUMMYFUNCTION("if(len(A736) &gt;0, REGEXEXTRACT(A736, ""Chapter [0-9]*: (.*)""), """")"),"")</f>
        <v/>
      </c>
      <c r="D736" s="31" t="str">
        <f>IFERROR(__xludf.DUMMYFUNCTION("if(len(A736)&gt;0, REGEXEXTRACT(A736, ""\n[^\(]*""), """")"),"")</f>
        <v/>
      </c>
      <c r="E736" s="17" t="str">
        <f>IFERROR(__xludf.DUMMYFUNCTION("if(len(A736)&gt;0, REGEXEXTRACT(A736, ""\n([^\n]*)$""), """")"),"")</f>
        <v/>
      </c>
      <c r="F736" s="17" t="str">
        <f>IFERROR(__xludf.DUMMYFUNCTION("if(len(A736)&gt;0, REGEXEXTRACT(A736, ""\(([^\)]*)\)""), """")"),"")</f>
        <v/>
      </c>
      <c r="G736" s="17" t="str">
        <f>IFERROR(__xludf.DUMMYFUNCTION("if(len(A736)&gt;0, REGEXEXTRACT(A736, ""\)([^:]*):""), """")"),"")</f>
        <v/>
      </c>
      <c r="H736" s="31" t="str">
        <f>IFERROR(__xludf.DUMMYFUNCTION("if(len(A736) &gt; 0, JOIN(char(10), FILTER(SPLIT(A736, char(10)), split(""false false "" &amp; rept(""true "", columns(SPLIT(A736, char(10)))-3) &amp; ""false"", "" ""))), """")"),"")</f>
        <v/>
      </c>
    </row>
    <row r="737">
      <c r="A737" s="31"/>
      <c r="B737" s="17" t="str">
        <f>IFERROR(__xludf.DUMMYFUNCTION("if(len(A737)&gt;0, value(REGEXEXTRACT(A737, ""Chapter ([0-9]*):"")), """")"),"")</f>
        <v/>
      </c>
      <c r="C737" s="31" t="str">
        <f>IFERROR(__xludf.DUMMYFUNCTION("if(len(A737) &gt;0, REGEXEXTRACT(A737, ""Chapter [0-9]*: (.*)""), """")"),"")</f>
        <v/>
      </c>
      <c r="D737" s="31" t="str">
        <f>IFERROR(__xludf.DUMMYFUNCTION("if(len(A737)&gt;0, REGEXEXTRACT(A737, ""\n[^\(]*""), """")"),"")</f>
        <v/>
      </c>
      <c r="E737" s="17" t="str">
        <f>IFERROR(__xludf.DUMMYFUNCTION("if(len(A737)&gt;0, REGEXEXTRACT(A737, ""\n([^\n]*)$""), """")"),"")</f>
        <v/>
      </c>
      <c r="F737" s="17" t="str">
        <f>IFERROR(__xludf.DUMMYFUNCTION("if(len(A737)&gt;0, REGEXEXTRACT(A737, ""\(([^\)]*)\)""), """")"),"")</f>
        <v/>
      </c>
      <c r="G737" s="17" t="str">
        <f>IFERROR(__xludf.DUMMYFUNCTION("if(len(A737)&gt;0, REGEXEXTRACT(A737, ""\)([^:]*):""), """")"),"")</f>
        <v/>
      </c>
      <c r="H737" s="31" t="str">
        <f>IFERROR(__xludf.DUMMYFUNCTION("if(len(A737) &gt; 0, JOIN(char(10), FILTER(SPLIT(A737, char(10)), split(""false false "" &amp; rept(""true "", columns(SPLIT(A737, char(10)))-3) &amp; ""false"", "" ""))), """")"),"")</f>
        <v/>
      </c>
    </row>
    <row r="738">
      <c r="A738" s="31"/>
      <c r="B738" s="17" t="str">
        <f>IFERROR(__xludf.DUMMYFUNCTION("if(len(A738)&gt;0, value(REGEXEXTRACT(A738, ""Chapter ([0-9]*):"")), """")"),"")</f>
        <v/>
      </c>
      <c r="C738" s="31" t="str">
        <f>IFERROR(__xludf.DUMMYFUNCTION("if(len(A738) &gt;0, REGEXEXTRACT(A738, ""Chapter [0-9]*: (.*)""), """")"),"")</f>
        <v/>
      </c>
      <c r="D738" s="31" t="str">
        <f>IFERROR(__xludf.DUMMYFUNCTION("if(len(A738)&gt;0, REGEXEXTRACT(A738, ""\n[^\(]*""), """")"),"")</f>
        <v/>
      </c>
      <c r="E738" s="17" t="str">
        <f>IFERROR(__xludf.DUMMYFUNCTION("if(len(A738)&gt;0, REGEXEXTRACT(A738, ""\n([^\n]*)$""), """")"),"")</f>
        <v/>
      </c>
      <c r="F738" s="17" t="str">
        <f>IFERROR(__xludf.DUMMYFUNCTION("if(len(A738)&gt;0, REGEXEXTRACT(A738, ""\(([^\)]*)\)""), """")"),"")</f>
        <v/>
      </c>
      <c r="G738" s="17" t="str">
        <f>IFERROR(__xludf.DUMMYFUNCTION("if(len(A738)&gt;0, REGEXEXTRACT(A738, ""\)([^:]*):""), """")"),"")</f>
        <v/>
      </c>
      <c r="H738" s="31" t="str">
        <f>IFERROR(__xludf.DUMMYFUNCTION("if(len(A738) &gt; 0, JOIN(char(10), FILTER(SPLIT(A738, char(10)), split(""false false "" &amp; rept(""true "", columns(SPLIT(A738, char(10)))-3) &amp; ""false"", "" ""))), """")"),"")</f>
        <v/>
      </c>
    </row>
    <row r="739">
      <c r="A739" s="31"/>
      <c r="B739" s="17" t="str">
        <f>IFERROR(__xludf.DUMMYFUNCTION("if(len(A739)&gt;0, value(REGEXEXTRACT(A739, ""Chapter ([0-9]*):"")), """")"),"")</f>
        <v/>
      </c>
      <c r="C739" s="31" t="str">
        <f>IFERROR(__xludf.DUMMYFUNCTION("if(len(A739) &gt;0, REGEXEXTRACT(A739, ""Chapter [0-9]*: (.*)""), """")"),"")</f>
        <v/>
      </c>
      <c r="D739" s="31" t="str">
        <f>IFERROR(__xludf.DUMMYFUNCTION("if(len(A739)&gt;0, REGEXEXTRACT(A739, ""\n[^\(]*""), """")"),"")</f>
        <v/>
      </c>
      <c r="E739" s="17" t="str">
        <f>IFERROR(__xludf.DUMMYFUNCTION("if(len(A739)&gt;0, REGEXEXTRACT(A739, ""\n([^\n]*)$""), """")"),"")</f>
        <v/>
      </c>
      <c r="F739" s="17" t="str">
        <f>IFERROR(__xludf.DUMMYFUNCTION("if(len(A739)&gt;0, REGEXEXTRACT(A739, ""\(([^\)]*)\)""), """")"),"")</f>
        <v/>
      </c>
      <c r="G739" s="17" t="str">
        <f>IFERROR(__xludf.DUMMYFUNCTION("if(len(A739)&gt;0, REGEXEXTRACT(A739, ""\)([^:]*):""), """")"),"")</f>
        <v/>
      </c>
      <c r="H739" s="31" t="str">
        <f>IFERROR(__xludf.DUMMYFUNCTION("if(len(A739) &gt; 0, JOIN(char(10), FILTER(SPLIT(A739, char(10)), split(""false false "" &amp; rept(""true "", columns(SPLIT(A739, char(10)))-3) &amp; ""false"", "" ""))), """")"),"")</f>
        <v/>
      </c>
    </row>
    <row r="740">
      <c r="A740" s="31"/>
      <c r="B740" s="17" t="str">
        <f>IFERROR(__xludf.DUMMYFUNCTION("if(len(A740)&gt;0, value(REGEXEXTRACT(A740, ""Chapter ([0-9]*):"")), """")"),"")</f>
        <v/>
      </c>
      <c r="C740" s="31" t="str">
        <f>IFERROR(__xludf.DUMMYFUNCTION("if(len(A740) &gt;0, REGEXEXTRACT(A740, ""Chapter [0-9]*: (.*)""), """")"),"")</f>
        <v/>
      </c>
      <c r="D740" s="31" t="str">
        <f>IFERROR(__xludf.DUMMYFUNCTION("if(len(A740)&gt;0, REGEXEXTRACT(A740, ""\n[^\(]*""), """")"),"")</f>
        <v/>
      </c>
      <c r="E740" s="17" t="str">
        <f>IFERROR(__xludf.DUMMYFUNCTION("if(len(A740)&gt;0, REGEXEXTRACT(A740, ""\n([^\n]*)$""), """")"),"")</f>
        <v/>
      </c>
      <c r="F740" s="17" t="str">
        <f>IFERROR(__xludf.DUMMYFUNCTION("if(len(A740)&gt;0, REGEXEXTRACT(A740, ""\(([^\)]*)\)""), """")"),"")</f>
        <v/>
      </c>
      <c r="G740" s="17" t="str">
        <f>IFERROR(__xludf.DUMMYFUNCTION("if(len(A740)&gt;0, REGEXEXTRACT(A740, ""\)([^:]*):""), """")"),"")</f>
        <v/>
      </c>
      <c r="H740" s="31" t="str">
        <f>IFERROR(__xludf.DUMMYFUNCTION("if(len(A740) &gt; 0, JOIN(char(10), FILTER(SPLIT(A740, char(10)), split(""false false "" &amp; rept(""true "", columns(SPLIT(A740, char(10)))-3) &amp; ""false"", "" ""))), """")"),"")</f>
        <v/>
      </c>
    </row>
    <row r="741">
      <c r="A741" s="31"/>
      <c r="B741" s="17" t="str">
        <f>IFERROR(__xludf.DUMMYFUNCTION("if(len(A741)&gt;0, value(REGEXEXTRACT(A741, ""Chapter ([0-9]*):"")), """")"),"")</f>
        <v/>
      </c>
      <c r="C741" s="31" t="str">
        <f>IFERROR(__xludf.DUMMYFUNCTION("if(len(A741) &gt;0, REGEXEXTRACT(A741, ""Chapter [0-9]*: (.*)""), """")"),"")</f>
        <v/>
      </c>
      <c r="D741" s="31" t="str">
        <f>IFERROR(__xludf.DUMMYFUNCTION("if(len(A741)&gt;0, REGEXEXTRACT(A741, ""\n[^\(]*""), """")"),"")</f>
        <v/>
      </c>
      <c r="E741" s="17" t="str">
        <f>IFERROR(__xludf.DUMMYFUNCTION("if(len(A741)&gt;0, REGEXEXTRACT(A741, ""\n([^\n]*)$""), """")"),"")</f>
        <v/>
      </c>
      <c r="F741" s="17" t="str">
        <f>IFERROR(__xludf.DUMMYFUNCTION("if(len(A741)&gt;0, REGEXEXTRACT(A741, ""\(([^\)]*)\)""), """")"),"")</f>
        <v/>
      </c>
      <c r="G741" s="17" t="str">
        <f>IFERROR(__xludf.DUMMYFUNCTION("if(len(A741)&gt;0, REGEXEXTRACT(A741, ""\)([^:]*):""), """")"),"")</f>
        <v/>
      </c>
      <c r="H741" s="31" t="str">
        <f>IFERROR(__xludf.DUMMYFUNCTION("if(len(A741) &gt; 0, JOIN(char(10), FILTER(SPLIT(A741, char(10)), split(""false false "" &amp; rept(""true "", columns(SPLIT(A741, char(10)))-3) &amp; ""false"", "" ""))), """")"),"")</f>
        <v/>
      </c>
    </row>
    <row r="742">
      <c r="A742" s="31"/>
      <c r="B742" s="17" t="str">
        <f>IFERROR(__xludf.DUMMYFUNCTION("if(len(A742)&gt;0, value(REGEXEXTRACT(A742, ""Chapter ([0-9]*):"")), """")"),"")</f>
        <v/>
      </c>
      <c r="C742" s="31" t="str">
        <f>IFERROR(__xludf.DUMMYFUNCTION("if(len(A742) &gt;0, REGEXEXTRACT(A742, ""Chapter [0-9]*: (.*)""), """")"),"")</f>
        <v/>
      </c>
      <c r="D742" s="31" t="str">
        <f>IFERROR(__xludf.DUMMYFUNCTION("if(len(A742)&gt;0, REGEXEXTRACT(A742, ""\n[^\(]*""), """")"),"")</f>
        <v/>
      </c>
      <c r="E742" s="17" t="str">
        <f>IFERROR(__xludf.DUMMYFUNCTION("if(len(A742)&gt;0, REGEXEXTRACT(A742, ""\n([^\n]*)$""), """")"),"")</f>
        <v/>
      </c>
      <c r="F742" s="17" t="str">
        <f>IFERROR(__xludf.DUMMYFUNCTION("if(len(A742)&gt;0, REGEXEXTRACT(A742, ""\(([^\)]*)\)""), """")"),"")</f>
        <v/>
      </c>
      <c r="G742" s="17" t="str">
        <f>IFERROR(__xludf.DUMMYFUNCTION("if(len(A742)&gt;0, REGEXEXTRACT(A742, ""\)([^:]*):""), """")"),"")</f>
        <v/>
      </c>
      <c r="H742" s="31" t="str">
        <f>IFERROR(__xludf.DUMMYFUNCTION("if(len(A742) &gt; 0, JOIN(char(10), FILTER(SPLIT(A742, char(10)), split(""false false "" &amp; rept(""true "", columns(SPLIT(A742, char(10)))-3) &amp; ""false"", "" ""))), """")"),"")</f>
        <v/>
      </c>
    </row>
    <row r="743">
      <c r="A743" s="31"/>
      <c r="B743" s="17" t="str">
        <f>IFERROR(__xludf.DUMMYFUNCTION("if(len(A743)&gt;0, value(REGEXEXTRACT(A743, ""Chapter ([0-9]*):"")), """")"),"")</f>
        <v/>
      </c>
      <c r="C743" s="31" t="str">
        <f>IFERROR(__xludf.DUMMYFUNCTION("if(len(A743) &gt;0, REGEXEXTRACT(A743, ""Chapter [0-9]*: (.*)""), """")"),"")</f>
        <v/>
      </c>
      <c r="D743" s="31" t="str">
        <f>IFERROR(__xludf.DUMMYFUNCTION("if(len(A743)&gt;0, REGEXEXTRACT(A743, ""\n[^\(]*""), """")"),"")</f>
        <v/>
      </c>
      <c r="E743" s="17" t="str">
        <f>IFERROR(__xludf.DUMMYFUNCTION("if(len(A743)&gt;0, REGEXEXTRACT(A743, ""\n([^\n]*)$""), """")"),"")</f>
        <v/>
      </c>
      <c r="F743" s="17" t="str">
        <f>IFERROR(__xludf.DUMMYFUNCTION("if(len(A743)&gt;0, REGEXEXTRACT(A743, ""\(([^\)]*)\)""), """")"),"")</f>
        <v/>
      </c>
      <c r="G743" s="17" t="str">
        <f>IFERROR(__xludf.DUMMYFUNCTION("if(len(A743)&gt;0, REGEXEXTRACT(A743, ""\)([^:]*):""), """")"),"")</f>
        <v/>
      </c>
      <c r="H743" s="31" t="str">
        <f>IFERROR(__xludf.DUMMYFUNCTION("if(len(A743) &gt; 0, JOIN(char(10), FILTER(SPLIT(A743, char(10)), split(""false false "" &amp; rept(""true "", columns(SPLIT(A743, char(10)))-3) &amp; ""false"", "" ""))), """")"),"")</f>
        <v/>
      </c>
    </row>
    <row r="744">
      <c r="A744" s="31"/>
      <c r="B744" s="17" t="str">
        <f>IFERROR(__xludf.DUMMYFUNCTION("if(len(A744)&gt;0, value(REGEXEXTRACT(A744, ""Chapter ([0-9]*):"")), """")"),"")</f>
        <v/>
      </c>
      <c r="C744" s="31" t="str">
        <f>IFERROR(__xludf.DUMMYFUNCTION("if(len(A744) &gt;0, REGEXEXTRACT(A744, ""Chapter [0-9]*: (.*)""), """")"),"")</f>
        <v/>
      </c>
      <c r="D744" s="31" t="str">
        <f>IFERROR(__xludf.DUMMYFUNCTION("if(len(A744)&gt;0, REGEXEXTRACT(A744, ""\n[^\(]*""), """")"),"")</f>
        <v/>
      </c>
      <c r="E744" s="17" t="str">
        <f>IFERROR(__xludf.DUMMYFUNCTION("if(len(A744)&gt;0, REGEXEXTRACT(A744, ""\n([^\n]*)$""), """")"),"")</f>
        <v/>
      </c>
      <c r="F744" s="17" t="str">
        <f>IFERROR(__xludf.DUMMYFUNCTION("if(len(A744)&gt;0, REGEXEXTRACT(A744, ""\(([^\)]*)\)""), """")"),"")</f>
        <v/>
      </c>
      <c r="G744" s="17" t="str">
        <f>IFERROR(__xludf.DUMMYFUNCTION("if(len(A744)&gt;0, REGEXEXTRACT(A744, ""\)([^:]*):""), """")"),"")</f>
        <v/>
      </c>
      <c r="H744" s="31" t="str">
        <f>IFERROR(__xludf.DUMMYFUNCTION("if(len(A744) &gt; 0, JOIN(char(10), FILTER(SPLIT(A744, char(10)), split(""false false "" &amp; rept(""true "", columns(SPLIT(A744, char(10)))-3) &amp; ""false"", "" ""))), """")"),"")</f>
        <v/>
      </c>
    </row>
    <row r="745">
      <c r="A745" s="31"/>
      <c r="B745" s="17" t="str">
        <f>IFERROR(__xludf.DUMMYFUNCTION("if(len(A745)&gt;0, value(REGEXEXTRACT(A745, ""Chapter ([0-9]*):"")), """")"),"")</f>
        <v/>
      </c>
      <c r="C745" s="31" t="str">
        <f>IFERROR(__xludf.DUMMYFUNCTION("if(len(A745) &gt;0, REGEXEXTRACT(A745, ""Chapter [0-9]*: (.*)""), """")"),"")</f>
        <v/>
      </c>
      <c r="D745" s="31" t="str">
        <f>IFERROR(__xludf.DUMMYFUNCTION("if(len(A745)&gt;0, REGEXEXTRACT(A745, ""\n[^\(]*""), """")"),"")</f>
        <v/>
      </c>
      <c r="E745" s="17" t="str">
        <f>IFERROR(__xludf.DUMMYFUNCTION("if(len(A745)&gt;0, REGEXEXTRACT(A745, ""\n([^\n]*)$""), """")"),"")</f>
        <v/>
      </c>
      <c r="F745" s="17" t="str">
        <f>IFERROR(__xludf.DUMMYFUNCTION("if(len(A745)&gt;0, REGEXEXTRACT(A745, ""\(([^\)]*)\)""), """")"),"")</f>
        <v/>
      </c>
      <c r="G745" s="17" t="str">
        <f>IFERROR(__xludf.DUMMYFUNCTION("if(len(A745)&gt;0, REGEXEXTRACT(A745, ""\)([^:]*):""), """")"),"")</f>
        <v/>
      </c>
      <c r="H745" s="31" t="str">
        <f>IFERROR(__xludf.DUMMYFUNCTION("if(len(A745) &gt; 0, JOIN(char(10), FILTER(SPLIT(A745, char(10)), split(""false false "" &amp; rept(""true "", columns(SPLIT(A745, char(10)))-3) &amp; ""false"", "" ""))), """")"),"")</f>
        <v/>
      </c>
    </row>
    <row r="746">
      <c r="A746" s="31"/>
      <c r="B746" s="17" t="str">
        <f>IFERROR(__xludf.DUMMYFUNCTION("if(len(A746)&gt;0, value(REGEXEXTRACT(A746, ""Chapter ([0-9]*):"")), """")"),"")</f>
        <v/>
      </c>
      <c r="C746" s="31" t="str">
        <f>IFERROR(__xludf.DUMMYFUNCTION("if(len(A746) &gt;0, REGEXEXTRACT(A746, ""Chapter [0-9]*: (.*)""), """")"),"")</f>
        <v/>
      </c>
      <c r="D746" s="31" t="str">
        <f>IFERROR(__xludf.DUMMYFUNCTION("if(len(A746)&gt;0, REGEXEXTRACT(A746, ""\n[^\(]*""), """")"),"")</f>
        <v/>
      </c>
      <c r="E746" s="17" t="str">
        <f>IFERROR(__xludf.DUMMYFUNCTION("if(len(A746)&gt;0, REGEXEXTRACT(A746, ""\n([^\n]*)$""), """")"),"")</f>
        <v/>
      </c>
      <c r="F746" s="17" t="str">
        <f>IFERROR(__xludf.DUMMYFUNCTION("if(len(A746)&gt;0, REGEXEXTRACT(A746, ""\(([^\)]*)\)""), """")"),"")</f>
        <v/>
      </c>
      <c r="G746" s="17" t="str">
        <f>IFERROR(__xludf.DUMMYFUNCTION("if(len(A746)&gt;0, REGEXEXTRACT(A746, ""\)([^:]*):""), """")"),"")</f>
        <v/>
      </c>
      <c r="H746" s="31" t="str">
        <f>IFERROR(__xludf.DUMMYFUNCTION("if(len(A746) &gt; 0, JOIN(char(10), FILTER(SPLIT(A746, char(10)), split(""false false "" &amp; rept(""true "", columns(SPLIT(A746, char(10)))-3) &amp; ""false"", "" ""))), """")"),"")</f>
        <v/>
      </c>
    </row>
    <row r="747">
      <c r="A747" s="31"/>
      <c r="B747" s="17" t="str">
        <f>IFERROR(__xludf.DUMMYFUNCTION("if(len(A747)&gt;0, value(REGEXEXTRACT(A747, ""Chapter ([0-9]*):"")), """")"),"")</f>
        <v/>
      </c>
      <c r="C747" s="31" t="str">
        <f>IFERROR(__xludf.DUMMYFUNCTION("if(len(A747) &gt;0, REGEXEXTRACT(A747, ""Chapter [0-9]*: (.*)""), """")"),"")</f>
        <v/>
      </c>
      <c r="D747" s="31" t="str">
        <f>IFERROR(__xludf.DUMMYFUNCTION("if(len(A747)&gt;0, REGEXEXTRACT(A747, ""\n[^\(]*""), """")"),"")</f>
        <v/>
      </c>
      <c r="E747" s="17" t="str">
        <f>IFERROR(__xludf.DUMMYFUNCTION("if(len(A747)&gt;0, REGEXEXTRACT(A747, ""\n([^\n]*)$""), """")"),"")</f>
        <v/>
      </c>
      <c r="F747" s="17" t="str">
        <f>IFERROR(__xludf.DUMMYFUNCTION("if(len(A747)&gt;0, REGEXEXTRACT(A747, ""\(([^\)]*)\)""), """")"),"")</f>
        <v/>
      </c>
      <c r="G747" s="17" t="str">
        <f>IFERROR(__xludf.DUMMYFUNCTION("if(len(A747)&gt;0, REGEXEXTRACT(A747, ""\)([^:]*):""), """")"),"")</f>
        <v/>
      </c>
      <c r="H747" s="31" t="str">
        <f>IFERROR(__xludf.DUMMYFUNCTION("if(len(A747) &gt; 0, JOIN(char(10), FILTER(SPLIT(A747, char(10)), split(""false false "" &amp; rept(""true "", columns(SPLIT(A747, char(10)))-3) &amp; ""false"", "" ""))), """")"),"")</f>
        <v/>
      </c>
    </row>
    <row r="748">
      <c r="A748" s="31"/>
      <c r="B748" s="17" t="str">
        <f>IFERROR(__xludf.DUMMYFUNCTION("if(len(A748)&gt;0, value(REGEXEXTRACT(A748, ""Chapter ([0-9]*):"")), """")"),"")</f>
        <v/>
      </c>
      <c r="C748" s="31" t="str">
        <f>IFERROR(__xludf.DUMMYFUNCTION("if(len(A748) &gt;0, REGEXEXTRACT(A748, ""Chapter [0-9]*: (.*)""), """")"),"")</f>
        <v/>
      </c>
      <c r="D748" s="31" t="str">
        <f>IFERROR(__xludf.DUMMYFUNCTION("if(len(A748)&gt;0, REGEXEXTRACT(A748, ""\n[^\(]*""), """")"),"")</f>
        <v/>
      </c>
      <c r="E748" s="17" t="str">
        <f>IFERROR(__xludf.DUMMYFUNCTION("if(len(A748)&gt;0, REGEXEXTRACT(A748, ""\n([^\n]*)$""), """")"),"")</f>
        <v/>
      </c>
      <c r="F748" s="17" t="str">
        <f>IFERROR(__xludf.DUMMYFUNCTION("if(len(A748)&gt;0, REGEXEXTRACT(A748, ""\(([^\)]*)\)""), """")"),"")</f>
        <v/>
      </c>
      <c r="G748" s="17" t="str">
        <f>IFERROR(__xludf.DUMMYFUNCTION("if(len(A748)&gt;0, REGEXEXTRACT(A748, ""\)([^:]*):""), """")"),"")</f>
        <v/>
      </c>
      <c r="H748" s="31" t="str">
        <f>IFERROR(__xludf.DUMMYFUNCTION("if(len(A748) &gt; 0, JOIN(char(10), FILTER(SPLIT(A748, char(10)), split(""false false "" &amp; rept(""true "", columns(SPLIT(A748, char(10)))-3) &amp; ""false"", "" ""))), """")"),"")</f>
        <v/>
      </c>
    </row>
    <row r="749">
      <c r="A749" s="31"/>
      <c r="B749" s="17" t="str">
        <f>IFERROR(__xludf.DUMMYFUNCTION("if(len(A749)&gt;0, value(REGEXEXTRACT(A749, ""Chapter ([0-9]*):"")), """")"),"")</f>
        <v/>
      </c>
      <c r="C749" s="31" t="str">
        <f>IFERROR(__xludf.DUMMYFUNCTION("if(len(A749) &gt;0, REGEXEXTRACT(A749, ""Chapter [0-9]*: (.*)""), """")"),"")</f>
        <v/>
      </c>
      <c r="D749" s="31" t="str">
        <f>IFERROR(__xludf.DUMMYFUNCTION("if(len(A749)&gt;0, REGEXEXTRACT(A749, ""\n[^\(]*""), """")"),"")</f>
        <v/>
      </c>
      <c r="E749" s="17" t="str">
        <f>IFERROR(__xludf.DUMMYFUNCTION("if(len(A749)&gt;0, REGEXEXTRACT(A749, ""\n([^\n]*)$""), """")"),"")</f>
        <v/>
      </c>
      <c r="F749" s="17" t="str">
        <f>IFERROR(__xludf.DUMMYFUNCTION("if(len(A749)&gt;0, REGEXEXTRACT(A749, ""\(([^\)]*)\)""), """")"),"")</f>
        <v/>
      </c>
      <c r="G749" s="17" t="str">
        <f>IFERROR(__xludf.DUMMYFUNCTION("if(len(A749)&gt;0, REGEXEXTRACT(A749, ""\)([^:]*):""), """")"),"")</f>
        <v/>
      </c>
      <c r="H749" s="31" t="str">
        <f>IFERROR(__xludf.DUMMYFUNCTION("if(len(A749) &gt; 0, JOIN(char(10), FILTER(SPLIT(A749, char(10)), split(""false false "" &amp; rept(""true "", columns(SPLIT(A749, char(10)))-3) &amp; ""false"", "" ""))), """")"),"")</f>
        <v/>
      </c>
    </row>
    <row r="750">
      <c r="A750" s="31"/>
      <c r="B750" s="17" t="str">
        <f>IFERROR(__xludf.DUMMYFUNCTION("if(len(A750)&gt;0, value(REGEXEXTRACT(A750, ""Chapter ([0-9]*):"")), """")"),"")</f>
        <v/>
      </c>
      <c r="C750" s="31" t="str">
        <f>IFERROR(__xludf.DUMMYFUNCTION("if(len(A750) &gt;0, REGEXEXTRACT(A750, ""Chapter [0-9]*: (.*)""), """")"),"")</f>
        <v/>
      </c>
      <c r="D750" s="31" t="str">
        <f>IFERROR(__xludf.DUMMYFUNCTION("if(len(A750)&gt;0, REGEXEXTRACT(A750, ""\n[^\(]*""), """")"),"")</f>
        <v/>
      </c>
      <c r="E750" s="17" t="str">
        <f>IFERROR(__xludf.DUMMYFUNCTION("if(len(A750)&gt;0, REGEXEXTRACT(A750, ""\n([^\n]*)$""), """")"),"")</f>
        <v/>
      </c>
      <c r="F750" s="17" t="str">
        <f>IFERROR(__xludf.DUMMYFUNCTION("if(len(A750)&gt;0, REGEXEXTRACT(A750, ""\(([^\)]*)\)""), """")"),"")</f>
        <v/>
      </c>
      <c r="G750" s="17" t="str">
        <f>IFERROR(__xludf.DUMMYFUNCTION("if(len(A750)&gt;0, REGEXEXTRACT(A750, ""\)([^:]*):""), """")"),"")</f>
        <v/>
      </c>
      <c r="H750" s="31" t="str">
        <f>IFERROR(__xludf.DUMMYFUNCTION("if(len(A750) &gt; 0, JOIN(char(10), FILTER(SPLIT(A750, char(10)), split(""false false "" &amp; rept(""true "", columns(SPLIT(A750, char(10)))-3) &amp; ""false"", "" ""))), """")"),"")</f>
        <v/>
      </c>
    </row>
    <row r="751">
      <c r="A751" s="31"/>
      <c r="B751" s="17" t="str">
        <f>IFERROR(__xludf.DUMMYFUNCTION("if(len(A751)&gt;0, value(REGEXEXTRACT(A751, ""Chapter ([0-9]*):"")), """")"),"")</f>
        <v/>
      </c>
      <c r="C751" s="31" t="str">
        <f>IFERROR(__xludf.DUMMYFUNCTION("if(len(A751) &gt;0, REGEXEXTRACT(A751, ""Chapter [0-9]*: (.*)""), """")"),"")</f>
        <v/>
      </c>
      <c r="D751" s="31" t="str">
        <f>IFERROR(__xludf.DUMMYFUNCTION("if(len(A751)&gt;0, REGEXEXTRACT(A751, ""\n[^\(]*""), """")"),"")</f>
        <v/>
      </c>
      <c r="E751" s="17" t="str">
        <f>IFERROR(__xludf.DUMMYFUNCTION("if(len(A751)&gt;0, REGEXEXTRACT(A751, ""\n([^\n]*)$""), """")"),"")</f>
        <v/>
      </c>
      <c r="F751" s="17" t="str">
        <f>IFERROR(__xludf.DUMMYFUNCTION("if(len(A751)&gt;0, REGEXEXTRACT(A751, ""\(([^\)]*)\)""), """")"),"")</f>
        <v/>
      </c>
      <c r="G751" s="17" t="str">
        <f>IFERROR(__xludf.DUMMYFUNCTION("if(len(A751)&gt;0, REGEXEXTRACT(A751, ""\)([^:]*):""), """")"),"")</f>
        <v/>
      </c>
      <c r="H751" s="31" t="str">
        <f>IFERROR(__xludf.DUMMYFUNCTION("if(len(A751) &gt; 0, JOIN(char(10), FILTER(SPLIT(A751, char(10)), split(""false false "" &amp; rept(""true "", columns(SPLIT(A751, char(10)))-3) &amp; ""false"", "" ""))), """")"),"")</f>
        <v/>
      </c>
    </row>
    <row r="752">
      <c r="A752" s="31"/>
      <c r="B752" s="17" t="str">
        <f>IFERROR(__xludf.DUMMYFUNCTION("if(len(A752)&gt;0, value(REGEXEXTRACT(A752, ""Chapter ([0-9]*):"")), """")"),"")</f>
        <v/>
      </c>
      <c r="C752" s="31" t="str">
        <f>IFERROR(__xludf.DUMMYFUNCTION("if(len(A752) &gt;0, REGEXEXTRACT(A752, ""Chapter [0-9]*: (.*)""), """")"),"")</f>
        <v/>
      </c>
      <c r="D752" s="31" t="str">
        <f>IFERROR(__xludf.DUMMYFUNCTION("if(len(A752)&gt;0, REGEXEXTRACT(A752, ""\n[^\(]*""), """")"),"")</f>
        <v/>
      </c>
      <c r="E752" s="17" t="str">
        <f>IFERROR(__xludf.DUMMYFUNCTION("if(len(A752)&gt;0, REGEXEXTRACT(A752, ""\n([^\n]*)$""), """")"),"")</f>
        <v/>
      </c>
      <c r="F752" s="17" t="str">
        <f>IFERROR(__xludf.DUMMYFUNCTION("if(len(A752)&gt;0, REGEXEXTRACT(A752, ""\(([^\)]*)\)""), """")"),"")</f>
        <v/>
      </c>
      <c r="G752" s="17" t="str">
        <f>IFERROR(__xludf.DUMMYFUNCTION("if(len(A752)&gt;0, REGEXEXTRACT(A752, ""\)([^:]*):""), """")"),"")</f>
        <v/>
      </c>
      <c r="H752" s="31" t="str">
        <f>IFERROR(__xludf.DUMMYFUNCTION("if(len(A752) &gt; 0, JOIN(char(10), FILTER(SPLIT(A752, char(10)), split(""false false "" &amp; rept(""true "", columns(SPLIT(A752, char(10)))-3) &amp; ""false"", "" ""))), """")"),"")</f>
        <v/>
      </c>
    </row>
    <row r="753">
      <c r="A753" s="31"/>
      <c r="B753" s="17" t="str">
        <f>IFERROR(__xludf.DUMMYFUNCTION("if(len(A753)&gt;0, value(REGEXEXTRACT(A753, ""Chapter ([0-9]*):"")), """")"),"")</f>
        <v/>
      </c>
      <c r="C753" s="31" t="str">
        <f>IFERROR(__xludf.DUMMYFUNCTION("if(len(A753) &gt;0, REGEXEXTRACT(A753, ""Chapter [0-9]*: (.*)""), """")"),"")</f>
        <v/>
      </c>
      <c r="D753" s="31" t="str">
        <f>IFERROR(__xludf.DUMMYFUNCTION("if(len(A753)&gt;0, REGEXEXTRACT(A753, ""\n[^\(]*""), """")"),"")</f>
        <v/>
      </c>
      <c r="E753" s="17" t="str">
        <f>IFERROR(__xludf.DUMMYFUNCTION("if(len(A753)&gt;0, REGEXEXTRACT(A753, ""\n([^\n]*)$""), """")"),"")</f>
        <v/>
      </c>
      <c r="F753" s="17" t="str">
        <f>IFERROR(__xludf.DUMMYFUNCTION("if(len(A753)&gt;0, REGEXEXTRACT(A753, ""\(([^\)]*)\)""), """")"),"")</f>
        <v/>
      </c>
      <c r="G753" s="17" t="str">
        <f>IFERROR(__xludf.DUMMYFUNCTION("if(len(A753)&gt;0, REGEXEXTRACT(A753, ""\)([^:]*):""), """")"),"")</f>
        <v/>
      </c>
      <c r="H753" s="31" t="str">
        <f>IFERROR(__xludf.DUMMYFUNCTION("if(len(A753) &gt; 0, JOIN(char(10), FILTER(SPLIT(A753, char(10)), split(""false false "" &amp; rept(""true "", columns(SPLIT(A753, char(10)))-3) &amp; ""false"", "" ""))), """")"),"")</f>
        <v/>
      </c>
    </row>
    <row r="754">
      <c r="A754" s="31"/>
      <c r="B754" s="17" t="str">
        <f>IFERROR(__xludf.DUMMYFUNCTION("if(len(A754)&gt;0, value(REGEXEXTRACT(A754, ""Chapter ([0-9]*):"")), """")"),"")</f>
        <v/>
      </c>
      <c r="C754" s="31" t="str">
        <f>IFERROR(__xludf.DUMMYFUNCTION("if(len(A754) &gt;0, REGEXEXTRACT(A754, ""Chapter [0-9]*: (.*)""), """")"),"")</f>
        <v/>
      </c>
      <c r="D754" s="31" t="str">
        <f>IFERROR(__xludf.DUMMYFUNCTION("if(len(A754)&gt;0, REGEXEXTRACT(A754, ""\n[^\(]*""), """")"),"")</f>
        <v/>
      </c>
      <c r="E754" s="17" t="str">
        <f>IFERROR(__xludf.DUMMYFUNCTION("if(len(A754)&gt;0, REGEXEXTRACT(A754, ""\n([^\n]*)$""), """")"),"")</f>
        <v/>
      </c>
      <c r="F754" s="17" t="str">
        <f>IFERROR(__xludf.DUMMYFUNCTION("if(len(A754)&gt;0, REGEXEXTRACT(A754, ""\(([^\)]*)\)""), """")"),"")</f>
        <v/>
      </c>
      <c r="G754" s="17" t="str">
        <f>IFERROR(__xludf.DUMMYFUNCTION("if(len(A754)&gt;0, REGEXEXTRACT(A754, ""\)([^:]*):""), """")"),"")</f>
        <v/>
      </c>
      <c r="H754" s="31" t="str">
        <f>IFERROR(__xludf.DUMMYFUNCTION("if(len(A754) &gt; 0, JOIN(char(10), FILTER(SPLIT(A754, char(10)), split(""false false "" &amp; rept(""true "", columns(SPLIT(A754, char(10)))-3) &amp; ""false"", "" ""))), """")"),"")</f>
        <v/>
      </c>
    </row>
    <row r="755">
      <c r="A755" s="31"/>
      <c r="B755" s="17" t="str">
        <f>IFERROR(__xludf.DUMMYFUNCTION("if(len(A755)&gt;0, value(REGEXEXTRACT(A755, ""Chapter ([0-9]*):"")), """")"),"")</f>
        <v/>
      </c>
      <c r="C755" s="31" t="str">
        <f>IFERROR(__xludf.DUMMYFUNCTION("if(len(A755) &gt;0, REGEXEXTRACT(A755, ""Chapter [0-9]*: (.*)""), """")"),"")</f>
        <v/>
      </c>
      <c r="D755" s="31" t="str">
        <f>IFERROR(__xludf.DUMMYFUNCTION("if(len(A755)&gt;0, REGEXEXTRACT(A755, ""\n[^\(]*""), """")"),"")</f>
        <v/>
      </c>
      <c r="E755" s="17" t="str">
        <f>IFERROR(__xludf.DUMMYFUNCTION("if(len(A755)&gt;0, REGEXEXTRACT(A755, ""\n([^\n]*)$""), """")"),"")</f>
        <v/>
      </c>
      <c r="F755" s="17" t="str">
        <f>IFERROR(__xludf.DUMMYFUNCTION("if(len(A755)&gt;0, REGEXEXTRACT(A755, ""\(([^\)]*)\)""), """")"),"")</f>
        <v/>
      </c>
      <c r="G755" s="17" t="str">
        <f>IFERROR(__xludf.DUMMYFUNCTION("if(len(A755)&gt;0, REGEXEXTRACT(A755, ""\)([^:]*):""), """")"),"")</f>
        <v/>
      </c>
      <c r="H755" s="31" t="str">
        <f>IFERROR(__xludf.DUMMYFUNCTION("if(len(A755) &gt; 0, JOIN(char(10), FILTER(SPLIT(A755, char(10)), split(""false false "" &amp; rept(""true "", columns(SPLIT(A755, char(10)))-3) &amp; ""false"", "" ""))), """")"),"")</f>
        <v/>
      </c>
    </row>
    <row r="756">
      <c r="A756" s="31"/>
      <c r="B756" s="17" t="str">
        <f>IFERROR(__xludf.DUMMYFUNCTION("if(len(A756)&gt;0, value(REGEXEXTRACT(A756, ""Chapter ([0-9]*):"")), """")"),"")</f>
        <v/>
      </c>
      <c r="C756" s="31" t="str">
        <f>IFERROR(__xludf.DUMMYFUNCTION("if(len(A756) &gt;0, REGEXEXTRACT(A756, ""Chapter [0-9]*: (.*)""), """")"),"")</f>
        <v/>
      </c>
      <c r="D756" s="31" t="str">
        <f>IFERROR(__xludf.DUMMYFUNCTION("if(len(A756)&gt;0, REGEXEXTRACT(A756, ""\n[^\(]*""), """")"),"")</f>
        <v/>
      </c>
      <c r="E756" s="17" t="str">
        <f>IFERROR(__xludf.DUMMYFUNCTION("if(len(A756)&gt;0, REGEXEXTRACT(A756, ""\n([^\n]*)$""), """")"),"")</f>
        <v/>
      </c>
      <c r="F756" s="17" t="str">
        <f>IFERROR(__xludf.DUMMYFUNCTION("if(len(A756)&gt;0, REGEXEXTRACT(A756, ""\(([^\)]*)\)""), """")"),"")</f>
        <v/>
      </c>
      <c r="G756" s="17" t="str">
        <f>IFERROR(__xludf.DUMMYFUNCTION("if(len(A756)&gt;0, REGEXEXTRACT(A756, ""\)([^:]*):""), """")"),"")</f>
        <v/>
      </c>
      <c r="H756" s="31" t="str">
        <f>IFERROR(__xludf.DUMMYFUNCTION("if(len(A756) &gt; 0, JOIN(char(10), FILTER(SPLIT(A756, char(10)), split(""false false "" &amp; rept(""true "", columns(SPLIT(A756, char(10)))-3) &amp; ""false"", "" ""))), """")"),"")</f>
        <v/>
      </c>
    </row>
    <row r="757">
      <c r="A757" s="31"/>
      <c r="B757" s="17" t="str">
        <f>IFERROR(__xludf.DUMMYFUNCTION("if(len(A757)&gt;0, value(REGEXEXTRACT(A757, ""Chapter ([0-9]*):"")), """")"),"")</f>
        <v/>
      </c>
      <c r="C757" s="31" t="str">
        <f>IFERROR(__xludf.DUMMYFUNCTION("if(len(A757) &gt;0, REGEXEXTRACT(A757, ""Chapter [0-9]*: (.*)""), """")"),"")</f>
        <v/>
      </c>
      <c r="D757" s="31" t="str">
        <f>IFERROR(__xludf.DUMMYFUNCTION("if(len(A757)&gt;0, REGEXEXTRACT(A757, ""\n[^\(]*""), """")"),"")</f>
        <v/>
      </c>
      <c r="E757" s="17" t="str">
        <f>IFERROR(__xludf.DUMMYFUNCTION("if(len(A757)&gt;0, REGEXEXTRACT(A757, ""\n([^\n]*)$""), """")"),"")</f>
        <v/>
      </c>
      <c r="F757" s="17" t="str">
        <f>IFERROR(__xludf.DUMMYFUNCTION("if(len(A757)&gt;0, REGEXEXTRACT(A757, ""\(([^\)]*)\)""), """")"),"")</f>
        <v/>
      </c>
      <c r="G757" s="17" t="str">
        <f>IFERROR(__xludf.DUMMYFUNCTION("if(len(A757)&gt;0, REGEXEXTRACT(A757, ""\)([^:]*):""), """")"),"")</f>
        <v/>
      </c>
      <c r="H757" s="31" t="str">
        <f>IFERROR(__xludf.DUMMYFUNCTION("if(len(A757) &gt; 0, JOIN(char(10), FILTER(SPLIT(A757, char(10)), split(""false false "" &amp; rept(""true "", columns(SPLIT(A757, char(10)))-3) &amp; ""false"", "" ""))), """")"),"")</f>
        <v/>
      </c>
    </row>
    <row r="758">
      <c r="A758" s="31"/>
      <c r="B758" s="17" t="str">
        <f>IFERROR(__xludf.DUMMYFUNCTION("if(len(A758)&gt;0, value(REGEXEXTRACT(A758, ""Chapter ([0-9]*):"")), """")"),"")</f>
        <v/>
      </c>
      <c r="C758" s="31" t="str">
        <f>IFERROR(__xludf.DUMMYFUNCTION("if(len(A758) &gt;0, REGEXEXTRACT(A758, ""Chapter [0-9]*: (.*)""), """")"),"")</f>
        <v/>
      </c>
      <c r="D758" s="31" t="str">
        <f>IFERROR(__xludf.DUMMYFUNCTION("if(len(A758)&gt;0, REGEXEXTRACT(A758, ""\n[^\(]*""), """")"),"")</f>
        <v/>
      </c>
      <c r="E758" s="17" t="str">
        <f>IFERROR(__xludf.DUMMYFUNCTION("if(len(A758)&gt;0, REGEXEXTRACT(A758, ""\n([^\n]*)$""), """")"),"")</f>
        <v/>
      </c>
      <c r="F758" s="17" t="str">
        <f>IFERROR(__xludf.DUMMYFUNCTION("if(len(A758)&gt;0, REGEXEXTRACT(A758, ""\(([^\)]*)\)""), """")"),"")</f>
        <v/>
      </c>
      <c r="G758" s="17" t="str">
        <f>IFERROR(__xludf.DUMMYFUNCTION("if(len(A758)&gt;0, REGEXEXTRACT(A758, ""\)([^:]*):""), """")"),"")</f>
        <v/>
      </c>
      <c r="H758" s="31" t="str">
        <f>IFERROR(__xludf.DUMMYFUNCTION("if(len(A758) &gt; 0, JOIN(char(10), FILTER(SPLIT(A758, char(10)), split(""false false "" &amp; rept(""true "", columns(SPLIT(A758, char(10)))-3) &amp; ""false"", "" ""))), """")"),"")</f>
        <v/>
      </c>
    </row>
    <row r="759">
      <c r="A759" s="31"/>
      <c r="B759" s="17" t="str">
        <f>IFERROR(__xludf.DUMMYFUNCTION("if(len(A759)&gt;0, value(REGEXEXTRACT(A759, ""Chapter ([0-9]*):"")), """")"),"")</f>
        <v/>
      </c>
      <c r="C759" s="31" t="str">
        <f>IFERROR(__xludf.DUMMYFUNCTION("if(len(A759) &gt;0, REGEXEXTRACT(A759, ""Chapter [0-9]*: (.*)""), """")"),"")</f>
        <v/>
      </c>
      <c r="D759" s="31" t="str">
        <f>IFERROR(__xludf.DUMMYFUNCTION("if(len(A759)&gt;0, REGEXEXTRACT(A759, ""\n[^\(]*""), """")"),"")</f>
        <v/>
      </c>
      <c r="E759" s="17" t="str">
        <f>IFERROR(__xludf.DUMMYFUNCTION("if(len(A759)&gt;0, REGEXEXTRACT(A759, ""\n([^\n]*)$""), """")"),"")</f>
        <v/>
      </c>
      <c r="F759" s="17" t="str">
        <f>IFERROR(__xludf.DUMMYFUNCTION("if(len(A759)&gt;0, REGEXEXTRACT(A759, ""\(([^\)]*)\)""), """")"),"")</f>
        <v/>
      </c>
      <c r="G759" s="17" t="str">
        <f>IFERROR(__xludf.DUMMYFUNCTION("if(len(A759)&gt;0, REGEXEXTRACT(A759, ""\)([^:]*):""), """")"),"")</f>
        <v/>
      </c>
      <c r="H759" s="31" t="str">
        <f>IFERROR(__xludf.DUMMYFUNCTION("if(len(A759) &gt; 0, JOIN(char(10), FILTER(SPLIT(A759, char(10)), split(""false false "" &amp; rept(""true "", columns(SPLIT(A759, char(10)))-3) &amp; ""false"", "" ""))), """")"),"")</f>
        <v/>
      </c>
    </row>
    <row r="760">
      <c r="A760" s="31"/>
      <c r="B760" s="17" t="str">
        <f>IFERROR(__xludf.DUMMYFUNCTION("if(len(A760)&gt;0, value(REGEXEXTRACT(A760, ""Chapter ([0-9]*):"")), """")"),"")</f>
        <v/>
      </c>
      <c r="C760" s="31" t="str">
        <f>IFERROR(__xludf.DUMMYFUNCTION("if(len(A760) &gt;0, REGEXEXTRACT(A760, ""Chapter [0-9]*: (.*)""), """")"),"")</f>
        <v/>
      </c>
      <c r="D760" s="31" t="str">
        <f>IFERROR(__xludf.DUMMYFUNCTION("if(len(A760)&gt;0, REGEXEXTRACT(A760, ""\n[^\(]*""), """")"),"")</f>
        <v/>
      </c>
      <c r="E760" s="17" t="str">
        <f>IFERROR(__xludf.DUMMYFUNCTION("if(len(A760)&gt;0, REGEXEXTRACT(A760, ""\n([^\n]*)$""), """")"),"")</f>
        <v/>
      </c>
      <c r="F760" s="17" t="str">
        <f>IFERROR(__xludf.DUMMYFUNCTION("if(len(A760)&gt;0, REGEXEXTRACT(A760, ""\(([^\)]*)\)""), """")"),"")</f>
        <v/>
      </c>
      <c r="G760" s="17" t="str">
        <f>IFERROR(__xludf.DUMMYFUNCTION("if(len(A760)&gt;0, REGEXEXTRACT(A760, ""\)([^:]*):""), """")"),"")</f>
        <v/>
      </c>
      <c r="H760" s="31" t="str">
        <f>IFERROR(__xludf.DUMMYFUNCTION("if(len(A760) &gt; 0, JOIN(char(10), FILTER(SPLIT(A760, char(10)), split(""false false "" &amp; rept(""true "", columns(SPLIT(A760, char(10)))-3) &amp; ""false"", "" ""))), """")"),"")</f>
        <v/>
      </c>
    </row>
    <row r="761">
      <c r="A761" s="31"/>
      <c r="B761" s="17" t="str">
        <f>IFERROR(__xludf.DUMMYFUNCTION("if(len(A761)&gt;0, value(REGEXEXTRACT(A761, ""Chapter ([0-9]*):"")), """")"),"")</f>
        <v/>
      </c>
      <c r="C761" s="31" t="str">
        <f>IFERROR(__xludf.DUMMYFUNCTION("if(len(A761) &gt;0, REGEXEXTRACT(A761, ""Chapter [0-9]*: (.*)""), """")"),"")</f>
        <v/>
      </c>
      <c r="D761" s="31" t="str">
        <f>IFERROR(__xludf.DUMMYFUNCTION("if(len(A761)&gt;0, REGEXEXTRACT(A761, ""\n[^\(]*""), """")"),"")</f>
        <v/>
      </c>
      <c r="E761" s="17" t="str">
        <f>IFERROR(__xludf.DUMMYFUNCTION("if(len(A761)&gt;0, REGEXEXTRACT(A761, ""\n([^\n]*)$""), """")"),"")</f>
        <v/>
      </c>
      <c r="F761" s="17" t="str">
        <f>IFERROR(__xludf.DUMMYFUNCTION("if(len(A761)&gt;0, REGEXEXTRACT(A761, ""\(([^\)]*)\)""), """")"),"")</f>
        <v/>
      </c>
      <c r="G761" s="17" t="str">
        <f>IFERROR(__xludf.DUMMYFUNCTION("if(len(A761)&gt;0, REGEXEXTRACT(A761, ""\)([^:]*):""), """")"),"")</f>
        <v/>
      </c>
      <c r="H761" s="31" t="str">
        <f>IFERROR(__xludf.DUMMYFUNCTION("if(len(A761) &gt; 0, JOIN(char(10), FILTER(SPLIT(A761, char(10)), split(""false false "" &amp; rept(""true "", columns(SPLIT(A761, char(10)))-3) &amp; ""false"", "" ""))), """")"),"")</f>
        <v/>
      </c>
    </row>
    <row r="762">
      <c r="A762" s="31"/>
      <c r="B762" s="17" t="str">
        <f>IFERROR(__xludf.DUMMYFUNCTION("if(len(A762)&gt;0, value(REGEXEXTRACT(A762, ""Chapter ([0-9]*):"")), """")"),"")</f>
        <v/>
      </c>
      <c r="C762" s="31" t="str">
        <f>IFERROR(__xludf.DUMMYFUNCTION("if(len(A762) &gt;0, REGEXEXTRACT(A762, ""Chapter [0-9]*: (.*)""), """")"),"")</f>
        <v/>
      </c>
      <c r="D762" s="31" t="str">
        <f>IFERROR(__xludf.DUMMYFUNCTION("if(len(A762)&gt;0, REGEXEXTRACT(A762, ""\n[^\(]*""), """")"),"")</f>
        <v/>
      </c>
      <c r="E762" s="17" t="str">
        <f>IFERROR(__xludf.DUMMYFUNCTION("if(len(A762)&gt;0, REGEXEXTRACT(A762, ""\n([^\n]*)$""), """")"),"")</f>
        <v/>
      </c>
      <c r="F762" s="17" t="str">
        <f>IFERROR(__xludf.DUMMYFUNCTION("if(len(A762)&gt;0, REGEXEXTRACT(A762, ""\(([^\)]*)\)""), """")"),"")</f>
        <v/>
      </c>
      <c r="G762" s="17" t="str">
        <f>IFERROR(__xludf.DUMMYFUNCTION("if(len(A762)&gt;0, REGEXEXTRACT(A762, ""\)([^:]*):""), """")"),"")</f>
        <v/>
      </c>
      <c r="H762" s="31" t="str">
        <f>IFERROR(__xludf.DUMMYFUNCTION("if(len(A762) &gt; 0, JOIN(char(10), FILTER(SPLIT(A762, char(10)), split(""false false "" &amp; rept(""true "", columns(SPLIT(A762, char(10)))-3) &amp; ""false"", "" ""))), """")"),"")</f>
        <v/>
      </c>
    </row>
    <row r="763">
      <c r="A763" s="31"/>
      <c r="B763" s="17" t="str">
        <f>IFERROR(__xludf.DUMMYFUNCTION("if(len(A763)&gt;0, value(REGEXEXTRACT(A763, ""Chapter ([0-9]*):"")), """")"),"")</f>
        <v/>
      </c>
      <c r="C763" s="31" t="str">
        <f>IFERROR(__xludf.DUMMYFUNCTION("if(len(A763) &gt;0, REGEXEXTRACT(A763, ""Chapter [0-9]*: (.*)""), """")"),"")</f>
        <v/>
      </c>
      <c r="D763" s="31" t="str">
        <f>IFERROR(__xludf.DUMMYFUNCTION("if(len(A763)&gt;0, REGEXEXTRACT(A763, ""\n[^\(]*""), """")"),"")</f>
        <v/>
      </c>
      <c r="E763" s="17" t="str">
        <f>IFERROR(__xludf.DUMMYFUNCTION("if(len(A763)&gt;0, REGEXEXTRACT(A763, ""\n([^\n]*)$""), """")"),"")</f>
        <v/>
      </c>
      <c r="F763" s="17" t="str">
        <f>IFERROR(__xludf.DUMMYFUNCTION("if(len(A763)&gt;0, REGEXEXTRACT(A763, ""\(([^\)]*)\)""), """")"),"")</f>
        <v/>
      </c>
      <c r="G763" s="17" t="str">
        <f>IFERROR(__xludf.DUMMYFUNCTION("if(len(A763)&gt;0, REGEXEXTRACT(A763, ""\)([^:]*):""), """")"),"")</f>
        <v/>
      </c>
      <c r="H763" s="31" t="str">
        <f>IFERROR(__xludf.DUMMYFUNCTION("if(len(A763) &gt; 0, JOIN(char(10), FILTER(SPLIT(A763, char(10)), split(""false false "" &amp; rept(""true "", columns(SPLIT(A763, char(10)))-3) &amp; ""false"", "" ""))), """")"),"")</f>
        <v/>
      </c>
    </row>
    <row r="764">
      <c r="A764" s="31"/>
      <c r="B764" s="17" t="str">
        <f>IFERROR(__xludf.DUMMYFUNCTION("if(len(A764)&gt;0, value(REGEXEXTRACT(A764, ""Chapter ([0-9]*):"")), """")"),"")</f>
        <v/>
      </c>
      <c r="C764" s="31" t="str">
        <f>IFERROR(__xludf.DUMMYFUNCTION("if(len(A764) &gt;0, REGEXEXTRACT(A764, ""Chapter [0-9]*: (.*)""), """")"),"")</f>
        <v/>
      </c>
      <c r="D764" s="31" t="str">
        <f>IFERROR(__xludf.DUMMYFUNCTION("if(len(A764)&gt;0, REGEXEXTRACT(A764, ""\n[^\(]*""), """")"),"")</f>
        <v/>
      </c>
      <c r="E764" s="17" t="str">
        <f>IFERROR(__xludf.DUMMYFUNCTION("if(len(A764)&gt;0, REGEXEXTRACT(A764, ""\n([^\n]*)$""), """")"),"")</f>
        <v/>
      </c>
      <c r="F764" s="17" t="str">
        <f>IFERROR(__xludf.DUMMYFUNCTION("if(len(A764)&gt;0, REGEXEXTRACT(A764, ""\(([^\)]*)\)""), """")"),"")</f>
        <v/>
      </c>
      <c r="G764" s="17" t="str">
        <f>IFERROR(__xludf.DUMMYFUNCTION("if(len(A764)&gt;0, REGEXEXTRACT(A764, ""\)([^:]*):""), """")"),"")</f>
        <v/>
      </c>
      <c r="H764" s="31" t="str">
        <f>IFERROR(__xludf.DUMMYFUNCTION("if(len(A764) &gt; 0, JOIN(char(10), FILTER(SPLIT(A764, char(10)), split(""false false "" &amp; rept(""true "", columns(SPLIT(A764, char(10)))-3) &amp; ""false"", "" ""))), """")"),"")</f>
        <v/>
      </c>
    </row>
    <row r="765">
      <c r="A765" s="31"/>
      <c r="B765" s="17" t="str">
        <f>IFERROR(__xludf.DUMMYFUNCTION("if(len(A765)&gt;0, value(REGEXEXTRACT(A765, ""Chapter ([0-9]*):"")), """")"),"")</f>
        <v/>
      </c>
      <c r="C765" s="31" t="str">
        <f>IFERROR(__xludf.DUMMYFUNCTION("if(len(A765) &gt;0, REGEXEXTRACT(A765, ""Chapter [0-9]*: (.*)""), """")"),"")</f>
        <v/>
      </c>
      <c r="D765" s="31" t="str">
        <f>IFERROR(__xludf.DUMMYFUNCTION("if(len(A765)&gt;0, REGEXEXTRACT(A765, ""\n[^\(]*""), """")"),"")</f>
        <v/>
      </c>
      <c r="E765" s="17" t="str">
        <f>IFERROR(__xludf.DUMMYFUNCTION("if(len(A765)&gt;0, REGEXEXTRACT(A765, ""\n([^\n]*)$""), """")"),"")</f>
        <v/>
      </c>
      <c r="F765" s="17" t="str">
        <f>IFERROR(__xludf.DUMMYFUNCTION("if(len(A765)&gt;0, REGEXEXTRACT(A765, ""\(([^\)]*)\)""), """")"),"")</f>
        <v/>
      </c>
      <c r="G765" s="17" t="str">
        <f>IFERROR(__xludf.DUMMYFUNCTION("if(len(A765)&gt;0, REGEXEXTRACT(A765, ""\)([^:]*):""), """")"),"")</f>
        <v/>
      </c>
      <c r="H765" s="31" t="str">
        <f>IFERROR(__xludf.DUMMYFUNCTION("if(len(A765) &gt; 0, JOIN(char(10), FILTER(SPLIT(A765, char(10)), split(""false false "" &amp; rept(""true "", columns(SPLIT(A765, char(10)))-3) &amp; ""false"", "" ""))), """")"),"")</f>
        <v/>
      </c>
    </row>
    <row r="766">
      <c r="A766" s="31"/>
      <c r="B766" s="17" t="str">
        <f>IFERROR(__xludf.DUMMYFUNCTION("if(len(A766)&gt;0, value(REGEXEXTRACT(A766, ""Chapter ([0-9]*):"")), """")"),"")</f>
        <v/>
      </c>
      <c r="C766" s="31" t="str">
        <f>IFERROR(__xludf.DUMMYFUNCTION("if(len(A766) &gt;0, REGEXEXTRACT(A766, ""Chapter [0-9]*: (.*)""), """")"),"")</f>
        <v/>
      </c>
      <c r="D766" s="31" t="str">
        <f>IFERROR(__xludf.DUMMYFUNCTION("if(len(A766)&gt;0, REGEXEXTRACT(A766, ""\n[^\(]*""), """")"),"")</f>
        <v/>
      </c>
      <c r="E766" s="17" t="str">
        <f>IFERROR(__xludf.DUMMYFUNCTION("if(len(A766)&gt;0, REGEXEXTRACT(A766, ""\n([^\n]*)$""), """")"),"")</f>
        <v/>
      </c>
      <c r="F766" s="17" t="str">
        <f>IFERROR(__xludf.DUMMYFUNCTION("if(len(A766)&gt;0, REGEXEXTRACT(A766, ""\(([^\)]*)\)""), """")"),"")</f>
        <v/>
      </c>
      <c r="G766" s="17" t="str">
        <f>IFERROR(__xludf.DUMMYFUNCTION("if(len(A766)&gt;0, REGEXEXTRACT(A766, ""\)([^:]*):""), """")"),"")</f>
        <v/>
      </c>
      <c r="H766" s="31" t="str">
        <f>IFERROR(__xludf.DUMMYFUNCTION("if(len(A766) &gt; 0, JOIN(char(10), FILTER(SPLIT(A766, char(10)), split(""false false "" &amp; rept(""true "", columns(SPLIT(A766, char(10)))-3) &amp; ""false"", "" ""))), """")"),"")</f>
        <v/>
      </c>
    </row>
    <row r="767">
      <c r="A767" s="31"/>
      <c r="B767" s="17" t="str">
        <f>IFERROR(__xludf.DUMMYFUNCTION("if(len(A767)&gt;0, value(REGEXEXTRACT(A767, ""Chapter ([0-9]*):"")), """")"),"")</f>
        <v/>
      </c>
      <c r="C767" s="31" t="str">
        <f>IFERROR(__xludf.DUMMYFUNCTION("if(len(A767) &gt;0, REGEXEXTRACT(A767, ""Chapter [0-9]*: (.*)""), """")"),"")</f>
        <v/>
      </c>
      <c r="D767" s="31" t="str">
        <f>IFERROR(__xludf.DUMMYFUNCTION("if(len(A767)&gt;0, REGEXEXTRACT(A767, ""\n[^\(]*""), """")"),"")</f>
        <v/>
      </c>
      <c r="E767" s="17" t="str">
        <f>IFERROR(__xludf.DUMMYFUNCTION("if(len(A767)&gt;0, REGEXEXTRACT(A767, ""\n([^\n]*)$""), """")"),"")</f>
        <v/>
      </c>
      <c r="F767" s="17" t="str">
        <f>IFERROR(__xludf.DUMMYFUNCTION("if(len(A767)&gt;0, REGEXEXTRACT(A767, ""\(([^\)]*)\)""), """")"),"")</f>
        <v/>
      </c>
      <c r="G767" s="17" t="str">
        <f>IFERROR(__xludf.DUMMYFUNCTION("if(len(A767)&gt;0, REGEXEXTRACT(A767, ""\)([^:]*):""), """")"),"")</f>
        <v/>
      </c>
      <c r="H767" s="31" t="str">
        <f>IFERROR(__xludf.DUMMYFUNCTION("if(len(A767) &gt; 0, JOIN(char(10), FILTER(SPLIT(A767, char(10)), split(""false false "" &amp; rept(""true "", columns(SPLIT(A767, char(10)))-3) &amp; ""false"", "" ""))), """")"),"")</f>
        <v/>
      </c>
    </row>
    <row r="768">
      <c r="A768" s="31"/>
      <c r="B768" s="17" t="str">
        <f>IFERROR(__xludf.DUMMYFUNCTION("if(len(A768)&gt;0, value(REGEXEXTRACT(A768, ""Chapter ([0-9]*):"")), """")"),"")</f>
        <v/>
      </c>
      <c r="C768" s="31" t="str">
        <f>IFERROR(__xludf.DUMMYFUNCTION("if(len(A768) &gt;0, REGEXEXTRACT(A768, ""Chapter [0-9]*: (.*)""), """")"),"")</f>
        <v/>
      </c>
      <c r="D768" s="31" t="str">
        <f>IFERROR(__xludf.DUMMYFUNCTION("if(len(A768)&gt;0, REGEXEXTRACT(A768, ""\n[^\(]*""), """")"),"")</f>
        <v/>
      </c>
      <c r="E768" s="17" t="str">
        <f>IFERROR(__xludf.DUMMYFUNCTION("if(len(A768)&gt;0, REGEXEXTRACT(A768, ""\n([^\n]*)$""), """")"),"")</f>
        <v/>
      </c>
      <c r="F768" s="17" t="str">
        <f>IFERROR(__xludf.DUMMYFUNCTION("if(len(A768)&gt;0, REGEXEXTRACT(A768, ""\(([^\)]*)\)""), """")"),"")</f>
        <v/>
      </c>
      <c r="G768" s="17" t="str">
        <f>IFERROR(__xludf.DUMMYFUNCTION("if(len(A768)&gt;0, REGEXEXTRACT(A768, ""\)([^:]*):""), """")"),"")</f>
        <v/>
      </c>
      <c r="H768" s="31" t="str">
        <f>IFERROR(__xludf.DUMMYFUNCTION("if(len(A768) &gt; 0, JOIN(char(10), FILTER(SPLIT(A768, char(10)), split(""false false "" &amp; rept(""true "", columns(SPLIT(A768, char(10)))-3) &amp; ""false"", "" ""))), """")"),"")</f>
        <v/>
      </c>
    </row>
    <row r="769">
      <c r="A769" s="31"/>
      <c r="B769" s="17" t="str">
        <f>IFERROR(__xludf.DUMMYFUNCTION("if(len(A769)&gt;0, value(REGEXEXTRACT(A769, ""Chapter ([0-9]*):"")), """")"),"")</f>
        <v/>
      </c>
      <c r="C769" s="31" t="str">
        <f>IFERROR(__xludf.DUMMYFUNCTION("if(len(A769) &gt;0, REGEXEXTRACT(A769, ""Chapter [0-9]*: (.*)""), """")"),"")</f>
        <v/>
      </c>
      <c r="D769" s="31" t="str">
        <f>IFERROR(__xludf.DUMMYFUNCTION("if(len(A769)&gt;0, REGEXEXTRACT(A769, ""\n[^\(]*""), """")"),"")</f>
        <v/>
      </c>
      <c r="E769" s="17" t="str">
        <f>IFERROR(__xludf.DUMMYFUNCTION("if(len(A769)&gt;0, REGEXEXTRACT(A769, ""\n([^\n]*)$""), """")"),"")</f>
        <v/>
      </c>
      <c r="F769" s="17" t="str">
        <f>IFERROR(__xludf.DUMMYFUNCTION("if(len(A769)&gt;0, REGEXEXTRACT(A769, ""\(([^\)]*)\)""), """")"),"")</f>
        <v/>
      </c>
      <c r="G769" s="17" t="str">
        <f>IFERROR(__xludf.DUMMYFUNCTION("if(len(A769)&gt;0, REGEXEXTRACT(A769, ""\)([^:]*):""), """")"),"")</f>
        <v/>
      </c>
      <c r="H769" s="31" t="str">
        <f>IFERROR(__xludf.DUMMYFUNCTION("if(len(A769) &gt; 0, JOIN(char(10), FILTER(SPLIT(A769, char(10)), split(""false false "" &amp; rept(""true "", columns(SPLIT(A769, char(10)))-3) &amp; ""false"", "" ""))), """")"),"")</f>
        <v/>
      </c>
    </row>
    <row r="770">
      <c r="A770" s="31"/>
      <c r="B770" s="17" t="str">
        <f>IFERROR(__xludf.DUMMYFUNCTION("if(len(A770)&gt;0, value(REGEXEXTRACT(A770, ""Chapter ([0-9]*):"")), """")"),"")</f>
        <v/>
      </c>
      <c r="C770" s="31" t="str">
        <f>IFERROR(__xludf.DUMMYFUNCTION("if(len(A770) &gt;0, REGEXEXTRACT(A770, ""Chapter [0-9]*: (.*)""), """")"),"")</f>
        <v/>
      </c>
      <c r="D770" s="31" t="str">
        <f>IFERROR(__xludf.DUMMYFUNCTION("if(len(A770)&gt;0, REGEXEXTRACT(A770, ""\n[^\(]*""), """")"),"")</f>
        <v/>
      </c>
      <c r="E770" s="17" t="str">
        <f>IFERROR(__xludf.DUMMYFUNCTION("if(len(A770)&gt;0, REGEXEXTRACT(A770, ""\n([^\n]*)$""), """")"),"")</f>
        <v/>
      </c>
      <c r="F770" s="17" t="str">
        <f>IFERROR(__xludf.DUMMYFUNCTION("if(len(A770)&gt;0, REGEXEXTRACT(A770, ""\(([^\)]*)\)""), """")"),"")</f>
        <v/>
      </c>
      <c r="G770" s="17" t="str">
        <f>IFERROR(__xludf.DUMMYFUNCTION("if(len(A770)&gt;0, REGEXEXTRACT(A770, ""\)([^:]*):""), """")"),"")</f>
        <v/>
      </c>
      <c r="H770" s="31" t="str">
        <f>IFERROR(__xludf.DUMMYFUNCTION("if(len(A770) &gt; 0, JOIN(char(10), FILTER(SPLIT(A770, char(10)), split(""false false "" &amp; rept(""true "", columns(SPLIT(A770, char(10)))-3) &amp; ""false"", "" ""))), """")"),"")</f>
        <v/>
      </c>
    </row>
    <row r="771">
      <c r="A771" s="31"/>
      <c r="B771" s="17" t="str">
        <f>IFERROR(__xludf.DUMMYFUNCTION("if(len(A771)&gt;0, value(REGEXEXTRACT(A771, ""Chapter ([0-9]*):"")), """")"),"")</f>
        <v/>
      </c>
      <c r="C771" s="31" t="str">
        <f>IFERROR(__xludf.DUMMYFUNCTION("if(len(A771) &gt;0, REGEXEXTRACT(A771, ""Chapter [0-9]*: (.*)""), """")"),"")</f>
        <v/>
      </c>
      <c r="D771" s="31" t="str">
        <f>IFERROR(__xludf.DUMMYFUNCTION("if(len(A771)&gt;0, REGEXEXTRACT(A771, ""\n[^\(]*""), """")"),"")</f>
        <v/>
      </c>
      <c r="E771" s="17" t="str">
        <f>IFERROR(__xludf.DUMMYFUNCTION("if(len(A771)&gt;0, REGEXEXTRACT(A771, ""\n([^\n]*)$""), """")"),"")</f>
        <v/>
      </c>
      <c r="F771" s="17" t="str">
        <f>IFERROR(__xludf.DUMMYFUNCTION("if(len(A771)&gt;0, REGEXEXTRACT(A771, ""\(([^\)]*)\)""), """")"),"")</f>
        <v/>
      </c>
      <c r="G771" s="17" t="str">
        <f>IFERROR(__xludf.DUMMYFUNCTION("if(len(A771)&gt;0, REGEXEXTRACT(A771, ""\)([^:]*):""), """")"),"")</f>
        <v/>
      </c>
      <c r="H771" s="31" t="str">
        <f>IFERROR(__xludf.DUMMYFUNCTION("if(len(A771) &gt; 0, JOIN(char(10), FILTER(SPLIT(A771, char(10)), split(""false false "" &amp; rept(""true "", columns(SPLIT(A771, char(10)))-3) &amp; ""false"", "" ""))), """")"),"")</f>
        <v/>
      </c>
    </row>
    <row r="772">
      <c r="A772" s="31"/>
      <c r="B772" s="17" t="str">
        <f>IFERROR(__xludf.DUMMYFUNCTION("if(len(A772)&gt;0, value(REGEXEXTRACT(A772, ""Chapter ([0-9]*):"")), """")"),"")</f>
        <v/>
      </c>
      <c r="C772" s="31" t="str">
        <f>IFERROR(__xludf.DUMMYFUNCTION("if(len(A772) &gt;0, REGEXEXTRACT(A772, ""Chapter [0-9]*: (.*)""), """")"),"")</f>
        <v/>
      </c>
      <c r="D772" s="31" t="str">
        <f>IFERROR(__xludf.DUMMYFUNCTION("if(len(A772)&gt;0, REGEXEXTRACT(A772, ""\n[^\(]*""), """")"),"")</f>
        <v/>
      </c>
      <c r="E772" s="17" t="str">
        <f>IFERROR(__xludf.DUMMYFUNCTION("if(len(A772)&gt;0, REGEXEXTRACT(A772, ""\n([^\n]*)$""), """")"),"")</f>
        <v/>
      </c>
      <c r="F772" s="17" t="str">
        <f>IFERROR(__xludf.DUMMYFUNCTION("if(len(A772)&gt;0, REGEXEXTRACT(A772, ""\(([^\)]*)\)""), """")"),"")</f>
        <v/>
      </c>
      <c r="G772" s="17" t="str">
        <f>IFERROR(__xludf.DUMMYFUNCTION("if(len(A772)&gt;0, REGEXEXTRACT(A772, ""\)([^:]*):""), """")"),"")</f>
        <v/>
      </c>
      <c r="H772" s="31" t="str">
        <f>IFERROR(__xludf.DUMMYFUNCTION("if(len(A772) &gt; 0, JOIN(char(10), FILTER(SPLIT(A772, char(10)), split(""false false "" &amp; rept(""true "", columns(SPLIT(A772, char(10)))-3) &amp; ""false"", "" ""))), """")"),"")</f>
        <v/>
      </c>
    </row>
    <row r="773">
      <c r="A773" s="31"/>
      <c r="B773" s="17" t="str">
        <f>IFERROR(__xludf.DUMMYFUNCTION("if(len(A773)&gt;0, value(REGEXEXTRACT(A773, ""Chapter ([0-9]*):"")), """")"),"")</f>
        <v/>
      </c>
      <c r="C773" s="31" t="str">
        <f>IFERROR(__xludf.DUMMYFUNCTION("if(len(A773) &gt;0, REGEXEXTRACT(A773, ""Chapter [0-9]*: (.*)""), """")"),"")</f>
        <v/>
      </c>
      <c r="D773" s="31" t="str">
        <f>IFERROR(__xludf.DUMMYFUNCTION("if(len(A773)&gt;0, REGEXEXTRACT(A773, ""\n[^\(]*""), """")"),"")</f>
        <v/>
      </c>
      <c r="E773" s="17" t="str">
        <f>IFERROR(__xludf.DUMMYFUNCTION("if(len(A773)&gt;0, REGEXEXTRACT(A773, ""\n([^\n]*)$""), """")"),"")</f>
        <v/>
      </c>
      <c r="F773" s="17" t="str">
        <f>IFERROR(__xludf.DUMMYFUNCTION("if(len(A773)&gt;0, REGEXEXTRACT(A773, ""\(([^\)]*)\)""), """")"),"")</f>
        <v/>
      </c>
      <c r="G773" s="17" t="str">
        <f>IFERROR(__xludf.DUMMYFUNCTION("if(len(A773)&gt;0, REGEXEXTRACT(A773, ""\)([^:]*):""), """")"),"")</f>
        <v/>
      </c>
      <c r="H773" s="31" t="str">
        <f>IFERROR(__xludf.DUMMYFUNCTION("if(len(A773) &gt; 0, JOIN(char(10), FILTER(SPLIT(A773, char(10)), split(""false false "" &amp; rept(""true "", columns(SPLIT(A773, char(10)))-3) &amp; ""false"", "" ""))), """")"),"")</f>
        <v/>
      </c>
    </row>
    <row r="774">
      <c r="A774" s="31"/>
      <c r="B774" s="17" t="str">
        <f>IFERROR(__xludf.DUMMYFUNCTION("if(len(A774)&gt;0, value(REGEXEXTRACT(A774, ""Chapter ([0-9]*):"")), """")"),"")</f>
        <v/>
      </c>
      <c r="C774" s="31" t="str">
        <f>IFERROR(__xludf.DUMMYFUNCTION("if(len(A774) &gt;0, REGEXEXTRACT(A774, ""Chapter [0-9]*: (.*)""), """")"),"")</f>
        <v/>
      </c>
      <c r="D774" s="31" t="str">
        <f>IFERROR(__xludf.DUMMYFUNCTION("if(len(A774)&gt;0, REGEXEXTRACT(A774, ""\n[^\(]*""), """")"),"")</f>
        <v/>
      </c>
      <c r="E774" s="17" t="str">
        <f>IFERROR(__xludf.DUMMYFUNCTION("if(len(A774)&gt;0, REGEXEXTRACT(A774, ""\n([^\n]*)$""), """")"),"")</f>
        <v/>
      </c>
      <c r="F774" s="17" t="str">
        <f>IFERROR(__xludf.DUMMYFUNCTION("if(len(A774)&gt;0, REGEXEXTRACT(A774, ""\(([^\)]*)\)""), """")"),"")</f>
        <v/>
      </c>
      <c r="G774" s="17" t="str">
        <f>IFERROR(__xludf.DUMMYFUNCTION("if(len(A774)&gt;0, REGEXEXTRACT(A774, ""\)([^:]*):""), """")"),"")</f>
        <v/>
      </c>
      <c r="H774" s="31" t="str">
        <f>IFERROR(__xludf.DUMMYFUNCTION("if(len(A774) &gt; 0, JOIN(char(10), FILTER(SPLIT(A774, char(10)), split(""false false "" &amp; rept(""true "", columns(SPLIT(A774, char(10)))-3) &amp; ""false"", "" ""))), """")"),"")</f>
        <v/>
      </c>
    </row>
    <row r="775">
      <c r="A775" s="31"/>
      <c r="B775" s="17" t="str">
        <f>IFERROR(__xludf.DUMMYFUNCTION("if(len(A775)&gt;0, value(REGEXEXTRACT(A775, ""Chapter ([0-9]*):"")), """")"),"")</f>
        <v/>
      </c>
      <c r="C775" s="31" t="str">
        <f>IFERROR(__xludf.DUMMYFUNCTION("if(len(A775) &gt;0, REGEXEXTRACT(A775, ""Chapter [0-9]*: (.*)""), """")"),"")</f>
        <v/>
      </c>
      <c r="D775" s="31" t="str">
        <f>IFERROR(__xludf.DUMMYFUNCTION("if(len(A775)&gt;0, REGEXEXTRACT(A775, ""\n[^\(]*""), """")"),"")</f>
        <v/>
      </c>
      <c r="E775" s="17" t="str">
        <f>IFERROR(__xludf.DUMMYFUNCTION("if(len(A775)&gt;0, REGEXEXTRACT(A775, ""\n([^\n]*)$""), """")"),"")</f>
        <v/>
      </c>
      <c r="F775" s="17" t="str">
        <f>IFERROR(__xludf.DUMMYFUNCTION("if(len(A775)&gt;0, REGEXEXTRACT(A775, ""\(([^\)]*)\)""), """")"),"")</f>
        <v/>
      </c>
      <c r="G775" s="17" t="str">
        <f>IFERROR(__xludf.DUMMYFUNCTION("if(len(A775)&gt;0, REGEXEXTRACT(A775, ""\)([^:]*):""), """")"),"")</f>
        <v/>
      </c>
      <c r="H775" s="31" t="str">
        <f>IFERROR(__xludf.DUMMYFUNCTION("if(len(A775) &gt; 0, JOIN(char(10), FILTER(SPLIT(A775, char(10)), split(""false false "" &amp; rept(""true "", columns(SPLIT(A775, char(10)))-3) &amp; ""false"", "" ""))), """")"),"")</f>
        <v/>
      </c>
    </row>
    <row r="776">
      <c r="A776" s="31"/>
      <c r="B776" s="17" t="str">
        <f>IFERROR(__xludf.DUMMYFUNCTION("if(len(A776)&gt;0, value(REGEXEXTRACT(A776, ""Chapter ([0-9]*):"")), """")"),"")</f>
        <v/>
      </c>
      <c r="C776" s="31" t="str">
        <f>IFERROR(__xludf.DUMMYFUNCTION("if(len(A776) &gt;0, REGEXEXTRACT(A776, ""Chapter [0-9]*: (.*)""), """")"),"")</f>
        <v/>
      </c>
      <c r="D776" s="31" t="str">
        <f>IFERROR(__xludf.DUMMYFUNCTION("if(len(A776)&gt;0, REGEXEXTRACT(A776, ""\n[^\(]*""), """")"),"")</f>
        <v/>
      </c>
      <c r="E776" s="17" t="str">
        <f>IFERROR(__xludf.DUMMYFUNCTION("if(len(A776)&gt;0, REGEXEXTRACT(A776, ""\n([^\n]*)$""), """")"),"")</f>
        <v/>
      </c>
      <c r="F776" s="17" t="str">
        <f>IFERROR(__xludf.DUMMYFUNCTION("if(len(A776)&gt;0, REGEXEXTRACT(A776, ""\(([^\)]*)\)""), """")"),"")</f>
        <v/>
      </c>
      <c r="G776" s="17" t="str">
        <f>IFERROR(__xludf.DUMMYFUNCTION("if(len(A776)&gt;0, REGEXEXTRACT(A776, ""\)([^:]*):""), """")"),"")</f>
        <v/>
      </c>
      <c r="H776" s="31" t="str">
        <f>IFERROR(__xludf.DUMMYFUNCTION("if(len(A776) &gt; 0, JOIN(char(10), FILTER(SPLIT(A776, char(10)), split(""false false "" &amp; rept(""true "", columns(SPLIT(A776, char(10)))-3) &amp; ""false"", "" ""))), """")"),"")</f>
        <v/>
      </c>
    </row>
    <row r="777">
      <c r="A777" s="31"/>
      <c r="B777" s="17" t="str">
        <f>IFERROR(__xludf.DUMMYFUNCTION("if(len(A777)&gt;0, value(REGEXEXTRACT(A777, ""Chapter ([0-9]*):"")), """")"),"")</f>
        <v/>
      </c>
      <c r="C777" s="31" t="str">
        <f>IFERROR(__xludf.DUMMYFUNCTION("if(len(A777) &gt;0, REGEXEXTRACT(A777, ""Chapter [0-9]*: (.*)""), """")"),"")</f>
        <v/>
      </c>
      <c r="D777" s="31" t="str">
        <f>IFERROR(__xludf.DUMMYFUNCTION("if(len(A777)&gt;0, REGEXEXTRACT(A777, ""\n[^\(]*""), """")"),"")</f>
        <v/>
      </c>
      <c r="E777" s="17" t="str">
        <f>IFERROR(__xludf.DUMMYFUNCTION("if(len(A777)&gt;0, REGEXEXTRACT(A777, ""\n([^\n]*)$""), """")"),"")</f>
        <v/>
      </c>
      <c r="F777" s="17" t="str">
        <f>IFERROR(__xludf.DUMMYFUNCTION("if(len(A777)&gt;0, REGEXEXTRACT(A777, ""\(([^\)]*)\)""), """")"),"")</f>
        <v/>
      </c>
      <c r="G777" s="17" t="str">
        <f>IFERROR(__xludf.DUMMYFUNCTION("if(len(A777)&gt;0, REGEXEXTRACT(A777, ""\)([^:]*):""), """")"),"")</f>
        <v/>
      </c>
      <c r="H777" s="31" t="str">
        <f>IFERROR(__xludf.DUMMYFUNCTION("if(len(A777) &gt; 0, JOIN(char(10), FILTER(SPLIT(A777, char(10)), split(""false false "" &amp; rept(""true "", columns(SPLIT(A777, char(10)))-3) &amp; ""false"", "" ""))), """")"),"")</f>
        <v/>
      </c>
    </row>
    <row r="778">
      <c r="A778" s="31"/>
      <c r="B778" s="17" t="str">
        <f>IFERROR(__xludf.DUMMYFUNCTION("if(len(A778)&gt;0, value(REGEXEXTRACT(A778, ""Chapter ([0-9]*):"")), """")"),"")</f>
        <v/>
      </c>
      <c r="C778" s="31" t="str">
        <f>IFERROR(__xludf.DUMMYFUNCTION("if(len(A778) &gt;0, REGEXEXTRACT(A778, ""Chapter [0-9]*: (.*)""), """")"),"")</f>
        <v/>
      </c>
      <c r="D778" s="31" t="str">
        <f>IFERROR(__xludf.DUMMYFUNCTION("if(len(A778)&gt;0, REGEXEXTRACT(A778, ""\n[^\(]*""), """")"),"")</f>
        <v/>
      </c>
      <c r="E778" s="17" t="str">
        <f>IFERROR(__xludf.DUMMYFUNCTION("if(len(A778)&gt;0, REGEXEXTRACT(A778, ""\n([^\n]*)$""), """")"),"")</f>
        <v/>
      </c>
      <c r="F778" s="17" t="str">
        <f>IFERROR(__xludf.DUMMYFUNCTION("if(len(A778)&gt;0, REGEXEXTRACT(A778, ""\(([^\)]*)\)""), """")"),"")</f>
        <v/>
      </c>
      <c r="G778" s="17" t="str">
        <f>IFERROR(__xludf.DUMMYFUNCTION("if(len(A778)&gt;0, REGEXEXTRACT(A778, ""\)([^:]*):""), """")"),"")</f>
        <v/>
      </c>
      <c r="H778" s="31" t="str">
        <f>IFERROR(__xludf.DUMMYFUNCTION("if(len(A778) &gt; 0, JOIN(char(10), FILTER(SPLIT(A778, char(10)), split(""false false "" &amp; rept(""true "", columns(SPLIT(A778, char(10)))-3) &amp; ""false"", "" ""))), """")"),"")</f>
        <v/>
      </c>
    </row>
    <row r="779">
      <c r="A779" s="31"/>
      <c r="B779" s="17" t="str">
        <f>IFERROR(__xludf.DUMMYFUNCTION("if(len(A779)&gt;0, value(REGEXEXTRACT(A779, ""Chapter ([0-9]*):"")), """")"),"")</f>
        <v/>
      </c>
      <c r="C779" s="31" t="str">
        <f>IFERROR(__xludf.DUMMYFUNCTION("if(len(A779) &gt;0, REGEXEXTRACT(A779, ""Chapter [0-9]*: (.*)""), """")"),"")</f>
        <v/>
      </c>
      <c r="D779" s="31" t="str">
        <f>IFERROR(__xludf.DUMMYFUNCTION("if(len(A779)&gt;0, REGEXEXTRACT(A779, ""\n[^\(]*""), """")"),"")</f>
        <v/>
      </c>
      <c r="E779" s="17" t="str">
        <f>IFERROR(__xludf.DUMMYFUNCTION("if(len(A779)&gt;0, REGEXEXTRACT(A779, ""\n([^\n]*)$""), """")"),"")</f>
        <v/>
      </c>
      <c r="F779" s="17" t="str">
        <f>IFERROR(__xludf.DUMMYFUNCTION("if(len(A779)&gt;0, REGEXEXTRACT(A779, ""\(([^\)]*)\)""), """")"),"")</f>
        <v/>
      </c>
      <c r="G779" s="17" t="str">
        <f>IFERROR(__xludf.DUMMYFUNCTION("if(len(A779)&gt;0, REGEXEXTRACT(A779, ""\)([^:]*):""), """")"),"")</f>
        <v/>
      </c>
      <c r="H779" s="31" t="str">
        <f>IFERROR(__xludf.DUMMYFUNCTION("if(len(A779) &gt; 0, JOIN(char(10), FILTER(SPLIT(A779, char(10)), split(""false false "" &amp; rept(""true "", columns(SPLIT(A779, char(10)))-3) &amp; ""false"", "" ""))), """")"),"")</f>
        <v/>
      </c>
    </row>
    <row r="780">
      <c r="A780" s="31"/>
      <c r="B780" s="17" t="str">
        <f>IFERROR(__xludf.DUMMYFUNCTION("if(len(A780)&gt;0, value(REGEXEXTRACT(A780, ""Chapter ([0-9]*):"")), """")"),"")</f>
        <v/>
      </c>
      <c r="C780" s="31" t="str">
        <f>IFERROR(__xludf.DUMMYFUNCTION("if(len(A780) &gt;0, REGEXEXTRACT(A780, ""Chapter [0-9]*: (.*)""), """")"),"")</f>
        <v/>
      </c>
      <c r="D780" s="31" t="str">
        <f>IFERROR(__xludf.DUMMYFUNCTION("if(len(A780)&gt;0, REGEXEXTRACT(A780, ""\n[^\(]*""), """")"),"")</f>
        <v/>
      </c>
      <c r="E780" s="17" t="str">
        <f>IFERROR(__xludf.DUMMYFUNCTION("if(len(A780)&gt;0, REGEXEXTRACT(A780, ""\n([^\n]*)$""), """")"),"")</f>
        <v/>
      </c>
      <c r="F780" s="17" t="str">
        <f>IFERROR(__xludf.DUMMYFUNCTION("if(len(A780)&gt;0, REGEXEXTRACT(A780, ""\(([^\)]*)\)""), """")"),"")</f>
        <v/>
      </c>
      <c r="G780" s="17" t="str">
        <f>IFERROR(__xludf.DUMMYFUNCTION("if(len(A780)&gt;0, REGEXEXTRACT(A780, ""\)([^:]*):""), """")"),"")</f>
        <v/>
      </c>
      <c r="H780" s="31" t="str">
        <f>IFERROR(__xludf.DUMMYFUNCTION("if(len(A780) &gt; 0, JOIN(char(10), FILTER(SPLIT(A780, char(10)), split(""false false "" &amp; rept(""true "", columns(SPLIT(A780, char(10)))-3) &amp; ""false"", "" ""))), """")"),"")</f>
        <v/>
      </c>
    </row>
    <row r="781">
      <c r="A781" s="31"/>
      <c r="B781" s="17" t="str">
        <f>IFERROR(__xludf.DUMMYFUNCTION("if(len(A781)&gt;0, value(REGEXEXTRACT(A781, ""Chapter ([0-9]*):"")), """")"),"")</f>
        <v/>
      </c>
      <c r="C781" s="31" t="str">
        <f>IFERROR(__xludf.DUMMYFUNCTION("if(len(A781) &gt;0, REGEXEXTRACT(A781, ""Chapter [0-9]*: (.*)""), """")"),"")</f>
        <v/>
      </c>
      <c r="D781" s="31" t="str">
        <f>IFERROR(__xludf.DUMMYFUNCTION("if(len(A781)&gt;0, REGEXEXTRACT(A781, ""\n[^\(]*""), """")"),"")</f>
        <v/>
      </c>
      <c r="E781" s="17" t="str">
        <f>IFERROR(__xludf.DUMMYFUNCTION("if(len(A781)&gt;0, REGEXEXTRACT(A781, ""\n([^\n]*)$""), """")"),"")</f>
        <v/>
      </c>
      <c r="F781" s="17" t="str">
        <f>IFERROR(__xludf.DUMMYFUNCTION("if(len(A781)&gt;0, REGEXEXTRACT(A781, ""\(([^\)]*)\)""), """")"),"")</f>
        <v/>
      </c>
      <c r="G781" s="17" t="str">
        <f>IFERROR(__xludf.DUMMYFUNCTION("if(len(A781)&gt;0, REGEXEXTRACT(A781, ""\)([^:]*):""), """")"),"")</f>
        <v/>
      </c>
      <c r="H781" s="31" t="str">
        <f>IFERROR(__xludf.DUMMYFUNCTION("if(len(A781) &gt; 0, JOIN(char(10), FILTER(SPLIT(A781, char(10)), split(""false false "" &amp; rept(""true "", columns(SPLIT(A781, char(10)))-3) &amp; ""false"", "" ""))), """")"),"")</f>
        <v/>
      </c>
    </row>
    <row r="782">
      <c r="A782" s="31"/>
      <c r="B782" s="17" t="str">
        <f>IFERROR(__xludf.DUMMYFUNCTION("if(len(A782)&gt;0, value(REGEXEXTRACT(A782, ""Chapter ([0-9]*):"")), """")"),"")</f>
        <v/>
      </c>
      <c r="C782" s="31" t="str">
        <f>IFERROR(__xludf.DUMMYFUNCTION("if(len(A782) &gt;0, REGEXEXTRACT(A782, ""Chapter [0-9]*: (.*)""), """")"),"")</f>
        <v/>
      </c>
      <c r="D782" s="31" t="str">
        <f>IFERROR(__xludf.DUMMYFUNCTION("if(len(A782)&gt;0, REGEXEXTRACT(A782, ""\n[^\(]*""), """")"),"")</f>
        <v/>
      </c>
      <c r="E782" s="17" t="str">
        <f>IFERROR(__xludf.DUMMYFUNCTION("if(len(A782)&gt;0, REGEXEXTRACT(A782, ""\n([^\n]*)$""), """")"),"")</f>
        <v/>
      </c>
      <c r="F782" s="17" t="str">
        <f>IFERROR(__xludf.DUMMYFUNCTION("if(len(A782)&gt;0, REGEXEXTRACT(A782, ""\(([^\)]*)\)""), """")"),"")</f>
        <v/>
      </c>
      <c r="G782" s="17" t="str">
        <f>IFERROR(__xludf.DUMMYFUNCTION("if(len(A782)&gt;0, REGEXEXTRACT(A782, ""\)([^:]*):""), """")"),"")</f>
        <v/>
      </c>
      <c r="H782" s="31" t="str">
        <f>IFERROR(__xludf.DUMMYFUNCTION("if(len(A782) &gt; 0, JOIN(char(10), FILTER(SPLIT(A782, char(10)), split(""false false "" &amp; rept(""true "", columns(SPLIT(A782, char(10)))-3) &amp; ""false"", "" ""))), """")"),"")</f>
        <v/>
      </c>
    </row>
    <row r="783">
      <c r="A783" s="31"/>
      <c r="B783" s="17" t="str">
        <f>IFERROR(__xludf.DUMMYFUNCTION("if(len(A783)&gt;0, value(REGEXEXTRACT(A783, ""Chapter ([0-9]*):"")), """")"),"")</f>
        <v/>
      </c>
      <c r="C783" s="31" t="str">
        <f>IFERROR(__xludf.DUMMYFUNCTION("if(len(A783) &gt;0, REGEXEXTRACT(A783, ""Chapter [0-9]*: (.*)""), """")"),"")</f>
        <v/>
      </c>
      <c r="D783" s="31" t="str">
        <f>IFERROR(__xludf.DUMMYFUNCTION("if(len(A783)&gt;0, REGEXEXTRACT(A783, ""\n[^\(]*""), """")"),"")</f>
        <v/>
      </c>
      <c r="E783" s="17" t="str">
        <f>IFERROR(__xludf.DUMMYFUNCTION("if(len(A783)&gt;0, REGEXEXTRACT(A783, ""\n([^\n]*)$""), """")"),"")</f>
        <v/>
      </c>
      <c r="F783" s="17" t="str">
        <f>IFERROR(__xludf.DUMMYFUNCTION("if(len(A783)&gt;0, REGEXEXTRACT(A783, ""\(([^\)]*)\)""), """")"),"")</f>
        <v/>
      </c>
      <c r="G783" s="17" t="str">
        <f>IFERROR(__xludf.DUMMYFUNCTION("if(len(A783)&gt;0, REGEXEXTRACT(A783, ""\)([^:]*):""), """")"),"")</f>
        <v/>
      </c>
      <c r="H783" s="31" t="str">
        <f>IFERROR(__xludf.DUMMYFUNCTION("if(len(A783) &gt; 0, JOIN(char(10), FILTER(SPLIT(A783, char(10)), split(""false false "" &amp; rept(""true "", columns(SPLIT(A783, char(10)))-3) &amp; ""false"", "" ""))), """")"),"")</f>
        <v/>
      </c>
    </row>
    <row r="784">
      <c r="A784" s="31"/>
      <c r="B784" s="17" t="str">
        <f>IFERROR(__xludf.DUMMYFUNCTION("if(len(A784)&gt;0, value(REGEXEXTRACT(A784, ""Chapter ([0-9]*):"")), """")"),"")</f>
        <v/>
      </c>
      <c r="C784" s="31" t="str">
        <f>IFERROR(__xludf.DUMMYFUNCTION("if(len(A784) &gt;0, REGEXEXTRACT(A784, ""Chapter [0-9]*: (.*)""), """")"),"")</f>
        <v/>
      </c>
      <c r="D784" s="31" t="str">
        <f>IFERROR(__xludf.DUMMYFUNCTION("if(len(A784)&gt;0, REGEXEXTRACT(A784, ""\n[^\(]*""), """")"),"")</f>
        <v/>
      </c>
      <c r="E784" s="17" t="str">
        <f>IFERROR(__xludf.DUMMYFUNCTION("if(len(A784)&gt;0, REGEXEXTRACT(A784, ""\n([^\n]*)$""), """")"),"")</f>
        <v/>
      </c>
      <c r="F784" s="17" t="str">
        <f>IFERROR(__xludf.DUMMYFUNCTION("if(len(A784)&gt;0, REGEXEXTRACT(A784, ""\(([^\)]*)\)""), """")"),"")</f>
        <v/>
      </c>
      <c r="G784" s="17" t="str">
        <f>IFERROR(__xludf.DUMMYFUNCTION("if(len(A784)&gt;0, REGEXEXTRACT(A784, ""\)([^:]*):""), """")"),"")</f>
        <v/>
      </c>
      <c r="H784" s="31" t="str">
        <f>IFERROR(__xludf.DUMMYFUNCTION("if(len(A784) &gt; 0, JOIN(char(10), FILTER(SPLIT(A784, char(10)), split(""false false "" &amp; rept(""true "", columns(SPLIT(A784, char(10)))-3) &amp; ""false"", "" ""))), """")"),"")</f>
        <v/>
      </c>
    </row>
    <row r="785">
      <c r="A785" s="31"/>
      <c r="B785" s="17" t="str">
        <f>IFERROR(__xludf.DUMMYFUNCTION("if(len(A785)&gt;0, value(REGEXEXTRACT(A785, ""Chapter ([0-9]*):"")), """")"),"")</f>
        <v/>
      </c>
      <c r="C785" s="31" t="str">
        <f>IFERROR(__xludf.DUMMYFUNCTION("if(len(A785) &gt;0, REGEXEXTRACT(A785, ""Chapter [0-9]*: (.*)""), """")"),"")</f>
        <v/>
      </c>
      <c r="D785" s="31" t="str">
        <f>IFERROR(__xludf.DUMMYFUNCTION("if(len(A785)&gt;0, REGEXEXTRACT(A785, ""\n[^\(]*""), """")"),"")</f>
        <v/>
      </c>
      <c r="E785" s="17" t="str">
        <f>IFERROR(__xludf.DUMMYFUNCTION("if(len(A785)&gt;0, REGEXEXTRACT(A785, ""\n([^\n]*)$""), """")"),"")</f>
        <v/>
      </c>
      <c r="F785" s="17" t="str">
        <f>IFERROR(__xludf.DUMMYFUNCTION("if(len(A785)&gt;0, REGEXEXTRACT(A785, ""\(([^\)]*)\)""), """")"),"")</f>
        <v/>
      </c>
      <c r="G785" s="17" t="str">
        <f>IFERROR(__xludf.DUMMYFUNCTION("if(len(A785)&gt;0, REGEXEXTRACT(A785, ""\)([^:]*):""), """")"),"")</f>
        <v/>
      </c>
      <c r="H785" s="31" t="str">
        <f>IFERROR(__xludf.DUMMYFUNCTION("if(len(A785) &gt; 0, JOIN(char(10), FILTER(SPLIT(A785, char(10)), split(""false false "" &amp; rept(""true "", columns(SPLIT(A785, char(10)))-3) &amp; ""false"", "" ""))), """")"),"")</f>
        <v/>
      </c>
    </row>
    <row r="786">
      <c r="A786" s="31"/>
      <c r="B786" s="17" t="str">
        <f>IFERROR(__xludf.DUMMYFUNCTION("if(len(A786)&gt;0, value(REGEXEXTRACT(A786, ""Chapter ([0-9]*):"")), """")"),"")</f>
        <v/>
      </c>
      <c r="C786" s="31" t="str">
        <f>IFERROR(__xludf.DUMMYFUNCTION("if(len(A786) &gt;0, REGEXEXTRACT(A786, ""Chapter [0-9]*: (.*)""), """")"),"")</f>
        <v/>
      </c>
      <c r="D786" s="31" t="str">
        <f>IFERROR(__xludf.DUMMYFUNCTION("if(len(A786)&gt;0, REGEXEXTRACT(A786, ""\n[^\(]*""), """")"),"")</f>
        <v/>
      </c>
      <c r="E786" s="17" t="str">
        <f>IFERROR(__xludf.DUMMYFUNCTION("if(len(A786)&gt;0, REGEXEXTRACT(A786, ""\n([^\n]*)$""), """")"),"")</f>
        <v/>
      </c>
      <c r="F786" s="17" t="str">
        <f>IFERROR(__xludf.DUMMYFUNCTION("if(len(A786)&gt;0, REGEXEXTRACT(A786, ""\(([^\)]*)\)""), """")"),"")</f>
        <v/>
      </c>
      <c r="G786" s="17" t="str">
        <f>IFERROR(__xludf.DUMMYFUNCTION("if(len(A786)&gt;0, REGEXEXTRACT(A786, ""\)([^:]*):""), """")"),"")</f>
        <v/>
      </c>
      <c r="H786" s="31" t="str">
        <f>IFERROR(__xludf.DUMMYFUNCTION("if(len(A786) &gt; 0, JOIN(char(10), FILTER(SPLIT(A786, char(10)), split(""false false "" &amp; rept(""true "", columns(SPLIT(A786, char(10)))-3) &amp; ""false"", "" ""))), """")"),"")</f>
        <v/>
      </c>
    </row>
    <row r="787">
      <c r="A787" s="31"/>
      <c r="B787" s="17" t="str">
        <f>IFERROR(__xludf.DUMMYFUNCTION("if(len(A787)&gt;0, value(REGEXEXTRACT(A787, ""Chapter ([0-9]*):"")), """")"),"")</f>
        <v/>
      </c>
      <c r="C787" s="31" t="str">
        <f>IFERROR(__xludf.DUMMYFUNCTION("if(len(A787) &gt;0, REGEXEXTRACT(A787, ""Chapter [0-9]*: (.*)""), """")"),"")</f>
        <v/>
      </c>
      <c r="D787" s="31" t="str">
        <f>IFERROR(__xludf.DUMMYFUNCTION("if(len(A787)&gt;0, REGEXEXTRACT(A787, ""\n[^\(]*""), """")"),"")</f>
        <v/>
      </c>
      <c r="E787" s="17" t="str">
        <f>IFERROR(__xludf.DUMMYFUNCTION("if(len(A787)&gt;0, REGEXEXTRACT(A787, ""\n([^\n]*)$""), """")"),"")</f>
        <v/>
      </c>
      <c r="F787" s="17" t="str">
        <f>IFERROR(__xludf.DUMMYFUNCTION("if(len(A787)&gt;0, REGEXEXTRACT(A787, ""\(([^\)]*)\)""), """")"),"")</f>
        <v/>
      </c>
      <c r="G787" s="17" t="str">
        <f>IFERROR(__xludf.DUMMYFUNCTION("if(len(A787)&gt;0, REGEXEXTRACT(A787, ""\)([^:]*):""), """")"),"")</f>
        <v/>
      </c>
      <c r="H787" s="31" t="str">
        <f>IFERROR(__xludf.DUMMYFUNCTION("if(len(A787) &gt; 0, JOIN(char(10), FILTER(SPLIT(A787, char(10)), split(""false false "" &amp; rept(""true "", columns(SPLIT(A787, char(10)))-3) &amp; ""false"", "" ""))), """")"),"")</f>
        <v/>
      </c>
    </row>
    <row r="788">
      <c r="A788" s="31"/>
      <c r="B788" s="17" t="str">
        <f>IFERROR(__xludf.DUMMYFUNCTION("if(len(A788)&gt;0, value(REGEXEXTRACT(A788, ""Chapter ([0-9]*):"")), """")"),"")</f>
        <v/>
      </c>
      <c r="C788" s="31" t="str">
        <f>IFERROR(__xludf.DUMMYFUNCTION("if(len(A788) &gt;0, REGEXEXTRACT(A788, ""Chapter [0-9]*: (.*)""), """")"),"")</f>
        <v/>
      </c>
      <c r="D788" s="31" t="str">
        <f>IFERROR(__xludf.DUMMYFUNCTION("if(len(A788)&gt;0, REGEXEXTRACT(A788, ""\n[^\(]*""), """")"),"")</f>
        <v/>
      </c>
      <c r="E788" s="17" t="str">
        <f>IFERROR(__xludf.DUMMYFUNCTION("if(len(A788)&gt;0, REGEXEXTRACT(A788, ""\n([^\n]*)$""), """")"),"")</f>
        <v/>
      </c>
      <c r="F788" s="17" t="str">
        <f>IFERROR(__xludf.DUMMYFUNCTION("if(len(A788)&gt;0, REGEXEXTRACT(A788, ""\(([^\)]*)\)""), """")"),"")</f>
        <v/>
      </c>
      <c r="G788" s="17" t="str">
        <f>IFERROR(__xludf.DUMMYFUNCTION("if(len(A788)&gt;0, REGEXEXTRACT(A788, ""\)([^:]*):""), """")"),"")</f>
        <v/>
      </c>
      <c r="H788" s="31" t="str">
        <f>IFERROR(__xludf.DUMMYFUNCTION("if(len(A788) &gt; 0, JOIN(char(10), FILTER(SPLIT(A788, char(10)), split(""false false "" &amp; rept(""true "", columns(SPLIT(A788, char(10)))-3) &amp; ""false"", "" ""))), """")"),"")</f>
        <v/>
      </c>
    </row>
    <row r="789">
      <c r="A789" s="31"/>
      <c r="B789" s="17" t="str">
        <f>IFERROR(__xludf.DUMMYFUNCTION("if(len(A789)&gt;0, value(REGEXEXTRACT(A789, ""Chapter ([0-9]*):"")), """")"),"")</f>
        <v/>
      </c>
      <c r="C789" s="31" t="str">
        <f>IFERROR(__xludf.DUMMYFUNCTION("if(len(A789) &gt;0, REGEXEXTRACT(A789, ""Chapter [0-9]*: (.*)""), """")"),"")</f>
        <v/>
      </c>
      <c r="D789" s="31" t="str">
        <f>IFERROR(__xludf.DUMMYFUNCTION("if(len(A789)&gt;0, REGEXEXTRACT(A789, ""\n[^\(]*""), """")"),"")</f>
        <v/>
      </c>
      <c r="E789" s="17" t="str">
        <f>IFERROR(__xludf.DUMMYFUNCTION("if(len(A789)&gt;0, REGEXEXTRACT(A789, ""\n([^\n]*)$""), """")"),"")</f>
        <v/>
      </c>
      <c r="F789" s="17" t="str">
        <f>IFERROR(__xludf.DUMMYFUNCTION("if(len(A789)&gt;0, REGEXEXTRACT(A789, ""\(([^\)]*)\)""), """")"),"")</f>
        <v/>
      </c>
      <c r="G789" s="17" t="str">
        <f>IFERROR(__xludf.DUMMYFUNCTION("if(len(A789)&gt;0, REGEXEXTRACT(A789, ""\)([^:]*):""), """")"),"")</f>
        <v/>
      </c>
      <c r="H789" s="31" t="str">
        <f>IFERROR(__xludf.DUMMYFUNCTION("if(len(A789) &gt; 0, JOIN(char(10), FILTER(SPLIT(A789, char(10)), split(""false false "" &amp; rept(""true "", columns(SPLIT(A789, char(10)))-3) &amp; ""false"", "" ""))), """")"),"")</f>
        <v/>
      </c>
    </row>
    <row r="790">
      <c r="A790" s="31"/>
      <c r="B790" s="17" t="str">
        <f>IFERROR(__xludf.DUMMYFUNCTION("if(len(A790)&gt;0, value(REGEXEXTRACT(A790, ""Chapter ([0-9]*):"")), """")"),"")</f>
        <v/>
      </c>
      <c r="C790" s="31" t="str">
        <f>IFERROR(__xludf.DUMMYFUNCTION("if(len(A790) &gt;0, REGEXEXTRACT(A790, ""Chapter [0-9]*: (.*)""), """")"),"")</f>
        <v/>
      </c>
      <c r="D790" s="31" t="str">
        <f>IFERROR(__xludf.DUMMYFUNCTION("if(len(A790)&gt;0, REGEXEXTRACT(A790, ""\n[^\(]*""), """")"),"")</f>
        <v/>
      </c>
      <c r="E790" s="17" t="str">
        <f>IFERROR(__xludf.DUMMYFUNCTION("if(len(A790)&gt;0, REGEXEXTRACT(A790, ""\n([^\n]*)$""), """")"),"")</f>
        <v/>
      </c>
      <c r="F790" s="17" t="str">
        <f>IFERROR(__xludf.DUMMYFUNCTION("if(len(A790)&gt;0, REGEXEXTRACT(A790, ""\(([^\)]*)\)""), """")"),"")</f>
        <v/>
      </c>
      <c r="G790" s="17" t="str">
        <f>IFERROR(__xludf.DUMMYFUNCTION("if(len(A790)&gt;0, REGEXEXTRACT(A790, ""\)([^:]*):""), """")"),"")</f>
        <v/>
      </c>
      <c r="H790" s="31" t="str">
        <f>IFERROR(__xludf.DUMMYFUNCTION("if(len(A790) &gt; 0, JOIN(char(10), FILTER(SPLIT(A790, char(10)), split(""false false "" &amp; rept(""true "", columns(SPLIT(A790, char(10)))-3) &amp; ""false"", "" ""))), """")"),"")</f>
        <v/>
      </c>
    </row>
    <row r="791">
      <c r="A791" s="31"/>
      <c r="B791" s="17" t="str">
        <f>IFERROR(__xludf.DUMMYFUNCTION("if(len(A791)&gt;0, value(REGEXEXTRACT(A791, ""Chapter ([0-9]*):"")), """")"),"")</f>
        <v/>
      </c>
      <c r="C791" s="31" t="str">
        <f>IFERROR(__xludf.DUMMYFUNCTION("if(len(A791) &gt;0, REGEXEXTRACT(A791, ""Chapter [0-9]*: (.*)""), """")"),"")</f>
        <v/>
      </c>
      <c r="D791" s="31" t="str">
        <f>IFERROR(__xludf.DUMMYFUNCTION("if(len(A791)&gt;0, REGEXEXTRACT(A791, ""\n[^\(]*""), """")"),"")</f>
        <v/>
      </c>
      <c r="E791" s="17" t="str">
        <f>IFERROR(__xludf.DUMMYFUNCTION("if(len(A791)&gt;0, REGEXEXTRACT(A791, ""\n([^\n]*)$""), """")"),"")</f>
        <v/>
      </c>
      <c r="F791" s="17" t="str">
        <f>IFERROR(__xludf.DUMMYFUNCTION("if(len(A791)&gt;0, REGEXEXTRACT(A791, ""\(([^\)]*)\)""), """")"),"")</f>
        <v/>
      </c>
      <c r="G791" s="17" t="str">
        <f>IFERROR(__xludf.DUMMYFUNCTION("if(len(A791)&gt;0, REGEXEXTRACT(A791, ""\)([^:]*):""), """")"),"")</f>
        <v/>
      </c>
      <c r="H791" s="31" t="str">
        <f>IFERROR(__xludf.DUMMYFUNCTION("if(len(A791) &gt; 0, JOIN(char(10), FILTER(SPLIT(A791, char(10)), split(""false false "" &amp; rept(""true "", columns(SPLIT(A791, char(10)))-3) &amp; ""false"", "" ""))), """")"),"")</f>
        <v/>
      </c>
    </row>
    <row r="792">
      <c r="A792" s="31"/>
      <c r="B792" s="17" t="str">
        <f>IFERROR(__xludf.DUMMYFUNCTION("if(len(A792)&gt;0, value(REGEXEXTRACT(A792, ""Chapter ([0-9]*):"")), """")"),"")</f>
        <v/>
      </c>
      <c r="C792" s="31" t="str">
        <f>IFERROR(__xludf.DUMMYFUNCTION("if(len(A792) &gt;0, REGEXEXTRACT(A792, ""Chapter [0-9]*: (.*)""), """")"),"")</f>
        <v/>
      </c>
      <c r="D792" s="31" t="str">
        <f>IFERROR(__xludf.DUMMYFUNCTION("if(len(A792)&gt;0, REGEXEXTRACT(A792, ""\n[^\(]*""), """")"),"")</f>
        <v/>
      </c>
      <c r="E792" s="17" t="str">
        <f>IFERROR(__xludf.DUMMYFUNCTION("if(len(A792)&gt;0, REGEXEXTRACT(A792, ""\n([^\n]*)$""), """")"),"")</f>
        <v/>
      </c>
      <c r="F792" s="17" t="str">
        <f>IFERROR(__xludf.DUMMYFUNCTION("if(len(A792)&gt;0, REGEXEXTRACT(A792, ""\(([^\)]*)\)""), """")"),"")</f>
        <v/>
      </c>
      <c r="G792" s="17" t="str">
        <f>IFERROR(__xludf.DUMMYFUNCTION("if(len(A792)&gt;0, REGEXEXTRACT(A792, ""\)([^:]*):""), """")"),"")</f>
        <v/>
      </c>
      <c r="H792" s="31" t="str">
        <f>IFERROR(__xludf.DUMMYFUNCTION("if(len(A792) &gt; 0, JOIN(char(10), FILTER(SPLIT(A792, char(10)), split(""false false "" &amp; rept(""true "", columns(SPLIT(A792, char(10)))-3) &amp; ""false"", "" ""))), """")"),"")</f>
        <v/>
      </c>
    </row>
    <row r="793">
      <c r="A793" s="31"/>
      <c r="B793" s="17" t="str">
        <f>IFERROR(__xludf.DUMMYFUNCTION("if(len(A793)&gt;0, value(REGEXEXTRACT(A793, ""Chapter ([0-9]*):"")), """")"),"")</f>
        <v/>
      </c>
      <c r="C793" s="31" t="str">
        <f>IFERROR(__xludf.DUMMYFUNCTION("if(len(A793) &gt;0, REGEXEXTRACT(A793, ""Chapter [0-9]*: (.*)""), """")"),"")</f>
        <v/>
      </c>
      <c r="D793" s="31" t="str">
        <f>IFERROR(__xludf.DUMMYFUNCTION("if(len(A793)&gt;0, REGEXEXTRACT(A793, ""\n[^\(]*""), """")"),"")</f>
        <v/>
      </c>
      <c r="E793" s="17" t="str">
        <f>IFERROR(__xludf.DUMMYFUNCTION("if(len(A793)&gt;0, REGEXEXTRACT(A793, ""\n([^\n]*)$""), """")"),"")</f>
        <v/>
      </c>
      <c r="F793" s="17" t="str">
        <f>IFERROR(__xludf.DUMMYFUNCTION("if(len(A793)&gt;0, REGEXEXTRACT(A793, ""\(([^\)]*)\)""), """")"),"")</f>
        <v/>
      </c>
      <c r="G793" s="17" t="str">
        <f>IFERROR(__xludf.DUMMYFUNCTION("if(len(A793)&gt;0, REGEXEXTRACT(A793, ""\)([^:]*):""), """")"),"")</f>
        <v/>
      </c>
      <c r="H793" s="31" t="str">
        <f>IFERROR(__xludf.DUMMYFUNCTION("if(len(A793) &gt; 0, JOIN(char(10), FILTER(SPLIT(A793, char(10)), split(""false false "" &amp; rept(""true "", columns(SPLIT(A793, char(10)))-3) &amp; ""false"", "" ""))), """")"),"")</f>
        <v/>
      </c>
    </row>
    <row r="794">
      <c r="A794" s="31"/>
      <c r="B794" s="17" t="str">
        <f>IFERROR(__xludf.DUMMYFUNCTION("if(len(A794)&gt;0, value(REGEXEXTRACT(A794, ""Chapter ([0-9]*):"")), """")"),"")</f>
        <v/>
      </c>
      <c r="C794" s="31" t="str">
        <f>IFERROR(__xludf.DUMMYFUNCTION("if(len(A794) &gt;0, REGEXEXTRACT(A794, ""Chapter [0-9]*: (.*)""), """")"),"")</f>
        <v/>
      </c>
      <c r="D794" s="31" t="str">
        <f>IFERROR(__xludf.DUMMYFUNCTION("if(len(A794)&gt;0, REGEXEXTRACT(A794, ""\n[^\(]*""), """")"),"")</f>
        <v/>
      </c>
      <c r="E794" s="17" t="str">
        <f>IFERROR(__xludf.DUMMYFUNCTION("if(len(A794)&gt;0, REGEXEXTRACT(A794, ""\n([^\n]*)$""), """")"),"")</f>
        <v/>
      </c>
      <c r="F794" s="17" t="str">
        <f>IFERROR(__xludf.DUMMYFUNCTION("if(len(A794)&gt;0, REGEXEXTRACT(A794, ""\(([^\)]*)\)""), """")"),"")</f>
        <v/>
      </c>
      <c r="G794" s="17" t="str">
        <f>IFERROR(__xludf.DUMMYFUNCTION("if(len(A794)&gt;0, REGEXEXTRACT(A794, ""\)([^:]*):""), """")"),"")</f>
        <v/>
      </c>
      <c r="H794" s="31" t="str">
        <f>IFERROR(__xludf.DUMMYFUNCTION("if(len(A794) &gt; 0, JOIN(char(10), FILTER(SPLIT(A794, char(10)), split(""false false "" &amp; rept(""true "", columns(SPLIT(A794, char(10)))-3) &amp; ""false"", "" ""))), """")"),"")</f>
        <v/>
      </c>
    </row>
    <row r="795">
      <c r="A795" s="31"/>
      <c r="B795" s="17" t="str">
        <f>IFERROR(__xludf.DUMMYFUNCTION("if(len(A795)&gt;0, value(REGEXEXTRACT(A795, ""Chapter ([0-9]*):"")), """")"),"")</f>
        <v/>
      </c>
      <c r="C795" s="31" t="str">
        <f>IFERROR(__xludf.DUMMYFUNCTION("if(len(A795) &gt;0, REGEXEXTRACT(A795, ""Chapter [0-9]*: (.*)""), """")"),"")</f>
        <v/>
      </c>
      <c r="D795" s="31" t="str">
        <f>IFERROR(__xludf.DUMMYFUNCTION("if(len(A795)&gt;0, REGEXEXTRACT(A795, ""\n[^\(]*""), """")"),"")</f>
        <v/>
      </c>
      <c r="E795" s="17" t="str">
        <f>IFERROR(__xludf.DUMMYFUNCTION("if(len(A795)&gt;0, REGEXEXTRACT(A795, ""\n([^\n]*)$""), """")"),"")</f>
        <v/>
      </c>
      <c r="F795" s="17" t="str">
        <f>IFERROR(__xludf.DUMMYFUNCTION("if(len(A795)&gt;0, REGEXEXTRACT(A795, ""\(([^\)]*)\)""), """")"),"")</f>
        <v/>
      </c>
      <c r="G795" s="17" t="str">
        <f>IFERROR(__xludf.DUMMYFUNCTION("if(len(A795)&gt;0, REGEXEXTRACT(A795, ""\)([^:]*):""), """")"),"")</f>
        <v/>
      </c>
      <c r="H795" s="31" t="str">
        <f>IFERROR(__xludf.DUMMYFUNCTION("if(len(A795) &gt; 0, JOIN(char(10), FILTER(SPLIT(A795, char(10)), split(""false false "" &amp; rept(""true "", columns(SPLIT(A795, char(10)))-3) &amp; ""false"", "" ""))), """")"),"")</f>
        <v/>
      </c>
    </row>
    <row r="796">
      <c r="A796" s="31"/>
      <c r="B796" s="17" t="str">
        <f>IFERROR(__xludf.DUMMYFUNCTION("if(len(A796)&gt;0, value(REGEXEXTRACT(A796, ""Chapter ([0-9]*):"")), """")"),"")</f>
        <v/>
      </c>
      <c r="C796" s="31" t="str">
        <f>IFERROR(__xludf.DUMMYFUNCTION("if(len(A796) &gt;0, REGEXEXTRACT(A796, ""Chapter [0-9]*: (.*)""), """")"),"")</f>
        <v/>
      </c>
      <c r="D796" s="31" t="str">
        <f>IFERROR(__xludf.DUMMYFUNCTION("if(len(A796)&gt;0, REGEXEXTRACT(A796, ""\n[^\(]*""), """")"),"")</f>
        <v/>
      </c>
      <c r="E796" s="17" t="str">
        <f>IFERROR(__xludf.DUMMYFUNCTION("if(len(A796)&gt;0, REGEXEXTRACT(A796, ""\n([^\n]*)$""), """")"),"")</f>
        <v/>
      </c>
      <c r="F796" s="17" t="str">
        <f>IFERROR(__xludf.DUMMYFUNCTION("if(len(A796)&gt;0, REGEXEXTRACT(A796, ""\(([^\)]*)\)""), """")"),"")</f>
        <v/>
      </c>
      <c r="G796" s="17" t="str">
        <f>IFERROR(__xludf.DUMMYFUNCTION("if(len(A796)&gt;0, REGEXEXTRACT(A796, ""\)([^:]*):""), """")"),"")</f>
        <v/>
      </c>
      <c r="H796" s="31" t="str">
        <f>IFERROR(__xludf.DUMMYFUNCTION("if(len(A796) &gt; 0, JOIN(char(10), FILTER(SPLIT(A796, char(10)), split(""false false "" &amp; rept(""true "", columns(SPLIT(A796, char(10)))-3) &amp; ""false"", "" ""))), """")"),"")</f>
        <v/>
      </c>
    </row>
    <row r="797">
      <c r="A797" s="31"/>
      <c r="B797" s="17" t="str">
        <f>IFERROR(__xludf.DUMMYFUNCTION("if(len(A797)&gt;0, value(REGEXEXTRACT(A797, ""Chapter ([0-9]*):"")), """")"),"")</f>
        <v/>
      </c>
      <c r="C797" s="31" t="str">
        <f>IFERROR(__xludf.DUMMYFUNCTION("if(len(A797) &gt;0, REGEXEXTRACT(A797, ""Chapter [0-9]*: (.*)""), """")"),"")</f>
        <v/>
      </c>
      <c r="D797" s="31" t="str">
        <f>IFERROR(__xludf.DUMMYFUNCTION("if(len(A797)&gt;0, REGEXEXTRACT(A797, ""\n[^\(]*""), """")"),"")</f>
        <v/>
      </c>
      <c r="E797" s="17" t="str">
        <f>IFERROR(__xludf.DUMMYFUNCTION("if(len(A797)&gt;0, REGEXEXTRACT(A797, ""\n([^\n]*)$""), """")"),"")</f>
        <v/>
      </c>
      <c r="F797" s="17" t="str">
        <f>IFERROR(__xludf.DUMMYFUNCTION("if(len(A797)&gt;0, REGEXEXTRACT(A797, ""\(([^\)]*)\)""), """")"),"")</f>
        <v/>
      </c>
      <c r="G797" s="17" t="str">
        <f>IFERROR(__xludf.DUMMYFUNCTION("if(len(A797)&gt;0, REGEXEXTRACT(A797, ""\)([^:]*):""), """")"),"")</f>
        <v/>
      </c>
      <c r="H797" s="31" t="str">
        <f>IFERROR(__xludf.DUMMYFUNCTION("if(len(A797) &gt; 0, JOIN(char(10), FILTER(SPLIT(A797, char(10)), split(""false false "" &amp; rept(""true "", columns(SPLIT(A797, char(10)))-3) &amp; ""false"", "" ""))), """")"),"")</f>
        <v/>
      </c>
    </row>
    <row r="798">
      <c r="A798" s="31"/>
      <c r="B798" s="17" t="str">
        <f>IFERROR(__xludf.DUMMYFUNCTION("if(len(A798)&gt;0, value(REGEXEXTRACT(A798, ""Chapter ([0-9]*):"")), """")"),"")</f>
        <v/>
      </c>
      <c r="C798" s="31" t="str">
        <f>IFERROR(__xludf.DUMMYFUNCTION("if(len(A798) &gt;0, REGEXEXTRACT(A798, ""Chapter [0-9]*: (.*)""), """")"),"")</f>
        <v/>
      </c>
      <c r="D798" s="31" t="str">
        <f>IFERROR(__xludf.DUMMYFUNCTION("if(len(A798)&gt;0, REGEXEXTRACT(A798, ""\n[^\(]*""), """")"),"")</f>
        <v/>
      </c>
      <c r="E798" s="17" t="str">
        <f>IFERROR(__xludf.DUMMYFUNCTION("if(len(A798)&gt;0, REGEXEXTRACT(A798, ""\n([^\n]*)$""), """")"),"")</f>
        <v/>
      </c>
      <c r="F798" s="17" t="str">
        <f>IFERROR(__xludf.DUMMYFUNCTION("if(len(A798)&gt;0, REGEXEXTRACT(A798, ""\(([^\)]*)\)""), """")"),"")</f>
        <v/>
      </c>
      <c r="G798" s="17" t="str">
        <f>IFERROR(__xludf.DUMMYFUNCTION("if(len(A798)&gt;0, REGEXEXTRACT(A798, ""\)([^:]*):""), """")"),"")</f>
        <v/>
      </c>
      <c r="H798" s="31" t="str">
        <f>IFERROR(__xludf.DUMMYFUNCTION("if(len(A798) &gt; 0, JOIN(char(10), FILTER(SPLIT(A798, char(10)), split(""false false "" &amp; rept(""true "", columns(SPLIT(A798, char(10)))-3) &amp; ""false"", "" ""))), """")"),"")</f>
        <v/>
      </c>
    </row>
    <row r="799">
      <c r="A799" s="31"/>
      <c r="B799" s="17" t="str">
        <f>IFERROR(__xludf.DUMMYFUNCTION("if(len(A799)&gt;0, value(REGEXEXTRACT(A799, ""Chapter ([0-9]*):"")), """")"),"")</f>
        <v/>
      </c>
      <c r="C799" s="31" t="str">
        <f>IFERROR(__xludf.DUMMYFUNCTION("if(len(A799) &gt;0, REGEXEXTRACT(A799, ""Chapter [0-9]*: (.*)""), """")"),"")</f>
        <v/>
      </c>
      <c r="D799" s="31" t="str">
        <f>IFERROR(__xludf.DUMMYFUNCTION("if(len(A799)&gt;0, REGEXEXTRACT(A799, ""\n[^\(]*""), """")"),"")</f>
        <v/>
      </c>
      <c r="E799" s="17" t="str">
        <f>IFERROR(__xludf.DUMMYFUNCTION("if(len(A799)&gt;0, REGEXEXTRACT(A799, ""\n([^\n]*)$""), """")"),"")</f>
        <v/>
      </c>
      <c r="F799" s="17" t="str">
        <f>IFERROR(__xludf.DUMMYFUNCTION("if(len(A799)&gt;0, REGEXEXTRACT(A799, ""\(([^\)]*)\)""), """")"),"")</f>
        <v/>
      </c>
      <c r="G799" s="17" t="str">
        <f>IFERROR(__xludf.DUMMYFUNCTION("if(len(A799)&gt;0, REGEXEXTRACT(A799, ""\)([^:]*):""), """")"),"")</f>
        <v/>
      </c>
      <c r="H799" s="31" t="str">
        <f>IFERROR(__xludf.DUMMYFUNCTION("if(len(A799) &gt; 0, JOIN(char(10), FILTER(SPLIT(A799, char(10)), split(""false false "" &amp; rept(""true "", columns(SPLIT(A799, char(10)))-3) &amp; ""false"", "" ""))), """")"),"")</f>
        <v/>
      </c>
    </row>
    <row r="800">
      <c r="A800" s="31"/>
      <c r="B800" s="17" t="str">
        <f>IFERROR(__xludf.DUMMYFUNCTION("if(len(A800)&gt;0, value(REGEXEXTRACT(A800, ""Chapter ([0-9]*):"")), """")"),"")</f>
        <v/>
      </c>
      <c r="C800" s="31" t="str">
        <f>IFERROR(__xludf.DUMMYFUNCTION("if(len(A800) &gt;0, REGEXEXTRACT(A800, ""Chapter [0-9]*: (.*)""), """")"),"")</f>
        <v/>
      </c>
      <c r="D800" s="31" t="str">
        <f>IFERROR(__xludf.DUMMYFUNCTION("if(len(A800)&gt;0, REGEXEXTRACT(A800, ""\n[^\(]*""), """")"),"")</f>
        <v/>
      </c>
      <c r="E800" s="17" t="str">
        <f>IFERROR(__xludf.DUMMYFUNCTION("if(len(A800)&gt;0, REGEXEXTRACT(A800, ""\n([^\n]*)$""), """")"),"")</f>
        <v/>
      </c>
      <c r="F800" s="17" t="str">
        <f>IFERROR(__xludf.DUMMYFUNCTION("if(len(A800)&gt;0, REGEXEXTRACT(A800, ""\(([^\)]*)\)""), """")"),"")</f>
        <v/>
      </c>
      <c r="G800" s="17" t="str">
        <f>IFERROR(__xludf.DUMMYFUNCTION("if(len(A800)&gt;0, REGEXEXTRACT(A800, ""\)([^:]*):""), """")"),"")</f>
        <v/>
      </c>
      <c r="H800" s="31" t="str">
        <f>IFERROR(__xludf.DUMMYFUNCTION("if(len(A800) &gt; 0, JOIN(char(10), FILTER(SPLIT(A800, char(10)), split(""false false "" &amp; rept(""true "", columns(SPLIT(A800, char(10)))-3) &amp; ""false"", "" ""))), """")"),"")</f>
        <v/>
      </c>
    </row>
    <row r="801">
      <c r="A801" s="31"/>
      <c r="B801" s="17" t="str">
        <f>IFERROR(__xludf.DUMMYFUNCTION("if(len(A801)&gt;0, value(REGEXEXTRACT(A801, ""Chapter ([0-9]*):"")), """")"),"")</f>
        <v/>
      </c>
      <c r="C801" s="31" t="str">
        <f>IFERROR(__xludf.DUMMYFUNCTION("if(len(A801) &gt;0, REGEXEXTRACT(A801, ""Chapter [0-9]*: (.*)""), """")"),"")</f>
        <v/>
      </c>
      <c r="D801" s="31" t="str">
        <f>IFERROR(__xludf.DUMMYFUNCTION("if(len(A801)&gt;0, REGEXEXTRACT(A801, ""\n[^\(]*""), """")"),"")</f>
        <v/>
      </c>
      <c r="E801" s="17" t="str">
        <f>IFERROR(__xludf.DUMMYFUNCTION("if(len(A801)&gt;0, REGEXEXTRACT(A801, ""\n([^\n]*)$""), """")"),"")</f>
        <v/>
      </c>
      <c r="F801" s="17" t="str">
        <f>IFERROR(__xludf.DUMMYFUNCTION("if(len(A801)&gt;0, REGEXEXTRACT(A801, ""\(([^\)]*)\)""), """")"),"")</f>
        <v/>
      </c>
      <c r="G801" s="17" t="str">
        <f>IFERROR(__xludf.DUMMYFUNCTION("if(len(A801)&gt;0, REGEXEXTRACT(A801, ""\)([^:]*):""), """")"),"")</f>
        <v/>
      </c>
      <c r="H801" s="31" t="str">
        <f>IFERROR(__xludf.DUMMYFUNCTION("if(len(A801) &gt; 0, JOIN(char(10), FILTER(SPLIT(A801, char(10)), split(""false false "" &amp; rept(""true "", columns(SPLIT(A801, char(10)))-3) &amp; ""false"", "" ""))), """")"),"")</f>
        <v/>
      </c>
    </row>
    <row r="802">
      <c r="A802" s="31"/>
      <c r="C802" s="31"/>
      <c r="D802" s="31"/>
      <c r="H802" s="31"/>
    </row>
    <row r="803">
      <c r="A803" s="31"/>
      <c r="C803" s="31"/>
      <c r="D803" s="31"/>
      <c r="H803" s="31"/>
    </row>
    <row r="804">
      <c r="A804" s="31"/>
      <c r="C804" s="31"/>
      <c r="D804" s="31"/>
      <c r="H804" s="31"/>
    </row>
    <row r="805">
      <c r="A805" s="31"/>
      <c r="C805" s="31"/>
      <c r="D805" s="31"/>
      <c r="H805" s="31"/>
    </row>
    <row r="806">
      <c r="A806" s="31"/>
      <c r="C806" s="31"/>
      <c r="D806" s="31"/>
      <c r="H806" s="31"/>
    </row>
    <row r="807">
      <c r="A807" s="31"/>
      <c r="C807" s="31"/>
      <c r="D807" s="31"/>
      <c r="H807" s="31"/>
    </row>
    <row r="808">
      <c r="A808" s="31"/>
      <c r="C808" s="31"/>
      <c r="D808" s="31"/>
      <c r="H808" s="31"/>
    </row>
    <row r="809">
      <c r="A809" s="31"/>
      <c r="C809" s="31"/>
      <c r="D809" s="31"/>
      <c r="H809" s="31"/>
    </row>
    <row r="810">
      <c r="A810" s="31"/>
      <c r="C810" s="31"/>
      <c r="D810" s="31"/>
      <c r="H810" s="31"/>
    </row>
    <row r="811">
      <c r="A811" s="31"/>
      <c r="C811" s="31"/>
      <c r="D811" s="31"/>
      <c r="H811" s="31"/>
    </row>
    <row r="812">
      <c r="A812" s="31"/>
      <c r="C812" s="31"/>
      <c r="D812" s="31"/>
      <c r="H812" s="31"/>
    </row>
    <row r="813">
      <c r="A813" s="31"/>
      <c r="C813" s="31"/>
      <c r="D813" s="31"/>
      <c r="H813" s="31"/>
    </row>
    <row r="814">
      <c r="A814" s="31"/>
      <c r="C814" s="31"/>
      <c r="D814" s="31"/>
      <c r="H814" s="31"/>
    </row>
    <row r="815">
      <c r="A815" s="31"/>
      <c r="C815" s="31"/>
      <c r="D815" s="31"/>
      <c r="H815" s="31"/>
    </row>
    <row r="816">
      <c r="A816" s="31"/>
      <c r="C816" s="31"/>
      <c r="D816" s="31"/>
      <c r="H816" s="31"/>
    </row>
    <row r="817">
      <c r="A817" s="31"/>
      <c r="C817" s="31"/>
      <c r="D817" s="31"/>
      <c r="H817" s="31"/>
    </row>
    <row r="818">
      <c r="A818" s="31"/>
      <c r="C818" s="31"/>
      <c r="D818" s="31"/>
      <c r="H818" s="31"/>
    </row>
    <row r="819">
      <c r="A819" s="31"/>
      <c r="C819" s="31"/>
      <c r="D819" s="31"/>
      <c r="H819" s="31"/>
    </row>
    <row r="820">
      <c r="A820" s="31"/>
      <c r="C820" s="31"/>
      <c r="D820" s="31"/>
      <c r="H820" s="31"/>
    </row>
    <row r="821">
      <c r="A821" s="31"/>
      <c r="C821" s="31"/>
      <c r="D821" s="31"/>
      <c r="H821" s="31"/>
    </row>
    <row r="822">
      <c r="A822" s="31"/>
      <c r="C822" s="31"/>
      <c r="D822" s="31"/>
      <c r="H822" s="31"/>
    </row>
    <row r="823">
      <c r="A823" s="31"/>
      <c r="C823" s="31"/>
      <c r="D823" s="31"/>
      <c r="H823" s="31"/>
    </row>
    <row r="824">
      <c r="A824" s="31"/>
      <c r="C824" s="31"/>
      <c r="D824" s="31"/>
      <c r="H824" s="31"/>
    </row>
    <row r="825">
      <c r="A825" s="31"/>
      <c r="C825" s="31"/>
      <c r="D825" s="31"/>
      <c r="H825" s="31"/>
    </row>
    <row r="826">
      <c r="A826" s="31"/>
      <c r="C826" s="31"/>
      <c r="D826" s="31"/>
      <c r="H826" s="31"/>
    </row>
    <row r="827">
      <c r="A827" s="31"/>
      <c r="C827" s="31"/>
      <c r="D827" s="31"/>
      <c r="H827" s="31"/>
    </row>
    <row r="828">
      <c r="A828" s="31"/>
      <c r="C828" s="31"/>
      <c r="D828" s="31"/>
      <c r="H828" s="31"/>
    </row>
    <row r="829">
      <c r="A829" s="31"/>
      <c r="C829" s="31"/>
      <c r="D829" s="31"/>
      <c r="H829" s="31"/>
    </row>
    <row r="830">
      <c r="A830" s="31"/>
      <c r="C830" s="31"/>
      <c r="D830" s="31"/>
      <c r="H830" s="31"/>
    </row>
    <row r="831">
      <c r="A831" s="31"/>
      <c r="C831" s="31"/>
      <c r="D831" s="31"/>
      <c r="H831" s="31"/>
    </row>
    <row r="832">
      <c r="A832" s="31"/>
      <c r="C832" s="31"/>
      <c r="D832" s="31"/>
      <c r="H832" s="31"/>
    </row>
    <row r="833">
      <c r="A833" s="31"/>
      <c r="C833" s="31"/>
      <c r="D833" s="31"/>
      <c r="H833" s="31"/>
    </row>
    <row r="834">
      <c r="A834" s="31"/>
      <c r="C834" s="31"/>
      <c r="D834" s="31"/>
      <c r="H834" s="31"/>
    </row>
    <row r="835">
      <c r="A835" s="31"/>
      <c r="C835" s="31"/>
      <c r="D835" s="31"/>
      <c r="H835" s="31"/>
    </row>
    <row r="836">
      <c r="A836" s="31"/>
      <c r="C836" s="31"/>
      <c r="D836" s="31"/>
      <c r="H836" s="31"/>
    </row>
    <row r="837">
      <c r="A837" s="31"/>
      <c r="C837" s="31"/>
      <c r="D837" s="31"/>
      <c r="H837" s="31"/>
    </row>
    <row r="838">
      <c r="A838" s="31"/>
      <c r="C838" s="31"/>
      <c r="D838" s="31"/>
      <c r="H838" s="31"/>
    </row>
    <row r="839">
      <c r="A839" s="31"/>
      <c r="C839" s="31"/>
      <c r="D839" s="31"/>
      <c r="H839" s="31"/>
    </row>
    <row r="840">
      <c r="A840" s="31"/>
      <c r="C840" s="31"/>
      <c r="D840" s="31"/>
      <c r="H840" s="31"/>
    </row>
    <row r="841">
      <c r="A841" s="31"/>
      <c r="C841" s="31"/>
      <c r="D841" s="31"/>
      <c r="H841" s="31"/>
    </row>
    <row r="842">
      <c r="A842" s="31"/>
      <c r="C842" s="31"/>
      <c r="D842" s="31"/>
      <c r="H842" s="31"/>
    </row>
    <row r="843">
      <c r="A843" s="31"/>
      <c r="C843" s="31"/>
      <c r="D843" s="31"/>
      <c r="H843" s="31"/>
    </row>
    <row r="844">
      <c r="A844" s="31"/>
      <c r="C844" s="31"/>
      <c r="D844" s="31"/>
      <c r="H844" s="31"/>
    </row>
    <row r="845">
      <c r="A845" s="31"/>
      <c r="C845" s="31"/>
      <c r="D845" s="31"/>
      <c r="H845" s="31"/>
    </row>
    <row r="846">
      <c r="A846" s="31"/>
      <c r="C846" s="31"/>
      <c r="D846" s="31"/>
      <c r="H846" s="31"/>
    </row>
    <row r="847">
      <c r="A847" s="31"/>
      <c r="C847" s="31"/>
      <c r="D847" s="31"/>
      <c r="H847" s="31"/>
    </row>
    <row r="848">
      <c r="A848" s="31"/>
      <c r="C848" s="31"/>
      <c r="D848" s="31"/>
      <c r="H848" s="31"/>
    </row>
    <row r="849">
      <c r="A849" s="31"/>
      <c r="C849" s="31"/>
      <c r="D849" s="31"/>
      <c r="H849" s="31"/>
    </row>
    <row r="850">
      <c r="A850" s="31"/>
      <c r="C850" s="31"/>
      <c r="D850" s="31"/>
      <c r="H850" s="31"/>
    </row>
    <row r="851">
      <c r="A851" s="31"/>
      <c r="C851" s="31"/>
      <c r="D851" s="31"/>
      <c r="H851" s="31"/>
    </row>
    <row r="852">
      <c r="A852" s="31"/>
      <c r="C852" s="31"/>
      <c r="D852" s="31"/>
      <c r="H852" s="31"/>
    </row>
    <row r="853">
      <c r="A853" s="31"/>
      <c r="C853" s="31"/>
      <c r="D853" s="31"/>
      <c r="H853" s="31"/>
    </row>
    <row r="854">
      <c r="A854" s="31"/>
      <c r="C854" s="31"/>
      <c r="D854" s="31"/>
      <c r="H854" s="31"/>
    </row>
    <row r="855">
      <c r="A855" s="31"/>
      <c r="C855" s="31"/>
      <c r="D855" s="31"/>
      <c r="H855" s="31"/>
    </row>
    <row r="856">
      <c r="A856" s="31"/>
      <c r="C856" s="31"/>
      <c r="D856" s="31"/>
      <c r="H856" s="31"/>
    </row>
    <row r="857">
      <c r="A857" s="31"/>
      <c r="C857" s="31"/>
      <c r="D857" s="31"/>
      <c r="H857" s="31"/>
    </row>
    <row r="858">
      <c r="A858" s="31"/>
      <c r="C858" s="31"/>
      <c r="D858" s="31"/>
      <c r="H858" s="31"/>
    </row>
    <row r="859">
      <c r="A859" s="31"/>
      <c r="C859" s="31"/>
      <c r="D859" s="31"/>
      <c r="H859" s="31"/>
    </row>
    <row r="860">
      <c r="A860" s="31"/>
      <c r="C860" s="31"/>
      <c r="D860" s="31"/>
      <c r="H860" s="31"/>
    </row>
    <row r="861">
      <c r="A861" s="31"/>
      <c r="C861" s="31"/>
      <c r="D861" s="31"/>
      <c r="H861" s="31"/>
    </row>
    <row r="862">
      <c r="A862" s="31"/>
      <c r="C862" s="31"/>
      <c r="D862" s="31"/>
      <c r="H862" s="31"/>
    </row>
    <row r="863">
      <c r="A863" s="31"/>
      <c r="C863" s="31"/>
      <c r="D863" s="31"/>
      <c r="H863" s="31"/>
    </row>
    <row r="864">
      <c r="A864" s="31"/>
      <c r="C864" s="31"/>
      <c r="D864" s="31"/>
      <c r="H864" s="31"/>
    </row>
    <row r="865">
      <c r="A865" s="31"/>
      <c r="C865" s="31"/>
      <c r="D865" s="31"/>
      <c r="H865" s="31"/>
    </row>
    <row r="866">
      <c r="A866" s="31"/>
      <c r="C866" s="31"/>
      <c r="D866" s="31"/>
      <c r="H866" s="31"/>
    </row>
    <row r="867">
      <c r="A867" s="31"/>
      <c r="C867" s="31"/>
      <c r="D867" s="31"/>
      <c r="H867" s="31"/>
    </row>
    <row r="868">
      <c r="A868" s="31"/>
      <c r="C868" s="31"/>
      <c r="D868" s="31"/>
      <c r="H868" s="31"/>
    </row>
    <row r="869">
      <c r="A869" s="31"/>
      <c r="C869" s="31"/>
      <c r="D869" s="31"/>
      <c r="H869" s="31"/>
    </row>
    <row r="870">
      <c r="A870" s="31"/>
      <c r="C870" s="31"/>
      <c r="D870" s="31"/>
      <c r="H870" s="31"/>
    </row>
    <row r="871">
      <c r="A871" s="31"/>
      <c r="C871" s="31"/>
      <c r="D871" s="31"/>
      <c r="H871" s="31"/>
    </row>
    <row r="872">
      <c r="A872" s="31"/>
      <c r="C872" s="31"/>
      <c r="D872" s="31"/>
      <c r="H872" s="31"/>
    </row>
    <row r="873">
      <c r="A873" s="31"/>
      <c r="C873" s="31"/>
      <c r="D873" s="31"/>
      <c r="H873" s="31"/>
    </row>
    <row r="874">
      <c r="A874" s="31"/>
      <c r="C874" s="31"/>
      <c r="D874" s="31"/>
      <c r="H874" s="31"/>
    </row>
    <row r="875">
      <c r="A875" s="31"/>
      <c r="C875" s="31"/>
      <c r="D875" s="31"/>
      <c r="H875" s="31"/>
    </row>
    <row r="876">
      <c r="A876" s="31"/>
      <c r="C876" s="31"/>
      <c r="D876" s="31"/>
      <c r="H876" s="31"/>
    </row>
    <row r="877">
      <c r="A877" s="31"/>
      <c r="C877" s="31"/>
      <c r="D877" s="31"/>
      <c r="H877" s="31"/>
    </row>
    <row r="878">
      <c r="A878" s="31"/>
      <c r="C878" s="31"/>
      <c r="D878" s="31"/>
      <c r="H878" s="31"/>
    </row>
    <row r="879">
      <c r="A879" s="31"/>
      <c r="C879" s="31"/>
      <c r="D879" s="31"/>
      <c r="H879" s="31"/>
    </row>
    <row r="880">
      <c r="A880" s="31"/>
      <c r="C880" s="31"/>
      <c r="D880" s="31"/>
      <c r="H880" s="31"/>
    </row>
    <row r="881">
      <c r="A881" s="31"/>
      <c r="C881" s="31"/>
      <c r="D881" s="31"/>
      <c r="H881" s="31"/>
    </row>
    <row r="882">
      <c r="A882" s="31"/>
      <c r="C882" s="31"/>
      <c r="D882" s="31"/>
      <c r="H882" s="31"/>
    </row>
    <row r="883">
      <c r="A883" s="31"/>
      <c r="C883" s="31"/>
      <c r="D883" s="31"/>
      <c r="H883" s="31"/>
    </row>
    <row r="884">
      <c r="A884" s="31"/>
      <c r="C884" s="31"/>
      <c r="D884" s="31"/>
      <c r="H884" s="31"/>
    </row>
    <row r="885">
      <c r="A885" s="31"/>
      <c r="C885" s="31"/>
      <c r="D885" s="31"/>
      <c r="H885" s="31"/>
    </row>
    <row r="886">
      <c r="A886" s="31"/>
      <c r="C886" s="31"/>
      <c r="D886" s="31"/>
      <c r="H886" s="31"/>
    </row>
    <row r="887">
      <c r="A887" s="31"/>
      <c r="C887" s="31"/>
      <c r="D887" s="31"/>
      <c r="H887" s="31"/>
    </row>
    <row r="888">
      <c r="A888" s="31"/>
      <c r="C888" s="31"/>
      <c r="D888" s="31"/>
      <c r="H888" s="31"/>
    </row>
    <row r="889">
      <c r="A889" s="31"/>
      <c r="C889" s="31"/>
      <c r="D889" s="31"/>
      <c r="H889" s="31"/>
    </row>
    <row r="890">
      <c r="A890" s="31"/>
      <c r="C890" s="31"/>
      <c r="D890" s="31"/>
      <c r="H890" s="31"/>
    </row>
    <row r="891">
      <c r="A891" s="31"/>
      <c r="C891" s="31"/>
      <c r="D891" s="31"/>
      <c r="H891" s="31"/>
    </row>
    <row r="892">
      <c r="A892" s="31"/>
      <c r="C892" s="31"/>
      <c r="D892" s="31"/>
      <c r="H892" s="31"/>
    </row>
    <row r="893">
      <c r="A893" s="31"/>
      <c r="C893" s="31"/>
      <c r="D893" s="31"/>
      <c r="H893" s="31"/>
    </row>
    <row r="894">
      <c r="A894" s="31"/>
      <c r="C894" s="31"/>
      <c r="D894" s="31"/>
      <c r="H894" s="31"/>
    </row>
    <row r="895">
      <c r="A895" s="31"/>
      <c r="C895" s="31"/>
      <c r="D895" s="31"/>
      <c r="H895" s="31"/>
    </row>
    <row r="896">
      <c r="A896" s="31"/>
      <c r="C896" s="31"/>
      <c r="D896" s="31"/>
      <c r="H896" s="31"/>
    </row>
    <row r="897">
      <c r="A897" s="31"/>
      <c r="C897" s="31"/>
      <c r="D897" s="31"/>
      <c r="H897" s="31"/>
    </row>
    <row r="898">
      <c r="A898" s="31"/>
      <c r="C898" s="31"/>
      <c r="D898" s="31"/>
      <c r="H898" s="31"/>
    </row>
    <row r="899">
      <c r="A899" s="31"/>
      <c r="C899" s="31"/>
      <c r="D899" s="31"/>
      <c r="H899" s="31"/>
    </row>
    <row r="900">
      <c r="A900" s="31"/>
      <c r="C900" s="31"/>
      <c r="D900" s="31"/>
      <c r="H900" s="31"/>
    </row>
    <row r="901">
      <c r="A901" s="31"/>
      <c r="C901" s="31"/>
      <c r="D901" s="31"/>
      <c r="H901" s="31"/>
    </row>
    <row r="902">
      <c r="A902" s="31"/>
      <c r="C902" s="31"/>
      <c r="D902" s="31"/>
      <c r="H902" s="31"/>
    </row>
    <row r="903">
      <c r="A903" s="31"/>
      <c r="C903" s="31"/>
      <c r="D903" s="31"/>
      <c r="H903" s="31"/>
    </row>
    <row r="904">
      <c r="A904" s="31"/>
      <c r="C904" s="31"/>
      <c r="D904" s="31"/>
      <c r="H904" s="31"/>
    </row>
    <row r="905">
      <c r="A905" s="31"/>
      <c r="C905" s="31"/>
      <c r="D905" s="31"/>
      <c r="H905" s="31"/>
    </row>
    <row r="906">
      <c r="A906" s="31"/>
      <c r="C906" s="31"/>
      <c r="D906" s="31"/>
      <c r="H906" s="31"/>
    </row>
    <row r="907">
      <c r="A907" s="31"/>
      <c r="C907" s="31"/>
      <c r="D907" s="31"/>
      <c r="H907" s="31"/>
    </row>
    <row r="908">
      <c r="A908" s="31"/>
      <c r="C908" s="31"/>
      <c r="D908" s="31"/>
      <c r="H908" s="31"/>
    </row>
    <row r="909">
      <c r="A909" s="31"/>
      <c r="C909" s="31"/>
      <c r="D909" s="31"/>
      <c r="H909" s="31"/>
    </row>
    <row r="910">
      <c r="A910" s="31"/>
      <c r="C910" s="31"/>
      <c r="D910" s="31"/>
      <c r="H910" s="31"/>
    </row>
    <row r="911">
      <c r="A911" s="31"/>
      <c r="C911" s="31"/>
      <c r="D911" s="31"/>
      <c r="H911" s="31"/>
    </row>
    <row r="912">
      <c r="A912" s="31"/>
      <c r="C912" s="31"/>
      <c r="D912" s="31"/>
      <c r="H912" s="31"/>
    </row>
    <row r="913">
      <c r="A913" s="31"/>
      <c r="C913" s="31"/>
      <c r="D913" s="31"/>
      <c r="H913" s="31"/>
    </row>
    <row r="914">
      <c r="A914" s="31"/>
      <c r="C914" s="31"/>
      <c r="D914" s="31"/>
      <c r="H914" s="31"/>
    </row>
    <row r="915">
      <c r="A915" s="31"/>
      <c r="C915" s="31"/>
      <c r="D915" s="31"/>
      <c r="H915" s="31"/>
    </row>
    <row r="916">
      <c r="A916" s="31"/>
      <c r="C916" s="31"/>
      <c r="D916" s="31"/>
      <c r="H916" s="31"/>
    </row>
    <row r="917">
      <c r="A917" s="31"/>
      <c r="C917" s="31"/>
      <c r="D917" s="31"/>
      <c r="H917" s="31"/>
    </row>
    <row r="918">
      <c r="A918" s="31"/>
      <c r="C918" s="31"/>
      <c r="D918" s="31"/>
      <c r="H918" s="31"/>
    </row>
    <row r="919">
      <c r="A919" s="31"/>
      <c r="C919" s="31"/>
      <c r="D919" s="31"/>
      <c r="H919" s="31"/>
    </row>
    <row r="920">
      <c r="A920" s="31"/>
      <c r="C920" s="31"/>
      <c r="D920" s="31"/>
      <c r="H920" s="31"/>
    </row>
    <row r="921">
      <c r="A921" s="31"/>
      <c r="C921" s="31"/>
      <c r="D921" s="31"/>
      <c r="H921" s="31"/>
    </row>
    <row r="922">
      <c r="A922" s="31"/>
      <c r="C922" s="31"/>
      <c r="D922" s="31"/>
      <c r="H922" s="31"/>
    </row>
    <row r="923">
      <c r="A923" s="31"/>
      <c r="C923" s="31"/>
      <c r="D923" s="31"/>
      <c r="H923" s="31"/>
    </row>
    <row r="924">
      <c r="A924" s="31"/>
      <c r="C924" s="31"/>
      <c r="D924" s="31"/>
      <c r="H924" s="31"/>
    </row>
    <row r="925">
      <c r="A925" s="31"/>
      <c r="C925" s="31"/>
      <c r="D925" s="31"/>
      <c r="H925" s="31"/>
    </row>
    <row r="926">
      <c r="A926" s="31"/>
      <c r="C926" s="31"/>
      <c r="D926" s="31"/>
      <c r="H926" s="31"/>
    </row>
    <row r="927">
      <c r="A927" s="31"/>
      <c r="C927" s="31"/>
      <c r="D927" s="31"/>
      <c r="H927" s="31"/>
    </row>
    <row r="928">
      <c r="A928" s="31"/>
      <c r="C928" s="31"/>
      <c r="D928" s="31"/>
      <c r="H928" s="31"/>
    </row>
    <row r="929">
      <c r="A929" s="31"/>
      <c r="C929" s="31"/>
      <c r="D929" s="31"/>
      <c r="H929" s="31"/>
    </row>
    <row r="930">
      <c r="A930" s="31"/>
      <c r="C930" s="31"/>
      <c r="D930" s="31"/>
      <c r="H930" s="31"/>
    </row>
    <row r="931">
      <c r="A931" s="31"/>
      <c r="C931" s="31"/>
      <c r="D931" s="31"/>
      <c r="H931" s="31"/>
    </row>
    <row r="932">
      <c r="A932" s="31"/>
      <c r="C932" s="31"/>
      <c r="D932" s="31"/>
      <c r="H932" s="31"/>
    </row>
    <row r="933">
      <c r="A933" s="31"/>
      <c r="C933" s="31"/>
      <c r="D933" s="31"/>
      <c r="H933" s="31"/>
    </row>
    <row r="934">
      <c r="A934" s="31"/>
      <c r="C934" s="31"/>
      <c r="D934" s="31"/>
      <c r="H934" s="31"/>
    </row>
    <row r="935">
      <c r="A935" s="31"/>
      <c r="C935" s="31"/>
      <c r="D935" s="31"/>
      <c r="H935" s="31"/>
    </row>
    <row r="936">
      <c r="A936" s="31"/>
      <c r="C936" s="31"/>
      <c r="D936" s="31"/>
      <c r="H936" s="31"/>
    </row>
    <row r="937">
      <c r="A937" s="31"/>
      <c r="C937" s="31"/>
      <c r="D937" s="31"/>
      <c r="H937" s="31"/>
    </row>
    <row r="938">
      <c r="A938" s="31"/>
      <c r="C938" s="31"/>
      <c r="D938" s="31"/>
      <c r="H938" s="31"/>
    </row>
    <row r="939">
      <c r="A939" s="31"/>
      <c r="C939" s="31"/>
      <c r="D939" s="31"/>
      <c r="H939" s="31"/>
    </row>
    <row r="940">
      <c r="A940" s="31"/>
      <c r="C940" s="31"/>
      <c r="D940" s="31"/>
      <c r="H940" s="31"/>
    </row>
    <row r="941">
      <c r="A941" s="31"/>
      <c r="C941" s="31"/>
      <c r="D941" s="31"/>
      <c r="H941" s="31"/>
    </row>
    <row r="942">
      <c r="A942" s="31"/>
      <c r="C942" s="31"/>
      <c r="D942" s="31"/>
      <c r="H942" s="31"/>
    </row>
    <row r="943">
      <c r="A943" s="31"/>
      <c r="C943" s="31"/>
      <c r="D943" s="31"/>
      <c r="H943" s="31"/>
    </row>
    <row r="944">
      <c r="A944" s="31"/>
      <c r="C944" s="31"/>
      <c r="D944" s="31"/>
      <c r="H944" s="31"/>
    </row>
    <row r="945">
      <c r="A945" s="31"/>
      <c r="C945" s="31"/>
      <c r="D945" s="31"/>
      <c r="H945" s="31"/>
    </row>
    <row r="946">
      <c r="A946" s="31"/>
      <c r="C946" s="31"/>
      <c r="D946" s="31"/>
      <c r="H946" s="31"/>
    </row>
    <row r="947">
      <c r="A947" s="31"/>
      <c r="C947" s="31"/>
      <c r="D947" s="31"/>
      <c r="H947" s="31"/>
    </row>
    <row r="948">
      <c r="A948" s="31"/>
      <c r="C948" s="31"/>
      <c r="D948" s="31"/>
      <c r="H948" s="31"/>
    </row>
    <row r="949">
      <c r="A949" s="31"/>
      <c r="C949" s="31"/>
      <c r="D949" s="31"/>
      <c r="H949" s="31"/>
    </row>
    <row r="950">
      <c r="A950" s="31"/>
      <c r="C950" s="31"/>
      <c r="D950" s="31"/>
      <c r="H950" s="31"/>
    </row>
    <row r="951">
      <c r="A951" s="31"/>
      <c r="C951" s="31"/>
      <c r="D951" s="31"/>
      <c r="H951" s="31"/>
    </row>
    <row r="952">
      <c r="A952" s="31"/>
      <c r="C952" s="31"/>
      <c r="D952" s="31"/>
      <c r="H952" s="31"/>
    </row>
    <row r="953">
      <c r="A953" s="31"/>
      <c r="C953" s="31"/>
      <c r="D953" s="31"/>
      <c r="H953" s="31"/>
    </row>
    <row r="954">
      <c r="A954" s="31"/>
      <c r="C954" s="31"/>
      <c r="D954" s="31"/>
      <c r="H954" s="31"/>
    </row>
    <row r="955">
      <c r="A955" s="31"/>
      <c r="C955" s="31"/>
      <c r="D955" s="31"/>
      <c r="H955" s="31"/>
    </row>
    <row r="956">
      <c r="A956" s="31"/>
      <c r="C956" s="31"/>
      <c r="D956" s="31"/>
      <c r="H956" s="31"/>
    </row>
    <row r="957">
      <c r="A957" s="31"/>
      <c r="C957" s="31"/>
      <c r="D957" s="31"/>
      <c r="H957" s="31"/>
    </row>
    <row r="958">
      <c r="A958" s="31"/>
      <c r="C958" s="31"/>
      <c r="D958" s="31"/>
      <c r="H958" s="31"/>
    </row>
    <row r="959">
      <c r="A959" s="31"/>
      <c r="C959" s="31"/>
      <c r="D959" s="31"/>
      <c r="H959" s="31"/>
    </row>
    <row r="960">
      <c r="A960" s="31"/>
      <c r="C960" s="31"/>
      <c r="D960" s="31"/>
      <c r="H960" s="31"/>
    </row>
    <row r="961">
      <c r="A961" s="31"/>
      <c r="C961" s="31"/>
      <c r="D961" s="31"/>
      <c r="H961" s="31"/>
    </row>
    <row r="962">
      <c r="A962" s="31"/>
      <c r="C962" s="31"/>
      <c r="D962" s="31"/>
      <c r="H962" s="31"/>
    </row>
    <row r="963">
      <c r="A963" s="31"/>
      <c r="C963" s="31"/>
      <c r="D963" s="31"/>
      <c r="H963" s="31"/>
    </row>
    <row r="964">
      <c r="A964" s="31"/>
      <c r="C964" s="31"/>
      <c r="D964" s="31"/>
      <c r="H964" s="31"/>
    </row>
    <row r="965">
      <c r="A965" s="31"/>
      <c r="C965" s="31"/>
      <c r="D965" s="31"/>
      <c r="H965" s="31"/>
    </row>
    <row r="966">
      <c r="A966" s="31"/>
      <c r="C966" s="31"/>
      <c r="D966" s="31"/>
      <c r="H966" s="31"/>
    </row>
    <row r="967">
      <c r="A967" s="31"/>
      <c r="C967" s="31"/>
      <c r="D967" s="31"/>
      <c r="H967" s="31"/>
    </row>
    <row r="968">
      <c r="A968" s="31"/>
      <c r="C968" s="31"/>
      <c r="D968" s="31"/>
      <c r="H968" s="31"/>
    </row>
    <row r="969">
      <c r="A969" s="31"/>
      <c r="C969" s="31"/>
      <c r="D969" s="31"/>
      <c r="H969" s="31"/>
    </row>
    <row r="970">
      <c r="A970" s="31"/>
      <c r="C970" s="31"/>
      <c r="D970" s="31"/>
      <c r="H970" s="31"/>
    </row>
    <row r="971">
      <c r="A971" s="31"/>
      <c r="C971" s="31"/>
      <c r="D971" s="31"/>
      <c r="H971" s="31"/>
    </row>
    <row r="972">
      <c r="A972" s="31"/>
      <c r="C972" s="31"/>
      <c r="D972" s="31"/>
      <c r="H972" s="31"/>
    </row>
    <row r="973">
      <c r="A973" s="31"/>
      <c r="C973" s="31"/>
      <c r="D973" s="31"/>
      <c r="H973" s="31"/>
    </row>
    <row r="974">
      <c r="A974" s="31"/>
      <c r="C974" s="31"/>
      <c r="D974" s="31"/>
      <c r="H974" s="31"/>
    </row>
    <row r="975">
      <c r="A975" s="31"/>
      <c r="C975" s="31"/>
      <c r="D975" s="31"/>
      <c r="H975" s="31"/>
    </row>
    <row r="976">
      <c r="A976" s="31"/>
      <c r="C976" s="31"/>
      <c r="D976" s="31"/>
      <c r="H976" s="31"/>
    </row>
    <row r="977">
      <c r="A977" s="31"/>
      <c r="C977" s="31"/>
      <c r="D977" s="31"/>
      <c r="H977" s="31"/>
    </row>
    <row r="978">
      <c r="A978" s="31"/>
      <c r="C978" s="31"/>
      <c r="D978" s="31"/>
      <c r="H978" s="31"/>
    </row>
    <row r="979">
      <c r="A979" s="31"/>
      <c r="C979" s="31"/>
      <c r="D979" s="31"/>
      <c r="H979" s="31"/>
    </row>
    <row r="980">
      <c r="A980" s="31"/>
      <c r="C980" s="31"/>
      <c r="D980" s="31"/>
      <c r="H980" s="31"/>
    </row>
    <row r="981">
      <c r="A981" s="31"/>
      <c r="C981" s="31"/>
      <c r="D981" s="31"/>
      <c r="H981" s="31"/>
    </row>
    <row r="982">
      <c r="A982" s="31"/>
      <c r="C982" s="31"/>
      <c r="D982" s="31"/>
      <c r="H982" s="31"/>
    </row>
    <row r="983">
      <c r="A983" s="31"/>
      <c r="C983" s="31"/>
      <c r="D983" s="31"/>
      <c r="H983" s="31"/>
    </row>
    <row r="984">
      <c r="A984" s="31"/>
      <c r="C984" s="31"/>
      <c r="D984" s="31"/>
      <c r="H984" s="31"/>
    </row>
    <row r="985">
      <c r="A985" s="31"/>
      <c r="C985" s="31"/>
      <c r="D985" s="31"/>
      <c r="H985" s="31"/>
    </row>
    <row r="986">
      <c r="A986" s="31"/>
      <c r="C986" s="31"/>
      <c r="D986" s="31"/>
      <c r="H986" s="31"/>
    </row>
    <row r="987">
      <c r="A987" s="31"/>
      <c r="C987" s="31"/>
      <c r="D987" s="31"/>
      <c r="H987" s="31"/>
    </row>
    <row r="988">
      <c r="A988" s="31"/>
      <c r="C988" s="31"/>
      <c r="D988" s="31"/>
      <c r="H988" s="31"/>
    </row>
    <row r="989">
      <c r="A989" s="31"/>
      <c r="C989" s="31"/>
      <c r="D989" s="31"/>
      <c r="H989" s="31"/>
    </row>
    <row r="990">
      <c r="A990" s="31"/>
      <c r="C990" s="31"/>
      <c r="D990" s="31"/>
      <c r="H990" s="31"/>
    </row>
    <row r="991">
      <c r="A991" s="31"/>
      <c r="C991" s="31"/>
      <c r="D991" s="31"/>
      <c r="H991" s="31"/>
    </row>
    <row r="992">
      <c r="A992" s="31"/>
      <c r="C992" s="31"/>
      <c r="D992" s="31"/>
      <c r="H992" s="31"/>
    </row>
    <row r="993">
      <c r="A993" s="31"/>
      <c r="C993" s="31"/>
      <c r="D993" s="31"/>
      <c r="H993" s="31"/>
    </row>
    <row r="994">
      <c r="A994" s="31"/>
      <c r="C994" s="31"/>
      <c r="D994" s="31"/>
      <c r="H994" s="31"/>
    </row>
    <row r="995">
      <c r="A995" s="31"/>
      <c r="C995" s="31"/>
      <c r="D995" s="31"/>
      <c r="H995" s="31"/>
    </row>
    <row r="996">
      <c r="A996" s="31"/>
      <c r="C996" s="31"/>
      <c r="D996" s="31"/>
      <c r="H996" s="31"/>
    </row>
    <row r="997">
      <c r="A997" s="31"/>
      <c r="C997" s="31"/>
      <c r="D997" s="31"/>
      <c r="H997" s="31"/>
    </row>
    <row r="998">
      <c r="A998" s="31"/>
      <c r="C998" s="31"/>
      <c r="D998" s="31"/>
      <c r="H998" s="31"/>
    </row>
    <row r="999">
      <c r="A999" s="31"/>
      <c r="C999" s="31"/>
      <c r="D999" s="31"/>
      <c r="H999" s="31"/>
    </row>
    <row r="1000">
      <c r="A1000" s="31"/>
      <c r="C1000" s="31"/>
      <c r="D1000" s="31"/>
      <c r="H1000" s="31"/>
    </row>
    <row r="1001">
      <c r="A1001" s="31"/>
      <c r="C1001" s="31"/>
      <c r="D1001" s="31"/>
      <c r="H1001" s="31"/>
    </row>
    <row r="1002">
      <c r="A1002" s="31"/>
      <c r="C1002" s="31"/>
      <c r="D1002" s="31"/>
      <c r="H1002" s="31"/>
    </row>
    <row r="1003">
      <c r="A1003" s="31"/>
      <c r="C1003" s="31"/>
      <c r="D1003" s="31"/>
      <c r="H1003" s="31"/>
    </row>
    <row r="1004">
      <c r="A1004" s="31"/>
      <c r="C1004" s="31"/>
      <c r="D1004" s="31"/>
      <c r="H1004" s="31"/>
    </row>
    <row r="1005">
      <c r="A1005" s="31"/>
      <c r="C1005" s="31"/>
      <c r="D1005" s="31"/>
      <c r="H1005" s="31"/>
    </row>
    <row r="1006">
      <c r="A1006" s="31"/>
      <c r="C1006" s="31"/>
      <c r="D1006" s="31"/>
      <c r="H1006" s="31"/>
    </row>
    <row r="1007">
      <c r="A1007" s="31"/>
      <c r="C1007" s="31"/>
      <c r="D1007" s="31"/>
      <c r="H1007" s="31"/>
    </row>
    <row r="1008">
      <c r="A1008" s="31"/>
      <c r="C1008" s="31"/>
      <c r="D1008" s="31"/>
      <c r="H1008" s="31"/>
    </row>
    <row r="1009">
      <c r="A1009" s="31"/>
      <c r="C1009" s="31"/>
      <c r="D1009" s="31"/>
      <c r="H1009" s="31"/>
    </row>
    <row r="1010">
      <c r="A1010" s="31"/>
      <c r="C1010" s="31"/>
      <c r="D1010" s="31"/>
      <c r="H1010" s="31"/>
    </row>
    <row r="1011">
      <c r="A1011" s="31"/>
      <c r="C1011" s="31"/>
      <c r="D1011" s="31"/>
      <c r="H1011" s="31"/>
    </row>
    <row r="1012">
      <c r="A1012" s="31"/>
      <c r="C1012" s="31"/>
      <c r="D1012" s="31"/>
      <c r="H1012" s="31"/>
    </row>
    <row r="1013">
      <c r="A1013" s="31"/>
      <c r="C1013" s="31"/>
      <c r="D1013" s="31"/>
      <c r="H1013" s="31"/>
    </row>
    <row r="1014">
      <c r="A1014" s="31"/>
      <c r="C1014" s="31"/>
      <c r="D1014" s="31"/>
      <c r="H1014" s="31"/>
    </row>
    <row r="1015">
      <c r="A1015" s="31"/>
      <c r="C1015" s="31"/>
      <c r="D1015" s="31"/>
      <c r="H1015" s="31"/>
    </row>
    <row r="1016">
      <c r="A1016" s="31"/>
      <c r="C1016" s="31"/>
      <c r="D1016" s="31"/>
      <c r="H1016" s="31"/>
    </row>
    <row r="1017">
      <c r="A1017" s="31"/>
      <c r="C1017" s="31"/>
      <c r="D1017" s="31"/>
      <c r="H1017" s="31"/>
    </row>
    <row r="1018">
      <c r="A1018" s="31"/>
      <c r="C1018" s="31"/>
      <c r="D1018" s="31"/>
      <c r="H1018" s="31"/>
    </row>
    <row r="1019">
      <c r="A1019" s="31"/>
      <c r="C1019" s="31"/>
      <c r="D1019" s="31"/>
      <c r="H1019" s="31"/>
    </row>
    <row r="1020">
      <c r="A1020" s="31"/>
      <c r="C1020" s="31"/>
      <c r="D1020" s="31"/>
      <c r="H1020" s="31"/>
    </row>
    <row r="1021">
      <c r="A1021" s="31"/>
      <c r="C1021" s="31"/>
      <c r="D1021" s="31"/>
      <c r="H1021" s="31"/>
    </row>
    <row r="1022">
      <c r="A1022" s="31"/>
      <c r="C1022" s="31"/>
      <c r="D1022" s="31"/>
      <c r="H1022" s="31"/>
    </row>
    <row r="1023">
      <c r="A1023" s="31"/>
      <c r="C1023" s="31"/>
      <c r="D1023" s="31"/>
      <c r="H1023" s="31"/>
    </row>
    <row r="1024">
      <c r="A1024" s="31"/>
      <c r="C1024" s="31"/>
      <c r="D1024" s="31"/>
      <c r="H1024" s="31"/>
    </row>
    <row r="1025">
      <c r="A1025" s="31"/>
      <c r="C1025" s="31"/>
      <c r="D1025" s="31"/>
      <c r="H1025" s="31"/>
    </row>
    <row r="1026">
      <c r="A1026" s="31"/>
      <c r="C1026" s="31"/>
      <c r="D1026" s="31"/>
      <c r="H1026" s="31"/>
    </row>
    <row r="1027">
      <c r="A1027" s="31"/>
      <c r="C1027" s="31"/>
      <c r="D1027" s="31"/>
      <c r="H1027" s="31"/>
    </row>
    <row r="1028">
      <c r="A1028" s="31"/>
      <c r="C1028" s="31"/>
      <c r="D1028" s="31"/>
      <c r="H1028" s="31"/>
    </row>
    <row r="1029">
      <c r="A1029" s="31"/>
      <c r="C1029" s="31"/>
      <c r="D1029" s="31"/>
      <c r="H1029" s="31"/>
    </row>
    <row r="1030">
      <c r="A1030" s="31"/>
      <c r="C1030" s="31"/>
      <c r="D1030" s="31"/>
      <c r="H1030" s="31"/>
    </row>
    <row r="1031">
      <c r="A1031" s="31"/>
      <c r="C1031" s="31"/>
      <c r="D1031" s="31"/>
      <c r="H1031" s="31"/>
    </row>
    <row r="1032">
      <c r="A1032" s="31"/>
      <c r="C1032" s="31"/>
      <c r="D1032" s="31"/>
      <c r="H1032" s="31"/>
    </row>
    <row r="1033">
      <c r="A1033" s="31"/>
      <c r="C1033" s="31"/>
      <c r="D1033" s="31"/>
      <c r="H1033" s="31"/>
    </row>
    <row r="1034">
      <c r="A1034" s="31"/>
      <c r="C1034" s="31"/>
      <c r="D1034" s="31"/>
      <c r="H1034" s="31"/>
    </row>
    <row r="1035">
      <c r="A1035" s="31"/>
      <c r="C1035" s="31"/>
      <c r="D1035" s="31"/>
      <c r="H1035" s="31"/>
    </row>
    <row r="1036">
      <c r="A1036" s="31"/>
      <c r="C1036" s="31"/>
      <c r="D1036" s="31"/>
      <c r="H1036" s="31"/>
    </row>
    <row r="1037">
      <c r="A1037" s="31"/>
      <c r="C1037" s="31"/>
      <c r="D1037" s="31"/>
      <c r="H1037" s="31"/>
    </row>
    <row r="1038">
      <c r="A1038" s="31"/>
      <c r="C1038" s="31"/>
      <c r="D1038" s="31"/>
      <c r="H1038" s="31"/>
    </row>
    <row r="1039">
      <c r="A1039" s="31"/>
      <c r="C1039" s="31"/>
      <c r="D1039" s="31"/>
      <c r="H1039" s="31"/>
    </row>
    <row r="1040">
      <c r="A1040" s="31"/>
      <c r="C1040" s="31"/>
      <c r="D1040" s="31"/>
      <c r="H1040" s="31"/>
    </row>
    <row r="1041">
      <c r="A1041" s="31"/>
      <c r="C1041" s="31"/>
      <c r="D1041" s="31"/>
      <c r="H1041" s="31"/>
    </row>
    <row r="1042">
      <c r="A1042" s="31"/>
      <c r="C1042" s="31"/>
      <c r="D1042" s="31"/>
      <c r="H1042" s="31"/>
    </row>
    <row r="1043">
      <c r="A1043" s="31"/>
      <c r="C1043" s="31"/>
      <c r="D1043" s="31"/>
      <c r="H1043" s="31"/>
    </row>
    <row r="1044">
      <c r="A1044" s="31"/>
      <c r="C1044" s="31"/>
      <c r="D1044" s="31"/>
      <c r="H1044" s="31"/>
    </row>
    <row r="1045">
      <c r="A1045" s="31"/>
      <c r="C1045" s="31"/>
      <c r="D1045" s="31"/>
      <c r="H1045" s="31"/>
    </row>
    <row r="1046">
      <c r="A1046" s="31"/>
      <c r="C1046" s="31"/>
      <c r="D1046" s="31"/>
      <c r="H1046" s="31"/>
    </row>
    <row r="1047">
      <c r="A1047" s="31"/>
      <c r="C1047" s="31"/>
      <c r="D1047" s="31"/>
      <c r="H1047" s="31"/>
    </row>
    <row r="1048">
      <c r="A1048" s="31"/>
      <c r="C1048" s="31"/>
      <c r="D1048" s="31"/>
      <c r="H1048" s="31"/>
    </row>
    <row r="1049">
      <c r="A1049" s="31"/>
      <c r="C1049" s="31"/>
      <c r="D1049" s="31"/>
      <c r="H1049" s="31"/>
    </row>
    <row r="1050">
      <c r="A1050" s="31"/>
      <c r="C1050" s="31"/>
      <c r="D1050" s="31"/>
      <c r="H1050" s="31"/>
    </row>
    <row r="1051">
      <c r="A1051" s="31"/>
      <c r="C1051" s="31"/>
      <c r="D1051" s="31"/>
      <c r="H1051" s="31"/>
    </row>
    <row r="1052">
      <c r="A1052" s="31"/>
      <c r="C1052" s="31"/>
      <c r="D1052" s="31"/>
      <c r="H1052" s="31"/>
    </row>
    <row r="1053">
      <c r="A1053" s="31"/>
      <c r="C1053" s="31"/>
      <c r="D1053" s="31"/>
      <c r="H1053" s="31"/>
    </row>
    <row r="1054">
      <c r="A1054" s="31"/>
      <c r="C1054" s="31"/>
      <c r="D1054" s="31"/>
      <c r="H1054" s="31"/>
    </row>
    <row r="1055">
      <c r="A1055" s="31"/>
      <c r="C1055" s="31"/>
      <c r="D1055" s="31"/>
      <c r="H1055" s="31"/>
    </row>
    <row r="1056">
      <c r="A1056" s="31"/>
      <c r="C1056" s="31"/>
      <c r="D1056" s="31"/>
      <c r="H1056" s="31"/>
    </row>
    <row r="1057">
      <c r="A1057" s="31"/>
      <c r="C1057" s="31"/>
      <c r="D1057" s="31"/>
      <c r="H1057" s="31"/>
    </row>
    <row r="1058">
      <c r="A1058" s="31"/>
      <c r="C1058" s="31"/>
      <c r="D1058" s="31"/>
      <c r="H1058" s="31"/>
    </row>
    <row r="1059">
      <c r="A1059" s="31"/>
      <c r="C1059" s="31"/>
      <c r="D1059" s="31"/>
      <c r="H1059" s="31"/>
    </row>
    <row r="1060">
      <c r="A1060" s="31"/>
      <c r="C1060" s="31"/>
      <c r="D1060" s="31"/>
      <c r="H1060" s="31"/>
    </row>
    <row r="1061">
      <c r="A1061" s="31"/>
      <c r="C1061" s="31"/>
      <c r="D1061" s="31"/>
      <c r="H1061" s="31"/>
    </row>
    <row r="1062">
      <c r="A1062" s="31"/>
      <c r="C1062" s="31"/>
      <c r="D1062" s="31"/>
      <c r="H1062" s="31"/>
    </row>
    <row r="1063">
      <c r="A1063" s="31"/>
      <c r="C1063" s="31"/>
      <c r="D1063" s="31"/>
      <c r="H1063" s="31"/>
    </row>
    <row r="1064">
      <c r="A1064" s="31"/>
      <c r="C1064" s="31"/>
      <c r="D1064" s="31"/>
      <c r="H1064" s="31"/>
    </row>
    <row r="1065">
      <c r="A1065" s="31"/>
      <c r="C1065" s="31"/>
      <c r="D1065" s="31"/>
      <c r="H1065" s="31"/>
    </row>
    <row r="1066">
      <c r="A1066" s="31"/>
      <c r="C1066" s="31"/>
      <c r="D1066" s="31"/>
      <c r="H1066" s="31"/>
    </row>
    <row r="1067">
      <c r="A1067" s="31"/>
      <c r="C1067" s="31"/>
      <c r="D1067" s="31"/>
      <c r="H1067" s="31"/>
    </row>
    <row r="1068">
      <c r="A1068" s="31"/>
      <c r="C1068" s="31"/>
      <c r="D1068" s="31"/>
      <c r="H1068" s="31"/>
    </row>
    <row r="1069">
      <c r="A1069" s="31"/>
      <c r="C1069" s="31"/>
      <c r="D1069" s="31"/>
      <c r="H1069" s="31"/>
    </row>
    <row r="1070">
      <c r="A1070" s="31"/>
      <c r="C1070" s="31"/>
      <c r="D1070" s="31"/>
      <c r="H1070" s="31"/>
    </row>
    <row r="1071">
      <c r="A1071" s="31"/>
      <c r="C1071" s="31"/>
      <c r="D1071" s="31"/>
      <c r="H1071" s="31"/>
    </row>
    <row r="1072">
      <c r="A1072" s="31"/>
      <c r="C1072" s="31"/>
      <c r="D1072" s="31"/>
      <c r="H1072" s="31"/>
    </row>
    <row r="1073">
      <c r="A1073" s="31"/>
      <c r="C1073" s="31"/>
      <c r="D1073" s="31"/>
      <c r="H1073" s="31"/>
    </row>
    <row r="1074">
      <c r="A1074" s="31"/>
      <c r="C1074" s="31"/>
      <c r="D1074" s="31"/>
      <c r="H1074" s="31"/>
    </row>
    <row r="1075">
      <c r="A1075" s="31"/>
      <c r="C1075" s="31"/>
      <c r="D1075" s="31"/>
      <c r="H1075" s="31"/>
    </row>
    <row r="1076">
      <c r="A1076" s="31"/>
      <c r="C1076" s="31"/>
      <c r="D1076" s="31"/>
      <c r="H1076" s="31"/>
    </row>
    <row r="1077">
      <c r="A1077" s="31"/>
      <c r="C1077" s="31"/>
      <c r="D1077" s="31"/>
      <c r="H1077" s="31"/>
    </row>
    <row r="1078">
      <c r="A1078" s="31"/>
      <c r="C1078" s="31"/>
      <c r="D1078" s="31"/>
      <c r="H1078" s="31"/>
    </row>
    <row r="1079">
      <c r="A1079" s="31"/>
      <c r="C1079" s="31"/>
      <c r="D1079" s="31"/>
      <c r="H1079" s="31"/>
    </row>
    <row r="1080">
      <c r="A1080" s="31"/>
      <c r="C1080" s="31"/>
      <c r="D1080" s="31"/>
      <c r="H1080" s="31"/>
    </row>
    <row r="1081">
      <c r="A1081" s="31"/>
      <c r="C1081" s="31"/>
      <c r="D1081" s="31"/>
      <c r="H1081" s="31"/>
    </row>
    <row r="1082">
      <c r="A1082" s="31"/>
      <c r="C1082" s="31"/>
      <c r="D1082" s="31"/>
      <c r="H1082" s="31"/>
    </row>
    <row r="1083">
      <c r="A1083" s="31"/>
      <c r="C1083" s="31"/>
      <c r="D1083" s="31"/>
      <c r="H1083" s="31"/>
    </row>
    <row r="1084">
      <c r="A1084" s="31"/>
      <c r="C1084" s="31"/>
      <c r="D1084" s="31"/>
      <c r="H1084" s="31"/>
    </row>
    <row r="1085">
      <c r="A1085" s="31"/>
      <c r="C1085" s="31"/>
      <c r="D1085" s="31"/>
      <c r="H1085" s="31"/>
    </row>
    <row r="1086">
      <c r="A1086" s="31"/>
      <c r="C1086" s="31"/>
      <c r="D1086" s="31"/>
      <c r="H1086" s="31"/>
    </row>
    <row r="1087">
      <c r="A1087" s="31"/>
      <c r="C1087" s="31"/>
      <c r="D1087" s="31"/>
      <c r="H1087" s="31"/>
    </row>
    <row r="1088">
      <c r="A1088" s="31"/>
      <c r="C1088" s="31"/>
      <c r="D1088" s="31"/>
      <c r="H1088" s="31"/>
    </row>
    <row r="1089">
      <c r="A1089" s="31"/>
      <c r="C1089" s="31"/>
      <c r="D1089" s="31"/>
      <c r="H1089" s="31"/>
    </row>
    <row r="1090">
      <c r="A1090" s="31"/>
      <c r="C1090" s="31"/>
      <c r="D1090" s="31"/>
      <c r="H1090" s="31"/>
    </row>
    <row r="1091">
      <c r="A1091" s="31"/>
      <c r="C1091" s="31"/>
      <c r="D1091" s="31"/>
      <c r="H1091" s="31"/>
    </row>
    <row r="1092">
      <c r="A1092" s="31"/>
      <c r="C1092" s="31"/>
      <c r="D1092" s="31"/>
      <c r="H1092" s="31"/>
    </row>
    <row r="1093">
      <c r="A1093" s="31"/>
      <c r="C1093" s="31"/>
      <c r="D1093" s="31"/>
      <c r="H1093" s="31"/>
    </row>
    <row r="1094">
      <c r="A1094" s="31"/>
      <c r="C1094" s="31"/>
      <c r="D1094" s="31"/>
      <c r="H1094" s="31"/>
    </row>
    <row r="1095">
      <c r="A1095" s="31"/>
      <c r="C1095" s="31"/>
      <c r="D1095" s="31"/>
      <c r="H1095" s="31"/>
    </row>
    <row r="1096">
      <c r="A1096" s="31"/>
      <c r="C1096" s="31"/>
      <c r="D1096" s="31"/>
      <c r="H1096" s="31"/>
    </row>
    <row r="1097">
      <c r="A1097" s="31"/>
      <c r="C1097" s="31"/>
      <c r="D1097" s="31"/>
      <c r="H1097" s="31"/>
    </row>
    <row r="1098">
      <c r="A1098" s="31"/>
      <c r="C1098" s="31"/>
      <c r="D1098" s="31"/>
      <c r="H1098" s="31"/>
    </row>
    <row r="1099">
      <c r="A1099" s="31"/>
      <c r="C1099" s="31"/>
      <c r="D1099" s="31"/>
      <c r="H1099" s="31"/>
    </row>
    <row r="1100">
      <c r="A1100" s="31"/>
      <c r="C1100" s="31"/>
      <c r="D1100" s="31"/>
      <c r="H1100" s="31"/>
    </row>
    <row r="1101">
      <c r="A1101" s="31"/>
      <c r="C1101" s="31"/>
      <c r="D1101" s="31"/>
      <c r="H1101" s="31"/>
    </row>
    <row r="1102">
      <c r="A1102" s="31"/>
      <c r="C1102" s="31"/>
      <c r="D1102" s="31"/>
      <c r="H1102" s="31"/>
    </row>
    <row r="1103">
      <c r="A1103" s="31"/>
      <c r="C1103" s="31"/>
      <c r="D1103" s="31"/>
      <c r="H1103" s="31"/>
    </row>
    <row r="1104">
      <c r="A1104" s="31"/>
      <c r="C1104" s="31"/>
      <c r="D1104" s="31"/>
      <c r="H1104" s="31"/>
    </row>
    <row r="1105">
      <c r="A1105" s="31"/>
      <c r="C1105" s="31"/>
      <c r="D1105" s="31"/>
      <c r="H1105" s="31"/>
    </row>
    <row r="1106">
      <c r="A1106" s="31"/>
      <c r="C1106" s="31"/>
      <c r="D1106" s="31"/>
      <c r="H1106" s="31"/>
    </row>
    <row r="1107">
      <c r="A1107" s="31"/>
      <c r="C1107" s="31"/>
      <c r="D1107" s="31"/>
      <c r="H1107" s="31"/>
    </row>
    <row r="1108">
      <c r="A1108" s="31"/>
      <c r="C1108" s="31"/>
      <c r="D1108" s="31"/>
      <c r="H1108" s="31"/>
    </row>
    <row r="1109">
      <c r="A1109" s="31"/>
      <c r="C1109" s="31"/>
      <c r="D1109" s="31"/>
      <c r="H1109" s="31"/>
    </row>
    <row r="1110">
      <c r="A1110" s="31"/>
      <c r="C1110" s="31"/>
      <c r="D1110" s="31"/>
      <c r="H1110" s="31"/>
    </row>
    <row r="1111">
      <c r="A1111" s="31"/>
      <c r="C1111" s="31"/>
      <c r="D1111" s="31"/>
      <c r="H1111" s="31"/>
    </row>
    <row r="1112">
      <c r="A1112" s="31"/>
      <c r="C1112" s="31"/>
      <c r="D1112" s="31"/>
      <c r="H1112" s="31"/>
    </row>
    <row r="1113">
      <c r="A1113" s="31"/>
      <c r="C1113" s="31"/>
      <c r="D1113" s="31"/>
      <c r="H1113" s="31"/>
    </row>
    <row r="1114">
      <c r="A1114" s="31"/>
      <c r="C1114" s="31"/>
      <c r="D1114" s="31"/>
      <c r="H1114" s="31"/>
    </row>
    <row r="1115">
      <c r="A1115" s="31"/>
      <c r="C1115" s="31"/>
      <c r="D1115" s="31"/>
      <c r="H1115" s="31"/>
    </row>
    <row r="1116">
      <c r="A1116" s="31"/>
      <c r="C1116" s="31"/>
      <c r="D1116" s="31"/>
      <c r="H1116" s="31"/>
    </row>
    <row r="1117">
      <c r="A1117" s="31"/>
      <c r="C1117" s="31"/>
      <c r="D1117" s="31"/>
      <c r="H1117" s="31"/>
    </row>
    <row r="1118">
      <c r="A1118" s="31"/>
      <c r="C1118" s="31"/>
      <c r="D1118" s="31"/>
      <c r="H1118" s="31"/>
    </row>
    <row r="1119">
      <c r="A1119" s="31"/>
      <c r="C1119" s="31"/>
      <c r="D1119" s="31"/>
      <c r="H1119" s="31"/>
    </row>
    <row r="1120">
      <c r="A1120" s="31"/>
      <c r="C1120" s="31"/>
      <c r="D1120" s="31"/>
      <c r="H1120" s="31"/>
    </row>
    <row r="1121">
      <c r="A1121" s="31"/>
      <c r="C1121" s="31"/>
      <c r="D1121" s="31"/>
      <c r="H1121" s="31"/>
    </row>
    <row r="1122">
      <c r="A1122" s="31"/>
      <c r="C1122" s="31"/>
      <c r="D1122" s="31"/>
      <c r="H1122" s="31"/>
    </row>
    <row r="1123">
      <c r="A1123" s="31"/>
      <c r="C1123" s="31"/>
      <c r="D1123" s="31"/>
      <c r="H1123" s="31"/>
    </row>
    <row r="1124">
      <c r="A1124" s="31"/>
      <c r="C1124" s="31"/>
      <c r="D1124" s="31"/>
      <c r="H1124" s="31"/>
    </row>
    <row r="1125">
      <c r="A1125" s="31"/>
      <c r="C1125" s="31"/>
      <c r="D1125" s="31"/>
      <c r="H1125" s="31"/>
    </row>
    <row r="1126">
      <c r="A1126" s="31"/>
      <c r="C1126" s="31"/>
      <c r="D1126" s="31"/>
      <c r="H1126" s="31"/>
    </row>
    <row r="1127">
      <c r="A1127" s="31"/>
      <c r="C1127" s="31"/>
      <c r="D1127" s="31"/>
      <c r="H1127" s="31"/>
    </row>
    <row r="1128">
      <c r="A1128" s="31"/>
      <c r="C1128" s="31"/>
      <c r="D1128" s="31"/>
      <c r="H1128" s="31"/>
    </row>
    <row r="1129">
      <c r="A1129" s="31"/>
      <c r="C1129" s="31"/>
      <c r="D1129" s="31"/>
      <c r="H1129" s="31"/>
    </row>
    <row r="1130">
      <c r="A1130" s="31"/>
      <c r="C1130" s="31"/>
      <c r="D1130" s="31"/>
      <c r="H1130" s="31"/>
    </row>
    <row r="1131">
      <c r="A1131" s="31"/>
      <c r="C1131" s="31"/>
      <c r="D1131" s="31"/>
      <c r="H1131" s="31"/>
    </row>
    <row r="1132">
      <c r="A1132" s="31"/>
      <c r="C1132" s="31"/>
      <c r="D1132" s="31"/>
      <c r="H1132" s="31"/>
    </row>
    <row r="1133">
      <c r="A1133" s="31"/>
      <c r="C1133" s="31"/>
      <c r="D1133" s="31"/>
      <c r="H1133" s="31"/>
    </row>
    <row r="1134">
      <c r="A1134" s="31"/>
      <c r="C1134" s="31"/>
      <c r="D1134" s="31"/>
      <c r="H1134" s="31"/>
    </row>
    <row r="1135">
      <c r="A1135" s="31"/>
      <c r="C1135" s="31"/>
      <c r="D1135" s="31"/>
      <c r="H1135" s="31"/>
    </row>
    <row r="1136">
      <c r="A1136" s="31"/>
      <c r="C1136" s="31"/>
      <c r="D1136" s="31"/>
      <c r="H1136" s="31"/>
    </row>
    <row r="1137">
      <c r="A1137" s="31"/>
      <c r="C1137" s="31"/>
      <c r="D1137" s="31"/>
      <c r="H1137" s="31"/>
    </row>
    <row r="1138">
      <c r="A1138" s="31"/>
      <c r="C1138" s="31"/>
      <c r="D1138" s="31"/>
      <c r="H1138" s="31"/>
    </row>
    <row r="1139">
      <c r="A1139" s="31"/>
      <c r="C1139" s="31"/>
      <c r="D1139" s="31"/>
      <c r="H1139" s="31"/>
    </row>
    <row r="1140">
      <c r="A1140" s="31"/>
      <c r="C1140" s="31"/>
      <c r="D1140" s="31"/>
      <c r="H1140" s="31"/>
    </row>
    <row r="1141">
      <c r="A1141" s="31"/>
      <c r="C1141" s="31"/>
      <c r="D1141" s="31"/>
      <c r="H1141" s="31"/>
    </row>
    <row r="1142">
      <c r="A1142" s="31"/>
      <c r="C1142" s="31"/>
      <c r="D1142" s="31"/>
      <c r="H1142" s="31"/>
    </row>
    <row r="1143">
      <c r="A1143" s="31"/>
      <c r="C1143" s="31"/>
      <c r="D1143" s="31"/>
      <c r="H1143" s="31"/>
    </row>
    <row r="1144">
      <c r="A1144" s="31"/>
      <c r="C1144" s="31"/>
      <c r="D1144" s="31"/>
      <c r="H1144" s="31"/>
    </row>
    <row r="1145">
      <c r="A1145" s="31"/>
      <c r="C1145" s="31"/>
      <c r="D1145" s="31"/>
      <c r="H1145" s="31"/>
    </row>
    <row r="1146">
      <c r="A1146" s="31"/>
      <c r="C1146" s="31"/>
      <c r="D1146" s="31"/>
      <c r="H1146" s="31"/>
    </row>
    <row r="1147">
      <c r="A1147" s="31"/>
      <c r="C1147" s="31"/>
      <c r="D1147" s="31"/>
      <c r="H1147" s="31"/>
    </row>
    <row r="1148">
      <c r="A1148" s="31"/>
      <c r="C1148" s="31"/>
      <c r="D1148" s="31"/>
      <c r="H1148" s="31"/>
    </row>
    <row r="1149">
      <c r="A1149" s="31"/>
      <c r="C1149" s="31"/>
      <c r="D1149" s="31"/>
      <c r="H1149" s="31"/>
    </row>
    <row r="1150">
      <c r="A1150" s="31"/>
      <c r="C1150" s="31"/>
      <c r="D1150" s="31"/>
      <c r="H1150" s="31"/>
    </row>
    <row r="1151">
      <c r="A1151" s="31"/>
      <c r="C1151" s="31"/>
      <c r="D1151" s="31"/>
      <c r="H1151" s="31"/>
    </row>
    <row r="1152">
      <c r="A1152" s="31"/>
      <c r="C1152" s="31"/>
      <c r="D1152" s="31"/>
      <c r="H1152" s="31"/>
    </row>
    <row r="1153">
      <c r="A1153" s="31"/>
      <c r="C1153" s="31"/>
      <c r="D1153" s="31"/>
      <c r="H1153" s="31"/>
    </row>
    <row r="1154">
      <c r="A1154" s="31"/>
      <c r="C1154" s="31"/>
      <c r="D1154" s="31"/>
      <c r="H1154" s="31"/>
    </row>
    <row r="1155">
      <c r="A1155" s="31"/>
      <c r="C1155" s="31"/>
      <c r="D1155" s="31"/>
      <c r="H1155" s="31"/>
    </row>
    <row r="1156">
      <c r="A1156" s="31"/>
      <c r="C1156" s="31"/>
      <c r="D1156" s="31"/>
      <c r="H1156" s="31"/>
    </row>
    <row r="1157">
      <c r="A1157" s="31"/>
      <c r="C1157" s="31"/>
      <c r="D1157" s="31"/>
      <c r="H1157" s="31"/>
    </row>
    <row r="1158">
      <c r="A1158" s="31"/>
      <c r="C1158" s="31"/>
      <c r="D1158" s="31"/>
      <c r="H1158" s="31"/>
    </row>
    <row r="1159">
      <c r="A1159" s="31"/>
      <c r="C1159" s="31"/>
      <c r="D1159" s="31"/>
      <c r="H1159" s="31"/>
    </row>
    <row r="1160">
      <c r="A1160" s="31"/>
      <c r="C1160" s="31"/>
      <c r="D1160" s="31"/>
      <c r="H1160" s="31"/>
    </row>
    <row r="1161">
      <c r="A1161" s="31"/>
      <c r="C1161" s="31"/>
      <c r="D1161" s="31"/>
      <c r="H1161" s="31"/>
    </row>
    <row r="1162">
      <c r="A1162" s="31"/>
      <c r="C1162" s="31"/>
      <c r="D1162" s="31"/>
      <c r="H1162" s="31"/>
    </row>
    <row r="1163">
      <c r="A1163" s="31"/>
      <c r="C1163" s="31"/>
      <c r="D1163" s="31"/>
      <c r="H1163" s="31"/>
    </row>
    <row r="1164">
      <c r="A1164" s="31"/>
      <c r="C1164" s="31"/>
      <c r="D1164" s="31"/>
      <c r="H1164" s="31"/>
    </row>
    <row r="1165">
      <c r="A1165" s="31"/>
      <c r="C1165" s="31"/>
      <c r="D1165" s="31"/>
      <c r="H1165" s="31"/>
    </row>
    <row r="1166">
      <c r="A1166" s="31"/>
      <c r="C1166" s="31"/>
      <c r="D1166" s="31"/>
      <c r="H1166" s="31"/>
    </row>
    <row r="1167">
      <c r="A1167" s="31"/>
      <c r="C1167" s="31"/>
      <c r="D1167" s="31"/>
      <c r="H1167" s="31"/>
    </row>
    <row r="1168">
      <c r="A1168" s="31"/>
      <c r="C1168" s="31"/>
      <c r="D1168" s="31"/>
      <c r="H1168" s="31"/>
    </row>
    <row r="1169">
      <c r="A1169" s="31"/>
      <c r="C1169" s="31"/>
      <c r="D1169" s="31"/>
      <c r="H1169" s="31"/>
    </row>
    <row r="1170">
      <c r="A1170" s="31"/>
      <c r="C1170" s="31"/>
      <c r="D1170" s="31"/>
      <c r="H1170" s="31"/>
    </row>
    <row r="1171">
      <c r="A1171" s="31"/>
      <c r="C1171" s="31"/>
      <c r="D1171" s="31"/>
      <c r="H1171" s="31"/>
    </row>
    <row r="1172">
      <c r="A1172" s="31"/>
      <c r="C1172" s="31"/>
      <c r="D1172" s="31"/>
      <c r="H1172" s="31"/>
    </row>
    <row r="1173">
      <c r="A1173" s="31"/>
      <c r="C1173" s="31"/>
      <c r="D1173" s="31"/>
      <c r="H1173" s="31"/>
    </row>
    <row r="1174">
      <c r="A1174" s="31"/>
      <c r="C1174" s="31"/>
      <c r="D1174" s="31"/>
      <c r="H1174" s="31"/>
    </row>
    <row r="1175">
      <c r="A1175" s="31"/>
      <c r="C1175" s="31"/>
      <c r="D1175" s="31"/>
      <c r="H1175" s="31"/>
    </row>
    <row r="1176">
      <c r="A1176" s="31"/>
      <c r="C1176" s="31"/>
      <c r="D1176" s="31"/>
      <c r="H1176" s="31"/>
    </row>
    <row r="1177">
      <c r="A1177" s="31"/>
      <c r="C1177" s="31"/>
      <c r="D1177" s="31"/>
      <c r="H1177" s="31"/>
    </row>
    <row r="1178">
      <c r="A1178" s="31"/>
      <c r="C1178" s="31"/>
      <c r="D1178" s="31"/>
      <c r="H1178" s="31"/>
    </row>
    <row r="1179">
      <c r="A1179" s="31"/>
      <c r="C1179" s="31"/>
      <c r="D1179" s="31"/>
      <c r="H1179" s="31"/>
    </row>
    <row r="1180">
      <c r="A1180" s="31"/>
      <c r="C1180" s="31"/>
      <c r="D1180" s="31"/>
      <c r="H1180" s="31"/>
    </row>
    <row r="1181">
      <c r="A1181" s="31"/>
      <c r="C1181" s="31"/>
      <c r="D1181" s="31"/>
      <c r="H1181" s="31"/>
    </row>
    <row r="1182">
      <c r="A1182" s="31"/>
      <c r="C1182" s="31"/>
      <c r="D1182" s="31"/>
      <c r="H1182" s="31"/>
    </row>
    <row r="1183">
      <c r="A1183" s="31"/>
      <c r="C1183" s="31"/>
      <c r="D1183" s="31"/>
      <c r="H1183" s="31"/>
    </row>
    <row r="1184">
      <c r="A1184" s="31"/>
      <c r="C1184" s="31"/>
      <c r="D1184" s="31"/>
      <c r="H1184" s="31"/>
    </row>
    <row r="1185">
      <c r="A1185" s="31"/>
      <c r="C1185" s="31"/>
      <c r="D1185" s="31"/>
      <c r="H1185" s="31"/>
    </row>
    <row r="1186">
      <c r="A1186" s="31"/>
      <c r="C1186" s="31"/>
      <c r="D1186" s="31"/>
      <c r="H1186" s="31"/>
    </row>
    <row r="1187">
      <c r="A1187" s="31"/>
      <c r="C1187" s="31"/>
      <c r="D1187" s="31"/>
      <c r="H1187" s="31"/>
    </row>
    <row r="1188">
      <c r="A1188" s="31"/>
      <c r="C1188" s="31"/>
      <c r="D1188" s="31"/>
      <c r="H1188" s="31"/>
    </row>
    <row r="1189">
      <c r="A1189" s="31"/>
      <c r="C1189" s="31"/>
      <c r="D1189" s="31"/>
      <c r="H1189" s="31"/>
    </row>
    <row r="1190">
      <c r="A1190" s="31"/>
      <c r="C1190" s="31"/>
      <c r="D1190" s="31"/>
      <c r="H1190" s="31"/>
    </row>
    <row r="1191">
      <c r="A1191" s="31"/>
      <c r="C1191" s="31"/>
      <c r="D1191" s="31"/>
      <c r="H1191" s="31"/>
    </row>
    <row r="1192">
      <c r="A1192" s="31"/>
      <c r="C1192" s="31"/>
      <c r="D1192" s="31"/>
      <c r="H1192" s="31"/>
    </row>
    <row r="1193">
      <c r="A1193" s="31"/>
      <c r="C1193" s="31"/>
      <c r="D1193" s="31"/>
      <c r="H1193" s="31"/>
    </row>
    <row r="1194">
      <c r="A1194" s="31"/>
      <c r="C1194" s="31"/>
      <c r="D1194" s="31"/>
      <c r="H1194" s="31"/>
    </row>
    <row r="1195">
      <c r="A1195" s="31"/>
      <c r="C1195" s="31"/>
      <c r="D1195" s="31"/>
      <c r="H1195" s="31"/>
    </row>
    <row r="1196">
      <c r="A1196" s="31"/>
      <c r="C1196" s="31"/>
      <c r="D1196" s="31"/>
      <c r="H1196" s="31"/>
    </row>
    <row r="1197">
      <c r="A1197" s="31"/>
      <c r="C1197" s="31"/>
      <c r="D1197" s="31"/>
      <c r="H1197" s="31"/>
    </row>
    <row r="1198">
      <c r="A1198" s="31"/>
      <c r="C1198" s="31"/>
      <c r="D1198" s="31"/>
      <c r="H1198" s="31"/>
    </row>
    <row r="1199">
      <c r="A1199" s="31"/>
      <c r="C1199" s="31"/>
      <c r="D1199" s="31"/>
      <c r="H1199" s="31"/>
    </row>
    <row r="1200">
      <c r="A1200" s="31"/>
      <c r="C1200" s="31"/>
      <c r="D1200" s="31"/>
      <c r="H1200" s="31"/>
    </row>
    <row r="1201">
      <c r="A1201" s="31"/>
      <c r="C1201" s="31"/>
      <c r="D1201" s="31"/>
      <c r="H1201" s="31"/>
    </row>
    <row r="1202">
      <c r="A1202" s="31"/>
      <c r="C1202" s="31"/>
      <c r="D1202" s="31"/>
      <c r="H1202" s="31"/>
    </row>
    <row r="1203">
      <c r="A1203" s="31"/>
      <c r="C1203" s="31"/>
      <c r="D1203" s="31"/>
      <c r="H1203" s="31"/>
    </row>
    <row r="1204">
      <c r="A1204" s="31"/>
      <c r="C1204" s="31"/>
      <c r="D1204" s="31"/>
      <c r="H1204" s="31"/>
    </row>
    <row r="1205">
      <c r="A1205" s="31"/>
      <c r="C1205" s="31"/>
      <c r="D1205" s="31"/>
      <c r="H1205" s="31"/>
    </row>
    <row r="1206">
      <c r="A1206" s="31"/>
      <c r="C1206" s="31"/>
      <c r="D1206" s="31"/>
      <c r="H1206" s="31"/>
    </row>
    <row r="1207">
      <c r="A1207" s="31"/>
      <c r="C1207" s="31"/>
      <c r="D1207" s="31"/>
      <c r="H1207" s="31"/>
    </row>
    <row r="1208">
      <c r="A1208" s="31"/>
      <c r="C1208" s="31"/>
      <c r="D1208" s="31"/>
      <c r="H1208" s="31"/>
    </row>
    <row r="1209">
      <c r="A1209" s="31"/>
      <c r="C1209" s="31"/>
      <c r="D1209" s="31"/>
      <c r="H1209" s="31"/>
    </row>
    <row r="1210">
      <c r="A1210" s="31"/>
      <c r="C1210" s="31"/>
      <c r="D1210" s="31"/>
      <c r="H1210" s="31"/>
    </row>
    <row r="1211">
      <c r="A1211" s="31"/>
      <c r="C1211" s="31"/>
      <c r="D1211" s="31"/>
      <c r="H1211" s="31"/>
    </row>
    <row r="1212">
      <c r="A1212" s="31"/>
      <c r="C1212" s="31"/>
      <c r="D1212" s="31"/>
      <c r="H1212" s="31"/>
    </row>
    <row r="1213">
      <c r="A1213" s="31"/>
      <c r="C1213" s="31"/>
      <c r="D1213" s="31"/>
      <c r="H1213" s="31"/>
    </row>
    <row r="1214">
      <c r="A1214" s="31"/>
      <c r="C1214" s="31"/>
      <c r="D1214" s="31"/>
      <c r="H1214" s="31"/>
    </row>
    <row r="1215">
      <c r="A1215" s="31"/>
      <c r="C1215" s="31"/>
      <c r="D1215" s="31"/>
      <c r="H1215" s="31"/>
    </row>
    <row r="1216">
      <c r="A1216" s="31"/>
      <c r="C1216" s="31"/>
      <c r="D1216" s="31"/>
      <c r="H1216" s="31"/>
    </row>
    <row r="1217">
      <c r="A1217" s="31"/>
      <c r="C1217" s="31"/>
      <c r="D1217" s="31"/>
      <c r="H1217" s="31"/>
    </row>
    <row r="1218">
      <c r="A1218" s="31"/>
      <c r="C1218" s="31"/>
      <c r="D1218" s="31"/>
      <c r="H1218" s="31"/>
    </row>
    <row r="1219">
      <c r="A1219" s="31"/>
      <c r="C1219" s="31"/>
      <c r="D1219" s="31"/>
      <c r="H1219" s="31"/>
    </row>
    <row r="1220">
      <c r="A1220" s="31"/>
      <c r="C1220" s="31"/>
      <c r="D1220" s="31"/>
      <c r="H1220" s="31"/>
    </row>
    <row r="1221">
      <c r="A1221" s="31"/>
      <c r="C1221" s="31"/>
      <c r="D1221" s="31"/>
      <c r="H1221" s="31"/>
    </row>
    <row r="1222">
      <c r="A1222" s="31"/>
      <c r="C1222" s="31"/>
      <c r="D1222" s="31"/>
      <c r="H1222" s="31"/>
    </row>
    <row r="1223">
      <c r="A1223" s="31"/>
      <c r="C1223" s="31"/>
      <c r="D1223" s="31"/>
      <c r="H1223" s="31"/>
    </row>
    <row r="1224">
      <c r="A1224" s="31"/>
      <c r="C1224" s="31"/>
      <c r="D1224" s="31"/>
      <c r="H1224" s="31"/>
    </row>
    <row r="1225">
      <c r="A1225" s="31"/>
      <c r="C1225" s="31"/>
      <c r="D1225" s="31"/>
      <c r="H1225" s="31"/>
    </row>
    <row r="1226">
      <c r="A1226" s="31"/>
      <c r="C1226" s="31"/>
      <c r="D1226" s="31"/>
      <c r="H1226" s="31"/>
    </row>
    <row r="1227">
      <c r="A1227" s="31"/>
      <c r="C1227" s="31"/>
      <c r="D1227" s="31"/>
      <c r="H1227" s="31"/>
    </row>
    <row r="1228">
      <c r="A1228" s="31"/>
      <c r="C1228" s="31"/>
      <c r="D1228" s="31"/>
      <c r="H1228" s="31"/>
    </row>
    <row r="1229">
      <c r="A1229" s="31"/>
      <c r="C1229" s="31"/>
      <c r="D1229" s="31"/>
      <c r="H1229" s="31"/>
    </row>
    <row r="1230">
      <c r="A1230" s="31"/>
      <c r="C1230" s="31"/>
      <c r="D1230" s="31"/>
      <c r="H1230" s="31"/>
    </row>
    <row r="1231">
      <c r="A1231" s="31"/>
      <c r="C1231" s="31"/>
      <c r="D1231" s="31"/>
      <c r="H1231" s="31"/>
    </row>
    <row r="1232">
      <c r="A1232" s="31"/>
      <c r="C1232" s="31"/>
      <c r="D1232" s="31"/>
      <c r="H1232" s="31"/>
    </row>
    <row r="1233">
      <c r="A1233" s="31"/>
      <c r="C1233" s="31"/>
      <c r="D1233" s="31"/>
      <c r="H1233" s="31"/>
    </row>
    <row r="1234">
      <c r="A1234" s="31"/>
      <c r="C1234" s="31"/>
      <c r="D1234" s="31"/>
      <c r="H1234" s="31"/>
    </row>
    <row r="1235">
      <c r="A1235" s="31"/>
      <c r="C1235" s="31"/>
      <c r="D1235" s="31"/>
      <c r="H1235" s="31"/>
    </row>
    <row r="1236">
      <c r="A1236" s="31"/>
      <c r="C1236" s="31"/>
      <c r="D1236" s="31"/>
      <c r="H1236" s="31"/>
    </row>
    <row r="1237">
      <c r="A1237" s="31"/>
      <c r="C1237" s="31"/>
      <c r="D1237" s="31"/>
      <c r="H1237" s="31"/>
    </row>
    <row r="1238">
      <c r="A1238" s="31"/>
      <c r="C1238" s="31"/>
      <c r="D1238" s="31"/>
      <c r="H1238" s="31"/>
    </row>
    <row r="1239">
      <c r="A1239" s="31"/>
      <c r="C1239" s="31"/>
      <c r="D1239" s="31"/>
      <c r="H1239" s="31"/>
    </row>
    <row r="1240">
      <c r="A1240" s="31"/>
      <c r="C1240" s="31"/>
      <c r="D1240" s="31"/>
      <c r="H1240" s="31"/>
    </row>
    <row r="1241">
      <c r="A1241" s="31"/>
      <c r="C1241" s="31"/>
      <c r="D1241" s="31"/>
      <c r="H1241" s="31"/>
    </row>
    <row r="1242">
      <c r="A1242" s="31"/>
      <c r="C1242" s="31"/>
      <c r="D1242" s="31"/>
      <c r="H1242" s="31"/>
    </row>
    <row r="1243">
      <c r="A1243" s="31"/>
      <c r="C1243" s="31"/>
      <c r="D1243" s="31"/>
      <c r="H1243" s="31"/>
    </row>
    <row r="1244">
      <c r="A1244" s="31"/>
      <c r="C1244" s="31"/>
      <c r="D1244" s="31"/>
      <c r="H1244" s="31"/>
    </row>
    <row r="1245">
      <c r="A1245" s="31"/>
      <c r="C1245" s="31"/>
      <c r="D1245" s="31"/>
      <c r="H1245" s="31"/>
    </row>
    <row r="1246">
      <c r="A1246" s="31"/>
      <c r="C1246" s="31"/>
      <c r="D1246" s="31"/>
      <c r="H1246" s="31"/>
    </row>
    <row r="1247">
      <c r="A1247" s="31"/>
      <c r="C1247" s="31"/>
      <c r="D1247" s="31"/>
      <c r="H1247" s="31"/>
    </row>
    <row r="1248">
      <c r="A1248" s="31"/>
      <c r="C1248" s="31"/>
      <c r="D1248" s="31"/>
      <c r="H1248" s="31"/>
    </row>
    <row r="1249">
      <c r="A1249" s="31"/>
      <c r="C1249" s="31"/>
      <c r="D1249" s="31"/>
      <c r="H1249" s="31"/>
    </row>
    <row r="1250">
      <c r="A1250" s="31"/>
      <c r="C1250" s="31"/>
      <c r="D1250" s="31"/>
      <c r="H1250" s="31"/>
    </row>
    <row r="1251">
      <c r="A1251" s="31"/>
      <c r="C1251" s="31"/>
      <c r="D1251" s="31"/>
      <c r="H1251" s="31"/>
    </row>
    <row r="1252">
      <c r="A1252" s="31"/>
      <c r="C1252" s="31"/>
      <c r="D1252" s="31"/>
      <c r="H1252" s="31"/>
    </row>
    <row r="1253">
      <c r="A1253" s="31"/>
      <c r="C1253" s="31"/>
      <c r="D1253" s="31"/>
      <c r="H1253" s="31"/>
    </row>
    <row r="1254">
      <c r="A1254" s="31"/>
      <c r="C1254" s="31"/>
      <c r="D1254" s="31"/>
      <c r="H1254" s="31"/>
    </row>
    <row r="1255">
      <c r="A1255" s="31"/>
      <c r="C1255" s="31"/>
      <c r="D1255" s="31"/>
      <c r="H1255" s="31"/>
    </row>
    <row r="1256">
      <c r="A1256" s="31"/>
      <c r="C1256" s="31"/>
      <c r="D1256" s="31"/>
      <c r="H1256" s="31"/>
    </row>
    <row r="1257">
      <c r="A1257" s="31"/>
      <c r="C1257" s="31"/>
      <c r="D1257" s="31"/>
      <c r="H1257" s="31"/>
    </row>
    <row r="1258">
      <c r="A1258" s="31"/>
      <c r="C1258" s="31"/>
      <c r="D1258" s="31"/>
      <c r="H1258" s="31"/>
    </row>
    <row r="1259">
      <c r="A1259" s="31"/>
      <c r="C1259" s="31"/>
      <c r="D1259" s="31"/>
      <c r="H1259" s="31"/>
    </row>
    <row r="1260">
      <c r="A1260" s="31"/>
      <c r="C1260" s="31"/>
      <c r="D1260" s="31"/>
      <c r="H1260" s="31"/>
    </row>
    <row r="1261">
      <c r="A1261" s="31"/>
      <c r="C1261" s="31"/>
      <c r="D1261" s="31"/>
      <c r="H1261" s="31"/>
    </row>
    <row r="1262">
      <c r="A1262" s="31"/>
      <c r="C1262" s="31"/>
      <c r="D1262" s="31"/>
      <c r="H1262" s="31"/>
    </row>
    <row r="1263">
      <c r="A1263" s="31"/>
      <c r="C1263" s="31"/>
      <c r="D1263" s="31"/>
      <c r="H1263" s="31"/>
    </row>
    <row r="1264">
      <c r="A1264" s="31"/>
      <c r="C1264" s="31"/>
      <c r="D1264" s="31"/>
      <c r="H1264" s="31"/>
    </row>
    <row r="1265">
      <c r="A1265" s="31"/>
      <c r="C1265" s="31"/>
      <c r="D1265" s="31"/>
      <c r="H1265" s="31"/>
    </row>
    <row r="1266">
      <c r="A1266" s="31"/>
      <c r="C1266" s="31"/>
      <c r="D1266" s="31"/>
      <c r="H1266" s="31"/>
    </row>
    <row r="1267">
      <c r="A1267" s="31"/>
      <c r="C1267" s="31"/>
      <c r="D1267" s="31"/>
      <c r="H1267" s="31"/>
    </row>
    <row r="1268">
      <c r="A1268" s="31"/>
      <c r="C1268" s="31"/>
      <c r="D1268" s="31"/>
      <c r="H1268" s="31"/>
    </row>
    <row r="1269">
      <c r="A1269" s="31"/>
      <c r="C1269" s="31"/>
      <c r="D1269" s="31"/>
      <c r="H1269" s="31"/>
    </row>
    <row r="1270">
      <c r="A1270" s="31"/>
      <c r="C1270" s="31"/>
      <c r="D1270" s="31"/>
      <c r="H1270" s="31"/>
    </row>
    <row r="1271">
      <c r="A1271" s="31"/>
      <c r="C1271" s="31"/>
      <c r="D1271" s="31"/>
      <c r="H1271" s="31"/>
    </row>
    <row r="1272">
      <c r="A1272" s="31"/>
      <c r="C1272" s="31"/>
      <c r="D1272" s="31"/>
      <c r="H1272" s="31"/>
    </row>
    <row r="1273">
      <c r="A1273" s="31"/>
      <c r="C1273" s="31"/>
      <c r="D1273" s="31"/>
      <c r="H1273" s="31"/>
    </row>
    <row r="1274">
      <c r="A1274" s="31"/>
      <c r="C1274" s="31"/>
      <c r="D1274" s="31"/>
      <c r="H1274" s="31"/>
    </row>
    <row r="1275">
      <c r="A1275" s="31"/>
      <c r="C1275" s="31"/>
      <c r="D1275" s="31"/>
      <c r="H1275" s="31"/>
    </row>
    <row r="1276">
      <c r="A1276" s="31"/>
      <c r="C1276" s="31"/>
      <c r="D1276" s="31"/>
      <c r="H1276" s="31"/>
    </row>
    <row r="1277">
      <c r="A1277" s="31"/>
      <c r="C1277" s="31"/>
      <c r="D1277" s="31"/>
      <c r="H1277" s="31"/>
    </row>
    <row r="1278">
      <c r="A1278" s="31"/>
      <c r="C1278" s="31"/>
      <c r="D1278" s="31"/>
      <c r="H1278" s="31"/>
    </row>
    <row r="1279">
      <c r="A1279" s="31"/>
      <c r="C1279" s="31"/>
      <c r="D1279" s="31"/>
      <c r="H1279" s="31"/>
    </row>
    <row r="1280">
      <c r="A1280" s="31"/>
      <c r="C1280" s="31"/>
      <c r="D1280" s="31"/>
      <c r="H1280" s="31"/>
    </row>
    <row r="1281">
      <c r="A1281" s="31"/>
      <c r="C1281" s="31"/>
      <c r="D1281" s="31"/>
      <c r="H1281" s="31"/>
    </row>
    <row r="1282">
      <c r="A1282" s="31"/>
      <c r="C1282" s="31"/>
      <c r="D1282" s="31"/>
      <c r="H1282" s="31"/>
    </row>
    <row r="1283">
      <c r="A1283" s="31"/>
      <c r="C1283" s="31"/>
      <c r="D1283" s="31"/>
      <c r="H1283" s="31"/>
    </row>
    <row r="1284">
      <c r="A1284" s="31"/>
      <c r="C1284" s="31"/>
      <c r="D1284" s="31"/>
      <c r="H1284" s="31"/>
    </row>
    <row r="1285">
      <c r="A1285" s="31"/>
      <c r="C1285" s="31"/>
      <c r="D1285" s="31"/>
      <c r="H1285" s="31"/>
    </row>
    <row r="1286">
      <c r="A1286" s="31"/>
      <c r="C1286" s="31"/>
      <c r="D1286" s="31"/>
      <c r="H1286" s="31"/>
    </row>
    <row r="1287">
      <c r="A1287" s="31"/>
      <c r="C1287" s="31"/>
      <c r="D1287" s="31"/>
      <c r="H1287" s="31"/>
    </row>
    <row r="1288">
      <c r="A1288" s="31"/>
      <c r="C1288" s="31"/>
      <c r="D1288" s="31"/>
      <c r="H1288" s="31"/>
    </row>
    <row r="1289">
      <c r="A1289" s="31"/>
      <c r="C1289" s="31"/>
      <c r="D1289" s="31"/>
      <c r="H1289" s="31"/>
    </row>
    <row r="1290">
      <c r="A1290" s="31"/>
      <c r="C1290" s="31"/>
      <c r="D1290" s="31"/>
      <c r="H1290" s="31"/>
    </row>
    <row r="1291">
      <c r="A1291" s="31"/>
      <c r="C1291" s="31"/>
      <c r="D1291" s="31"/>
      <c r="H1291" s="31"/>
    </row>
    <row r="1292">
      <c r="A1292" s="31"/>
      <c r="C1292" s="31"/>
      <c r="D1292" s="31"/>
      <c r="H1292" s="31"/>
    </row>
    <row r="1293">
      <c r="A1293" s="31"/>
      <c r="C1293" s="31"/>
      <c r="D1293" s="31"/>
      <c r="H1293" s="31"/>
    </row>
    <row r="1294">
      <c r="A1294" s="31"/>
      <c r="C1294" s="31"/>
      <c r="D1294" s="31"/>
      <c r="H1294" s="31"/>
    </row>
    <row r="1295">
      <c r="A1295" s="31"/>
      <c r="C1295" s="31"/>
      <c r="D1295" s="31"/>
      <c r="H1295" s="31"/>
    </row>
    <row r="1296">
      <c r="A1296" s="31"/>
      <c r="C1296" s="31"/>
      <c r="D1296" s="31"/>
      <c r="H1296" s="31"/>
    </row>
    <row r="1297">
      <c r="A1297" s="31"/>
      <c r="C1297" s="31"/>
      <c r="D1297" s="31"/>
      <c r="H1297" s="31"/>
    </row>
    <row r="1298">
      <c r="A1298" s="31"/>
      <c r="C1298" s="31"/>
      <c r="D1298" s="31"/>
      <c r="H1298" s="31"/>
    </row>
    <row r="1299">
      <c r="A1299" s="31"/>
      <c r="C1299" s="31"/>
      <c r="D1299" s="31"/>
      <c r="H1299" s="31"/>
    </row>
    <row r="1300">
      <c r="A1300" s="31"/>
      <c r="C1300" s="31"/>
      <c r="D1300" s="31"/>
      <c r="H1300" s="31"/>
    </row>
    <row r="1301">
      <c r="A1301" s="31"/>
      <c r="C1301" s="31"/>
      <c r="D1301" s="31"/>
      <c r="H1301" s="31"/>
    </row>
    <row r="1302">
      <c r="A1302" s="31"/>
      <c r="C1302" s="31"/>
      <c r="D1302" s="31"/>
      <c r="H1302" s="31"/>
    </row>
    <row r="1303">
      <c r="A1303" s="31"/>
      <c r="C1303" s="31"/>
      <c r="D1303" s="31"/>
      <c r="H1303" s="31"/>
    </row>
    <row r="1304">
      <c r="A1304" s="31"/>
      <c r="C1304" s="31"/>
      <c r="D1304" s="31"/>
      <c r="H1304" s="31"/>
    </row>
    <row r="1305">
      <c r="A1305" s="31"/>
      <c r="C1305" s="31"/>
      <c r="D1305" s="31"/>
      <c r="H1305" s="31"/>
    </row>
    <row r="1306">
      <c r="A1306" s="31"/>
      <c r="C1306" s="31"/>
      <c r="D1306" s="31"/>
      <c r="H1306" s="31"/>
    </row>
    <row r="1307">
      <c r="A1307" s="31"/>
      <c r="C1307" s="31"/>
      <c r="D1307" s="31"/>
      <c r="H1307" s="31"/>
    </row>
    <row r="1308">
      <c r="A1308" s="31"/>
      <c r="C1308" s="31"/>
      <c r="D1308" s="31"/>
      <c r="H1308" s="31"/>
    </row>
    <row r="1309">
      <c r="A1309" s="31"/>
      <c r="C1309" s="31"/>
      <c r="D1309" s="31"/>
      <c r="H1309" s="31"/>
    </row>
    <row r="1310">
      <c r="A1310" s="31"/>
      <c r="C1310" s="31"/>
      <c r="D1310" s="31"/>
      <c r="H1310" s="31"/>
    </row>
    <row r="1311">
      <c r="A1311" s="31"/>
      <c r="C1311" s="31"/>
      <c r="D1311" s="31"/>
      <c r="H1311" s="31"/>
    </row>
    <row r="1312">
      <c r="A1312" s="31"/>
      <c r="C1312" s="31"/>
      <c r="D1312" s="31"/>
      <c r="H1312" s="31"/>
    </row>
    <row r="1313">
      <c r="A1313" s="31"/>
      <c r="C1313" s="31"/>
      <c r="D1313" s="31"/>
      <c r="H1313" s="31"/>
    </row>
    <row r="1314">
      <c r="A1314" s="31"/>
      <c r="C1314" s="31"/>
      <c r="D1314" s="31"/>
      <c r="H1314" s="31"/>
    </row>
    <row r="1315">
      <c r="A1315" s="31"/>
      <c r="C1315" s="31"/>
      <c r="D1315" s="31"/>
      <c r="H1315" s="31"/>
    </row>
    <row r="1316">
      <c r="A1316" s="31"/>
      <c r="C1316" s="31"/>
      <c r="D1316" s="31"/>
      <c r="H1316" s="31"/>
    </row>
    <row r="1317">
      <c r="A1317" s="31"/>
      <c r="C1317" s="31"/>
      <c r="D1317" s="31"/>
      <c r="H1317" s="31"/>
    </row>
    <row r="1318">
      <c r="A1318" s="31"/>
      <c r="C1318" s="31"/>
      <c r="D1318" s="31"/>
      <c r="H1318" s="31"/>
    </row>
    <row r="1319">
      <c r="A1319" s="31"/>
      <c r="C1319" s="31"/>
      <c r="D1319" s="31"/>
      <c r="H1319" s="31"/>
    </row>
    <row r="1320">
      <c r="A1320" s="31"/>
      <c r="C1320" s="31"/>
      <c r="D1320" s="31"/>
      <c r="H1320" s="31"/>
    </row>
    <row r="1321">
      <c r="A1321" s="31"/>
      <c r="C1321" s="31"/>
      <c r="D1321" s="31"/>
      <c r="H1321" s="31"/>
    </row>
    <row r="1322">
      <c r="A1322" s="31"/>
      <c r="C1322" s="31"/>
      <c r="D1322" s="31"/>
      <c r="H1322" s="31"/>
    </row>
    <row r="1323">
      <c r="A1323" s="31"/>
      <c r="C1323" s="31"/>
      <c r="D1323" s="31"/>
      <c r="H1323" s="31"/>
    </row>
    <row r="1324">
      <c r="A1324" s="31"/>
      <c r="C1324" s="31"/>
      <c r="D1324" s="31"/>
      <c r="H1324" s="31"/>
    </row>
    <row r="1325">
      <c r="A1325" s="31"/>
      <c r="C1325" s="31"/>
      <c r="D1325" s="31"/>
      <c r="H1325" s="31"/>
    </row>
    <row r="1326">
      <c r="A1326" s="31"/>
      <c r="C1326" s="31"/>
      <c r="D1326" s="31"/>
      <c r="H1326" s="31"/>
    </row>
    <row r="1327">
      <c r="A1327" s="31"/>
      <c r="C1327" s="31"/>
      <c r="D1327" s="31"/>
      <c r="H1327" s="31"/>
    </row>
    <row r="1328">
      <c r="A1328" s="31"/>
      <c r="C1328" s="31"/>
      <c r="D1328" s="31"/>
      <c r="H1328" s="31"/>
    </row>
    <row r="1329">
      <c r="A1329" s="31"/>
      <c r="C1329" s="31"/>
      <c r="D1329" s="31"/>
      <c r="H1329" s="31"/>
    </row>
    <row r="1330">
      <c r="A1330" s="31"/>
      <c r="C1330" s="31"/>
      <c r="D1330" s="31"/>
      <c r="H1330" s="31"/>
    </row>
    <row r="1331">
      <c r="A1331" s="31"/>
      <c r="C1331" s="31"/>
      <c r="D1331" s="31"/>
      <c r="H1331" s="31"/>
    </row>
    <row r="1332">
      <c r="A1332" s="31"/>
      <c r="C1332" s="31"/>
      <c r="D1332" s="31"/>
      <c r="H1332" s="31"/>
    </row>
    <row r="1333">
      <c r="A1333" s="31"/>
      <c r="C1333" s="31"/>
      <c r="D1333" s="31"/>
      <c r="H1333" s="31"/>
    </row>
    <row r="1334">
      <c r="A1334" s="31"/>
      <c r="C1334" s="31"/>
      <c r="D1334" s="31"/>
      <c r="H1334" s="31"/>
    </row>
    <row r="1335">
      <c r="A1335" s="31"/>
      <c r="C1335" s="31"/>
      <c r="D1335" s="31"/>
      <c r="H1335" s="31"/>
    </row>
    <row r="1336">
      <c r="A1336" s="31"/>
      <c r="C1336" s="31"/>
      <c r="D1336" s="31"/>
      <c r="H1336" s="31"/>
    </row>
    <row r="1337">
      <c r="A1337" s="31"/>
      <c r="C1337" s="31"/>
      <c r="D1337" s="31"/>
      <c r="H1337" s="31"/>
    </row>
    <row r="1338">
      <c r="A1338" s="31"/>
      <c r="C1338" s="31"/>
      <c r="D1338" s="31"/>
      <c r="H1338" s="31"/>
    </row>
    <row r="1339">
      <c r="A1339" s="31"/>
      <c r="C1339" s="31"/>
      <c r="D1339" s="31"/>
      <c r="H1339" s="31"/>
    </row>
    <row r="1340">
      <c r="A1340" s="31"/>
      <c r="C1340" s="31"/>
      <c r="D1340" s="31"/>
      <c r="H1340" s="31"/>
    </row>
    <row r="1341">
      <c r="A1341" s="31"/>
      <c r="C1341" s="31"/>
      <c r="D1341" s="31"/>
      <c r="H1341" s="31"/>
    </row>
    <row r="1342">
      <c r="A1342" s="31"/>
      <c r="C1342" s="31"/>
      <c r="D1342" s="31"/>
      <c r="H1342" s="31"/>
    </row>
    <row r="1343">
      <c r="A1343" s="31"/>
      <c r="C1343" s="31"/>
      <c r="D1343" s="31"/>
      <c r="H1343" s="31"/>
    </row>
    <row r="1344">
      <c r="A1344" s="31"/>
      <c r="C1344" s="31"/>
      <c r="D1344" s="31"/>
      <c r="H1344" s="31"/>
    </row>
    <row r="1345">
      <c r="A1345" s="31"/>
      <c r="C1345" s="31"/>
      <c r="D1345" s="31"/>
      <c r="H1345" s="31"/>
    </row>
    <row r="1346">
      <c r="A1346" s="31"/>
      <c r="C1346" s="31"/>
      <c r="D1346" s="31"/>
      <c r="H1346" s="31"/>
    </row>
    <row r="1347">
      <c r="A1347" s="31"/>
      <c r="C1347" s="31"/>
      <c r="D1347" s="31"/>
      <c r="H1347" s="31"/>
    </row>
    <row r="1348">
      <c r="A1348" s="31"/>
      <c r="C1348" s="31"/>
      <c r="D1348" s="31"/>
      <c r="H1348" s="31"/>
    </row>
    <row r="1349">
      <c r="A1349" s="31"/>
      <c r="C1349" s="31"/>
      <c r="D1349" s="31"/>
      <c r="H1349" s="31"/>
    </row>
    <row r="1350">
      <c r="A1350" s="31"/>
      <c r="C1350" s="31"/>
      <c r="D1350" s="31"/>
      <c r="H1350" s="31"/>
    </row>
    <row r="1351">
      <c r="A1351" s="31"/>
      <c r="C1351" s="31"/>
      <c r="D1351" s="31"/>
      <c r="H1351" s="31"/>
    </row>
    <row r="1352">
      <c r="A1352" s="31"/>
      <c r="C1352" s="31"/>
      <c r="D1352" s="31"/>
      <c r="H1352" s="31"/>
    </row>
    <row r="1353">
      <c r="A1353" s="31"/>
      <c r="C1353" s="31"/>
      <c r="D1353" s="31"/>
      <c r="H1353" s="31"/>
    </row>
    <row r="1354">
      <c r="A1354" s="31"/>
      <c r="C1354" s="31"/>
      <c r="D1354" s="31"/>
      <c r="H1354" s="31"/>
    </row>
    <row r="1355">
      <c r="A1355" s="31"/>
      <c r="C1355" s="31"/>
      <c r="D1355" s="31"/>
      <c r="H1355" s="31"/>
    </row>
    <row r="1356">
      <c r="A1356" s="31"/>
      <c r="C1356" s="31"/>
      <c r="D1356" s="31"/>
      <c r="H1356" s="31"/>
    </row>
    <row r="1357">
      <c r="A1357" s="31"/>
      <c r="C1357" s="31"/>
      <c r="D1357" s="31"/>
      <c r="H1357" s="31"/>
    </row>
    <row r="1358">
      <c r="A1358" s="31"/>
      <c r="C1358" s="31"/>
      <c r="D1358" s="31"/>
      <c r="H1358" s="31"/>
    </row>
    <row r="1359">
      <c r="A1359" s="31"/>
      <c r="C1359" s="31"/>
      <c r="D1359" s="31"/>
      <c r="H1359" s="31"/>
    </row>
    <row r="1360">
      <c r="A1360" s="31"/>
      <c r="C1360" s="31"/>
      <c r="D1360" s="31"/>
      <c r="H1360" s="31"/>
    </row>
    <row r="1361">
      <c r="A1361" s="31"/>
      <c r="C1361" s="31"/>
      <c r="D1361" s="31"/>
      <c r="H1361" s="31"/>
    </row>
    <row r="1362">
      <c r="A1362" s="31"/>
      <c r="C1362" s="31"/>
      <c r="D1362" s="31"/>
      <c r="H1362" s="31"/>
    </row>
    <row r="1363">
      <c r="A1363" s="31"/>
      <c r="C1363" s="31"/>
      <c r="D1363" s="31"/>
      <c r="H1363" s="31"/>
    </row>
    <row r="1364">
      <c r="A1364" s="31"/>
      <c r="C1364" s="31"/>
      <c r="D1364" s="31"/>
      <c r="H1364" s="31"/>
    </row>
    <row r="1365">
      <c r="A1365" s="31"/>
      <c r="C1365" s="31"/>
      <c r="D1365" s="31"/>
      <c r="H1365" s="31"/>
    </row>
    <row r="1366">
      <c r="A1366" s="31"/>
      <c r="C1366" s="31"/>
      <c r="D1366" s="31"/>
      <c r="H1366" s="31"/>
    </row>
    <row r="1367">
      <c r="A1367" s="31"/>
      <c r="C1367" s="31"/>
      <c r="D1367" s="31"/>
      <c r="H1367" s="31"/>
    </row>
    <row r="1368">
      <c r="A1368" s="31"/>
      <c r="C1368" s="31"/>
      <c r="D1368" s="31"/>
      <c r="H1368" s="31"/>
    </row>
    <row r="1369">
      <c r="A1369" s="31"/>
      <c r="C1369" s="31"/>
      <c r="D1369" s="31"/>
      <c r="H1369" s="31"/>
    </row>
    <row r="1370">
      <c r="A1370" s="31"/>
      <c r="C1370" s="31"/>
      <c r="D1370" s="31"/>
      <c r="H1370" s="31"/>
    </row>
    <row r="1371">
      <c r="A1371" s="31"/>
      <c r="C1371" s="31"/>
      <c r="D1371" s="31"/>
      <c r="H1371" s="31"/>
    </row>
    <row r="1372">
      <c r="A1372" s="31"/>
      <c r="C1372" s="31"/>
      <c r="D1372" s="31"/>
      <c r="H1372" s="31"/>
    </row>
    <row r="1373">
      <c r="A1373" s="31"/>
      <c r="C1373" s="31"/>
      <c r="D1373" s="31"/>
      <c r="H1373" s="31"/>
    </row>
    <row r="1374">
      <c r="A1374" s="31"/>
      <c r="C1374" s="31"/>
      <c r="D1374" s="31"/>
      <c r="H1374" s="31"/>
    </row>
    <row r="1375">
      <c r="A1375" s="31"/>
      <c r="C1375" s="31"/>
      <c r="D1375" s="31"/>
      <c r="H1375" s="31"/>
    </row>
    <row r="1376">
      <c r="A1376" s="31"/>
      <c r="C1376" s="31"/>
      <c r="D1376" s="31"/>
      <c r="H1376" s="31"/>
    </row>
    <row r="1377">
      <c r="A1377" s="31"/>
      <c r="C1377" s="31"/>
      <c r="D1377" s="31"/>
      <c r="H1377" s="31"/>
    </row>
    <row r="1378">
      <c r="A1378" s="31"/>
      <c r="C1378" s="31"/>
      <c r="D1378" s="31"/>
      <c r="H1378" s="31"/>
    </row>
    <row r="1379">
      <c r="A1379" s="31"/>
      <c r="C1379" s="31"/>
      <c r="D1379" s="31"/>
      <c r="H1379" s="31"/>
    </row>
    <row r="1380">
      <c r="A1380" s="31"/>
      <c r="C1380" s="31"/>
      <c r="D1380" s="31"/>
      <c r="H1380" s="31"/>
    </row>
    <row r="1381">
      <c r="A1381" s="31"/>
      <c r="C1381" s="31"/>
      <c r="D1381" s="31"/>
      <c r="H1381" s="31"/>
    </row>
    <row r="1382">
      <c r="A1382" s="31"/>
      <c r="C1382" s="31"/>
      <c r="D1382" s="31"/>
      <c r="H1382" s="31"/>
    </row>
    <row r="1383">
      <c r="A1383" s="31"/>
      <c r="C1383" s="31"/>
      <c r="D1383" s="31"/>
      <c r="H1383" s="31"/>
    </row>
    <row r="1384">
      <c r="A1384" s="31"/>
      <c r="C1384" s="31"/>
      <c r="D1384" s="31"/>
      <c r="H1384" s="31"/>
    </row>
    <row r="1385">
      <c r="A1385" s="31"/>
      <c r="C1385" s="31"/>
      <c r="D1385" s="31"/>
      <c r="H1385" s="31"/>
    </row>
    <row r="1386">
      <c r="A1386" s="31"/>
      <c r="C1386" s="31"/>
      <c r="D1386" s="31"/>
      <c r="H1386" s="31"/>
    </row>
    <row r="1387">
      <c r="A1387" s="31"/>
      <c r="C1387" s="31"/>
      <c r="D1387" s="31"/>
      <c r="H1387" s="31"/>
    </row>
    <row r="1388">
      <c r="A1388" s="31"/>
      <c r="C1388" s="31"/>
      <c r="D1388" s="31"/>
      <c r="H1388" s="31"/>
    </row>
    <row r="1389">
      <c r="A1389" s="31"/>
      <c r="C1389" s="31"/>
      <c r="D1389" s="31"/>
      <c r="H1389" s="31"/>
    </row>
    <row r="1390">
      <c r="A1390" s="31"/>
      <c r="C1390" s="31"/>
      <c r="D1390" s="31"/>
      <c r="H1390" s="31"/>
    </row>
    <row r="1391">
      <c r="A1391" s="31"/>
      <c r="C1391" s="31"/>
      <c r="D1391" s="31"/>
      <c r="H1391" s="31"/>
    </row>
    <row r="1392">
      <c r="A1392" s="31"/>
      <c r="C1392" s="31"/>
      <c r="D1392" s="31"/>
      <c r="H1392" s="31"/>
    </row>
    <row r="1393">
      <c r="A1393" s="31"/>
      <c r="C1393" s="31"/>
      <c r="D1393" s="31"/>
      <c r="H1393" s="31"/>
    </row>
    <row r="1394">
      <c r="A1394" s="31"/>
      <c r="C1394" s="31"/>
      <c r="D1394" s="31"/>
      <c r="H1394" s="31"/>
    </row>
    <row r="1395">
      <c r="A1395" s="31"/>
      <c r="C1395" s="31"/>
      <c r="D1395" s="31"/>
      <c r="H1395" s="31"/>
    </row>
    <row r="1396">
      <c r="A1396" s="31"/>
      <c r="C1396" s="31"/>
      <c r="D1396" s="31"/>
      <c r="H1396" s="31"/>
    </row>
    <row r="1397">
      <c r="A1397" s="31"/>
      <c r="C1397" s="31"/>
      <c r="D1397" s="31"/>
      <c r="H1397" s="31"/>
    </row>
    <row r="1398">
      <c r="A1398" s="31"/>
      <c r="C1398" s="31"/>
      <c r="D1398" s="31"/>
      <c r="H1398" s="31"/>
    </row>
    <row r="1399">
      <c r="A1399" s="31"/>
      <c r="C1399" s="31"/>
      <c r="D1399" s="31"/>
      <c r="H1399" s="31"/>
    </row>
    <row r="1400">
      <c r="A1400" s="31"/>
      <c r="C1400" s="31"/>
      <c r="D1400" s="31"/>
      <c r="H1400" s="31"/>
    </row>
    <row r="1401">
      <c r="A1401" s="31"/>
      <c r="C1401" s="31"/>
      <c r="D1401" s="31"/>
      <c r="H1401" s="31"/>
    </row>
    <row r="1402">
      <c r="A1402" s="31"/>
      <c r="C1402" s="31"/>
      <c r="D1402" s="31"/>
      <c r="H1402" s="31"/>
    </row>
    <row r="1403">
      <c r="A1403" s="31"/>
      <c r="C1403" s="31"/>
      <c r="D1403" s="31"/>
      <c r="H1403" s="31"/>
    </row>
    <row r="1404">
      <c r="A1404" s="31"/>
      <c r="C1404" s="31"/>
      <c r="D1404" s="31"/>
      <c r="H1404" s="31"/>
    </row>
    <row r="1405">
      <c r="A1405" s="31"/>
      <c r="C1405" s="31"/>
      <c r="D1405" s="31"/>
      <c r="H1405" s="31"/>
    </row>
    <row r="1406">
      <c r="A1406" s="31"/>
      <c r="C1406" s="31"/>
      <c r="D1406" s="31"/>
      <c r="H1406" s="31"/>
    </row>
    <row r="1407">
      <c r="A1407" s="31"/>
      <c r="C1407" s="31"/>
      <c r="D1407" s="31"/>
      <c r="H1407" s="31"/>
    </row>
    <row r="1408">
      <c r="A1408" s="31"/>
      <c r="C1408" s="31"/>
      <c r="D1408" s="31"/>
      <c r="H1408" s="31"/>
    </row>
    <row r="1409">
      <c r="A1409" s="31"/>
      <c r="C1409" s="31"/>
      <c r="D1409" s="31"/>
      <c r="H1409" s="31"/>
    </row>
    <row r="1410">
      <c r="A1410" s="31"/>
      <c r="C1410" s="31"/>
      <c r="D1410" s="31"/>
      <c r="H1410" s="31"/>
    </row>
    <row r="1411">
      <c r="A1411" s="31"/>
      <c r="C1411" s="31"/>
      <c r="D1411" s="31"/>
      <c r="H1411" s="31"/>
    </row>
    <row r="1412">
      <c r="A1412" s="31"/>
      <c r="C1412" s="31"/>
      <c r="D1412" s="31"/>
      <c r="H1412" s="31"/>
    </row>
    <row r="1413">
      <c r="A1413" s="31"/>
      <c r="C1413" s="31"/>
      <c r="D1413" s="31"/>
      <c r="H1413" s="31"/>
    </row>
    <row r="1414">
      <c r="A1414" s="31"/>
      <c r="C1414" s="31"/>
      <c r="D1414" s="31"/>
      <c r="H1414" s="31"/>
    </row>
    <row r="1415">
      <c r="A1415" s="31"/>
      <c r="C1415" s="31"/>
      <c r="D1415" s="31"/>
      <c r="H1415" s="31"/>
    </row>
    <row r="1416">
      <c r="A1416" s="31"/>
      <c r="C1416" s="31"/>
      <c r="D1416" s="31"/>
      <c r="H1416" s="31"/>
    </row>
    <row r="1417">
      <c r="A1417" s="31"/>
      <c r="C1417" s="31"/>
      <c r="D1417" s="31"/>
      <c r="H1417" s="31"/>
    </row>
    <row r="1418">
      <c r="A1418" s="31"/>
      <c r="C1418" s="31"/>
      <c r="D1418" s="31"/>
      <c r="H1418" s="31"/>
    </row>
    <row r="1419">
      <c r="A1419" s="31"/>
      <c r="C1419" s="31"/>
      <c r="D1419" s="31"/>
      <c r="H1419" s="31"/>
    </row>
    <row r="1420">
      <c r="A1420" s="31"/>
      <c r="C1420" s="31"/>
      <c r="D1420" s="31"/>
      <c r="H1420" s="31"/>
    </row>
    <row r="1421">
      <c r="A1421" s="31"/>
      <c r="C1421" s="31"/>
      <c r="D1421" s="31"/>
      <c r="H1421" s="31"/>
    </row>
    <row r="1422">
      <c r="A1422" s="31"/>
      <c r="C1422" s="31"/>
      <c r="D1422" s="31"/>
      <c r="H1422" s="31"/>
    </row>
    <row r="1423">
      <c r="A1423" s="31"/>
      <c r="C1423" s="31"/>
      <c r="D1423" s="31"/>
      <c r="H1423" s="31"/>
    </row>
    <row r="1424">
      <c r="A1424" s="31"/>
      <c r="C1424" s="31"/>
      <c r="D1424" s="31"/>
      <c r="H1424" s="31"/>
    </row>
    <row r="1425">
      <c r="A1425" s="31"/>
      <c r="C1425" s="31"/>
      <c r="D1425" s="31"/>
      <c r="H1425" s="31"/>
    </row>
    <row r="1426">
      <c r="A1426" s="31"/>
      <c r="C1426" s="31"/>
      <c r="D1426" s="31"/>
      <c r="H1426" s="31"/>
    </row>
    <row r="1427">
      <c r="A1427" s="31"/>
      <c r="C1427" s="31"/>
      <c r="D1427" s="31"/>
      <c r="H1427" s="31"/>
    </row>
    <row r="1428">
      <c r="A1428" s="31"/>
      <c r="C1428" s="31"/>
      <c r="D1428" s="31"/>
      <c r="H1428" s="31"/>
    </row>
    <row r="1429">
      <c r="A1429" s="31"/>
      <c r="C1429" s="31"/>
      <c r="D1429" s="31"/>
      <c r="H1429" s="31"/>
    </row>
    <row r="1430">
      <c r="A1430" s="31"/>
      <c r="C1430" s="31"/>
      <c r="D1430" s="31"/>
      <c r="H1430" s="31"/>
    </row>
    <row r="1431">
      <c r="A1431" s="31"/>
      <c r="C1431" s="31"/>
      <c r="D1431" s="31"/>
      <c r="H1431" s="31"/>
    </row>
    <row r="1432">
      <c r="A1432" s="31"/>
      <c r="C1432" s="31"/>
      <c r="D1432" s="31"/>
      <c r="H1432" s="31"/>
    </row>
    <row r="1433">
      <c r="A1433" s="31"/>
      <c r="C1433" s="31"/>
      <c r="D1433" s="31"/>
      <c r="H1433" s="31"/>
    </row>
    <row r="1434">
      <c r="A1434" s="31"/>
      <c r="C1434" s="31"/>
      <c r="D1434" s="31"/>
      <c r="H1434" s="31"/>
    </row>
    <row r="1435">
      <c r="A1435" s="31"/>
      <c r="C1435" s="31"/>
      <c r="D1435" s="31"/>
      <c r="H1435" s="31"/>
    </row>
    <row r="1436">
      <c r="A1436" s="31"/>
      <c r="C1436" s="31"/>
      <c r="D1436" s="31"/>
      <c r="H1436" s="31"/>
    </row>
    <row r="1437">
      <c r="A1437" s="31"/>
      <c r="C1437" s="31"/>
      <c r="D1437" s="31"/>
      <c r="H1437" s="31"/>
    </row>
    <row r="1438">
      <c r="A1438" s="31"/>
      <c r="C1438" s="31"/>
      <c r="D1438" s="31"/>
      <c r="H1438" s="31"/>
    </row>
    <row r="1439">
      <c r="A1439" s="31"/>
      <c r="C1439" s="31"/>
      <c r="D1439" s="31"/>
      <c r="H1439" s="31"/>
    </row>
    <row r="1440">
      <c r="A1440" s="31"/>
      <c r="C1440" s="31"/>
      <c r="D1440" s="31"/>
      <c r="H1440" s="31"/>
    </row>
    <row r="1441">
      <c r="A1441" s="31"/>
      <c r="C1441" s="31"/>
      <c r="D1441" s="31"/>
      <c r="H1441" s="31"/>
    </row>
    <row r="1442">
      <c r="A1442" s="31"/>
      <c r="C1442" s="31"/>
      <c r="D1442" s="31"/>
      <c r="H1442" s="31"/>
    </row>
    <row r="1443">
      <c r="A1443" s="31"/>
      <c r="C1443" s="31"/>
      <c r="D1443" s="31"/>
      <c r="H1443" s="31"/>
    </row>
    <row r="1444">
      <c r="A1444" s="31"/>
      <c r="C1444" s="31"/>
      <c r="D1444" s="31"/>
      <c r="H1444" s="31"/>
    </row>
    <row r="1445">
      <c r="A1445" s="31"/>
      <c r="C1445" s="31"/>
      <c r="D1445" s="31"/>
      <c r="H1445" s="31"/>
    </row>
    <row r="1446">
      <c r="A1446" s="31"/>
      <c r="C1446" s="31"/>
      <c r="D1446" s="31"/>
      <c r="H1446" s="31"/>
    </row>
    <row r="1447">
      <c r="A1447" s="31"/>
      <c r="C1447" s="31"/>
      <c r="D1447" s="31"/>
      <c r="H1447" s="31"/>
    </row>
    <row r="1448">
      <c r="A1448" s="31"/>
      <c r="C1448" s="31"/>
      <c r="D1448" s="31"/>
      <c r="H1448" s="31"/>
    </row>
    <row r="1449">
      <c r="A1449" s="31"/>
      <c r="C1449" s="31"/>
      <c r="D1449" s="31"/>
      <c r="H1449" s="31"/>
    </row>
    <row r="1450">
      <c r="A1450" s="31"/>
      <c r="C1450" s="31"/>
      <c r="D1450" s="31"/>
      <c r="H1450" s="31"/>
    </row>
    <row r="1451">
      <c r="A1451" s="31"/>
      <c r="C1451" s="31"/>
      <c r="D1451" s="31"/>
      <c r="H1451" s="31"/>
    </row>
    <row r="1452">
      <c r="A1452" s="31"/>
      <c r="C1452" s="31"/>
      <c r="D1452" s="31"/>
      <c r="H1452" s="31"/>
    </row>
    <row r="1453">
      <c r="A1453" s="31"/>
      <c r="C1453" s="31"/>
      <c r="D1453" s="31"/>
      <c r="H1453" s="31"/>
    </row>
    <row r="1454">
      <c r="A1454" s="31"/>
      <c r="C1454" s="31"/>
      <c r="D1454" s="31"/>
      <c r="H1454" s="31"/>
    </row>
    <row r="1455">
      <c r="A1455" s="31"/>
      <c r="C1455" s="31"/>
      <c r="D1455" s="31"/>
      <c r="H1455" s="31"/>
    </row>
    <row r="1456">
      <c r="A1456" s="31"/>
      <c r="C1456" s="31"/>
      <c r="D1456" s="31"/>
      <c r="H1456" s="31"/>
    </row>
    <row r="1457">
      <c r="A1457" s="31"/>
      <c r="C1457" s="31"/>
      <c r="D1457" s="31"/>
      <c r="H1457" s="31"/>
    </row>
    <row r="1458">
      <c r="A1458" s="31"/>
      <c r="C1458" s="31"/>
      <c r="D1458" s="31"/>
      <c r="H1458" s="31"/>
    </row>
    <row r="1459">
      <c r="A1459" s="31"/>
      <c r="C1459" s="31"/>
      <c r="D1459" s="31"/>
      <c r="H1459" s="31"/>
    </row>
    <row r="1460">
      <c r="A1460" s="31"/>
      <c r="C1460" s="31"/>
      <c r="D1460" s="31"/>
      <c r="H1460" s="31"/>
    </row>
    <row r="1461">
      <c r="A1461" s="31"/>
      <c r="C1461" s="31"/>
      <c r="D1461" s="31"/>
      <c r="H1461" s="31"/>
    </row>
    <row r="1462">
      <c r="A1462" s="31"/>
      <c r="C1462" s="31"/>
      <c r="D1462" s="31"/>
      <c r="H1462" s="31"/>
    </row>
    <row r="1463">
      <c r="A1463" s="31"/>
      <c r="C1463" s="31"/>
      <c r="D1463" s="31"/>
      <c r="H1463" s="31"/>
    </row>
    <row r="1464">
      <c r="A1464" s="31"/>
      <c r="C1464" s="31"/>
      <c r="D1464" s="31"/>
      <c r="H1464" s="31"/>
    </row>
    <row r="1465">
      <c r="A1465" s="31"/>
      <c r="C1465" s="31"/>
      <c r="D1465" s="31"/>
      <c r="H1465" s="31"/>
    </row>
    <row r="1466">
      <c r="A1466" s="31"/>
      <c r="C1466" s="31"/>
      <c r="D1466" s="31"/>
      <c r="H1466" s="31"/>
    </row>
    <row r="1467">
      <c r="A1467" s="31"/>
      <c r="C1467" s="31"/>
      <c r="D1467" s="31"/>
      <c r="H1467" s="31"/>
    </row>
    <row r="1468">
      <c r="A1468" s="31"/>
      <c r="C1468" s="31"/>
      <c r="D1468" s="31"/>
      <c r="H1468" s="31"/>
    </row>
    <row r="1469">
      <c r="A1469" s="31"/>
      <c r="C1469" s="31"/>
      <c r="D1469" s="31"/>
      <c r="H1469" s="31"/>
    </row>
    <row r="1470">
      <c r="A1470" s="31"/>
      <c r="C1470" s="31"/>
      <c r="D1470" s="31"/>
      <c r="H1470" s="31"/>
    </row>
    <row r="1471">
      <c r="A1471" s="31"/>
      <c r="C1471" s="31"/>
      <c r="D1471" s="31"/>
      <c r="H1471" s="31"/>
    </row>
    <row r="1472">
      <c r="A1472" s="31"/>
      <c r="C1472" s="31"/>
      <c r="D1472" s="31"/>
      <c r="H1472" s="31"/>
    </row>
    <row r="1473">
      <c r="A1473" s="31"/>
      <c r="C1473" s="31"/>
      <c r="D1473" s="31"/>
      <c r="H1473" s="31"/>
    </row>
    <row r="1474">
      <c r="A1474" s="31"/>
      <c r="C1474" s="31"/>
      <c r="D1474" s="31"/>
      <c r="H1474" s="31"/>
    </row>
    <row r="1475">
      <c r="A1475" s="31"/>
      <c r="C1475" s="31"/>
      <c r="D1475" s="31"/>
      <c r="H1475" s="31"/>
    </row>
    <row r="1476">
      <c r="A1476" s="31"/>
      <c r="C1476" s="31"/>
      <c r="D1476" s="31"/>
      <c r="H1476" s="31"/>
    </row>
    <row r="1477">
      <c r="A1477" s="31"/>
      <c r="C1477" s="31"/>
      <c r="D1477" s="31"/>
      <c r="H1477" s="31"/>
    </row>
    <row r="1478">
      <c r="A1478" s="31"/>
      <c r="C1478" s="31"/>
      <c r="D1478" s="31"/>
      <c r="H1478" s="31"/>
    </row>
    <row r="1479">
      <c r="A1479" s="31"/>
      <c r="C1479" s="31"/>
      <c r="D1479" s="31"/>
      <c r="H1479" s="31"/>
    </row>
    <row r="1480">
      <c r="A1480" s="31"/>
      <c r="C1480" s="31"/>
      <c r="D1480" s="31"/>
      <c r="H1480" s="31"/>
    </row>
    <row r="1481">
      <c r="A1481" s="31"/>
      <c r="C1481" s="31"/>
      <c r="D1481" s="31"/>
      <c r="H1481" s="31"/>
    </row>
    <row r="1482">
      <c r="A1482" s="31"/>
      <c r="C1482" s="31"/>
      <c r="D1482" s="31"/>
      <c r="H1482" s="31"/>
    </row>
    <row r="1483">
      <c r="A1483" s="31"/>
      <c r="C1483" s="31"/>
      <c r="D1483" s="31"/>
      <c r="H1483" s="31"/>
    </row>
    <row r="1484">
      <c r="A1484" s="31"/>
      <c r="C1484" s="31"/>
      <c r="D1484" s="31"/>
      <c r="H1484" s="31"/>
    </row>
    <row r="1485">
      <c r="A1485" s="31"/>
      <c r="C1485" s="31"/>
      <c r="D1485" s="31"/>
      <c r="H1485" s="31"/>
    </row>
    <row r="1486">
      <c r="A1486" s="31"/>
      <c r="C1486" s="31"/>
      <c r="D1486" s="31"/>
      <c r="H1486" s="31"/>
    </row>
    <row r="1487">
      <c r="A1487" s="31"/>
      <c r="C1487" s="31"/>
      <c r="D1487" s="31"/>
      <c r="H1487" s="31"/>
    </row>
    <row r="1488">
      <c r="A1488" s="31"/>
      <c r="C1488" s="31"/>
      <c r="D1488" s="31"/>
      <c r="H1488" s="31"/>
    </row>
    <row r="1489">
      <c r="A1489" s="31"/>
      <c r="C1489" s="31"/>
      <c r="D1489" s="31"/>
      <c r="H1489" s="31"/>
    </row>
    <row r="1490">
      <c r="A1490" s="31"/>
      <c r="C1490" s="31"/>
      <c r="D1490" s="31"/>
      <c r="H1490" s="31"/>
    </row>
    <row r="1491">
      <c r="A1491" s="31"/>
      <c r="C1491" s="31"/>
      <c r="D1491" s="31"/>
      <c r="H1491" s="31"/>
    </row>
    <row r="1492">
      <c r="A1492" s="31"/>
      <c r="C1492" s="31"/>
      <c r="D1492" s="31"/>
      <c r="H1492" s="31"/>
    </row>
    <row r="1493">
      <c r="A1493" s="31"/>
      <c r="C1493" s="31"/>
      <c r="D1493" s="31"/>
      <c r="H1493" s="31"/>
    </row>
    <row r="1494">
      <c r="A1494" s="31"/>
      <c r="C1494" s="31"/>
      <c r="D1494" s="31"/>
      <c r="H1494" s="31"/>
    </row>
    <row r="1495">
      <c r="A1495" s="31"/>
      <c r="C1495" s="31"/>
      <c r="D1495" s="31"/>
      <c r="H1495" s="31"/>
    </row>
    <row r="1496">
      <c r="A1496" s="31"/>
      <c r="C1496" s="31"/>
      <c r="D1496" s="31"/>
      <c r="H1496" s="31"/>
    </row>
    <row r="1497">
      <c r="A1497" s="31"/>
      <c r="C1497" s="31"/>
      <c r="D1497" s="31"/>
      <c r="H1497" s="31"/>
    </row>
    <row r="1498">
      <c r="A1498" s="31"/>
      <c r="C1498" s="31"/>
      <c r="D1498" s="31"/>
      <c r="H1498" s="31"/>
    </row>
    <row r="1499">
      <c r="A1499" s="31"/>
      <c r="C1499" s="31"/>
      <c r="D1499" s="31"/>
      <c r="H1499" s="31"/>
    </row>
    <row r="1500">
      <c r="A1500" s="31"/>
      <c r="C1500" s="31"/>
      <c r="D1500" s="31"/>
      <c r="H1500" s="31"/>
    </row>
    <row r="1501">
      <c r="A1501" s="31"/>
      <c r="C1501" s="31"/>
      <c r="D1501" s="31"/>
      <c r="H1501" s="31"/>
    </row>
    <row r="1502">
      <c r="A1502" s="31"/>
      <c r="C1502" s="31"/>
      <c r="D1502" s="31"/>
      <c r="H1502" s="31"/>
    </row>
    <row r="1503">
      <c r="A1503" s="31"/>
      <c r="C1503" s="31"/>
      <c r="D1503" s="31"/>
      <c r="H1503" s="31"/>
    </row>
    <row r="1504">
      <c r="A1504" s="31"/>
      <c r="C1504" s="31"/>
      <c r="D1504" s="31"/>
      <c r="H1504" s="31"/>
    </row>
    <row r="1505">
      <c r="A1505" s="31"/>
      <c r="C1505" s="31"/>
      <c r="D1505" s="31"/>
      <c r="H1505" s="31"/>
    </row>
    <row r="1506">
      <c r="A1506" s="31"/>
      <c r="C1506" s="31"/>
      <c r="D1506" s="31"/>
      <c r="H1506" s="31"/>
    </row>
    <row r="1507">
      <c r="A1507" s="31"/>
      <c r="C1507" s="31"/>
      <c r="D1507" s="31"/>
      <c r="H1507" s="31"/>
    </row>
    <row r="1508">
      <c r="A1508" s="31"/>
      <c r="C1508" s="31"/>
      <c r="D1508" s="31"/>
      <c r="H1508" s="31"/>
    </row>
    <row r="1509">
      <c r="A1509" s="31"/>
      <c r="C1509" s="31"/>
      <c r="D1509" s="31"/>
      <c r="H1509" s="31"/>
    </row>
    <row r="1510">
      <c r="A1510" s="31"/>
      <c r="C1510" s="31"/>
      <c r="D1510" s="31"/>
      <c r="H1510" s="31"/>
    </row>
    <row r="1511">
      <c r="A1511" s="31"/>
      <c r="C1511" s="31"/>
      <c r="D1511" s="31"/>
      <c r="H1511" s="31"/>
    </row>
    <row r="1512">
      <c r="A1512" s="31"/>
      <c r="C1512" s="31"/>
      <c r="D1512" s="31"/>
      <c r="H1512" s="31"/>
    </row>
    <row r="1513">
      <c r="A1513" s="31"/>
      <c r="C1513" s="31"/>
      <c r="D1513" s="31"/>
      <c r="H1513" s="31"/>
    </row>
    <row r="1514">
      <c r="A1514" s="31"/>
      <c r="C1514" s="31"/>
      <c r="D1514" s="31"/>
      <c r="H1514" s="31"/>
    </row>
    <row r="1515">
      <c r="A1515" s="31"/>
      <c r="C1515" s="31"/>
      <c r="D1515" s="31"/>
      <c r="H1515" s="31"/>
    </row>
    <row r="1516">
      <c r="A1516" s="31"/>
      <c r="C1516" s="31"/>
      <c r="D1516" s="31"/>
      <c r="H1516" s="31"/>
    </row>
    <row r="1517">
      <c r="A1517" s="31"/>
      <c r="C1517" s="31"/>
      <c r="D1517" s="31"/>
      <c r="H1517" s="31"/>
    </row>
    <row r="1518">
      <c r="A1518" s="31"/>
      <c r="C1518" s="31"/>
      <c r="D1518" s="31"/>
      <c r="H1518" s="31"/>
    </row>
    <row r="1519">
      <c r="A1519" s="31"/>
      <c r="C1519" s="31"/>
      <c r="D1519" s="31"/>
      <c r="H1519" s="31"/>
    </row>
    <row r="1520">
      <c r="A1520" s="31"/>
      <c r="C1520" s="31"/>
      <c r="D1520" s="31"/>
      <c r="H1520" s="31"/>
    </row>
    <row r="1521">
      <c r="A1521" s="31"/>
      <c r="C1521" s="31"/>
      <c r="D1521" s="31"/>
      <c r="H1521" s="31"/>
    </row>
    <row r="1522">
      <c r="A1522" s="31"/>
      <c r="C1522" s="31"/>
      <c r="D1522" s="31"/>
      <c r="H1522" s="31"/>
    </row>
    <row r="1523">
      <c r="A1523" s="31"/>
      <c r="C1523" s="31"/>
      <c r="D1523" s="31"/>
      <c r="H1523" s="31"/>
    </row>
    <row r="1524">
      <c r="A1524" s="31"/>
      <c r="C1524" s="31"/>
      <c r="D1524" s="31"/>
      <c r="H1524" s="31"/>
    </row>
    <row r="1525">
      <c r="A1525" s="31"/>
      <c r="C1525" s="31"/>
      <c r="D1525" s="31"/>
      <c r="H1525" s="31"/>
    </row>
    <row r="1526">
      <c r="A1526" s="31"/>
      <c r="C1526" s="31"/>
      <c r="D1526" s="31"/>
      <c r="H1526" s="31"/>
    </row>
    <row r="1527">
      <c r="A1527" s="31"/>
      <c r="C1527" s="31"/>
      <c r="D1527" s="31"/>
      <c r="H1527" s="31"/>
    </row>
    <row r="1528">
      <c r="A1528" s="31"/>
      <c r="C1528" s="31"/>
      <c r="D1528" s="31"/>
      <c r="H1528" s="31"/>
    </row>
    <row r="1529">
      <c r="A1529" s="31"/>
      <c r="C1529" s="31"/>
      <c r="D1529" s="31"/>
      <c r="H1529" s="31"/>
    </row>
    <row r="1530">
      <c r="A1530" s="31"/>
      <c r="C1530" s="31"/>
      <c r="D1530" s="31"/>
      <c r="H1530" s="31"/>
    </row>
    <row r="1531">
      <c r="A1531" s="31"/>
      <c r="C1531" s="31"/>
      <c r="D1531" s="31"/>
      <c r="H1531" s="31"/>
    </row>
    <row r="1532">
      <c r="A1532" s="31"/>
      <c r="C1532" s="31"/>
      <c r="D1532" s="31"/>
      <c r="H1532" s="31"/>
    </row>
    <row r="1533">
      <c r="A1533" s="31"/>
      <c r="C1533" s="31"/>
      <c r="D1533" s="31"/>
      <c r="H1533" s="31"/>
    </row>
    <row r="1534">
      <c r="A1534" s="31"/>
      <c r="C1534" s="31"/>
      <c r="D1534" s="31"/>
      <c r="H1534" s="31"/>
    </row>
    <row r="1535">
      <c r="A1535" s="31"/>
      <c r="C1535" s="31"/>
      <c r="D1535" s="31"/>
      <c r="H1535" s="31"/>
    </row>
    <row r="1536">
      <c r="A1536" s="31"/>
      <c r="C1536" s="31"/>
      <c r="D1536" s="31"/>
      <c r="H1536" s="31"/>
    </row>
    <row r="1537">
      <c r="A1537" s="31"/>
      <c r="C1537" s="31"/>
      <c r="D1537" s="31"/>
      <c r="H1537" s="31"/>
    </row>
    <row r="1538">
      <c r="A1538" s="31"/>
      <c r="C1538" s="31"/>
      <c r="D1538" s="31"/>
      <c r="H1538" s="31"/>
    </row>
    <row r="1539">
      <c r="A1539" s="31"/>
      <c r="C1539" s="31"/>
      <c r="D1539" s="31"/>
      <c r="H1539" s="31"/>
    </row>
    <row r="1540">
      <c r="A1540" s="31"/>
      <c r="C1540" s="31"/>
      <c r="D1540" s="31"/>
      <c r="H1540" s="31"/>
    </row>
    <row r="1541">
      <c r="A1541" s="31"/>
      <c r="C1541" s="31"/>
      <c r="D1541" s="31"/>
      <c r="H1541" s="31"/>
    </row>
    <row r="1542">
      <c r="A1542" s="31"/>
      <c r="C1542" s="31"/>
      <c r="D1542" s="31"/>
      <c r="H1542" s="31"/>
    </row>
    <row r="1543">
      <c r="A1543" s="31"/>
      <c r="C1543" s="31"/>
      <c r="D1543" s="31"/>
      <c r="H1543" s="31"/>
    </row>
    <row r="1544">
      <c r="A1544" s="31"/>
      <c r="C1544" s="31"/>
      <c r="D1544" s="31"/>
      <c r="H1544" s="31"/>
    </row>
    <row r="1545">
      <c r="A1545" s="31"/>
      <c r="C1545" s="31"/>
      <c r="D1545" s="31"/>
      <c r="H1545" s="31"/>
    </row>
    <row r="1546">
      <c r="A1546" s="31"/>
      <c r="C1546" s="31"/>
      <c r="D1546" s="31"/>
      <c r="H1546" s="31"/>
    </row>
    <row r="1547">
      <c r="A1547" s="31"/>
      <c r="C1547" s="31"/>
      <c r="D1547" s="31"/>
      <c r="H1547" s="31"/>
    </row>
    <row r="1548">
      <c r="A1548" s="31"/>
      <c r="C1548" s="31"/>
      <c r="D1548" s="31"/>
      <c r="H1548" s="31"/>
    </row>
    <row r="1549">
      <c r="A1549" s="31"/>
      <c r="C1549" s="31"/>
      <c r="D1549" s="31"/>
      <c r="H1549" s="31"/>
    </row>
    <row r="1550">
      <c r="A1550" s="31"/>
      <c r="C1550" s="31"/>
      <c r="D1550" s="31"/>
      <c r="H1550" s="31"/>
    </row>
    <row r="1551">
      <c r="A1551" s="31"/>
      <c r="C1551" s="31"/>
      <c r="D1551" s="31"/>
      <c r="H1551" s="31"/>
    </row>
    <row r="1552">
      <c r="A1552" s="31"/>
      <c r="C1552" s="31"/>
      <c r="D1552" s="31"/>
      <c r="H1552" s="31"/>
    </row>
    <row r="1553">
      <c r="A1553" s="31"/>
      <c r="C1553" s="31"/>
      <c r="D1553" s="31"/>
      <c r="H1553" s="31"/>
    </row>
    <row r="1554">
      <c r="A1554" s="31"/>
      <c r="C1554" s="31"/>
      <c r="D1554" s="31"/>
      <c r="H1554" s="31"/>
    </row>
    <row r="1555">
      <c r="A1555" s="31"/>
      <c r="C1555" s="31"/>
      <c r="D1555" s="31"/>
      <c r="H1555" s="31"/>
    </row>
    <row r="1556">
      <c r="A1556" s="31"/>
      <c r="C1556" s="31"/>
      <c r="D1556" s="31"/>
      <c r="H1556" s="31"/>
    </row>
    <row r="1557">
      <c r="A1557" s="31"/>
      <c r="C1557" s="31"/>
      <c r="D1557" s="31"/>
      <c r="H1557" s="31"/>
    </row>
    <row r="1558">
      <c r="A1558" s="31"/>
      <c r="C1558" s="31"/>
      <c r="D1558" s="31"/>
      <c r="H1558" s="31"/>
    </row>
    <row r="1559">
      <c r="A1559" s="31"/>
      <c r="C1559" s="31"/>
      <c r="D1559" s="31"/>
      <c r="H1559" s="31"/>
    </row>
    <row r="1560">
      <c r="A1560" s="31"/>
      <c r="C1560" s="31"/>
      <c r="D1560" s="31"/>
      <c r="H1560" s="31"/>
    </row>
    <row r="1561">
      <c r="A1561" s="31"/>
      <c r="C1561" s="31"/>
      <c r="D1561" s="31"/>
      <c r="H1561" s="31"/>
    </row>
    <row r="1562">
      <c r="A1562" s="31"/>
      <c r="C1562" s="31"/>
      <c r="D1562" s="31"/>
      <c r="H1562" s="31"/>
    </row>
    <row r="1563">
      <c r="A1563" s="31"/>
      <c r="C1563" s="31"/>
      <c r="D1563" s="31"/>
      <c r="H1563" s="31"/>
    </row>
    <row r="1564">
      <c r="A1564" s="31"/>
      <c r="C1564" s="31"/>
      <c r="D1564" s="31"/>
      <c r="H1564" s="31"/>
    </row>
    <row r="1565">
      <c r="A1565" s="31"/>
      <c r="C1565" s="31"/>
      <c r="D1565" s="31"/>
      <c r="H1565" s="31"/>
    </row>
    <row r="1566">
      <c r="A1566" s="31"/>
      <c r="C1566" s="31"/>
      <c r="D1566" s="31"/>
      <c r="H1566" s="31"/>
    </row>
    <row r="1567">
      <c r="A1567" s="31"/>
      <c r="C1567" s="31"/>
      <c r="D1567" s="31"/>
      <c r="H1567" s="31"/>
    </row>
    <row r="1568">
      <c r="A1568" s="31"/>
      <c r="C1568" s="31"/>
      <c r="D1568" s="31"/>
      <c r="H1568" s="31"/>
    </row>
    <row r="1569">
      <c r="A1569" s="31"/>
      <c r="C1569" s="31"/>
      <c r="D1569" s="31"/>
      <c r="H1569" s="31"/>
    </row>
    <row r="1570">
      <c r="A1570" s="31"/>
      <c r="C1570" s="31"/>
      <c r="D1570" s="31"/>
      <c r="H1570" s="31"/>
    </row>
    <row r="1571">
      <c r="A1571" s="31"/>
      <c r="C1571" s="31"/>
      <c r="D1571" s="31"/>
      <c r="H1571" s="31"/>
    </row>
    <row r="1572">
      <c r="A1572" s="31"/>
      <c r="C1572" s="31"/>
      <c r="D1572" s="31"/>
      <c r="H1572" s="31"/>
    </row>
    <row r="1573">
      <c r="A1573" s="31"/>
      <c r="C1573" s="31"/>
      <c r="D1573" s="31"/>
      <c r="H1573" s="31"/>
    </row>
    <row r="1574">
      <c r="A1574" s="31"/>
      <c r="C1574" s="31"/>
      <c r="D1574" s="31"/>
      <c r="H1574" s="31"/>
    </row>
    <row r="1575">
      <c r="A1575" s="31"/>
      <c r="C1575" s="31"/>
      <c r="D1575" s="31"/>
      <c r="H1575" s="31"/>
    </row>
    <row r="1576">
      <c r="A1576" s="31"/>
      <c r="C1576" s="31"/>
      <c r="D1576" s="31"/>
      <c r="H1576" s="31"/>
    </row>
    <row r="1577">
      <c r="A1577" s="31"/>
      <c r="C1577" s="31"/>
      <c r="D1577" s="31"/>
      <c r="H1577" s="31"/>
    </row>
    <row r="1578">
      <c r="A1578" s="31"/>
      <c r="C1578" s="31"/>
      <c r="D1578" s="31"/>
      <c r="H1578" s="31"/>
    </row>
    <row r="1579">
      <c r="A1579" s="31"/>
      <c r="C1579" s="31"/>
      <c r="D1579" s="31"/>
      <c r="H1579" s="31"/>
    </row>
    <row r="1580">
      <c r="A1580" s="31"/>
      <c r="C1580" s="31"/>
      <c r="D1580" s="31"/>
      <c r="H1580" s="31"/>
    </row>
    <row r="1581">
      <c r="A1581" s="31"/>
      <c r="C1581" s="31"/>
      <c r="D1581" s="31"/>
      <c r="H1581" s="31"/>
    </row>
    <row r="1582">
      <c r="A1582" s="31"/>
      <c r="C1582" s="31"/>
      <c r="D1582" s="31"/>
      <c r="H1582" s="31"/>
    </row>
    <row r="1583">
      <c r="A1583" s="31"/>
      <c r="C1583" s="31"/>
      <c r="D1583" s="31"/>
      <c r="H1583" s="31"/>
    </row>
    <row r="1584">
      <c r="A1584" s="31"/>
      <c r="C1584" s="31"/>
      <c r="D1584" s="31"/>
      <c r="H1584" s="31"/>
    </row>
    <row r="1585">
      <c r="A1585" s="31"/>
      <c r="C1585" s="31"/>
      <c r="D1585" s="31"/>
      <c r="H1585" s="31"/>
    </row>
    <row r="1586">
      <c r="A1586" s="31"/>
      <c r="C1586" s="31"/>
      <c r="D1586" s="31"/>
      <c r="H1586" s="31"/>
    </row>
    <row r="1587">
      <c r="A1587" s="31"/>
      <c r="C1587" s="31"/>
      <c r="D1587" s="31"/>
      <c r="H1587" s="31"/>
    </row>
    <row r="1588">
      <c r="A1588" s="31"/>
      <c r="C1588" s="31"/>
      <c r="D1588" s="31"/>
      <c r="H1588" s="31"/>
    </row>
    <row r="1589">
      <c r="A1589" s="31"/>
      <c r="C1589" s="31"/>
      <c r="D1589" s="31"/>
      <c r="H1589" s="31"/>
    </row>
    <row r="1590">
      <c r="A1590" s="31"/>
      <c r="C1590" s="31"/>
      <c r="D1590" s="31"/>
      <c r="H1590" s="31"/>
    </row>
    <row r="1591">
      <c r="A1591" s="31"/>
      <c r="C1591" s="31"/>
      <c r="D1591" s="31"/>
      <c r="H1591" s="31"/>
    </row>
    <row r="1592">
      <c r="A1592" s="31"/>
      <c r="C1592" s="31"/>
      <c r="D1592" s="31"/>
      <c r="H1592" s="31"/>
    </row>
    <row r="1593">
      <c r="A1593" s="31"/>
      <c r="C1593" s="31"/>
      <c r="D1593" s="31"/>
      <c r="H1593" s="31"/>
    </row>
    <row r="1594">
      <c r="A1594" s="31"/>
      <c r="C1594" s="31"/>
      <c r="D1594" s="31"/>
      <c r="H1594" s="31"/>
    </row>
    <row r="1595">
      <c r="A1595" s="31"/>
      <c r="C1595" s="31"/>
      <c r="D1595" s="31"/>
      <c r="H1595" s="31"/>
    </row>
    <row r="1596">
      <c r="A1596" s="31"/>
      <c r="C1596" s="31"/>
      <c r="D1596" s="31"/>
      <c r="H1596" s="31"/>
    </row>
    <row r="1597">
      <c r="A1597" s="31"/>
      <c r="C1597" s="31"/>
      <c r="D1597" s="31"/>
      <c r="H1597" s="31"/>
    </row>
    <row r="1598">
      <c r="A1598" s="31"/>
      <c r="C1598" s="31"/>
      <c r="D1598" s="31"/>
      <c r="H1598" s="31"/>
    </row>
    <row r="1599">
      <c r="A1599" s="31"/>
      <c r="C1599" s="31"/>
      <c r="D1599" s="31"/>
      <c r="H1599" s="31"/>
    </row>
    <row r="1600">
      <c r="A1600" s="31"/>
      <c r="C1600" s="31"/>
      <c r="D1600" s="31"/>
      <c r="H1600" s="31"/>
    </row>
    <row r="1601">
      <c r="A1601" s="31"/>
      <c r="C1601" s="31"/>
      <c r="D1601" s="31"/>
      <c r="H1601" s="31"/>
    </row>
    <row r="1602">
      <c r="A1602" s="31"/>
      <c r="C1602" s="31"/>
      <c r="D1602" s="31"/>
      <c r="H1602" s="31"/>
    </row>
    <row r="1603">
      <c r="A1603" s="31"/>
      <c r="C1603" s="31"/>
      <c r="D1603" s="31"/>
      <c r="H1603" s="31"/>
    </row>
    <row r="1604">
      <c r="A1604" s="31"/>
      <c r="C1604" s="31"/>
      <c r="D1604" s="31"/>
      <c r="H1604" s="31"/>
    </row>
    <row r="1605">
      <c r="A1605" s="31"/>
      <c r="C1605" s="31"/>
      <c r="D1605" s="31"/>
      <c r="H1605" s="31"/>
    </row>
    <row r="1606">
      <c r="A1606" s="31"/>
      <c r="C1606" s="31"/>
      <c r="D1606" s="31"/>
      <c r="H1606" s="31"/>
    </row>
    <row r="1607">
      <c r="A1607" s="31"/>
      <c r="C1607" s="31"/>
      <c r="D1607" s="31"/>
      <c r="H1607" s="31"/>
    </row>
    <row r="1608">
      <c r="A1608" s="31"/>
      <c r="C1608" s="31"/>
      <c r="D1608" s="31"/>
      <c r="H1608" s="31"/>
    </row>
    <row r="1609">
      <c r="A1609" s="31"/>
      <c r="C1609" s="31"/>
      <c r="D1609" s="31"/>
      <c r="H1609" s="31"/>
    </row>
    <row r="1610">
      <c r="A1610" s="31"/>
      <c r="C1610" s="31"/>
      <c r="D1610" s="31"/>
      <c r="H1610" s="31"/>
    </row>
    <row r="1611">
      <c r="A1611" s="31"/>
      <c r="C1611" s="31"/>
      <c r="D1611" s="31"/>
      <c r="H1611" s="31"/>
    </row>
    <row r="1612">
      <c r="A1612" s="31"/>
      <c r="C1612" s="31"/>
      <c r="D1612" s="31"/>
      <c r="H1612" s="31"/>
    </row>
    <row r="1613">
      <c r="A1613" s="31"/>
      <c r="C1613" s="31"/>
      <c r="D1613" s="31"/>
      <c r="H1613" s="31"/>
    </row>
    <row r="1614">
      <c r="A1614" s="31"/>
      <c r="C1614" s="31"/>
      <c r="D1614" s="31"/>
      <c r="H1614" s="31"/>
    </row>
    <row r="1615">
      <c r="A1615" s="31"/>
      <c r="C1615" s="31"/>
      <c r="D1615" s="31"/>
      <c r="H1615" s="31"/>
    </row>
    <row r="1616">
      <c r="A1616" s="31"/>
      <c r="C1616" s="31"/>
      <c r="D1616" s="31"/>
      <c r="H1616" s="31"/>
    </row>
    <row r="1617">
      <c r="A1617" s="31"/>
      <c r="C1617" s="31"/>
      <c r="D1617" s="31"/>
      <c r="H1617" s="31"/>
    </row>
    <row r="1618">
      <c r="A1618" s="31"/>
      <c r="C1618" s="31"/>
      <c r="D1618" s="31"/>
      <c r="H1618" s="31"/>
    </row>
    <row r="1619">
      <c r="A1619" s="31"/>
      <c r="C1619" s="31"/>
      <c r="D1619" s="31"/>
      <c r="H1619" s="31"/>
    </row>
    <row r="1620">
      <c r="A1620" s="31"/>
      <c r="C1620" s="31"/>
      <c r="D1620" s="31"/>
      <c r="H1620" s="31"/>
    </row>
    <row r="1621">
      <c r="A1621" s="31"/>
      <c r="C1621" s="31"/>
      <c r="D1621" s="31"/>
      <c r="H1621" s="31"/>
    </row>
    <row r="1622">
      <c r="A1622" s="31"/>
      <c r="C1622" s="31"/>
      <c r="D1622" s="31"/>
      <c r="H1622" s="31"/>
    </row>
    <row r="1623">
      <c r="A1623" s="31"/>
      <c r="C1623" s="31"/>
      <c r="D1623" s="31"/>
      <c r="H1623" s="31"/>
    </row>
    <row r="1624">
      <c r="A1624" s="31"/>
      <c r="C1624" s="31"/>
      <c r="D1624" s="31"/>
      <c r="H1624" s="31"/>
    </row>
    <row r="1625">
      <c r="A1625" s="31"/>
      <c r="C1625" s="31"/>
      <c r="D1625" s="31"/>
      <c r="H1625" s="31"/>
    </row>
    <row r="1626">
      <c r="A1626" s="31"/>
      <c r="C1626" s="31"/>
      <c r="D1626" s="31"/>
      <c r="H1626" s="31"/>
    </row>
    <row r="1627">
      <c r="A1627" s="31"/>
      <c r="C1627" s="31"/>
      <c r="D1627" s="31"/>
      <c r="H1627" s="31"/>
    </row>
    <row r="1628">
      <c r="A1628" s="31"/>
      <c r="C1628" s="31"/>
      <c r="D1628" s="31"/>
      <c r="H1628" s="31"/>
    </row>
    <row r="1629">
      <c r="A1629" s="31"/>
      <c r="C1629" s="31"/>
      <c r="D1629" s="31"/>
      <c r="H1629" s="31"/>
    </row>
    <row r="1630">
      <c r="A1630" s="31"/>
      <c r="C1630" s="31"/>
      <c r="D1630" s="31"/>
      <c r="H1630" s="31"/>
    </row>
    <row r="1631">
      <c r="A1631" s="31"/>
      <c r="C1631" s="31"/>
      <c r="D1631" s="31"/>
      <c r="H1631" s="31"/>
    </row>
    <row r="1632">
      <c r="A1632" s="31"/>
      <c r="C1632" s="31"/>
      <c r="D1632" s="31"/>
      <c r="H1632" s="31"/>
    </row>
    <row r="1633">
      <c r="A1633" s="31"/>
      <c r="C1633" s="31"/>
      <c r="D1633" s="31"/>
      <c r="H1633" s="31"/>
    </row>
    <row r="1634">
      <c r="A1634" s="31"/>
      <c r="C1634" s="31"/>
      <c r="D1634" s="31"/>
      <c r="H1634" s="31"/>
    </row>
    <row r="1635">
      <c r="A1635" s="31"/>
      <c r="C1635" s="31"/>
      <c r="D1635" s="31"/>
      <c r="H1635" s="31"/>
    </row>
    <row r="1636">
      <c r="A1636" s="31"/>
      <c r="C1636" s="31"/>
      <c r="D1636" s="31"/>
      <c r="H1636" s="31"/>
    </row>
    <row r="1637">
      <c r="A1637" s="31"/>
      <c r="C1637" s="31"/>
      <c r="D1637" s="31"/>
      <c r="H1637" s="31"/>
    </row>
    <row r="1638">
      <c r="A1638" s="31"/>
      <c r="C1638" s="31"/>
      <c r="D1638" s="31"/>
      <c r="H1638" s="31"/>
    </row>
    <row r="1639">
      <c r="A1639" s="31"/>
      <c r="C1639" s="31"/>
      <c r="D1639" s="31"/>
      <c r="H1639" s="31"/>
    </row>
    <row r="1640">
      <c r="A1640" s="31"/>
      <c r="C1640" s="31"/>
      <c r="D1640" s="31"/>
      <c r="H1640" s="31"/>
    </row>
    <row r="1641">
      <c r="A1641" s="31"/>
      <c r="C1641" s="31"/>
      <c r="D1641" s="31"/>
      <c r="H1641" s="31"/>
    </row>
    <row r="1642">
      <c r="A1642" s="31"/>
      <c r="C1642" s="31"/>
      <c r="D1642" s="31"/>
      <c r="H1642" s="31"/>
    </row>
    <row r="1643">
      <c r="A1643" s="31"/>
      <c r="C1643" s="31"/>
      <c r="D1643" s="31"/>
      <c r="H1643" s="31"/>
    </row>
    <row r="1644">
      <c r="A1644" s="31"/>
      <c r="C1644" s="31"/>
      <c r="D1644" s="31"/>
      <c r="H1644" s="31"/>
    </row>
    <row r="1645">
      <c r="A1645" s="31"/>
      <c r="C1645" s="31"/>
      <c r="D1645" s="31"/>
      <c r="H1645" s="31"/>
    </row>
    <row r="1646">
      <c r="A1646" s="31"/>
      <c r="C1646" s="31"/>
      <c r="D1646" s="31"/>
      <c r="H1646" s="31"/>
    </row>
    <row r="1647">
      <c r="A1647" s="31"/>
      <c r="C1647" s="31"/>
      <c r="D1647" s="31"/>
      <c r="H1647" s="31"/>
    </row>
    <row r="1648">
      <c r="A1648" s="31"/>
      <c r="C1648" s="31"/>
      <c r="D1648" s="31"/>
      <c r="H1648" s="31"/>
    </row>
    <row r="1649">
      <c r="A1649" s="31"/>
      <c r="C1649" s="31"/>
      <c r="D1649" s="31"/>
      <c r="H1649" s="31"/>
    </row>
    <row r="1650">
      <c r="A1650" s="31"/>
      <c r="C1650" s="31"/>
      <c r="D1650" s="31"/>
      <c r="H1650" s="31"/>
    </row>
    <row r="1651">
      <c r="A1651" s="31"/>
      <c r="C1651" s="31"/>
      <c r="D1651" s="31"/>
      <c r="H1651" s="31"/>
    </row>
    <row r="1652">
      <c r="A1652" s="31"/>
      <c r="C1652" s="31"/>
      <c r="D1652" s="31"/>
      <c r="H1652" s="31"/>
    </row>
    <row r="1653">
      <c r="A1653" s="31"/>
      <c r="C1653" s="31"/>
      <c r="D1653" s="31"/>
      <c r="H1653" s="31"/>
    </row>
    <row r="1654">
      <c r="A1654" s="31"/>
      <c r="C1654" s="31"/>
      <c r="D1654" s="31"/>
      <c r="H1654" s="31"/>
    </row>
    <row r="1655">
      <c r="A1655" s="31"/>
      <c r="C1655" s="31"/>
      <c r="D1655" s="31"/>
      <c r="H1655" s="31"/>
    </row>
    <row r="1656">
      <c r="A1656" s="31"/>
      <c r="C1656" s="31"/>
      <c r="D1656" s="31"/>
      <c r="H1656" s="31"/>
    </row>
    <row r="1657">
      <c r="A1657" s="31"/>
      <c r="C1657" s="31"/>
      <c r="D1657" s="31"/>
      <c r="H1657" s="31"/>
    </row>
    <row r="1658">
      <c r="A1658" s="31"/>
      <c r="C1658" s="31"/>
      <c r="D1658" s="31"/>
      <c r="H1658" s="31"/>
    </row>
    <row r="1659">
      <c r="A1659" s="31"/>
      <c r="C1659" s="31"/>
      <c r="D1659" s="31"/>
      <c r="H1659" s="31"/>
    </row>
    <row r="1660">
      <c r="A1660" s="31"/>
      <c r="C1660" s="31"/>
      <c r="D1660" s="31"/>
      <c r="H1660" s="31"/>
    </row>
    <row r="1661">
      <c r="A1661" s="31"/>
      <c r="C1661" s="31"/>
      <c r="D1661" s="31"/>
      <c r="H1661" s="31"/>
    </row>
    <row r="1662">
      <c r="A1662" s="31"/>
      <c r="C1662" s="31"/>
      <c r="D1662" s="31"/>
      <c r="H1662" s="31"/>
    </row>
    <row r="1663">
      <c r="A1663" s="31"/>
      <c r="C1663" s="31"/>
      <c r="D1663" s="31"/>
      <c r="H1663" s="31"/>
    </row>
    <row r="1664">
      <c r="A1664" s="31"/>
      <c r="C1664" s="31"/>
      <c r="D1664" s="31"/>
      <c r="H1664" s="31"/>
    </row>
    <row r="1665">
      <c r="A1665" s="31"/>
      <c r="C1665" s="31"/>
      <c r="D1665" s="31"/>
      <c r="H1665" s="31"/>
    </row>
    <row r="1666">
      <c r="A1666" s="31"/>
      <c r="C1666" s="31"/>
      <c r="D1666" s="31"/>
      <c r="H1666" s="31"/>
    </row>
    <row r="1667">
      <c r="A1667" s="31"/>
      <c r="C1667" s="31"/>
      <c r="D1667" s="31"/>
      <c r="H1667" s="31"/>
    </row>
    <row r="1668">
      <c r="A1668" s="31"/>
      <c r="C1668" s="31"/>
      <c r="D1668" s="31"/>
      <c r="H1668" s="31"/>
    </row>
    <row r="1669">
      <c r="A1669" s="31"/>
      <c r="C1669" s="31"/>
      <c r="D1669" s="31"/>
      <c r="H1669" s="31"/>
    </row>
    <row r="1670">
      <c r="A1670" s="31"/>
      <c r="C1670" s="31"/>
      <c r="D1670" s="31"/>
      <c r="H1670" s="31"/>
    </row>
    <row r="1671">
      <c r="A1671" s="31"/>
      <c r="C1671" s="31"/>
      <c r="D1671" s="31"/>
      <c r="H1671" s="31"/>
    </row>
    <row r="1672">
      <c r="A1672" s="31"/>
      <c r="C1672" s="31"/>
      <c r="D1672" s="31"/>
      <c r="H1672" s="31"/>
    </row>
    <row r="1673">
      <c r="A1673" s="31"/>
      <c r="C1673" s="31"/>
      <c r="D1673" s="31"/>
      <c r="H1673" s="31"/>
    </row>
    <row r="1674">
      <c r="A1674" s="31"/>
      <c r="C1674" s="31"/>
      <c r="D1674" s="31"/>
      <c r="H1674" s="31"/>
    </row>
    <row r="1675">
      <c r="A1675" s="31"/>
      <c r="C1675" s="31"/>
      <c r="D1675" s="31"/>
      <c r="H1675" s="31"/>
    </row>
    <row r="1676">
      <c r="A1676" s="31"/>
      <c r="C1676" s="31"/>
      <c r="D1676" s="31"/>
      <c r="H1676" s="31"/>
    </row>
    <row r="1677">
      <c r="A1677" s="31"/>
      <c r="C1677" s="31"/>
      <c r="D1677" s="31"/>
      <c r="H1677" s="31"/>
    </row>
    <row r="1678">
      <c r="A1678" s="31"/>
      <c r="C1678" s="31"/>
      <c r="D1678" s="31"/>
      <c r="H1678" s="31"/>
    </row>
    <row r="1679">
      <c r="A1679" s="31"/>
      <c r="C1679" s="31"/>
      <c r="D1679" s="31"/>
      <c r="H1679" s="31"/>
    </row>
    <row r="1680">
      <c r="A1680" s="31"/>
      <c r="C1680" s="31"/>
      <c r="D1680" s="31"/>
      <c r="H1680" s="31"/>
    </row>
    <row r="1681">
      <c r="A1681" s="31"/>
      <c r="C1681" s="31"/>
      <c r="D1681" s="31"/>
      <c r="H1681" s="31"/>
    </row>
    <row r="1682">
      <c r="A1682" s="31"/>
      <c r="C1682" s="31"/>
      <c r="D1682" s="31"/>
      <c r="H1682" s="31"/>
    </row>
    <row r="1683">
      <c r="A1683" s="31"/>
      <c r="C1683" s="31"/>
      <c r="D1683" s="31"/>
      <c r="H1683" s="31"/>
    </row>
    <row r="1684">
      <c r="A1684" s="31"/>
      <c r="C1684" s="31"/>
      <c r="D1684" s="31"/>
      <c r="H1684" s="31"/>
    </row>
    <row r="1685">
      <c r="A1685" s="31"/>
      <c r="C1685" s="31"/>
      <c r="D1685" s="31"/>
      <c r="H1685" s="31"/>
    </row>
    <row r="1686">
      <c r="A1686" s="31"/>
      <c r="C1686" s="31"/>
      <c r="D1686" s="31"/>
      <c r="H1686" s="31"/>
    </row>
    <row r="1687">
      <c r="A1687" s="31"/>
      <c r="C1687" s="31"/>
      <c r="D1687" s="31"/>
      <c r="H1687" s="31"/>
    </row>
    <row r="1688">
      <c r="A1688" s="31"/>
      <c r="C1688" s="31"/>
      <c r="D1688" s="31"/>
      <c r="H1688" s="31"/>
    </row>
    <row r="1689">
      <c r="A1689" s="31"/>
      <c r="C1689" s="31"/>
      <c r="D1689" s="31"/>
      <c r="H1689" s="31"/>
    </row>
    <row r="1690">
      <c r="A1690" s="31"/>
      <c r="C1690" s="31"/>
      <c r="D1690" s="31"/>
      <c r="H1690" s="31"/>
    </row>
    <row r="1691">
      <c r="A1691" s="31"/>
      <c r="C1691" s="31"/>
      <c r="D1691" s="31"/>
      <c r="H1691" s="31"/>
    </row>
    <row r="1692">
      <c r="A1692" s="31"/>
      <c r="C1692" s="31"/>
      <c r="D1692" s="31"/>
      <c r="H1692" s="31"/>
    </row>
    <row r="1693">
      <c r="A1693" s="31"/>
      <c r="C1693" s="31"/>
      <c r="D1693" s="31"/>
      <c r="H1693" s="31"/>
    </row>
    <row r="1694">
      <c r="A1694" s="31"/>
      <c r="C1694" s="31"/>
      <c r="D1694" s="31"/>
      <c r="H1694" s="31"/>
    </row>
    <row r="1695">
      <c r="A1695" s="31"/>
      <c r="C1695" s="31"/>
      <c r="D1695" s="31"/>
      <c r="H1695" s="31"/>
    </row>
    <row r="1696">
      <c r="A1696" s="31"/>
      <c r="C1696" s="31"/>
      <c r="D1696" s="31"/>
      <c r="H1696" s="31"/>
    </row>
    <row r="1697">
      <c r="A1697" s="31"/>
      <c r="C1697" s="31"/>
      <c r="D1697" s="31"/>
      <c r="H1697" s="31"/>
    </row>
    <row r="1698">
      <c r="A1698" s="31"/>
      <c r="C1698" s="31"/>
      <c r="D1698" s="31"/>
      <c r="H1698" s="31"/>
    </row>
    <row r="1699">
      <c r="A1699" s="31"/>
      <c r="C1699" s="31"/>
      <c r="D1699" s="31"/>
      <c r="H1699" s="31"/>
    </row>
    <row r="1700">
      <c r="A1700" s="31"/>
      <c r="C1700" s="31"/>
      <c r="D1700" s="31"/>
      <c r="H1700" s="31"/>
    </row>
    <row r="1701">
      <c r="A1701" s="31"/>
      <c r="C1701" s="31"/>
      <c r="D1701" s="31"/>
      <c r="H1701" s="31"/>
    </row>
    <row r="1702">
      <c r="A1702" s="31"/>
      <c r="C1702" s="31"/>
      <c r="D1702" s="31"/>
      <c r="H1702" s="31"/>
    </row>
    <row r="1703">
      <c r="A1703" s="31"/>
      <c r="C1703" s="31"/>
      <c r="D1703" s="31"/>
      <c r="H1703" s="31"/>
    </row>
    <row r="1704">
      <c r="A1704" s="31"/>
      <c r="C1704" s="31"/>
      <c r="D1704" s="31"/>
      <c r="H1704" s="31"/>
    </row>
    <row r="1705">
      <c r="A1705" s="31"/>
      <c r="C1705" s="31"/>
      <c r="D1705" s="31"/>
      <c r="H1705" s="31"/>
    </row>
    <row r="1706">
      <c r="A1706" s="31"/>
      <c r="C1706" s="31"/>
      <c r="D1706" s="31"/>
      <c r="H1706" s="31"/>
    </row>
    <row r="1707">
      <c r="A1707" s="31"/>
      <c r="C1707" s="31"/>
      <c r="D1707" s="31"/>
      <c r="H1707" s="31"/>
    </row>
    <row r="1708">
      <c r="A1708" s="31"/>
      <c r="C1708" s="31"/>
      <c r="D1708" s="31"/>
      <c r="H1708" s="31"/>
    </row>
    <row r="1709">
      <c r="A1709" s="31"/>
      <c r="C1709" s="31"/>
      <c r="D1709" s="31"/>
      <c r="H1709" s="31"/>
    </row>
    <row r="1710">
      <c r="A1710" s="31"/>
      <c r="C1710" s="31"/>
      <c r="D1710" s="31"/>
      <c r="H1710" s="31"/>
    </row>
    <row r="1711">
      <c r="A1711" s="31"/>
      <c r="C1711" s="31"/>
      <c r="D1711" s="31"/>
      <c r="H1711" s="31"/>
    </row>
    <row r="1712">
      <c r="A1712" s="31"/>
      <c r="C1712" s="31"/>
      <c r="D1712" s="31"/>
      <c r="H1712" s="31"/>
    </row>
    <row r="1713">
      <c r="A1713" s="31"/>
      <c r="C1713" s="31"/>
      <c r="D1713" s="31"/>
      <c r="H1713" s="31"/>
    </row>
    <row r="1714">
      <c r="A1714" s="31"/>
      <c r="C1714" s="31"/>
      <c r="D1714" s="31"/>
      <c r="H1714" s="31"/>
    </row>
    <row r="1715">
      <c r="A1715" s="31"/>
      <c r="C1715" s="31"/>
      <c r="D1715" s="31"/>
      <c r="H1715" s="31"/>
    </row>
    <row r="1716">
      <c r="A1716" s="31"/>
      <c r="C1716" s="31"/>
      <c r="D1716" s="31"/>
      <c r="H1716" s="31"/>
    </row>
    <row r="1717">
      <c r="A1717" s="31"/>
      <c r="C1717" s="31"/>
      <c r="D1717" s="31"/>
      <c r="H1717" s="31"/>
    </row>
    <row r="1718">
      <c r="A1718" s="31"/>
      <c r="C1718" s="31"/>
      <c r="D1718" s="31"/>
      <c r="H1718" s="31"/>
    </row>
    <row r="1719">
      <c r="A1719" s="31"/>
      <c r="C1719" s="31"/>
      <c r="D1719" s="31"/>
      <c r="H1719" s="31"/>
    </row>
    <row r="1720">
      <c r="A1720" s="31"/>
      <c r="C1720" s="31"/>
      <c r="D1720" s="31"/>
      <c r="H1720" s="31"/>
    </row>
    <row r="1721">
      <c r="A1721" s="31"/>
      <c r="C1721" s="31"/>
      <c r="D1721" s="31"/>
      <c r="H1721" s="31"/>
    </row>
    <row r="1722">
      <c r="A1722" s="31"/>
      <c r="C1722" s="31"/>
      <c r="D1722" s="31"/>
      <c r="H1722" s="31"/>
    </row>
    <row r="1723">
      <c r="A1723" s="31"/>
      <c r="C1723" s="31"/>
      <c r="D1723" s="31"/>
      <c r="H1723" s="31"/>
    </row>
    <row r="1724">
      <c r="A1724" s="31"/>
      <c r="C1724" s="31"/>
      <c r="D1724" s="31"/>
      <c r="H1724" s="31"/>
    </row>
    <row r="1725">
      <c r="A1725" s="31"/>
      <c r="C1725" s="31"/>
      <c r="D1725" s="31"/>
      <c r="H1725" s="31"/>
    </row>
    <row r="1726">
      <c r="A1726" s="31"/>
      <c r="C1726" s="31"/>
      <c r="D1726" s="31"/>
      <c r="H1726" s="31"/>
    </row>
    <row r="1727">
      <c r="A1727" s="31"/>
      <c r="C1727" s="31"/>
      <c r="D1727" s="31"/>
      <c r="H1727" s="31"/>
    </row>
    <row r="1728">
      <c r="A1728" s="31"/>
      <c r="C1728" s="31"/>
      <c r="D1728" s="31"/>
      <c r="H1728" s="31"/>
    </row>
    <row r="1729">
      <c r="A1729" s="31"/>
      <c r="C1729" s="31"/>
      <c r="D1729" s="31"/>
      <c r="H1729" s="31"/>
    </row>
    <row r="1730">
      <c r="A1730" s="31"/>
      <c r="C1730" s="31"/>
      <c r="D1730" s="31"/>
      <c r="H1730" s="31"/>
    </row>
    <row r="1731">
      <c r="A1731" s="31"/>
      <c r="C1731" s="31"/>
      <c r="D1731" s="31"/>
      <c r="H1731" s="31"/>
    </row>
    <row r="1732">
      <c r="A1732" s="31"/>
      <c r="C1732" s="31"/>
      <c r="D1732" s="31"/>
      <c r="H1732" s="31"/>
    </row>
    <row r="1733">
      <c r="A1733" s="31"/>
      <c r="C1733" s="31"/>
      <c r="D1733" s="31"/>
      <c r="H1733" s="31"/>
    </row>
    <row r="1734">
      <c r="A1734" s="31"/>
      <c r="C1734" s="31"/>
      <c r="D1734" s="31"/>
      <c r="H1734" s="31"/>
    </row>
    <row r="1735">
      <c r="A1735" s="31"/>
      <c r="C1735" s="31"/>
      <c r="D1735" s="31"/>
      <c r="H1735" s="31"/>
    </row>
    <row r="1736">
      <c r="A1736" s="31"/>
      <c r="C1736" s="31"/>
      <c r="D1736" s="31"/>
      <c r="H1736" s="31"/>
    </row>
    <row r="1737">
      <c r="A1737" s="31"/>
      <c r="C1737" s="31"/>
      <c r="D1737" s="31"/>
      <c r="H1737" s="31"/>
    </row>
    <row r="1738">
      <c r="A1738" s="31"/>
      <c r="C1738" s="31"/>
      <c r="D1738" s="31"/>
      <c r="H1738" s="31"/>
    </row>
    <row r="1739">
      <c r="A1739" s="31"/>
      <c r="C1739" s="31"/>
      <c r="D1739" s="31"/>
      <c r="H1739" s="31"/>
    </row>
    <row r="1740">
      <c r="A1740" s="31"/>
      <c r="C1740" s="31"/>
      <c r="D1740" s="31"/>
      <c r="H1740" s="31"/>
    </row>
    <row r="1741">
      <c r="A1741" s="31"/>
      <c r="C1741" s="31"/>
      <c r="D1741" s="31"/>
      <c r="H1741" s="31"/>
    </row>
    <row r="1742">
      <c r="A1742" s="31"/>
      <c r="C1742" s="31"/>
      <c r="D1742" s="31"/>
      <c r="H1742" s="31"/>
    </row>
    <row r="1743">
      <c r="A1743" s="31"/>
      <c r="C1743" s="31"/>
      <c r="D1743" s="31"/>
      <c r="H1743" s="31"/>
    </row>
    <row r="1744">
      <c r="A1744" s="31"/>
      <c r="C1744" s="31"/>
      <c r="D1744" s="31"/>
      <c r="H1744" s="31"/>
    </row>
    <row r="1745">
      <c r="A1745" s="31"/>
      <c r="C1745" s="31"/>
      <c r="D1745" s="31"/>
      <c r="H1745" s="31"/>
    </row>
    <row r="1746">
      <c r="A1746" s="31"/>
      <c r="C1746" s="31"/>
      <c r="D1746" s="31"/>
      <c r="H1746" s="31"/>
    </row>
    <row r="1747">
      <c r="A1747" s="31"/>
      <c r="C1747" s="31"/>
      <c r="D1747" s="31"/>
      <c r="H1747" s="31"/>
    </row>
    <row r="1748">
      <c r="A1748" s="31"/>
      <c r="C1748" s="31"/>
      <c r="D1748" s="31"/>
      <c r="H1748" s="31"/>
    </row>
    <row r="1749">
      <c r="A1749" s="31"/>
      <c r="C1749" s="31"/>
      <c r="D1749" s="31"/>
      <c r="H1749" s="31"/>
    </row>
    <row r="1750">
      <c r="A1750" s="31"/>
      <c r="C1750" s="31"/>
      <c r="D1750" s="31"/>
      <c r="H1750" s="31"/>
    </row>
    <row r="1751">
      <c r="A1751" s="31"/>
      <c r="C1751" s="31"/>
      <c r="D1751" s="31"/>
      <c r="H1751" s="31"/>
    </row>
    <row r="1752">
      <c r="A1752" s="31"/>
      <c r="C1752" s="31"/>
      <c r="D1752" s="31"/>
      <c r="H1752" s="31"/>
    </row>
    <row r="1753">
      <c r="A1753" s="31"/>
      <c r="C1753" s="31"/>
      <c r="D1753" s="31"/>
      <c r="H1753" s="31"/>
    </row>
    <row r="1754">
      <c r="A1754" s="31"/>
      <c r="C1754" s="31"/>
      <c r="D1754" s="31"/>
      <c r="H1754" s="31"/>
    </row>
    <row r="1755">
      <c r="A1755" s="31"/>
      <c r="C1755" s="31"/>
      <c r="D1755" s="31"/>
      <c r="H1755" s="31"/>
    </row>
    <row r="1756">
      <c r="A1756" s="31"/>
      <c r="C1756" s="31"/>
      <c r="D1756" s="31"/>
      <c r="H1756" s="31"/>
    </row>
    <row r="1757">
      <c r="A1757" s="31"/>
      <c r="C1757" s="31"/>
      <c r="D1757" s="31"/>
      <c r="H1757" s="31"/>
    </row>
    <row r="1758">
      <c r="A1758" s="31"/>
      <c r="C1758" s="31"/>
      <c r="D1758" s="31"/>
      <c r="H1758" s="31"/>
    </row>
    <row r="1759">
      <c r="A1759" s="31"/>
      <c r="C1759" s="31"/>
      <c r="D1759" s="31"/>
      <c r="H1759" s="31"/>
    </row>
    <row r="1760">
      <c r="A1760" s="31"/>
      <c r="C1760" s="31"/>
      <c r="D1760" s="31"/>
      <c r="H1760" s="31"/>
    </row>
    <row r="1761">
      <c r="A1761" s="31"/>
      <c r="C1761" s="31"/>
      <c r="D1761" s="31"/>
      <c r="H1761" s="31"/>
    </row>
    <row r="1762">
      <c r="A1762" s="31"/>
      <c r="C1762" s="31"/>
      <c r="D1762" s="31"/>
      <c r="H1762" s="31"/>
    </row>
    <row r="1763">
      <c r="A1763" s="31"/>
      <c r="C1763" s="31"/>
      <c r="D1763" s="31"/>
      <c r="H1763" s="31"/>
    </row>
    <row r="1764">
      <c r="A1764" s="31"/>
      <c r="C1764" s="31"/>
      <c r="D1764" s="31"/>
      <c r="H1764" s="31"/>
    </row>
    <row r="1765">
      <c r="A1765" s="31"/>
      <c r="C1765" s="31"/>
      <c r="D1765" s="31"/>
      <c r="H1765" s="31"/>
    </row>
    <row r="1766">
      <c r="A1766" s="31"/>
      <c r="C1766" s="31"/>
      <c r="D1766" s="31"/>
      <c r="H1766" s="31"/>
    </row>
    <row r="1767">
      <c r="A1767" s="31"/>
      <c r="C1767" s="31"/>
      <c r="D1767" s="31"/>
      <c r="H1767" s="31"/>
    </row>
    <row r="1768">
      <c r="A1768" s="31"/>
      <c r="C1768" s="31"/>
      <c r="D1768" s="31"/>
      <c r="H1768" s="31"/>
    </row>
    <row r="1769">
      <c r="A1769" s="31"/>
      <c r="C1769" s="31"/>
      <c r="D1769" s="31"/>
      <c r="H1769" s="31"/>
    </row>
    <row r="1770">
      <c r="A1770" s="31"/>
      <c r="C1770" s="31"/>
      <c r="D1770" s="31"/>
      <c r="H1770" s="31"/>
    </row>
    <row r="1771">
      <c r="A1771" s="31"/>
      <c r="C1771" s="31"/>
      <c r="D1771" s="31"/>
      <c r="H1771" s="31"/>
    </row>
    <row r="1772">
      <c r="A1772" s="31"/>
      <c r="C1772" s="31"/>
      <c r="D1772" s="31"/>
      <c r="H1772" s="31"/>
    </row>
    <row r="1773">
      <c r="A1773" s="31"/>
      <c r="C1773" s="31"/>
      <c r="D1773" s="31"/>
      <c r="H1773" s="31"/>
    </row>
    <row r="1774">
      <c r="A1774" s="31"/>
      <c r="C1774" s="31"/>
      <c r="D1774" s="31"/>
      <c r="H1774" s="31"/>
    </row>
    <row r="1775">
      <c r="A1775" s="31"/>
      <c r="C1775" s="31"/>
      <c r="D1775" s="31"/>
      <c r="H1775" s="31"/>
    </row>
    <row r="1776">
      <c r="A1776" s="31"/>
      <c r="C1776" s="31"/>
      <c r="D1776" s="31"/>
      <c r="H1776" s="31"/>
    </row>
    <row r="1777">
      <c r="A1777" s="31"/>
      <c r="C1777" s="31"/>
      <c r="D1777" s="31"/>
      <c r="H1777" s="31"/>
    </row>
    <row r="1778">
      <c r="A1778" s="31"/>
      <c r="C1778" s="31"/>
      <c r="D1778" s="31"/>
      <c r="H1778" s="31"/>
    </row>
    <row r="1779">
      <c r="A1779" s="31"/>
      <c r="C1779" s="31"/>
      <c r="D1779" s="31"/>
      <c r="H1779" s="31"/>
    </row>
    <row r="1780">
      <c r="A1780" s="31"/>
      <c r="C1780" s="31"/>
      <c r="D1780" s="31"/>
      <c r="H1780" s="31"/>
    </row>
    <row r="1781">
      <c r="A1781" s="31"/>
      <c r="C1781" s="31"/>
      <c r="D1781" s="31"/>
      <c r="H1781" s="31"/>
    </row>
    <row r="1782">
      <c r="A1782" s="31"/>
      <c r="C1782" s="31"/>
      <c r="D1782" s="31"/>
      <c r="H1782" s="31"/>
    </row>
    <row r="1783">
      <c r="A1783" s="31"/>
      <c r="C1783" s="31"/>
      <c r="D1783" s="31"/>
      <c r="H1783" s="31"/>
    </row>
    <row r="1784">
      <c r="A1784" s="31"/>
      <c r="C1784" s="31"/>
      <c r="D1784" s="31"/>
      <c r="H1784" s="31"/>
    </row>
    <row r="1785">
      <c r="A1785" s="31"/>
      <c r="C1785" s="31"/>
      <c r="D1785" s="31"/>
      <c r="H1785" s="31"/>
    </row>
    <row r="1786">
      <c r="A1786" s="31"/>
      <c r="C1786" s="31"/>
      <c r="D1786" s="31"/>
      <c r="H1786" s="31"/>
    </row>
    <row r="1787">
      <c r="A1787" s="31"/>
      <c r="C1787" s="31"/>
      <c r="D1787" s="31"/>
      <c r="H1787" s="31"/>
    </row>
    <row r="1788">
      <c r="A1788" s="31"/>
      <c r="C1788" s="31"/>
      <c r="D1788" s="31"/>
      <c r="H1788" s="31"/>
    </row>
    <row r="1789">
      <c r="A1789" s="31"/>
      <c r="C1789" s="31"/>
      <c r="D1789" s="31"/>
      <c r="H1789" s="31"/>
    </row>
    <row r="1790">
      <c r="A1790" s="31"/>
      <c r="C1790" s="31"/>
      <c r="D1790" s="31"/>
      <c r="H1790" s="31"/>
    </row>
    <row r="1791">
      <c r="A1791" s="31"/>
      <c r="C1791" s="31"/>
      <c r="D1791" s="31"/>
      <c r="H1791" s="31"/>
    </row>
    <row r="1792">
      <c r="A1792" s="31"/>
      <c r="C1792" s="31"/>
      <c r="D1792" s="31"/>
      <c r="H1792" s="31"/>
    </row>
    <row r="1793">
      <c r="A1793" s="31"/>
      <c r="C1793" s="31"/>
      <c r="D1793" s="31"/>
      <c r="H1793" s="31"/>
    </row>
    <row r="1794">
      <c r="A1794" s="31"/>
      <c r="C1794" s="31"/>
      <c r="D1794" s="31"/>
      <c r="H1794" s="31"/>
    </row>
    <row r="1795">
      <c r="A1795" s="31"/>
      <c r="C1795" s="31"/>
      <c r="D1795" s="31"/>
      <c r="H1795" s="31"/>
    </row>
    <row r="1796">
      <c r="A1796" s="31"/>
      <c r="C1796" s="31"/>
      <c r="D1796" s="31"/>
      <c r="H1796" s="31"/>
    </row>
    <row r="1797">
      <c r="A1797" s="31"/>
      <c r="C1797" s="31"/>
      <c r="D1797" s="31"/>
      <c r="H1797" s="31"/>
    </row>
    <row r="1798">
      <c r="A1798" s="31"/>
      <c r="C1798" s="31"/>
      <c r="D1798" s="31"/>
      <c r="H1798" s="31"/>
    </row>
    <row r="1799">
      <c r="A1799" s="31"/>
      <c r="C1799" s="31"/>
      <c r="D1799" s="31"/>
      <c r="H1799" s="31"/>
    </row>
    <row r="1800">
      <c r="A1800" s="31"/>
      <c r="C1800" s="31"/>
      <c r="D1800" s="31"/>
      <c r="H1800" s="31"/>
    </row>
    <row r="1801">
      <c r="A1801" s="31"/>
      <c r="C1801" s="31"/>
      <c r="D1801" s="31"/>
      <c r="H1801" s="31"/>
    </row>
    <row r="1802">
      <c r="A1802" s="31"/>
      <c r="C1802" s="31"/>
      <c r="D1802" s="31"/>
      <c r="H1802" s="31"/>
    </row>
    <row r="1803">
      <c r="A1803" s="31"/>
      <c r="C1803" s="31"/>
      <c r="D1803" s="31"/>
      <c r="H1803" s="31"/>
    </row>
    <row r="1804">
      <c r="A1804" s="31"/>
      <c r="C1804" s="31"/>
      <c r="D1804" s="31"/>
      <c r="H1804" s="31"/>
    </row>
    <row r="1805">
      <c r="A1805" s="31"/>
      <c r="C1805" s="31"/>
      <c r="D1805" s="31"/>
      <c r="H1805" s="31"/>
    </row>
    <row r="1806">
      <c r="A1806" s="31"/>
      <c r="C1806" s="31"/>
      <c r="D1806" s="31"/>
      <c r="H1806" s="31"/>
    </row>
    <row r="1807">
      <c r="A1807" s="31"/>
      <c r="C1807" s="31"/>
      <c r="D1807" s="31"/>
      <c r="H1807" s="31"/>
    </row>
    <row r="1808">
      <c r="A1808" s="31"/>
      <c r="C1808" s="31"/>
      <c r="D1808" s="31"/>
      <c r="H1808" s="31"/>
    </row>
    <row r="1809">
      <c r="A1809" s="31"/>
      <c r="C1809" s="31"/>
      <c r="D1809" s="31"/>
      <c r="H1809" s="31"/>
    </row>
    <row r="1810">
      <c r="A1810" s="31"/>
      <c r="C1810" s="31"/>
      <c r="D1810" s="31"/>
      <c r="H1810" s="31"/>
    </row>
    <row r="1811">
      <c r="A1811" s="31"/>
      <c r="C1811" s="31"/>
      <c r="D1811" s="31"/>
      <c r="H1811" s="31"/>
    </row>
    <row r="1812">
      <c r="A1812" s="31"/>
      <c r="C1812" s="31"/>
      <c r="D1812" s="31"/>
      <c r="H1812" s="31"/>
    </row>
    <row r="1813">
      <c r="A1813" s="31"/>
      <c r="C1813" s="31"/>
      <c r="D1813" s="31"/>
      <c r="H1813" s="31"/>
    </row>
    <row r="1814">
      <c r="A1814" s="31"/>
      <c r="C1814" s="31"/>
      <c r="D1814" s="31"/>
      <c r="H1814" s="31"/>
    </row>
    <row r="1815">
      <c r="A1815" s="31"/>
      <c r="C1815" s="31"/>
      <c r="D1815" s="31"/>
      <c r="H1815" s="31"/>
    </row>
    <row r="1816">
      <c r="A1816" s="31"/>
      <c r="C1816" s="31"/>
      <c r="D1816" s="31"/>
      <c r="H1816" s="31"/>
    </row>
    <row r="1817">
      <c r="A1817" s="31"/>
      <c r="C1817" s="31"/>
      <c r="D1817" s="31"/>
      <c r="H1817" s="31"/>
    </row>
    <row r="1818">
      <c r="A1818" s="31"/>
      <c r="C1818" s="31"/>
      <c r="D1818" s="31"/>
      <c r="H1818" s="31"/>
    </row>
    <row r="1819">
      <c r="A1819" s="31"/>
      <c r="C1819" s="31"/>
      <c r="D1819" s="31"/>
      <c r="H1819" s="31"/>
    </row>
    <row r="1820">
      <c r="A1820" s="31"/>
      <c r="C1820" s="31"/>
      <c r="D1820" s="31"/>
      <c r="H1820" s="31"/>
    </row>
    <row r="1821">
      <c r="A1821" s="31"/>
      <c r="C1821" s="31"/>
      <c r="D1821" s="31"/>
      <c r="H1821" s="31"/>
    </row>
    <row r="1822">
      <c r="A1822" s="31"/>
      <c r="C1822" s="31"/>
      <c r="D1822" s="31"/>
      <c r="H1822" s="31"/>
    </row>
    <row r="1823">
      <c r="A1823" s="31"/>
      <c r="C1823" s="31"/>
      <c r="D1823" s="31"/>
      <c r="H1823" s="31"/>
    </row>
    <row r="1824">
      <c r="A1824" s="31"/>
      <c r="C1824" s="31"/>
      <c r="D1824" s="31"/>
      <c r="H1824" s="31"/>
    </row>
    <row r="1825">
      <c r="A1825" s="31"/>
      <c r="C1825" s="31"/>
      <c r="D1825" s="31"/>
      <c r="H1825" s="31"/>
    </row>
    <row r="1826">
      <c r="A1826" s="31"/>
      <c r="C1826" s="31"/>
      <c r="D1826" s="31"/>
      <c r="H1826" s="31"/>
    </row>
    <row r="1827">
      <c r="A1827" s="31"/>
      <c r="C1827" s="31"/>
      <c r="D1827" s="31"/>
      <c r="H1827" s="31"/>
    </row>
    <row r="1828">
      <c r="A1828" s="31"/>
      <c r="C1828" s="31"/>
      <c r="D1828" s="31"/>
      <c r="H1828" s="31"/>
    </row>
    <row r="1829">
      <c r="A1829" s="31"/>
      <c r="C1829" s="31"/>
      <c r="D1829" s="31"/>
      <c r="H1829" s="31"/>
    </row>
    <row r="1830">
      <c r="A1830" s="31"/>
      <c r="C1830" s="31"/>
      <c r="D1830" s="31"/>
      <c r="H1830" s="31"/>
    </row>
    <row r="1831">
      <c r="A1831" s="31"/>
      <c r="C1831" s="31"/>
      <c r="D1831" s="31"/>
      <c r="H1831" s="31"/>
    </row>
    <row r="1832">
      <c r="A1832" s="31"/>
      <c r="C1832" s="31"/>
      <c r="D1832" s="31"/>
      <c r="H1832" s="31"/>
    </row>
    <row r="1833">
      <c r="A1833" s="31"/>
      <c r="C1833" s="31"/>
      <c r="D1833" s="31"/>
      <c r="H1833" s="31"/>
    </row>
    <row r="1834">
      <c r="A1834" s="31"/>
      <c r="C1834" s="31"/>
      <c r="D1834" s="31"/>
      <c r="H1834" s="31"/>
    </row>
    <row r="1835">
      <c r="A1835" s="31"/>
      <c r="C1835" s="31"/>
      <c r="D1835" s="31"/>
      <c r="H1835" s="31"/>
    </row>
    <row r="1836">
      <c r="A1836" s="31"/>
      <c r="C1836" s="31"/>
      <c r="D1836" s="31"/>
      <c r="H1836" s="31"/>
    </row>
    <row r="1837">
      <c r="A1837" s="31"/>
      <c r="C1837" s="31"/>
      <c r="D1837" s="31"/>
      <c r="H1837" s="31"/>
    </row>
    <row r="1838">
      <c r="A1838" s="31"/>
      <c r="C1838" s="31"/>
      <c r="D1838" s="31"/>
      <c r="H1838" s="31"/>
    </row>
    <row r="1839">
      <c r="A1839" s="31"/>
      <c r="C1839" s="31"/>
      <c r="D1839" s="31"/>
      <c r="H1839" s="31"/>
    </row>
    <row r="1840">
      <c r="A1840" s="31"/>
      <c r="C1840" s="31"/>
      <c r="D1840" s="31"/>
      <c r="H1840" s="31"/>
    </row>
    <row r="1841">
      <c r="A1841" s="31"/>
      <c r="C1841" s="31"/>
      <c r="D1841" s="31"/>
      <c r="H1841" s="31"/>
    </row>
    <row r="1842">
      <c r="A1842" s="31"/>
      <c r="C1842" s="31"/>
      <c r="D1842" s="31"/>
      <c r="H1842" s="31"/>
    </row>
    <row r="1843">
      <c r="A1843" s="31"/>
      <c r="C1843" s="31"/>
      <c r="D1843" s="31"/>
      <c r="H1843" s="31"/>
    </row>
    <row r="1844">
      <c r="A1844" s="31"/>
      <c r="C1844" s="31"/>
      <c r="D1844" s="31"/>
      <c r="H1844" s="31"/>
    </row>
    <row r="1845">
      <c r="A1845" s="31"/>
      <c r="C1845" s="31"/>
      <c r="D1845" s="31"/>
      <c r="H1845" s="31"/>
    </row>
    <row r="1846">
      <c r="A1846" s="31"/>
      <c r="C1846" s="31"/>
      <c r="D1846" s="31"/>
      <c r="H1846" s="31"/>
    </row>
    <row r="1847">
      <c r="A1847" s="31"/>
      <c r="C1847" s="31"/>
      <c r="D1847" s="31"/>
      <c r="H1847" s="31"/>
    </row>
    <row r="1848">
      <c r="A1848" s="31"/>
      <c r="C1848" s="31"/>
      <c r="D1848" s="31"/>
      <c r="H1848" s="31"/>
    </row>
    <row r="1849">
      <c r="A1849" s="31"/>
      <c r="C1849" s="31"/>
      <c r="D1849" s="31"/>
      <c r="H1849" s="31"/>
    </row>
    <row r="1850">
      <c r="A1850" s="31"/>
      <c r="C1850" s="31"/>
      <c r="D1850" s="31"/>
      <c r="H1850" s="31"/>
    </row>
    <row r="1851">
      <c r="A1851" s="31"/>
      <c r="C1851" s="31"/>
      <c r="D1851" s="31"/>
      <c r="H1851" s="31"/>
    </row>
    <row r="1852">
      <c r="A1852" s="31"/>
      <c r="C1852" s="31"/>
      <c r="D1852" s="31"/>
      <c r="H1852" s="31"/>
    </row>
    <row r="1853">
      <c r="A1853" s="31"/>
      <c r="C1853" s="31"/>
      <c r="D1853" s="31"/>
      <c r="H1853" s="31"/>
    </row>
    <row r="1854">
      <c r="A1854" s="31"/>
      <c r="C1854" s="31"/>
      <c r="D1854" s="31"/>
      <c r="H1854" s="31"/>
    </row>
    <row r="1855">
      <c r="A1855" s="31"/>
      <c r="C1855" s="31"/>
      <c r="D1855" s="31"/>
      <c r="H1855" s="31"/>
    </row>
    <row r="1856">
      <c r="A1856" s="31"/>
      <c r="C1856" s="31"/>
      <c r="D1856" s="31"/>
      <c r="H1856" s="31"/>
    </row>
    <row r="1857">
      <c r="A1857" s="31"/>
      <c r="C1857" s="31"/>
      <c r="D1857" s="31"/>
      <c r="H1857" s="31"/>
    </row>
    <row r="1858">
      <c r="A1858" s="31"/>
      <c r="C1858" s="31"/>
      <c r="D1858" s="31"/>
      <c r="H1858" s="31"/>
    </row>
    <row r="1859">
      <c r="A1859" s="31"/>
      <c r="C1859" s="31"/>
      <c r="D1859" s="31"/>
      <c r="H1859" s="31"/>
    </row>
    <row r="1860">
      <c r="A1860" s="31"/>
      <c r="C1860" s="31"/>
      <c r="D1860" s="31"/>
      <c r="H1860" s="31"/>
    </row>
    <row r="1861">
      <c r="A1861" s="31"/>
      <c r="C1861" s="31"/>
      <c r="D1861" s="31"/>
      <c r="H1861" s="31"/>
    </row>
    <row r="1862">
      <c r="A1862" s="31"/>
      <c r="C1862" s="31"/>
      <c r="D1862" s="31"/>
      <c r="H1862" s="31"/>
    </row>
    <row r="1863">
      <c r="A1863" s="31"/>
      <c r="C1863" s="31"/>
      <c r="D1863" s="31"/>
      <c r="H1863" s="31"/>
    </row>
    <row r="1864">
      <c r="A1864" s="31"/>
      <c r="C1864" s="31"/>
      <c r="D1864" s="31"/>
      <c r="H1864" s="31"/>
    </row>
    <row r="1865">
      <c r="A1865" s="31"/>
      <c r="C1865" s="31"/>
      <c r="D1865" s="31"/>
      <c r="H1865" s="31"/>
    </row>
    <row r="1866">
      <c r="A1866" s="31"/>
      <c r="C1866" s="31"/>
      <c r="D1866" s="31"/>
      <c r="H1866" s="31"/>
    </row>
    <row r="1867">
      <c r="A1867" s="31"/>
      <c r="C1867" s="31"/>
      <c r="D1867" s="31"/>
      <c r="H1867" s="31"/>
    </row>
    <row r="1868">
      <c r="A1868" s="31"/>
      <c r="C1868" s="31"/>
      <c r="D1868" s="31"/>
      <c r="H1868" s="31"/>
    </row>
    <row r="1869">
      <c r="A1869" s="31"/>
      <c r="C1869" s="31"/>
      <c r="D1869" s="31"/>
      <c r="H1869" s="31"/>
    </row>
    <row r="1870">
      <c r="A1870" s="31"/>
      <c r="C1870" s="31"/>
      <c r="D1870" s="31"/>
      <c r="H1870" s="31"/>
    </row>
    <row r="1871">
      <c r="A1871" s="31"/>
      <c r="C1871" s="31"/>
      <c r="D1871" s="31"/>
      <c r="H1871" s="31"/>
    </row>
    <row r="1872">
      <c r="A1872" s="31"/>
      <c r="C1872" s="31"/>
      <c r="D1872" s="31"/>
      <c r="H1872" s="31"/>
    </row>
    <row r="1873">
      <c r="A1873" s="31"/>
      <c r="C1873" s="31"/>
      <c r="D1873" s="31"/>
      <c r="H1873" s="31"/>
    </row>
    <row r="1874">
      <c r="A1874" s="31"/>
      <c r="C1874" s="31"/>
      <c r="D1874" s="31"/>
      <c r="H1874" s="31"/>
    </row>
    <row r="1875">
      <c r="A1875" s="31"/>
      <c r="C1875" s="31"/>
      <c r="D1875" s="31"/>
      <c r="H1875" s="31"/>
    </row>
    <row r="1876">
      <c r="A1876" s="31"/>
      <c r="C1876" s="31"/>
      <c r="D1876" s="31"/>
      <c r="H1876" s="31"/>
    </row>
    <row r="1877">
      <c r="A1877" s="31"/>
      <c r="C1877" s="31"/>
      <c r="D1877" s="31"/>
      <c r="H1877" s="31"/>
    </row>
    <row r="1878">
      <c r="A1878" s="31"/>
      <c r="C1878" s="31"/>
      <c r="D1878" s="31"/>
      <c r="H1878" s="31"/>
    </row>
    <row r="1879">
      <c r="A1879" s="31"/>
      <c r="C1879" s="31"/>
      <c r="D1879" s="31"/>
      <c r="H1879" s="31"/>
    </row>
    <row r="1880">
      <c r="A1880" s="31"/>
      <c r="C1880" s="31"/>
      <c r="D1880" s="31"/>
      <c r="H1880" s="31"/>
    </row>
    <row r="1881">
      <c r="A1881" s="31"/>
      <c r="C1881" s="31"/>
      <c r="D1881" s="31"/>
      <c r="H1881" s="31"/>
    </row>
    <row r="1882">
      <c r="A1882" s="31"/>
      <c r="C1882" s="31"/>
      <c r="D1882" s="31"/>
      <c r="H1882" s="31"/>
    </row>
    <row r="1883">
      <c r="A1883" s="31"/>
      <c r="C1883" s="31"/>
      <c r="D1883" s="31"/>
      <c r="H1883" s="31"/>
    </row>
    <row r="1884">
      <c r="A1884" s="31"/>
      <c r="C1884" s="31"/>
      <c r="D1884" s="31"/>
      <c r="H1884" s="31"/>
    </row>
    <row r="1885">
      <c r="A1885" s="31"/>
      <c r="C1885" s="31"/>
      <c r="D1885" s="31"/>
      <c r="H1885" s="31"/>
    </row>
    <row r="1886">
      <c r="A1886" s="31"/>
      <c r="C1886" s="31"/>
      <c r="D1886" s="31"/>
      <c r="H1886" s="31"/>
    </row>
    <row r="1887">
      <c r="A1887" s="31"/>
      <c r="C1887" s="31"/>
      <c r="D1887" s="31"/>
      <c r="H1887" s="31"/>
    </row>
    <row r="1888">
      <c r="A1888" s="31"/>
      <c r="C1888" s="31"/>
      <c r="D1888" s="31"/>
      <c r="H1888" s="31"/>
    </row>
    <row r="1889">
      <c r="A1889" s="31"/>
      <c r="C1889" s="31"/>
      <c r="D1889" s="31"/>
      <c r="H1889" s="31"/>
    </row>
    <row r="1890">
      <c r="A1890" s="31"/>
      <c r="C1890" s="31"/>
      <c r="D1890" s="31"/>
      <c r="H1890" s="31"/>
    </row>
    <row r="1891">
      <c r="A1891" s="31"/>
      <c r="C1891" s="31"/>
      <c r="D1891" s="31"/>
      <c r="H1891" s="31"/>
    </row>
    <row r="1892">
      <c r="A1892" s="31"/>
      <c r="C1892" s="31"/>
      <c r="D1892" s="31"/>
      <c r="H1892" s="31"/>
    </row>
    <row r="1893">
      <c r="A1893" s="31"/>
      <c r="C1893" s="31"/>
      <c r="D1893" s="31"/>
      <c r="H1893" s="31"/>
    </row>
    <row r="1894">
      <c r="A1894" s="31"/>
      <c r="C1894" s="31"/>
      <c r="D1894" s="31"/>
      <c r="H1894" s="31"/>
    </row>
    <row r="1895">
      <c r="A1895" s="31"/>
      <c r="C1895" s="31"/>
      <c r="D1895" s="31"/>
      <c r="H1895" s="31"/>
    </row>
    <row r="1896">
      <c r="A1896" s="31"/>
      <c r="C1896" s="31"/>
      <c r="D1896" s="31"/>
      <c r="H1896" s="31"/>
    </row>
    <row r="1897">
      <c r="A1897" s="31"/>
      <c r="C1897" s="31"/>
      <c r="D1897" s="31"/>
      <c r="H1897" s="31"/>
    </row>
    <row r="1898">
      <c r="A1898" s="31"/>
      <c r="C1898" s="31"/>
      <c r="D1898" s="31"/>
      <c r="H1898" s="31"/>
    </row>
    <row r="1899">
      <c r="A1899" s="31"/>
      <c r="C1899" s="31"/>
      <c r="D1899" s="31"/>
      <c r="H1899" s="31"/>
    </row>
    <row r="1900">
      <c r="A1900" s="31"/>
      <c r="C1900" s="31"/>
      <c r="D1900" s="31"/>
      <c r="H1900" s="31"/>
    </row>
    <row r="1901">
      <c r="A1901" s="31"/>
      <c r="C1901" s="31"/>
      <c r="D1901" s="31"/>
      <c r="H1901" s="31"/>
    </row>
    <row r="1902">
      <c r="A1902" s="31"/>
      <c r="C1902" s="31"/>
      <c r="D1902" s="31"/>
      <c r="H1902" s="31"/>
    </row>
    <row r="1903">
      <c r="A1903" s="31"/>
      <c r="C1903" s="31"/>
      <c r="D1903" s="31"/>
      <c r="H1903" s="31"/>
    </row>
    <row r="1904">
      <c r="A1904" s="31"/>
      <c r="C1904" s="31"/>
      <c r="D1904" s="31"/>
      <c r="H1904" s="31"/>
    </row>
    <row r="1905">
      <c r="A1905" s="31"/>
      <c r="C1905" s="31"/>
      <c r="D1905" s="31"/>
      <c r="H1905" s="31"/>
    </row>
    <row r="1906">
      <c r="A1906" s="31"/>
      <c r="C1906" s="31"/>
      <c r="D1906" s="31"/>
      <c r="H1906" s="31"/>
    </row>
    <row r="1907">
      <c r="A1907" s="31"/>
      <c r="C1907" s="31"/>
      <c r="D1907" s="31"/>
      <c r="H1907" s="31"/>
    </row>
    <row r="1908">
      <c r="A1908" s="31"/>
      <c r="C1908" s="31"/>
      <c r="D1908" s="31"/>
      <c r="H1908" s="31"/>
    </row>
    <row r="1909">
      <c r="A1909" s="31"/>
      <c r="C1909" s="31"/>
      <c r="D1909" s="31"/>
      <c r="H1909" s="31"/>
    </row>
    <row r="1910">
      <c r="A1910" s="31"/>
      <c r="C1910" s="31"/>
      <c r="D1910" s="31"/>
      <c r="H1910" s="31"/>
    </row>
    <row r="1911">
      <c r="A1911" s="31"/>
      <c r="C1911" s="31"/>
      <c r="D1911" s="31"/>
      <c r="H1911" s="31"/>
    </row>
    <row r="1912">
      <c r="A1912" s="31"/>
      <c r="C1912" s="31"/>
      <c r="D1912" s="31"/>
      <c r="H1912" s="31"/>
    </row>
    <row r="1913">
      <c r="A1913" s="31"/>
      <c r="C1913" s="31"/>
      <c r="D1913" s="31"/>
      <c r="H1913" s="31"/>
    </row>
    <row r="1914">
      <c r="A1914" s="31"/>
      <c r="C1914" s="31"/>
      <c r="D1914" s="31"/>
      <c r="H1914" s="31"/>
    </row>
    <row r="1915">
      <c r="A1915" s="31"/>
      <c r="C1915" s="31"/>
      <c r="D1915" s="31"/>
      <c r="H1915" s="31"/>
    </row>
    <row r="1916">
      <c r="A1916" s="31"/>
      <c r="C1916" s="31"/>
      <c r="D1916" s="31"/>
      <c r="H1916" s="31"/>
    </row>
    <row r="1917">
      <c r="A1917" s="31"/>
      <c r="C1917" s="31"/>
      <c r="D1917" s="31"/>
      <c r="H1917" s="31"/>
    </row>
    <row r="1918">
      <c r="A1918" s="31"/>
      <c r="C1918" s="31"/>
      <c r="D1918" s="31"/>
      <c r="H1918" s="31"/>
    </row>
    <row r="1919">
      <c r="A1919" s="31"/>
      <c r="C1919" s="31"/>
      <c r="D1919" s="31"/>
      <c r="H1919" s="31"/>
    </row>
    <row r="1920">
      <c r="A1920" s="31"/>
      <c r="C1920" s="31"/>
      <c r="D1920" s="31"/>
      <c r="H1920" s="31"/>
    </row>
    <row r="1921">
      <c r="A1921" s="31"/>
      <c r="C1921" s="31"/>
      <c r="D1921" s="31"/>
      <c r="H1921" s="31"/>
    </row>
    <row r="1922">
      <c r="A1922" s="31"/>
      <c r="C1922" s="31"/>
      <c r="D1922" s="31"/>
      <c r="H1922" s="31"/>
    </row>
    <row r="1923">
      <c r="A1923" s="31"/>
      <c r="C1923" s="31"/>
      <c r="D1923" s="31"/>
      <c r="H1923" s="31"/>
    </row>
    <row r="1924">
      <c r="A1924" s="31"/>
      <c r="C1924" s="31"/>
      <c r="D1924" s="31"/>
      <c r="H1924" s="31"/>
    </row>
    <row r="1925">
      <c r="A1925" s="31"/>
      <c r="C1925" s="31"/>
      <c r="D1925" s="31"/>
      <c r="H1925" s="31"/>
    </row>
    <row r="1926">
      <c r="A1926" s="31"/>
      <c r="C1926" s="31"/>
      <c r="D1926" s="31"/>
      <c r="H1926" s="31"/>
    </row>
    <row r="1927">
      <c r="A1927" s="31"/>
      <c r="C1927" s="31"/>
      <c r="D1927" s="31"/>
      <c r="H1927" s="31"/>
    </row>
    <row r="1928">
      <c r="A1928" s="31"/>
      <c r="C1928" s="31"/>
      <c r="D1928" s="31"/>
      <c r="H1928" s="31"/>
    </row>
    <row r="1929">
      <c r="A1929" s="31"/>
      <c r="C1929" s="31"/>
      <c r="D1929" s="31"/>
      <c r="H1929" s="31"/>
    </row>
    <row r="1930">
      <c r="A1930" s="31"/>
      <c r="C1930" s="31"/>
      <c r="D1930" s="31"/>
      <c r="H1930" s="31"/>
    </row>
    <row r="1931">
      <c r="A1931" s="31"/>
      <c r="C1931" s="31"/>
      <c r="D1931" s="31"/>
      <c r="H1931" s="31"/>
    </row>
    <row r="1932">
      <c r="A1932" s="31"/>
      <c r="C1932" s="31"/>
      <c r="D1932" s="31"/>
      <c r="H1932" s="31"/>
    </row>
    <row r="1933">
      <c r="A1933" s="31"/>
      <c r="C1933" s="31"/>
      <c r="D1933" s="31"/>
      <c r="H1933" s="31"/>
    </row>
    <row r="1934">
      <c r="A1934" s="31"/>
      <c r="C1934" s="31"/>
      <c r="D1934" s="31"/>
      <c r="H1934" s="31"/>
    </row>
    <row r="1935">
      <c r="A1935" s="31"/>
      <c r="C1935" s="31"/>
      <c r="D1935" s="31"/>
      <c r="H1935" s="31"/>
    </row>
    <row r="1936">
      <c r="A1936" s="31"/>
      <c r="C1936" s="31"/>
      <c r="D1936" s="31"/>
      <c r="H1936" s="31"/>
    </row>
    <row r="1937">
      <c r="A1937" s="31"/>
      <c r="C1937" s="31"/>
      <c r="D1937" s="31"/>
      <c r="H1937" s="31"/>
    </row>
    <row r="1938">
      <c r="A1938" s="31"/>
      <c r="C1938" s="31"/>
      <c r="D1938" s="31"/>
      <c r="H1938" s="31"/>
    </row>
    <row r="1939">
      <c r="A1939" s="31"/>
      <c r="C1939" s="31"/>
      <c r="D1939" s="31"/>
      <c r="H1939" s="31"/>
    </row>
    <row r="1940">
      <c r="A1940" s="31"/>
      <c r="C1940" s="31"/>
      <c r="D1940" s="31"/>
      <c r="H1940" s="31"/>
    </row>
    <row r="1941">
      <c r="A1941" s="31"/>
      <c r="C1941" s="31"/>
      <c r="D1941" s="31"/>
      <c r="H1941" s="31"/>
    </row>
    <row r="1942">
      <c r="A1942" s="31"/>
      <c r="C1942" s="31"/>
      <c r="D1942" s="31"/>
      <c r="H1942" s="31"/>
    </row>
    <row r="1943">
      <c r="A1943" s="31"/>
      <c r="C1943" s="31"/>
      <c r="D1943" s="31"/>
      <c r="H1943" s="31"/>
    </row>
    <row r="1944">
      <c r="A1944" s="31"/>
      <c r="C1944" s="31"/>
      <c r="D1944" s="31"/>
      <c r="H1944" s="31"/>
    </row>
    <row r="1945">
      <c r="A1945" s="31"/>
      <c r="C1945" s="31"/>
      <c r="D1945" s="31"/>
      <c r="H1945" s="31"/>
    </row>
    <row r="1946">
      <c r="A1946" s="31"/>
      <c r="C1946" s="31"/>
      <c r="D1946" s="31"/>
      <c r="H1946" s="31"/>
    </row>
    <row r="1947">
      <c r="A1947" s="31"/>
      <c r="C1947" s="31"/>
      <c r="D1947" s="31"/>
      <c r="H1947" s="31"/>
    </row>
    <row r="1948">
      <c r="A1948" s="31"/>
      <c r="C1948" s="31"/>
      <c r="D1948" s="31"/>
      <c r="H1948" s="31"/>
    </row>
    <row r="1949">
      <c r="A1949" s="31"/>
      <c r="C1949" s="31"/>
      <c r="D1949" s="31"/>
      <c r="H1949" s="31"/>
    </row>
    <row r="1950">
      <c r="A1950" s="31"/>
      <c r="C1950" s="31"/>
      <c r="D1950" s="31"/>
      <c r="H1950" s="31"/>
    </row>
    <row r="1951">
      <c r="A1951" s="31"/>
      <c r="C1951" s="31"/>
      <c r="D1951" s="31"/>
      <c r="H1951" s="31"/>
    </row>
    <row r="1952">
      <c r="A1952" s="31"/>
      <c r="C1952" s="31"/>
      <c r="D1952" s="31"/>
      <c r="H1952" s="31"/>
    </row>
    <row r="1953">
      <c r="A1953" s="31"/>
      <c r="C1953" s="31"/>
      <c r="D1953" s="31"/>
      <c r="H1953" s="31"/>
    </row>
    <row r="1954">
      <c r="A1954" s="31"/>
      <c r="C1954" s="31"/>
      <c r="D1954" s="31"/>
      <c r="H1954" s="31"/>
    </row>
    <row r="1955">
      <c r="A1955" s="31"/>
      <c r="C1955" s="31"/>
      <c r="D1955" s="31"/>
      <c r="H1955" s="31"/>
    </row>
    <row r="1956">
      <c r="A1956" s="31"/>
      <c r="C1956" s="31"/>
      <c r="D1956" s="31"/>
      <c r="H1956" s="31"/>
    </row>
    <row r="1957">
      <c r="A1957" s="31"/>
      <c r="C1957" s="31"/>
      <c r="D1957" s="31"/>
      <c r="H1957" s="31"/>
    </row>
    <row r="1958">
      <c r="A1958" s="31"/>
      <c r="C1958" s="31"/>
      <c r="D1958" s="31"/>
      <c r="H1958" s="31"/>
    </row>
    <row r="1959">
      <c r="A1959" s="31"/>
      <c r="C1959" s="31"/>
      <c r="D1959" s="31"/>
      <c r="H1959" s="31"/>
    </row>
    <row r="1960">
      <c r="A1960" s="31"/>
      <c r="C1960" s="31"/>
      <c r="D1960" s="31"/>
      <c r="H1960" s="31"/>
    </row>
    <row r="1961">
      <c r="A1961" s="31"/>
      <c r="C1961" s="31"/>
      <c r="D1961" s="31"/>
      <c r="H1961" s="31"/>
    </row>
    <row r="1962">
      <c r="A1962" s="31"/>
      <c r="C1962" s="31"/>
      <c r="D1962" s="31"/>
      <c r="H1962" s="31"/>
    </row>
    <row r="1963">
      <c r="A1963" s="31"/>
      <c r="C1963" s="31"/>
      <c r="D1963" s="31"/>
      <c r="H1963" s="31"/>
    </row>
    <row r="1964">
      <c r="A1964" s="31"/>
      <c r="C1964" s="31"/>
      <c r="D1964" s="31"/>
      <c r="H1964" s="31"/>
    </row>
    <row r="1965">
      <c r="A1965" s="31"/>
      <c r="C1965" s="31"/>
      <c r="D1965" s="31"/>
      <c r="H1965" s="31"/>
    </row>
    <row r="1966">
      <c r="A1966" s="31"/>
      <c r="C1966" s="31"/>
      <c r="D1966" s="31"/>
      <c r="H1966" s="31"/>
    </row>
    <row r="1967">
      <c r="A1967" s="31"/>
      <c r="C1967" s="31"/>
      <c r="D1967" s="31"/>
      <c r="H1967" s="31"/>
    </row>
    <row r="1968">
      <c r="A1968" s="31"/>
      <c r="C1968" s="31"/>
      <c r="D1968" s="31"/>
      <c r="H1968" s="31"/>
    </row>
    <row r="1969">
      <c r="A1969" s="31"/>
      <c r="C1969" s="31"/>
      <c r="D1969" s="31"/>
      <c r="H1969" s="31"/>
    </row>
    <row r="1970">
      <c r="A1970" s="31"/>
      <c r="C1970" s="31"/>
      <c r="D1970" s="31"/>
      <c r="H1970" s="31"/>
    </row>
    <row r="1971">
      <c r="A1971" s="31"/>
      <c r="C1971" s="31"/>
      <c r="D1971" s="31"/>
      <c r="H1971" s="31"/>
    </row>
    <row r="1972">
      <c r="A1972" s="31"/>
      <c r="C1972" s="31"/>
      <c r="D1972" s="31"/>
      <c r="H1972" s="31"/>
    </row>
    <row r="1973">
      <c r="A1973" s="31"/>
      <c r="C1973" s="31"/>
      <c r="D1973" s="31"/>
      <c r="H1973" s="31"/>
    </row>
    <row r="1974">
      <c r="A1974" s="31"/>
      <c r="C1974" s="31"/>
      <c r="D1974" s="31"/>
      <c r="H1974" s="31"/>
    </row>
    <row r="1975">
      <c r="A1975" s="31"/>
      <c r="C1975" s="31"/>
      <c r="D1975" s="31"/>
      <c r="H1975" s="31"/>
    </row>
    <row r="1976">
      <c r="A1976" s="31"/>
      <c r="C1976" s="31"/>
      <c r="D1976" s="31"/>
      <c r="H1976" s="31"/>
    </row>
    <row r="1977">
      <c r="A1977" s="31"/>
      <c r="C1977" s="31"/>
      <c r="D1977" s="31"/>
      <c r="H1977" s="31"/>
    </row>
    <row r="1978">
      <c r="A1978" s="31"/>
      <c r="C1978" s="31"/>
      <c r="D1978" s="31"/>
      <c r="H1978" s="31"/>
    </row>
    <row r="1979">
      <c r="A1979" s="31"/>
      <c r="C1979" s="31"/>
      <c r="D1979" s="31"/>
      <c r="H1979" s="31"/>
    </row>
    <row r="1980">
      <c r="A1980" s="31"/>
      <c r="C1980" s="31"/>
      <c r="D1980" s="31"/>
      <c r="H1980" s="31"/>
    </row>
    <row r="1981">
      <c r="A1981" s="31"/>
      <c r="C1981" s="31"/>
      <c r="D1981" s="31"/>
      <c r="H1981" s="31"/>
    </row>
    <row r="1982">
      <c r="A1982" s="31"/>
      <c r="C1982" s="31"/>
      <c r="D1982" s="31"/>
      <c r="H1982" s="31"/>
    </row>
    <row r="1983">
      <c r="A1983" s="31"/>
      <c r="C1983" s="31"/>
      <c r="D1983" s="31"/>
      <c r="H1983" s="31"/>
    </row>
    <row r="1984">
      <c r="A1984" s="31"/>
      <c r="C1984" s="31"/>
      <c r="D1984" s="31"/>
      <c r="H1984" s="31"/>
    </row>
    <row r="1985">
      <c r="A1985" s="31"/>
      <c r="C1985" s="31"/>
      <c r="D1985" s="31"/>
      <c r="H1985" s="31"/>
    </row>
    <row r="1986">
      <c r="A1986" s="31"/>
      <c r="C1986" s="31"/>
      <c r="D1986" s="31"/>
      <c r="H1986" s="31"/>
    </row>
    <row r="1987">
      <c r="A1987" s="31"/>
      <c r="C1987" s="31"/>
      <c r="D1987" s="31"/>
      <c r="H1987" s="31"/>
    </row>
    <row r="1988">
      <c r="A1988" s="31"/>
      <c r="C1988" s="31"/>
      <c r="D1988" s="31"/>
      <c r="H1988" s="31"/>
    </row>
    <row r="1989">
      <c r="A1989" s="31"/>
      <c r="C1989" s="31"/>
      <c r="D1989" s="31"/>
      <c r="H1989" s="31"/>
    </row>
    <row r="1990">
      <c r="A1990" s="31"/>
      <c r="C1990" s="31"/>
      <c r="D1990" s="31"/>
      <c r="H1990" s="31"/>
    </row>
    <row r="1991">
      <c r="A1991" s="31"/>
      <c r="C1991" s="31"/>
      <c r="D1991" s="31"/>
      <c r="H1991" s="31"/>
    </row>
    <row r="1992">
      <c r="A1992" s="31"/>
      <c r="C1992" s="31"/>
      <c r="D1992" s="31"/>
      <c r="H1992" s="31"/>
    </row>
    <row r="1993">
      <c r="A1993" s="31"/>
      <c r="C1993" s="31"/>
      <c r="D1993" s="31"/>
      <c r="H1993" s="31"/>
    </row>
    <row r="1994">
      <c r="A1994" s="31"/>
      <c r="C1994" s="31"/>
      <c r="D1994" s="31"/>
      <c r="H1994" s="31"/>
    </row>
    <row r="1995">
      <c r="A1995" s="31"/>
      <c r="C1995" s="31"/>
      <c r="D1995" s="31"/>
      <c r="H1995" s="31"/>
    </row>
    <row r="1996">
      <c r="A1996" s="31"/>
      <c r="C1996" s="31"/>
      <c r="D1996" s="31"/>
      <c r="H1996" s="31"/>
    </row>
    <row r="1997">
      <c r="A1997" s="31"/>
      <c r="C1997" s="31"/>
      <c r="D1997" s="31"/>
      <c r="H1997" s="31"/>
    </row>
    <row r="1998">
      <c r="A1998" s="31"/>
      <c r="C1998" s="31"/>
      <c r="D1998" s="31"/>
      <c r="H1998" s="31"/>
    </row>
    <row r="1999">
      <c r="A1999" s="31"/>
      <c r="C1999" s="31"/>
      <c r="D1999" s="31"/>
      <c r="H1999" s="31"/>
    </row>
    <row r="2000">
      <c r="A2000" s="31"/>
      <c r="C2000" s="31"/>
      <c r="D2000" s="31"/>
      <c r="H2000" s="31"/>
    </row>
    <row r="2001">
      <c r="A2001" s="31"/>
      <c r="C2001" s="31"/>
      <c r="D2001" s="31"/>
      <c r="H2001" s="31"/>
    </row>
    <row r="2002">
      <c r="A2002" s="31"/>
      <c r="C2002" s="31"/>
      <c r="D2002" s="31"/>
      <c r="H2002" s="31"/>
    </row>
    <row r="2003">
      <c r="A2003" s="31"/>
      <c r="C2003" s="31"/>
      <c r="D2003" s="31"/>
      <c r="H2003" s="31"/>
    </row>
    <row r="2004">
      <c r="A2004" s="31"/>
      <c r="C2004" s="31"/>
      <c r="D2004" s="31"/>
      <c r="H2004" s="31"/>
    </row>
    <row r="2005">
      <c r="A2005" s="31"/>
      <c r="C2005" s="31"/>
      <c r="D2005" s="31"/>
      <c r="H2005" s="31"/>
    </row>
    <row r="2006">
      <c r="A2006" s="31"/>
      <c r="C2006" s="31"/>
      <c r="D2006" s="31"/>
      <c r="H2006" s="31"/>
    </row>
    <row r="2007">
      <c r="A2007" s="31"/>
      <c r="C2007" s="31"/>
      <c r="D2007" s="31"/>
      <c r="H2007" s="31"/>
    </row>
    <row r="2008">
      <c r="A2008" s="31"/>
      <c r="C2008" s="31"/>
      <c r="D2008" s="31"/>
      <c r="H2008" s="31"/>
    </row>
    <row r="2009">
      <c r="A2009" s="31"/>
      <c r="C2009" s="31"/>
      <c r="D2009" s="31"/>
      <c r="H2009" s="31"/>
    </row>
    <row r="2010">
      <c r="A2010" s="31"/>
      <c r="C2010" s="31"/>
      <c r="D2010" s="31"/>
      <c r="H2010" s="31"/>
    </row>
    <row r="2011">
      <c r="A2011" s="31"/>
      <c r="C2011" s="31"/>
      <c r="D2011" s="31"/>
      <c r="H2011" s="31"/>
    </row>
    <row r="2012">
      <c r="A2012" s="31"/>
      <c r="C2012" s="31"/>
      <c r="D2012" s="31"/>
      <c r="H2012" s="31"/>
    </row>
    <row r="2013">
      <c r="A2013" s="31"/>
      <c r="C2013" s="31"/>
      <c r="D2013" s="31"/>
      <c r="H2013" s="31"/>
    </row>
    <row r="2014">
      <c r="A2014" s="31"/>
      <c r="C2014" s="31"/>
      <c r="D2014" s="31"/>
      <c r="H2014" s="31"/>
    </row>
    <row r="2015">
      <c r="A2015" s="31"/>
      <c r="C2015" s="31"/>
      <c r="D2015" s="31"/>
      <c r="H2015" s="31"/>
    </row>
    <row r="2016">
      <c r="A2016" s="31"/>
      <c r="C2016" s="31"/>
      <c r="D2016" s="31"/>
      <c r="H2016" s="31"/>
    </row>
    <row r="2017">
      <c r="A2017" s="31"/>
      <c r="C2017" s="31"/>
      <c r="D2017" s="31"/>
      <c r="H2017" s="31"/>
    </row>
    <row r="2018">
      <c r="A2018" s="31"/>
      <c r="C2018" s="31"/>
      <c r="D2018" s="31"/>
      <c r="H2018" s="31"/>
    </row>
    <row r="2019">
      <c r="A2019" s="31"/>
      <c r="C2019" s="31"/>
      <c r="D2019" s="31"/>
      <c r="H2019" s="31"/>
    </row>
    <row r="2020">
      <c r="A2020" s="31"/>
      <c r="C2020" s="31"/>
      <c r="D2020" s="31"/>
      <c r="H2020" s="31"/>
    </row>
    <row r="2021">
      <c r="A2021" s="31"/>
      <c r="C2021" s="31"/>
      <c r="D2021" s="31"/>
      <c r="H2021" s="31"/>
    </row>
    <row r="2022">
      <c r="A2022" s="31"/>
      <c r="C2022" s="31"/>
      <c r="D2022" s="31"/>
      <c r="H2022" s="31"/>
    </row>
    <row r="2023">
      <c r="A2023" s="31"/>
      <c r="C2023" s="31"/>
      <c r="D2023" s="31"/>
      <c r="H2023" s="31"/>
    </row>
    <row r="2024">
      <c r="A2024" s="31"/>
      <c r="C2024" s="31"/>
      <c r="D2024" s="31"/>
      <c r="H2024" s="31"/>
    </row>
    <row r="2025">
      <c r="A2025" s="31"/>
      <c r="C2025" s="31"/>
      <c r="D2025" s="31"/>
      <c r="H2025" s="31"/>
    </row>
    <row r="2026">
      <c r="A2026" s="31"/>
      <c r="C2026" s="31"/>
      <c r="D2026" s="31"/>
      <c r="H2026" s="31"/>
    </row>
    <row r="2027">
      <c r="A2027" s="31"/>
      <c r="C2027" s="31"/>
      <c r="D2027" s="31"/>
      <c r="H2027" s="31"/>
    </row>
    <row r="2028">
      <c r="A2028" s="31"/>
      <c r="C2028" s="31"/>
      <c r="D2028" s="31"/>
      <c r="H2028" s="31"/>
    </row>
    <row r="2029">
      <c r="A2029" s="31"/>
      <c r="C2029" s="31"/>
      <c r="D2029" s="31"/>
      <c r="H2029" s="31"/>
    </row>
    <row r="2030">
      <c r="A2030" s="31"/>
      <c r="C2030" s="31"/>
      <c r="D2030" s="31"/>
      <c r="H2030" s="31"/>
    </row>
    <row r="2031">
      <c r="A2031" s="31"/>
      <c r="C2031" s="31"/>
      <c r="D2031" s="31"/>
      <c r="H2031" s="31"/>
    </row>
    <row r="2032">
      <c r="A2032" s="31"/>
      <c r="C2032" s="31"/>
      <c r="D2032" s="31"/>
      <c r="H2032" s="31"/>
    </row>
    <row r="2033">
      <c r="A2033" s="31"/>
      <c r="C2033" s="31"/>
      <c r="D2033" s="31"/>
      <c r="H2033" s="31"/>
    </row>
    <row r="2034">
      <c r="A2034" s="31"/>
      <c r="C2034" s="31"/>
      <c r="D2034" s="31"/>
      <c r="H2034" s="31"/>
    </row>
    <row r="2035">
      <c r="A2035" s="31"/>
      <c r="C2035" s="31"/>
      <c r="D2035" s="31"/>
      <c r="H2035" s="31"/>
    </row>
    <row r="2036">
      <c r="A2036" s="31"/>
      <c r="C2036" s="31"/>
      <c r="D2036" s="31"/>
      <c r="H2036" s="31"/>
    </row>
    <row r="2037">
      <c r="A2037" s="31"/>
      <c r="C2037" s="31"/>
      <c r="D2037" s="31"/>
      <c r="H2037" s="31"/>
    </row>
    <row r="2038">
      <c r="A2038" s="31"/>
      <c r="C2038" s="31"/>
      <c r="D2038" s="31"/>
      <c r="H2038" s="31"/>
    </row>
    <row r="2039">
      <c r="A2039" s="31"/>
      <c r="C2039" s="31"/>
      <c r="D2039" s="31"/>
      <c r="H2039" s="31"/>
    </row>
    <row r="2040">
      <c r="A2040" s="31"/>
      <c r="C2040" s="31"/>
      <c r="D2040" s="31"/>
      <c r="H2040" s="31"/>
    </row>
    <row r="2041">
      <c r="A2041" s="31"/>
      <c r="C2041" s="31"/>
      <c r="D2041" s="31"/>
      <c r="H2041" s="31"/>
    </row>
    <row r="2042">
      <c r="A2042" s="31"/>
      <c r="C2042" s="31"/>
      <c r="D2042" s="31"/>
      <c r="H2042" s="31"/>
    </row>
    <row r="2043">
      <c r="A2043" s="31"/>
      <c r="C2043" s="31"/>
      <c r="D2043" s="31"/>
      <c r="H2043" s="31"/>
    </row>
    <row r="2044">
      <c r="A2044" s="31"/>
      <c r="C2044" s="31"/>
      <c r="D2044" s="31"/>
      <c r="H2044" s="31"/>
    </row>
    <row r="2045">
      <c r="A2045" s="31"/>
      <c r="C2045" s="31"/>
      <c r="D2045" s="31"/>
      <c r="H2045" s="31"/>
    </row>
    <row r="2046">
      <c r="A2046" s="31"/>
      <c r="C2046" s="31"/>
      <c r="D2046" s="31"/>
      <c r="H2046" s="31"/>
    </row>
    <row r="2047">
      <c r="A2047" s="31"/>
      <c r="C2047" s="31"/>
      <c r="D2047" s="31"/>
      <c r="H2047" s="31"/>
    </row>
    <row r="2048">
      <c r="A2048" s="31"/>
      <c r="C2048" s="31"/>
      <c r="D2048" s="31"/>
      <c r="H2048" s="31"/>
    </row>
    <row r="2049">
      <c r="A2049" s="31"/>
      <c r="C2049" s="31"/>
      <c r="D2049" s="31"/>
      <c r="H2049" s="31"/>
    </row>
    <row r="2050">
      <c r="A2050" s="31"/>
      <c r="C2050" s="31"/>
      <c r="D2050" s="31"/>
      <c r="H2050" s="31"/>
    </row>
    <row r="2051">
      <c r="A2051" s="31"/>
      <c r="C2051" s="31"/>
      <c r="D2051" s="31"/>
      <c r="H2051" s="31"/>
    </row>
    <row r="2052">
      <c r="A2052" s="31"/>
      <c r="C2052" s="31"/>
      <c r="D2052" s="31"/>
      <c r="H2052" s="31"/>
    </row>
    <row r="2053">
      <c r="A2053" s="31"/>
      <c r="C2053" s="31"/>
      <c r="D2053" s="31"/>
      <c r="H2053" s="31"/>
    </row>
    <row r="2054">
      <c r="A2054" s="31"/>
      <c r="C2054" s="31"/>
      <c r="D2054" s="31"/>
      <c r="H2054" s="31"/>
    </row>
    <row r="2055">
      <c r="A2055" s="31"/>
      <c r="C2055" s="31"/>
      <c r="D2055" s="31"/>
      <c r="H2055" s="31"/>
    </row>
    <row r="2056">
      <c r="A2056" s="31"/>
      <c r="C2056" s="31"/>
      <c r="D2056" s="31"/>
      <c r="H2056" s="31"/>
    </row>
    <row r="2057">
      <c r="A2057" s="31"/>
      <c r="C2057" s="31"/>
      <c r="D2057" s="31"/>
      <c r="H2057" s="31"/>
    </row>
    <row r="2058">
      <c r="A2058" s="31"/>
      <c r="C2058" s="31"/>
      <c r="D2058" s="31"/>
      <c r="H2058" s="31"/>
    </row>
    <row r="2059">
      <c r="A2059" s="31"/>
      <c r="C2059" s="31"/>
      <c r="D2059" s="31"/>
      <c r="H2059" s="31"/>
    </row>
    <row r="2060">
      <c r="A2060" s="31"/>
      <c r="C2060" s="31"/>
      <c r="D2060" s="31"/>
      <c r="H2060" s="31"/>
    </row>
    <row r="2061">
      <c r="A2061" s="31"/>
      <c r="C2061" s="31"/>
      <c r="D2061" s="31"/>
      <c r="H2061" s="31"/>
    </row>
    <row r="2062">
      <c r="A2062" s="31"/>
      <c r="C2062" s="31"/>
      <c r="D2062" s="31"/>
      <c r="H2062" s="31"/>
    </row>
    <row r="2063">
      <c r="A2063" s="31"/>
      <c r="C2063" s="31"/>
      <c r="D2063" s="31"/>
      <c r="H2063" s="31"/>
    </row>
    <row r="2064">
      <c r="A2064" s="31"/>
      <c r="C2064" s="31"/>
      <c r="D2064" s="31"/>
      <c r="H2064" s="31"/>
    </row>
    <row r="2065">
      <c r="A2065" s="31"/>
      <c r="C2065" s="31"/>
      <c r="D2065" s="31"/>
      <c r="H2065" s="31"/>
    </row>
    <row r="2066">
      <c r="A2066" s="31"/>
      <c r="C2066" s="31"/>
      <c r="D2066" s="31"/>
      <c r="H2066" s="31"/>
    </row>
    <row r="2067">
      <c r="A2067" s="31"/>
      <c r="C2067" s="31"/>
      <c r="D2067" s="31"/>
      <c r="H2067" s="31"/>
    </row>
    <row r="2068">
      <c r="A2068" s="31"/>
      <c r="C2068" s="31"/>
      <c r="D2068" s="31"/>
      <c r="H2068" s="31"/>
    </row>
    <row r="2069">
      <c r="A2069" s="31"/>
      <c r="C2069" s="31"/>
      <c r="D2069" s="31"/>
      <c r="H2069" s="31"/>
    </row>
    <row r="2070">
      <c r="A2070" s="31"/>
      <c r="C2070" s="31"/>
      <c r="D2070" s="31"/>
      <c r="H2070" s="31"/>
    </row>
    <row r="2071">
      <c r="A2071" s="31"/>
      <c r="C2071" s="31"/>
      <c r="D2071" s="31"/>
      <c r="H2071" s="31"/>
    </row>
    <row r="2072">
      <c r="A2072" s="31"/>
      <c r="C2072" s="31"/>
      <c r="D2072" s="31"/>
      <c r="H2072" s="31"/>
    </row>
    <row r="2073">
      <c r="A2073" s="31"/>
      <c r="C2073" s="31"/>
      <c r="D2073" s="31"/>
      <c r="H2073" s="31"/>
    </row>
    <row r="2074">
      <c r="A2074" s="31"/>
      <c r="C2074" s="31"/>
      <c r="D2074" s="31"/>
      <c r="H2074" s="31"/>
    </row>
    <row r="2075">
      <c r="A2075" s="31"/>
      <c r="C2075" s="31"/>
      <c r="D2075" s="31"/>
      <c r="H2075" s="31"/>
    </row>
    <row r="2076">
      <c r="A2076" s="31"/>
      <c r="C2076" s="31"/>
      <c r="D2076" s="31"/>
      <c r="H2076" s="31"/>
    </row>
    <row r="2077">
      <c r="A2077" s="31"/>
      <c r="C2077" s="31"/>
      <c r="D2077" s="31"/>
      <c r="H2077" s="31"/>
    </row>
    <row r="2078">
      <c r="A2078" s="31"/>
      <c r="C2078" s="31"/>
      <c r="D2078" s="31"/>
      <c r="H2078" s="31"/>
    </row>
    <row r="2079">
      <c r="A2079" s="31"/>
      <c r="C2079" s="31"/>
      <c r="D2079" s="31"/>
      <c r="H2079" s="31"/>
    </row>
    <row r="2080">
      <c r="A2080" s="31"/>
      <c r="C2080" s="31"/>
      <c r="D2080" s="31"/>
      <c r="H2080" s="31"/>
    </row>
    <row r="2081">
      <c r="A2081" s="31"/>
      <c r="C2081" s="31"/>
      <c r="D2081" s="31"/>
      <c r="H2081" s="31"/>
    </row>
    <row r="2082">
      <c r="A2082" s="31"/>
      <c r="C2082" s="31"/>
      <c r="D2082" s="31"/>
      <c r="H2082" s="31"/>
    </row>
    <row r="2083">
      <c r="A2083" s="31"/>
      <c r="C2083" s="31"/>
      <c r="D2083" s="31"/>
      <c r="H2083" s="31"/>
    </row>
    <row r="2084">
      <c r="A2084" s="31"/>
      <c r="C2084" s="31"/>
      <c r="D2084" s="31"/>
      <c r="H2084" s="31"/>
    </row>
    <row r="2085">
      <c r="A2085" s="31"/>
      <c r="C2085" s="31"/>
      <c r="D2085" s="31"/>
      <c r="H2085" s="31"/>
    </row>
    <row r="2086">
      <c r="A2086" s="31"/>
      <c r="C2086" s="31"/>
      <c r="D2086" s="31"/>
      <c r="H2086" s="31"/>
    </row>
    <row r="2087">
      <c r="A2087" s="31"/>
      <c r="C2087" s="31"/>
      <c r="D2087" s="31"/>
      <c r="H2087" s="31"/>
    </row>
    <row r="2088">
      <c r="A2088" s="31"/>
      <c r="C2088" s="31"/>
      <c r="D2088" s="31"/>
      <c r="H2088" s="31"/>
    </row>
    <row r="2089">
      <c r="A2089" s="31"/>
      <c r="C2089" s="31"/>
      <c r="D2089" s="31"/>
      <c r="H2089" s="31"/>
    </row>
    <row r="2090">
      <c r="A2090" s="31"/>
      <c r="C2090" s="31"/>
      <c r="D2090" s="31"/>
      <c r="H2090" s="31"/>
    </row>
    <row r="2091">
      <c r="A2091" s="31"/>
      <c r="C2091" s="31"/>
      <c r="D2091" s="31"/>
      <c r="H2091" s="31"/>
    </row>
    <row r="2092">
      <c r="A2092" s="31"/>
      <c r="C2092" s="31"/>
      <c r="D2092" s="31"/>
      <c r="H2092" s="31"/>
    </row>
    <row r="2093">
      <c r="A2093" s="31"/>
      <c r="C2093" s="31"/>
      <c r="D2093" s="31"/>
      <c r="H2093" s="31"/>
    </row>
    <row r="2094">
      <c r="A2094" s="31"/>
      <c r="C2094" s="31"/>
      <c r="D2094" s="31"/>
      <c r="H2094" s="31"/>
    </row>
    <row r="2095">
      <c r="A2095" s="31"/>
      <c r="C2095" s="31"/>
      <c r="D2095" s="31"/>
      <c r="H2095" s="31"/>
    </row>
    <row r="2096">
      <c r="A2096" s="31"/>
      <c r="C2096" s="31"/>
      <c r="D2096" s="31"/>
      <c r="H2096" s="31"/>
    </row>
    <row r="2097">
      <c r="A2097" s="31"/>
      <c r="C2097" s="31"/>
      <c r="D2097" s="31"/>
      <c r="H2097" s="31"/>
    </row>
    <row r="2098">
      <c r="A2098" s="31"/>
      <c r="C2098" s="31"/>
      <c r="D2098" s="31"/>
      <c r="H2098" s="31"/>
    </row>
    <row r="2099">
      <c r="A2099" s="31"/>
      <c r="C2099" s="31"/>
      <c r="D2099" s="31"/>
      <c r="H2099" s="31"/>
    </row>
    <row r="2100">
      <c r="A2100" s="31"/>
      <c r="C2100" s="31"/>
      <c r="D2100" s="31"/>
      <c r="H2100" s="31"/>
    </row>
    <row r="2101">
      <c r="A2101" s="31"/>
      <c r="C2101" s="31"/>
      <c r="D2101" s="31"/>
      <c r="H2101" s="31"/>
    </row>
    <row r="2102">
      <c r="A2102" s="31"/>
      <c r="C2102" s="31"/>
      <c r="D2102" s="31"/>
      <c r="H2102" s="31"/>
    </row>
    <row r="2103">
      <c r="A2103" s="31"/>
      <c r="C2103" s="31"/>
      <c r="D2103" s="31"/>
      <c r="H2103" s="31"/>
    </row>
    <row r="2104">
      <c r="A2104" s="31"/>
      <c r="C2104" s="31"/>
      <c r="D2104" s="31"/>
      <c r="H2104" s="31"/>
    </row>
    <row r="2105">
      <c r="A2105" s="31"/>
      <c r="C2105" s="31"/>
      <c r="D2105" s="31"/>
      <c r="H2105" s="31"/>
    </row>
    <row r="2106">
      <c r="A2106" s="31"/>
      <c r="C2106" s="31"/>
      <c r="D2106" s="31"/>
      <c r="H2106" s="31"/>
    </row>
    <row r="2107">
      <c r="A2107" s="31"/>
      <c r="C2107" s="31"/>
      <c r="D2107" s="31"/>
      <c r="H2107" s="31"/>
    </row>
    <row r="2108">
      <c r="A2108" s="31"/>
      <c r="C2108" s="31"/>
      <c r="D2108" s="31"/>
      <c r="H2108" s="31"/>
    </row>
    <row r="2109">
      <c r="A2109" s="31"/>
      <c r="C2109" s="31"/>
      <c r="D2109" s="31"/>
      <c r="H2109" s="31"/>
    </row>
    <row r="2110">
      <c r="A2110" s="31"/>
      <c r="C2110" s="31"/>
      <c r="D2110" s="31"/>
      <c r="H2110" s="31"/>
    </row>
    <row r="2111">
      <c r="A2111" s="31"/>
      <c r="C2111" s="31"/>
      <c r="D2111" s="31"/>
      <c r="H2111" s="31"/>
    </row>
    <row r="2112">
      <c r="A2112" s="31"/>
      <c r="C2112" s="31"/>
      <c r="D2112" s="31"/>
      <c r="H2112" s="31"/>
    </row>
    <row r="2113">
      <c r="A2113" s="31"/>
      <c r="C2113" s="31"/>
      <c r="D2113" s="31"/>
      <c r="H2113" s="31"/>
    </row>
    <row r="2114">
      <c r="A2114" s="31"/>
      <c r="C2114" s="31"/>
      <c r="D2114" s="31"/>
      <c r="H2114" s="31"/>
    </row>
    <row r="2115">
      <c r="A2115" s="31"/>
      <c r="C2115" s="31"/>
      <c r="D2115" s="31"/>
      <c r="H2115" s="31"/>
    </row>
    <row r="2116">
      <c r="A2116" s="31"/>
      <c r="C2116" s="31"/>
      <c r="D2116" s="31"/>
      <c r="H2116" s="31"/>
    </row>
    <row r="2117">
      <c r="A2117" s="31"/>
      <c r="C2117" s="31"/>
      <c r="D2117" s="31"/>
      <c r="H2117" s="31"/>
    </row>
    <row r="2118">
      <c r="A2118" s="31"/>
      <c r="C2118" s="31"/>
      <c r="D2118" s="31"/>
      <c r="H2118" s="31"/>
    </row>
    <row r="2119">
      <c r="A2119" s="31"/>
      <c r="C2119" s="31"/>
      <c r="D2119" s="31"/>
      <c r="H2119" s="31"/>
    </row>
    <row r="2120">
      <c r="A2120" s="31"/>
      <c r="C2120" s="31"/>
      <c r="D2120" s="31"/>
      <c r="H2120" s="31"/>
    </row>
    <row r="2121">
      <c r="A2121" s="31"/>
      <c r="C2121" s="31"/>
      <c r="D2121" s="31"/>
      <c r="H2121" s="31"/>
    </row>
    <row r="2122">
      <c r="A2122" s="31"/>
      <c r="C2122" s="31"/>
      <c r="D2122" s="31"/>
      <c r="H2122" s="31"/>
    </row>
    <row r="2123">
      <c r="A2123" s="31"/>
      <c r="C2123" s="31"/>
      <c r="D2123" s="31"/>
      <c r="H2123" s="31"/>
    </row>
    <row r="2124">
      <c r="A2124" s="31"/>
      <c r="C2124" s="31"/>
      <c r="D2124" s="31"/>
      <c r="H2124" s="31"/>
    </row>
    <row r="2125">
      <c r="A2125" s="31"/>
      <c r="C2125" s="31"/>
      <c r="D2125" s="31"/>
      <c r="H2125" s="31"/>
    </row>
    <row r="2126">
      <c r="A2126" s="31"/>
      <c r="C2126" s="31"/>
      <c r="D2126" s="31"/>
      <c r="H2126" s="31"/>
    </row>
    <row r="2127">
      <c r="A2127" s="31"/>
      <c r="C2127" s="31"/>
      <c r="D2127" s="31"/>
      <c r="H2127" s="31"/>
    </row>
    <row r="2128">
      <c r="A2128" s="31"/>
      <c r="C2128" s="31"/>
      <c r="D2128" s="31"/>
      <c r="H2128" s="31"/>
    </row>
    <row r="2129">
      <c r="A2129" s="31"/>
      <c r="C2129" s="31"/>
      <c r="D2129" s="31"/>
      <c r="H2129" s="31"/>
    </row>
    <row r="2130">
      <c r="A2130" s="31"/>
      <c r="C2130" s="31"/>
      <c r="D2130" s="31"/>
      <c r="H2130" s="31"/>
    </row>
    <row r="2131">
      <c r="A2131" s="31"/>
      <c r="C2131" s="31"/>
      <c r="D2131" s="31"/>
      <c r="H2131" s="31"/>
    </row>
    <row r="2132">
      <c r="A2132" s="31"/>
      <c r="C2132" s="31"/>
      <c r="D2132" s="31"/>
      <c r="H2132" s="31"/>
    </row>
    <row r="2133">
      <c r="A2133" s="31"/>
      <c r="C2133" s="31"/>
      <c r="D2133" s="31"/>
      <c r="H2133" s="31"/>
    </row>
    <row r="2134">
      <c r="A2134" s="31"/>
      <c r="C2134" s="31"/>
      <c r="D2134" s="31"/>
      <c r="H2134" s="31"/>
    </row>
    <row r="2135">
      <c r="A2135" s="31"/>
      <c r="C2135" s="31"/>
      <c r="D2135" s="31"/>
      <c r="H2135" s="31"/>
    </row>
    <row r="2136">
      <c r="A2136" s="31"/>
      <c r="C2136" s="31"/>
      <c r="D2136" s="31"/>
      <c r="H2136" s="31"/>
    </row>
    <row r="2137">
      <c r="A2137" s="31"/>
      <c r="C2137" s="31"/>
      <c r="D2137" s="31"/>
      <c r="H2137" s="31"/>
    </row>
    <row r="2138">
      <c r="A2138" s="31"/>
      <c r="C2138" s="31"/>
      <c r="D2138" s="31"/>
      <c r="H2138" s="31"/>
    </row>
    <row r="2139">
      <c r="A2139" s="31"/>
      <c r="C2139" s="31"/>
      <c r="D2139" s="31"/>
      <c r="H2139" s="31"/>
    </row>
    <row r="2140">
      <c r="A2140" s="31"/>
      <c r="C2140" s="31"/>
      <c r="D2140" s="31"/>
      <c r="H2140" s="31"/>
    </row>
    <row r="2141">
      <c r="A2141" s="31"/>
      <c r="C2141" s="31"/>
      <c r="D2141" s="31"/>
      <c r="H2141" s="31"/>
    </row>
    <row r="2142">
      <c r="A2142" s="31"/>
      <c r="C2142" s="31"/>
      <c r="D2142" s="31"/>
      <c r="H2142" s="31"/>
    </row>
    <row r="2143">
      <c r="A2143" s="31"/>
      <c r="C2143" s="31"/>
      <c r="D2143" s="31"/>
      <c r="H2143" s="31"/>
    </row>
    <row r="2144">
      <c r="A2144" s="31"/>
      <c r="C2144" s="31"/>
      <c r="D2144" s="31"/>
      <c r="H2144" s="31"/>
    </row>
    <row r="2145">
      <c r="A2145" s="31"/>
      <c r="C2145" s="31"/>
      <c r="D2145" s="31"/>
      <c r="H2145" s="31"/>
    </row>
    <row r="2146">
      <c r="A2146" s="31"/>
      <c r="C2146" s="31"/>
      <c r="D2146" s="31"/>
      <c r="H2146" s="31"/>
    </row>
    <row r="2147">
      <c r="A2147" s="31"/>
      <c r="C2147" s="31"/>
      <c r="D2147" s="31"/>
      <c r="H2147" s="31"/>
    </row>
    <row r="2148">
      <c r="A2148" s="31"/>
      <c r="C2148" s="31"/>
      <c r="D2148" s="31"/>
      <c r="H2148" s="31"/>
    </row>
    <row r="2149">
      <c r="A2149" s="31"/>
      <c r="C2149" s="31"/>
      <c r="D2149" s="31"/>
      <c r="H2149" s="31"/>
    </row>
    <row r="2150">
      <c r="A2150" s="31"/>
      <c r="C2150" s="31"/>
      <c r="D2150" s="31"/>
      <c r="H2150" s="31"/>
    </row>
    <row r="2151">
      <c r="A2151" s="31"/>
      <c r="C2151" s="31"/>
      <c r="D2151" s="31"/>
      <c r="H2151" s="31"/>
    </row>
    <row r="2152">
      <c r="A2152" s="31"/>
      <c r="C2152" s="31"/>
      <c r="D2152" s="31"/>
      <c r="H2152" s="31"/>
    </row>
    <row r="2153">
      <c r="A2153" s="31"/>
      <c r="C2153" s="31"/>
      <c r="D2153" s="31"/>
      <c r="H2153" s="31"/>
    </row>
    <row r="2154">
      <c r="A2154" s="31"/>
      <c r="C2154" s="31"/>
      <c r="D2154" s="31"/>
      <c r="H2154" s="31"/>
    </row>
    <row r="2155">
      <c r="A2155" s="31"/>
      <c r="C2155" s="31"/>
      <c r="D2155" s="31"/>
      <c r="H2155" s="31"/>
    </row>
    <row r="2156">
      <c r="A2156" s="31"/>
      <c r="C2156" s="31"/>
      <c r="D2156" s="31"/>
      <c r="H2156" s="31"/>
    </row>
    <row r="2157">
      <c r="A2157" s="31"/>
      <c r="C2157" s="31"/>
      <c r="D2157" s="31"/>
      <c r="H2157" s="31"/>
    </row>
    <row r="2158">
      <c r="A2158" s="31"/>
      <c r="C2158" s="31"/>
      <c r="D2158" s="31"/>
      <c r="H2158" s="31"/>
    </row>
    <row r="2159">
      <c r="A2159" s="31"/>
      <c r="C2159" s="31"/>
      <c r="D2159" s="31"/>
      <c r="H2159" s="31"/>
    </row>
    <row r="2160">
      <c r="A2160" s="31"/>
      <c r="C2160" s="31"/>
      <c r="D2160" s="31"/>
      <c r="H2160" s="31"/>
    </row>
    <row r="2161">
      <c r="A2161" s="31"/>
      <c r="C2161" s="31"/>
      <c r="D2161" s="31"/>
      <c r="H2161" s="31"/>
    </row>
    <row r="2162">
      <c r="A2162" s="31"/>
      <c r="C2162" s="31"/>
      <c r="D2162" s="31"/>
      <c r="H2162" s="31"/>
    </row>
    <row r="2163">
      <c r="A2163" s="31"/>
      <c r="C2163" s="31"/>
      <c r="D2163" s="31"/>
      <c r="H2163" s="31"/>
    </row>
    <row r="2164">
      <c r="A2164" s="31"/>
      <c r="C2164" s="31"/>
      <c r="D2164" s="31"/>
      <c r="H2164" s="31"/>
    </row>
    <row r="2165">
      <c r="A2165" s="31"/>
      <c r="C2165" s="31"/>
      <c r="D2165" s="31"/>
      <c r="H2165" s="31"/>
    </row>
    <row r="2166">
      <c r="A2166" s="31"/>
      <c r="C2166" s="31"/>
      <c r="D2166" s="31"/>
      <c r="H2166" s="31"/>
    </row>
    <row r="2167">
      <c r="A2167" s="31"/>
      <c r="C2167" s="31"/>
      <c r="D2167" s="31"/>
      <c r="H2167" s="31"/>
    </row>
    <row r="2168">
      <c r="A2168" s="31"/>
      <c r="C2168" s="31"/>
      <c r="D2168" s="31"/>
      <c r="H2168" s="31"/>
    </row>
    <row r="2169">
      <c r="A2169" s="31"/>
      <c r="C2169" s="31"/>
      <c r="D2169" s="31"/>
      <c r="H2169" s="31"/>
    </row>
    <row r="2170">
      <c r="A2170" s="31"/>
      <c r="C2170" s="31"/>
      <c r="D2170" s="31"/>
      <c r="H2170" s="31"/>
    </row>
    <row r="2171">
      <c r="A2171" s="31"/>
      <c r="C2171" s="31"/>
      <c r="D2171" s="31"/>
      <c r="H2171" s="31"/>
    </row>
    <row r="2172">
      <c r="A2172" s="31"/>
      <c r="C2172" s="31"/>
      <c r="D2172" s="31"/>
      <c r="H2172" s="31"/>
    </row>
    <row r="2173">
      <c r="A2173" s="31"/>
      <c r="C2173" s="31"/>
      <c r="D2173" s="31"/>
      <c r="H2173" s="31"/>
    </row>
    <row r="2174">
      <c r="A2174" s="31"/>
      <c r="C2174" s="31"/>
      <c r="D2174" s="31"/>
      <c r="H2174" s="31"/>
    </row>
    <row r="2175">
      <c r="A2175" s="31"/>
      <c r="C2175" s="31"/>
      <c r="D2175" s="31"/>
      <c r="H2175" s="31"/>
    </row>
    <row r="2176">
      <c r="A2176" s="31"/>
      <c r="C2176" s="31"/>
      <c r="D2176" s="31"/>
      <c r="H2176" s="31"/>
    </row>
    <row r="2177">
      <c r="A2177" s="31"/>
      <c r="C2177" s="31"/>
      <c r="D2177" s="31"/>
      <c r="H2177" s="31"/>
    </row>
    <row r="2178">
      <c r="A2178" s="31"/>
      <c r="C2178" s="31"/>
      <c r="D2178" s="31"/>
      <c r="H2178" s="31"/>
    </row>
    <row r="2179">
      <c r="A2179" s="31"/>
      <c r="C2179" s="31"/>
      <c r="D2179" s="31"/>
      <c r="H2179" s="31"/>
    </row>
    <row r="2180">
      <c r="A2180" s="31"/>
      <c r="C2180" s="31"/>
      <c r="D2180" s="31"/>
      <c r="H2180" s="31"/>
    </row>
    <row r="2181">
      <c r="A2181" s="31"/>
      <c r="C2181" s="31"/>
      <c r="D2181" s="31"/>
      <c r="H2181" s="31"/>
    </row>
    <row r="2182">
      <c r="A2182" s="31"/>
      <c r="C2182" s="31"/>
      <c r="D2182" s="31"/>
      <c r="H2182" s="31"/>
    </row>
    <row r="2183">
      <c r="A2183" s="31"/>
      <c r="C2183" s="31"/>
      <c r="D2183" s="31"/>
      <c r="H2183" s="31"/>
    </row>
    <row r="2184">
      <c r="A2184" s="31"/>
      <c r="C2184" s="31"/>
      <c r="D2184" s="31"/>
      <c r="H2184" s="31"/>
    </row>
    <row r="2185">
      <c r="A2185" s="31"/>
      <c r="C2185" s="31"/>
      <c r="D2185" s="31"/>
      <c r="H2185" s="31"/>
    </row>
    <row r="2186">
      <c r="A2186" s="31"/>
      <c r="C2186" s="31"/>
      <c r="D2186" s="31"/>
      <c r="H2186" s="31"/>
    </row>
    <row r="2187">
      <c r="A2187" s="31"/>
      <c r="C2187" s="31"/>
      <c r="D2187" s="31"/>
      <c r="H2187" s="31"/>
    </row>
    <row r="2188">
      <c r="A2188" s="31"/>
      <c r="C2188" s="31"/>
      <c r="D2188" s="31"/>
      <c r="H2188" s="31"/>
    </row>
    <row r="2189">
      <c r="A2189" s="31"/>
      <c r="C2189" s="31"/>
      <c r="D2189" s="31"/>
      <c r="H2189" s="31"/>
    </row>
    <row r="2190">
      <c r="A2190" s="31"/>
      <c r="C2190" s="31"/>
      <c r="D2190" s="31"/>
      <c r="H2190" s="31"/>
    </row>
    <row r="2191">
      <c r="A2191" s="31"/>
      <c r="C2191" s="31"/>
      <c r="D2191" s="31"/>
      <c r="H2191" s="31"/>
    </row>
    <row r="2192">
      <c r="A2192" s="31"/>
      <c r="C2192" s="31"/>
      <c r="D2192" s="31"/>
      <c r="H2192" s="31"/>
    </row>
    <row r="2193">
      <c r="A2193" s="31"/>
      <c r="C2193" s="31"/>
      <c r="D2193" s="31"/>
      <c r="H2193" s="31"/>
    </row>
    <row r="2194">
      <c r="A2194" s="31"/>
      <c r="C2194" s="31"/>
      <c r="D2194" s="31"/>
      <c r="H2194" s="31"/>
    </row>
    <row r="2195">
      <c r="A2195" s="31"/>
      <c r="C2195" s="31"/>
      <c r="D2195" s="31"/>
      <c r="H2195" s="31"/>
    </row>
    <row r="2196">
      <c r="A2196" s="31"/>
      <c r="C2196" s="31"/>
      <c r="D2196" s="31"/>
      <c r="H2196" s="31"/>
    </row>
    <row r="2197">
      <c r="A2197" s="31"/>
      <c r="C2197" s="31"/>
      <c r="D2197" s="31"/>
      <c r="H2197" s="31"/>
    </row>
    <row r="2198">
      <c r="A2198" s="31"/>
      <c r="C2198" s="31"/>
      <c r="D2198" s="31"/>
      <c r="H2198" s="31"/>
    </row>
    <row r="2199">
      <c r="A2199" s="31"/>
      <c r="C2199" s="31"/>
      <c r="D2199" s="31"/>
      <c r="H2199" s="31"/>
    </row>
    <row r="2200">
      <c r="A2200" s="31"/>
      <c r="C2200" s="31"/>
      <c r="D2200" s="31"/>
      <c r="H2200" s="31"/>
    </row>
    <row r="2201">
      <c r="A2201" s="31"/>
      <c r="C2201" s="31"/>
      <c r="D2201" s="31"/>
      <c r="H2201" s="31"/>
    </row>
    <row r="2202">
      <c r="A2202" s="31"/>
      <c r="C2202" s="31"/>
      <c r="D2202" s="31"/>
      <c r="H2202" s="31"/>
    </row>
    <row r="2203">
      <c r="A2203" s="31"/>
      <c r="C2203" s="31"/>
      <c r="D2203" s="31"/>
      <c r="H2203" s="31"/>
    </row>
    <row r="2204">
      <c r="A2204" s="31"/>
      <c r="C2204" s="31"/>
      <c r="D2204" s="31"/>
      <c r="H2204" s="31"/>
    </row>
    <row r="2205">
      <c r="A2205" s="31"/>
      <c r="C2205" s="31"/>
      <c r="D2205" s="31"/>
      <c r="H2205" s="31"/>
    </row>
    <row r="2206">
      <c r="A2206" s="31"/>
      <c r="C2206" s="31"/>
      <c r="D2206" s="31"/>
      <c r="H2206" s="31"/>
    </row>
    <row r="2207">
      <c r="A2207" s="31"/>
      <c r="C2207" s="31"/>
      <c r="D2207" s="31"/>
      <c r="H2207" s="31"/>
    </row>
    <row r="2208">
      <c r="A2208" s="31"/>
      <c r="C2208" s="31"/>
      <c r="D2208" s="31"/>
      <c r="H2208" s="31"/>
    </row>
    <row r="2209">
      <c r="A2209" s="31"/>
      <c r="C2209" s="31"/>
      <c r="D2209" s="31"/>
      <c r="H2209" s="31"/>
    </row>
    <row r="2210">
      <c r="A2210" s="31"/>
      <c r="C2210" s="31"/>
      <c r="D2210" s="31"/>
      <c r="H2210" s="31"/>
    </row>
    <row r="2211">
      <c r="A2211" s="31"/>
      <c r="C2211" s="31"/>
      <c r="D2211" s="31"/>
      <c r="H2211" s="31"/>
    </row>
    <row r="2212">
      <c r="A2212" s="31"/>
      <c r="C2212" s="31"/>
      <c r="D2212" s="31"/>
      <c r="H2212" s="31"/>
    </row>
    <row r="2213">
      <c r="A2213" s="31"/>
      <c r="C2213" s="31"/>
      <c r="D2213" s="31"/>
      <c r="H2213" s="31"/>
    </row>
    <row r="2214">
      <c r="A2214" s="31"/>
      <c r="C2214" s="31"/>
      <c r="D2214" s="31"/>
      <c r="H2214" s="31"/>
    </row>
    <row r="2215">
      <c r="A2215" s="31"/>
      <c r="C2215" s="31"/>
      <c r="D2215" s="31"/>
      <c r="H2215" s="31"/>
    </row>
    <row r="2216">
      <c r="A2216" s="31"/>
      <c r="C2216" s="31"/>
      <c r="D2216" s="31"/>
      <c r="H2216" s="31"/>
    </row>
    <row r="2217">
      <c r="A2217" s="31"/>
      <c r="C2217" s="31"/>
      <c r="D2217" s="31"/>
      <c r="H2217" s="31"/>
    </row>
    <row r="2218">
      <c r="A2218" s="31"/>
      <c r="C2218" s="31"/>
      <c r="D2218" s="31"/>
      <c r="H2218" s="31"/>
    </row>
    <row r="2219">
      <c r="A2219" s="31"/>
      <c r="C2219" s="31"/>
      <c r="D2219" s="31"/>
      <c r="H2219" s="31"/>
    </row>
    <row r="2220">
      <c r="A2220" s="31"/>
      <c r="C2220" s="31"/>
      <c r="D2220" s="31"/>
      <c r="H2220" s="31"/>
    </row>
    <row r="2221">
      <c r="A2221" s="31"/>
      <c r="C2221" s="31"/>
      <c r="D2221" s="31"/>
      <c r="H2221" s="31"/>
    </row>
    <row r="2222">
      <c r="A2222" s="31"/>
      <c r="C2222" s="31"/>
      <c r="D2222" s="31"/>
      <c r="H2222" s="31"/>
    </row>
    <row r="2223">
      <c r="A2223" s="31"/>
      <c r="C2223" s="31"/>
      <c r="D2223" s="31"/>
      <c r="H2223" s="31"/>
    </row>
    <row r="2224">
      <c r="A2224" s="31"/>
      <c r="C2224" s="31"/>
      <c r="D2224" s="31"/>
      <c r="H2224" s="31"/>
    </row>
    <row r="2225">
      <c r="A2225" s="31"/>
      <c r="C2225" s="31"/>
      <c r="D2225" s="31"/>
      <c r="H2225" s="31"/>
    </row>
    <row r="2226">
      <c r="A2226" s="31"/>
      <c r="C2226" s="31"/>
      <c r="D2226" s="31"/>
      <c r="H2226" s="31"/>
    </row>
    <row r="2227">
      <c r="A2227" s="31"/>
      <c r="C2227" s="31"/>
      <c r="D2227" s="31"/>
      <c r="H2227" s="31"/>
    </row>
    <row r="2228">
      <c r="A2228" s="31"/>
      <c r="C2228" s="31"/>
      <c r="D2228" s="31"/>
      <c r="H2228" s="31"/>
    </row>
    <row r="2229">
      <c r="A2229" s="31"/>
      <c r="C2229" s="31"/>
      <c r="D2229" s="31"/>
      <c r="H2229" s="31"/>
    </row>
    <row r="2230">
      <c r="A2230" s="31"/>
      <c r="C2230" s="31"/>
      <c r="D2230" s="31"/>
      <c r="H2230" s="31"/>
    </row>
    <row r="2231">
      <c r="A2231" s="31"/>
      <c r="C2231" s="31"/>
      <c r="D2231" s="31"/>
      <c r="H2231" s="31"/>
    </row>
    <row r="2232">
      <c r="A2232" s="31"/>
      <c r="C2232" s="31"/>
      <c r="D2232" s="31"/>
      <c r="H2232" s="31"/>
    </row>
    <row r="2233">
      <c r="A2233" s="31"/>
      <c r="C2233" s="31"/>
      <c r="D2233" s="31"/>
      <c r="H2233" s="31"/>
    </row>
    <row r="2234">
      <c r="A2234" s="31"/>
      <c r="C2234" s="31"/>
      <c r="D2234" s="31"/>
      <c r="H2234" s="31"/>
    </row>
    <row r="2235">
      <c r="A2235" s="31"/>
      <c r="C2235" s="31"/>
      <c r="D2235" s="31"/>
      <c r="H2235" s="31"/>
    </row>
    <row r="2236">
      <c r="A2236" s="31"/>
      <c r="C2236" s="31"/>
      <c r="D2236" s="31"/>
      <c r="H2236" s="31"/>
    </row>
    <row r="2237">
      <c r="A2237" s="31"/>
      <c r="C2237" s="31"/>
      <c r="D2237" s="31"/>
      <c r="H2237" s="31"/>
    </row>
    <row r="2238">
      <c r="A2238" s="31"/>
      <c r="C2238" s="31"/>
      <c r="D2238" s="31"/>
      <c r="H2238" s="31"/>
    </row>
    <row r="2239">
      <c r="A2239" s="31"/>
      <c r="C2239" s="31"/>
      <c r="D2239" s="31"/>
      <c r="H2239" s="31"/>
    </row>
    <row r="2240">
      <c r="A2240" s="31"/>
      <c r="C2240" s="31"/>
      <c r="D2240" s="31"/>
      <c r="H2240" s="31"/>
    </row>
    <row r="2241">
      <c r="A2241" s="31"/>
      <c r="C2241" s="31"/>
      <c r="D2241" s="31"/>
      <c r="H2241" s="31"/>
    </row>
    <row r="2242">
      <c r="A2242" s="31"/>
      <c r="C2242" s="31"/>
      <c r="D2242" s="31"/>
      <c r="H2242" s="31"/>
    </row>
    <row r="2243">
      <c r="A2243" s="31"/>
      <c r="C2243" s="31"/>
      <c r="D2243" s="31"/>
      <c r="H2243" s="31"/>
    </row>
    <row r="2244">
      <c r="A2244" s="31"/>
      <c r="C2244" s="31"/>
      <c r="D2244" s="31"/>
      <c r="H2244" s="31"/>
    </row>
    <row r="2245">
      <c r="A2245" s="31"/>
      <c r="C2245" s="31"/>
      <c r="D2245" s="31"/>
      <c r="H2245" s="31"/>
    </row>
    <row r="2246">
      <c r="A2246" s="31"/>
      <c r="C2246" s="31"/>
      <c r="D2246" s="31"/>
      <c r="H2246" s="31"/>
    </row>
    <row r="2247">
      <c r="A2247" s="31"/>
      <c r="C2247" s="31"/>
      <c r="D2247" s="31"/>
      <c r="H2247" s="31"/>
    </row>
    <row r="2248">
      <c r="A2248" s="31"/>
      <c r="C2248" s="31"/>
      <c r="D2248" s="31"/>
      <c r="H2248" s="31"/>
    </row>
    <row r="2249">
      <c r="A2249" s="31"/>
      <c r="C2249" s="31"/>
      <c r="D2249" s="31"/>
      <c r="H2249" s="31"/>
    </row>
    <row r="2250">
      <c r="A2250" s="31"/>
      <c r="C2250" s="31"/>
      <c r="D2250" s="31"/>
      <c r="H2250" s="31"/>
    </row>
    <row r="2251">
      <c r="A2251" s="31"/>
      <c r="C2251" s="31"/>
      <c r="D2251" s="31"/>
      <c r="H2251" s="31"/>
    </row>
    <row r="2252">
      <c r="A2252" s="31"/>
      <c r="C2252" s="31"/>
      <c r="D2252" s="31"/>
      <c r="H2252" s="31"/>
    </row>
    <row r="2253">
      <c r="A2253" s="31"/>
      <c r="C2253" s="31"/>
      <c r="D2253" s="31"/>
      <c r="H2253" s="31"/>
    </row>
    <row r="2254">
      <c r="A2254" s="31"/>
      <c r="C2254" s="31"/>
      <c r="D2254" s="31"/>
      <c r="H2254" s="31"/>
    </row>
    <row r="2255">
      <c r="A2255" s="31"/>
      <c r="C2255" s="31"/>
      <c r="D2255" s="31"/>
      <c r="H2255" s="31"/>
    </row>
    <row r="2256">
      <c r="A2256" s="31"/>
      <c r="C2256" s="31"/>
      <c r="D2256" s="31"/>
      <c r="H2256" s="31"/>
    </row>
    <row r="2257">
      <c r="A2257" s="31"/>
      <c r="C2257" s="31"/>
      <c r="D2257" s="31"/>
      <c r="H2257" s="31"/>
    </row>
    <row r="2258">
      <c r="A2258" s="31"/>
      <c r="C2258" s="31"/>
      <c r="D2258" s="31"/>
      <c r="H2258" s="31"/>
    </row>
    <row r="2259">
      <c r="A2259" s="31"/>
      <c r="C2259" s="31"/>
      <c r="D2259" s="31"/>
      <c r="H2259" s="31"/>
    </row>
    <row r="2260">
      <c r="A2260" s="31"/>
      <c r="C2260" s="31"/>
      <c r="D2260" s="31"/>
      <c r="H2260" s="31"/>
    </row>
    <row r="2261">
      <c r="A2261" s="31"/>
      <c r="C2261" s="31"/>
      <c r="D2261" s="31"/>
      <c r="H2261" s="31"/>
    </row>
    <row r="2262">
      <c r="A2262" s="31"/>
      <c r="C2262" s="31"/>
      <c r="D2262" s="31"/>
      <c r="H2262" s="31"/>
    </row>
    <row r="2263">
      <c r="A2263" s="31"/>
      <c r="C2263" s="31"/>
      <c r="D2263" s="31"/>
      <c r="H2263" s="31"/>
    </row>
    <row r="2264">
      <c r="A2264" s="31"/>
      <c r="C2264" s="31"/>
      <c r="D2264" s="31"/>
      <c r="H2264" s="31"/>
    </row>
    <row r="2265">
      <c r="A2265" s="31"/>
      <c r="C2265" s="31"/>
      <c r="D2265" s="31"/>
      <c r="H2265" s="31"/>
    </row>
    <row r="2266">
      <c r="A2266" s="31"/>
      <c r="C2266" s="31"/>
      <c r="D2266" s="31"/>
      <c r="H2266" s="31"/>
    </row>
    <row r="2267">
      <c r="A2267" s="31"/>
      <c r="C2267" s="31"/>
      <c r="D2267" s="31"/>
      <c r="H2267" s="31"/>
    </row>
    <row r="2268">
      <c r="A2268" s="31"/>
      <c r="C2268" s="31"/>
      <c r="D2268" s="31"/>
      <c r="H2268" s="31"/>
    </row>
    <row r="2269">
      <c r="A2269" s="31"/>
      <c r="C2269" s="31"/>
      <c r="D2269" s="31"/>
      <c r="H2269" s="31"/>
    </row>
    <row r="2270">
      <c r="A2270" s="31"/>
      <c r="C2270" s="31"/>
      <c r="D2270" s="31"/>
      <c r="H2270" s="31"/>
    </row>
    <row r="2271">
      <c r="A2271" s="31"/>
      <c r="C2271" s="31"/>
      <c r="D2271" s="31"/>
      <c r="H2271" s="31"/>
    </row>
    <row r="2272">
      <c r="A2272" s="31"/>
      <c r="C2272" s="31"/>
      <c r="D2272" s="31"/>
      <c r="H2272" s="31"/>
    </row>
    <row r="2273">
      <c r="A2273" s="31"/>
      <c r="C2273" s="31"/>
      <c r="D2273" s="31"/>
      <c r="H2273" s="31"/>
    </row>
    <row r="2274">
      <c r="A2274" s="31"/>
      <c r="C2274" s="31"/>
      <c r="D2274" s="31"/>
      <c r="H2274" s="31"/>
    </row>
    <row r="2275">
      <c r="A2275" s="31"/>
      <c r="C2275" s="31"/>
      <c r="D2275" s="31"/>
      <c r="H2275" s="31"/>
    </row>
    <row r="2276">
      <c r="A2276" s="31"/>
      <c r="C2276" s="31"/>
      <c r="D2276" s="31"/>
      <c r="H2276" s="31"/>
    </row>
    <row r="2277">
      <c r="A2277" s="31"/>
      <c r="C2277" s="31"/>
      <c r="D2277" s="31"/>
      <c r="H2277" s="31"/>
    </row>
    <row r="2278">
      <c r="A2278" s="31"/>
      <c r="C2278" s="31"/>
      <c r="D2278" s="31"/>
      <c r="H2278" s="31"/>
    </row>
    <row r="2279">
      <c r="A2279" s="31"/>
      <c r="C2279" s="31"/>
      <c r="D2279" s="31"/>
      <c r="H2279" s="31"/>
    </row>
    <row r="2280">
      <c r="A2280" s="31"/>
      <c r="C2280" s="31"/>
      <c r="D2280" s="31"/>
      <c r="H2280" s="31"/>
    </row>
    <row r="2281">
      <c r="A2281" s="31"/>
      <c r="C2281" s="31"/>
      <c r="D2281" s="31"/>
      <c r="H2281" s="31"/>
    </row>
    <row r="2282">
      <c r="A2282" s="31"/>
      <c r="C2282" s="31"/>
      <c r="D2282" s="31"/>
      <c r="H2282" s="31"/>
    </row>
    <row r="2283">
      <c r="A2283" s="31"/>
      <c r="C2283" s="31"/>
      <c r="D2283" s="31"/>
      <c r="H2283" s="31"/>
    </row>
    <row r="2284">
      <c r="A2284" s="31"/>
      <c r="C2284" s="31"/>
      <c r="D2284" s="31"/>
      <c r="H2284" s="31"/>
    </row>
    <row r="2285">
      <c r="A2285" s="31"/>
      <c r="C2285" s="31"/>
      <c r="D2285" s="31"/>
      <c r="H2285" s="31"/>
    </row>
    <row r="2286">
      <c r="A2286" s="31"/>
      <c r="C2286" s="31"/>
      <c r="D2286" s="31"/>
      <c r="H2286" s="31"/>
    </row>
    <row r="2287">
      <c r="A2287" s="31"/>
      <c r="C2287" s="31"/>
      <c r="D2287" s="31"/>
      <c r="H2287" s="31"/>
    </row>
    <row r="2288">
      <c r="A2288" s="31"/>
      <c r="C2288" s="31"/>
      <c r="D2288" s="31"/>
      <c r="H2288" s="31"/>
    </row>
    <row r="2289">
      <c r="A2289" s="31"/>
      <c r="C2289" s="31"/>
      <c r="D2289" s="31"/>
      <c r="H2289" s="31"/>
    </row>
    <row r="2290">
      <c r="A2290" s="31"/>
      <c r="C2290" s="31"/>
      <c r="D2290" s="31"/>
      <c r="H2290" s="31"/>
    </row>
    <row r="2291">
      <c r="A2291" s="31"/>
      <c r="C2291" s="31"/>
      <c r="D2291" s="31"/>
      <c r="H2291" s="31"/>
    </row>
    <row r="2292">
      <c r="A2292" s="31"/>
      <c r="C2292" s="31"/>
      <c r="D2292" s="31"/>
      <c r="H2292" s="31"/>
    </row>
    <row r="2293">
      <c r="A2293" s="31"/>
      <c r="C2293" s="31"/>
      <c r="D2293" s="31"/>
      <c r="H2293" s="31"/>
    </row>
    <row r="2294">
      <c r="A2294" s="31"/>
      <c r="C2294" s="31"/>
      <c r="D2294" s="31"/>
      <c r="H2294" s="31"/>
    </row>
    <row r="2295">
      <c r="A2295" s="31"/>
      <c r="C2295" s="31"/>
      <c r="D2295" s="31"/>
      <c r="H2295" s="31"/>
    </row>
    <row r="2296">
      <c r="A2296" s="31"/>
      <c r="C2296" s="31"/>
      <c r="D2296" s="31"/>
      <c r="H2296" s="31"/>
    </row>
    <row r="2297">
      <c r="A2297" s="31"/>
      <c r="C2297" s="31"/>
      <c r="D2297" s="31"/>
      <c r="H2297" s="31"/>
    </row>
    <row r="2298">
      <c r="A2298" s="31"/>
      <c r="C2298" s="31"/>
      <c r="D2298" s="31"/>
      <c r="H2298" s="31"/>
    </row>
    <row r="2299">
      <c r="A2299" s="31"/>
      <c r="C2299" s="31"/>
      <c r="D2299" s="31"/>
      <c r="H2299" s="31"/>
    </row>
    <row r="2300">
      <c r="A2300" s="31"/>
      <c r="C2300" s="31"/>
      <c r="D2300" s="31"/>
      <c r="H2300" s="31"/>
    </row>
    <row r="2301">
      <c r="A2301" s="31"/>
      <c r="C2301" s="31"/>
      <c r="D2301" s="31"/>
      <c r="H2301" s="31"/>
    </row>
    <row r="2302">
      <c r="A2302" s="31"/>
      <c r="C2302" s="31"/>
      <c r="D2302" s="31"/>
      <c r="H2302" s="31"/>
    </row>
    <row r="2303">
      <c r="A2303" s="31"/>
      <c r="C2303" s="31"/>
      <c r="D2303" s="31"/>
      <c r="H2303" s="31"/>
    </row>
    <row r="2304">
      <c r="A2304" s="31"/>
      <c r="C2304" s="31"/>
      <c r="D2304" s="31"/>
      <c r="H2304" s="31"/>
    </row>
    <row r="2305">
      <c r="A2305" s="31"/>
      <c r="C2305" s="31"/>
      <c r="D2305" s="31"/>
      <c r="H2305" s="31"/>
    </row>
    <row r="2306">
      <c r="A2306" s="31"/>
      <c r="C2306" s="31"/>
      <c r="D2306" s="31"/>
      <c r="H2306" s="31"/>
    </row>
    <row r="2307">
      <c r="A2307" s="31"/>
      <c r="C2307" s="31"/>
      <c r="D2307" s="31"/>
      <c r="H2307" s="31"/>
    </row>
    <row r="2308">
      <c r="A2308" s="31"/>
      <c r="C2308" s="31"/>
      <c r="D2308" s="31"/>
      <c r="H2308" s="31"/>
    </row>
    <row r="2309">
      <c r="A2309" s="31"/>
      <c r="C2309" s="31"/>
      <c r="D2309" s="31"/>
      <c r="H2309" s="31"/>
    </row>
    <row r="2310">
      <c r="A2310" s="31"/>
      <c r="C2310" s="31"/>
      <c r="D2310" s="31"/>
      <c r="H2310" s="31"/>
    </row>
    <row r="2311">
      <c r="A2311" s="31"/>
      <c r="C2311" s="31"/>
      <c r="D2311" s="31"/>
      <c r="H2311" s="31"/>
    </row>
    <row r="2312">
      <c r="A2312" s="31"/>
      <c r="C2312" s="31"/>
      <c r="D2312" s="31"/>
      <c r="H2312" s="31"/>
    </row>
    <row r="2313">
      <c r="A2313" s="31"/>
      <c r="C2313" s="31"/>
      <c r="D2313" s="31"/>
      <c r="H2313" s="31"/>
    </row>
    <row r="2314">
      <c r="A2314" s="31"/>
      <c r="C2314" s="31"/>
      <c r="D2314" s="31"/>
      <c r="H2314" s="31"/>
    </row>
    <row r="2315">
      <c r="A2315" s="31"/>
      <c r="C2315" s="31"/>
      <c r="D2315" s="31"/>
      <c r="H2315" s="31"/>
    </row>
    <row r="2316">
      <c r="A2316" s="31"/>
      <c r="C2316" s="31"/>
      <c r="D2316" s="31"/>
      <c r="H2316" s="31"/>
    </row>
    <row r="2317">
      <c r="A2317" s="31"/>
      <c r="C2317" s="31"/>
      <c r="D2317" s="31"/>
      <c r="H2317" s="31"/>
    </row>
    <row r="2318">
      <c r="A2318" s="31"/>
      <c r="C2318" s="31"/>
      <c r="D2318" s="31"/>
      <c r="H2318" s="31"/>
    </row>
    <row r="2319">
      <c r="A2319" s="31"/>
      <c r="C2319" s="31"/>
      <c r="D2319" s="31"/>
      <c r="H2319" s="31"/>
    </row>
    <row r="2320">
      <c r="A2320" s="31"/>
      <c r="C2320" s="31"/>
      <c r="D2320" s="31"/>
      <c r="H2320" s="31"/>
    </row>
    <row r="2321">
      <c r="A2321" s="31"/>
      <c r="C2321" s="31"/>
      <c r="D2321" s="31"/>
      <c r="H2321" s="31"/>
    </row>
    <row r="2322">
      <c r="A2322" s="31"/>
      <c r="C2322" s="31"/>
      <c r="D2322" s="31"/>
      <c r="H2322" s="31"/>
    </row>
    <row r="2323">
      <c r="A2323" s="31"/>
      <c r="C2323" s="31"/>
      <c r="D2323" s="31"/>
      <c r="H2323" s="31"/>
    </row>
    <row r="2324">
      <c r="A2324" s="31"/>
      <c r="C2324" s="31"/>
      <c r="D2324" s="31"/>
      <c r="H2324" s="31"/>
    </row>
    <row r="2325">
      <c r="A2325" s="31"/>
      <c r="C2325" s="31"/>
      <c r="D2325" s="31"/>
      <c r="H2325" s="31"/>
    </row>
    <row r="2326">
      <c r="A2326" s="31"/>
      <c r="C2326" s="31"/>
      <c r="D2326" s="31"/>
      <c r="H2326" s="31"/>
    </row>
    <row r="2327">
      <c r="A2327" s="31"/>
      <c r="C2327" s="31"/>
      <c r="D2327" s="31"/>
      <c r="H2327" s="31"/>
    </row>
    <row r="2328">
      <c r="A2328" s="31"/>
      <c r="C2328" s="31"/>
      <c r="D2328" s="31"/>
      <c r="H2328" s="31"/>
    </row>
    <row r="2329">
      <c r="A2329" s="31"/>
      <c r="C2329" s="31"/>
      <c r="D2329" s="31"/>
      <c r="H2329" s="31"/>
    </row>
    <row r="2330">
      <c r="A2330" s="31"/>
      <c r="C2330" s="31"/>
      <c r="D2330" s="31"/>
      <c r="H2330" s="31"/>
    </row>
    <row r="2331">
      <c r="A2331" s="31"/>
      <c r="C2331" s="31"/>
      <c r="D2331" s="31"/>
      <c r="H2331" s="31"/>
    </row>
    <row r="2332">
      <c r="A2332" s="31"/>
      <c r="C2332" s="31"/>
      <c r="D2332" s="31"/>
      <c r="H2332" s="31"/>
    </row>
    <row r="2333">
      <c r="A2333" s="31"/>
      <c r="C2333" s="31"/>
      <c r="D2333" s="31"/>
      <c r="H2333" s="31"/>
    </row>
    <row r="2334">
      <c r="A2334" s="31"/>
      <c r="C2334" s="31"/>
      <c r="D2334" s="31"/>
      <c r="H2334" s="31"/>
    </row>
    <row r="2335">
      <c r="A2335" s="31"/>
      <c r="C2335" s="31"/>
      <c r="D2335" s="31"/>
      <c r="H2335" s="31"/>
    </row>
    <row r="2336">
      <c r="A2336" s="31"/>
      <c r="C2336" s="31"/>
      <c r="D2336" s="31"/>
      <c r="H2336" s="31"/>
    </row>
    <row r="2337">
      <c r="A2337" s="31"/>
      <c r="C2337" s="31"/>
      <c r="D2337" s="31"/>
      <c r="H2337" s="31"/>
    </row>
    <row r="2338">
      <c r="A2338" s="31"/>
      <c r="C2338" s="31"/>
      <c r="D2338" s="31"/>
      <c r="H2338" s="31"/>
    </row>
    <row r="2339">
      <c r="A2339" s="31"/>
      <c r="C2339" s="31"/>
      <c r="D2339" s="31"/>
      <c r="H2339" s="31"/>
    </row>
    <row r="2340">
      <c r="A2340" s="31"/>
      <c r="C2340" s="31"/>
      <c r="D2340" s="31"/>
      <c r="H2340" s="31"/>
    </row>
    <row r="2341">
      <c r="A2341" s="31"/>
      <c r="C2341" s="31"/>
      <c r="D2341" s="31"/>
      <c r="H2341" s="31"/>
    </row>
    <row r="2342">
      <c r="A2342" s="31"/>
      <c r="C2342" s="31"/>
      <c r="D2342" s="31"/>
      <c r="H2342" s="31"/>
    </row>
    <row r="2343">
      <c r="A2343" s="31"/>
      <c r="C2343" s="31"/>
      <c r="D2343" s="31"/>
      <c r="H2343" s="31"/>
    </row>
    <row r="2344">
      <c r="A2344" s="31"/>
      <c r="C2344" s="31"/>
      <c r="D2344" s="31"/>
      <c r="H2344" s="31"/>
    </row>
    <row r="2345">
      <c r="A2345" s="31"/>
      <c r="C2345" s="31"/>
      <c r="D2345" s="31"/>
      <c r="H2345" s="31"/>
    </row>
    <row r="2346">
      <c r="A2346" s="31"/>
      <c r="C2346" s="31"/>
      <c r="D2346" s="31"/>
      <c r="H2346" s="31"/>
    </row>
    <row r="2347">
      <c r="A2347" s="31"/>
      <c r="C2347" s="31"/>
      <c r="D2347" s="31"/>
      <c r="H2347" s="31"/>
    </row>
    <row r="2348">
      <c r="A2348" s="31"/>
      <c r="C2348" s="31"/>
      <c r="D2348" s="31"/>
      <c r="H2348" s="31"/>
    </row>
    <row r="2349">
      <c r="A2349" s="31"/>
      <c r="C2349" s="31"/>
      <c r="D2349" s="31"/>
      <c r="H2349" s="31"/>
    </row>
    <row r="2350">
      <c r="A2350" s="31"/>
      <c r="C2350" s="31"/>
      <c r="D2350" s="31"/>
      <c r="H2350" s="31"/>
    </row>
    <row r="2351">
      <c r="A2351" s="31"/>
      <c r="C2351" s="31"/>
      <c r="D2351" s="31"/>
      <c r="H2351" s="31"/>
    </row>
    <row r="2352">
      <c r="A2352" s="31"/>
      <c r="C2352" s="31"/>
      <c r="D2352" s="31"/>
      <c r="H2352" s="31"/>
    </row>
    <row r="2353">
      <c r="A2353" s="31"/>
      <c r="C2353" s="31"/>
      <c r="D2353" s="31"/>
      <c r="H2353" s="31"/>
    </row>
    <row r="2354">
      <c r="A2354" s="31"/>
      <c r="C2354" s="31"/>
      <c r="D2354" s="31"/>
      <c r="H2354" s="31"/>
    </row>
    <row r="2355">
      <c r="A2355" s="31"/>
      <c r="C2355" s="31"/>
      <c r="D2355" s="31"/>
      <c r="H2355" s="31"/>
    </row>
    <row r="2356">
      <c r="A2356" s="31"/>
      <c r="C2356" s="31"/>
      <c r="D2356" s="31"/>
      <c r="H2356" s="31"/>
    </row>
    <row r="2357">
      <c r="A2357" s="31"/>
      <c r="C2357" s="31"/>
      <c r="D2357" s="31"/>
      <c r="H2357" s="31"/>
    </row>
    <row r="2358">
      <c r="A2358" s="31"/>
      <c r="C2358" s="31"/>
      <c r="D2358" s="31"/>
      <c r="H2358" s="31"/>
    </row>
    <row r="2359">
      <c r="A2359" s="31"/>
      <c r="C2359" s="31"/>
      <c r="D2359" s="31"/>
      <c r="H2359" s="31"/>
    </row>
    <row r="2360">
      <c r="A2360" s="31"/>
      <c r="C2360" s="31"/>
      <c r="D2360" s="31"/>
      <c r="H2360" s="31"/>
    </row>
    <row r="2361">
      <c r="A2361" s="31"/>
      <c r="C2361" s="31"/>
      <c r="D2361" s="31"/>
      <c r="H2361" s="31"/>
    </row>
    <row r="2362">
      <c r="A2362" s="31"/>
      <c r="C2362" s="31"/>
      <c r="D2362" s="31"/>
      <c r="H2362" s="31"/>
    </row>
    <row r="2363">
      <c r="A2363" s="31"/>
      <c r="C2363" s="31"/>
      <c r="D2363" s="31"/>
      <c r="H2363" s="31"/>
    </row>
    <row r="2364">
      <c r="A2364" s="31"/>
      <c r="C2364" s="31"/>
      <c r="D2364" s="31"/>
      <c r="H2364" s="31"/>
    </row>
    <row r="2365">
      <c r="A2365" s="31"/>
      <c r="C2365" s="31"/>
      <c r="D2365" s="31"/>
      <c r="H2365" s="31"/>
    </row>
    <row r="2366">
      <c r="A2366" s="31"/>
      <c r="C2366" s="31"/>
      <c r="D2366" s="31"/>
      <c r="H2366" s="31"/>
    </row>
    <row r="2367">
      <c r="A2367" s="31"/>
      <c r="C2367" s="31"/>
      <c r="D2367" s="31"/>
      <c r="H2367" s="31"/>
    </row>
    <row r="2368">
      <c r="A2368" s="31"/>
      <c r="C2368" s="31"/>
      <c r="D2368" s="31"/>
      <c r="H2368" s="31"/>
    </row>
    <row r="2369">
      <c r="A2369" s="31"/>
      <c r="C2369" s="31"/>
      <c r="D2369" s="31"/>
      <c r="H2369" s="31"/>
    </row>
    <row r="2370">
      <c r="A2370" s="31"/>
      <c r="C2370" s="31"/>
      <c r="D2370" s="31"/>
      <c r="H2370" s="31"/>
    </row>
    <row r="2371">
      <c r="A2371" s="31"/>
      <c r="C2371" s="31"/>
      <c r="D2371" s="31"/>
      <c r="H2371" s="31"/>
    </row>
    <row r="2372">
      <c r="A2372" s="31"/>
      <c r="C2372" s="31"/>
      <c r="D2372" s="31"/>
      <c r="H2372" s="31"/>
    </row>
    <row r="2373">
      <c r="A2373" s="31"/>
      <c r="C2373" s="31"/>
      <c r="D2373" s="31"/>
      <c r="H2373" s="31"/>
    </row>
    <row r="2374">
      <c r="A2374" s="31"/>
      <c r="C2374" s="31"/>
      <c r="D2374" s="31"/>
      <c r="H2374" s="31"/>
    </row>
    <row r="2375">
      <c r="A2375" s="31"/>
      <c r="C2375" s="31"/>
      <c r="D2375" s="31"/>
      <c r="H2375" s="31"/>
    </row>
    <row r="2376">
      <c r="A2376" s="31"/>
      <c r="C2376" s="31"/>
      <c r="D2376" s="31"/>
      <c r="H2376" s="31"/>
    </row>
    <row r="2377">
      <c r="A2377" s="31"/>
      <c r="C2377" s="31"/>
      <c r="D2377" s="31"/>
      <c r="H2377" s="31"/>
    </row>
    <row r="2378">
      <c r="A2378" s="31"/>
      <c r="C2378" s="31"/>
      <c r="D2378" s="31"/>
      <c r="H2378" s="31"/>
    </row>
    <row r="2379">
      <c r="A2379" s="31"/>
      <c r="C2379" s="31"/>
      <c r="D2379" s="31"/>
      <c r="H2379" s="31"/>
    </row>
    <row r="2380">
      <c r="A2380" s="31"/>
      <c r="C2380" s="31"/>
      <c r="D2380" s="31"/>
      <c r="H2380" s="31"/>
    </row>
    <row r="2381">
      <c r="A2381" s="31"/>
      <c r="C2381" s="31"/>
      <c r="D2381" s="31"/>
      <c r="H2381" s="31"/>
    </row>
    <row r="2382">
      <c r="A2382" s="31"/>
      <c r="C2382" s="31"/>
      <c r="D2382" s="31"/>
      <c r="H2382" s="31"/>
    </row>
    <row r="2383">
      <c r="A2383" s="31"/>
      <c r="C2383" s="31"/>
      <c r="D2383" s="31"/>
      <c r="H2383" s="31"/>
    </row>
    <row r="2384">
      <c r="A2384" s="31"/>
      <c r="C2384" s="31"/>
      <c r="D2384" s="31"/>
      <c r="H2384" s="31"/>
    </row>
    <row r="2385">
      <c r="A2385" s="31"/>
      <c r="C2385" s="31"/>
      <c r="D2385" s="31"/>
      <c r="H2385" s="31"/>
    </row>
    <row r="2386">
      <c r="A2386" s="31"/>
      <c r="C2386" s="31"/>
      <c r="D2386" s="31"/>
      <c r="H2386" s="31"/>
    </row>
    <row r="2387">
      <c r="A2387" s="31"/>
      <c r="C2387" s="31"/>
      <c r="D2387" s="31"/>
      <c r="H2387" s="31"/>
    </row>
    <row r="2388">
      <c r="A2388" s="31"/>
      <c r="C2388" s="31"/>
      <c r="D2388" s="31"/>
      <c r="H2388" s="31"/>
    </row>
    <row r="2389">
      <c r="A2389" s="31"/>
      <c r="C2389" s="31"/>
      <c r="D2389" s="31"/>
      <c r="H2389" s="31"/>
    </row>
    <row r="2390">
      <c r="A2390" s="31"/>
      <c r="C2390" s="31"/>
      <c r="D2390" s="31"/>
      <c r="H2390" s="31"/>
    </row>
    <row r="2391">
      <c r="A2391" s="31"/>
      <c r="C2391" s="31"/>
      <c r="D2391" s="31"/>
      <c r="H2391" s="31"/>
    </row>
    <row r="2392">
      <c r="A2392" s="31"/>
      <c r="C2392" s="31"/>
      <c r="D2392" s="31"/>
      <c r="H2392" s="31"/>
    </row>
    <row r="2393">
      <c r="A2393" s="31"/>
      <c r="C2393" s="31"/>
      <c r="D2393" s="31"/>
      <c r="H2393" s="31"/>
    </row>
    <row r="2394">
      <c r="A2394" s="31"/>
      <c r="C2394" s="31"/>
      <c r="D2394" s="31"/>
      <c r="H2394" s="31"/>
    </row>
    <row r="2395">
      <c r="A2395" s="31"/>
      <c r="C2395" s="31"/>
      <c r="D2395" s="31"/>
      <c r="H2395" s="31"/>
    </row>
    <row r="2396">
      <c r="A2396" s="31"/>
      <c r="C2396" s="31"/>
      <c r="D2396" s="31"/>
      <c r="H2396" s="31"/>
    </row>
    <row r="2397">
      <c r="A2397" s="31"/>
      <c r="C2397" s="31"/>
      <c r="D2397" s="31"/>
      <c r="H2397" s="31"/>
    </row>
    <row r="2398">
      <c r="A2398" s="31"/>
      <c r="C2398" s="31"/>
      <c r="D2398" s="31"/>
      <c r="H2398" s="31"/>
    </row>
    <row r="2399">
      <c r="A2399" s="31"/>
      <c r="C2399" s="31"/>
      <c r="D2399" s="31"/>
      <c r="H2399" s="31"/>
    </row>
    <row r="2400">
      <c r="A2400" s="31"/>
      <c r="C2400" s="31"/>
      <c r="D2400" s="31"/>
      <c r="H2400" s="31"/>
    </row>
    <row r="2401">
      <c r="A2401" s="31"/>
      <c r="C2401" s="31"/>
      <c r="D2401" s="31"/>
      <c r="H2401" s="31"/>
    </row>
    <row r="2402">
      <c r="A2402" s="31"/>
      <c r="C2402" s="31"/>
      <c r="D2402" s="31"/>
      <c r="H2402" s="31"/>
    </row>
    <row r="2403">
      <c r="A2403" s="31"/>
      <c r="C2403" s="31"/>
      <c r="D2403" s="31"/>
      <c r="H2403" s="31"/>
    </row>
    <row r="2404">
      <c r="A2404" s="31"/>
      <c r="C2404" s="31"/>
      <c r="D2404" s="31"/>
      <c r="H2404" s="31"/>
    </row>
    <row r="2405">
      <c r="A2405" s="31"/>
      <c r="C2405" s="31"/>
      <c r="D2405" s="31"/>
      <c r="H2405" s="31"/>
    </row>
    <row r="2406">
      <c r="A2406" s="31"/>
      <c r="C2406" s="31"/>
      <c r="D2406" s="31"/>
      <c r="H2406" s="31"/>
    </row>
    <row r="2407">
      <c r="A2407" s="31"/>
      <c r="C2407" s="31"/>
      <c r="D2407" s="31"/>
      <c r="H2407" s="31"/>
    </row>
    <row r="2408">
      <c r="A2408" s="31"/>
      <c r="C2408" s="31"/>
      <c r="D2408" s="31"/>
      <c r="H2408" s="31"/>
    </row>
    <row r="2409">
      <c r="A2409" s="31"/>
      <c r="C2409" s="31"/>
      <c r="D2409" s="31"/>
      <c r="H2409" s="31"/>
    </row>
    <row r="2410">
      <c r="A2410" s="31"/>
      <c r="C2410" s="31"/>
      <c r="D2410" s="31"/>
      <c r="H2410" s="31"/>
    </row>
    <row r="2411">
      <c r="A2411" s="31"/>
      <c r="C2411" s="31"/>
      <c r="D2411" s="31"/>
      <c r="H2411" s="31"/>
    </row>
    <row r="2412">
      <c r="A2412" s="31"/>
      <c r="C2412" s="31"/>
      <c r="D2412" s="31"/>
      <c r="H2412" s="31"/>
    </row>
    <row r="2413">
      <c r="A2413" s="31"/>
      <c r="C2413" s="31"/>
      <c r="D2413" s="31"/>
      <c r="H2413" s="31"/>
    </row>
    <row r="2414">
      <c r="A2414" s="31"/>
      <c r="C2414" s="31"/>
      <c r="D2414" s="31"/>
      <c r="H2414" s="31"/>
    </row>
    <row r="2415">
      <c r="A2415" s="31"/>
      <c r="C2415" s="31"/>
      <c r="D2415" s="31"/>
      <c r="H2415" s="31"/>
    </row>
    <row r="2416">
      <c r="A2416" s="31"/>
      <c r="C2416" s="31"/>
      <c r="D2416" s="31"/>
      <c r="H2416" s="31"/>
    </row>
    <row r="2417">
      <c r="A2417" s="31"/>
      <c r="C2417" s="31"/>
      <c r="D2417" s="31"/>
      <c r="H2417" s="31"/>
    </row>
    <row r="2418">
      <c r="A2418" s="31"/>
      <c r="C2418" s="31"/>
      <c r="D2418" s="31"/>
      <c r="H2418" s="31"/>
    </row>
    <row r="2419">
      <c r="A2419" s="31"/>
      <c r="C2419" s="31"/>
      <c r="D2419" s="31"/>
      <c r="H2419" s="31"/>
    </row>
    <row r="2420">
      <c r="A2420" s="31"/>
      <c r="C2420" s="31"/>
      <c r="D2420" s="31"/>
      <c r="H2420" s="31"/>
    </row>
    <row r="2421">
      <c r="A2421" s="31"/>
      <c r="C2421" s="31"/>
      <c r="D2421" s="31"/>
      <c r="H2421" s="31"/>
    </row>
    <row r="2422">
      <c r="A2422" s="31"/>
      <c r="C2422" s="31"/>
      <c r="D2422" s="31"/>
      <c r="H2422" s="31"/>
    </row>
    <row r="2423">
      <c r="A2423" s="31"/>
      <c r="C2423" s="31"/>
      <c r="D2423" s="31"/>
      <c r="H2423" s="31"/>
    </row>
    <row r="2424">
      <c r="A2424" s="31"/>
      <c r="C2424" s="31"/>
      <c r="D2424" s="31"/>
      <c r="H2424" s="31"/>
    </row>
    <row r="2425">
      <c r="A2425" s="31"/>
      <c r="C2425" s="31"/>
      <c r="D2425" s="31"/>
      <c r="H2425" s="31"/>
    </row>
    <row r="2426">
      <c r="A2426" s="31"/>
      <c r="C2426" s="31"/>
      <c r="D2426" s="31"/>
      <c r="H2426" s="31"/>
    </row>
    <row r="2427">
      <c r="A2427" s="31"/>
      <c r="C2427" s="31"/>
      <c r="D2427" s="31"/>
      <c r="H2427" s="31"/>
    </row>
    <row r="2428">
      <c r="A2428" s="31"/>
      <c r="C2428" s="31"/>
      <c r="D2428" s="31"/>
      <c r="H2428" s="31"/>
    </row>
    <row r="2429">
      <c r="A2429" s="31"/>
      <c r="C2429" s="31"/>
      <c r="D2429" s="31"/>
      <c r="H2429" s="31"/>
    </row>
    <row r="2430">
      <c r="A2430" s="31"/>
      <c r="C2430" s="31"/>
      <c r="D2430" s="31"/>
      <c r="H2430" s="31"/>
    </row>
    <row r="2431">
      <c r="A2431" s="31"/>
      <c r="C2431" s="31"/>
      <c r="D2431" s="31"/>
      <c r="H2431" s="31"/>
    </row>
    <row r="2432">
      <c r="A2432" s="31"/>
      <c r="C2432" s="31"/>
      <c r="D2432" s="31"/>
      <c r="H2432" s="31"/>
    </row>
    <row r="2433">
      <c r="A2433" s="31"/>
      <c r="C2433" s="31"/>
      <c r="D2433" s="31"/>
      <c r="H2433" s="31"/>
    </row>
    <row r="2434">
      <c r="A2434" s="31"/>
      <c r="C2434" s="31"/>
      <c r="D2434" s="31"/>
      <c r="H2434" s="31"/>
    </row>
    <row r="2435">
      <c r="A2435" s="31"/>
      <c r="C2435" s="31"/>
      <c r="D2435" s="31"/>
      <c r="H2435" s="31"/>
    </row>
    <row r="2436">
      <c r="A2436" s="31"/>
      <c r="C2436" s="31"/>
      <c r="D2436" s="31"/>
      <c r="H2436" s="31"/>
    </row>
    <row r="2437">
      <c r="A2437" s="31"/>
      <c r="C2437" s="31"/>
      <c r="D2437" s="31"/>
      <c r="H2437" s="31"/>
    </row>
    <row r="2438">
      <c r="A2438" s="31"/>
      <c r="C2438" s="31"/>
      <c r="D2438" s="31"/>
      <c r="H2438" s="31"/>
    </row>
    <row r="2439">
      <c r="A2439" s="31"/>
      <c r="C2439" s="31"/>
      <c r="D2439" s="31"/>
      <c r="H2439" s="31"/>
    </row>
    <row r="2440">
      <c r="A2440" s="31"/>
      <c r="C2440" s="31"/>
      <c r="D2440" s="31"/>
      <c r="H2440" s="31"/>
    </row>
    <row r="2441">
      <c r="A2441" s="31"/>
      <c r="C2441" s="31"/>
      <c r="D2441" s="31"/>
      <c r="H2441" s="31"/>
    </row>
    <row r="2442">
      <c r="A2442" s="31"/>
      <c r="C2442" s="31"/>
      <c r="D2442" s="31"/>
      <c r="H2442" s="31"/>
    </row>
    <row r="2443">
      <c r="A2443" s="31"/>
      <c r="C2443" s="31"/>
      <c r="D2443" s="31"/>
      <c r="H2443" s="31"/>
    </row>
    <row r="2444">
      <c r="A2444" s="31"/>
      <c r="C2444" s="31"/>
      <c r="D2444" s="31"/>
      <c r="H2444" s="31"/>
    </row>
    <row r="2445">
      <c r="A2445" s="31"/>
      <c r="C2445" s="31"/>
      <c r="D2445" s="31"/>
      <c r="H2445" s="31"/>
    </row>
    <row r="2446">
      <c r="A2446" s="31"/>
      <c r="C2446" s="31"/>
      <c r="D2446" s="31"/>
      <c r="H2446" s="31"/>
    </row>
    <row r="2447">
      <c r="A2447" s="31"/>
      <c r="C2447" s="31"/>
      <c r="D2447" s="31"/>
      <c r="H2447" s="31"/>
    </row>
    <row r="2448">
      <c r="A2448" s="31"/>
      <c r="C2448" s="31"/>
      <c r="D2448" s="31"/>
      <c r="H2448" s="31"/>
    </row>
    <row r="2449">
      <c r="A2449" s="31"/>
      <c r="C2449" s="31"/>
      <c r="D2449" s="31"/>
      <c r="H2449" s="31"/>
    </row>
    <row r="2450">
      <c r="A2450" s="31"/>
      <c r="C2450" s="31"/>
      <c r="D2450" s="31"/>
      <c r="H2450" s="31"/>
    </row>
    <row r="2451">
      <c r="A2451" s="31"/>
      <c r="C2451" s="31"/>
      <c r="D2451" s="31"/>
      <c r="H2451" s="31"/>
    </row>
    <row r="2452">
      <c r="A2452" s="31"/>
      <c r="C2452" s="31"/>
      <c r="D2452" s="31"/>
      <c r="H2452" s="31"/>
    </row>
    <row r="2453">
      <c r="A2453" s="31"/>
      <c r="C2453" s="31"/>
      <c r="D2453" s="31"/>
      <c r="H2453" s="31"/>
    </row>
    <row r="2454">
      <c r="A2454" s="31"/>
      <c r="C2454" s="31"/>
      <c r="D2454" s="31"/>
      <c r="H2454" s="31"/>
    </row>
    <row r="2455">
      <c r="A2455" s="31"/>
      <c r="C2455" s="31"/>
      <c r="D2455" s="31"/>
      <c r="H2455" s="31"/>
    </row>
    <row r="2456">
      <c r="A2456" s="31"/>
      <c r="C2456" s="31"/>
      <c r="D2456" s="31"/>
      <c r="H2456" s="31"/>
    </row>
    <row r="2457">
      <c r="A2457" s="31"/>
      <c r="C2457" s="31"/>
      <c r="D2457" s="31"/>
      <c r="H2457" s="31"/>
    </row>
    <row r="2458">
      <c r="A2458" s="31"/>
      <c r="C2458" s="31"/>
      <c r="D2458" s="31"/>
      <c r="H2458" s="31"/>
    </row>
    <row r="2459">
      <c r="A2459" s="31"/>
      <c r="C2459" s="31"/>
      <c r="D2459" s="31"/>
      <c r="H2459" s="31"/>
    </row>
    <row r="2460">
      <c r="A2460" s="31"/>
      <c r="C2460" s="31"/>
      <c r="D2460" s="31"/>
      <c r="H2460" s="31"/>
    </row>
    <row r="2461">
      <c r="A2461" s="31"/>
      <c r="C2461" s="31"/>
      <c r="D2461" s="31"/>
      <c r="H2461" s="31"/>
    </row>
    <row r="2462">
      <c r="A2462" s="31"/>
      <c r="C2462" s="31"/>
      <c r="D2462" s="31"/>
      <c r="H2462" s="31"/>
    </row>
    <row r="2463">
      <c r="A2463" s="31"/>
      <c r="C2463" s="31"/>
      <c r="D2463" s="31"/>
      <c r="H2463" s="31"/>
    </row>
    <row r="2464">
      <c r="A2464" s="31"/>
      <c r="C2464" s="31"/>
      <c r="D2464" s="31"/>
      <c r="H2464" s="31"/>
    </row>
    <row r="2465">
      <c r="A2465" s="31"/>
      <c r="C2465" s="31"/>
      <c r="D2465" s="31"/>
      <c r="H2465" s="31"/>
    </row>
    <row r="2466">
      <c r="A2466" s="31"/>
      <c r="C2466" s="31"/>
      <c r="D2466" s="31"/>
      <c r="H2466" s="31"/>
    </row>
    <row r="2467">
      <c r="A2467" s="31"/>
      <c r="C2467" s="31"/>
      <c r="D2467" s="31"/>
      <c r="H2467" s="31"/>
    </row>
    <row r="2468">
      <c r="A2468" s="31"/>
      <c r="C2468" s="31"/>
      <c r="D2468" s="31"/>
      <c r="H2468" s="31"/>
    </row>
    <row r="2469">
      <c r="A2469" s="31"/>
      <c r="C2469" s="31"/>
      <c r="D2469" s="31"/>
      <c r="H2469" s="31"/>
    </row>
    <row r="2470">
      <c r="A2470" s="31"/>
      <c r="C2470" s="31"/>
      <c r="D2470" s="31"/>
      <c r="H2470" s="31"/>
    </row>
    <row r="2471">
      <c r="A2471" s="31"/>
      <c r="C2471" s="31"/>
      <c r="D2471" s="31"/>
      <c r="H2471" s="31"/>
    </row>
    <row r="2472">
      <c r="A2472" s="31"/>
      <c r="C2472" s="31"/>
      <c r="D2472" s="31"/>
      <c r="H2472" s="31"/>
    </row>
    <row r="2473">
      <c r="A2473" s="31"/>
      <c r="C2473" s="31"/>
      <c r="D2473" s="31"/>
      <c r="H2473" s="31"/>
    </row>
    <row r="2474">
      <c r="A2474" s="31"/>
      <c r="C2474" s="31"/>
      <c r="D2474" s="31"/>
      <c r="H2474" s="31"/>
    </row>
    <row r="2475">
      <c r="A2475" s="31"/>
      <c r="C2475" s="31"/>
      <c r="D2475" s="31"/>
      <c r="H2475" s="31"/>
    </row>
    <row r="2476">
      <c r="A2476" s="31"/>
      <c r="C2476" s="31"/>
      <c r="D2476" s="31"/>
      <c r="H2476" s="31"/>
    </row>
    <row r="2477">
      <c r="A2477" s="31"/>
      <c r="C2477" s="31"/>
      <c r="D2477" s="31"/>
      <c r="H2477" s="31"/>
    </row>
    <row r="2478">
      <c r="A2478" s="31"/>
      <c r="C2478" s="31"/>
      <c r="D2478" s="31"/>
      <c r="H2478" s="31"/>
    </row>
    <row r="2479">
      <c r="A2479" s="31"/>
      <c r="C2479" s="31"/>
      <c r="D2479" s="31"/>
      <c r="H2479" s="31"/>
    </row>
    <row r="2480">
      <c r="A2480" s="31"/>
      <c r="C2480" s="31"/>
      <c r="D2480" s="31"/>
      <c r="H2480" s="31"/>
    </row>
    <row r="2481">
      <c r="A2481" s="31"/>
      <c r="C2481" s="31"/>
      <c r="D2481" s="31"/>
      <c r="H2481" s="31"/>
    </row>
    <row r="2482">
      <c r="A2482" s="31"/>
      <c r="C2482" s="31"/>
      <c r="D2482" s="31"/>
      <c r="H2482" s="31"/>
    </row>
    <row r="2483">
      <c r="A2483" s="31"/>
      <c r="C2483" s="31"/>
      <c r="D2483" s="31"/>
      <c r="H2483" s="31"/>
    </row>
    <row r="2484">
      <c r="A2484" s="31"/>
      <c r="C2484" s="31"/>
      <c r="D2484" s="31"/>
      <c r="H2484" s="31"/>
    </row>
    <row r="2485">
      <c r="A2485" s="31"/>
      <c r="C2485" s="31"/>
      <c r="D2485" s="31"/>
      <c r="H2485" s="31"/>
    </row>
    <row r="2486">
      <c r="A2486" s="31"/>
      <c r="C2486" s="31"/>
      <c r="D2486" s="31"/>
      <c r="H2486" s="31"/>
    </row>
    <row r="2487">
      <c r="A2487" s="31"/>
      <c r="C2487" s="31"/>
      <c r="D2487" s="31"/>
      <c r="H2487" s="31"/>
    </row>
    <row r="2488">
      <c r="A2488" s="31"/>
      <c r="C2488" s="31"/>
      <c r="D2488" s="31"/>
      <c r="H2488" s="31"/>
    </row>
    <row r="2489">
      <c r="A2489" s="31"/>
      <c r="C2489" s="31"/>
      <c r="D2489" s="31"/>
      <c r="H2489" s="31"/>
    </row>
    <row r="2490">
      <c r="A2490" s="31"/>
      <c r="C2490" s="31"/>
      <c r="D2490" s="31"/>
      <c r="H2490" s="31"/>
    </row>
    <row r="2491">
      <c r="A2491" s="31"/>
      <c r="C2491" s="31"/>
      <c r="D2491" s="31"/>
      <c r="H2491" s="31"/>
    </row>
    <row r="2492">
      <c r="A2492" s="31"/>
      <c r="C2492" s="31"/>
      <c r="D2492" s="31"/>
      <c r="H2492" s="31"/>
    </row>
    <row r="2493">
      <c r="A2493" s="31"/>
      <c r="C2493" s="31"/>
      <c r="D2493" s="31"/>
      <c r="H2493" s="31"/>
    </row>
    <row r="2494">
      <c r="A2494" s="31"/>
      <c r="C2494" s="31"/>
      <c r="D2494" s="31"/>
      <c r="H2494" s="31"/>
    </row>
    <row r="2495">
      <c r="A2495" s="31"/>
      <c r="C2495" s="31"/>
      <c r="D2495" s="31"/>
      <c r="H2495" s="31"/>
    </row>
    <row r="2496">
      <c r="A2496" s="31"/>
      <c r="C2496" s="31"/>
      <c r="D2496" s="31"/>
      <c r="H2496" s="31"/>
    </row>
    <row r="2497">
      <c r="A2497" s="31"/>
      <c r="C2497" s="31"/>
      <c r="D2497" s="31"/>
      <c r="H2497" s="31"/>
    </row>
    <row r="2498">
      <c r="A2498" s="31"/>
      <c r="C2498" s="31"/>
      <c r="D2498" s="31"/>
      <c r="H2498" s="31"/>
    </row>
    <row r="2499">
      <c r="A2499" s="31"/>
      <c r="C2499" s="31"/>
      <c r="D2499" s="31"/>
      <c r="H2499" s="31"/>
    </row>
    <row r="2500">
      <c r="A2500" s="31"/>
      <c r="C2500" s="31"/>
      <c r="D2500" s="31"/>
      <c r="H2500" s="31"/>
    </row>
    <row r="2501">
      <c r="A2501" s="31"/>
      <c r="C2501" s="31"/>
      <c r="D2501" s="31"/>
      <c r="H2501" s="31"/>
    </row>
    <row r="2502">
      <c r="A2502" s="31"/>
      <c r="C2502" s="31"/>
      <c r="D2502" s="31"/>
      <c r="H2502" s="31"/>
    </row>
    <row r="2503">
      <c r="A2503" s="31"/>
      <c r="C2503" s="31"/>
      <c r="D2503" s="31"/>
      <c r="H2503" s="31"/>
    </row>
    <row r="2504">
      <c r="A2504" s="31"/>
      <c r="C2504" s="31"/>
      <c r="D2504" s="31"/>
      <c r="H2504" s="31"/>
    </row>
    <row r="2505">
      <c r="A2505" s="31"/>
      <c r="C2505" s="31"/>
      <c r="D2505" s="31"/>
      <c r="H2505" s="31"/>
    </row>
    <row r="2506">
      <c r="A2506" s="31"/>
      <c r="C2506" s="31"/>
      <c r="D2506" s="31"/>
      <c r="H2506" s="31"/>
    </row>
    <row r="2507">
      <c r="A2507" s="31"/>
      <c r="C2507" s="31"/>
      <c r="D2507" s="31"/>
      <c r="H2507" s="31"/>
    </row>
    <row r="2508">
      <c r="A2508" s="31"/>
      <c r="C2508" s="31"/>
      <c r="D2508" s="31"/>
      <c r="H2508" s="31"/>
    </row>
    <row r="2509">
      <c r="A2509" s="31"/>
      <c r="C2509" s="31"/>
      <c r="D2509" s="31"/>
      <c r="H2509" s="31"/>
    </row>
    <row r="2510">
      <c r="A2510" s="31"/>
      <c r="C2510" s="31"/>
      <c r="D2510" s="31"/>
      <c r="H2510" s="31"/>
    </row>
    <row r="2511">
      <c r="A2511" s="31"/>
      <c r="C2511" s="31"/>
      <c r="D2511" s="31"/>
      <c r="H2511" s="31"/>
    </row>
    <row r="2512">
      <c r="A2512" s="31"/>
      <c r="C2512" s="31"/>
      <c r="D2512" s="31"/>
      <c r="H2512" s="31"/>
    </row>
    <row r="2513">
      <c r="A2513" s="31"/>
      <c r="C2513" s="31"/>
      <c r="D2513" s="31"/>
      <c r="H2513" s="31"/>
    </row>
    <row r="2514">
      <c r="A2514" s="31"/>
      <c r="C2514" s="31"/>
      <c r="D2514" s="31"/>
      <c r="H2514" s="31"/>
    </row>
    <row r="2515">
      <c r="A2515" s="31"/>
      <c r="C2515" s="31"/>
      <c r="D2515" s="31"/>
      <c r="H2515" s="31"/>
    </row>
    <row r="2516">
      <c r="A2516" s="31"/>
      <c r="C2516" s="31"/>
      <c r="D2516" s="31"/>
      <c r="H2516" s="31"/>
    </row>
    <row r="2517">
      <c r="A2517" s="31"/>
      <c r="C2517" s="31"/>
      <c r="D2517" s="31"/>
      <c r="H2517" s="31"/>
    </row>
    <row r="2518">
      <c r="A2518" s="31"/>
      <c r="C2518" s="31"/>
      <c r="D2518" s="31"/>
      <c r="H2518" s="31"/>
    </row>
    <row r="2519">
      <c r="A2519" s="31"/>
      <c r="C2519" s="31"/>
      <c r="D2519" s="31"/>
      <c r="H2519" s="31"/>
    </row>
    <row r="2520">
      <c r="A2520" s="31"/>
      <c r="C2520" s="31"/>
      <c r="D2520" s="31"/>
      <c r="H2520" s="31"/>
    </row>
    <row r="2521">
      <c r="A2521" s="31"/>
      <c r="C2521" s="31"/>
      <c r="D2521" s="31"/>
      <c r="H2521" s="31"/>
    </row>
    <row r="2522">
      <c r="A2522" s="31"/>
      <c r="C2522" s="31"/>
      <c r="D2522" s="31"/>
      <c r="H2522" s="31"/>
    </row>
    <row r="2523">
      <c r="A2523" s="31"/>
      <c r="C2523" s="31"/>
      <c r="D2523" s="31"/>
      <c r="H2523" s="31"/>
    </row>
    <row r="2524">
      <c r="A2524" s="31"/>
      <c r="C2524" s="31"/>
      <c r="D2524" s="31"/>
      <c r="H2524" s="31"/>
    </row>
    <row r="2525">
      <c r="A2525" s="31"/>
      <c r="C2525" s="31"/>
      <c r="D2525" s="31"/>
      <c r="H2525" s="31"/>
    </row>
    <row r="2526">
      <c r="A2526" s="31"/>
      <c r="C2526" s="31"/>
      <c r="D2526" s="31"/>
      <c r="H2526" s="31"/>
    </row>
    <row r="2527">
      <c r="A2527" s="31"/>
      <c r="C2527" s="31"/>
      <c r="D2527" s="31"/>
      <c r="H2527" s="31"/>
    </row>
    <row r="2528">
      <c r="A2528" s="31"/>
      <c r="C2528" s="31"/>
      <c r="D2528" s="31"/>
      <c r="H2528" s="31"/>
    </row>
    <row r="2529">
      <c r="A2529" s="31"/>
      <c r="C2529" s="31"/>
      <c r="D2529" s="31"/>
      <c r="H2529" s="31"/>
    </row>
    <row r="2530">
      <c r="A2530" s="31"/>
      <c r="C2530" s="31"/>
      <c r="D2530" s="31"/>
      <c r="H2530" s="31"/>
    </row>
    <row r="2531">
      <c r="A2531" s="31"/>
      <c r="C2531" s="31"/>
      <c r="D2531" s="31"/>
      <c r="H2531" s="31"/>
    </row>
    <row r="2532">
      <c r="A2532" s="31"/>
      <c r="C2532" s="31"/>
      <c r="D2532" s="31"/>
      <c r="H2532" s="31"/>
    </row>
    <row r="2533">
      <c r="A2533" s="31"/>
      <c r="C2533" s="31"/>
      <c r="D2533" s="31"/>
      <c r="H2533" s="31"/>
    </row>
    <row r="2534">
      <c r="A2534" s="31"/>
      <c r="C2534" s="31"/>
      <c r="D2534" s="31"/>
      <c r="H2534" s="31"/>
    </row>
    <row r="2535">
      <c r="A2535" s="31"/>
      <c r="C2535" s="31"/>
      <c r="D2535" s="31"/>
      <c r="H2535" s="31"/>
    </row>
    <row r="2536">
      <c r="A2536" s="31"/>
      <c r="C2536" s="31"/>
      <c r="D2536" s="31"/>
      <c r="H2536" s="31"/>
    </row>
    <row r="2537">
      <c r="A2537" s="31"/>
      <c r="C2537" s="31"/>
      <c r="D2537" s="31"/>
      <c r="H2537" s="31"/>
    </row>
    <row r="2538">
      <c r="A2538" s="31"/>
      <c r="C2538" s="31"/>
      <c r="D2538" s="31"/>
      <c r="H2538" s="31"/>
    </row>
    <row r="2539">
      <c r="A2539" s="31"/>
      <c r="C2539" s="31"/>
      <c r="D2539" s="31"/>
      <c r="H2539" s="31"/>
    </row>
    <row r="2540">
      <c r="A2540" s="31"/>
      <c r="C2540" s="31"/>
      <c r="D2540" s="31"/>
      <c r="H2540" s="31"/>
    </row>
    <row r="2541">
      <c r="A2541" s="31"/>
      <c r="C2541" s="31"/>
      <c r="D2541" s="31"/>
      <c r="H2541" s="31"/>
    </row>
    <row r="2542">
      <c r="A2542" s="31"/>
      <c r="C2542" s="31"/>
      <c r="D2542" s="31"/>
      <c r="H2542" s="31"/>
    </row>
    <row r="2543">
      <c r="A2543" s="31"/>
      <c r="C2543" s="31"/>
      <c r="D2543" s="31"/>
      <c r="H2543" s="31"/>
    </row>
    <row r="2544">
      <c r="A2544" s="31"/>
      <c r="C2544" s="31"/>
      <c r="D2544" s="31"/>
      <c r="H2544" s="31"/>
    </row>
    <row r="2545">
      <c r="A2545" s="31"/>
      <c r="C2545" s="31"/>
      <c r="D2545" s="31"/>
      <c r="H2545" s="31"/>
    </row>
    <row r="2546">
      <c r="A2546" s="31"/>
      <c r="C2546" s="31"/>
      <c r="D2546" s="31"/>
      <c r="H2546" s="31"/>
    </row>
    <row r="2547">
      <c r="A2547" s="31"/>
      <c r="C2547" s="31"/>
      <c r="D2547" s="31"/>
      <c r="H2547" s="31"/>
    </row>
    <row r="2548">
      <c r="A2548" s="31"/>
      <c r="C2548" s="31"/>
      <c r="D2548" s="31"/>
      <c r="H2548" s="31"/>
    </row>
    <row r="2549">
      <c r="A2549" s="31"/>
      <c r="C2549" s="31"/>
      <c r="D2549" s="31"/>
      <c r="H2549" s="31"/>
    </row>
    <row r="2550">
      <c r="A2550" s="31"/>
      <c r="C2550" s="31"/>
      <c r="D2550" s="31"/>
      <c r="H2550" s="31"/>
    </row>
    <row r="2551">
      <c r="A2551" s="31"/>
      <c r="C2551" s="31"/>
      <c r="D2551" s="31"/>
      <c r="H2551" s="31"/>
    </row>
    <row r="2552">
      <c r="A2552" s="31"/>
      <c r="C2552" s="31"/>
      <c r="D2552" s="31"/>
      <c r="H2552" s="31"/>
    </row>
    <row r="2553">
      <c r="A2553" s="31"/>
      <c r="C2553" s="31"/>
      <c r="D2553" s="31"/>
      <c r="H2553" s="31"/>
    </row>
    <row r="2554">
      <c r="A2554" s="31"/>
      <c r="C2554" s="31"/>
      <c r="D2554" s="31"/>
      <c r="H2554" s="31"/>
    </row>
    <row r="2555">
      <c r="A2555" s="31"/>
      <c r="C2555" s="31"/>
      <c r="D2555" s="31"/>
      <c r="H2555" s="31"/>
    </row>
    <row r="2556">
      <c r="A2556" s="31"/>
      <c r="C2556" s="31"/>
      <c r="D2556" s="31"/>
      <c r="H2556" s="31"/>
    </row>
    <row r="2557">
      <c r="A2557" s="31"/>
      <c r="C2557" s="31"/>
      <c r="D2557" s="31"/>
      <c r="H2557" s="31"/>
    </row>
    <row r="2558">
      <c r="A2558" s="31"/>
      <c r="C2558" s="31"/>
      <c r="D2558" s="31"/>
      <c r="H2558" s="31"/>
    </row>
    <row r="2559">
      <c r="A2559" s="31"/>
      <c r="C2559" s="31"/>
      <c r="D2559" s="31"/>
      <c r="H2559" s="31"/>
    </row>
    <row r="2560">
      <c r="A2560" s="31"/>
      <c r="C2560" s="31"/>
      <c r="D2560" s="31"/>
      <c r="H2560" s="31"/>
    </row>
    <row r="2561">
      <c r="A2561" s="31"/>
      <c r="C2561" s="31"/>
      <c r="D2561" s="31"/>
      <c r="H2561" s="31"/>
    </row>
    <row r="2562">
      <c r="A2562" s="31"/>
      <c r="C2562" s="31"/>
      <c r="D2562" s="31"/>
      <c r="H2562" s="31"/>
    </row>
    <row r="2563">
      <c r="A2563" s="31"/>
      <c r="C2563" s="31"/>
      <c r="D2563" s="31"/>
      <c r="H2563" s="31"/>
    </row>
    <row r="2564">
      <c r="A2564" s="31"/>
      <c r="C2564" s="31"/>
      <c r="D2564" s="31"/>
      <c r="H2564" s="31"/>
    </row>
    <row r="2565">
      <c r="A2565" s="31"/>
      <c r="C2565" s="31"/>
      <c r="D2565" s="31"/>
      <c r="H2565" s="31"/>
    </row>
    <row r="2566">
      <c r="A2566" s="31"/>
      <c r="C2566" s="31"/>
      <c r="D2566" s="31"/>
      <c r="H2566" s="31"/>
    </row>
    <row r="2567">
      <c r="A2567" s="31"/>
      <c r="C2567" s="31"/>
      <c r="D2567" s="31"/>
      <c r="H2567" s="31"/>
    </row>
    <row r="2568">
      <c r="A2568" s="31"/>
      <c r="C2568" s="31"/>
      <c r="D2568" s="31"/>
      <c r="H2568" s="31"/>
    </row>
    <row r="2569">
      <c r="A2569" s="31"/>
      <c r="C2569" s="31"/>
      <c r="D2569" s="31"/>
      <c r="H2569" s="31"/>
    </row>
    <row r="2570">
      <c r="A2570" s="31"/>
      <c r="C2570" s="31"/>
      <c r="D2570" s="31"/>
      <c r="H2570" s="31"/>
    </row>
    <row r="2571">
      <c r="A2571" s="31"/>
      <c r="C2571" s="31"/>
      <c r="D2571" s="31"/>
      <c r="H2571" s="31"/>
    </row>
    <row r="2572">
      <c r="A2572" s="31"/>
      <c r="C2572" s="31"/>
      <c r="D2572" s="31"/>
      <c r="H2572" s="31"/>
    </row>
    <row r="2573">
      <c r="A2573" s="31"/>
      <c r="C2573" s="31"/>
      <c r="D2573" s="31"/>
      <c r="H2573" s="31"/>
    </row>
    <row r="2574">
      <c r="A2574" s="31"/>
      <c r="C2574" s="31"/>
      <c r="D2574" s="31"/>
      <c r="H2574" s="31"/>
    </row>
    <row r="2575">
      <c r="A2575" s="31"/>
      <c r="C2575" s="31"/>
      <c r="D2575" s="31"/>
      <c r="H2575" s="31"/>
    </row>
    <row r="2576">
      <c r="A2576" s="31"/>
      <c r="C2576" s="31"/>
      <c r="D2576" s="31"/>
      <c r="H2576" s="31"/>
    </row>
    <row r="2577">
      <c r="A2577" s="31"/>
      <c r="C2577" s="31"/>
      <c r="D2577" s="31"/>
      <c r="H2577" s="31"/>
    </row>
    <row r="2578">
      <c r="A2578" s="31"/>
      <c r="C2578" s="31"/>
      <c r="D2578" s="31"/>
      <c r="H2578" s="31"/>
    </row>
    <row r="2579">
      <c r="A2579" s="31"/>
      <c r="C2579" s="31"/>
      <c r="D2579" s="31"/>
      <c r="H2579" s="31"/>
    </row>
    <row r="2580">
      <c r="A2580" s="31"/>
      <c r="C2580" s="31"/>
      <c r="D2580" s="31"/>
      <c r="H2580" s="31"/>
    </row>
    <row r="2581">
      <c r="A2581" s="31"/>
      <c r="C2581" s="31"/>
      <c r="D2581" s="31"/>
      <c r="H2581" s="31"/>
    </row>
    <row r="2582">
      <c r="A2582" s="31"/>
      <c r="C2582" s="31"/>
      <c r="D2582" s="31"/>
      <c r="H2582" s="31"/>
    </row>
    <row r="2583">
      <c r="A2583" s="31"/>
      <c r="C2583" s="31"/>
      <c r="D2583" s="31"/>
      <c r="H2583" s="31"/>
    </row>
    <row r="2584">
      <c r="A2584" s="31"/>
      <c r="C2584" s="31"/>
      <c r="D2584" s="31"/>
      <c r="H2584" s="31"/>
    </row>
    <row r="2585">
      <c r="A2585" s="31"/>
      <c r="C2585" s="31"/>
      <c r="D2585" s="31"/>
      <c r="H2585" s="31"/>
    </row>
    <row r="2586">
      <c r="A2586" s="31"/>
      <c r="C2586" s="31"/>
      <c r="D2586" s="31"/>
      <c r="H2586" s="31"/>
    </row>
    <row r="2587">
      <c r="A2587" s="31"/>
      <c r="C2587" s="31"/>
      <c r="D2587" s="31"/>
      <c r="H2587" s="31"/>
    </row>
    <row r="2588">
      <c r="A2588" s="31"/>
      <c r="C2588" s="31"/>
      <c r="D2588" s="31"/>
      <c r="H2588" s="31"/>
    </row>
    <row r="2589">
      <c r="A2589" s="31"/>
      <c r="C2589" s="31"/>
      <c r="D2589" s="31"/>
      <c r="H2589" s="31"/>
    </row>
    <row r="2590">
      <c r="A2590" s="31"/>
      <c r="C2590" s="31"/>
      <c r="D2590" s="31"/>
      <c r="H2590" s="31"/>
    </row>
    <row r="2591">
      <c r="A2591" s="31"/>
      <c r="C2591" s="31"/>
      <c r="D2591" s="31"/>
      <c r="H2591" s="31"/>
    </row>
    <row r="2592">
      <c r="A2592" s="31"/>
      <c r="C2592" s="31"/>
      <c r="D2592" s="31"/>
      <c r="H2592" s="31"/>
    </row>
    <row r="2593">
      <c r="A2593" s="31"/>
      <c r="C2593" s="31"/>
      <c r="D2593" s="31"/>
      <c r="H2593" s="31"/>
    </row>
    <row r="2594">
      <c r="A2594" s="31"/>
      <c r="C2594" s="31"/>
      <c r="D2594" s="31"/>
      <c r="H2594" s="31"/>
    </row>
    <row r="2595">
      <c r="A2595" s="31"/>
      <c r="C2595" s="31"/>
      <c r="D2595" s="31"/>
      <c r="H2595" s="31"/>
    </row>
    <row r="2596">
      <c r="A2596" s="31"/>
      <c r="C2596" s="31"/>
      <c r="D2596" s="31"/>
      <c r="H2596" s="31"/>
    </row>
    <row r="2597">
      <c r="A2597" s="31"/>
      <c r="C2597" s="31"/>
      <c r="D2597" s="31"/>
      <c r="H2597" s="31"/>
    </row>
    <row r="2598">
      <c r="A2598" s="31"/>
      <c r="C2598" s="31"/>
      <c r="D2598" s="31"/>
      <c r="H2598" s="31"/>
    </row>
    <row r="2599">
      <c r="A2599" s="31"/>
      <c r="C2599" s="31"/>
      <c r="D2599" s="31"/>
      <c r="H2599" s="31"/>
    </row>
    <row r="2600">
      <c r="A2600" s="31"/>
      <c r="C2600" s="31"/>
      <c r="D2600" s="31"/>
      <c r="H2600" s="31"/>
    </row>
    <row r="2601">
      <c r="A2601" s="31"/>
      <c r="C2601" s="31"/>
      <c r="D2601" s="31"/>
      <c r="H2601" s="31"/>
    </row>
    <row r="2602">
      <c r="A2602" s="31"/>
      <c r="C2602" s="31"/>
      <c r="D2602" s="31"/>
      <c r="H2602" s="31"/>
    </row>
    <row r="2603">
      <c r="A2603" s="31"/>
      <c r="C2603" s="31"/>
      <c r="D2603" s="31"/>
      <c r="H2603" s="31"/>
    </row>
    <row r="2604">
      <c r="A2604" s="31"/>
      <c r="C2604" s="31"/>
      <c r="D2604" s="31"/>
      <c r="H2604" s="31"/>
    </row>
    <row r="2605">
      <c r="A2605" s="31"/>
      <c r="C2605" s="31"/>
      <c r="D2605" s="31"/>
      <c r="H2605" s="31"/>
    </row>
    <row r="2606">
      <c r="A2606" s="31"/>
      <c r="C2606" s="31"/>
      <c r="D2606" s="31"/>
      <c r="H2606" s="31"/>
    </row>
    <row r="2607">
      <c r="A2607" s="31"/>
      <c r="C2607" s="31"/>
      <c r="D2607" s="31"/>
      <c r="H2607" s="31"/>
    </row>
    <row r="2608">
      <c r="A2608" s="31"/>
      <c r="C2608" s="31"/>
      <c r="D2608" s="31"/>
      <c r="H2608" s="31"/>
    </row>
    <row r="2609">
      <c r="A2609" s="31"/>
      <c r="C2609" s="31"/>
      <c r="D2609" s="31"/>
      <c r="H2609" s="31"/>
    </row>
    <row r="2610">
      <c r="A2610" s="31"/>
      <c r="C2610" s="31"/>
      <c r="D2610" s="31"/>
      <c r="H2610" s="31"/>
    </row>
    <row r="2611">
      <c r="A2611" s="31"/>
      <c r="C2611" s="31"/>
      <c r="D2611" s="31"/>
      <c r="H2611" s="31"/>
    </row>
    <row r="2612">
      <c r="A2612" s="31"/>
      <c r="C2612" s="31"/>
      <c r="D2612" s="31"/>
      <c r="H2612" s="31"/>
    </row>
    <row r="2613">
      <c r="A2613" s="31"/>
      <c r="C2613" s="31"/>
      <c r="D2613" s="31"/>
      <c r="H2613" s="31"/>
    </row>
    <row r="2614">
      <c r="A2614" s="31"/>
      <c r="C2614" s="31"/>
      <c r="D2614" s="31"/>
      <c r="H2614" s="31"/>
    </row>
    <row r="2615">
      <c r="A2615" s="31"/>
      <c r="C2615" s="31"/>
      <c r="D2615" s="31"/>
      <c r="H2615" s="31"/>
    </row>
    <row r="2616">
      <c r="A2616" s="31"/>
      <c r="C2616" s="31"/>
      <c r="D2616" s="31"/>
      <c r="H2616" s="31"/>
    </row>
    <row r="2617">
      <c r="A2617" s="31"/>
      <c r="C2617" s="31"/>
      <c r="D2617" s="31"/>
      <c r="H2617" s="31"/>
    </row>
    <row r="2618">
      <c r="A2618" s="31"/>
      <c r="C2618" s="31"/>
      <c r="D2618" s="31"/>
      <c r="H2618" s="31"/>
    </row>
    <row r="2619">
      <c r="A2619" s="31"/>
      <c r="C2619" s="31"/>
      <c r="D2619" s="31"/>
      <c r="H2619" s="31"/>
    </row>
    <row r="2620">
      <c r="A2620" s="31"/>
      <c r="C2620" s="31"/>
      <c r="D2620" s="31"/>
      <c r="H2620" s="31"/>
    </row>
    <row r="2621">
      <c r="A2621" s="31"/>
      <c r="C2621" s="31"/>
      <c r="D2621" s="31"/>
      <c r="H2621" s="31"/>
    </row>
    <row r="2622">
      <c r="A2622" s="31"/>
      <c r="C2622" s="31"/>
      <c r="D2622" s="31"/>
      <c r="H2622" s="31"/>
    </row>
    <row r="2623">
      <c r="A2623" s="31"/>
      <c r="C2623" s="31"/>
      <c r="D2623" s="31"/>
      <c r="H2623" s="31"/>
    </row>
    <row r="2624">
      <c r="A2624" s="31"/>
      <c r="C2624" s="31"/>
      <c r="D2624" s="31"/>
      <c r="H2624" s="31"/>
    </row>
    <row r="2625">
      <c r="A2625" s="31"/>
      <c r="C2625" s="31"/>
      <c r="D2625" s="31"/>
      <c r="H2625" s="31"/>
    </row>
    <row r="2626">
      <c r="A2626" s="31"/>
      <c r="C2626" s="31"/>
      <c r="D2626" s="31"/>
      <c r="H2626" s="31"/>
    </row>
    <row r="2627">
      <c r="A2627" s="31"/>
      <c r="C2627" s="31"/>
      <c r="D2627" s="31"/>
      <c r="H2627" s="31"/>
    </row>
    <row r="2628">
      <c r="A2628" s="31"/>
      <c r="C2628" s="31"/>
      <c r="D2628" s="31"/>
      <c r="H2628" s="31"/>
    </row>
    <row r="2629">
      <c r="A2629" s="31"/>
      <c r="C2629" s="31"/>
      <c r="D2629" s="31"/>
      <c r="H2629" s="31"/>
    </row>
    <row r="2630">
      <c r="A2630" s="31"/>
      <c r="C2630" s="31"/>
      <c r="D2630" s="31"/>
      <c r="H2630" s="31"/>
    </row>
    <row r="2631">
      <c r="A2631" s="31"/>
      <c r="C2631" s="31"/>
      <c r="D2631" s="31"/>
      <c r="H2631" s="31"/>
    </row>
    <row r="2632">
      <c r="A2632" s="31"/>
      <c r="C2632" s="31"/>
      <c r="D2632" s="31"/>
      <c r="H2632" s="31"/>
    </row>
    <row r="2633">
      <c r="A2633" s="31"/>
      <c r="C2633" s="31"/>
      <c r="D2633" s="31"/>
      <c r="H2633" s="31"/>
    </row>
    <row r="2634">
      <c r="A2634" s="31"/>
      <c r="C2634" s="31"/>
      <c r="D2634" s="31"/>
      <c r="H2634" s="31"/>
    </row>
    <row r="2635">
      <c r="A2635" s="31"/>
      <c r="C2635" s="31"/>
      <c r="D2635" s="31"/>
      <c r="H2635" s="31"/>
    </row>
    <row r="2636">
      <c r="A2636" s="31"/>
      <c r="C2636" s="31"/>
      <c r="D2636" s="31"/>
      <c r="H2636" s="31"/>
    </row>
    <row r="2637">
      <c r="A2637" s="31"/>
      <c r="C2637" s="31"/>
      <c r="D2637" s="31"/>
      <c r="H2637" s="31"/>
    </row>
    <row r="2638">
      <c r="A2638" s="31"/>
      <c r="C2638" s="31"/>
      <c r="D2638" s="31"/>
      <c r="H2638" s="31"/>
    </row>
    <row r="2639">
      <c r="A2639" s="31"/>
      <c r="C2639" s="31"/>
      <c r="D2639" s="31"/>
      <c r="H2639" s="31"/>
    </row>
    <row r="2640">
      <c r="A2640" s="31"/>
      <c r="C2640" s="31"/>
      <c r="D2640" s="31"/>
      <c r="H2640" s="31"/>
    </row>
    <row r="2641">
      <c r="A2641" s="31"/>
      <c r="C2641" s="31"/>
      <c r="D2641" s="31"/>
      <c r="H2641" s="31"/>
    </row>
    <row r="2642">
      <c r="A2642" s="31"/>
      <c r="C2642" s="31"/>
      <c r="D2642" s="31"/>
      <c r="H2642" s="31"/>
    </row>
    <row r="2643">
      <c r="A2643" s="31"/>
      <c r="C2643" s="31"/>
      <c r="D2643" s="31"/>
      <c r="H2643" s="31"/>
    </row>
    <row r="2644">
      <c r="A2644" s="31"/>
      <c r="C2644" s="31"/>
      <c r="D2644" s="31"/>
      <c r="H2644" s="31"/>
    </row>
    <row r="2645">
      <c r="A2645" s="31"/>
      <c r="C2645" s="31"/>
      <c r="D2645" s="31"/>
      <c r="H2645" s="31"/>
    </row>
    <row r="2646">
      <c r="A2646" s="31"/>
      <c r="C2646" s="31"/>
      <c r="D2646" s="31"/>
      <c r="H2646" s="31"/>
    </row>
    <row r="2647">
      <c r="A2647" s="31"/>
      <c r="C2647" s="31"/>
      <c r="D2647" s="31"/>
      <c r="H2647" s="31"/>
    </row>
    <row r="2648">
      <c r="A2648" s="31"/>
      <c r="C2648" s="31"/>
      <c r="D2648" s="31"/>
      <c r="H2648" s="31"/>
    </row>
    <row r="2649">
      <c r="A2649" s="31"/>
      <c r="C2649" s="31"/>
      <c r="D2649" s="31"/>
      <c r="H2649" s="31"/>
    </row>
    <row r="2650">
      <c r="A2650" s="31"/>
      <c r="C2650" s="31"/>
      <c r="D2650" s="31"/>
      <c r="H2650" s="31"/>
    </row>
    <row r="2651">
      <c r="A2651" s="31"/>
      <c r="C2651" s="31"/>
      <c r="D2651" s="31"/>
      <c r="H2651" s="31"/>
    </row>
    <row r="2652">
      <c r="A2652" s="31"/>
      <c r="C2652" s="31"/>
      <c r="D2652" s="31"/>
      <c r="H2652" s="31"/>
    </row>
    <row r="2653">
      <c r="A2653" s="31"/>
      <c r="C2653" s="31"/>
      <c r="D2653" s="31"/>
      <c r="H2653" s="31"/>
    </row>
    <row r="2654">
      <c r="A2654" s="31"/>
      <c r="C2654" s="31"/>
      <c r="D2654" s="31"/>
      <c r="H2654" s="31"/>
    </row>
    <row r="2655">
      <c r="A2655" s="31"/>
      <c r="C2655" s="31"/>
      <c r="D2655" s="31"/>
      <c r="H2655" s="31"/>
    </row>
    <row r="2656">
      <c r="A2656" s="31"/>
      <c r="C2656" s="31"/>
      <c r="D2656" s="31"/>
      <c r="H2656" s="31"/>
    </row>
    <row r="2657">
      <c r="A2657" s="31"/>
      <c r="C2657" s="31"/>
      <c r="D2657" s="31"/>
      <c r="H2657" s="31"/>
    </row>
    <row r="2658">
      <c r="A2658" s="31"/>
      <c r="C2658" s="31"/>
      <c r="D2658" s="31"/>
      <c r="H2658" s="31"/>
    </row>
    <row r="2659">
      <c r="A2659" s="31"/>
      <c r="C2659" s="31"/>
      <c r="D2659" s="31"/>
      <c r="H2659" s="31"/>
    </row>
    <row r="2660">
      <c r="A2660" s="31"/>
      <c r="C2660" s="31"/>
      <c r="D2660" s="31"/>
      <c r="H2660" s="31"/>
    </row>
    <row r="2661">
      <c r="A2661" s="31"/>
      <c r="C2661" s="31"/>
      <c r="D2661" s="31"/>
      <c r="H2661" s="31"/>
    </row>
    <row r="2662">
      <c r="A2662" s="31"/>
      <c r="C2662" s="31"/>
      <c r="D2662" s="31"/>
      <c r="H2662" s="31"/>
    </row>
    <row r="2663">
      <c r="A2663" s="31"/>
      <c r="C2663" s="31"/>
      <c r="D2663" s="31"/>
      <c r="H2663" s="31"/>
    </row>
    <row r="2664">
      <c r="A2664" s="31"/>
      <c r="C2664" s="31"/>
      <c r="D2664" s="31"/>
      <c r="H2664" s="31"/>
    </row>
    <row r="2665">
      <c r="A2665" s="31"/>
      <c r="C2665" s="31"/>
      <c r="D2665" s="31"/>
      <c r="H2665" s="31"/>
    </row>
    <row r="2666">
      <c r="A2666" s="31"/>
      <c r="C2666" s="31"/>
      <c r="D2666" s="31"/>
      <c r="H2666" s="31"/>
    </row>
    <row r="2667">
      <c r="A2667" s="31"/>
      <c r="C2667" s="31"/>
      <c r="D2667" s="31"/>
      <c r="H2667" s="31"/>
    </row>
    <row r="2668">
      <c r="A2668" s="31"/>
      <c r="C2668" s="31"/>
      <c r="D2668" s="31"/>
      <c r="H2668" s="31"/>
    </row>
    <row r="2669">
      <c r="A2669" s="31"/>
      <c r="C2669" s="31"/>
      <c r="D2669" s="31"/>
      <c r="H2669" s="31"/>
    </row>
    <row r="2670">
      <c r="A2670" s="31"/>
      <c r="C2670" s="31"/>
      <c r="D2670" s="31"/>
      <c r="H2670" s="31"/>
    </row>
    <row r="2671">
      <c r="A2671" s="31"/>
      <c r="C2671" s="31"/>
      <c r="D2671" s="31"/>
      <c r="H2671" s="31"/>
    </row>
    <row r="2672">
      <c r="A2672" s="31"/>
      <c r="C2672" s="31"/>
      <c r="D2672" s="31"/>
      <c r="H2672" s="31"/>
    </row>
    <row r="2673">
      <c r="A2673" s="31"/>
      <c r="C2673" s="31"/>
      <c r="D2673" s="31"/>
      <c r="H2673" s="31"/>
    </row>
    <row r="2674">
      <c r="A2674" s="31"/>
      <c r="C2674" s="31"/>
      <c r="D2674" s="31"/>
      <c r="H2674" s="31"/>
    </row>
    <row r="2675">
      <c r="A2675" s="31"/>
      <c r="C2675" s="31"/>
      <c r="D2675" s="31"/>
      <c r="H2675" s="31"/>
    </row>
    <row r="2676">
      <c r="A2676" s="31"/>
      <c r="C2676" s="31"/>
      <c r="D2676" s="31"/>
      <c r="H2676" s="31"/>
    </row>
    <row r="2677">
      <c r="A2677" s="31"/>
      <c r="C2677" s="31"/>
      <c r="D2677" s="31"/>
      <c r="H2677" s="31"/>
    </row>
    <row r="2678">
      <c r="A2678" s="31"/>
      <c r="C2678" s="31"/>
      <c r="D2678" s="31"/>
      <c r="H2678" s="31"/>
    </row>
    <row r="2679">
      <c r="A2679" s="31"/>
      <c r="C2679" s="31"/>
      <c r="D2679" s="31"/>
      <c r="H2679" s="31"/>
    </row>
    <row r="2680">
      <c r="A2680" s="31"/>
      <c r="C2680" s="31"/>
      <c r="D2680" s="31"/>
      <c r="H2680" s="31"/>
    </row>
    <row r="2681">
      <c r="A2681" s="31"/>
      <c r="C2681" s="31"/>
      <c r="D2681" s="31"/>
      <c r="H2681" s="31"/>
    </row>
    <row r="2682">
      <c r="A2682" s="31"/>
      <c r="C2682" s="31"/>
      <c r="D2682" s="31"/>
      <c r="H2682" s="31"/>
    </row>
    <row r="2683">
      <c r="A2683" s="31"/>
      <c r="C2683" s="31"/>
      <c r="D2683" s="31"/>
      <c r="H2683" s="31"/>
    </row>
    <row r="2684">
      <c r="A2684" s="31"/>
      <c r="C2684" s="31"/>
      <c r="D2684" s="31"/>
      <c r="H2684" s="31"/>
    </row>
    <row r="2685">
      <c r="A2685" s="31"/>
      <c r="C2685" s="31"/>
      <c r="D2685" s="31"/>
      <c r="H2685" s="31"/>
    </row>
    <row r="2686">
      <c r="A2686" s="31"/>
      <c r="C2686" s="31"/>
      <c r="D2686" s="31"/>
      <c r="H2686" s="31"/>
    </row>
    <row r="2687">
      <c r="A2687" s="31"/>
      <c r="C2687" s="31"/>
      <c r="D2687" s="31"/>
      <c r="H2687" s="31"/>
    </row>
    <row r="2688">
      <c r="A2688" s="31"/>
      <c r="C2688" s="31"/>
      <c r="D2688" s="31"/>
      <c r="H2688" s="31"/>
    </row>
    <row r="2689">
      <c r="A2689" s="31"/>
      <c r="C2689" s="31"/>
      <c r="D2689" s="31"/>
      <c r="H2689" s="31"/>
    </row>
    <row r="2690">
      <c r="A2690" s="31"/>
      <c r="C2690" s="31"/>
      <c r="D2690" s="31"/>
      <c r="H2690" s="31"/>
    </row>
    <row r="2691">
      <c r="A2691" s="31"/>
      <c r="C2691" s="31"/>
      <c r="D2691" s="31"/>
      <c r="H2691" s="31"/>
    </row>
    <row r="2692">
      <c r="A2692" s="31"/>
      <c r="C2692" s="31"/>
      <c r="D2692" s="31"/>
      <c r="H2692" s="31"/>
    </row>
    <row r="2693">
      <c r="A2693" s="31"/>
      <c r="C2693" s="31"/>
      <c r="D2693" s="31"/>
      <c r="H2693" s="31"/>
    </row>
    <row r="2694">
      <c r="A2694" s="31"/>
      <c r="C2694" s="31"/>
      <c r="D2694" s="31"/>
      <c r="H2694" s="31"/>
    </row>
    <row r="2695">
      <c r="A2695" s="31"/>
      <c r="C2695" s="31"/>
      <c r="D2695" s="31"/>
      <c r="H2695" s="31"/>
    </row>
    <row r="2696">
      <c r="A2696" s="31"/>
      <c r="C2696" s="31"/>
      <c r="D2696" s="31"/>
      <c r="H2696" s="31"/>
    </row>
    <row r="2697">
      <c r="A2697" s="31"/>
      <c r="C2697" s="31"/>
      <c r="D2697" s="31"/>
      <c r="H2697" s="31"/>
    </row>
    <row r="2698">
      <c r="A2698" s="31"/>
      <c r="C2698" s="31"/>
      <c r="D2698" s="31"/>
      <c r="H2698" s="31"/>
    </row>
    <row r="2699">
      <c r="A2699" s="31"/>
      <c r="C2699" s="31"/>
      <c r="D2699" s="31"/>
      <c r="H2699" s="31"/>
    </row>
    <row r="2700">
      <c r="A2700" s="31"/>
      <c r="C2700" s="31"/>
      <c r="D2700" s="31"/>
      <c r="H2700" s="31"/>
    </row>
    <row r="2701">
      <c r="A2701" s="31"/>
      <c r="C2701" s="31"/>
      <c r="D2701" s="31"/>
      <c r="H2701" s="31"/>
    </row>
    <row r="2702">
      <c r="A2702" s="31"/>
      <c r="C2702" s="31"/>
      <c r="D2702" s="31"/>
      <c r="H2702" s="31"/>
    </row>
    <row r="2703">
      <c r="A2703" s="31"/>
      <c r="C2703" s="31"/>
      <c r="D2703" s="31"/>
      <c r="H2703" s="31"/>
    </row>
    <row r="2704">
      <c r="A2704" s="31"/>
      <c r="C2704" s="31"/>
      <c r="D2704" s="31"/>
      <c r="H2704" s="31"/>
    </row>
    <row r="2705">
      <c r="A2705" s="31"/>
      <c r="C2705" s="31"/>
      <c r="D2705" s="31"/>
      <c r="H2705" s="31"/>
    </row>
    <row r="2706">
      <c r="A2706" s="31"/>
      <c r="C2706" s="31"/>
      <c r="D2706" s="31"/>
      <c r="H2706" s="31"/>
    </row>
    <row r="2707">
      <c r="A2707" s="31"/>
      <c r="C2707" s="31"/>
      <c r="D2707" s="31"/>
      <c r="H2707" s="31"/>
    </row>
    <row r="2708">
      <c r="A2708" s="31"/>
      <c r="C2708" s="31"/>
      <c r="D2708" s="31"/>
      <c r="H2708" s="31"/>
    </row>
    <row r="2709">
      <c r="A2709" s="31"/>
      <c r="C2709" s="31"/>
      <c r="D2709" s="31"/>
      <c r="H2709" s="31"/>
    </row>
    <row r="2710">
      <c r="A2710" s="31"/>
      <c r="C2710" s="31"/>
      <c r="D2710" s="31"/>
      <c r="H2710" s="31"/>
    </row>
    <row r="2711">
      <c r="A2711" s="31"/>
      <c r="C2711" s="31"/>
      <c r="D2711" s="31"/>
      <c r="H2711" s="31"/>
    </row>
    <row r="2712">
      <c r="A2712" s="31"/>
      <c r="C2712" s="31"/>
      <c r="D2712" s="31"/>
      <c r="H2712" s="31"/>
    </row>
    <row r="2713">
      <c r="A2713" s="31"/>
      <c r="C2713" s="31"/>
      <c r="D2713" s="31"/>
      <c r="H2713" s="31"/>
    </row>
    <row r="2714">
      <c r="A2714" s="31"/>
      <c r="C2714" s="31"/>
      <c r="D2714" s="31"/>
      <c r="H2714" s="31"/>
    </row>
    <row r="2715">
      <c r="A2715" s="31"/>
      <c r="C2715" s="31"/>
      <c r="D2715" s="31"/>
      <c r="H2715" s="31"/>
    </row>
    <row r="2716">
      <c r="A2716" s="31"/>
      <c r="C2716" s="31"/>
      <c r="D2716" s="31"/>
      <c r="H2716" s="31"/>
    </row>
    <row r="2717">
      <c r="A2717" s="31"/>
      <c r="C2717" s="31"/>
      <c r="D2717" s="31"/>
      <c r="H2717" s="31"/>
    </row>
    <row r="2718">
      <c r="A2718" s="31"/>
      <c r="C2718" s="31"/>
      <c r="D2718" s="31"/>
      <c r="H2718" s="31"/>
    </row>
    <row r="2719">
      <c r="A2719" s="31"/>
      <c r="C2719" s="31"/>
      <c r="D2719" s="31"/>
      <c r="H2719" s="31"/>
    </row>
    <row r="2720">
      <c r="A2720" s="31"/>
      <c r="C2720" s="31"/>
      <c r="D2720" s="31"/>
      <c r="H2720" s="31"/>
    </row>
    <row r="2721">
      <c r="A2721" s="31"/>
      <c r="C2721" s="31"/>
      <c r="D2721" s="31"/>
      <c r="H2721" s="31"/>
    </row>
    <row r="2722">
      <c r="A2722" s="31"/>
      <c r="C2722" s="31"/>
      <c r="D2722" s="31"/>
      <c r="H2722" s="31"/>
    </row>
    <row r="2723">
      <c r="A2723" s="31"/>
      <c r="C2723" s="31"/>
      <c r="D2723" s="31"/>
      <c r="H2723" s="31"/>
    </row>
    <row r="2724">
      <c r="A2724" s="31"/>
      <c r="C2724" s="31"/>
      <c r="D2724" s="31"/>
      <c r="H2724" s="31"/>
    </row>
    <row r="2725">
      <c r="A2725" s="31"/>
      <c r="C2725" s="31"/>
      <c r="D2725" s="31"/>
      <c r="H2725" s="31"/>
    </row>
    <row r="2726">
      <c r="A2726" s="31"/>
      <c r="C2726" s="31"/>
      <c r="D2726" s="31"/>
      <c r="H2726" s="31"/>
    </row>
    <row r="2727">
      <c r="A2727" s="31"/>
      <c r="C2727" s="31"/>
      <c r="D2727" s="31"/>
      <c r="H2727" s="31"/>
    </row>
    <row r="2728">
      <c r="A2728" s="31"/>
      <c r="C2728" s="31"/>
      <c r="D2728" s="31"/>
      <c r="H2728" s="31"/>
    </row>
    <row r="2729">
      <c r="A2729" s="31"/>
      <c r="C2729" s="31"/>
      <c r="D2729" s="31"/>
      <c r="H2729" s="31"/>
    </row>
    <row r="2730">
      <c r="A2730" s="31"/>
      <c r="C2730" s="31"/>
      <c r="D2730" s="31"/>
      <c r="H2730" s="31"/>
    </row>
    <row r="2731">
      <c r="A2731" s="31"/>
      <c r="C2731" s="31"/>
      <c r="D2731" s="31"/>
      <c r="H2731" s="31"/>
    </row>
    <row r="2732">
      <c r="A2732" s="31"/>
      <c r="C2732" s="31"/>
      <c r="D2732" s="31"/>
      <c r="H2732" s="31"/>
    </row>
    <row r="2733">
      <c r="A2733" s="31"/>
      <c r="C2733" s="31"/>
      <c r="D2733" s="31"/>
      <c r="H2733" s="31"/>
    </row>
    <row r="2734">
      <c r="A2734" s="31"/>
      <c r="C2734" s="31"/>
      <c r="D2734" s="31"/>
      <c r="H2734" s="31"/>
    </row>
    <row r="2735">
      <c r="A2735" s="31"/>
      <c r="C2735" s="31"/>
      <c r="D2735" s="31"/>
      <c r="H2735" s="31"/>
    </row>
    <row r="2736">
      <c r="A2736" s="31"/>
      <c r="C2736" s="31"/>
      <c r="D2736" s="31"/>
      <c r="H2736" s="31"/>
    </row>
    <row r="2737">
      <c r="A2737" s="31"/>
      <c r="C2737" s="31"/>
      <c r="D2737" s="31"/>
      <c r="H2737" s="31"/>
    </row>
    <row r="2738">
      <c r="A2738" s="31"/>
      <c r="C2738" s="31"/>
      <c r="D2738" s="31"/>
      <c r="H2738" s="31"/>
    </row>
    <row r="2739">
      <c r="A2739" s="31"/>
      <c r="C2739" s="31"/>
      <c r="D2739" s="31"/>
      <c r="H2739" s="31"/>
    </row>
    <row r="2740">
      <c r="A2740" s="31"/>
      <c r="C2740" s="31"/>
      <c r="D2740" s="31"/>
      <c r="H2740" s="31"/>
    </row>
    <row r="2741">
      <c r="A2741" s="31"/>
      <c r="C2741" s="31"/>
      <c r="D2741" s="31"/>
      <c r="H2741" s="31"/>
    </row>
    <row r="2742">
      <c r="A2742" s="31"/>
      <c r="C2742" s="31"/>
      <c r="D2742" s="31"/>
      <c r="H2742" s="31"/>
    </row>
    <row r="2743">
      <c r="A2743" s="31"/>
      <c r="C2743" s="31"/>
      <c r="D2743" s="31"/>
      <c r="H2743" s="31"/>
    </row>
    <row r="2744">
      <c r="A2744" s="31"/>
      <c r="C2744" s="31"/>
      <c r="D2744" s="31"/>
      <c r="H2744" s="31"/>
    </row>
    <row r="2745">
      <c r="A2745" s="31"/>
      <c r="C2745" s="31"/>
      <c r="D2745" s="31"/>
      <c r="H2745" s="31"/>
    </row>
    <row r="2746">
      <c r="A2746" s="31"/>
      <c r="C2746" s="31"/>
      <c r="D2746" s="31"/>
      <c r="H2746" s="31"/>
    </row>
    <row r="2747">
      <c r="A2747" s="31"/>
      <c r="C2747" s="31"/>
      <c r="D2747" s="31"/>
      <c r="H2747" s="31"/>
    </row>
    <row r="2748">
      <c r="A2748" s="31"/>
      <c r="C2748" s="31"/>
      <c r="D2748" s="31"/>
      <c r="H2748" s="31"/>
    </row>
    <row r="2749">
      <c r="A2749" s="31"/>
      <c r="C2749" s="31"/>
      <c r="D2749" s="31"/>
      <c r="H2749" s="31"/>
    </row>
    <row r="2750">
      <c r="A2750" s="31"/>
      <c r="C2750" s="31"/>
      <c r="D2750" s="31"/>
      <c r="H2750" s="31"/>
    </row>
    <row r="2751">
      <c r="A2751" s="31"/>
      <c r="C2751" s="31"/>
      <c r="D2751" s="31"/>
      <c r="H2751" s="31"/>
    </row>
    <row r="2752">
      <c r="A2752" s="31"/>
      <c r="C2752" s="31"/>
      <c r="D2752" s="31"/>
      <c r="H2752" s="31"/>
    </row>
    <row r="2753">
      <c r="A2753" s="31"/>
      <c r="C2753" s="31"/>
      <c r="D2753" s="31"/>
      <c r="H2753" s="31"/>
    </row>
    <row r="2754">
      <c r="A2754" s="31"/>
      <c r="C2754" s="31"/>
      <c r="D2754" s="31"/>
      <c r="H2754" s="31"/>
    </row>
    <row r="2755">
      <c r="A2755" s="31"/>
      <c r="C2755" s="31"/>
      <c r="D2755" s="31"/>
      <c r="H2755" s="31"/>
    </row>
    <row r="2756">
      <c r="A2756" s="31"/>
      <c r="C2756" s="31"/>
      <c r="D2756" s="31"/>
      <c r="H2756" s="31"/>
    </row>
    <row r="2757">
      <c r="A2757" s="31"/>
      <c r="C2757" s="31"/>
      <c r="D2757" s="31"/>
      <c r="H2757" s="31"/>
    </row>
    <row r="2758">
      <c r="A2758" s="31"/>
      <c r="C2758" s="31"/>
      <c r="D2758" s="31"/>
      <c r="H2758" s="31"/>
    </row>
    <row r="2759">
      <c r="A2759" s="31"/>
      <c r="C2759" s="31"/>
      <c r="D2759" s="31"/>
      <c r="H2759" s="31"/>
    </row>
    <row r="2760">
      <c r="A2760" s="31"/>
      <c r="C2760" s="31"/>
      <c r="D2760" s="31"/>
      <c r="H2760" s="31"/>
    </row>
    <row r="2761">
      <c r="A2761" s="31"/>
      <c r="C2761" s="31"/>
      <c r="D2761" s="31"/>
      <c r="H2761" s="31"/>
    </row>
    <row r="2762">
      <c r="A2762" s="31"/>
      <c r="C2762" s="31"/>
      <c r="D2762" s="31"/>
      <c r="H2762" s="31"/>
    </row>
    <row r="2763">
      <c r="A2763" s="31"/>
      <c r="C2763" s="31"/>
      <c r="D2763" s="31"/>
      <c r="H2763" s="31"/>
    </row>
    <row r="2764">
      <c r="A2764" s="31"/>
      <c r="C2764" s="31"/>
      <c r="D2764" s="31"/>
      <c r="H2764" s="31"/>
    </row>
    <row r="2765">
      <c r="A2765" s="31"/>
      <c r="C2765" s="31"/>
      <c r="D2765" s="31"/>
      <c r="H2765" s="31"/>
    </row>
    <row r="2766">
      <c r="A2766" s="31"/>
      <c r="C2766" s="31"/>
      <c r="D2766" s="31"/>
      <c r="H2766" s="31"/>
    </row>
    <row r="2767">
      <c r="A2767" s="31"/>
      <c r="C2767" s="31"/>
      <c r="D2767" s="31"/>
      <c r="H2767" s="31"/>
    </row>
    <row r="2768">
      <c r="A2768" s="31"/>
      <c r="C2768" s="31"/>
      <c r="D2768" s="31"/>
      <c r="H2768" s="31"/>
    </row>
    <row r="2769">
      <c r="A2769" s="31"/>
      <c r="C2769" s="31"/>
      <c r="D2769" s="31"/>
      <c r="H2769" s="31"/>
    </row>
    <row r="2770">
      <c r="A2770" s="31"/>
      <c r="C2770" s="31"/>
      <c r="D2770" s="31"/>
      <c r="H2770" s="31"/>
    </row>
    <row r="2771">
      <c r="A2771" s="31"/>
      <c r="C2771" s="31"/>
      <c r="D2771" s="31"/>
      <c r="H2771" s="31"/>
    </row>
    <row r="2772">
      <c r="A2772" s="31"/>
      <c r="C2772" s="31"/>
      <c r="D2772" s="31"/>
      <c r="H2772" s="31"/>
    </row>
    <row r="2773">
      <c r="A2773" s="31"/>
      <c r="C2773" s="31"/>
      <c r="D2773" s="31"/>
      <c r="H2773" s="31"/>
    </row>
    <row r="2774">
      <c r="A2774" s="31"/>
      <c r="C2774" s="31"/>
      <c r="D2774" s="31"/>
      <c r="H2774" s="31"/>
    </row>
    <row r="2775">
      <c r="A2775" s="31"/>
      <c r="C2775" s="31"/>
      <c r="D2775" s="31"/>
      <c r="H2775" s="31"/>
    </row>
    <row r="2776">
      <c r="A2776" s="31"/>
      <c r="C2776" s="31"/>
      <c r="D2776" s="31"/>
      <c r="H2776" s="31"/>
    </row>
    <row r="2777">
      <c r="A2777" s="31"/>
      <c r="C2777" s="31"/>
      <c r="D2777" s="31"/>
      <c r="H2777" s="31"/>
    </row>
    <row r="2778">
      <c r="A2778" s="31"/>
      <c r="C2778" s="31"/>
      <c r="D2778" s="31"/>
      <c r="H2778" s="31"/>
    </row>
    <row r="2779">
      <c r="A2779" s="31"/>
      <c r="C2779" s="31"/>
      <c r="D2779" s="31"/>
      <c r="H2779" s="31"/>
    </row>
    <row r="2780">
      <c r="A2780" s="31"/>
      <c r="C2780" s="31"/>
      <c r="D2780" s="31"/>
      <c r="H2780" s="31"/>
    </row>
    <row r="2781">
      <c r="A2781" s="31"/>
      <c r="C2781" s="31"/>
      <c r="D2781" s="31"/>
      <c r="H2781" s="31"/>
    </row>
    <row r="2782">
      <c r="A2782" s="31"/>
      <c r="C2782" s="31"/>
      <c r="D2782" s="31"/>
      <c r="H2782" s="31"/>
    </row>
    <row r="2783">
      <c r="A2783" s="31"/>
      <c r="C2783" s="31"/>
      <c r="D2783" s="31"/>
      <c r="H2783" s="31"/>
    </row>
    <row r="2784">
      <c r="A2784" s="31"/>
      <c r="C2784" s="31"/>
      <c r="D2784" s="31"/>
      <c r="H2784" s="31"/>
    </row>
    <row r="2785">
      <c r="A2785" s="31"/>
      <c r="C2785" s="31"/>
      <c r="D2785" s="31"/>
      <c r="H2785" s="31"/>
    </row>
    <row r="2786">
      <c r="A2786" s="31"/>
      <c r="C2786" s="31"/>
      <c r="D2786" s="31"/>
      <c r="H2786" s="31"/>
    </row>
    <row r="2787">
      <c r="A2787" s="31"/>
      <c r="C2787" s="31"/>
      <c r="D2787" s="31"/>
      <c r="H2787" s="31"/>
    </row>
    <row r="2788">
      <c r="A2788" s="31"/>
      <c r="C2788" s="31"/>
      <c r="D2788" s="31"/>
      <c r="H2788" s="31"/>
    </row>
    <row r="2789">
      <c r="A2789" s="31"/>
      <c r="C2789" s="31"/>
      <c r="D2789" s="31"/>
      <c r="H2789" s="31"/>
    </row>
    <row r="2790">
      <c r="A2790" s="31"/>
      <c r="C2790" s="31"/>
      <c r="D2790" s="31"/>
      <c r="H2790" s="31"/>
    </row>
    <row r="2791">
      <c r="A2791" s="31"/>
      <c r="C2791" s="31"/>
      <c r="D2791" s="31"/>
      <c r="H2791" s="31"/>
    </row>
    <row r="2792">
      <c r="A2792" s="31"/>
      <c r="C2792" s="31"/>
      <c r="D2792" s="31"/>
      <c r="H2792" s="31"/>
    </row>
    <row r="2793">
      <c r="A2793" s="31"/>
      <c r="C2793" s="31"/>
      <c r="D2793" s="31"/>
      <c r="H2793" s="31"/>
    </row>
    <row r="2794">
      <c r="A2794" s="31"/>
      <c r="C2794" s="31"/>
      <c r="D2794" s="31"/>
      <c r="H2794" s="31"/>
    </row>
    <row r="2795">
      <c r="A2795" s="31"/>
      <c r="C2795" s="31"/>
      <c r="D2795" s="31"/>
      <c r="H2795" s="31"/>
    </row>
    <row r="2796">
      <c r="A2796" s="31"/>
      <c r="C2796" s="31"/>
      <c r="D2796" s="31"/>
      <c r="H2796" s="31"/>
    </row>
    <row r="2797">
      <c r="A2797" s="31"/>
      <c r="C2797" s="31"/>
      <c r="D2797" s="31"/>
      <c r="H2797" s="31"/>
    </row>
    <row r="2798">
      <c r="A2798" s="31"/>
      <c r="C2798" s="31"/>
      <c r="D2798" s="31"/>
      <c r="H2798" s="31"/>
    </row>
    <row r="2799">
      <c r="A2799" s="31"/>
      <c r="C2799" s="31"/>
      <c r="D2799" s="31"/>
      <c r="H2799" s="31"/>
    </row>
    <row r="2800">
      <c r="A2800" s="31"/>
      <c r="C2800" s="31"/>
      <c r="D2800" s="31"/>
      <c r="H2800" s="31"/>
    </row>
    <row r="2801">
      <c r="A2801" s="31"/>
      <c r="C2801" s="31"/>
      <c r="D2801" s="31"/>
      <c r="H2801" s="31"/>
    </row>
    <row r="2802">
      <c r="A2802" s="31"/>
      <c r="C2802" s="31"/>
      <c r="D2802" s="31"/>
      <c r="H2802" s="31"/>
    </row>
    <row r="2803">
      <c r="A2803" s="31"/>
      <c r="C2803" s="31"/>
      <c r="D2803" s="31"/>
      <c r="H2803" s="31"/>
    </row>
    <row r="2804">
      <c r="A2804" s="31"/>
      <c r="C2804" s="31"/>
      <c r="D2804" s="31"/>
      <c r="H2804" s="31"/>
    </row>
    <row r="2805">
      <c r="A2805" s="31"/>
      <c r="C2805" s="31"/>
      <c r="D2805" s="31"/>
      <c r="H2805" s="31"/>
    </row>
    <row r="2806">
      <c r="A2806" s="31"/>
      <c r="C2806" s="31"/>
      <c r="D2806" s="31"/>
      <c r="H2806" s="31"/>
    </row>
    <row r="2807">
      <c r="A2807" s="31"/>
      <c r="C2807" s="31"/>
      <c r="D2807" s="31"/>
      <c r="H2807" s="31"/>
    </row>
    <row r="2808">
      <c r="A2808" s="31"/>
      <c r="C2808" s="31"/>
      <c r="D2808" s="31"/>
      <c r="H2808" s="31"/>
    </row>
    <row r="2809">
      <c r="A2809" s="31"/>
      <c r="C2809" s="31"/>
      <c r="D2809" s="31"/>
      <c r="H2809" s="31"/>
    </row>
    <row r="2810">
      <c r="A2810" s="31"/>
      <c r="C2810" s="31"/>
      <c r="D2810" s="31"/>
      <c r="H2810" s="31"/>
    </row>
    <row r="2811">
      <c r="A2811" s="31"/>
      <c r="C2811" s="31"/>
      <c r="D2811" s="31"/>
      <c r="H2811" s="31"/>
    </row>
    <row r="2812">
      <c r="A2812" s="31"/>
      <c r="C2812" s="31"/>
      <c r="D2812" s="31"/>
      <c r="H2812" s="31"/>
    </row>
    <row r="2813">
      <c r="A2813" s="31"/>
      <c r="C2813" s="31"/>
      <c r="D2813" s="31"/>
      <c r="H2813" s="31"/>
    </row>
    <row r="2814">
      <c r="A2814" s="31"/>
      <c r="C2814" s="31"/>
      <c r="D2814" s="31"/>
      <c r="H2814" s="31"/>
    </row>
    <row r="2815">
      <c r="A2815" s="31"/>
      <c r="C2815" s="31"/>
      <c r="D2815" s="31"/>
      <c r="H2815" s="31"/>
    </row>
    <row r="2816">
      <c r="A2816" s="31"/>
      <c r="C2816" s="31"/>
      <c r="D2816" s="31"/>
      <c r="H2816" s="31"/>
    </row>
    <row r="2817">
      <c r="A2817" s="31"/>
      <c r="C2817" s="31"/>
      <c r="D2817" s="31"/>
      <c r="H2817" s="31"/>
    </row>
    <row r="2818">
      <c r="A2818" s="31"/>
      <c r="C2818" s="31"/>
      <c r="D2818" s="31"/>
      <c r="H2818" s="31"/>
    </row>
    <row r="2819">
      <c r="A2819" s="31"/>
      <c r="C2819" s="31"/>
      <c r="D2819" s="31"/>
      <c r="H2819" s="31"/>
    </row>
    <row r="2820">
      <c r="A2820" s="31"/>
      <c r="C2820" s="31"/>
      <c r="D2820" s="31"/>
      <c r="H2820" s="31"/>
    </row>
    <row r="2821">
      <c r="A2821" s="31"/>
      <c r="C2821" s="31"/>
      <c r="D2821" s="31"/>
      <c r="H2821" s="31"/>
    </row>
    <row r="2822">
      <c r="A2822" s="31"/>
      <c r="C2822" s="31"/>
      <c r="D2822" s="31"/>
      <c r="H2822" s="31"/>
    </row>
    <row r="2823">
      <c r="A2823" s="31"/>
      <c r="C2823" s="31"/>
      <c r="D2823" s="31"/>
      <c r="H2823" s="31"/>
    </row>
    <row r="2824">
      <c r="A2824" s="31"/>
      <c r="C2824" s="31"/>
      <c r="D2824" s="31"/>
      <c r="H2824" s="31"/>
    </row>
    <row r="2825">
      <c r="A2825" s="31"/>
      <c r="C2825" s="31"/>
      <c r="D2825" s="31"/>
      <c r="H2825" s="31"/>
    </row>
    <row r="2826">
      <c r="A2826" s="31"/>
      <c r="C2826" s="31"/>
      <c r="D2826" s="31"/>
      <c r="H2826" s="31"/>
    </row>
    <row r="2827">
      <c r="A2827" s="31"/>
      <c r="C2827" s="31"/>
      <c r="D2827" s="31"/>
      <c r="H2827" s="31"/>
    </row>
    <row r="2828">
      <c r="A2828" s="31"/>
      <c r="C2828" s="31"/>
      <c r="D2828" s="31"/>
      <c r="H2828" s="31"/>
    </row>
    <row r="2829">
      <c r="A2829" s="31"/>
      <c r="C2829" s="31"/>
      <c r="D2829" s="31"/>
      <c r="H2829" s="31"/>
    </row>
    <row r="2830">
      <c r="A2830" s="31"/>
      <c r="C2830" s="31"/>
      <c r="D2830" s="31"/>
      <c r="H2830" s="31"/>
    </row>
    <row r="2831">
      <c r="A2831" s="31"/>
      <c r="C2831" s="31"/>
      <c r="D2831" s="31"/>
      <c r="H2831" s="31"/>
    </row>
    <row r="2832">
      <c r="A2832" s="31"/>
      <c r="C2832" s="31"/>
      <c r="D2832" s="31"/>
      <c r="H2832" s="31"/>
    </row>
    <row r="2833">
      <c r="A2833" s="31"/>
      <c r="C2833" s="31"/>
      <c r="D2833" s="31"/>
      <c r="H2833" s="31"/>
    </row>
    <row r="2834">
      <c r="A2834" s="31"/>
      <c r="C2834" s="31"/>
      <c r="D2834" s="31"/>
      <c r="H2834" s="31"/>
    </row>
    <row r="2835">
      <c r="A2835" s="31"/>
      <c r="C2835" s="31"/>
      <c r="D2835" s="31"/>
      <c r="H2835" s="31"/>
    </row>
    <row r="2836">
      <c r="A2836" s="31"/>
      <c r="C2836" s="31"/>
      <c r="D2836" s="31"/>
      <c r="H2836" s="31"/>
    </row>
    <row r="2837">
      <c r="A2837" s="31"/>
      <c r="C2837" s="31"/>
      <c r="D2837" s="31"/>
      <c r="H2837" s="31"/>
    </row>
    <row r="2838">
      <c r="A2838" s="31"/>
      <c r="C2838" s="31"/>
      <c r="D2838" s="31"/>
      <c r="H2838" s="31"/>
    </row>
    <row r="2839">
      <c r="A2839" s="31"/>
      <c r="C2839" s="31"/>
      <c r="D2839" s="31"/>
      <c r="H2839" s="31"/>
    </row>
    <row r="2840">
      <c r="A2840" s="31"/>
      <c r="C2840" s="31"/>
      <c r="D2840" s="31"/>
      <c r="H2840" s="31"/>
    </row>
    <row r="2841">
      <c r="A2841" s="31"/>
      <c r="C2841" s="31"/>
      <c r="D2841" s="31"/>
      <c r="H2841" s="31"/>
    </row>
    <row r="2842">
      <c r="A2842" s="31"/>
      <c r="C2842" s="31"/>
      <c r="D2842" s="31"/>
      <c r="H2842" s="31"/>
    </row>
    <row r="2843">
      <c r="A2843" s="31"/>
      <c r="C2843" s="31"/>
      <c r="D2843" s="31"/>
      <c r="H2843" s="31"/>
    </row>
    <row r="2844">
      <c r="A2844" s="31"/>
      <c r="C2844" s="31"/>
      <c r="D2844" s="31"/>
      <c r="H2844" s="31"/>
    </row>
    <row r="2845">
      <c r="A2845" s="31"/>
      <c r="C2845" s="31"/>
      <c r="D2845" s="31"/>
      <c r="H2845" s="31"/>
    </row>
    <row r="2846">
      <c r="A2846" s="31"/>
      <c r="C2846" s="31"/>
      <c r="D2846" s="31"/>
      <c r="H2846" s="31"/>
    </row>
    <row r="2847">
      <c r="A2847" s="31"/>
      <c r="C2847" s="31"/>
      <c r="D2847" s="31"/>
      <c r="H2847" s="31"/>
    </row>
    <row r="2848">
      <c r="A2848" s="31"/>
      <c r="C2848" s="31"/>
      <c r="D2848" s="31"/>
      <c r="H2848" s="31"/>
    </row>
    <row r="2849">
      <c r="A2849" s="31"/>
      <c r="C2849" s="31"/>
      <c r="D2849" s="31"/>
      <c r="H2849" s="31"/>
    </row>
    <row r="2850">
      <c r="A2850" s="31"/>
      <c r="C2850" s="31"/>
      <c r="D2850" s="31"/>
      <c r="H2850" s="31"/>
    </row>
    <row r="2851">
      <c r="A2851" s="31"/>
      <c r="C2851" s="31"/>
      <c r="D2851" s="31"/>
      <c r="H2851" s="31"/>
    </row>
    <row r="2852">
      <c r="A2852" s="31"/>
      <c r="C2852" s="31"/>
      <c r="D2852" s="31"/>
      <c r="H2852" s="31"/>
    </row>
    <row r="2853">
      <c r="A2853" s="31"/>
      <c r="C2853" s="31"/>
      <c r="D2853" s="31"/>
      <c r="H2853" s="31"/>
    </row>
    <row r="2854">
      <c r="A2854" s="31"/>
      <c r="C2854" s="31"/>
      <c r="D2854" s="31"/>
      <c r="H2854" s="31"/>
    </row>
    <row r="2855">
      <c r="A2855" s="31"/>
      <c r="C2855" s="31"/>
      <c r="D2855" s="31"/>
      <c r="H2855" s="31"/>
    </row>
    <row r="2856">
      <c r="A2856" s="31"/>
      <c r="C2856" s="31"/>
      <c r="D2856" s="31"/>
      <c r="H2856" s="31"/>
    </row>
    <row r="2857">
      <c r="A2857" s="31"/>
      <c r="C2857" s="31"/>
      <c r="D2857" s="31"/>
      <c r="H2857" s="31"/>
    </row>
    <row r="2858">
      <c r="A2858" s="31"/>
      <c r="C2858" s="31"/>
      <c r="D2858" s="31"/>
      <c r="H2858" s="31"/>
    </row>
    <row r="2859">
      <c r="A2859" s="31"/>
      <c r="C2859" s="31"/>
      <c r="D2859" s="31"/>
      <c r="H2859" s="31"/>
    </row>
    <row r="2860">
      <c r="A2860" s="31"/>
      <c r="C2860" s="31"/>
      <c r="D2860" s="31"/>
      <c r="H2860" s="31"/>
    </row>
    <row r="2861">
      <c r="A2861" s="31"/>
      <c r="C2861" s="31"/>
      <c r="D2861" s="31"/>
      <c r="H2861" s="31"/>
    </row>
    <row r="2862">
      <c r="A2862" s="31"/>
      <c r="C2862" s="31"/>
      <c r="D2862" s="31"/>
      <c r="H2862" s="31"/>
    </row>
    <row r="2863">
      <c r="A2863" s="31"/>
      <c r="C2863" s="31"/>
      <c r="D2863" s="31"/>
      <c r="H2863" s="31"/>
    </row>
    <row r="2864">
      <c r="A2864" s="31"/>
      <c r="C2864" s="31"/>
      <c r="D2864" s="31"/>
      <c r="H2864" s="31"/>
    </row>
    <row r="2865">
      <c r="A2865" s="31"/>
      <c r="C2865" s="31"/>
      <c r="D2865" s="31"/>
      <c r="H2865" s="31"/>
    </row>
    <row r="2866">
      <c r="A2866" s="31"/>
      <c r="C2866" s="31"/>
      <c r="D2866" s="31"/>
      <c r="H2866" s="31"/>
    </row>
    <row r="2867">
      <c r="A2867" s="31"/>
      <c r="C2867" s="31"/>
      <c r="D2867" s="31"/>
      <c r="H2867" s="31"/>
    </row>
    <row r="2868">
      <c r="A2868" s="31"/>
      <c r="C2868" s="31"/>
      <c r="D2868" s="31"/>
      <c r="H2868" s="31"/>
    </row>
    <row r="2869">
      <c r="A2869" s="31"/>
      <c r="C2869" s="31"/>
      <c r="D2869" s="31"/>
      <c r="H2869" s="31"/>
    </row>
    <row r="2870">
      <c r="A2870" s="31"/>
      <c r="C2870" s="31"/>
      <c r="D2870" s="31"/>
      <c r="H2870" s="31"/>
    </row>
    <row r="2871">
      <c r="A2871" s="31"/>
      <c r="C2871" s="31"/>
      <c r="D2871" s="31"/>
      <c r="H2871" s="31"/>
    </row>
    <row r="2872">
      <c r="A2872" s="31"/>
      <c r="C2872" s="31"/>
      <c r="D2872" s="31"/>
      <c r="H2872" s="31"/>
    </row>
    <row r="2873">
      <c r="A2873" s="31"/>
      <c r="C2873" s="31"/>
      <c r="D2873" s="31"/>
      <c r="H2873" s="31"/>
    </row>
    <row r="2874">
      <c r="A2874" s="31"/>
      <c r="C2874" s="31"/>
      <c r="D2874" s="31"/>
      <c r="H2874" s="31"/>
    </row>
    <row r="2875">
      <c r="A2875" s="31"/>
      <c r="C2875" s="31"/>
      <c r="D2875" s="31"/>
      <c r="H2875" s="31"/>
    </row>
    <row r="2876">
      <c r="A2876" s="31"/>
      <c r="C2876" s="31"/>
      <c r="D2876" s="31"/>
      <c r="H2876" s="31"/>
    </row>
    <row r="2877">
      <c r="A2877" s="31"/>
      <c r="C2877" s="31"/>
      <c r="D2877" s="31"/>
      <c r="H2877" s="31"/>
    </row>
    <row r="2878">
      <c r="A2878" s="31"/>
      <c r="C2878" s="31"/>
      <c r="D2878" s="31"/>
      <c r="H2878" s="31"/>
    </row>
    <row r="2879">
      <c r="A2879" s="31"/>
      <c r="C2879" s="31"/>
      <c r="D2879" s="31"/>
      <c r="H2879" s="31"/>
    </row>
    <row r="2880">
      <c r="A2880" s="31"/>
      <c r="C2880" s="31"/>
      <c r="D2880" s="31"/>
      <c r="H2880" s="31"/>
    </row>
    <row r="2881">
      <c r="A2881" s="31"/>
      <c r="C2881" s="31"/>
      <c r="D2881" s="31"/>
      <c r="H2881" s="31"/>
    </row>
    <row r="2882">
      <c r="A2882" s="31"/>
      <c r="C2882" s="31"/>
      <c r="D2882" s="31"/>
      <c r="H2882" s="31"/>
    </row>
    <row r="2883">
      <c r="A2883" s="31"/>
      <c r="C2883" s="31"/>
      <c r="D2883" s="31"/>
      <c r="H2883" s="31"/>
    </row>
    <row r="2884">
      <c r="A2884" s="31"/>
      <c r="C2884" s="31"/>
      <c r="D2884" s="31"/>
      <c r="H2884" s="31"/>
    </row>
    <row r="2885">
      <c r="A2885" s="31"/>
      <c r="C2885" s="31"/>
      <c r="D2885" s="31"/>
      <c r="H2885" s="31"/>
    </row>
    <row r="2886">
      <c r="A2886" s="31"/>
      <c r="C2886" s="31"/>
      <c r="D2886" s="31"/>
      <c r="H2886" s="31"/>
    </row>
    <row r="2887">
      <c r="A2887" s="31"/>
      <c r="C2887" s="31"/>
      <c r="D2887" s="31"/>
      <c r="H2887" s="31"/>
    </row>
    <row r="2888">
      <c r="A2888" s="31"/>
      <c r="C2888" s="31"/>
      <c r="D2888" s="31"/>
      <c r="H2888" s="31"/>
    </row>
    <row r="2889">
      <c r="A2889" s="31"/>
      <c r="C2889" s="31"/>
      <c r="D2889" s="31"/>
      <c r="H2889" s="31"/>
    </row>
    <row r="2890">
      <c r="A2890" s="31"/>
      <c r="C2890" s="31"/>
      <c r="D2890" s="31"/>
      <c r="H2890" s="31"/>
    </row>
    <row r="2891">
      <c r="A2891" s="31"/>
      <c r="C2891" s="31"/>
      <c r="D2891" s="31"/>
      <c r="H2891" s="31"/>
    </row>
    <row r="2892">
      <c r="A2892" s="31"/>
      <c r="C2892" s="31"/>
      <c r="D2892" s="31"/>
      <c r="H2892" s="31"/>
    </row>
    <row r="2893">
      <c r="A2893" s="31"/>
      <c r="C2893" s="31"/>
      <c r="D2893" s="31"/>
      <c r="H2893" s="31"/>
    </row>
    <row r="2894">
      <c r="A2894" s="31"/>
      <c r="C2894" s="31"/>
      <c r="D2894" s="31"/>
      <c r="H2894" s="31"/>
    </row>
    <row r="2895">
      <c r="A2895" s="31"/>
      <c r="C2895" s="31"/>
      <c r="D2895" s="31"/>
      <c r="H2895" s="31"/>
    </row>
    <row r="2896">
      <c r="A2896" s="31"/>
      <c r="C2896" s="31"/>
      <c r="D2896" s="31"/>
      <c r="H2896" s="31"/>
    </row>
    <row r="2897">
      <c r="A2897" s="31"/>
      <c r="C2897" s="31"/>
      <c r="D2897" s="31"/>
      <c r="H2897" s="31"/>
    </row>
    <row r="2898">
      <c r="A2898" s="31"/>
      <c r="C2898" s="31"/>
      <c r="D2898" s="31"/>
      <c r="H2898" s="31"/>
    </row>
    <row r="2899">
      <c r="A2899" s="31"/>
      <c r="C2899" s="31"/>
      <c r="D2899" s="31"/>
      <c r="H2899" s="31"/>
    </row>
    <row r="2900">
      <c r="A2900" s="31"/>
      <c r="C2900" s="31"/>
      <c r="D2900" s="31"/>
      <c r="H2900" s="31"/>
    </row>
    <row r="2901">
      <c r="A2901" s="31"/>
      <c r="C2901" s="31"/>
      <c r="D2901" s="31"/>
      <c r="H2901" s="31"/>
    </row>
    <row r="2902">
      <c r="A2902" s="31"/>
      <c r="C2902" s="31"/>
      <c r="D2902" s="31"/>
      <c r="H2902" s="31"/>
    </row>
    <row r="2903">
      <c r="A2903" s="31"/>
      <c r="C2903" s="31"/>
      <c r="D2903" s="31"/>
      <c r="H2903" s="31"/>
    </row>
    <row r="2904">
      <c r="A2904" s="31"/>
      <c r="C2904" s="31"/>
      <c r="D2904" s="31"/>
      <c r="H2904" s="31"/>
    </row>
    <row r="2905">
      <c r="A2905" s="31"/>
      <c r="C2905" s="31"/>
      <c r="D2905" s="31"/>
      <c r="H2905" s="31"/>
    </row>
    <row r="2906">
      <c r="A2906" s="31"/>
      <c r="C2906" s="31"/>
      <c r="D2906" s="31"/>
      <c r="H2906" s="31"/>
    </row>
    <row r="2907">
      <c r="A2907" s="31"/>
      <c r="C2907" s="31"/>
      <c r="D2907" s="31"/>
      <c r="H2907" s="31"/>
    </row>
    <row r="2908">
      <c r="A2908" s="31"/>
      <c r="C2908" s="31"/>
      <c r="D2908" s="31"/>
      <c r="H2908" s="31"/>
    </row>
    <row r="2909">
      <c r="A2909" s="31"/>
      <c r="C2909" s="31"/>
      <c r="D2909" s="31"/>
      <c r="H2909" s="31"/>
    </row>
    <row r="2910">
      <c r="A2910" s="31"/>
      <c r="C2910" s="31"/>
      <c r="D2910" s="31"/>
      <c r="H2910" s="31"/>
    </row>
    <row r="2911">
      <c r="A2911" s="31"/>
      <c r="C2911" s="31"/>
      <c r="D2911" s="31"/>
      <c r="H2911" s="31"/>
    </row>
    <row r="2912">
      <c r="A2912" s="31"/>
      <c r="C2912" s="31"/>
      <c r="D2912" s="31"/>
      <c r="H2912" s="31"/>
    </row>
    <row r="2913">
      <c r="A2913" s="31"/>
      <c r="C2913" s="31"/>
      <c r="D2913" s="31"/>
      <c r="H2913" s="31"/>
    </row>
    <row r="2914">
      <c r="A2914" s="31"/>
      <c r="C2914" s="31"/>
      <c r="D2914" s="31"/>
      <c r="H2914" s="31"/>
    </row>
    <row r="2915">
      <c r="A2915" s="31"/>
      <c r="C2915" s="31"/>
      <c r="D2915" s="31"/>
      <c r="H2915" s="31"/>
    </row>
    <row r="2916">
      <c r="A2916" s="31"/>
      <c r="C2916" s="31"/>
      <c r="D2916" s="31"/>
      <c r="H2916" s="31"/>
    </row>
    <row r="2917">
      <c r="A2917" s="31"/>
      <c r="C2917" s="31"/>
      <c r="D2917" s="31"/>
      <c r="H2917" s="31"/>
    </row>
    <row r="2918">
      <c r="A2918" s="31"/>
      <c r="C2918" s="31"/>
      <c r="D2918" s="31"/>
      <c r="H2918" s="31"/>
    </row>
    <row r="2919">
      <c r="A2919" s="31"/>
      <c r="C2919" s="31"/>
      <c r="D2919" s="31"/>
      <c r="H2919" s="31"/>
    </row>
    <row r="2920">
      <c r="A2920" s="31"/>
      <c r="C2920" s="31"/>
      <c r="D2920" s="31"/>
      <c r="H2920" s="31"/>
    </row>
    <row r="2921">
      <c r="A2921" s="31"/>
      <c r="C2921" s="31"/>
      <c r="D2921" s="31"/>
      <c r="H2921" s="31"/>
    </row>
    <row r="2922">
      <c r="A2922" s="31"/>
      <c r="C2922" s="31"/>
      <c r="D2922" s="31"/>
      <c r="H2922" s="31"/>
    </row>
    <row r="2923">
      <c r="A2923" s="31"/>
      <c r="C2923" s="31"/>
      <c r="D2923" s="31"/>
      <c r="H2923" s="31"/>
    </row>
    <row r="2924">
      <c r="A2924" s="31"/>
      <c r="C2924" s="31"/>
      <c r="D2924" s="31"/>
      <c r="H2924" s="31"/>
    </row>
    <row r="2925">
      <c r="A2925" s="31"/>
      <c r="C2925" s="31"/>
      <c r="D2925" s="31"/>
      <c r="H2925" s="31"/>
    </row>
    <row r="2926">
      <c r="A2926" s="31"/>
      <c r="C2926" s="31"/>
      <c r="D2926" s="31"/>
      <c r="H2926" s="31"/>
    </row>
    <row r="2927">
      <c r="A2927" s="31"/>
      <c r="C2927" s="31"/>
      <c r="D2927" s="31"/>
      <c r="H2927" s="31"/>
    </row>
    <row r="2928">
      <c r="A2928" s="31"/>
      <c r="C2928" s="31"/>
      <c r="D2928" s="31"/>
      <c r="H2928" s="31"/>
    </row>
    <row r="2929">
      <c r="A2929" s="31"/>
      <c r="C2929" s="31"/>
      <c r="D2929" s="31"/>
      <c r="H2929" s="31"/>
    </row>
    <row r="2930">
      <c r="A2930" s="31"/>
      <c r="C2930" s="31"/>
      <c r="D2930" s="31"/>
      <c r="H2930" s="31"/>
    </row>
    <row r="2931">
      <c r="A2931" s="31"/>
      <c r="C2931" s="31"/>
      <c r="D2931" s="31"/>
      <c r="H2931" s="31"/>
    </row>
    <row r="2932">
      <c r="A2932" s="31"/>
      <c r="C2932" s="31"/>
      <c r="D2932" s="31"/>
      <c r="H2932" s="31"/>
    </row>
    <row r="2933">
      <c r="A2933" s="31"/>
      <c r="C2933" s="31"/>
      <c r="D2933" s="31"/>
      <c r="H2933" s="31"/>
    </row>
    <row r="2934">
      <c r="A2934" s="31"/>
      <c r="C2934" s="31"/>
      <c r="D2934" s="31"/>
      <c r="H2934" s="31"/>
    </row>
    <row r="2935">
      <c r="A2935" s="31"/>
      <c r="C2935" s="31"/>
      <c r="D2935" s="31"/>
      <c r="H2935" s="31"/>
    </row>
    <row r="2936">
      <c r="A2936" s="31"/>
      <c r="C2936" s="31"/>
      <c r="D2936" s="31"/>
      <c r="H2936" s="31"/>
    </row>
    <row r="2937">
      <c r="A2937" s="31"/>
      <c r="C2937" s="31"/>
      <c r="D2937" s="31"/>
      <c r="H2937" s="31"/>
    </row>
    <row r="2938">
      <c r="A2938" s="31"/>
      <c r="C2938" s="31"/>
      <c r="D2938" s="31"/>
      <c r="H2938" s="31"/>
    </row>
    <row r="2939">
      <c r="A2939" s="31"/>
      <c r="C2939" s="31"/>
      <c r="D2939" s="31"/>
      <c r="H2939" s="31"/>
    </row>
    <row r="2940">
      <c r="A2940" s="31"/>
      <c r="C2940" s="31"/>
      <c r="D2940" s="31"/>
      <c r="H2940" s="31"/>
    </row>
    <row r="2941">
      <c r="A2941" s="31"/>
      <c r="C2941" s="31"/>
      <c r="D2941" s="31"/>
      <c r="H2941" s="31"/>
    </row>
    <row r="2942">
      <c r="A2942" s="31"/>
      <c r="C2942" s="31"/>
      <c r="D2942" s="31"/>
      <c r="H2942" s="31"/>
    </row>
    <row r="2943">
      <c r="A2943" s="31"/>
      <c r="C2943" s="31"/>
      <c r="D2943" s="31"/>
      <c r="H2943" s="31"/>
    </row>
    <row r="2944">
      <c r="A2944" s="31"/>
      <c r="C2944" s="31"/>
      <c r="D2944" s="31"/>
      <c r="H2944" s="31"/>
    </row>
    <row r="2945">
      <c r="A2945" s="31"/>
      <c r="C2945" s="31"/>
      <c r="D2945" s="31"/>
      <c r="H2945" s="31"/>
    </row>
    <row r="2946">
      <c r="A2946" s="31"/>
      <c r="C2946" s="31"/>
      <c r="D2946" s="31"/>
      <c r="H2946" s="31"/>
    </row>
    <row r="2947">
      <c r="A2947" s="31"/>
      <c r="C2947" s="31"/>
      <c r="D2947" s="31"/>
      <c r="H2947" s="31"/>
    </row>
    <row r="2948">
      <c r="A2948" s="31"/>
      <c r="C2948" s="31"/>
      <c r="D2948" s="31"/>
      <c r="H2948" s="31"/>
    </row>
    <row r="2949">
      <c r="A2949" s="31"/>
      <c r="C2949" s="31"/>
      <c r="D2949" s="31"/>
      <c r="H2949" s="31"/>
    </row>
    <row r="2950">
      <c r="A2950" s="31"/>
      <c r="C2950" s="31"/>
      <c r="D2950" s="31"/>
      <c r="H2950" s="31"/>
    </row>
    <row r="2951">
      <c r="A2951" s="31"/>
      <c r="C2951" s="31"/>
      <c r="D2951" s="31"/>
      <c r="H2951" s="31"/>
    </row>
    <row r="2952">
      <c r="A2952" s="31"/>
      <c r="C2952" s="31"/>
      <c r="D2952" s="31"/>
      <c r="H2952" s="31"/>
    </row>
    <row r="2953">
      <c r="A2953" s="31"/>
      <c r="C2953" s="31"/>
      <c r="D2953" s="31"/>
      <c r="H2953" s="31"/>
    </row>
    <row r="2954">
      <c r="A2954" s="31"/>
      <c r="C2954" s="31"/>
      <c r="D2954" s="31"/>
      <c r="H2954" s="31"/>
    </row>
    <row r="2955">
      <c r="A2955" s="31"/>
      <c r="C2955" s="31"/>
      <c r="D2955" s="31"/>
      <c r="H2955" s="31"/>
    </row>
    <row r="2956">
      <c r="A2956" s="31"/>
      <c r="C2956" s="31"/>
      <c r="D2956" s="31"/>
      <c r="H2956" s="31"/>
    </row>
    <row r="2957">
      <c r="A2957" s="31"/>
      <c r="C2957" s="31"/>
      <c r="D2957" s="31"/>
      <c r="H2957" s="31"/>
    </row>
    <row r="2958">
      <c r="A2958" s="31"/>
      <c r="C2958" s="31"/>
      <c r="D2958" s="31"/>
      <c r="H2958" s="31"/>
    </row>
    <row r="2959">
      <c r="A2959" s="31"/>
      <c r="C2959" s="31"/>
      <c r="D2959" s="31"/>
      <c r="H2959" s="31"/>
    </row>
    <row r="2960">
      <c r="A2960" s="31"/>
      <c r="C2960" s="31"/>
      <c r="D2960" s="31"/>
      <c r="H2960" s="31"/>
    </row>
    <row r="2961">
      <c r="A2961" s="31"/>
      <c r="C2961" s="31"/>
      <c r="D2961" s="31"/>
      <c r="H2961" s="31"/>
    </row>
    <row r="2962">
      <c r="A2962" s="31"/>
      <c r="C2962" s="31"/>
      <c r="D2962" s="31"/>
      <c r="H2962" s="31"/>
    </row>
    <row r="2963">
      <c r="A2963" s="31"/>
      <c r="C2963" s="31"/>
      <c r="D2963" s="31"/>
      <c r="H2963" s="31"/>
    </row>
    <row r="2964">
      <c r="A2964" s="31"/>
      <c r="C2964" s="31"/>
      <c r="D2964" s="31"/>
      <c r="H2964" s="31"/>
    </row>
    <row r="2965">
      <c r="A2965" s="31"/>
      <c r="C2965" s="31"/>
      <c r="D2965" s="31"/>
      <c r="H2965" s="31"/>
    </row>
    <row r="2966">
      <c r="A2966" s="31"/>
      <c r="C2966" s="31"/>
      <c r="D2966" s="31"/>
      <c r="H2966" s="31"/>
    </row>
    <row r="2967">
      <c r="A2967" s="31"/>
      <c r="C2967" s="31"/>
      <c r="D2967" s="31"/>
      <c r="H2967" s="31"/>
    </row>
    <row r="2968">
      <c r="A2968" s="31"/>
      <c r="C2968" s="31"/>
      <c r="D2968" s="31"/>
      <c r="H2968" s="31"/>
    </row>
    <row r="2969">
      <c r="A2969" s="31"/>
      <c r="C2969" s="31"/>
      <c r="D2969" s="31"/>
      <c r="H2969" s="31"/>
    </row>
    <row r="2970">
      <c r="A2970" s="31"/>
      <c r="C2970" s="31"/>
      <c r="D2970" s="31"/>
      <c r="H2970" s="31"/>
    </row>
    <row r="2971">
      <c r="A2971" s="31"/>
      <c r="C2971" s="31"/>
      <c r="D2971" s="31"/>
      <c r="H2971" s="31"/>
    </row>
    <row r="2972">
      <c r="A2972" s="31"/>
      <c r="C2972" s="31"/>
      <c r="D2972" s="31"/>
      <c r="H2972" s="31"/>
    </row>
    <row r="2973">
      <c r="A2973" s="31"/>
      <c r="C2973" s="31"/>
      <c r="D2973" s="31"/>
      <c r="H2973" s="31"/>
    </row>
    <row r="2974">
      <c r="A2974" s="31"/>
      <c r="C2974" s="31"/>
      <c r="D2974" s="31"/>
      <c r="H2974" s="31"/>
    </row>
    <row r="2975">
      <c r="A2975" s="31"/>
      <c r="C2975" s="31"/>
      <c r="D2975" s="31"/>
      <c r="H2975" s="31"/>
    </row>
    <row r="2976">
      <c r="A2976" s="31"/>
      <c r="C2976" s="31"/>
      <c r="D2976" s="31"/>
      <c r="H2976" s="31"/>
    </row>
    <row r="2977">
      <c r="A2977" s="31"/>
      <c r="C2977" s="31"/>
      <c r="D2977" s="31"/>
      <c r="H2977" s="31"/>
    </row>
    <row r="2978">
      <c r="A2978" s="31"/>
      <c r="C2978" s="31"/>
      <c r="D2978" s="31"/>
      <c r="H2978" s="31"/>
    </row>
    <row r="2979">
      <c r="A2979" s="31"/>
      <c r="C2979" s="31"/>
      <c r="D2979" s="31"/>
      <c r="H2979" s="31"/>
    </row>
    <row r="2980">
      <c r="A2980" s="31"/>
      <c r="C2980" s="31"/>
      <c r="D2980" s="31"/>
      <c r="H2980" s="31"/>
    </row>
    <row r="2981">
      <c r="A2981" s="31"/>
      <c r="C2981" s="31"/>
      <c r="D2981" s="31"/>
      <c r="H2981" s="31"/>
    </row>
    <row r="2982">
      <c r="A2982" s="31"/>
      <c r="C2982" s="31"/>
      <c r="D2982" s="31"/>
      <c r="H2982" s="31"/>
    </row>
    <row r="2983">
      <c r="A2983" s="31"/>
      <c r="C2983" s="31"/>
      <c r="D2983" s="31"/>
      <c r="H2983" s="31"/>
    </row>
    <row r="2984">
      <c r="A2984" s="31"/>
      <c r="C2984" s="31"/>
      <c r="D2984" s="31"/>
      <c r="H2984" s="31"/>
    </row>
    <row r="2985">
      <c r="A2985" s="31"/>
      <c r="C2985" s="31"/>
      <c r="D2985" s="31"/>
      <c r="H2985" s="31"/>
    </row>
    <row r="2986">
      <c r="A2986" s="31"/>
      <c r="C2986" s="31"/>
      <c r="D2986" s="31"/>
      <c r="H2986" s="31"/>
    </row>
    <row r="2987">
      <c r="A2987" s="31"/>
      <c r="C2987" s="31"/>
      <c r="D2987" s="31"/>
      <c r="H2987" s="31"/>
    </row>
    <row r="2988">
      <c r="A2988" s="31"/>
      <c r="C2988" s="31"/>
      <c r="D2988" s="31"/>
      <c r="H2988" s="31"/>
    </row>
    <row r="2989">
      <c r="A2989" s="31"/>
      <c r="C2989" s="31"/>
      <c r="D2989" s="31"/>
      <c r="H2989" s="31"/>
    </row>
    <row r="2990">
      <c r="A2990" s="31"/>
      <c r="C2990" s="31"/>
      <c r="D2990" s="31"/>
      <c r="H2990" s="31"/>
    </row>
    <row r="2991">
      <c r="A2991" s="31"/>
      <c r="C2991" s="31"/>
      <c r="D2991" s="31"/>
      <c r="H2991" s="31"/>
    </row>
    <row r="2992">
      <c r="A2992" s="31"/>
      <c r="C2992" s="31"/>
      <c r="D2992" s="31"/>
      <c r="H2992" s="31"/>
    </row>
    <row r="2993">
      <c r="A2993" s="31"/>
      <c r="C2993" s="31"/>
      <c r="D2993" s="31"/>
      <c r="H2993" s="31"/>
    </row>
    <row r="2994">
      <c r="A2994" s="31"/>
      <c r="C2994" s="31"/>
      <c r="D2994" s="31"/>
      <c r="H2994" s="31"/>
    </row>
    <row r="2995">
      <c r="A2995" s="31"/>
      <c r="C2995" s="31"/>
      <c r="D2995" s="31"/>
      <c r="H2995" s="31"/>
    </row>
    <row r="2996">
      <c r="A2996" s="31"/>
      <c r="C2996" s="31"/>
      <c r="D2996" s="31"/>
      <c r="H2996" s="31"/>
    </row>
    <row r="2997">
      <c r="A2997" s="31"/>
      <c r="C2997" s="31"/>
      <c r="D2997" s="31"/>
      <c r="H2997" s="31"/>
    </row>
    <row r="2998">
      <c r="A2998" s="31"/>
      <c r="C2998" s="31"/>
      <c r="D2998" s="31"/>
      <c r="H2998" s="31"/>
    </row>
    <row r="2999">
      <c r="A2999" s="31"/>
      <c r="C2999" s="31"/>
      <c r="D2999" s="31"/>
      <c r="H2999" s="31"/>
    </row>
    <row r="3000">
      <c r="A3000" s="31"/>
      <c r="C3000" s="31"/>
      <c r="D3000" s="31"/>
      <c r="H3000" s="31"/>
    </row>
    <row r="3001">
      <c r="A3001" s="31"/>
      <c r="C3001" s="31"/>
      <c r="D3001" s="31"/>
      <c r="H3001" s="31"/>
    </row>
    <row r="3002">
      <c r="A3002" s="31"/>
      <c r="C3002" s="31"/>
      <c r="D3002" s="31"/>
      <c r="H3002" s="31"/>
    </row>
    <row r="3003">
      <c r="A3003" s="31"/>
      <c r="C3003" s="31"/>
      <c r="D3003" s="31"/>
      <c r="H3003" s="31"/>
    </row>
    <row r="3004">
      <c r="A3004" s="31"/>
      <c r="C3004" s="31"/>
      <c r="D3004" s="31"/>
      <c r="H3004" s="31"/>
    </row>
    <row r="3005">
      <c r="A3005" s="31"/>
      <c r="C3005" s="31"/>
      <c r="D3005" s="31"/>
      <c r="H3005" s="31"/>
    </row>
    <row r="3006">
      <c r="A3006" s="31"/>
      <c r="C3006" s="31"/>
      <c r="D3006" s="31"/>
      <c r="H3006" s="31"/>
    </row>
    <row r="3007">
      <c r="A3007" s="31"/>
      <c r="C3007" s="31"/>
      <c r="D3007" s="31"/>
      <c r="H3007" s="31"/>
    </row>
    <row r="3008">
      <c r="A3008" s="31"/>
      <c r="C3008" s="31"/>
      <c r="D3008" s="31"/>
      <c r="H3008" s="31"/>
    </row>
    <row r="3009">
      <c r="A3009" s="31"/>
      <c r="C3009" s="31"/>
      <c r="D3009" s="31"/>
      <c r="H3009" s="31"/>
    </row>
    <row r="3010">
      <c r="A3010" s="31"/>
      <c r="C3010" s="31"/>
      <c r="D3010" s="31"/>
      <c r="H3010" s="31"/>
    </row>
    <row r="3011">
      <c r="A3011" s="31"/>
      <c r="C3011" s="31"/>
      <c r="D3011" s="31"/>
      <c r="H3011" s="31"/>
    </row>
    <row r="3012">
      <c r="A3012" s="31"/>
      <c r="C3012" s="31"/>
      <c r="D3012" s="31"/>
      <c r="H3012" s="31"/>
    </row>
    <row r="3013">
      <c r="A3013" s="31"/>
      <c r="C3013" s="31"/>
      <c r="D3013" s="31"/>
      <c r="H3013" s="31"/>
    </row>
    <row r="3014">
      <c r="A3014" s="31"/>
      <c r="C3014" s="31"/>
      <c r="D3014" s="31"/>
      <c r="H3014" s="31"/>
    </row>
    <row r="3015">
      <c r="A3015" s="31"/>
      <c r="C3015" s="31"/>
      <c r="D3015" s="31"/>
      <c r="H3015" s="31"/>
    </row>
    <row r="3016">
      <c r="A3016" s="31"/>
      <c r="C3016" s="31"/>
      <c r="D3016" s="31"/>
      <c r="H3016" s="31"/>
    </row>
    <row r="3017">
      <c r="A3017" s="31"/>
      <c r="C3017" s="31"/>
      <c r="D3017" s="31"/>
      <c r="H3017" s="31"/>
    </row>
    <row r="3018">
      <c r="A3018" s="31"/>
      <c r="C3018" s="31"/>
      <c r="D3018" s="31"/>
      <c r="H3018" s="31"/>
    </row>
    <row r="3019">
      <c r="A3019" s="31"/>
      <c r="C3019" s="31"/>
      <c r="D3019" s="31"/>
      <c r="H3019" s="31"/>
    </row>
    <row r="3020">
      <c r="A3020" s="31"/>
      <c r="C3020" s="31"/>
      <c r="D3020" s="31"/>
      <c r="H3020" s="31"/>
    </row>
    <row r="3021">
      <c r="A3021" s="31"/>
      <c r="C3021" s="31"/>
      <c r="D3021" s="31"/>
      <c r="H3021" s="31"/>
    </row>
    <row r="3022">
      <c r="A3022" s="31"/>
      <c r="C3022" s="31"/>
      <c r="D3022" s="31"/>
      <c r="H3022" s="31"/>
    </row>
    <row r="3023">
      <c r="A3023" s="31"/>
      <c r="C3023" s="31"/>
      <c r="D3023" s="31"/>
      <c r="H3023" s="31"/>
    </row>
    <row r="3024">
      <c r="A3024" s="31"/>
      <c r="C3024" s="31"/>
      <c r="D3024" s="31"/>
      <c r="H3024" s="31"/>
    </row>
    <row r="3025">
      <c r="A3025" s="31"/>
      <c r="C3025" s="31"/>
      <c r="D3025" s="31"/>
      <c r="H3025" s="31"/>
    </row>
    <row r="3026">
      <c r="A3026" s="31"/>
      <c r="C3026" s="31"/>
      <c r="D3026" s="31"/>
      <c r="H3026" s="31"/>
    </row>
    <row r="3027">
      <c r="A3027" s="31"/>
      <c r="C3027" s="31"/>
      <c r="D3027" s="31"/>
      <c r="H3027" s="31"/>
    </row>
    <row r="3028">
      <c r="A3028" s="31"/>
      <c r="C3028" s="31"/>
      <c r="D3028" s="31"/>
      <c r="H3028" s="31"/>
    </row>
    <row r="3029">
      <c r="A3029" s="31"/>
      <c r="C3029" s="31"/>
      <c r="D3029" s="31"/>
      <c r="H3029" s="31"/>
    </row>
    <row r="3030">
      <c r="A3030" s="31"/>
      <c r="C3030" s="31"/>
      <c r="D3030" s="31"/>
      <c r="H3030" s="31"/>
    </row>
    <row r="3031">
      <c r="A3031" s="31"/>
      <c r="C3031" s="31"/>
      <c r="D3031" s="31"/>
      <c r="H3031" s="31"/>
    </row>
    <row r="3032">
      <c r="A3032" s="31"/>
      <c r="C3032" s="31"/>
      <c r="D3032" s="31"/>
      <c r="H3032" s="31"/>
    </row>
    <row r="3033">
      <c r="A3033" s="31"/>
      <c r="C3033" s="31"/>
      <c r="D3033" s="31"/>
      <c r="H3033" s="31"/>
    </row>
    <row r="3034">
      <c r="A3034" s="31"/>
      <c r="C3034" s="31"/>
      <c r="D3034" s="31"/>
      <c r="H3034" s="31"/>
    </row>
    <row r="3035">
      <c r="A3035" s="31"/>
      <c r="C3035" s="31"/>
      <c r="D3035" s="31"/>
      <c r="H3035" s="31"/>
    </row>
    <row r="3036">
      <c r="A3036" s="31"/>
      <c r="C3036" s="31"/>
      <c r="D3036" s="31"/>
      <c r="H3036" s="31"/>
    </row>
    <row r="3037">
      <c r="A3037" s="31"/>
      <c r="C3037" s="31"/>
      <c r="D3037" s="31"/>
      <c r="H3037" s="31"/>
    </row>
    <row r="3038">
      <c r="A3038" s="31"/>
      <c r="C3038" s="31"/>
      <c r="D3038" s="31"/>
      <c r="H3038" s="31"/>
    </row>
    <row r="3039">
      <c r="A3039" s="31"/>
      <c r="C3039" s="31"/>
      <c r="D3039" s="31"/>
      <c r="H3039" s="31"/>
    </row>
    <row r="3040">
      <c r="A3040" s="31"/>
      <c r="C3040" s="31"/>
      <c r="D3040" s="31"/>
      <c r="H3040" s="31"/>
    </row>
    <row r="3041">
      <c r="A3041" s="31"/>
      <c r="C3041" s="31"/>
      <c r="D3041" s="31"/>
      <c r="H3041" s="31"/>
    </row>
    <row r="3042">
      <c r="A3042" s="31"/>
      <c r="C3042" s="31"/>
      <c r="D3042" s="31"/>
      <c r="H3042" s="31"/>
    </row>
    <row r="3043">
      <c r="A3043" s="31"/>
      <c r="C3043" s="31"/>
      <c r="D3043" s="31"/>
      <c r="H3043" s="31"/>
    </row>
    <row r="3044">
      <c r="A3044" s="31"/>
      <c r="C3044" s="31"/>
      <c r="D3044" s="31"/>
      <c r="H3044" s="31"/>
    </row>
    <row r="3045">
      <c r="A3045" s="31"/>
      <c r="C3045" s="31"/>
      <c r="D3045" s="31"/>
      <c r="H3045" s="31"/>
    </row>
    <row r="3046">
      <c r="A3046" s="31"/>
      <c r="C3046" s="31"/>
      <c r="D3046" s="31"/>
      <c r="H3046" s="31"/>
    </row>
    <row r="3047">
      <c r="A3047" s="31"/>
      <c r="C3047" s="31"/>
      <c r="D3047" s="31"/>
      <c r="H3047" s="31"/>
    </row>
    <row r="3048">
      <c r="A3048" s="31"/>
      <c r="C3048" s="31"/>
      <c r="D3048" s="31"/>
      <c r="H3048" s="31"/>
    </row>
    <row r="3049">
      <c r="A3049" s="31"/>
      <c r="C3049" s="31"/>
      <c r="D3049" s="31"/>
      <c r="H3049" s="31"/>
    </row>
    <row r="3050">
      <c r="A3050" s="31"/>
      <c r="C3050" s="31"/>
      <c r="D3050" s="31"/>
      <c r="H3050" s="31"/>
    </row>
    <row r="3051">
      <c r="A3051" s="31"/>
      <c r="C3051" s="31"/>
      <c r="D3051" s="31"/>
      <c r="H3051" s="31"/>
    </row>
    <row r="3052">
      <c r="A3052" s="31"/>
      <c r="C3052" s="31"/>
      <c r="D3052" s="31"/>
      <c r="H3052" s="31"/>
    </row>
    <row r="3053">
      <c r="A3053" s="31"/>
      <c r="C3053" s="31"/>
      <c r="D3053" s="31"/>
      <c r="H3053" s="31"/>
    </row>
    <row r="3054">
      <c r="A3054" s="31"/>
      <c r="C3054" s="31"/>
      <c r="D3054" s="31"/>
      <c r="H3054" s="31"/>
    </row>
    <row r="3055">
      <c r="A3055" s="31"/>
      <c r="C3055" s="31"/>
      <c r="D3055" s="31"/>
      <c r="H3055" s="31"/>
    </row>
    <row r="3056">
      <c r="A3056" s="31"/>
      <c r="C3056" s="31"/>
      <c r="D3056" s="31"/>
      <c r="H3056" s="31"/>
    </row>
    <row r="3057">
      <c r="A3057" s="31"/>
      <c r="C3057" s="31"/>
      <c r="D3057" s="31"/>
      <c r="H3057" s="31"/>
    </row>
    <row r="3058">
      <c r="A3058" s="31"/>
      <c r="C3058" s="31"/>
      <c r="D3058" s="31"/>
      <c r="H3058" s="31"/>
    </row>
    <row r="3059">
      <c r="A3059" s="31"/>
      <c r="C3059" s="31"/>
      <c r="D3059" s="31"/>
      <c r="H3059" s="31"/>
    </row>
    <row r="3060">
      <c r="A3060" s="31"/>
      <c r="C3060" s="31"/>
      <c r="D3060" s="31"/>
      <c r="H3060" s="31"/>
    </row>
    <row r="3061">
      <c r="A3061" s="31"/>
      <c r="C3061" s="31"/>
      <c r="D3061" s="31"/>
      <c r="H3061" s="31"/>
    </row>
    <row r="3062">
      <c r="A3062" s="31"/>
      <c r="C3062" s="31"/>
      <c r="D3062" s="31"/>
      <c r="H3062" s="31"/>
    </row>
    <row r="3063">
      <c r="A3063" s="31"/>
      <c r="C3063" s="31"/>
      <c r="D3063" s="31"/>
      <c r="H3063" s="31"/>
    </row>
    <row r="3064">
      <c r="A3064" s="31"/>
      <c r="C3064" s="31"/>
      <c r="D3064" s="31"/>
      <c r="H3064" s="31"/>
    </row>
    <row r="3065">
      <c r="A3065" s="31"/>
      <c r="C3065" s="31"/>
      <c r="D3065" s="31"/>
      <c r="H3065" s="31"/>
    </row>
    <row r="3066">
      <c r="A3066" s="31"/>
      <c r="C3066" s="31"/>
      <c r="D3066" s="31"/>
      <c r="H3066" s="31"/>
    </row>
    <row r="3067">
      <c r="A3067" s="31"/>
      <c r="C3067" s="31"/>
      <c r="D3067" s="31"/>
      <c r="H3067" s="31"/>
    </row>
    <row r="3068">
      <c r="A3068" s="31"/>
      <c r="C3068" s="31"/>
      <c r="D3068" s="31"/>
      <c r="H3068" s="31"/>
    </row>
    <row r="3069">
      <c r="A3069" s="31"/>
      <c r="C3069" s="31"/>
      <c r="D3069" s="31"/>
      <c r="H3069" s="31"/>
    </row>
    <row r="3070">
      <c r="A3070" s="31"/>
      <c r="C3070" s="31"/>
      <c r="D3070" s="31"/>
      <c r="H3070" s="31"/>
    </row>
    <row r="3071">
      <c r="A3071" s="31"/>
      <c r="C3071" s="31"/>
      <c r="D3071" s="31"/>
      <c r="H3071" s="31"/>
    </row>
    <row r="3072">
      <c r="A3072" s="31"/>
      <c r="C3072" s="31"/>
      <c r="D3072" s="31"/>
      <c r="H3072" s="31"/>
    </row>
    <row r="3073">
      <c r="A3073" s="31"/>
      <c r="C3073" s="31"/>
      <c r="D3073" s="31"/>
      <c r="H3073" s="31"/>
    </row>
    <row r="3074">
      <c r="A3074" s="31"/>
      <c r="C3074" s="31"/>
      <c r="D3074" s="31"/>
      <c r="H3074" s="31"/>
    </row>
    <row r="3075">
      <c r="A3075" s="31"/>
      <c r="C3075" s="31"/>
      <c r="D3075" s="31"/>
      <c r="H3075" s="31"/>
    </row>
    <row r="3076">
      <c r="A3076" s="31"/>
      <c r="C3076" s="31"/>
      <c r="D3076" s="31"/>
      <c r="H3076" s="31"/>
    </row>
    <row r="3077">
      <c r="A3077" s="31"/>
      <c r="C3077" s="31"/>
      <c r="D3077" s="31"/>
      <c r="H3077" s="31"/>
    </row>
    <row r="3078">
      <c r="A3078" s="31"/>
      <c r="C3078" s="31"/>
      <c r="D3078" s="31"/>
      <c r="H3078" s="31"/>
    </row>
    <row r="3079">
      <c r="A3079" s="31"/>
      <c r="C3079" s="31"/>
      <c r="D3079" s="31"/>
      <c r="H3079" s="31"/>
    </row>
    <row r="3080">
      <c r="A3080" s="31"/>
      <c r="C3080" s="31"/>
      <c r="D3080" s="31"/>
      <c r="H3080" s="31"/>
    </row>
    <row r="3081">
      <c r="A3081" s="31"/>
      <c r="C3081" s="31"/>
      <c r="D3081" s="31"/>
      <c r="H3081" s="31"/>
    </row>
    <row r="3082">
      <c r="A3082" s="31"/>
      <c r="C3082" s="31"/>
      <c r="D3082" s="31"/>
      <c r="H3082" s="31"/>
    </row>
    <row r="3083">
      <c r="A3083" s="31"/>
      <c r="C3083" s="31"/>
      <c r="D3083" s="31"/>
      <c r="H3083" s="31"/>
    </row>
    <row r="3084">
      <c r="A3084" s="31"/>
      <c r="C3084" s="31"/>
      <c r="D3084" s="31"/>
      <c r="H3084" s="31"/>
    </row>
    <row r="3085">
      <c r="A3085" s="31"/>
      <c r="C3085" s="31"/>
      <c r="D3085" s="31"/>
      <c r="H3085" s="31"/>
    </row>
    <row r="3086">
      <c r="A3086" s="31"/>
      <c r="C3086" s="31"/>
      <c r="D3086" s="31"/>
      <c r="H3086" s="31"/>
    </row>
    <row r="3087">
      <c r="A3087" s="31"/>
      <c r="C3087" s="31"/>
      <c r="D3087" s="31"/>
      <c r="H3087" s="31"/>
    </row>
    <row r="3088">
      <c r="A3088" s="31"/>
      <c r="C3088" s="31"/>
      <c r="D3088" s="31"/>
      <c r="H3088" s="31"/>
    </row>
    <row r="3089">
      <c r="A3089" s="31"/>
      <c r="C3089" s="31"/>
      <c r="D3089" s="31"/>
      <c r="H3089" s="31"/>
    </row>
    <row r="3090">
      <c r="A3090" s="31"/>
      <c r="C3090" s="31"/>
      <c r="D3090" s="31"/>
      <c r="H3090" s="31"/>
    </row>
    <row r="3091">
      <c r="A3091" s="31"/>
      <c r="C3091" s="31"/>
      <c r="D3091" s="31"/>
      <c r="H3091" s="31"/>
    </row>
    <row r="3092">
      <c r="A3092" s="31"/>
      <c r="C3092" s="31"/>
      <c r="D3092" s="31"/>
      <c r="H3092" s="31"/>
    </row>
    <row r="3093">
      <c r="A3093" s="31"/>
      <c r="C3093" s="31"/>
      <c r="D3093" s="31"/>
      <c r="H3093" s="31"/>
    </row>
    <row r="3094">
      <c r="A3094" s="31"/>
      <c r="C3094" s="31"/>
      <c r="D3094" s="31"/>
      <c r="H3094" s="31"/>
    </row>
    <row r="3095">
      <c r="A3095" s="31"/>
      <c r="C3095" s="31"/>
      <c r="D3095" s="31"/>
      <c r="H3095" s="31"/>
    </row>
    <row r="3096">
      <c r="A3096" s="31"/>
      <c r="C3096" s="31"/>
      <c r="D3096" s="31"/>
      <c r="H3096" s="31"/>
    </row>
    <row r="3097">
      <c r="A3097" s="31"/>
      <c r="C3097" s="31"/>
      <c r="D3097" s="31"/>
      <c r="H3097" s="31"/>
    </row>
    <row r="3098">
      <c r="A3098" s="31"/>
      <c r="C3098" s="31"/>
      <c r="D3098" s="31"/>
      <c r="H3098" s="31"/>
    </row>
    <row r="3099">
      <c r="A3099" s="31"/>
      <c r="C3099" s="31"/>
      <c r="D3099" s="31"/>
      <c r="H3099" s="31"/>
    </row>
    <row r="3100">
      <c r="A3100" s="31"/>
      <c r="C3100" s="31"/>
      <c r="D3100" s="31"/>
      <c r="H3100" s="31"/>
    </row>
    <row r="3101">
      <c r="A3101" s="31"/>
      <c r="C3101" s="31"/>
      <c r="D3101" s="31"/>
      <c r="H3101" s="31"/>
    </row>
    <row r="3102">
      <c r="A3102" s="31"/>
      <c r="C3102" s="31"/>
      <c r="D3102" s="31"/>
      <c r="H3102" s="31"/>
    </row>
    <row r="3103">
      <c r="A3103" s="31"/>
      <c r="C3103" s="31"/>
      <c r="D3103" s="31"/>
      <c r="H3103" s="31"/>
    </row>
    <row r="3104">
      <c r="A3104" s="31"/>
      <c r="C3104" s="31"/>
      <c r="D3104" s="31"/>
      <c r="H3104" s="31"/>
    </row>
    <row r="3105">
      <c r="A3105" s="31"/>
      <c r="C3105" s="31"/>
      <c r="D3105" s="31"/>
      <c r="H3105" s="31"/>
    </row>
    <row r="3106">
      <c r="A3106" s="31"/>
      <c r="C3106" s="31"/>
      <c r="D3106" s="31"/>
      <c r="H3106" s="31"/>
    </row>
    <row r="3107">
      <c r="A3107" s="31"/>
      <c r="C3107" s="31"/>
      <c r="D3107" s="31"/>
      <c r="H3107" s="31"/>
    </row>
    <row r="3108">
      <c r="A3108" s="31"/>
      <c r="C3108" s="31"/>
      <c r="D3108" s="31"/>
      <c r="H3108" s="31"/>
    </row>
    <row r="3109">
      <c r="A3109" s="31"/>
      <c r="C3109" s="31"/>
      <c r="D3109" s="31"/>
      <c r="H3109" s="31"/>
    </row>
    <row r="3110">
      <c r="A3110" s="31"/>
      <c r="C3110" s="31"/>
      <c r="D3110" s="31"/>
      <c r="H3110" s="31"/>
    </row>
    <row r="3111">
      <c r="A3111" s="31"/>
      <c r="C3111" s="31"/>
      <c r="D3111" s="31"/>
      <c r="H3111" s="31"/>
    </row>
    <row r="3112">
      <c r="A3112" s="31"/>
      <c r="C3112" s="31"/>
      <c r="D3112" s="31"/>
      <c r="H3112" s="31"/>
    </row>
    <row r="3113">
      <c r="A3113" s="31"/>
      <c r="C3113" s="31"/>
      <c r="D3113" s="31"/>
      <c r="H3113" s="31"/>
    </row>
    <row r="3114">
      <c r="A3114" s="31"/>
      <c r="C3114" s="31"/>
      <c r="D3114" s="31"/>
      <c r="H3114" s="31"/>
    </row>
    <row r="3115">
      <c r="A3115" s="31"/>
      <c r="C3115" s="31"/>
      <c r="D3115" s="31"/>
      <c r="H3115" s="31"/>
    </row>
    <row r="3116">
      <c r="A3116" s="31"/>
      <c r="C3116" s="31"/>
      <c r="D3116" s="31"/>
      <c r="H3116" s="31"/>
    </row>
    <row r="3117">
      <c r="A3117" s="31"/>
      <c r="C3117" s="31"/>
      <c r="D3117" s="31"/>
      <c r="H3117" s="31"/>
    </row>
    <row r="3118">
      <c r="A3118" s="31"/>
      <c r="C3118" s="31"/>
      <c r="D3118" s="31"/>
      <c r="H3118" s="31"/>
    </row>
    <row r="3119">
      <c r="A3119" s="31"/>
      <c r="C3119" s="31"/>
      <c r="D3119" s="31"/>
      <c r="H3119" s="31"/>
    </row>
    <row r="3120">
      <c r="A3120" s="31"/>
      <c r="C3120" s="31"/>
      <c r="D3120" s="31"/>
      <c r="H3120" s="31"/>
    </row>
    <row r="3121">
      <c r="A3121" s="31"/>
      <c r="C3121" s="31"/>
      <c r="D3121" s="31"/>
      <c r="H3121" s="31"/>
    </row>
    <row r="3122">
      <c r="A3122" s="31"/>
      <c r="C3122" s="31"/>
      <c r="D3122" s="31"/>
      <c r="H3122" s="31"/>
    </row>
    <row r="3123">
      <c r="A3123" s="31"/>
      <c r="C3123" s="31"/>
      <c r="D3123" s="31"/>
      <c r="H3123" s="31"/>
    </row>
    <row r="3124">
      <c r="A3124" s="31"/>
      <c r="C3124" s="31"/>
      <c r="D3124" s="31"/>
      <c r="H3124" s="31"/>
    </row>
    <row r="3125">
      <c r="A3125" s="31"/>
      <c r="C3125" s="31"/>
      <c r="D3125" s="31"/>
      <c r="H3125" s="31"/>
    </row>
    <row r="3126">
      <c r="A3126" s="31"/>
      <c r="C3126" s="31"/>
      <c r="D3126" s="31"/>
      <c r="H3126" s="31"/>
    </row>
    <row r="3127">
      <c r="A3127" s="31"/>
      <c r="C3127" s="31"/>
      <c r="D3127" s="31"/>
      <c r="H3127" s="31"/>
    </row>
    <row r="3128">
      <c r="A3128" s="31"/>
      <c r="C3128" s="31"/>
      <c r="D3128" s="31"/>
      <c r="H3128" s="31"/>
    </row>
    <row r="3129">
      <c r="A3129" s="31"/>
      <c r="C3129" s="31"/>
      <c r="D3129" s="31"/>
      <c r="H3129" s="31"/>
    </row>
    <row r="3130">
      <c r="A3130" s="31"/>
      <c r="C3130" s="31"/>
      <c r="D3130" s="31"/>
      <c r="H3130" s="31"/>
    </row>
    <row r="3131">
      <c r="A3131" s="31"/>
      <c r="C3131" s="31"/>
      <c r="D3131" s="31"/>
      <c r="H3131" s="31"/>
    </row>
    <row r="3132">
      <c r="A3132" s="31"/>
      <c r="C3132" s="31"/>
      <c r="D3132" s="31"/>
      <c r="H3132" s="31"/>
    </row>
    <row r="3133">
      <c r="A3133" s="31"/>
      <c r="C3133" s="31"/>
      <c r="D3133" s="31"/>
      <c r="H3133" s="31"/>
    </row>
    <row r="3134">
      <c r="A3134" s="31"/>
      <c r="C3134" s="31"/>
      <c r="D3134" s="31"/>
      <c r="H3134" s="31"/>
    </row>
    <row r="3135">
      <c r="A3135" s="31"/>
      <c r="C3135" s="31"/>
      <c r="D3135" s="31"/>
      <c r="H3135" s="31"/>
    </row>
    <row r="3136">
      <c r="A3136" s="31"/>
      <c r="C3136" s="31"/>
      <c r="D3136" s="31"/>
      <c r="H3136" s="31"/>
    </row>
    <row r="3137">
      <c r="A3137" s="31"/>
      <c r="C3137" s="31"/>
      <c r="D3137" s="31"/>
      <c r="H3137" s="31"/>
    </row>
    <row r="3138">
      <c r="A3138" s="31"/>
      <c r="C3138" s="31"/>
      <c r="D3138" s="31"/>
      <c r="H3138" s="31"/>
    </row>
    <row r="3139">
      <c r="A3139" s="31"/>
      <c r="C3139" s="31"/>
      <c r="D3139" s="31"/>
      <c r="H3139" s="31"/>
    </row>
    <row r="3140">
      <c r="A3140" s="31"/>
      <c r="C3140" s="31"/>
      <c r="D3140" s="31"/>
      <c r="H3140" s="31"/>
    </row>
    <row r="3141">
      <c r="A3141" s="31"/>
      <c r="C3141" s="31"/>
      <c r="D3141" s="31"/>
      <c r="H3141" s="31"/>
    </row>
    <row r="3142">
      <c r="A3142" s="31"/>
      <c r="C3142" s="31"/>
      <c r="D3142" s="31"/>
      <c r="H3142" s="31"/>
    </row>
    <row r="3143">
      <c r="A3143" s="31"/>
      <c r="C3143" s="31"/>
      <c r="D3143" s="31"/>
      <c r="H3143" s="31"/>
    </row>
    <row r="3144">
      <c r="A3144" s="31"/>
      <c r="C3144" s="31"/>
      <c r="D3144" s="31"/>
      <c r="H3144" s="31"/>
    </row>
    <row r="3145">
      <c r="A3145" s="31"/>
      <c r="C3145" s="31"/>
      <c r="D3145" s="31"/>
      <c r="H3145" s="31"/>
    </row>
    <row r="3146">
      <c r="A3146" s="31"/>
      <c r="C3146" s="31"/>
      <c r="D3146" s="31"/>
      <c r="H3146" s="31"/>
    </row>
    <row r="3147">
      <c r="A3147" s="31"/>
      <c r="C3147" s="31"/>
      <c r="D3147" s="31"/>
      <c r="H3147" s="31"/>
    </row>
    <row r="3148">
      <c r="A3148" s="31"/>
      <c r="C3148" s="31"/>
      <c r="D3148" s="31"/>
      <c r="H3148" s="31"/>
    </row>
    <row r="3149">
      <c r="A3149" s="31"/>
      <c r="C3149" s="31"/>
      <c r="D3149" s="31"/>
      <c r="H3149" s="31"/>
    </row>
    <row r="3150">
      <c r="A3150" s="31"/>
      <c r="C3150" s="31"/>
      <c r="D3150" s="31"/>
      <c r="H3150" s="31"/>
    </row>
    <row r="3151">
      <c r="A3151" s="31"/>
      <c r="C3151" s="31"/>
      <c r="D3151" s="31"/>
      <c r="H3151" s="31"/>
    </row>
    <row r="3152">
      <c r="A3152" s="31"/>
      <c r="C3152" s="31"/>
      <c r="D3152" s="31"/>
      <c r="H3152" s="31"/>
    </row>
    <row r="3153">
      <c r="A3153" s="31"/>
      <c r="C3153" s="31"/>
      <c r="D3153" s="31"/>
      <c r="H3153" s="31"/>
    </row>
    <row r="3154">
      <c r="A3154" s="31"/>
      <c r="C3154" s="31"/>
      <c r="D3154" s="31"/>
      <c r="H3154" s="31"/>
    </row>
    <row r="3155">
      <c r="A3155" s="31"/>
      <c r="C3155" s="31"/>
      <c r="D3155" s="31"/>
      <c r="H3155" s="31"/>
    </row>
    <row r="3156">
      <c r="A3156" s="31"/>
      <c r="C3156" s="31"/>
      <c r="D3156" s="31"/>
      <c r="H3156" s="31"/>
    </row>
    <row r="3157">
      <c r="A3157" s="31"/>
      <c r="C3157" s="31"/>
      <c r="D3157" s="31"/>
      <c r="H3157" s="31"/>
    </row>
    <row r="3158">
      <c r="A3158" s="31"/>
      <c r="C3158" s="31"/>
      <c r="D3158" s="31"/>
      <c r="H3158" s="31"/>
    </row>
    <row r="3159">
      <c r="A3159" s="31"/>
      <c r="C3159" s="31"/>
      <c r="D3159" s="31"/>
      <c r="H3159" s="31"/>
    </row>
    <row r="3160">
      <c r="A3160" s="31"/>
      <c r="C3160" s="31"/>
      <c r="D3160" s="31"/>
      <c r="H3160" s="31"/>
    </row>
    <row r="3161">
      <c r="A3161" s="31"/>
      <c r="C3161" s="31"/>
      <c r="D3161" s="31"/>
      <c r="H3161" s="31"/>
    </row>
    <row r="3162">
      <c r="A3162" s="31"/>
      <c r="C3162" s="31"/>
      <c r="D3162" s="31"/>
      <c r="H3162" s="31"/>
    </row>
    <row r="3163">
      <c r="A3163" s="31"/>
      <c r="C3163" s="31"/>
      <c r="D3163" s="31"/>
      <c r="H3163" s="31"/>
    </row>
    <row r="3164">
      <c r="A3164" s="31"/>
      <c r="C3164" s="31"/>
      <c r="D3164" s="31"/>
      <c r="H3164" s="31"/>
    </row>
    <row r="3165">
      <c r="A3165" s="31"/>
      <c r="C3165" s="31"/>
      <c r="D3165" s="31"/>
      <c r="H3165" s="31"/>
    </row>
    <row r="3166">
      <c r="A3166" s="31"/>
      <c r="C3166" s="31"/>
      <c r="D3166" s="31"/>
      <c r="H3166" s="31"/>
    </row>
    <row r="3167">
      <c r="A3167" s="31"/>
      <c r="C3167" s="31"/>
      <c r="D3167" s="31"/>
      <c r="H3167" s="31"/>
    </row>
    <row r="3168">
      <c r="A3168" s="31"/>
      <c r="C3168" s="31"/>
      <c r="D3168" s="31"/>
      <c r="H3168" s="31"/>
    </row>
    <row r="3169">
      <c r="A3169" s="31"/>
      <c r="C3169" s="31"/>
      <c r="D3169" s="31"/>
      <c r="H3169" s="31"/>
    </row>
    <row r="3170">
      <c r="A3170" s="31"/>
      <c r="C3170" s="31"/>
      <c r="D3170" s="31"/>
      <c r="H3170" s="31"/>
    </row>
    <row r="3171">
      <c r="A3171" s="31"/>
      <c r="C3171" s="31"/>
      <c r="D3171" s="31"/>
      <c r="H3171" s="31"/>
    </row>
    <row r="3172">
      <c r="A3172" s="31"/>
      <c r="C3172" s="31"/>
      <c r="D3172" s="31"/>
      <c r="H3172" s="31"/>
    </row>
    <row r="3173">
      <c r="A3173" s="31"/>
      <c r="C3173" s="31"/>
      <c r="D3173" s="31"/>
      <c r="H3173" s="31"/>
    </row>
    <row r="3174">
      <c r="A3174" s="31"/>
      <c r="C3174" s="31"/>
      <c r="D3174" s="31"/>
      <c r="H3174" s="31"/>
    </row>
    <row r="3175">
      <c r="A3175" s="31"/>
      <c r="C3175" s="31"/>
      <c r="D3175" s="31"/>
      <c r="H3175" s="31"/>
    </row>
    <row r="3176">
      <c r="A3176" s="31"/>
      <c r="C3176" s="31"/>
      <c r="D3176" s="31"/>
      <c r="H3176" s="31"/>
    </row>
    <row r="3177">
      <c r="A3177" s="31"/>
      <c r="C3177" s="31"/>
      <c r="D3177" s="31"/>
      <c r="H3177" s="31"/>
    </row>
    <row r="3178">
      <c r="A3178" s="31"/>
      <c r="C3178" s="31"/>
      <c r="D3178" s="31"/>
      <c r="H3178" s="31"/>
    </row>
    <row r="3179">
      <c r="A3179" s="31"/>
      <c r="C3179" s="31"/>
      <c r="D3179" s="31"/>
      <c r="H3179" s="31"/>
    </row>
    <row r="3180">
      <c r="A3180" s="31"/>
      <c r="C3180" s="31"/>
      <c r="D3180" s="31"/>
      <c r="H3180" s="31"/>
    </row>
    <row r="3181">
      <c r="A3181" s="31"/>
      <c r="C3181" s="31"/>
      <c r="D3181" s="31"/>
      <c r="H3181" s="31"/>
    </row>
    <row r="3182">
      <c r="A3182" s="31"/>
      <c r="C3182" s="31"/>
      <c r="D3182" s="31"/>
      <c r="H3182" s="31"/>
    </row>
    <row r="3183">
      <c r="A3183" s="31"/>
      <c r="C3183" s="31"/>
      <c r="D3183" s="31"/>
      <c r="H3183" s="31"/>
    </row>
    <row r="3184">
      <c r="A3184" s="31"/>
      <c r="C3184" s="31"/>
      <c r="D3184" s="31"/>
      <c r="H3184" s="31"/>
    </row>
    <row r="3185">
      <c r="A3185" s="31"/>
      <c r="C3185" s="31"/>
      <c r="D3185" s="31"/>
      <c r="H3185" s="31"/>
    </row>
    <row r="3186">
      <c r="A3186" s="31"/>
      <c r="C3186" s="31"/>
      <c r="D3186" s="31"/>
      <c r="H3186" s="31"/>
    </row>
    <row r="3187">
      <c r="A3187" s="31"/>
      <c r="C3187" s="31"/>
      <c r="D3187" s="31"/>
      <c r="H3187" s="31"/>
    </row>
    <row r="3188">
      <c r="A3188" s="31"/>
      <c r="C3188" s="31"/>
      <c r="D3188" s="31"/>
      <c r="H3188" s="31"/>
    </row>
    <row r="3189">
      <c r="A3189" s="31"/>
      <c r="C3189" s="31"/>
      <c r="D3189" s="31"/>
      <c r="H3189" s="31"/>
    </row>
    <row r="3190">
      <c r="A3190" s="31"/>
      <c r="C3190" s="31"/>
      <c r="D3190" s="31"/>
      <c r="H3190" s="31"/>
    </row>
    <row r="3191">
      <c r="A3191" s="31"/>
      <c r="C3191" s="31"/>
      <c r="D3191" s="31"/>
      <c r="H3191" s="31"/>
    </row>
    <row r="3192">
      <c r="A3192" s="31"/>
      <c r="C3192" s="31"/>
      <c r="D3192" s="31"/>
      <c r="H3192" s="31"/>
    </row>
    <row r="3193">
      <c r="A3193" s="31"/>
      <c r="C3193" s="31"/>
      <c r="D3193" s="31"/>
      <c r="H3193" s="31"/>
    </row>
    <row r="3194">
      <c r="A3194" s="31"/>
      <c r="C3194" s="31"/>
      <c r="D3194" s="31"/>
      <c r="H3194" s="31"/>
    </row>
    <row r="3195">
      <c r="A3195" s="31"/>
      <c r="C3195" s="31"/>
      <c r="D3195" s="31"/>
      <c r="H3195" s="31"/>
    </row>
    <row r="3196">
      <c r="A3196" s="31"/>
      <c r="C3196" s="31"/>
      <c r="D3196" s="31"/>
      <c r="H3196" s="31"/>
    </row>
    <row r="3197">
      <c r="A3197" s="31"/>
      <c r="C3197" s="31"/>
      <c r="D3197" s="31"/>
      <c r="H3197" s="31"/>
    </row>
    <row r="3198">
      <c r="A3198" s="31"/>
      <c r="C3198" s="31"/>
      <c r="D3198" s="31"/>
      <c r="H3198" s="31"/>
    </row>
    <row r="3199">
      <c r="A3199" s="31"/>
      <c r="C3199" s="31"/>
      <c r="D3199" s="31"/>
      <c r="H3199" s="31"/>
    </row>
    <row r="3200">
      <c r="A3200" s="31"/>
      <c r="C3200" s="31"/>
      <c r="D3200" s="31"/>
      <c r="H3200" s="31"/>
    </row>
    <row r="3201">
      <c r="A3201" s="31"/>
      <c r="C3201" s="31"/>
      <c r="D3201" s="31"/>
      <c r="H3201" s="31"/>
    </row>
    <row r="3202">
      <c r="A3202" s="31"/>
      <c r="C3202" s="31"/>
      <c r="D3202" s="31"/>
      <c r="H3202" s="31"/>
    </row>
    <row r="3203">
      <c r="A3203" s="31"/>
      <c r="C3203" s="31"/>
      <c r="D3203" s="31"/>
      <c r="H3203" s="31"/>
    </row>
    <row r="3204">
      <c r="A3204" s="31"/>
      <c r="C3204" s="31"/>
      <c r="D3204" s="31"/>
      <c r="H3204" s="31"/>
    </row>
    <row r="3205">
      <c r="A3205" s="31"/>
      <c r="C3205" s="31"/>
      <c r="D3205" s="31"/>
      <c r="H3205" s="31"/>
    </row>
    <row r="3206">
      <c r="A3206" s="31"/>
      <c r="C3206" s="31"/>
      <c r="D3206" s="31"/>
      <c r="H3206" s="31"/>
    </row>
    <row r="3207">
      <c r="A3207" s="31"/>
      <c r="C3207" s="31"/>
      <c r="D3207" s="31"/>
      <c r="H3207" s="31"/>
    </row>
    <row r="3208">
      <c r="A3208" s="31"/>
      <c r="C3208" s="31"/>
      <c r="D3208" s="31"/>
      <c r="H3208" s="31"/>
    </row>
    <row r="3209">
      <c r="A3209" s="31"/>
      <c r="C3209" s="31"/>
      <c r="D3209" s="31"/>
      <c r="H3209" s="31"/>
    </row>
    <row r="3210">
      <c r="A3210" s="31"/>
      <c r="C3210" s="31"/>
      <c r="D3210" s="31"/>
      <c r="H3210" s="31"/>
    </row>
    <row r="3211">
      <c r="A3211" s="31"/>
      <c r="C3211" s="31"/>
      <c r="D3211" s="31"/>
      <c r="H3211" s="31"/>
    </row>
    <row r="3212">
      <c r="A3212" s="31"/>
      <c r="C3212" s="31"/>
      <c r="D3212" s="31"/>
      <c r="H3212" s="31"/>
    </row>
    <row r="3213">
      <c r="A3213" s="31"/>
      <c r="C3213" s="31"/>
      <c r="D3213" s="31"/>
      <c r="H3213" s="31"/>
    </row>
    <row r="3214">
      <c r="A3214" s="31"/>
      <c r="C3214" s="31"/>
      <c r="D3214" s="31"/>
      <c r="H3214" s="31"/>
    </row>
    <row r="3215">
      <c r="A3215" s="31"/>
      <c r="C3215" s="31"/>
      <c r="D3215" s="31"/>
      <c r="H3215" s="31"/>
    </row>
    <row r="3216">
      <c r="A3216" s="31"/>
      <c r="C3216" s="31"/>
      <c r="D3216" s="31"/>
      <c r="H3216" s="31"/>
    </row>
    <row r="3217">
      <c r="A3217" s="31"/>
      <c r="C3217" s="31"/>
      <c r="D3217" s="31"/>
      <c r="H3217" s="31"/>
    </row>
    <row r="3218">
      <c r="A3218" s="31"/>
      <c r="C3218" s="31"/>
      <c r="D3218" s="31"/>
      <c r="H3218" s="31"/>
    </row>
    <row r="3219">
      <c r="A3219" s="31"/>
      <c r="C3219" s="31"/>
      <c r="D3219" s="31"/>
      <c r="H3219" s="31"/>
    </row>
    <row r="3220">
      <c r="A3220" s="31"/>
      <c r="C3220" s="31"/>
      <c r="D3220" s="31"/>
      <c r="H3220" s="31"/>
    </row>
    <row r="3221">
      <c r="A3221" s="31"/>
      <c r="C3221" s="31"/>
      <c r="D3221" s="31"/>
      <c r="H3221" s="31"/>
    </row>
    <row r="3222">
      <c r="A3222" s="31"/>
      <c r="C3222" s="31"/>
      <c r="D3222" s="31"/>
      <c r="H3222" s="31"/>
    </row>
    <row r="3223">
      <c r="A3223" s="31"/>
      <c r="C3223" s="31"/>
      <c r="D3223" s="31"/>
      <c r="H3223" s="31"/>
    </row>
    <row r="3224">
      <c r="A3224" s="31"/>
      <c r="C3224" s="31"/>
      <c r="D3224" s="31"/>
      <c r="H3224" s="31"/>
    </row>
    <row r="3225">
      <c r="A3225" s="31"/>
      <c r="C3225" s="31"/>
      <c r="D3225" s="31"/>
      <c r="H3225" s="31"/>
    </row>
    <row r="3226">
      <c r="A3226" s="31"/>
      <c r="C3226" s="31"/>
      <c r="D3226" s="31"/>
      <c r="H3226" s="31"/>
    </row>
    <row r="3227">
      <c r="A3227" s="31"/>
      <c r="C3227" s="31"/>
      <c r="D3227" s="31"/>
      <c r="H3227" s="31"/>
    </row>
    <row r="3228">
      <c r="A3228" s="31"/>
      <c r="C3228" s="31"/>
      <c r="D3228" s="31"/>
      <c r="H3228" s="31"/>
    </row>
    <row r="3229">
      <c r="A3229" s="31"/>
      <c r="C3229" s="31"/>
      <c r="D3229" s="31"/>
      <c r="H3229" s="31"/>
    </row>
    <row r="3230">
      <c r="A3230" s="31"/>
      <c r="C3230" s="31"/>
      <c r="D3230" s="31"/>
      <c r="H3230" s="31"/>
    </row>
    <row r="3231">
      <c r="A3231" s="31"/>
      <c r="C3231" s="31"/>
      <c r="D3231" s="31"/>
      <c r="H3231" s="31"/>
    </row>
    <row r="3232">
      <c r="A3232" s="31"/>
      <c r="C3232" s="31"/>
      <c r="D3232" s="31"/>
      <c r="H3232" s="31"/>
    </row>
    <row r="3233">
      <c r="A3233" s="31"/>
      <c r="C3233" s="31"/>
      <c r="D3233" s="31"/>
      <c r="H3233" s="31"/>
    </row>
    <row r="3234">
      <c r="A3234" s="31"/>
      <c r="C3234" s="31"/>
      <c r="D3234" s="31"/>
      <c r="H3234" s="31"/>
    </row>
    <row r="3235">
      <c r="A3235" s="31"/>
      <c r="C3235" s="31"/>
      <c r="D3235" s="31"/>
      <c r="H3235" s="31"/>
    </row>
    <row r="3236">
      <c r="A3236" s="31"/>
      <c r="C3236" s="31"/>
      <c r="D3236" s="31"/>
      <c r="H3236" s="31"/>
    </row>
    <row r="3237">
      <c r="A3237" s="31"/>
      <c r="C3237" s="31"/>
      <c r="D3237" s="31"/>
      <c r="H3237" s="31"/>
    </row>
    <row r="3238">
      <c r="A3238" s="31"/>
      <c r="C3238" s="31"/>
      <c r="D3238" s="31"/>
      <c r="H3238" s="31"/>
    </row>
    <row r="3239">
      <c r="A3239" s="31"/>
      <c r="C3239" s="31"/>
      <c r="D3239" s="31"/>
      <c r="H3239" s="31"/>
    </row>
    <row r="3240">
      <c r="A3240" s="31"/>
      <c r="C3240" s="31"/>
      <c r="D3240" s="31"/>
      <c r="H3240" s="31"/>
    </row>
    <row r="3241">
      <c r="A3241" s="31"/>
      <c r="C3241" s="31"/>
      <c r="D3241" s="31"/>
      <c r="H3241" s="31"/>
    </row>
    <row r="3242">
      <c r="A3242" s="31"/>
      <c r="C3242" s="31"/>
      <c r="D3242" s="31"/>
      <c r="H3242" s="31"/>
    </row>
    <row r="3243">
      <c r="A3243" s="31"/>
      <c r="C3243" s="31"/>
      <c r="D3243" s="31"/>
      <c r="H3243" s="31"/>
    </row>
    <row r="3244">
      <c r="A3244" s="31"/>
      <c r="C3244" s="31"/>
      <c r="D3244" s="31"/>
      <c r="H3244" s="31"/>
    </row>
    <row r="3245">
      <c r="A3245" s="31"/>
      <c r="C3245" s="31"/>
      <c r="D3245" s="31"/>
      <c r="H3245" s="31"/>
    </row>
    <row r="3246">
      <c r="A3246" s="31"/>
      <c r="C3246" s="31"/>
      <c r="D3246" s="31"/>
      <c r="H3246" s="31"/>
    </row>
    <row r="3247">
      <c r="A3247" s="31"/>
      <c r="C3247" s="31"/>
      <c r="D3247" s="31"/>
      <c r="H3247" s="31"/>
    </row>
    <row r="3248">
      <c r="A3248" s="31"/>
      <c r="C3248" s="31"/>
      <c r="D3248" s="31"/>
      <c r="H3248" s="31"/>
    </row>
    <row r="3249">
      <c r="A3249" s="31"/>
      <c r="C3249" s="31"/>
      <c r="D3249" s="31"/>
      <c r="H3249" s="31"/>
    </row>
    <row r="3250">
      <c r="A3250" s="31"/>
      <c r="C3250" s="31"/>
      <c r="D3250" s="31"/>
      <c r="H3250" s="31"/>
    </row>
    <row r="3251">
      <c r="A3251" s="31"/>
      <c r="C3251" s="31"/>
      <c r="D3251" s="31"/>
      <c r="H3251" s="31"/>
    </row>
    <row r="3252">
      <c r="A3252" s="31"/>
      <c r="C3252" s="31"/>
      <c r="D3252" s="31"/>
      <c r="H3252" s="31"/>
    </row>
    <row r="3253">
      <c r="A3253" s="31"/>
      <c r="C3253" s="31"/>
      <c r="D3253" s="31"/>
      <c r="H3253" s="31"/>
    </row>
    <row r="3254">
      <c r="A3254" s="31"/>
      <c r="C3254" s="31"/>
      <c r="D3254" s="31"/>
      <c r="H3254" s="31"/>
    </row>
    <row r="3255">
      <c r="A3255" s="31"/>
      <c r="C3255" s="31"/>
      <c r="D3255" s="31"/>
      <c r="H3255" s="31"/>
    </row>
    <row r="3256">
      <c r="A3256" s="31"/>
      <c r="C3256" s="31"/>
      <c r="D3256" s="31"/>
      <c r="H3256" s="31"/>
    </row>
    <row r="3257">
      <c r="A3257" s="31"/>
      <c r="C3257" s="31"/>
      <c r="D3257" s="31"/>
      <c r="H3257" s="31"/>
    </row>
    <row r="3258">
      <c r="A3258" s="31"/>
      <c r="C3258" s="31"/>
      <c r="D3258" s="31"/>
      <c r="H3258" s="31"/>
    </row>
    <row r="3259">
      <c r="A3259" s="31"/>
      <c r="C3259" s="31"/>
      <c r="D3259" s="31"/>
      <c r="H3259" s="31"/>
    </row>
    <row r="3260">
      <c r="A3260" s="31"/>
      <c r="C3260" s="31"/>
      <c r="D3260" s="31"/>
      <c r="H3260" s="31"/>
    </row>
    <row r="3261">
      <c r="A3261" s="31"/>
      <c r="C3261" s="31"/>
      <c r="D3261" s="31"/>
      <c r="H3261" s="31"/>
    </row>
    <row r="3262">
      <c r="A3262" s="31"/>
      <c r="C3262" s="31"/>
      <c r="D3262" s="31"/>
      <c r="H3262" s="31"/>
    </row>
    <row r="3263">
      <c r="A3263" s="31"/>
      <c r="C3263" s="31"/>
      <c r="D3263" s="31"/>
      <c r="H3263" s="31"/>
    </row>
    <row r="3264">
      <c r="A3264" s="31"/>
      <c r="C3264" s="31"/>
      <c r="D3264" s="31"/>
      <c r="H3264" s="31"/>
    </row>
    <row r="3265">
      <c r="A3265" s="31"/>
      <c r="C3265" s="31"/>
      <c r="D3265" s="31"/>
      <c r="H3265" s="31"/>
    </row>
    <row r="3266">
      <c r="A3266" s="31"/>
      <c r="C3266" s="31"/>
      <c r="D3266" s="31"/>
      <c r="H3266" s="31"/>
    </row>
    <row r="3267">
      <c r="A3267" s="31"/>
      <c r="C3267" s="31"/>
      <c r="D3267" s="31"/>
      <c r="H3267" s="31"/>
    </row>
    <row r="3268">
      <c r="A3268" s="31"/>
      <c r="C3268" s="31"/>
      <c r="D3268" s="31"/>
      <c r="H3268" s="31"/>
    </row>
    <row r="3269">
      <c r="A3269" s="31"/>
      <c r="C3269" s="31"/>
      <c r="D3269" s="31"/>
      <c r="H3269" s="31"/>
    </row>
    <row r="3270">
      <c r="A3270" s="31"/>
      <c r="C3270" s="31"/>
      <c r="D3270" s="31"/>
      <c r="H3270" s="31"/>
    </row>
    <row r="3271">
      <c r="A3271" s="31"/>
      <c r="C3271" s="31"/>
      <c r="D3271" s="31"/>
      <c r="H3271" s="31"/>
    </row>
    <row r="3272">
      <c r="A3272" s="31"/>
      <c r="C3272" s="31"/>
      <c r="D3272" s="31"/>
      <c r="H3272" s="31"/>
    </row>
    <row r="3273">
      <c r="A3273" s="31"/>
      <c r="C3273" s="31"/>
      <c r="D3273" s="31"/>
      <c r="H3273" s="31"/>
    </row>
    <row r="3274">
      <c r="A3274" s="31"/>
      <c r="C3274" s="31"/>
      <c r="D3274" s="31"/>
      <c r="H3274" s="31"/>
    </row>
    <row r="3275">
      <c r="A3275" s="31"/>
      <c r="C3275" s="31"/>
      <c r="D3275" s="31"/>
      <c r="H3275" s="31"/>
    </row>
    <row r="3276">
      <c r="A3276" s="31"/>
      <c r="C3276" s="31"/>
      <c r="D3276" s="31"/>
      <c r="H3276" s="31"/>
    </row>
    <row r="3277">
      <c r="A3277" s="31"/>
      <c r="C3277" s="31"/>
      <c r="D3277" s="31"/>
      <c r="H3277" s="31"/>
    </row>
    <row r="3278">
      <c r="A3278" s="31"/>
      <c r="C3278" s="31"/>
      <c r="D3278" s="31"/>
      <c r="H3278" s="31"/>
    </row>
    <row r="3279">
      <c r="A3279" s="31"/>
      <c r="C3279" s="31"/>
      <c r="D3279" s="31"/>
      <c r="H3279" s="31"/>
    </row>
    <row r="3280">
      <c r="A3280" s="31"/>
      <c r="C3280" s="31"/>
      <c r="D3280" s="31"/>
      <c r="H3280" s="31"/>
    </row>
    <row r="3281">
      <c r="A3281" s="31"/>
      <c r="C3281" s="31"/>
      <c r="D3281" s="31"/>
      <c r="H3281" s="31"/>
    </row>
    <row r="3282">
      <c r="A3282" s="31"/>
      <c r="C3282" s="31"/>
      <c r="D3282" s="31"/>
      <c r="H3282" s="31"/>
    </row>
    <row r="3283">
      <c r="A3283" s="31"/>
      <c r="C3283" s="31"/>
      <c r="D3283" s="31"/>
      <c r="H3283" s="31"/>
    </row>
    <row r="3284">
      <c r="A3284" s="31"/>
      <c r="C3284" s="31"/>
      <c r="D3284" s="31"/>
      <c r="H3284" s="31"/>
    </row>
    <row r="3285">
      <c r="A3285" s="31"/>
      <c r="C3285" s="31"/>
      <c r="D3285" s="31"/>
      <c r="H3285" s="31"/>
    </row>
    <row r="3286">
      <c r="A3286" s="31"/>
      <c r="C3286" s="31"/>
      <c r="D3286" s="31"/>
      <c r="H3286" s="31"/>
    </row>
    <row r="3287">
      <c r="A3287" s="31"/>
      <c r="C3287" s="31"/>
      <c r="D3287" s="31"/>
      <c r="H3287" s="31"/>
    </row>
    <row r="3288">
      <c r="A3288" s="31"/>
      <c r="C3288" s="31"/>
      <c r="D3288" s="31"/>
      <c r="H3288" s="31"/>
    </row>
    <row r="3289">
      <c r="A3289" s="31"/>
      <c r="C3289" s="31"/>
      <c r="D3289" s="31"/>
      <c r="H3289" s="31"/>
    </row>
    <row r="3290">
      <c r="A3290" s="31"/>
      <c r="C3290" s="31"/>
      <c r="D3290" s="31"/>
      <c r="H3290" s="31"/>
    </row>
    <row r="3291">
      <c r="A3291" s="31"/>
      <c r="C3291" s="31"/>
      <c r="D3291" s="31"/>
      <c r="H3291" s="31"/>
    </row>
    <row r="3292">
      <c r="A3292" s="31"/>
      <c r="C3292" s="31"/>
      <c r="D3292" s="31"/>
      <c r="H3292" s="31"/>
    </row>
    <row r="3293">
      <c r="A3293" s="31"/>
      <c r="C3293" s="31"/>
      <c r="D3293" s="31"/>
      <c r="H3293" s="31"/>
    </row>
    <row r="3294">
      <c r="A3294" s="31"/>
      <c r="C3294" s="31"/>
      <c r="D3294" s="31"/>
      <c r="H3294" s="31"/>
    </row>
    <row r="3295">
      <c r="A3295" s="31"/>
      <c r="C3295" s="31"/>
      <c r="D3295" s="31"/>
      <c r="H3295" s="31"/>
    </row>
    <row r="3296">
      <c r="A3296" s="31"/>
      <c r="C3296" s="31"/>
      <c r="D3296" s="31"/>
      <c r="H3296" s="31"/>
    </row>
    <row r="3297">
      <c r="A3297" s="31"/>
      <c r="C3297" s="31"/>
      <c r="D3297" s="31"/>
      <c r="H3297" s="31"/>
    </row>
    <row r="3298">
      <c r="A3298" s="31"/>
      <c r="C3298" s="31"/>
      <c r="D3298" s="31"/>
      <c r="H3298" s="31"/>
    </row>
    <row r="3299">
      <c r="A3299" s="31"/>
      <c r="C3299" s="31"/>
      <c r="D3299" s="31"/>
      <c r="H3299" s="31"/>
    </row>
    <row r="3300">
      <c r="A3300" s="31"/>
      <c r="C3300" s="31"/>
      <c r="D3300" s="31"/>
      <c r="H3300" s="31"/>
    </row>
    <row r="3301">
      <c r="A3301" s="31"/>
      <c r="C3301" s="31"/>
      <c r="D3301" s="31"/>
      <c r="H3301" s="31"/>
    </row>
    <row r="3302">
      <c r="A3302" s="31"/>
      <c r="C3302" s="31"/>
      <c r="D3302" s="31"/>
      <c r="H3302" s="31"/>
    </row>
    <row r="3303">
      <c r="A3303" s="31"/>
      <c r="C3303" s="31"/>
      <c r="D3303" s="31"/>
      <c r="H3303" s="31"/>
    </row>
    <row r="3304">
      <c r="A3304" s="31"/>
      <c r="C3304" s="31"/>
      <c r="D3304" s="31"/>
      <c r="H3304" s="31"/>
    </row>
    <row r="3305">
      <c r="A3305" s="31"/>
      <c r="C3305" s="31"/>
      <c r="D3305" s="31"/>
      <c r="H3305" s="31"/>
    </row>
    <row r="3306">
      <c r="A3306" s="31"/>
      <c r="C3306" s="31"/>
      <c r="D3306" s="31"/>
      <c r="H3306" s="31"/>
    </row>
    <row r="3307">
      <c r="A3307" s="31"/>
      <c r="C3307" s="31"/>
      <c r="D3307" s="31"/>
      <c r="H3307" s="31"/>
    </row>
    <row r="3308">
      <c r="A3308" s="31"/>
      <c r="C3308" s="31"/>
      <c r="D3308" s="31"/>
      <c r="H3308" s="31"/>
    </row>
    <row r="3309">
      <c r="A3309" s="31"/>
      <c r="C3309" s="31"/>
      <c r="D3309" s="31"/>
      <c r="H3309" s="31"/>
    </row>
    <row r="3310">
      <c r="A3310" s="31"/>
      <c r="C3310" s="31"/>
      <c r="D3310" s="31"/>
      <c r="H3310" s="31"/>
    </row>
    <row r="3311">
      <c r="A3311" s="31"/>
      <c r="C3311" s="31"/>
      <c r="D3311" s="31"/>
      <c r="H3311" s="31"/>
    </row>
    <row r="3312">
      <c r="A3312" s="31"/>
      <c r="C3312" s="31"/>
      <c r="D3312" s="31"/>
      <c r="H3312" s="31"/>
    </row>
    <row r="3313">
      <c r="A3313" s="31"/>
      <c r="C3313" s="31"/>
      <c r="D3313" s="31"/>
      <c r="H3313" s="31"/>
    </row>
    <row r="3314">
      <c r="A3314" s="31"/>
      <c r="C3314" s="31"/>
      <c r="D3314" s="31"/>
      <c r="H3314" s="31"/>
    </row>
    <row r="3315">
      <c r="A3315" s="31"/>
      <c r="C3315" s="31"/>
      <c r="D3315" s="31"/>
      <c r="H3315" s="31"/>
    </row>
    <row r="3316">
      <c r="A3316" s="31"/>
      <c r="C3316" s="31"/>
      <c r="D3316" s="31"/>
      <c r="H3316" s="31"/>
    </row>
    <row r="3317">
      <c r="A3317" s="31"/>
      <c r="C3317" s="31"/>
      <c r="D3317" s="31"/>
      <c r="H3317" s="31"/>
    </row>
    <row r="3318">
      <c r="A3318" s="31"/>
      <c r="C3318" s="31"/>
      <c r="D3318" s="31"/>
      <c r="H3318" s="31"/>
    </row>
    <row r="3319">
      <c r="A3319" s="31"/>
      <c r="C3319" s="31"/>
      <c r="D3319" s="31"/>
      <c r="H3319" s="31"/>
    </row>
    <row r="3320">
      <c r="A3320" s="31"/>
      <c r="C3320" s="31"/>
      <c r="D3320" s="31"/>
      <c r="H3320" s="31"/>
    </row>
    <row r="3321">
      <c r="A3321" s="31"/>
      <c r="C3321" s="31"/>
      <c r="D3321" s="31"/>
      <c r="H3321" s="31"/>
    </row>
    <row r="3322">
      <c r="A3322" s="31"/>
      <c r="C3322" s="31"/>
      <c r="D3322" s="31"/>
      <c r="H3322" s="31"/>
    </row>
    <row r="3323">
      <c r="A3323" s="31"/>
      <c r="C3323" s="31"/>
      <c r="D3323" s="31"/>
      <c r="H3323" s="31"/>
    </row>
    <row r="3324">
      <c r="A3324" s="31"/>
      <c r="C3324" s="31"/>
      <c r="D3324" s="31"/>
      <c r="H3324" s="31"/>
    </row>
    <row r="3325">
      <c r="A3325" s="31"/>
      <c r="C3325" s="31"/>
      <c r="D3325" s="31"/>
      <c r="H3325" s="31"/>
    </row>
    <row r="3326">
      <c r="A3326" s="31"/>
      <c r="C3326" s="31"/>
      <c r="D3326" s="31"/>
      <c r="H3326" s="31"/>
    </row>
    <row r="3327">
      <c r="A3327" s="31"/>
      <c r="C3327" s="31"/>
      <c r="D3327" s="31"/>
      <c r="H3327" s="31"/>
    </row>
    <row r="3328">
      <c r="A3328" s="31"/>
      <c r="C3328" s="31"/>
      <c r="D3328" s="31"/>
      <c r="H3328" s="31"/>
    </row>
    <row r="3329">
      <c r="A3329" s="31"/>
      <c r="C3329" s="31"/>
      <c r="D3329" s="31"/>
      <c r="H3329" s="31"/>
    </row>
    <row r="3330">
      <c r="A3330" s="31"/>
      <c r="C3330" s="31"/>
      <c r="D3330" s="31"/>
      <c r="H3330" s="31"/>
    </row>
    <row r="3331">
      <c r="A3331" s="31"/>
      <c r="C3331" s="31"/>
      <c r="D3331" s="31"/>
      <c r="H3331" s="31"/>
    </row>
    <row r="3332">
      <c r="A3332" s="31"/>
      <c r="C3332" s="31"/>
      <c r="D3332" s="31"/>
      <c r="H3332" s="31"/>
    </row>
    <row r="3333">
      <c r="A3333" s="31"/>
      <c r="C3333" s="31"/>
      <c r="D3333" s="31"/>
      <c r="H3333" s="31"/>
    </row>
    <row r="3334">
      <c r="A3334" s="31"/>
      <c r="C3334" s="31"/>
      <c r="D3334" s="31"/>
      <c r="H3334" s="31"/>
    </row>
    <row r="3335">
      <c r="A3335" s="31"/>
      <c r="C3335" s="31"/>
      <c r="D3335" s="31"/>
      <c r="H3335" s="31"/>
    </row>
    <row r="3336">
      <c r="A3336" s="31"/>
      <c r="C3336" s="31"/>
      <c r="D3336" s="31"/>
      <c r="H3336" s="31"/>
    </row>
    <row r="3337">
      <c r="A3337" s="31"/>
      <c r="C3337" s="31"/>
      <c r="D3337" s="31"/>
      <c r="H3337" s="31"/>
    </row>
    <row r="3338">
      <c r="A3338" s="31"/>
      <c r="C3338" s="31"/>
      <c r="D3338" s="31"/>
      <c r="H3338" s="31"/>
    </row>
    <row r="3339">
      <c r="A3339" s="31"/>
      <c r="C3339" s="31"/>
      <c r="D3339" s="31"/>
      <c r="H3339" s="31"/>
    </row>
    <row r="3340">
      <c r="A3340" s="31"/>
      <c r="C3340" s="31"/>
      <c r="D3340" s="31"/>
      <c r="H3340" s="31"/>
    </row>
    <row r="3341">
      <c r="A3341" s="31"/>
      <c r="C3341" s="31"/>
      <c r="D3341" s="31"/>
      <c r="H3341" s="31"/>
    </row>
    <row r="3342">
      <c r="A3342" s="31"/>
      <c r="C3342" s="31"/>
      <c r="D3342" s="31"/>
      <c r="H3342" s="31"/>
    </row>
    <row r="3343">
      <c r="A3343" s="31"/>
      <c r="C3343" s="31"/>
      <c r="D3343" s="31"/>
      <c r="H3343" s="31"/>
    </row>
    <row r="3344">
      <c r="A3344" s="31"/>
      <c r="C3344" s="31"/>
      <c r="D3344" s="31"/>
      <c r="H3344" s="31"/>
    </row>
    <row r="3345">
      <c r="A3345" s="31"/>
      <c r="C3345" s="31"/>
      <c r="D3345" s="31"/>
      <c r="H3345" s="31"/>
    </row>
    <row r="3346">
      <c r="A3346" s="31"/>
      <c r="C3346" s="31"/>
      <c r="D3346" s="31"/>
      <c r="H3346" s="31"/>
    </row>
    <row r="3347">
      <c r="A3347" s="31"/>
      <c r="C3347" s="31"/>
      <c r="D3347" s="31"/>
      <c r="H3347" s="31"/>
    </row>
    <row r="3348">
      <c r="A3348" s="31"/>
      <c r="C3348" s="31"/>
      <c r="D3348" s="31"/>
      <c r="H3348" s="31"/>
    </row>
    <row r="3349">
      <c r="A3349" s="31"/>
      <c r="C3349" s="31"/>
      <c r="D3349" s="31"/>
      <c r="H3349" s="31"/>
    </row>
    <row r="3350">
      <c r="A3350" s="31"/>
      <c r="C3350" s="31"/>
      <c r="D3350" s="31"/>
      <c r="H3350" s="31"/>
    </row>
    <row r="3351">
      <c r="A3351" s="31"/>
      <c r="C3351" s="31"/>
      <c r="D3351" s="31"/>
      <c r="H3351" s="31"/>
    </row>
    <row r="3352">
      <c r="A3352" s="31"/>
      <c r="C3352" s="31"/>
      <c r="D3352" s="31"/>
      <c r="H3352" s="31"/>
    </row>
    <row r="3353">
      <c r="A3353" s="31"/>
      <c r="C3353" s="31"/>
      <c r="D3353" s="31"/>
      <c r="H3353" s="31"/>
    </row>
    <row r="3354">
      <c r="A3354" s="31"/>
      <c r="C3354" s="31"/>
      <c r="D3354" s="31"/>
      <c r="H3354" s="31"/>
    </row>
    <row r="3355">
      <c r="A3355" s="31"/>
      <c r="C3355" s="31"/>
      <c r="D3355" s="31"/>
      <c r="H3355" s="31"/>
    </row>
    <row r="3356">
      <c r="A3356" s="31"/>
      <c r="C3356" s="31"/>
      <c r="D3356" s="31"/>
      <c r="H3356" s="31"/>
    </row>
    <row r="3357">
      <c r="A3357" s="31"/>
      <c r="C3357" s="31"/>
      <c r="D3357" s="31"/>
      <c r="H3357" s="31"/>
    </row>
    <row r="3358">
      <c r="A3358" s="31"/>
      <c r="C3358" s="31"/>
      <c r="D3358" s="31"/>
      <c r="H3358" s="31"/>
    </row>
    <row r="3359">
      <c r="A3359" s="31"/>
      <c r="C3359" s="31"/>
      <c r="D3359" s="31"/>
      <c r="H3359" s="31"/>
    </row>
    <row r="3360">
      <c r="A3360" s="31"/>
      <c r="C3360" s="31"/>
      <c r="D3360" s="31"/>
      <c r="H3360" s="31"/>
    </row>
    <row r="3361">
      <c r="A3361" s="31"/>
      <c r="C3361" s="31"/>
      <c r="D3361" s="31"/>
      <c r="H3361" s="31"/>
    </row>
    <row r="3362">
      <c r="A3362" s="31"/>
      <c r="C3362" s="31"/>
      <c r="D3362" s="31"/>
      <c r="H3362" s="31"/>
    </row>
    <row r="3363">
      <c r="A3363" s="31"/>
      <c r="C3363" s="31"/>
      <c r="D3363" s="31"/>
      <c r="H3363" s="31"/>
    </row>
    <row r="3364">
      <c r="A3364" s="31"/>
      <c r="C3364" s="31"/>
      <c r="D3364" s="31"/>
      <c r="H3364" s="31"/>
    </row>
    <row r="3365">
      <c r="A3365" s="31"/>
      <c r="C3365" s="31"/>
      <c r="D3365" s="31"/>
      <c r="H3365" s="31"/>
    </row>
    <row r="3366">
      <c r="A3366" s="31"/>
      <c r="C3366" s="31"/>
      <c r="D3366" s="31"/>
      <c r="H3366" s="31"/>
    </row>
    <row r="3367">
      <c r="A3367" s="31"/>
      <c r="C3367" s="31"/>
      <c r="D3367" s="31"/>
      <c r="H3367" s="31"/>
    </row>
    <row r="3368">
      <c r="A3368" s="31"/>
      <c r="C3368" s="31"/>
      <c r="D3368" s="31"/>
      <c r="H3368" s="31"/>
    </row>
    <row r="3369">
      <c r="A3369" s="31"/>
      <c r="C3369" s="31"/>
      <c r="D3369" s="31"/>
      <c r="H3369" s="31"/>
    </row>
    <row r="3370">
      <c r="A3370" s="31"/>
      <c r="C3370" s="31"/>
      <c r="D3370" s="31"/>
      <c r="H3370" s="31"/>
    </row>
    <row r="3371">
      <c r="A3371" s="31"/>
      <c r="C3371" s="31"/>
      <c r="D3371" s="31"/>
      <c r="H3371" s="31"/>
    </row>
    <row r="3372">
      <c r="A3372" s="31"/>
      <c r="C3372" s="31"/>
      <c r="D3372" s="31"/>
      <c r="H3372" s="31"/>
    </row>
    <row r="3373">
      <c r="A3373" s="31"/>
      <c r="C3373" s="31"/>
      <c r="D3373" s="31"/>
      <c r="H3373" s="31"/>
    </row>
    <row r="3374">
      <c r="A3374" s="31"/>
      <c r="C3374" s="31"/>
      <c r="D3374" s="31"/>
      <c r="H3374" s="31"/>
    </row>
    <row r="3375">
      <c r="A3375" s="31"/>
      <c r="C3375" s="31"/>
      <c r="D3375" s="31"/>
      <c r="H3375" s="31"/>
    </row>
    <row r="3376">
      <c r="A3376" s="31"/>
      <c r="C3376" s="31"/>
      <c r="D3376" s="31"/>
      <c r="H3376" s="31"/>
    </row>
    <row r="3377">
      <c r="A3377" s="31"/>
      <c r="C3377" s="31"/>
      <c r="D3377" s="31"/>
      <c r="H3377" s="31"/>
    </row>
    <row r="3378">
      <c r="A3378" s="31"/>
      <c r="C3378" s="31"/>
      <c r="D3378" s="31"/>
      <c r="H3378" s="31"/>
    </row>
    <row r="3379">
      <c r="A3379" s="31"/>
      <c r="C3379" s="31"/>
      <c r="D3379" s="31"/>
      <c r="H3379" s="31"/>
    </row>
    <row r="3380">
      <c r="A3380" s="31"/>
      <c r="C3380" s="31"/>
      <c r="D3380" s="31"/>
      <c r="H3380" s="31"/>
    </row>
    <row r="3381">
      <c r="A3381" s="31"/>
      <c r="C3381" s="31"/>
      <c r="D3381" s="31"/>
      <c r="H3381" s="31"/>
    </row>
    <row r="3382">
      <c r="A3382" s="31"/>
      <c r="C3382" s="31"/>
      <c r="D3382" s="31"/>
      <c r="H3382" s="31"/>
    </row>
    <row r="3383">
      <c r="A3383" s="31"/>
      <c r="C3383" s="31"/>
      <c r="D3383" s="31"/>
      <c r="H3383" s="31"/>
    </row>
    <row r="3384">
      <c r="A3384" s="31"/>
      <c r="C3384" s="31"/>
      <c r="D3384" s="31"/>
      <c r="H3384" s="31"/>
    </row>
    <row r="3385">
      <c r="A3385" s="31"/>
      <c r="C3385" s="31"/>
      <c r="D3385" s="31"/>
      <c r="H3385" s="31"/>
    </row>
    <row r="3386">
      <c r="A3386" s="31"/>
      <c r="C3386" s="31"/>
      <c r="D3386" s="31"/>
      <c r="H3386" s="31"/>
    </row>
    <row r="3387">
      <c r="A3387" s="31"/>
      <c r="C3387" s="31"/>
      <c r="D3387" s="31"/>
      <c r="H3387" s="31"/>
    </row>
    <row r="3388">
      <c r="A3388" s="31"/>
      <c r="C3388" s="31"/>
      <c r="D3388" s="31"/>
      <c r="H3388" s="31"/>
    </row>
    <row r="3389">
      <c r="A3389" s="31"/>
      <c r="C3389" s="31"/>
      <c r="D3389" s="31"/>
      <c r="H3389" s="31"/>
    </row>
    <row r="3390">
      <c r="A3390" s="31"/>
      <c r="C3390" s="31"/>
      <c r="D3390" s="31"/>
      <c r="H3390" s="31"/>
    </row>
    <row r="3391">
      <c r="A3391" s="31"/>
      <c r="C3391" s="31"/>
      <c r="D3391" s="31"/>
      <c r="H3391" s="31"/>
    </row>
    <row r="3392">
      <c r="A3392" s="31"/>
      <c r="C3392" s="31"/>
      <c r="D3392" s="31"/>
      <c r="H3392" s="31"/>
    </row>
    <row r="3393">
      <c r="A3393" s="31"/>
      <c r="C3393" s="31"/>
      <c r="D3393" s="31"/>
      <c r="H3393" s="31"/>
    </row>
    <row r="3394">
      <c r="A3394" s="31"/>
      <c r="C3394" s="31"/>
      <c r="D3394" s="31"/>
      <c r="H3394" s="31"/>
    </row>
    <row r="3395">
      <c r="A3395" s="31"/>
      <c r="C3395" s="31"/>
      <c r="D3395" s="31"/>
      <c r="H3395" s="31"/>
    </row>
    <row r="3396">
      <c r="A3396" s="31"/>
      <c r="C3396" s="31"/>
      <c r="D3396" s="31"/>
      <c r="H3396" s="31"/>
    </row>
    <row r="3397">
      <c r="A3397" s="31"/>
      <c r="C3397" s="31"/>
      <c r="D3397" s="31"/>
      <c r="H3397" s="31"/>
    </row>
    <row r="3398">
      <c r="A3398" s="31"/>
      <c r="C3398" s="31"/>
      <c r="D3398" s="31"/>
      <c r="H3398" s="31"/>
    </row>
    <row r="3399">
      <c r="A3399" s="31"/>
      <c r="C3399" s="31"/>
      <c r="D3399" s="31"/>
      <c r="H3399" s="31"/>
    </row>
    <row r="3400">
      <c r="A3400" s="31"/>
      <c r="C3400" s="31"/>
      <c r="D3400" s="31"/>
      <c r="H3400" s="31"/>
    </row>
    <row r="3401">
      <c r="A3401" s="31"/>
      <c r="C3401" s="31"/>
      <c r="D3401" s="31"/>
      <c r="H3401" s="31"/>
    </row>
    <row r="3402">
      <c r="A3402" s="31"/>
      <c r="C3402" s="31"/>
      <c r="D3402" s="31"/>
      <c r="H3402" s="31"/>
    </row>
    <row r="3403">
      <c r="A3403" s="31"/>
      <c r="C3403" s="31"/>
      <c r="D3403" s="31"/>
      <c r="H3403" s="31"/>
    </row>
    <row r="3404">
      <c r="A3404" s="31"/>
      <c r="C3404" s="31"/>
      <c r="D3404" s="31"/>
      <c r="H3404" s="31"/>
    </row>
    <row r="3405">
      <c r="A3405" s="31"/>
      <c r="C3405" s="31"/>
      <c r="D3405" s="31"/>
      <c r="H3405" s="31"/>
    </row>
    <row r="3406">
      <c r="A3406" s="31"/>
      <c r="C3406" s="31"/>
      <c r="D3406" s="31"/>
      <c r="H3406" s="31"/>
    </row>
    <row r="3407">
      <c r="A3407" s="31"/>
      <c r="C3407" s="31"/>
      <c r="D3407" s="31"/>
      <c r="H3407" s="31"/>
    </row>
    <row r="3408">
      <c r="A3408" s="31"/>
      <c r="C3408" s="31"/>
      <c r="D3408" s="31"/>
      <c r="H3408" s="31"/>
    </row>
    <row r="3409">
      <c r="A3409" s="31"/>
      <c r="C3409" s="31"/>
      <c r="D3409" s="31"/>
      <c r="H3409" s="31"/>
    </row>
    <row r="3410">
      <c r="A3410" s="31"/>
      <c r="C3410" s="31"/>
      <c r="D3410" s="31"/>
      <c r="H3410" s="31"/>
    </row>
    <row r="3411">
      <c r="A3411" s="31"/>
      <c r="C3411" s="31"/>
      <c r="D3411" s="31"/>
      <c r="H3411" s="31"/>
    </row>
    <row r="3412">
      <c r="A3412" s="31"/>
      <c r="C3412" s="31"/>
      <c r="D3412" s="31"/>
      <c r="H3412" s="31"/>
    </row>
    <row r="3413">
      <c r="A3413" s="31"/>
      <c r="C3413" s="31"/>
      <c r="D3413" s="31"/>
      <c r="H3413" s="31"/>
    </row>
    <row r="3414">
      <c r="A3414" s="31"/>
      <c r="C3414" s="31"/>
      <c r="D3414" s="31"/>
      <c r="H3414" s="31"/>
    </row>
    <row r="3415">
      <c r="A3415" s="31"/>
      <c r="C3415" s="31"/>
      <c r="D3415" s="31"/>
      <c r="H3415" s="31"/>
    </row>
    <row r="3416">
      <c r="A3416" s="31"/>
      <c r="C3416" s="31"/>
      <c r="D3416" s="31"/>
      <c r="H3416" s="31"/>
    </row>
    <row r="3417">
      <c r="A3417" s="31"/>
      <c r="C3417" s="31"/>
      <c r="D3417" s="31"/>
      <c r="H3417" s="31"/>
    </row>
    <row r="3418">
      <c r="A3418" s="31"/>
      <c r="C3418" s="31"/>
      <c r="D3418" s="31"/>
      <c r="H3418" s="31"/>
    </row>
    <row r="3419">
      <c r="A3419" s="31"/>
      <c r="C3419" s="31"/>
      <c r="D3419" s="31"/>
      <c r="H3419" s="31"/>
    </row>
    <row r="3420">
      <c r="A3420" s="31"/>
      <c r="C3420" s="31"/>
      <c r="D3420" s="31"/>
      <c r="H3420" s="31"/>
    </row>
    <row r="3421">
      <c r="A3421" s="31"/>
      <c r="C3421" s="31"/>
      <c r="D3421" s="31"/>
      <c r="H3421" s="31"/>
    </row>
    <row r="3422">
      <c r="A3422" s="31"/>
      <c r="C3422" s="31"/>
      <c r="D3422" s="31"/>
      <c r="H3422" s="31"/>
    </row>
    <row r="3423">
      <c r="A3423" s="31"/>
      <c r="C3423" s="31"/>
      <c r="D3423" s="31"/>
      <c r="H3423" s="31"/>
    </row>
    <row r="3424">
      <c r="A3424" s="31"/>
      <c r="C3424" s="31"/>
      <c r="D3424" s="31"/>
      <c r="H3424" s="31"/>
    </row>
    <row r="3425">
      <c r="A3425" s="31"/>
      <c r="C3425" s="31"/>
      <c r="D3425" s="31"/>
      <c r="H3425" s="31"/>
    </row>
    <row r="3426">
      <c r="A3426" s="31"/>
      <c r="C3426" s="31"/>
      <c r="D3426" s="31"/>
      <c r="H3426" s="31"/>
    </row>
    <row r="3427">
      <c r="A3427" s="31"/>
      <c r="C3427" s="31"/>
      <c r="D3427" s="31"/>
      <c r="H3427" s="31"/>
    </row>
    <row r="3428">
      <c r="A3428" s="31"/>
      <c r="C3428" s="31"/>
      <c r="D3428" s="31"/>
      <c r="H3428" s="31"/>
    </row>
    <row r="3429">
      <c r="A3429" s="31"/>
      <c r="C3429" s="31"/>
      <c r="D3429" s="31"/>
      <c r="H3429" s="31"/>
    </row>
    <row r="3430">
      <c r="A3430" s="31"/>
      <c r="C3430" s="31"/>
      <c r="D3430" s="31"/>
      <c r="H3430" s="31"/>
    </row>
    <row r="3431">
      <c r="A3431" s="31"/>
      <c r="C3431" s="31"/>
      <c r="D3431" s="31"/>
      <c r="H3431" s="31"/>
    </row>
    <row r="3432">
      <c r="A3432" s="31"/>
      <c r="C3432" s="31"/>
      <c r="D3432" s="31"/>
      <c r="H3432" s="31"/>
    </row>
    <row r="3433">
      <c r="A3433" s="31"/>
      <c r="C3433" s="31"/>
      <c r="D3433" s="31"/>
      <c r="H3433" s="31"/>
    </row>
    <row r="3434">
      <c r="A3434" s="31"/>
      <c r="C3434" s="31"/>
      <c r="D3434" s="31"/>
      <c r="H3434" s="31"/>
    </row>
    <row r="3435">
      <c r="A3435" s="31"/>
      <c r="C3435" s="31"/>
      <c r="D3435" s="31"/>
      <c r="H3435" s="31"/>
    </row>
    <row r="3436">
      <c r="A3436" s="31"/>
      <c r="C3436" s="31"/>
      <c r="D3436" s="31"/>
      <c r="H3436" s="31"/>
    </row>
    <row r="3437">
      <c r="A3437" s="31"/>
      <c r="C3437" s="31"/>
      <c r="D3437" s="31"/>
      <c r="H3437" s="31"/>
    </row>
    <row r="3438">
      <c r="A3438" s="31"/>
      <c r="C3438" s="31"/>
      <c r="D3438" s="31"/>
      <c r="H3438" s="31"/>
    </row>
    <row r="3439">
      <c r="A3439" s="31"/>
      <c r="C3439" s="31"/>
      <c r="D3439" s="31"/>
      <c r="H3439" s="31"/>
    </row>
    <row r="3440">
      <c r="A3440" s="31"/>
      <c r="C3440" s="31"/>
      <c r="D3440" s="31"/>
      <c r="H3440" s="31"/>
    </row>
    <row r="3441">
      <c r="A3441" s="31"/>
      <c r="C3441" s="31"/>
      <c r="D3441" s="31"/>
      <c r="H3441" s="31"/>
    </row>
    <row r="3442">
      <c r="A3442" s="31"/>
      <c r="C3442" s="31"/>
      <c r="D3442" s="31"/>
      <c r="H3442" s="31"/>
    </row>
    <row r="3443">
      <c r="A3443" s="31"/>
      <c r="C3443" s="31"/>
      <c r="D3443" s="31"/>
      <c r="H3443" s="31"/>
    </row>
    <row r="3444">
      <c r="A3444" s="31"/>
      <c r="C3444" s="31"/>
      <c r="D3444" s="31"/>
      <c r="H3444" s="31"/>
    </row>
    <row r="3445">
      <c r="A3445" s="31"/>
      <c r="C3445" s="31"/>
      <c r="D3445" s="31"/>
      <c r="H3445" s="31"/>
    </row>
    <row r="3446">
      <c r="A3446" s="31"/>
      <c r="C3446" s="31"/>
      <c r="D3446" s="31"/>
      <c r="H3446" s="31"/>
    </row>
    <row r="3447">
      <c r="A3447" s="31"/>
      <c r="C3447" s="31"/>
      <c r="D3447" s="31"/>
      <c r="H3447" s="31"/>
    </row>
    <row r="3448">
      <c r="A3448" s="31"/>
      <c r="C3448" s="31"/>
      <c r="D3448" s="31"/>
      <c r="H3448" s="31"/>
    </row>
    <row r="3449">
      <c r="A3449" s="31"/>
      <c r="C3449" s="31"/>
      <c r="D3449" s="31"/>
      <c r="H3449" s="31"/>
    </row>
    <row r="3450">
      <c r="A3450" s="31"/>
      <c r="C3450" s="31"/>
      <c r="D3450" s="31"/>
      <c r="H3450" s="31"/>
    </row>
    <row r="3451">
      <c r="A3451" s="31"/>
      <c r="C3451" s="31"/>
      <c r="D3451" s="31"/>
      <c r="H3451" s="31"/>
    </row>
    <row r="3452">
      <c r="A3452" s="31"/>
      <c r="C3452" s="31"/>
      <c r="D3452" s="31"/>
      <c r="H3452" s="31"/>
    </row>
    <row r="3453">
      <c r="A3453" s="31"/>
      <c r="C3453" s="31"/>
      <c r="D3453" s="31"/>
      <c r="H3453" s="31"/>
    </row>
    <row r="3454">
      <c r="A3454" s="31"/>
      <c r="C3454" s="31"/>
      <c r="D3454" s="31"/>
      <c r="H3454" s="31"/>
    </row>
    <row r="3455">
      <c r="A3455" s="31"/>
      <c r="C3455" s="31"/>
      <c r="D3455" s="31"/>
      <c r="H3455" s="31"/>
    </row>
    <row r="3456">
      <c r="A3456" s="31"/>
      <c r="C3456" s="31"/>
      <c r="D3456" s="31"/>
      <c r="H3456" s="31"/>
    </row>
    <row r="3457">
      <c r="A3457" s="31"/>
      <c r="C3457" s="31"/>
      <c r="D3457" s="31"/>
      <c r="H3457" s="31"/>
    </row>
    <row r="3458">
      <c r="A3458" s="31"/>
      <c r="C3458" s="31"/>
      <c r="D3458" s="31"/>
      <c r="H3458" s="31"/>
    </row>
    <row r="3459">
      <c r="A3459" s="31"/>
      <c r="C3459" s="31"/>
      <c r="D3459" s="31"/>
      <c r="H3459" s="31"/>
    </row>
    <row r="3460">
      <c r="A3460" s="31"/>
      <c r="C3460" s="31"/>
      <c r="D3460" s="31"/>
      <c r="H3460" s="31"/>
    </row>
    <row r="3461">
      <c r="A3461" s="31"/>
      <c r="C3461" s="31"/>
      <c r="D3461" s="31"/>
      <c r="H3461" s="31"/>
    </row>
    <row r="3462">
      <c r="A3462" s="31"/>
      <c r="C3462" s="31"/>
      <c r="D3462" s="31"/>
      <c r="H3462" s="31"/>
    </row>
    <row r="3463">
      <c r="A3463" s="31"/>
      <c r="C3463" s="31"/>
      <c r="D3463" s="31"/>
      <c r="H3463" s="31"/>
    </row>
    <row r="3464">
      <c r="A3464" s="31"/>
      <c r="C3464" s="31"/>
      <c r="D3464" s="31"/>
      <c r="H3464" s="31"/>
    </row>
    <row r="3465">
      <c r="A3465" s="31"/>
      <c r="C3465" s="31"/>
      <c r="D3465" s="31"/>
      <c r="H3465" s="31"/>
    </row>
    <row r="3466">
      <c r="A3466" s="31"/>
      <c r="C3466" s="31"/>
      <c r="D3466" s="31"/>
      <c r="H3466" s="31"/>
    </row>
    <row r="3467">
      <c r="A3467" s="31"/>
      <c r="C3467" s="31"/>
      <c r="D3467" s="31"/>
      <c r="H3467" s="31"/>
    </row>
    <row r="3468">
      <c r="A3468" s="31"/>
      <c r="C3468" s="31"/>
      <c r="D3468" s="31"/>
      <c r="H3468" s="31"/>
    </row>
    <row r="3469">
      <c r="A3469" s="31"/>
      <c r="C3469" s="31"/>
      <c r="D3469" s="31"/>
      <c r="H3469" s="31"/>
    </row>
    <row r="3470">
      <c r="A3470" s="31"/>
      <c r="C3470" s="31"/>
      <c r="D3470" s="31"/>
      <c r="H3470" s="31"/>
    </row>
    <row r="3471">
      <c r="A3471" s="31"/>
      <c r="C3471" s="31"/>
      <c r="D3471" s="31"/>
      <c r="H3471" s="31"/>
    </row>
    <row r="3472">
      <c r="A3472" s="31"/>
      <c r="C3472" s="31"/>
      <c r="D3472" s="31"/>
      <c r="H3472" s="31"/>
    </row>
    <row r="3473">
      <c r="A3473" s="31"/>
      <c r="C3473" s="31"/>
      <c r="D3473" s="31"/>
      <c r="H3473" s="31"/>
    </row>
    <row r="3474">
      <c r="A3474" s="31"/>
      <c r="C3474" s="31"/>
      <c r="D3474" s="31"/>
      <c r="H3474" s="31"/>
    </row>
    <row r="3475">
      <c r="A3475" s="31"/>
      <c r="C3475" s="31"/>
      <c r="D3475" s="31"/>
      <c r="H3475" s="31"/>
    </row>
    <row r="3476">
      <c r="A3476" s="31"/>
      <c r="C3476" s="31"/>
      <c r="D3476" s="31"/>
      <c r="H3476" s="31"/>
    </row>
    <row r="3477">
      <c r="A3477" s="31"/>
      <c r="C3477" s="31"/>
      <c r="D3477" s="31"/>
      <c r="H3477" s="31"/>
    </row>
    <row r="3478">
      <c r="A3478" s="31"/>
      <c r="C3478" s="31"/>
      <c r="D3478" s="31"/>
      <c r="H3478" s="31"/>
    </row>
    <row r="3479">
      <c r="A3479" s="31"/>
      <c r="C3479" s="31"/>
      <c r="D3479" s="31"/>
      <c r="H3479" s="31"/>
    </row>
    <row r="3480">
      <c r="A3480" s="31"/>
      <c r="C3480" s="31"/>
      <c r="D3480" s="31"/>
      <c r="H3480" s="31"/>
    </row>
    <row r="3481">
      <c r="A3481" s="31"/>
      <c r="C3481" s="31"/>
      <c r="D3481" s="31"/>
      <c r="H3481" s="31"/>
    </row>
    <row r="3482">
      <c r="A3482" s="31"/>
      <c r="C3482" s="31"/>
      <c r="D3482" s="31"/>
      <c r="H3482" s="31"/>
    </row>
    <row r="3483">
      <c r="A3483" s="31"/>
      <c r="C3483" s="31"/>
      <c r="D3483" s="31"/>
      <c r="H3483" s="31"/>
    </row>
    <row r="3484">
      <c r="A3484" s="31"/>
      <c r="C3484" s="31"/>
      <c r="D3484" s="31"/>
      <c r="H3484" s="31"/>
    </row>
    <row r="3485">
      <c r="A3485" s="31"/>
      <c r="C3485" s="31"/>
      <c r="D3485" s="31"/>
      <c r="H3485" s="31"/>
    </row>
    <row r="3486">
      <c r="A3486" s="31"/>
      <c r="C3486" s="31"/>
      <c r="D3486" s="31"/>
      <c r="H3486" s="31"/>
    </row>
    <row r="3487">
      <c r="A3487" s="31"/>
      <c r="C3487" s="31"/>
      <c r="D3487" s="31"/>
      <c r="H3487" s="31"/>
    </row>
    <row r="3488">
      <c r="A3488" s="31"/>
      <c r="C3488" s="31"/>
      <c r="D3488" s="31"/>
      <c r="H3488" s="31"/>
    </row>
    <row r="3489">
      <c r="A3489" s="31"/>
      <c r="C3489" s="31"/>
      <c r="D3489" s="31"/>
      <c r="H3489" s="31"/>
    </row>
    <row r="3490">
      <c r="A3490" s="31"/>
      <c r="C3490" s="31"/>
      <c r="D3490" s="31"/>
      <c r="H3490" s="31"/>
    </row>
    <row r="3491">
      <c r="A3491" s="31"/>
      <c r="C3491" s="31"/>
      <c r="D3491" s="31"/>
      <c r="H3491" s="31"/>
    </row>
    <row r="3492">
      <c r="A3492" s="31"/>
      <c r="C3492" s="31"/>
      <c r="D3492" s="31"/>
      <c r="H3492" s="31"/>
    </row>
    <row r="3493">
      <c r="A3493" s="31"/>
      <c r="C3493" s="31"/>
      <c r="D3493" s="31"/>
      <c r="H3493" s="31"/>
    </row>
    <row r="3494">
      <c r="A3494" s="31"/>
      <c r="C3494" s="31"/>
      <c r="D3494" s="31"/>
      <c r="H3494" s="31"/>
    </row>
    <row r="3495">
      <c r="A3495" s="31"/>
      <c r="C3495" s="31"/>
      <c r="D3495" s="31"/>
      <c r="H3495" s="31"/>
    </row>
    <row r="3496">
      <c r="A3496" s="31"/>
      <c r="C3496" s="31"/>
      <c r="D3496" s="31"/>
      <c r="H3496" s="31"/>
    </row>
    <row r="3497">
      <c r="A3497" s="31"/>
      <c r="C3497" s="31"/>
      <c r="D3497" s="31"/>
      <c r="H3497" s="31"/>
    </row>
    <row r="3498">
      <c r="A3498" s="31"/>
      <c r="C3498" s="31"/>
      <c r="D3498" s="31"/>
      <c r="H3498" s="31"/>
    </row>
    <row r="3499">
      <c r="A3499" s="31"/>
      <c r="C3499" s="31"/>
      <c r="D3499" s="31"/>
      <c r="H3499" s="31"/>
    </row>
    <row r="3500">
      <c r="A3500" s="31"/>
      <c r="C3500" s="31"/>
      <c r="D3500" s="31"/>
      <c r="H3500" s="31"/>
    </row>
    <row r="3501">
      <c r="A3501" s="31"/>
      <c r="C3501" s="31"/>
      <c r="D3501" s="31"/>
      <c r="H3501" s="31"/>
    </row>
    <row r="3502">
      <c r="A3502" s="31"/>
      <c r="C3502" s="31"/>
      <c r="D3502" s="31"/>
      <c r="H3502" s="31"/>
    </row>
    <row r="3503">
      <c r="A3503" s="31"/>
      <c r="C3503" s="31"/>
      <c r="D3503" s="31"/>
      <c r="H3503" s="31"/>
    </row>
    <row r="3504">
      <c r="A3504" s="31"/>
      <c r="C3504" s="31"/>
      <c r="D3504" s="31"/>
      <c r="H3504" s="31"/>
    </row>
    <row r="3505">
      <c r="A3505" s="31"/>
      <c r="C3505" s="31"/>
      <c r="D3505" s="31"/>
      <c r="H3505" s="31"/>
    </row>
    <row r="3506">
      <c r="A3506" s="31"/>
      <c r="C3506" s="31"/>
      <c r="D3506" s="31"/>
      <c r="H3506" s="31"/>
    </row>
    <row r="3507">
      <c r="A3507" s="31"/>
      <c r="C3507" s="31"/>
      <c r="D3507" s="31"/>
      <c r="H3507" s="31"/>
    </row>
    <row r="3508">
      <c r="A3508" s="31"/>
      <c r="C3508" s="31"/>
      <c r="D3508" s="31"/>
      <c r="H3508" s="31"/>
    </row>
    <row r="3509">
      <c r="A3509" s="31"/>
      <c r="C3509" s="31"/>
      <c r="D3509" s="31"/>
      <c r="H3509" s="31"/>
    </row>
    <row r="3510">
      <c r="A3510" s="31"/>
      <c r="C3510" s="31"/>
      <c r="D3510" s="31"/>
      <c r="H3510" s="31"/>
    </row>
    <row r="3511">
      <c r="A3511" s="31"/>
      <c r="C3511" s="31"/>
      <c r="D3511" s="31"/>
      <c r="H3511" s="31"/>
    </row>
    <row r="3512">
      <c r="A3512" s="31"/>
      <c r="C3512" s="31"/>
      <c r="D3512" s="31"/>
      <c r="H3512" s="31"/>
    </row>
    <row r="3513">
      <c r="A3513" s="31"/>
      <c r="C3513" s="31"/>
      <c r="D3513" s="31"/>
      <c r="H3513" s="31"/>
    </row>
    <row r="3514">
      <c r="A3514" s="31"/>
      <c r="C3514" s="31"/>
      <c r="D3514" s="31"/>
      <c r="H3514" s="31"/>
    </row>
    <row r="3515">
      <c r="A3515" s="31"/>
      <c r="C3515" s="31"/>
      <c r="D3515" s="31"/>
      <c r="H3515" s="31"/>
    </row>
    <row r="3516">
      <c r="A3516" s="31"/>
      <c r="C3516" s="31"/>
      <c r="D3516" s="31"/>
      <c r="H3516" s="31"/>
    </row>
    <row r="3517">
      <c r="A3517" s="31"/>
      <c r="C3517" s="31"/>
      <c r="D3517" s="31"/>
      <c r="H3517" s="31"/>
    </row>
    <row r="3518">
      <c r="A3518" s="31"/>
      <c r="C3518" s="31"/>
      <c r="D3518" s="31"/>
      <c r="H3518" s="31"/>
    </row>
    <row r="3519">
      <c r="A3519" s="31"/>
      <c r="C3519" s="31"/>
      <c r="D3519" s="31"/>
      <c r="H3519" s="31"/>
    </row>
    <row r="3520">
      <c r="A3520" s="31"/>
      <c r="C3520" s="31"/>
      <c r="D3520" s="31"/>
      <c r="H3520" s="31"/>
    </row>
    <row r="3521">
      <c r="A3521" s="31"/>
      <c r="C3521" s="31"/>
      <c r="D3521" s="31"/>
      <c r="H3521" s="31"/>
    </row>
    <row r="3522">
      <c r="A3522" s="31"/>
      <c r="C3522" s="31"/>
      <c r="D3522" s="31"/>
      <c r="H3522" s="31"/>
    </row>
    <row r="3523">
      <c r="A3523" s="31"/>
      <c r="C3523" s="31"/>
      <c r="D3523" s="31"/>
      <c r="H3523" s="31"/>
    </row>
    <row r="3524">
      <c r="A3524" s="31"/>
      <c r="C3524" s="31"/>
      <c r="D3524" s="31"/>
      <c r="H3524" s="31"/>
    </row>
    <row r="3525">
      <c r="A3525" s="31"/>
      <c r="C3525" s="31"/>
      <c r="D3525" s="31"/>
      <c r="H3525" s="31"/>
    </row>
    <row r="3526">
      <c r="A3526" s="31"/>
      <c r="C3526" s="31"/>
      <c r="D3526" s="31"/>
      <c r="H3526" s="31"/>
    </row>
    <row r="3527">
      <c r="A3527" s="31"/>
      <c r="C3527" s="31"/>
      <c r="D3527" s="31"/>
      <c r="H3527" s="31"/>
    </row>
    <row r="3528">
      <c r="A3528" s="31"/>
      <c r="C3528" s="31"/>
      <c r="D3528" s="31"/>
      <c r="H3528" s="31"/>
    </row>
    <row r="3529">
      <c r="A3529" s="31"/>
      <c r="C3529" s="31"/>
      <c r="D3529" s="31"/>
      <c r="H3529" s="31"/>
    </row>
    <row r="3530">
      <c r="A3530" s="31"/>
      <c r="C3530" s="31"/>
      <c r="D3530" s="31"/>
      <c r="H3530" s="31"/>
    </row>
    <row r="3531">
      <c r="A3531" s="31"/>
      <c r="C3531" s="31"/>
      <c r="D3531" s="31"/>
      <c r="H3531" s="31"/>
    </row>
    <row r="3532">
      <c r="A3532" s="31"/>
      <c r="C3532" s="31"/>
      <c r="D3532" s="31"/>
      <c r="H3532" s="31"/>
    </row>
    <row r="3533">
      <c r="A3533" s="31"/>
      <c r="C3533" s="31"/>
      <c r="D3533" s="31"/>
      <c r="H3533" s="31"/>
    </row>
    <row r="3534">
      <c r="A3534" s="31"/>
      <c r="C3534" s="31"/>
      <c r="D3534" s="31"/>
      <c r="H3534" s="31"/>
    </row>
    <row r="3535">
      <c r="A3535" s="31"/>
      <c r="C3535" s="31"/>
      <c r="D3535" s="31"/>
      <c r="H3535" s="31"/>
    </row>
    <row r="3536">
      <c r="A3536" s="31"/>
      <c r="C3536" s="31"/>
      <c r="D3536" s="31"/>
      <c r="H3536" s="31"/>
    </row>
    <row r="3537">
      <c r="A3537" s="31"/>
      <c r="C3537" s="31"/>
      <c r="D3537" s="31"/>
      <c r="H3537" s="31"/>
    </row>
    <row r="3538">
      <c r="A3538" s="31"/>
      <c r="C3538" s="31"/>
      <c r="D3538" s="31"/>
      <c r="H3538" s="31"/>
    </row>
    <row r="3539">
      <c r="A3539" s="31"/>
      <c r="C3539" s="31"/>
      <c r="D3539" s="31"/>
      <c r="H3539" s="31"/>
    </row>
    <row r="3540">
      <c r="A3540" s="31"/>
      <c r="C3540" s="31"/>
      <c r="D3540" s="31"/>
      <c r="H3540" s="31"/>
    </row>
    <row r="3541">
      <c r="A3541" s="31"/>
      <c r="C3541" s="31"/>
      <c r="D3541" s="31"/>
      <c r="H3541" s="31"/>
    </row>
    <row r="3542">
      <c r="A3542" s="31"/>
      <c r="C3542" s="31"/>
      <c r="D3542" s="31"/>
      <c r="H3542" s="31"/>
    </row>
    <row r="3543">
      <c r="A3543" s="31"/>
      <c r="C3543" s="31"/>
      <c r="D3543" s="31"/>
      <c r="H3543" s="31"/>
    </row>
    <row r="3544">
      <c r="A3544" s="31"/>
      <c r="C3544" s="31"/>
      <c r="D3544" s="31"/>
      <c r="H3544" s="31"/>
    </row>
    <row r="3545">
      <c r="A3545" s="31"/>
      <c r="C3545" s="31"/>
      <c r="D3545" s="31"/>
      <c r="H3545" s="31"/>
    </row>
    <row r="3546">
      <c r="A3546" s="31"/>
      <c r="C3546" s="31"/>
      <c r="D3546" s="31"/>
      <c r="H3546" s="31"/>
    </row>
    <row r="3547">
      <c r="A3547" s="31"/>
      <c r="C3547" s="31"/>
      <c r="D3547" s="31"/>
      <c r="H3547" s="31"/>
    </row>
    <row r="3548">
      <c r="A3548" s="31"/>
      <c r="C3548" s="31"/>
      <c r="D3548" s="31"/>
      <c r="H3548" s="31"/>
    </row>
    <row r="3549">
      <c r="A3549" s="31"/>
      <c r="C3549" s="31"/>
      <c r="D3549" s="31"/>
      <c r="H3549" s="31"/>
    </row>
    <row r="3550">
      <c r="A3550" s="31"/>
      <c r="C3550" s="31"/>
      <c r="D3550" s="31"/>
      <c r="H3550" s="31"/>
    </row>
    <row r="3551">
      <c r="A3551" s="31"/>
      <c r="C3551" s="31"/>
      <c r="D3551" s="31"/>
      <c r="H3551" s="31"/>
    </row>
    <row r="3552">
      <c r="A3552" s="31"/>
      <c r="C3552" s="31"/>
      <c r="D3552" s="31"/>
      <c r="H3552" s="31"/>
    </row>
    <row r="3553">
      <c r="A3553" s="31"/>
      <c r="C3553" s="31"/>
      <c r="D3553" s="31"/>
      <c r="H3553" s="31"/>
    </row>
    <row r="3554">
      <c r="A3554" s="31"/>
      <c r="C3554" s="31"/>
      <c r="D3554" s="31"/>
      <c r="H3554" s="31"/>
    </row>
    <row r="3555">
      <c r="A3555" s="31"/>
      <c r="C3555" s="31"/>
      <c r="D3555" s="31"/>
      <c r="H3555" s="31"/>
    </row>
    <row r="3556">
      <c r="A3556" s="31"/>
      <c r="C3556" s="31"/>
      <c r="D3556" s="31"/>
      <c r="H3556" s="31"/>
    </row>
    <row r="3557">
      <c r="A3557" s="31"/>
      <c r="C3557" s="31"/>
      <c r="D3557" s="31"/>
      <c r="H3557" s="31"/>
    </row>
    <row r="3558">
      <c r="A3558" s="31"/>
      <c r="C3558" s="31"/>
      <c r="D3558" s="31"/>
      <c r="H3558" s="31"/>
    </row>
    <row r="3559">
      <c r="A3559" s="31"/>
      <c r="C3559" s="31"/>
      <c r="D3559" s="31"/>
      <c r="H3559" s="31"/>
    </row>
    <row r="3560">
      <c r="A3560" s="31"/>
      <c r="C3560" s="31"/>
      <c r="D3560" s="31"/>
      <c r="H3560" s="31"/>
    </row>
    <row r="3561">
      <c r="A3561" s="31"/>
      <c r="C3561" s="31"/>
      <c r="D3561" s="31"/>
      <c r="H3561" s="31"/>
    </row>
    <row r="3562">
      <c r="A3562" s="31"/>
      <c r="C3562" s="31"/>
      <c r="D3562" s="31"/>
      <c r="H3562" s="31"/>
    </row>
    <row r="3563">
      <c r="A3563" s="31"/>
      <c r="C3563" s="31"/>
      <c r="D3563" s="31"/>
      <c r="H3563" s="31"/>
    </row>
    <row r="3564">
      <c r="A3564" s="31"/>
      <c r="C3564" s="31"/>
      <c r="D3564" s="31"/>
      <c r="H3564" s="31"/>
    </row>
    <row r="3565">
      <c r="A3565" s="31"/>
      <c r="C3565" s="31"/>
      <c r="D3565" s="31"/>
      <c r="H3565" s="31"/>
    </row>
    <row r="3566">
      <c r="A3566" s="31"/>
      <c r="C3566" s="31"/>
      <c r="D3566" s="31"/>
      <c r="H3566" s="31"/>
    </row>
    <row r="3567">
      <c r="A3567" s="31"/>
      <c r="C3567" s="31"/>
      <c r="D3567" s="31"/>
      <c r="H3567" s="31"/>
    </row>
    <row r="3568">
      <c r="A3568" s="31"/>
      <c r="C3568" s="31"/>
      <c r="D3568" s="31"/>
      <c r="H3568" s="31"/>
    </row>
    <row r="3569">
      <c r="A3569" s="31"/>
      <c r="C3569" s="31"/>
      <c r="D3569" s="31"/>
      <c r="H3569" s="31"/>
    </row>
    <row r="3570">
      <c r="A3570" s="31"/>
      <c r="C3570" s="31"/>
      <c r="D3570" s="31"/>
      <c r="H3570" s="31"/>
    </row>
    <row r="3571">
      <c r="A3571" s="31"/>
      <c r="C3571" s="31"/>
      <c r="D3571" s="31"/>
      <c r="H3571" s="31"/>
    </row>
    <row r="3572">
      <c r="A3572" s="31"/>
      <c r="C3572" s="31"/>
      <c r="D3572" s="31"/>
      <c r="H3572" s="31"/>
    </row>
    <row r="3573">
      <c r="A3573" s="31"/>
      <c r="C3573" s="31"/>
      <c r="D3573" s="31"/>
      <c r="H3573" s="31"/>
    </row>
    <row r="3574">
      <c r="A3574" s="31"/>
      <c r="C3574" s="31"/>
      <c r="D3574" s="31"/>
      <c r="H3574" s="31"/>
    </row>
    <row r="3575">
      <c r="A3575" s="31"/>
      <c r="C3575" s="31"/>
      <c r="D3575" s="31"/>
      <c r="H3575" s="31"/>
    </row>
    <row r="3576">
      <c r="A3576" s="31"/>
      <c r="C3576" s="31"/>
      <c r="D3576" s="31"/>
      <c r="H3576" s="31"/>
    </row>
    <row r="3577">
      <c r="A3577" s="31"/>
      <c r="C3577" s="31"/>
      <c r="D3577" s="31"/>
      <c r="H3577" s="31"/>
    </row>
    <row r="3578">
      <c r="A3578" s="31"/>
      <c r="C3578" s="31"/>
      <c r="D3578" s="31"/>
      <c r="H3578" s="31"/>
    </row>
    <row r="3579">
      <c r="A3579" s="31"/>
      <c r="C3579" s="31"/>
      <c r="D3579" s="31"/>
      <c r="H3579" s="31"/>
    </row>
    <row r="3580">
      <c r="A3580" s="31"/>
      <c r="C3580" s="31"/>
      <c r="D3580" s="31"/>
      <c r="H3580" s="31"/>
    </row>
    <row r="3581">
      <c r="A3581" s="31"/>
      <c r="C3581" s="31"/>
      <c r="D3581" s="31"/>
      <c r="H3581" s="31"/>
    </row>
    <row r="3582">
      <c r="A3582" s="31"/>
      <c r="C3582" s="31"/>
      <c r="D3582" s="31"/>
      <c r="H3582" s="31"/>
    </row>
    <row r="3583">
      <c r="A3583" s="31"/>
      <c r="C3583" s="31"/>
      <c r="D3583" s="31"/>
      <c r="H3583" s="31"/>
    </row>
    <row r="3584">
      <c r="A3584" s="31"/>
      <c r="C3584" s="31"/>
      <c r="D3584" s="31"/>
      <c r="H3584" s="31"/>
    </row>
    <row r="3585">
      <c r="A3585" s="31"/>
      <c r="C3585" s="31"/>
      <c r="D3585" s="31"/>
      <c r="H3585" s="31"/>
    </row>
    <row r="3586">
      <c r="A3586" s="31"/>
      <c r="C3586" s="31"/>
      <c r="D3586" s="31"/>
      <c r="H3586" s="31"/>
    </row>
    <row r="3587">
      <c r="A3587" s="31"/>
      <c r="C3587" s="31"/>
      <c r="D3587" s="31"/>
      <c r="H3587" s="31"/>
    </row>
    <row r="3588">
      <c r="A3588" s="31"/>
      <c r="C3588" s="31"/>
      <c r="D3588" s="31"/>
      <c r="H3588" s="31"/>
    </row>
    <row r="3589">
      <c r="A3589" s="31"/>
      <c r="C3589" s="31"/>
      <c r="D3589" s="31"/>
      <c r="H3589" s="31"/>
    </row>
    <row r="3590">
      <c r="A3590" s="31"/>
      <c r="C3590" s="31"/>
      <c r="D3590" s="31"/>
      <c r="H3590" s="31"/>
    </row>
    <row r="3591">
      <c r="A3591" s="31"/>
      <c r="C3591" s="31"/>
      <c r="D3591" s="31"/>
      <c r="H3591" s="31"/>
    </row>
    <row r="3592">
      <c r="A3592" s="31"/>
      <c r="C3592" s="31"/>
      <c r="D3592" s="31"/>
      <c r="H3592" s="31"/>
    </row>
    <row r="3593">
      <c r="A3593" s="31"/>
      <c r="C3593" s="31"/>
      <c r="D3593" s="31"/>
      <c r="H3593" s="31"/>
    </row>
    <row r="3594">
      <c r="A3594" s="31"/>
      <c r="C3594" s="31"/>
      <c r="D3594" s="31"/>
      <c r="H3594" s="31"/>
    </row>
    <row r="3595">
      <c r="A3595" s="31"/>
      <c r="C3595" s="31"/>
      <c r="D3595" s="31"/>
      <c r="H3595" s="31"/>
    </row>
    <row r="3596">
      <c r="A3596" s="31"/>
      <c r="C3596" s="31"/>
      <c r="D3596" s="31"/>
      <c r="H3596" s="31"/>
    </row>
    <row r="3597">
      <c r="A3597" s="31"/>
      <c r="C3597" s="31"/>
      <c r="D3597" s="31"/>
      <c r="H3597" s="31"/>
    </row>
    <row r="3598">
      <c r="A3598" s="31"/>
      <c r="C3598" s="31"/>
      <c r="D3598" s="31"/>
      <c r="H3598" s="31"/>
    </row>
    <row r="3599">
      <c r="A3599" s="31"/>
      <c r="C3599" s="31"/>
      <c r="D3599" s="31"/>
      <c r="H3599" s="31"/>
    </row>
    <row r="3600">
      <c r="A3600" s="31"/>
      <c r="C3600" s="31"/>
      <c r="D3600" s="31"/>
      <c r="H3600" s="31"/>
    </row>
    <row r="3601">
      <c r="A3601" s="31"/>
      <c r="C3601" s="31"/>
      <c r="D3601" s="31"/>
      <c r="H3601" s="31"/>
    </row>
    <row r="3602">
      <c r="A3602" s="31"/>
      <c r="C3602" s="31"/>
      <c r="D3602" s="31"/>
      <c r="H3602" s="31"/>
    </row>
    <row r="3603">
      <c r="A3603" s="31"/>
      <c r="C3603" s="31"/>
      <c r="D3603" s="31"/>
      <c r="H3603" s="31"/>
    </row>
    <row r="3604">
      <c r="A3604" s="31"/>
      <c r="C3604" s="31"/>
      <c r="D3604" s="31"/>
      <c r="H3604" s="31"/>
    </row>
    <row r="3605">
      <c r="A3605" s="31"/>
      <c r="C3605" s="31"/>
      <c r="D3605" s="31"/>
      <c r="H3605" s="31"/>
    </row>
    <row r="3606">
      <c r="A3606" s="31"/>
      <c r="C3606" s="31"/>
      <c r="D3606" s="31"/>
      <c r="H3606" s="31"/>
    </row>
    <row r="3607">
      <c r="A3607" s="31"/>
      <c r="C3607" s="31"/>
      <c r="D3607" s="31"/>
      <c r="H3607" s="31"/>
    </row>
    <row r="3608">
      <c r="A3608" s="31"/>
      <c r="C3608" s="31"/>
      <c r="D3608" s="31"/>
      <c r="H3608" s="31"/>
    </row>
    <row r="3609">
      <c r="A3609" s="31"/>
      <c r="C3609" s="31"/>
      <c r="D3609" s="31"/>
      <c r="H3609" s="31"/>
    </row>
    <row r="3610">
      <c r="A3610" s="31"/>
      <c r="C3610" s="31"/>
      <c r="D3610" s="31"/>
      <c r="H3610" s="31"/>
    </row>
    <row r="3611">
      <c r="A3611" s="31"/>
      <c r="C3611" s="31"/>
      <c r="D3611" s="31"/>
      <c r="H3611" s="31"/>
    </row>
    <row r="3612">
      <c r="A3612" s="31"/>
      <c r="C3612" s="31"/>
      <c r="D3612" s="31"/>
      <c r="H3612" s="31"/>
    </row>
    <row r="3613">
      <c r="A3613" s="31"/>
      <c r="C3613" s="31"/>
      <c r="D3613" s="31"/>
      <c r="H3613" s="31"/>
    </row>
    <row r="3614">
      <c r="A3614" s="31"/>
      <c r="C3614" s="31"/>
      <c r="D3614" s="31"/>
      <c r="H3614" s="31"/>
    </row>
    <row r="3615">
      <c r="A3615" s="31"/>
      <c r="C3615" s="31"/>
      <c r="D3615" s="31"/>
      <c r="H3615" s="31"/>
    </row>
    <row r="3616">
      <c r="A3616" s="31"/>
      <c r="C3616" s="31"/>
      <c r="D3616" s="31"/>
      <c r="H3616" s="31"/>
    </row>
    <row r="3617">
      <c r="A3617" s="31"/>
      <c r="C3617" s="31"/>
      <c r="D3617" s="31"/>
      <c r="H3617" s="31"/>
    </row>
    <row r="3618">
      <c r="A3618" s="31"/>
      <c r="C3618" s="31"/>
      <c r="D3618" s="31"/>
      <c r="H3618" s="31"/>
    </row>
    <row r="3619">
      <c r="A3619" s="31"/>
      <c r="C3619" s="31"/>
      <c r="D3619" s="31"/>
      <c r="H3619" s="31"/>
    </row>
    <row r="3620">
      <c r="A3620" s="31"/>
      <c r="C3620" s="31"/>
      <c r="D3620" s="31"/>
      <c r="H3620" s="31"/>
    </row>
    <row r="3621">
      <c r="A3621" s="31"/>
      <c r="C3621" s="31"/>
      <c r="D3621" s="31"/>
      <c r="H3621" s="31"/>
    </row>
    <row r="3622">
      <c r="A3622" s="31"/>
      <c r="C3622" s="31"/>
      <c r="D3622" s="31"/>
      <c r="H3622" s="31"/>
    </row>
    <row r="3623">
      <c r="A3623" s="31"/>
      <c r="C3623" s="31"/>
      <c r="D3623" s="31"/>
      <c r="H3623" s="31"/>
    </row>
    <row r="3624">
      <c r="A3624" s="31"/>
      <c r="C3624" s="31"/>
      <c r="D3624" s="31"/>
      <c r="H3624" s="31"/>
    </row>
    <row r="3625">
      <c r="A3625" s="31"/>
      <c r="C3625" s="31"/>
      <c r="D3625" s="31"/>
      <c r="H3625" s="31"/>
    </row>
    <row r="3626">
      <c r="A3626" s="31"/>
      <c r="C3626" s="31"/>
      <c r="D3626" s="31"/>
      <c r="H3626" s="31"/>
    </row>
    <row r="3627">
      <c r="A3627" s="31"/>
      <c r="C3627" s="31"/>
      <c r="D3627" s="31"/>
      <c r="H3627" s="31"/>
    </row>
    <row r="3628">
      <c r="A3628" s="31"/>
      <c r="C3628" s="31"/>
      <c r="D3628" s="31"/>
      <c r="H3628" s="31"/>
    </row>
    <row r="3629">
      <c r="A3629" s="31"/>
      <c r="C3629" s="31"/>
      <c r="D3629" s="31"/>
      <c r="H3629" s="31"/>
    </row>
    <row r="3630">
      <c r="A3630" s="31"/>
      <c r="C3630" s="31"/>
      <c r="D3630" s="31"/>
      <c r="H3630" s="31"/>
    </row>
    <row r="3631">
      <c r="A3631" s="31"/>
      <c r="C3631" s="31"/>
      <c r="D3631" s="31"/>
      <c r="H3631" s="31"/>
    </row>
    <row r="3632">
      <c r="A3632" s="31"/>
      <c r="C3632" s="31"/>
      <c r="D3632" s="31"/>
      <c r="H3632" s="31"/>
    </row>
    <row r="3633">
      <c r="A3633" s="31"/>
      <c r="C3633" s="31"/>
      <c r="D3633" s="31"/>
      <c r="H3633" s="31"/>
    </row>
    <row r="3634">
      <c r="A3634" s="31"/>
      <c r="C3634" s="31"/>
      <c r="D3634" s="31"/>
      <c r="H3634" s="31"/>
    </row>
    <row r="3635">
      <c r="A3635" s="31"/>
      <c r="C3635" s="31"/>
      <c r="D3635" s="31"/>
      <c r="H3635" s="31"/>
    </row>
    <row r="3636">
      <c r="A3636" s="31"/>
      <c r="C3636" s="31"/>
      <c r="D3636" s="31"/>
      <c r="H3636" s="31"/>
    </row>
    <row r="3637">
      <c r="A3637" s="31"/>
      <c r="C3637" s="31"/>
      <c r="D3637" s="31"/>
      <c r="H3637" s="31"/>
    </row>
    <row r="3638">
      <c r="A3638" s="31"/>
      <c r="C3638" s="31"/>
      <c r="D3638" s="31"/>
      <c r="H3638" s="31"/>
    </row>
    <row r="3639">
      <c r="A3639" s="31"/>
      <c r="C3639" s="31"/>
      <c r="D3639" s="31"/>
      <c r="H3639" s="31"/>
    </row>
    <row r="3640">
      <c r="A3640" s="31"/>
      <c r="C3640" s="31"/>
      <c r="D3640" s="31"/>
      <c r="H3640" s="31"/>
    </row>
    <row r="3641">
      <c r="A3641" s="31"/>
      <c r="C3641" s="31"/>
      <c r="D3641" s="31"/>
      <c r="H3641" s="31"/>
    </row>
    <row r="3642">
      <c r="A3642" s="31"/>
      <c r="C3642" s="31"/>
      <c r="D3642" s="31"/>
      <c r="H3642" s="31"/>
    </row>
    <row r="3643">
      <c r="A3643" s="31"/>
      <c r="C3643" s="31"/>
      <c r="D3643" s="31"/>
      <c r="H3643" s="31"/>
    </row>
    <row r="3644">
      <c r="A3644" s="31"/>
      <c r="C3644" s="31"/>
      <c r="D3644" s="31"/>
      <c r="H3644" s="31"/>
    </row>
    <row r="3645">
      <c r="A3645" s="31"/>
      <c r="C3645" s="31"/>
      <c r="D3645" s="31"/>
      <c r="H3645" s="31"/>
    </row>
    <row r="3646">
      <c r="A3646" s="31"/>
      <c r="C3646" s="31"/>
      <c r="D3646" s="31"/>
      <c r="H3646" s="31"/>
    </row>
    <row r="3647">
      <c r="A3647" s="31"/>
      <c r="C3647" s="31"/>
      <c r="D3647" s="31"/>
      <c r="H3647" s="31"/>
    </row>
    <row r="3648">
      <c r="A3648" s="31"/>
      <c r="C3648" s="31"/>
      <c r="D3648" s="31"/>
      <c r="H3648" s="31"/>
    </row>
    <row r="3649">
      <c r="A3649" s="31"/>
      <c r="C3649" s="31"/>
      <c r="D3649" s="31"/>
      <c r="H3649" s="31"/>
    </row>
    <row r="3650">
      <c r="A3650" s="31"/>
      <c r="C3650" s="31"/>
      <c r="D3650" s="31"/>
      <c r="H3650" s="31"/>
    </row>
    <row r="3651">
      <c r="A3651" s="31"/>
      <c r="C3651" s="31"/>
      <c r="D3651" s="31"/>
      <c r="H3651" s="31"/>
    </row>
    <row r="3652">
      <c r="A3652" s="31"/>
      <c r="C3652" s="31"/>
      <c r="D3652" s="31"/>
      <c r="H3652" s="31"/>
    </row>
    <row r="3653">
      <c r="A3653" s="31"/>
      <c r="C3653" s="31"/>
      <c r="D3653" s="31"/>
      <c r="H3653" s="31"/>
    </row>
    <row r="3654">
      <c r="A3654" s="31"/>
      <c r="C3654" s="31"/>
      <c r="D3654" s="31"/>
      <c r="H3654" s="31"/>
    </row>
    <row r="3655">
      <c r="A3655" s="31"/>
      <c r="C3655" s="31"/>
      <c r="D3655" s="31"/>
      <c r="H3655" s="31"/>
    </row>
    <row r="3656">
      <c r="A3656" s="31"/>
      <c r="C3656" s="31"/>
      <c r="D3656" s="31"/>
      <c r="H3656" s="31"/>
    </row>
    <row r="3657">
      <c r="A3657" s="31"/>
      <c r="C3657" s="31"/>
      <c r="D3657" s="31"/>
      <c r="H3657" s="31"/>
    </row>
    <row r="3658">
      <c r="A3658" s="31"/>
      <c r="C3658" s="31"/>
      <c r="D3658" s="31"/>
      <c r="H3658" s="31"/>
    </row>
    <row r="3659">
      <c r="A3659" s="31"/>
      <c r="C3659" s="31"/>
      <c r="D3659" s="31"/>
      <c r="H3659" s="31"/>
    </row>
    <row r="3660">
      <c r="A3660" s="31"/>
      <c r="C3660" s="31"/>
      <c r="D3660" s="31"/>
      <c r="H3660" s="31"/>
    </row>
    <row r="3661">
      <c r="A3661" s="31"/>
      <c r="C3661" s="31"/>
      <c r="D3661" s="31"/>
      <c r="H3661" s="31"/>
    </row>
    <row r="3662">
      <c r="A3662" s="31"/>
      <c r="C3662" s="31"/>
      <c r="D3662" s="31"/>
      <c r="H3662" s="31"/>
    </row>
    <row r="3663">
      <c r="A3663" s="31"/>
      <c r="C3663" s="31"/>
      <c r="D3663" s="31"/>
      <c r="H3663" s="31"/>
    </row>
    <row r="3664">
      <c r="A3664" s="31"/>
      <c r="C3664" s="31"/>
      <c r="D3664" s="31"/>
      <c r="H3664" s="31"/>
    </row>
    <row r="3665">
      <c r="A3665" s="31"/>
      <c r="C3665" s="31"/>
      <c r="D3665" s="31"/>
      <c r="H3665" s="31"/>
    </row>
    <row r="3666">
      <c r="A3666" s="31"/>
      <c r="C3666" s="31"/>
      <c r="D3666" s="31"/>
      <c r="H3666" s="31"/>
    </row>
    <row r="3667">
      <c r="A3667" s="31"/>
      <c r="C3667" s="31"/>
      <c r="D3667" s="31"/>
      <c r="H3667" s="31"/>
    </row>
    <row r="3668">
      <c r="A3668" s="31"/>
      <c r="C3668" s="31"/>
      <c r="D3668" s="31"/>
      <c r="H3668" s="31"/>
    </row>
    <row r="3669">
      <c r="A3669" s="31"/>
      <c r="C3669" s="31"/>
      <c r="D3669" s="31"/>
      <c r="H3669" s="31"/>
    </row>
    <row r="3670">
      <c r="A3670" s="31"/>
      <c r="C3670" s="31"/>
      <c r="D3670" s="31"/>
      <c r="H3670" s="31"/>
    </row>
    <row r="3671">
      <c r="A3671" s="31"/>
      <c r="C3671" s="31"/>
      <c r="D3671" s="31"/>
      <c r="H3671" s="31"/>
    </row>
    <row r="3672">
      <c r="A3672" s="31"/>
      <c r="C3672" s="31"/>
      <c r="D3672" s="31"/>
      <c r="H3672" s="31"/>
    </row>
    <row r="3673">
      <c r="A3673" s="31"/>
      <c r="C3673" s="31"/>
      <c r="D3673" s="31"/>
      <c r="H3673" s="31"/>
    </row>
    <row r="3674">
      <c r="A3674" s="31"/>
      <c r="C3674" s="31"/>
      <c r="D3674" s="31"/>
      <c r="H3674" s="31"/>
    </row>
    <row r="3675">
      <c r="A3675" s="31"/>
      <c r="C3675" s="31"/>
      <c r="D3675" s="31"/>
      <c r="H3675" s="31"/>
    </row>
    <row r="3676">
      <c r="A3676" s="31"/>
      <c r="C3676" s="31"/>
      <c r="D3676" s="31"/>
      <c r="H3676" s="31"/>
    </row>
    <row r="3677">
      <c r="A3677" s="31"/>
      <c r="C3677" s="31"/>
      <c r="D3677" s="31"/>
      <c r="H3677" s="31"/>
    </row>
    <row r="3678">
      <c r="A3678" s="31"/>
      <c r="C3678" s="31"/>
      <c r="D3678" s="31"/>
      <c r="H3678" s="31"/>
    </row>
    <row r="3679">
      <c r="A3679" s="31"/>
      <c r="C3679" s="31"/>
      <c r="D3679" s="31"/>
      <c r="H3679" s="31"/>
    </row>
    <row r="3680">
      <c r="A3680" s="31"/>
      <c r="C3680" s="31"/>
      <c r="D3680" s="31"/>
      <c r="H3680" s="31"/>
    </row>
    <row r="3681">
      <c r="A3681" s="31"/>
      <c r="C3681" s="31"/>
      <c r="D3681" s="31"/>
      <c r="H3681" s="31"/>
    </row>
    <row r="3682">
      <c r="A3682" s="31"/>
      <c r="C3682" s="31"/>
      <c r="D3682" s="31"/>
      <c r="H3682" s="31"/>
    </row>
    <row r="3683">
      <c r="A3683" s="31"/>
      <c r="C3683" s="31"/>
      <c r="D3683" s="31"/>
      <c r="H3683" s="31"/>
    </row>
    <row r="3684">
      <c r="A3684" s="31"/>
      <c r="C3684" s="31"/>
      <c r="D3684" s="31"/>
      <c r="H3684" s="31"/>
    </row>
    <row r="3685">
      <c r="A3685" s="31"/>
      <c r="C3685" s="31"/>
      <c r="D3685" s="31"/>
      <c r="H3685" s="31"/>
    </row>
    <row r="3686">
      <c r="A3686" s="31"/>
      <c r="C3686" s="31"/>
      <c r="D3686" s="31"/>
      <c r="H3686" s="31"/>
    </row>
    <row r="3687">
      <c r="A3687" s="31"/>
      <c r="C3687" s="31"/>
      <c r="D3687" s="31"/>
      <c r="H3687" s="31"/>
    </row>
    <row r="3688">
      <c r="A3688" s="31"/>
      <c r="C3688" s="31"/>
      <c r="D3688" s="31"/>
      <c r="H3688" s="31"/>
    </row>
    <row r="3689">
      <c r="A3689" s="31"/>
      <c r="C3689" s="31"/>
      <c r="D3689" s="31"/>
      <c r="H3689" s="31"/>
    </row>
    <row r="3690">
      <c r="A3690" s="31"/>
      <c r="C3690" s="31"/>
      <c r="D3690" s="31"/>
      <c r="H3690" s="31"/>
    </row>
    <row r="3691">
      <c r="A3691" s="31"/>
      <c r="C3691" s="31"/>
      <c r="D3691" s="31"/>
      <c r="H3691" s="31"/>
    </row>
    <row r="3692">
      <c r="A3692" s="31"/>
      <c r="C3692" s="31"/>
      <c r="D3692" s="31"/>
      <c r="H3692" s="31"/>
    </row>
    <row r="3693">
      <c r="A3693" s="31"/>
      <c r="C3693" s="31"/>
      <c r="D3693" s="31"/>
      <c r="H3693" s="31"/>
    </row>
    <row r="3694">
      <c r="A3694" s="31"/>
      <c r="C3694" s="31"/>
      <c r="D3694" s="31"/>
      <c r="H3694" s="31"/>
    </row>
    <row r="3695">
      <c r="A3695" s="31"/>
      <c r="C3695" s="31"/>
      <c r="D3695" s="31"/>
      <c r="H3695" s="31"/>
    </row>
    <row r="3696">
      <c r="A3696" s="31"/>
      <c r="C3696" s="31"/>
      <c r="D3696" s="31"/>
      <c r="H3696" s="31"/>
    </row>
    <row r="3697">
      <c r="A3697" s="31"/>
      <c r="C3697" s="31"/>
      <c r="D3697" s="31"/>
      <c r="H3697" s="31"/>
    </row>
    <row r="3698">
      <c r="A3698" s="31"/>
      <c r="C3698" s="31"/>
      <c r="D3698" s="31"/>
      <c r="H3698" s="31"/>
    </row>
    <row r="3699">
      <c r="A3699" s="31"/>
      <c r="C3699" s="31"/>
      <c r="D3699" s="31"/>
      <c r="H3699" s="31"/>
    </row>
    <row r="3700">
      <c r="A3700" s="31"/>
      <c r="C3700" s="31"/>
      <c r="D3700" s="31"/>
      <c r="H3700" s="31"/>
    </row>
    <row r="3701">
      <c r="A3701" s="31"/>
      <c r="C3701" s="31"/>
      <c r="D3701" s="31"/>
      <c r="H3701" s="31"/>
    </row>
    <row r="3702">
      <c r="A3702" s="31"/>
      <c r="C3702" s="31"/>
      <c r="D3702" s="31"/>
      <c r="H3702" s="31"/>
    </row>
    <row r="3703">
      <c r="A3703" s="31"/>
      <c r="C3703" s="31"/>
      <c r="D3703" s="31"/>
      <c r="H3703" s="31"/>
    </row>
    <row r="3704">
      <c r="A3704" s="31"/>
      <c r="C3704" s="31"/>
      <c r="D3704" s="31"/>
      <c r="H3704" s="31"/>
    </row>
    <row r="3705">
      <c r="A3705" s="31"/>
      <c r="C3705" s="31"/>
      <c r="D3705" s="31"/>
      <c r="H3705" s="31"/>
    </row>
    <row r="3706">
      <c r="A3706" s="31"/>
      <c r="C3706" s="31"/>
      <c r="D3706" s="31"/>
      <c r="H3706" s="31"/>
    </row>
    <row r="3707">
      <c r="A3707" s="31"/>
      <c r="C3707" s="31"/>
      <c r="D3707" s="31"/>
      <c r="H3707" s="31"/>
    </row>
    <row r="3708">
      <c r="A3708" s="31"/>
      <c r="C3708" s="31"/>
      <c r="D3708" s="31"/>
      <c r="H3708" s="31"/>
    </row>
    <row r="3709">
      <c r="A3709" s="31"/>
      <c r="C3709" s="31"/>
      <c r="D3709" s="31"/>
      <c r="H3709" s="31"/>
    </row>
    <row r="3710">
      <c r="A3710" s="31"/>
      <c r="C3710" s="31"/>
      <c r="D3710" s="31"/>
      <c r="H3710" s="31"/>
    </row>
    <row r="3711">
      <c r="A3711" s="31"/>
      <c r="C3711" s="31"/>
      <c r="D3711" s="31"/>
      <c r="H3711" s="31"/>
    </row>
    <row r="3712">
      <c r="A3712" s="31"/>
      <c r="C3712" s="31"/>
      <c r="D3712" s="31"/>
      <c r="H3712" s="31"/>
    </row>
    <row r="3713">
      <c r="A3713" s="31"/>
      <c r="C3713" s="31"/>
      <c r="D3713" s="31"/>
      <c r="H3713" s="31"/>
    </row>
    <row r="3714">
      <c r="A3714" s="31"/>
      <c r="C3714" s="31"/>
      <c r="D3714" s="31"/>
      <c r="H3714" s="31"/>
    </row>
    <row r="3715">
      <c r="A3715" s="31"/>
      <c r="C3715" s="31"/>
      <c r="D3715" s="31"/>
      <c r="H3715" s="31"/>
    </row>
    <row r="3716">
      <c r="A3716" s="31"/>
      <c r="C3716" s="31"/>
      <c r="D3716" s="31"/>
      <c r="H3716" s="31"/>
    </row>
    <row r="3717">
      <c r="A3717" s="31"/>
      <c r="C3717" s="31"/>
      <c r="D3717" s="31"/>
      <c r="H3717" s="31"/>
    </row>
    <row r="3718">
      <c r="A3718" s="31"/>
      <c r="C3718" s="31"/>
      <c r="D3718" s="31"/>
      <c r="H3718" s="31"/>
    </row>
    <row r="3719">
      <c r="A3719" s="31"/>
      <c r="C3719" s="31"/>
      <c r="D3719" s="31"/>
      <c r="H3719" s="31"/>
    </row>
    <row r="3720">
      <c r="A3720" s="31"/>
      <c r="C3720" s="31"/>
      <c r="D3720" s="31"/>
      <c r="H3720" s="31"/>
    </row>
    <row r="3721">
      <c r="A3721" s="31"/>
      <c r="C3721" s="31"/>
      <c r="D3721" s="31"/>
      <c r="H3721" s="31"/>
    </row>
    <row r="3722">
      <c r="A3722" s="31"/>
      <c r="C3722" s="31"/>
      <c r="D3722" s="31"/>
      <c r="H3722" s="31"/>
    </row>
    <row r="3723">
      <c r="A3723" s="31"/>
      <c r="C3723" s="31"/>
      <c r="D3723" s="31"/>
      <c r="H3723" s="31"/>
    </row>
    <row r="3724">
      <c r="A3724" s="31"/>
      <c r="C3724" s="31"/>
      <c r="D3724" s="31"/>
      <c r="H3724" s="31"/>
    </row>
    <row r="3725">
      <c r="A3725" s="31"/>
      <c r="C3725" s="31"/>
      <c r="D3725" s="31"/>
      <c r="H3725" s="31"/>
    </row>
    <row r="3726">
      <c r="A3726" s="31"/>
      <c r="C3726" s="31"/>
      <c r="D3726" s="31"/>
      <c r="H3726" s="31"/>
    </row>
    <row r="3727">
      <c r="A3727" s="31"/>
      <c r="C3727" s="31"/>
      <c r="D3727" s="31"/>
      <c r="H3727" s="31"/>
    </row>
    <row r="3728">
      <c r="A3728" s="31"/>
      <c r="C3728" s="31"/>
      <c r="D3728" s="31"/>
      <c r="H3728" s="31"/>
    </row>
    <row r="3729">
      <c r="A3729" s="31"/>
      <c r="C3729" s="31"/>
      <c r="D3729" s="31"/>
      <c r="H3729" s="31"/>
    </row>
    <row r="3730">
      <c r="A3730" s="31"/>
      <c r="C3730" s="31"/>
      <c r="D3730" s="31"/>
      <c r="H3730" s="31"/>
    </row>
    <row r="3731">
      <c r="A3731" s="31"/>
      <c r="C3731" s="31"/>
      <c r="D3731" s="31"/>
      <c r="H3731" s="31"/>
    </row>
    <row r="3732">
      <c r="A3732" s="31"/>
      <c r="C3732" s="31"/>
      <c r="D3732" s="31"/>
      <c r="H3732" s="31"/>
    </row>
    <row r="3733">
      <c r="A3733" s="31"/>
      <c r="C3733" s="31"/>
      <c r="D3733" s="31"/>
      <c r="H3733" s="31"/>
    </row>
    <row r="3734">
      <c r="A3734" s="31"/>
      <c r="C3734" s="31"/>
      <c r="D3734" s="31"/>
      <c r="H3734" s="31"/>
    </row>
    <row r="3735">
      <c r="A3735" s="31"/>
      <c r="C3735" s="31"/>
      <c r="D3735" s="31"/>
      <c r="H3735" s="31"/>
    </row>
    <row r="3736">
      <c r="A3736" s="31"/>
      <c r="C3736" s="31"/>
      <c r="D3736" s="31"/>
      <c r="H3736" s="31"/>
    </row>
    <row r="3737">
      <c r="A3737" s="31"/>
      <c r="C3737" s="31"/>
      <c r="D3737" s="31"/>
      <c r="H3737" s="31"/>
    </row>
    <row r="3738">
      <c r="A3738" s="31"/>
      <c r="C3738" s="31"/>
      <c r="D3738" s="31"/>
      <c r="H3738" s="31"/>
    </row>
    <row r="3739">
      <c r="A3739" s="31"/>
      <c r="C3739" s="31"/>
      <c r="D3739" s="31"/>
      <c r="H3739" s="31"/>
    </row>
    <row r="3740">
      <c r="A3740" s="31"/>
      <c r="C3740" s="31"/>
      <c r="D3740" s="31"/>
      <c r="H3740" s="31"/>
    </row>
    <row r="3741">
      <c r="A3741" s="31"/>
      <c r="C3741" s="31"/>
      <c r="D3741" s="31"/>
      <c r="H3741" s="31"/>
    </row>
    <row r="3742">
      <c r="A3742" s="31"/>
      <c r="C3742" s="31"/>
      <c r="D3742" s="31"/>
      <c r="H3742" s="31"/>
    </row>
    <row r="3743">
      <c r="A3743" s="31"/>
      <c r="C3743" s="31"/>
      <c r="D3743" s="31"/>
      <c r="H3743" s="31"/>
    </row>
    <row r="3744">
      <c r="A3744" s="31"/>
      <c r="C3744" s="31"/>
      <c r="D3744" s="31"/>
      <c r="H3744" s="31"/>
    </row>
    <row r="3745">
      <c r="A3745" s="31"/>
      <c r="C3745" s="31"/>
      <c r="D3745" s="31"/>
      <c r="H3745" s="31"/>
    </row>
    <row r="3746">
      <c r="A3746" s="31"/>
      <c r="C3746" s="31"/>
      <c r="D3746" s="31"/>
      <c r="H3746" s="31"/>
    </row>
    <row r="3747">
      <c r="A3747" s="31"/>
      <c r="C3747" s="31"/>
      <c r="D3747" s="31"/>
      <c r="H3747" s="31"/>
    </row>
    <row r="3748">
      <c r="A3748" s="31"/>
      <c r="C3748" s="31"/>
      <c r="D3748" s="31"/>
      <c r="H3748" s="31"/>
    </row>
    <row r="3749">
      <c r="A3749" s="31"/>
      <c r="C3749" s="31"/>
      <c r="D3749" s="31"/>
      <c r="H3749" s="31"/>
    </row>
    <row r="3750">
      <c r="A3750" s="31"/>
      <c r="C3750" s="31"/>
      <c r="D3750" s="31"/>
      <c r="H3750" s="31"/>
    </row>
    <row r="3751">
      <c r="A3751" s="31"/>
      <c r="C3751" s="31"/>
      <c r="D3751" s="31"/>
      <c r="H3751" s="31"/>
    </row>
    <row r="3752">
      <c r="A3752" s="31"/>
      <c r="C3752" s="31"/>
      <c r="D3752" s="31"/>
      <c r="H3752" s="31"/>
    </row>
    <row r="3753">
      <c r="A3753" s="31"/>
      <c r="C3753" s="31"/>
      <c r="D3753" s="31"/>
      <c r="H3753" s="31"/>
    </row>
    <row r="3754">
      <c r="A3754" s="31"/>
      <c r="C3754" s="31"/>
      <c r="D3754" s="31"/>
      <c r="H3754" s="31"/>
    </row>
    <row r="3755">
      <c r="A3755" s="31"/>
      <c r="C3755" s="31"/>
      <c r="D3755" s="31"/>
      <c r="H3755" s="31"/>
    </row>
    <row r="3756">
      <c r="A3756" s="31"/>
      <c r="C3756" s="31"/>
      <c r="D3756" s="31"/>
      <c r="H3756" s="31"/>
    </row>
    <row r="3757">
      <c r="A3757" s="31"/>
      <c r="C3757" s="31"/>
      <c r="D3757" s="31"/>
      <c r="H3757" s="31"/>
    </row>
    <row r="3758">
      <c r="A3758" s="31"/>
      <c r="C3758" s="31"/>
      <c r="D3758" s="31"/>
      <c r="H3758" s="31"/>
    </row>
    <row r="3759">
      <c r="A3759" s="31"/>
      <c r="C3759" s="31"/>
      <c r="D3759" s="31"/>
      <c r="H3759" s="31"/>
    </row>
    <row r="3760">
      <c r="A3760" s="31"/>
      <c r="C3760" s="31"/>
      <c r="D3760" s="31"/>
      <c r="H3760" s="31"/>
    </row>
    <row r="3761">
      <c r="A3761" s="31"/>
      <c r="C3761" s="31"/>
      <c r="D3761" s="31"/>
      <c r="H3761" s="31"/>
    </row>
    <row r="3762">
      <c r="A3762" s="31"/>
      <c r="C3762" s="31"/>
      <c r="D3762" s="31"/>
      <c r="H3762" s="31"/>
    </row>
    <row r="3763">
      <c r="A3763" s="31"/>
      <c r="C3763" s="31"/>
      <c r="D3763" s="31"/>
      <c r="H3763" s="31"/>
    </row>
    <row r="3764">
      <c r="A3764" s="31"/>
      <c r="C3764" s="31"/>
      <c r="D3764" s="31"/>
      <c r="H3764" s="31"/>
    </row>
    <row r="3765">
      <c r="A3765" s="31"/>
      <c r="C3765" s="31"/>
      <c r="D3765" s="31"/>
      <c r="H3765" s="31"/>
    </row>
    <row r="3766">
      <c r="A3766" s="31"/>
      <c r="C3766" s="31"/>
      <c r="D3766" s="31"/>
      <c r="H3766" s="31"/>
    </row>
    <row r="3767">
      <c r="A3767" s="31"/>
      <c r="C3767" s="31"/>
      <c r="D3767" s="31"/>
      <c r="H3767" s="31"/>
    </row>
    <row r="3768">
      <c r="A3768" s="31"/>
      <c r="C3768" s="31"/>
      <c r="D3768" s="31"/>
      <c r="H3768" s="31"/>
    </row>
    <row r="3769">
      <c r="A3769" s="31"/>
      <c r="C3769" s="31"/>
      <c r="D3769" s="31"/>
      <c r="H3769" s="31"/>
    </row>
    <row r="3770">
      <c r="A3770" s="31"/>
      <c r="C3770" s="31"/>
      <c r="D3770" s="31"/>
      <c r="H3770" s="31"/>
    </row>
    <row r="3771">
      <c r="A3771" s="31"/>
      <c r="C3771" s="31"/>
      <c r="D3771" s="31"/>
      <c r="H3771" s="31"/>
    </row>
    <row r="3772">
      <c r="A3772" s="31"/>
      <c r="C3772" s="31"/>
      <c r="D3772" s="31"/>
      <c r="H3772" s="31"/>
    </row>
    <row r="3773">
      <c r="A3773" s="31"/>
      <c r="C3773" s="31"/>
      <c r="D3773" s="31"/>
      <c r="H3773" s="31"/>
    </row>
    <row r="3774">
      <c r="A3774" s="31"/>
      <c r="C3774" s="31"/>
      <c r="D3774" s="31"/>
      <c r="H3774" s="31"/>
    </row>
    <row r="3775">
      <c r="A3775" s="31"/>
      <c r="C3775" s="31"/>
      <c r="D3775" s="31"/>
      <c r="H3775" s="31"/>
    </row>
    <row r="3776">
      <c r="A3776" s="31"/>
      <c r="C3776" s="31"/>
      <c r="D3776" s="31"/>
      <c r="H3776" s="31"/>
    </row>
    <row r="3777">
      <c r="A3777" s="31"/>
      <c r="C3777" s="31"/>
      <c r="D3777" s="31"/>
      <c r="H3777" s="31"/>
    </row>
    <row r="3778">
      <c r="A3778" s="31"/>
      <c r="C3778" s="31"/>
      <c r="D3778" s="31"/>
      <c r="H3778" s="31"/>
    </row>
    <row r="3779">
      <c r="A3779" s="31"/>
      <c r="C3779" s="31"/>
      <c r="D3779" s="31"/>
      <c r="H3779" s="31"/>
    </row>
    <row r="3780">
      <c r="A3780" s="31"/>
      <c r="C3780" s="31"/>
      <c r="D3780" s="31"/>
      <c r="H3780" s="31"/>
    </row>
    <row r="3781">
      <c r="A3781" s="31"/>
      <c r="C3781" s="31"/>
      <c r="D3781" s="31"/>
      <c r="H3781" s="31"/>
    </row>
    <row r="3782">
      <c r="A3782" s="31"/>
      <c r="C3782" s="31"/>
      <c r="D3782" s="31"/>
      <c r="H3782" s="31"/>
    </row>
    <row r="3783">
      <c r="A3783" s="31"/>
      <c r="C3783" s="31"/>
      <c r="D3783" s="31"/>
      <c r="H3783" s="31"/>
    </row>
    <row r="3784">
      <c r="A3784" s="31"/>
      <c r="C3784" s="31"/>
      <c r="D3784" s="31"/>
      <c r="H3784" s="31"/>
    </row>
    <row r="3785">
      <c r="A3785" s="31"/>
      <c r="C3785" s="31"/>
      <c r="D3785" s="31"/>
      <c r="H3785" s="31"/>
    </row>
    <row r="3786">
      <c r="A3786" s="31"/>
      <c r="C3786" s="31"/>
      <c r="D3786" s="31"/>
      <c r="H3786" s="31"/>
    </row>
    <row r="3787">
      <c r="A3787" s="31"/>
      <c r="C3787" s="31"/>
      <c r="D3787" s="31"/>
      <c r="H3787" s="31"/>
    </row>
    <row r="3788">
      <c r="A3788" s="31"/>
      <c r="C3788" s="31"/>
      <c r="D3788" s="31"/>
      <c r="H3788" s="31"/>
    </row>
    <row r="3789">
      <c r="A3789" s="31"/>
      <c r="C3789" s="31"/>
      <c r="D3789" s="31"/>
      <c r="H3789" s="31"/>
    </row>
    <row r="3790">
      <c r="A3790" s="31"/>
      <c r="C3790" s="31"/>
      <c r="D3790" s="31"/>
      <c r="H3790" s="31"/>
    </row>
    <row r="3791">
      <c r="A3791" s="31"/>
      <c r="C3791" s="31"/>
      <c r="D3791" s="31"/>
      <c r="H3791" s="31"/>
    </row>
    <row r="3792">
      <c r="A3792" s="31"/>
      <c r="C3792" s="31"/>
      <c r="D3792" s="31"/>
      <c r="H3792" s="31"/>
    </row>
    <row r="3793">
      <c r="A3793" s="31"/>
      <c r="C3793" s="31"/>
      <c r="D3793" s="31"/>
      <c r="H3793" s="31"/>
    </row>
    <row r="3794">
      <c r="A3794" s="31"/>
      <c r="C3794" s="31"/>
      <c r="D3794" s="31"/>
      <c r="H3794" s="31"/>
    </row>
    <row r="3795">
      <c r="A3795" s="31"/>
      <c r="C3795" s="31"/>
      <c r="D3795" s="31"/>
      <c r="H3795" s="31"/>
    </row>
    <row r="3796">
      <c r="A3796" s="31"/>
      <c r="C3796" s="31"/>
      <c r="D3796" s="31"/>
      <c r="H3796" s="31"/>
    </row>
    <row r="3797">
      <c r="A3797" s="31"/>
      <c r="C3797" s="31"/>
      <c r="D3797" s="31"/>
      <c r="H3797" s="31"/>
    </row>
    <row r="3798">
      <c r="A3798" s="31"/>
      <c r="C3798" s="31"/>
      <c r="D3798" s="31"/>
      <c r="H3798" s="31"/>
    </row>
    <row r="3799">
      <c r="A3799" s="31"/>
      <c r="C3799" s="31"/>
      <c r="D3799" s="31"/>
      <c r="H3799" s="31"/>
    </row>
    <row r="3800">
      <c r="A3800" s="31"/>
      <c r="C3800" s="31"/>
      <c r="D3800" s="31"/>
      <c r="H3800" s="31"/>
    </row>
    <row r="3801">
      <c r="A3801" s="31"/>
      <c r="C3801" s="31"/>
      <c r="D3801" s="31"/>
      <c r="H3801" s="31"/>
    </row>
    <row r="3802">
      <c r="A3802" s="31"/>
      <c r="C3802" s="31"/>
      <c r="D3802" s="31"/>
      <c r="H3802" s="31"/>
    </row>
    <row r="3803">
      <c r="A3803" s="31"/>
      <c r="C3803" s="31"/>
      <c r="D3803" s="31"/>
      <c r="H3803" s="31"/>
    </row>
    <row r="3804">
      <c r="A3804" s="31"/>
      <c r="C3804" s="31"/>
      <c r="D3804" s="31"/>
      <c r="H3804" s="31"/>
    </row>
    <row r="3805">
      <c r="A3805" s="31"/>
      <c r="C3805" s="31"/>
      <c r="D3805" s="31"/>
      <c r="H3805" s="31"/>
    </row>
    <row r="3806">
      <c r="A3806" s="31"/>
      <c r="C3806" s="31"/>
      <c r="D3806" s="31"/>
      <c r="H3806" s="31"/>
    </row>
    <row r="3807">
      <c r="A3807" s="31"/>
      <c r="C3807" s="31"/>
      <c r="D3807" s="31"/>
      <c r="H3807" s="31"/>
    </row>
    <row r="3808">
      <c r="A3808" s="31"/>
      <c r="C3808" s="31"/>
      <c r="D3808" s="31"/>
      <c r="H3808" s="31"/>
    </row>
    <row r="3809">
      <c r="A3809" s="31"/>
      <c r="C3809" s="31"/>
      <c r="D3809" s="31"/>
      <c r="H3809" s="31"/>
    </row>
    <row r="3810">
      <c r="A3810" s="31"/>
      <c r="C3810" s="31"/>
      <c r="D3810" s="31"/>
      <c r="H3810" s="31"/>
    </row>
    <row r="3811">
      <c r="A3811" s="31"/>
      <c r="C3811" s="31"/>
      <c r="D3811" s="31"/>
      <c r="H3811" s="31"/>
    </row>
    <row r="3812">
      <c r="A3812" s="31"/>
      <c r="C3812" s="31"/>
      <c r="D3812" s="31"/>
      <c r="H3812" s="31"/>
    </row>
    <row r="3813">
      <c r="A3813" s="31"/>
      <c r="C3813" s="31"/>
      <c r="D3813" s="31"/>
      <c r="H3813" s="31"/>
    </row>
    <row r="3814">
      <c r="A3814" s="31"/>
      <c r="C3814" s="31"/>
      <c r="D3814" s="31"/>
      <c r="H3814" s="31"/>
    </row>
    <row r="3815">
      <c r="A3815" s="31"/>
      <c r="C3815" s="31"/>
      <c r="D3815" s="31"/>
      <c r="H3815" s="31"/>
    </row>
    <row r="3816">
      <c r="A3816" s="31"/>
      <c r="C3816" s="31"/>
      <c r="D3816" s="31"/>
      <c r="H3816" s="31"/>
    </row>
    <row r="3817">
      <c r="A3817" s="31"/>
      <c r="C3817" s="31"/>
      <c r="D3817" s="31"/>
      <c r="H3817" s="31"/>
    </row>
    <row r="3818">
      <c r="A3818" s="31"/>
      <c r="C3818" s="31"/>
      <c r="D3818" s="31"/>
      <c r="H3818" s="31"/>
    </row>
    <row r="3819">
      <c r="A3819" s="31"/>
      <c r="C3819" s="31"/>
      <c r="D3819" s="31"/>
      <c r="H3819" s="31"/>
    </row>
    <row r="3820">
      <c r="A3820" s="31"/>
      <c r="C3820" s="31"/>
      <c r="D3820" s="31"/>
      <c r="H3820" s="31"/>
    </row>
    <row r="3821">
      <c r="A3821" s="31"/>
      <c r="C3821" s="31"/>
      <c r="D3821" s="31"/>
      <c r="H3821" s="31"/>
    </row>
    <row r="3822">
      <c r="A3822" s="31"/>
      <c r="C3822" s="31"/>
      <c r="D3822" s="31"/>
      <c r="H3822" s="31"/>
    </row>
    <row r="3823">
      <c r="A3823" s="31"/>
      <c r="C3823" s="31"/>
      <c r="D3823" s="31"/>
      <c r="H3823" s="31"/>
    </row>
    <row r="3824">
      <c r="A3824" s="31"/>
      <c r="C3824" s="31"/>
      <c r="D3824" s="31"/>
      <c r="H3824" s="31"/>
    </row>
    <row r="3825">
      <c r="A3825" s="31"/>
      <c r="C3825" s="31"/>
      <c r="D3825" s="31"/>
      <c r="H3825" s="31"/>
    </row>
    <row r="3826">
      <c r="A3826" s="31"/>
      <c r="C3826" s="31"/>
      <c r="D3826" s="31"/>
      <c r="H3826" s="31"/>
    </row>
    <row r="3827">
      <c r="A3827" s="31"/>
      <c r="C3827" s="31"/>
      <c r="D3827" s="31"/>
      <c r="H3827" s="31"/>
    </row>
    <row r="3828">
      <c r="A3828" s="31"/>
      <c r="C3828" s="31"/>
      <c r="D3828" s="31"/>
      <c r="H3828" s="31"/>
    </row>
    <row r="3829">
      <c r="A3829" s="31"/>
      <c r="C3829" s="31"/>
      <c r="D3829" s="31"/>
      <c r="H3829" s="31"/>
    </row>
    <row r="3830">
      <c r="A3830" s="31"/>
      <c r="C3830" s="31"/>
      <c r="D3830" s="31"/>
      <c r="H3830" s="31"/>
    </row>
    <row r="3831">
      <c r="A3831" s="31"/>
      <c r="C3831" s="31"/>
      <c r="D3831" s="31"/>
      <c r="H3831" s="31"/>
    </row>
    <row r="3832">
      <c r="A3832" s="31"/>
      <c r="C3832" s="31"/>
      <c r="D3832" s="31"/>
      <c r="H3832" s="31"/>
    </row>
    <row r="3833">
      <c r="A3833" s="31"/>
      <c r="C3833" s="31"/>
      <c r="D3833" s="31"/>
      <c r="H3833" s="31"/>
    </row>
    <row r="3834">
      <c r="A3834" s="31"/>
      <c r="C3834" s="31"/>
      <c r="D3834" s="31"/>
      <c r="H3834" s="31"/>
    </row>
    <row r="3835">
      <c r="A3835" s="31"/>
      <c r="C3835" s="31"/>
      <c r="D3835" s="31"/>
      <c r="H3835" s="31"/>
    </row>
    <row r="3836">
      <c r="A3836" s="31"/>
      <c r="C3836" s="31"/>
      <c r="D3836" s="31"/>
      <c r="H3836" s="31"/>
    </row>
    <row r="3837">
      <c r="A3837" s="31"/>
      <c r="C3837" s="31"/>
      <c r="D3837" s="31"/>
      <c r="H3837" s="31"/>
    </row>
    <row r="3838">
      <c r="A3838" s="31"/>
      <c r="C3838" s="31"/>
      <c r="D3838" s="31"/>
      <c r="H3838" s="31"/>
    </row>
    <row r="3839">
      <c r="A3839" s="31"/>
      <c r="C3839" s="31"/>
      <c r="D3839" s="31"/>
      <c r="H3839" s="31"/>
    </row>
    <row r="3840">
      <c r="A3840" s="31"/>
      <c r="C3840" s="31"/>
      <c r="D3840" s="31"/>
      <c r="H3840" s="31"/>
    </row>
    <row r="3841">
      <c r="A3841" s="31"/>
      <c r="C3841" s="31"/>
      <c r="D3841" s="31"/>
      <c r="H3841" s="31"/>
    </row>
    <row r="3842">
      <c r="A3842" s="31"/>
      <c r="C3842" s="31"/>
      <c r="D3842" s="31"/>
      <c r="H3842" s="31"/>
    </row>
    <row r="3843">
      <c r="A3843" s="31"/>
      <c r="C3843" s="31"/>
      <c r="D3843" s="31"/>
      <c r="H3843" s="31"/>
    </row>
    <row r="3844">
      <c r="A3844" s="31"/>
      <c r="C3844" s="31"/>
      <c r="D3844" s="31"/>
      <c r="H3844" s="31"/>
    </row>
    <row r="3845">
      <c r="A3845" s="31"/>
      <c r="C3845" s="31"/>
      <c r="D3845" s="31"/>
      <c r="H3845" s="31"/>
    </row>
    <row r="3846">
      <c r="A3846" s="31"/>
      <c r="C3846" s="31"/>
      <c r="D3846" s="31"/>
      <c r="H3846" s="31"/>
    </row>
    <row r="3847">
      <c r="A3847" s="31"/>
      <c r="C3847" s="31"/>
      <c r="D3847" s="31"/>
      <c r="H3847" s="31"/>
    </row>
    <row r="3848">
      <c r="A3848" s="31"/>
      <c r="C3848" s="31"/>
      <c r="D3848" s="31"/>
      <c r="H3848" s="31"/>
    </row>
    <row r="3849">
      <c r="A3849" s="31"/>
      <c r="C3849" s="31"/>
      <c r="D3849" s="31"/>
      <c r="H3849" s="31"/>
    </row>
    <row r="3850">
      <c r="A3850" s="31"/>
      <c r="C3850" s="31"/>
      <c r="D3850" s="31"/>
      <c r="H3850" s="31"/>
    </row>
    <row r="3851">
      <c r="A3851" s="31"/>
      <c r="C3851" s="31"/>
      <c r="D3851" s="31"/>
      <c r="H3851" s="31"/>
    </row>
    <row r="3852">
      <c r="A3852" s="31"/>
      <c r="C3852" s="31"/>
      <c r="D3852" s="31"/>
      <c r="H3852" s="31"/>
    </row>
    <row r="3853">
      <c r="A3853" s="31"/>
      <c r="C3853" s="31"/>
      <c r="D3853" s="31"/>
      <c r="H3853" s="31"/>
    </row>
    <row r="3854">
      <c r="A3854" s="31"/>
      <c r="C3854" s="31"/>
      <c r="D3854" s="31"/>
      <c r="H3854" s="31"/>
    </row>
    <row r="3855">
      <c r="A3855" s="31"/>
      <c r="C3855" s="31"/>
      <c r="D3855" s="31"/>
      <c r="H3855" s="31"/>
    </row>
    <row r="3856">
      <c r="A3856" s="31"/>
      <c r="C3856" s="31"/>
      <c r="D3856" s="31"/>
      <c r="H3856" s="31"/>
    </row>
    <row r="3857">
      <c r="A3857" s="31"/>
      <c r="C3857" s="31"/>
      <c r="D3857" s="31"/>
      <c r="H3857" s="31"/>
    </row>
    <row r="3858">
      <c r="A3858" s="31"/>
      <c r="C3858" s="31"/>
      <c r="D3858" s="31"/>
      <c r="H3858" s="31"/>
    </row>
    <row r="3859">
      <c r="A3859" s="31"/>
      <c r="C3859" s="31"/>
      <c r="D3859" s="31"/>
      <c r="H3859" s="31"/>
    </row>
    <row r="3860">
      <c r="A3860" s="31"/>
      <c r="C3860" s="31"/>
      <c r="D3860" s="31"/>
      <c r="H3860" s="31"/>
    </row>
    <row r="3861">
      <c r="A3861" s="31"/>
      <c r="C3861" s="31"/>
      <c r="D3861" s="31"/>
      <c r="H3861" s="31"/>
    </row>
    <row r="3862">
      <c r="A3862" s="31"/>
      <c r="C3862" s="31"/>
      <c r="D3862" s="31"/>
      <c r="H3862" s="31"/>
    </row>
    <row r="3863">
      <c r="A3863" s="31"/>
      <c r="C3863" s="31"/>
      <c r="D3863" s="31"/>
      <c r="H3863" s="31"/>
    </row>
    <row r="3864">
      <c r="A3864" s="31"/>
      <c r="C3864" s="31"/>
      <c r="D3864" s="31"/>
      <c r="H3864" s="31"/>
    </row>
    <row r="3865">
      <c r="A3865" s="31"/>
      <c r="C3865" s="31"/>
      <c r="D3865" s="31"/>
      <c r="H3865" s="31"/>
    </row>
    <row r="3866">
      <c r="A3866" s="31"/>
      <c r="C3866" s="31"/>
      <c r="D3866" s="31"/>
      <c r="H3866" s="31"/>
    </row>
    <row r="3867">
      <c r="A3867" s="31"/>
      <c r="C3867" s="31"/>
      <c r="D3867" s="31"/>
      <c r="H3867" s="31"/>
    </row>
    <row r="3868">
      <c r="A3868" s="31"/>
      <c r="C3868" s="31"/>
      <c r="D3868" s="31"/>
      <c r="H3868" s="31"/>
    </row>
    <row r="3869">
      <c r="A3869" s="31"/>
      <c r="C3869" s="31"/>
      <c r="D3869" s="31"/>
      <c r="H3869" s="31"/>
    </row>
    <row r="3870">
      <c r="A3870" s="31"/>
      <c r="C3870" s="31"/>
      <c r="D3870" s="31"/>
      <c r="H3870" s="31"/>
    </row>
    <row r="3871">
      <c r="A3871" s="31"/>
      <c r="C3871" s="31"/>
      <c r="D3871" s="31"/>
      <c r="H3871" s="31"/>
    </row>
    <row r="3872">
      <c r="A3872" s="31"/>
      <c r="C3872" s="31"/>
      <c r="D3872" s="31"/>
      <c r="H3872" s="31"/>
    </row>
    <row r="3873">
      <c r="A3873" s="31"/>
      <c r="C3873" s="31"/>
      <c r="D3873" s="31"/>
      <c r="H3873" s="31"/>
    </row>
    <row r="3874">
      <c r="A3874" s="31"/>
      <c r="C3874" s="31"/>
      <c r="D3874" s="31"/>
      <c r="H3874" s="31"/>
    </row>
    <row r="3875">
      <c r="A3875" s="31"/>
      <c r="C3875" s="31"/>
      <c r="D3875" s="31"/>
      <c r="H3875" s="31"/>
    </row>
    <row r="3876">
      <c r="A3876" s="31"/>
      <c r="C3876" s="31"/>
      <c r="D3876" s="31"/>
      <c r="H3876" s="31"/>
    </row>
    <row r="3877">
      <c r="A3877" s="31"/>
      <c r="C3877" s="31"/>
      <c r="D3877" s="31"/>
      <c r="H3877" s="31"/>
    </row>
    <row r="3878">
      <c r="A3878" s="31"/>
      <c r="C3878" s="31"/>
      <c r="D3878" s="31"/>
      <c r="H3878" s="31"/>
    </row>
    <row r="3879">
      <c r="A3879" s="31"/>
      <c r="C3879" s="31"/>
      <c r="D3879" s="31"/>
      <c r="H3879" s="31"/>
    </row>
    <row r="3880">
      <c r="A3880" s="31"/>
      <c r="C3880" s="31"/>
      <c r="D3880" s="31"/>
      <c r="H3880" s="31"/>
    </row>
    <row r="3881">
      <c r="A3881" s="31"/>
      <c r="C3881" s="31"/>
      <c r="D3881" s="31"/>
      <c r="H3881" s="31"/>
    </row>
    <row r="3882">
      <c r="A3882" s="31"/>
      <c r="C3882" s="31"/>
      <c r="D3882" s="31"/>
      <c r="H3882" s="31"/>
    </row>
    <row r="3883">
      <c r="A3883" s="31"/>
      <c r="C3883" s="31"/>
      <c r="D3883" s="31"/>
      <c r="H3883" s="31"/>
    </row>
    <row r="3884">
      <c r="A3884" s="31"/>
      <c r="C3884" s="31"/>
      <c r="D3884" s="31"/>
      <c r="H3884" s="31"/>
    </row>
    <row r="3885">
      <c r="A3885" s="31"/>
      <c r="C3885" s="31"/>
      <c r="D3885" s="31"/>
      <c r="H3885" s="31"/>
    </row>
    <row r="3886">
      <c r="A3886" s="31"/>
      <c r="C3886" s="31"/>
      <c r="D3886" s="31"/>
      <c r="H3886" s="31"/>
    </row>
    <row r="3887">
      <c r="A3887" s="31"/>
      <c r="C3887" s="31"/>
      <c r="D3887" s="31"/>
      <c r="H3887" s="31"/>
    </row>
    <row r="3888">
      <c r="A3888" s="31"/>
      <c r="C3888" s="31"/>
      <c r="D3888" s="31"/>
      <c r="H3888" s="31"/>
    </row>
    <row r="3889">
      <c r="A3889" s="31"/>
      <c r="C3889" s="31"/>
      <c r="D3889" s="31"/>
      <c r="H3889" s="31"/>
    </row>
    <row r="3890">
      <c r="A3890" s="31"/>
      <c r="C3890" s="31"/>
      <c r="D3890" s="31"/>
      <c r="H3890" s="31"/>
    </row>
    <row r="3891">
      <c r="A3891" s="31"/>
      <c r="C3891" s="31"/>
      <c r="D3891" s="31"/>
      <c r="H3891" s="31"/>
    </row>
    <row r="3892">
      <c r="A3892" s="31"/>
      <c r="C3892" s="31"/>
      <c r="D3892" s="31"/>
      <c r="H3892" s="31"/>
    </row>
    <row r="3893">
      <c r="A3893" s="31"/>
      <c r="C3893" s="31"/>
      <c r="D3893" s="31"/>
      <c r="H3893" s="31"/>
    </row>
    <row r="3894">
      <c r="A3894" s="31"/>
      <c r="C3894" s="31"/>
      <c r="D3894" s="31"/>
      <c r="H3894" s="31"/>
    </row>
    <row r="3895">
      <c r="A3895" s="31"/>
      <c r="C3895" s="31"/>
      <c r="D3895" s="31"/>
      <c r="H3895" s="31"/>
    </row>
    <row r="3896">
      <c r="A3896" s="31"/>
      <c r="C3896" s="31"/>
      <c r="D3896" s="31"/>
      <c r="H3896" s="31"/>
    </row>
    <row r="3897">
      <c r="A3897" s="31"/>
      <c r="C3897" s="31"/>
      <c r="D3897" s="31"/>
      <c r="H3897" s="31"/>
    </row>
    <row r="3898">
      <c r="A3898" s="31"/>
      <c r="C3898" s="31"/>
      <c r="D3898" s="31"/>
      <c r="H3898" s="31"/>
    </row>
    <row r="3899">
      <c r="A3899" s="31"/>
      <c r="C3899" s="31"/>
      <c r="D3899" s="31"/>
      <c r="H3899" s="31"/>
    </row>
    <row r="3900">
      <c r="A3900" s="31"/>
      <c r="C3900" s="31"/>
      <c r="D3900" s="31"/>
      <c r="H3900" s="31"/>
    </row>
    <row r="3901">
      <c r="A3901" s="31"/>
      <c r="C3901" s="31"/>
      <c r="D3901" s="31"/>
      <c r="H3901" s="31"/>
    </row>
    <row r="3902">
      <c r="A3902" s="31"/>
      <c r="C3902" s="31"/>
      <c r="D3902" s="31"/>
      <c r="H3902" s="31"/>
    </row>
    <row r="3903">
      <c r="A3903" s="31"/>
      <c r="C3903" s="31"/>
      <c r="D3903" s="31"/>
      <c r="H3903" s="31"/>
    </row>
    <row r="3904">
      <c r="A3904" s="31"/>
      <c r="C3904" s="31"/>
      <c r="D3904" s="31"/>
      <c r="H3904" s="31"/>
    </row>
    <row r="3905">
      <c r="A3905" s="31"/>
      <c r="C3905" s="31"/>
      <c r="D3905" s="31"/>
      <c r="H3905" s="31"/>
    </row>
    <row r="3906">
      <c r="A3906" s="31"/>
      <c r="C3906" s="31"/>
      <c r="D3906" s="31"/>
      <c r="H3906" s="31"/>
    </row>
    <row r="3907">
      <c r="A3907" s="31"/>
      <c r="C3907" s="31"/>
      <c r="D3907" s="31"/>
      <c r="H3907" s="31"/>
    </row>
    <row r="3908">
      <c r="A3908" s="31"/>
      <c r="C3908" s="31"/>
      <c r="D3908" s="31"/>
      <c r="H3908" s="31"/>
    </row>
    <row r="3909">
      <c r="A3909" s="31"/>
      <c r="C3909" s="31"/>
      <c r="D3909" s="31"/>
      <c r="H3909" s="31"/>
    </row>
    <row r="3910">
      <c r="A3910" s="31"/>
      <c r="C3910" s="31"/>
      <c r="D3910" s="31"/>
      <c r="H3910" s="31"/>
    </row>
    <row r="3911">
      <c r="A3911" s="31"/>
      <c r="C3911" s="31"/>
      <c r="D3911" s="31"/>
      <c r="H3911" s="31"/>
    </row>
    <row r="3912">
      <c r="A3912" s="31"/>
      <c r="C3912" s="31"/>
      <c r="D3912" s="31"/>
      <c r="H3912" s="31"/>
    </row>
    <row r="3913">
      <c r="A3913" s="31"/>
      <c r="C3913" s="31"/>
      <c r="D3913" s="31"/>
      <c r="H3913" s="31"/>
    </row>
    <row r="3914">
      <c r="A3914" s="31"/>
      <c r="C3914" s="31"/>
      <c r="D3914" s="31"/>
      <c r="H3914" s="31"/>
    </row>
    <row r="3915">
      <c r="A3915" s="31"/>
      <c r="C3915" s="31"/>
      <c r="D3915" s="31"/>
      <c r="H3915" s="31"/>
    </row>
    <row r="3916">
      <c r="A3916" s="31"/>
      <c r="C3916" s="31"/>
      <c r="D3916" s="31"/>
      <c r="H3916" s="31"/>
    </row>
    <row r="3917">
      <c r="A3917" s="31"/>
      <c r="C3917" s="31"/>
      <c r="D3917" s="31"/>
      <c r="H3917" s="31"/>
    </row>
    <row r="3918">
      <c r="A3918" s="31"/>
      <c r="C3918" s="31"/>
      <c r="D3918" s="31"/>
      <c r="H3918" s="31"/>
    </row>
    <row r="3919">
      <c r="A3919" s="31"/>
      <c r="C3919" s="31"/>
      <c r="D3919" s="31"/>
      <c r="H3919" s="31"/>
    </row>
    <row r="3920">
      <c r="A3920" s="31"/>
      <c r="C3920" s="31"/>
      <c r="D3920" s="31"/>
      <c r="H3920" s="31"/>
    </row>
    <row r="3921">
      <c r="A3921" s="31"/>
      <c r="C3921" s="31"/>
      <c r="D3921" s="31"/>
      <c r="H3921" s="31"/>
    </row>
    <row r="3922">
      <c r="A3922" s="31"/>
      <c r="C3922" s="31"/>
      <c r="D3922" s="31"/>
      <c r="H3922" s="31"/>
    </row>
    <row r="3923">
      <c r="A3923" s="31"/>
      <c r="C3923" s="31"/>
      <c r="D3923" s="31"/>
      <c r="H3923" s="31"/>
    </row>
    <row r="3924">
      <c r="A3924" s="31"/>
      <c r="C3924" s="31"/>
      <c r="D3924" s="31"/>
      <c r="H3924" s="31"/>
    </row>
    <row r="3925">
      <c r="A3925" s="31"/>
      <c r="C3925" s="31"/>
      <c r="D3925" s="31"/>
      <c r="H3925" s="31"/>
    </row>
    <row r="3926">
      <c r="A3926" s="31"/>
      <c r="C3926" s="31"/>
      <c r="D3926" s="31"/>
      <c r="H3926" s="31"/>
    </row>
    <row r="3927">
      <c r="A3927" s="31"/>
      <c r="C3927" s="31"/>
      <c r="D3927" s="31"/>
      <c r="H3927" s="31"/>
    </row>
    <row r="3928">
      <c r="A3928" s="31"/>
      <c r="C3928" s="31"/>
      <c r="D3928" s="31"/>
      <c r="H3928" s="31"/>
    </row>
    <row r="3929">
      <c r="A3929" s="31"/>
      <c r="C3929" s="31"/>
      <c r="D3929" s="31"/>
      <c r="H3929" s="31"/>
    </row>
    <row r="3930">
      <c r="A3930" s="31"/>
      <c r="C3930" s="31"/>
      <c r="D3930" s="31"/>
      <c r="H3930" s="31"/>
    </row>
    <row r="3931">
      <c r="A3931" s="31"/>
      <c r="C3931" s="31"/>
      <c r="D3931" s="31"/>
      <c r="H3931" s="31"/>
    </row>
    <row r="3932">
      <c r="A3932" s="31"/>
      <c r="C3932" s="31"/>
      <c r="D3932" s="31"/>
      <c r="H3932" s="31"/>
    </row>
    <row r="3933">
      <c r="A3933" s="31"/>
      <c r="C3933" s="31"/>
      <c r="D3933" s="31"/>
      <c r="H3933" s="31"/>
    </row>
    <row r="3934">
      <c r="A3934" s="31"/>
      <c r="C3934" s="31"/>
      <c r="D3934" s="31"/>
      <c r="H3934" s="31"/>
    </row>
    <row r="3935">
      <c r="A3935" s="31"/>
      <c r="C3935" s="31"/>
      <c r="D3935" s="31"/>
      <c r="H3935" s="31"/>
    </row>
    <row r="3936">
      <c r="A3936" s="31"/>
      <c r="C3936" s="31"/>
      <c r="D3936" s="31"/>
      <c r="H3936" s="31"/>
    </row>
    <row r="3937">
      <c r="A3937" s="31"/>
      <c r="C3937" s="31"/>
      <c r="D3937" s="31"/>
      <c r="H3937" s="31"/>
    </row>
    <row r="3938">
      <c r="A3938" s="31"/>
      <c r="C3938" s="31"/>
      <c r="D3938" s="31"/>
      <c r="H3938" s="31"/>
    </row>
    <row r="3939">
      <c r="A3939" s="31"/>
      <c r="C3939" s="31"/>
      <c r="D3939" s="31"/>
      <c r="H3939" s="31"/>
    </row>
    <row r="3940">
      <c r="A3940" s="31"/>
      <c r="C3940" s="31"/>
      <c r="D3940" s="31"/>
      <c r="H3940" s="31"/>
    </row>
    <row r="3941">
      <c r="A3941" s="31"/>
      <c r="C3941" s="31"/>
      <c r="D3941" s="31"/>
      <c r="H3941" s="31"/>
    </row>
    <row r="3942">
      <c r="A3942" s="31"/>
      <c r="C3942" s="31"/>
      <c r="D3942" s="31"/>
      <c r="H3942" s="31"/>
    </row>
    <row r="3943">
      <c r="A3943" s="31"/>
      <c r="C3943" s="31"/>
      <c r="D3943" s="31"/>
      <c r="H3943" s="31"/>
    </row>
    <row r="3944">
      <c r="A3944" s="31"/>
      <c r="C3944" s="31"/>
      <c r="D3944" s="31"/>
      <c r="H3944" s="31"/>
    </row>
    <row r="3945">
      <c r="A3945" s="31"/>
      <c r="C3945" s="31"/>
      <c r="D3945" s="31"/>
      <c r="H3945" s="31"/>
    </row>
    <row r="3946">
      <c r="A3946" s="31"/>
      <c r="C3946" s="31"/>
      <c r="D3946" s="31"/>
      <c r="H3946" s="31"/>
    </row>
    <row r="3947">
      <c r="A3947" s="31"/>
      <c r="C3947" s="31"/>
      <c r="D3947" s="31"/>
      <c r="H3947" s="31"/>
    </row>
    <row r="3948">
      <c r="A3948" s="31"/>
      <c r="C3948" s="31"/>
      <c r="D3948" s="31"/>
      <c r="H3948" s="31"/>
    </row>
    <row r="3949">
      <c r="A3949" s="31"/>
      <c r="C3949" s="31"/>
      <c r="D3949" s="31"/>
      <c r="H3949" s="31"/>
    </row>
    <row r="3950">
      <c r="A3950" s="31"/>
      <c r="C3950" s="31"/>
      <c r="D3950" s="31"/>
      <c r="H3950" s="31"/>
    </row>
    <row r="3951">
      <c r="A3951" s="31"/>
      <c r="C3951" s="31"/>
      <c r="D3951" s="31"/>
      <c r="H3951" s="31"/>
    </row>
    <row r="3952">
      <c r="A3952" s="31"/>
      <c r="C3952" s="31"/>
      <c r="D3952" s="31"/>
      <c r="H3952" s="31"/>
    </row>
    <row r="3953">
      <c r="A3953" s="31"/>
      <c r="C3953" s="31"/>
      <c r="D3953" s="31"/>
      <c r="H3953" s="31"/>
    </row>
    <row r="3954">
      <c r="A3954" s="31"/>
      <c r="C3954" s="31"/>
      <c r="D3954" s="31"/>
      <c r="H3954" s="31"/>
    </row>
    <row r="3955">
      <c r="A3955" s="31"/>
      <c r="C3955" s="31"/>
      <c r="D3955" s="31"/>
      <c r="H3955" s="31"/>
    </row>
    <row r="3956">
      <c r="A3956" s="31"/>
      <c r="C3956" s="31"/>
      <c r="D3956" s="31"/>
      <c r="H3956" s="31"/>
    </row>
    <row r="3957">
      <c r="A3957" s="31"/>
      <c r="C3957" s="31"/>
      <c r="D3957" s="31"/>
      <c r="H3957" s="31"/>
    </row>
    <row r="3958">
      <c r="A3958" s="31"/>
      <c r="C3958" s="31"/>
      <c r="D3958" s="31"/>
      <c r="H3958" s="31"/>
    </row>
    <row r="3959">
      <c r="A3959" s="31"/>
      <c r="C3959" s="31"/>
      <c r="D3959" s="31"/>
      <c r="H3959" s="31"/>
    </row>
    <row r="3960">
      <c r="A3960" s="31"/>
      <c r="C3960" s="31"/>
      <c r="D3960" s="31"/>
      <c r="H3960" s="31"/>
    </row>
    <row r="3961">
      <c r="A3961" s="31"/>
      <c r="C3961" s="31"/>
      <c r="D3961" s="31"/>
      <c r="H3961" s="31"/>
    </row>
    <row r="3962">
      <c r="A3962" s="31"/>
      <c r="C3962" s="31"/>
      <c r="D3962" s="31"/>
      <c r="H3962" s="31"/>
    </row>
    <row r="3963">
      <c r="A3963" s="31"/>
      <c r="C3963" s="31"/>
      <c r="D3963" s="31"/>
      <c r="H3963" s="31"/>
    </row>
    <row r="3964">
      <c r="A3964" s="31"/>
      <c r="C3964" s="31"/>
      <c r="D3964" s="31"/>
      <c r="H3964" s="31"/>
    </row>
    <row r="3965">
      <c r="A3965" s="31"/>
      <c r="C3965" s="31"/>
      <c r="D3965" s="31"/>
      <c r="H3965" s="31"/>
    </row>
    <row r="3966">
      <c r="A3966" s="31"/>
      <c r="C3966" s="31"/>
      <c r="D3966" s="31"/>
      <c r="H3966" s="31"/>
    </row>
    <row r="3967">
      <c r="A3967" s="31"/>
      <c r="C3967" s="31"/>
      <c r="D3967" s="31"/>
      <c r="H3967" s="31"/>
    </row>
    <row r="3968">
      <c r="A3968" s="31"/>
      <c r="C3968" s="31"/>
      <c r="D3968" s="31"/>
      <c r="H3968" s="31"/>
    </row>
    <row r="3969">
      <c r="A3969" s="31"/>
      <c r="C3969" s="31"/>
      <c r="D3969" s="31"/>
      <c r="H3969" s="31"/>
    </row>
    <row r="3970">
      <c r="A3970" s="31"/>
      <c r="C3970" s="31"/>
      <c r="D3970" s="31"/>
      <c r="H3970" s="31"/>
    </row>
    <row r="3971">
      <c r="A3971" s="31"/>
      <c r="C3971" s="31"/>
      <c r="D3971" s="31"/>
      <c r="H3971" s="31"/>
    </row>
    <row r="3972">
      <c r="A3972" s="31"/>
      <c r="C3972" s="31"/>
      <c r="D3972" s="31"/>
      <c r="H3972" s="31"/>
    </row>
    <row r="3973">
      <c r="A3973" s="31"/>
      <c r="C3973" s="31"/>
      <c r="D3973" s="31"/>
      <c r="H3973" s="31"/>
    </row>
    <row r="3974">
      <c r="A3974" s="31"/>
      <c r="C3974" s="31"/>
      <c r="D3974" s="31"/>
      <c r="H3974" s="31"/>
    </row>
    <row r="3975">
      <c r="A3975" s="31"/>
      <c r="C3975" s="31"/>
      <c r="D3975" s="31"/>
      <c r="H3975" s="31"/>
    </row>
    <row r="3976">
      <c r="A3976" s="31"/>
      <c r="C3976" s="31"/>
      <c r="D3976" s="31"/>
      <c r="H3976" s="31"/>
    </row>
    <row r="3977">
      <c r="A3977" s="31"/>
      <c r="C3977" s="31"/>
      <c r="D3977" s="31"/>
      <c r="H3977" s="31"/>
    </row>
    <row r="3978">
      <c r="A3978" s="31"/>
      <c r="C3978" s="31"/>
      <c r="D3978" s="31"/>
      <c r="H3978" s="31"/>
    </row>
    <row r="3979">
      <c r="A3979" s="31"/>
      <c r="C3979" s="31"/>
      <c r="D3979" s="31"/>
      <c r="H3979" s="31"/>
    </row>
    <row r="3980">
      <c r="A3980" s="31"/>
      <c r="C3980" s="31"/>
      <c r="D3980" s="31"/>
      <c r="H3980" s="31"/>
    </row>
    <row r="3981">
      <c r="A3981" s="31"/>
      <c r="C3981" s="31"/>
      <c r="D3981" s="31"/>
      <c r="H3981" s="31"/>
    </row>
    <row r="3982">
      <c r="A3982" s="31"/>
      <c r="C3982" s="31"/>
      <c r="D3982" s="31"/>
      <c r="H3982" s="31"/>
    </row>
    <row r="3983">
      <c r="A3983" s="31"/>
      <c r="C3983" s="31"/>
      <c r="D3983" s="31"/>
      <c r="H3983" s="31"/>
    </row>
    <row r="3984">
      <c r="A3984" s="31"/>
      <c r="C3984" s="31"/>
      <c r="D3984" s="31"/>
      <c r="H3984" s="31"/>
    </row>
    <row r="3985">
      <c r="A3985" s="31"/>
      <c r="C3985" s="31"/>
      <c r="D3985" s="31"/>
      <c r="H3985" s="31"/>
    </row>
    <row r="3986">
      <c r="A3986" s="31"/>
      <c r="C3986" s="31"/>
      <c r="D3986" s="31"/>
      <c r="H3986" s="31"/>
    </row>
    <row r="3987">
      <c r="A3987" s="31"/>
      <c r="C3987" s="31"/>
      <c r="D3987" s="31"/>
      <c r="H3987" s="31"/>
    </row>
    <row r="3988">
      <c r="A3988" s="31"/>
      <c r="C3988" s="31"/>
      <c r="D3988" s="31"/>
      <c r="H3988" s="31"/>
    </row>
    <row r="3989">
      <c r="A3989" s="31"/>
      <c r="C3989" s="31"/>
      <c r="D3989" s="31"/>
      <c r="H3989" s="31"/>
    </row>
    <row r="3990">
      <c r="A3990" s="31"/>
      <c r="C3990" s="31"/>
      <c r="D3990" s="31"/>
      <c r="H3990" s="31"/>
    </row>
    <row r="3991">
      <c r="A3991" s="31"/>
      <c r="C3991" s="31"/>
      <c r="D3991" s="31"/>
      <c r="H3991" s="31"/>
    </row>
    <row r="3992">
      <c r="A3992" s="31"/>
      <c r="C3992" s="31"/>
      <c r="D3992" s="31"/>
      <c r="H3992" s="31"/>
    </row>
    <row r="3993">
      <c r="A3993" s="31"/>
      <c r="C3993" s="31"/>
      <c r="D3993" s="31"/>
      <c r="H3993" s="31"/>
    </row>
    <row r="3994">
      <c r="A3994" s="31"/>
      <c r="C3994" s="31"/>
      <c r="D3994" s="31"/>
      <c r="H3994" s="31"/>
    </row>
    <row r="3995">
      <c r="A3995" s="31"/>
      <c r="C3995" s="31"/>
      <c r="D3995" s="31"/>
      <c r="H3995" s="31"/>
    </row>
    <row r="3996">
      <c r="A3996" s="31"/>
      <c r="C3996" s="31"/>
      <c r="D3996" s="31"/>
      <c r="H3996" s="31"/>
    </row>
    <row r="3997">
      <c r="A3997" s="31"/>
      <c r="C3997" s="31"/>
      <c r="D3997" s="31"/>
      <c r="H3997" s="31"/>
    </row>
    <row r="3998">
      <c r="A3998" s="31"/>
      <c r="C3998" s="31"/>
      <c r="D3998" s="31"/>
      <c r="H3998" s="31"/>
    </row>
    <row r="3999">
      <c r="A3999" s="31"/>
      <c r="C3999" s="31"/>
      <c r="D3999" s="31"/>
      <c r="H3999" s="31"/>
    </row>
    <row r="4000">
      <c r="A4000" s="31"/>
      <c r="C4000" s="31"/>
      <c r="D4000" s="31"/>
      <c r="H4000" s="31"/>
    </row>
    <row r="4001">
      <c r="A4001" s="31"/>
      <c r="C4001" s="31"/>
      <c r="D4001" s="31"/>
      <c r="H4001" s="31"/>
    </row>
    <row r="4002">
      <c r="A4002" s="31"/>
      <c r="C4002" s="31"/>
      <c r="D4002" s="31"/>
      <c r="H4002" s="31"/>
    </row>
    <row r="4003">
      <c r="A4003" s="31"/>
      <c r="C4003" s="31"/>
      <c r="D4003" s="31"/>
      <c r="H4003" s="31"/>
    </row>
    <row r="4004">
      <c r="A4004" s="31"/>
      <c r="C4004" s="31"/>
      <c r="D4004" s="31"/>
      <c r="H4004" s="31"/>
    </row>
    <row r="4005">
      <c r="A4005" s="31"/>
      <c r="C4005" s="31"/>
      <c r="D4005" s="31"/>
      <c r="H4005" s="31"/>
    </row>
    <row r="4006">
      <c r="A4006" s="31"/>
      <c r="C4006" s="31"/>
      <c r="D4006" s="31"/>
      <c r="H4006" s="31"/>
    </row>
    <row r="4007">
      <c r="A4007" s="31"/>
      <c r="C4007" s="31"/>
      <c r="D4007" s="31"/>
      <c r="H4007" s="31"/>
    </row>
    <row r="4008">
      <c r="A4008" s="31"/>
      <c r="C4008" s="31"/>
      <c r="D4008" s="31"/>
      <c r="H4008" s="31"/>
    </row>
    <row r="4009">
      <c r="A4009" s="31"/>
      <c r="C4009" s="31"/>
      <c r="D4009" s="31"/>
      <c r="H4009" s="31"/>
    </row>
    <row r="4010">
      <c r="A4010" s="31"/>
      <c r="C4010" s="31"/>
      <c r="D4010" s="31"/>
      <c r="H4010" s="31"/>
    </row>
    <row r="4011">
      <c r="A4011" s="31"/>
      <c r="C4011" s="31"/>
      <c r="D4011" s="31"/>
      <c r="H4011" s="31"/>
    </row>
    <row r="4012">
      <c r="A4012" s="31"/>
      <c r="C4012" s="31"/>
      <c r="D4012" s="31"/>
      <c r="H4012" s="31"/>
    </row>
    <row r="4013">
      <c r="A4013" s="31"/>
      <c r="C4013" s="31"/>
      <c r="D4013" s="31"/>
      <c r="H4013" s="31"/>
    </row>
    <row r="4014">
      <c r="A4014" s="31"/>
      <c r="C4014" s="31"/>
      <c r="D4014" s="31"/>
      <c r="H4014" s="31"/>
    </row>
    <row r="4015">
      <c r="A4015" s="31"/>
      <c r="C4015" s="31"/>
      <c r="D4015" s="31"/>
      <c r="H4015" s="31"/>
    </row>
    <row r="4016">
      <c r="A4016" s="31"/>
      <c r="C4016" s="31"/>
      <c r="D4016" s="31"/>
      <c r="H4016" s="31"/>
    </row>
    <row r="4017">
      <c r="A4017" s="31"/>
      <c r="C4017" s="31"/>
      <c r="D4017" s="31"/>
      <c r="H4017" s="31"/>
    </row>
    <row r="4018">
      <c r="A4018" s="31"/>
      <c r="C4018" s="31"/>
      <c r="D4018" s="31"/>
      <c r="H4018" s="31"/>
    </row>
    <row r="4019">
      <c r="A4019" s="31"/>
      <c r="C4019" s="31"/>
      <c r="D4019" s="31"/>
      <c r="H4019" s="31"/>
    </row>
    <row r="4020">
      <c r="A4020" s="31"/>
      <c r="C4020" s="31"/>
      <c r="D4020" s="31"/>
      <c r="H4020" s="31"/>
    </row>
    <row r="4021">
      <c r="A4021" s="31"/>
      <c r="C4021" s="31"/>
      <c r="D4021" s="31"/>
      <c r="H4021" s="31"/>
    </row>
    <row r="4022">
      <c r="A4022" s="31"/>
      <c r="C4022" s="31"/>
      <c r="D4022" s="31"/>
      <c r="H4022" s="31"/>
    </row>
    <row r="4023">
      <c r="A4023" s="31"/>
      <c r="C4023" s="31"/>
      <c r="D4023" s="31"/>
      <c r="H4023" s="31"/>
    </row>
    <row r="4024">
      <c r="A4024" s="31"/>
      <c r="C4024" s="31"/>
      <c r="D4024" s="31"/>
      <c r="H4024" s="31"/>
    </row>
    <row r="4025">
      <c r="A4025" s="31"/>
      <c r="C4025" s="31"/>
      <c r="D4025" s="31"/>
      <c r="H4025" s="31"/>
    </row>
    <row r="4026">
      <c r="A4026" s="31"/>
      <c r="C4026" s="31"/>
      <c r="D4026" s="31"/>
      <c r="H4026" s="31"/>
    </row>
    <row r="4027">
      <c r="A4027" s="31"/>
      <c r="C4027" s="31"/>
      <c r="D4027" s="31"/>
      <c r="H4027" s="31"/>
    </row>
    <row r="4028">
      <c r="A4028" s="31"/>
      <c r="C4028" s="31"/>
      <c r="D4028" s="31"/>
      <c r="H4028" s="31"/>
    </row>
    <row r="4029">
      <c r="A4029" s="31"/>
      <c r="C4029" s="31"/>
      <c r="D4029" s="31"/>
      <c r="H4029" s="31"/>
    </row>
    <row r="4030">
      <c r="A4030" s="31"/>
      <c r="C4030" s="31"/>
      <c r="D4030" s="31"/>
      <c r="H4030" s="31"/>
    </row>
    <row r="4031">
      <c r="A4031" s="31"/>
      <c r="C4031" s="31"/>
      <c r="D4031" s="31"/>
      <c r="H4031" s="31"/>
    </row>
    <row r="4032">
      <c r="A4032" s="31"/>
      <c r="C4032" s="31"/>
      <c r="D4032" s="31"/>
      <c r="H4032" s="31"/>
    </row>
    <row r="4033">
      <c r="A4033" s="31"/>
      <c r="C4033" s="31"/>
      <c r="D4033" s="31"/>
      <c r="H4033" s="31"/>
    </row>
    <row r="4034">
      <c r="A4034" s="31"/>
      <c r="C4034" s="31"/>
      <c r="D4034" s="31"/>
      <c r="H4034" s="31"/>
    </row>
    <row r="4035">
      <c r="A4035" s="31"/>
      <c r="C4035" s="31"/>
      <c r="D4035" s="31"/>
      <c r="H4035" s="31"/>
    </row>
    <row r="4036">
      <c r="A4036" s="31"/>
      <c r="C4036" s="31"/>
      <c r="D4036" s="31"/>
      <c r="H4036" s="31"/>
    </row>
    <row r="4037">
      <c r="A4037" s="31"/>
      <c r="C4037" s="31"/>
      <c r="D4037" s="31"/>
      <c r="H4037" s="31"/>
    </row>
    <row r="4038">
      <c r="A4038" s="31"/>
      <c r="C4038" s="31"/>
      <c r="D4038" s="31"/>
      <c r="H4038" s="31"/>
    </row>
    <row r="4039">
      <c r="A4039" s="31"/>
      <c r="C4039" s="31"/>
      <c r="D4039" s="31"/>
      <c r="H4039" s="31"/>
    </row>
    <row r="4040">
      <c r="A4040" s="31"/>
      <c r="C4040" s="31"/>
      <c r="D4040" s="31"/>
      <c r="H4040" s="31"/>
    </row>
    <row r="4041">
      <c r="A4041" s="31"/>
      <c r="C4041" s="31"/>
      <c r="D4041" s="31"/>
      <c r="H4041" s="31"/>
    </row>
    <row r="4042">
      <c r="A4042" s="31"/>
      <c r="C4042" s="31"/>
      <c r="D4042" s="31"/>
      <c r="H4042" s="31"/>
    </row>
    <row r="4043">
      <c r="A4043" s="31"/>
      <c r="C4043" s="31"/>
      <c r="D4043" s="31"/>
      <c r="H4043" s="31"/>
    </row>
    <row r="4044">
      <c r="A4044" s="31"/>
      <c r="C4044" s="31"/>
      <c r="D4044" s="31"/>
      <c r="H4044" s="31"/>
    </row>
    <row r="4045">
      <c r="A4045" s="31"/>
      <c r="C4045" s="31"/>
      <c r="D4045" s="31"/>
      <c r="H4045" s="31"/>
    </row>
    <row r="4046">
      <c r="A4046" s="31"/>
      <c r="C4046" s="31"/>
      <c r="D4046" s="31"/>
      <c r="H4046" s="31"/>
    </row>
    <row r="4047">
      <c r="A4047" s="31"/>
      <c r="C4047" s="31"/>
      <c r="D4047" s="31"/>
      <c r="H4047" s="31"/>
    </row>
    <row r="4048">
      <c r="A4048" s="31"/>
      <c r="C4048" s="31"/>
      <c r="D4048" s="31"/>
      <c r="H4048" s="31"/>
    </row>
    <row r="4049">
      <c r="A4049" s="31"/>
      <c r="C4049" s="31"/>
      <c r="D4049" s="31"/>
      <c r="H4049" s="31"/>
    </row>
    <row r="4050">
      <c r="A4050" s="31"/>
      <c r="C4050" s="31"/>
      <c r="D4050" s="31"/>
      <c r="H4050" s="31"/>
    </row>
    <row r="4051">
      <c r="A4051" s="31"/>
      <c r="C4051" s="31"/>
      <c r="D4051" s="31"/>
      <c r="H4051" s="31"/>
    </row>
    <row r="4052">
      <c r="A4052" s="31"/>
      <c r="C4052" s="31"/>
      <c r="D4052" s="31"/>
      <c r="H4052" s="31"/>
    </row>
    <row r="4053">
      <c r="A4053" s="31"/>
      <c r="C4053" s="31"/>
      <c r="D4053" s="31"/>
      <c r="H4053" s="31"/>
    </row>
    <row r="4054">
      <c r="A4054" s="31"/>
      <c r="C4054" s="31"/>
      <c r="D4054" s="31"/>
      <c r="H4054" s="31"/>
    </row>
    <row r="4055">
      <c r="A4055" s="31"/>
      <c r="C4055" s="31"/>
      <c r="D4055" s="31"/>
      <c r="H4055" s="31"/>
    </row>
    <row r="4056">
      <c r="A4056" s="31"/>
      <c r="C4056" s="31"/>
      <c r="D4056" s="31"/>
      <c r="H4056" s="31"/>
    </row>
    <row r="4057">
      <c r="A4057" s="31"/>
      <c r="C4057" s="31"/>
      <c r="D4057" s="31"/>
      <c r="H4057" s="31"/>
    </row>
    <row r="4058">
      <c r="A4058" s="31"/>
      <c r="C4058" s="31"/>
      <c r="D4058" s="31"/>
      <c r="H4058" s="31"/>
    </row>
    <row r="4059">
      <c r="A4059" s="31"/>
      <c r="C4059" s="31"/>
      <c r="D4059" s="31"/>
      <c r="H4059" s="31"/>
    </row>
    <row r="4060">
      <c r="A4060" s="31"/>
      <c r="C4060" s="31"/>
      <c r="D4060" s="31"/>
      <c r="H4060" s="31"/>
    </row>
    <row r="4061">
      <c r="A4061" s="31"/>
      <c r="C4061" s="31"/>
      <c r="D4061" s="31"/>
      <c r="H4061" s="31"/>
    </row>
    <row r="4062">
      <c r="A4062" s="31"/>
      <c r="C4062" s="31"/>
      <c r="D4062" s="31"/>
      <c r="H4062" s="31"/>
    </row>
    <row r="4063">
      <c r="A4063" s="31"/>
      <c r="C4063" s="31"/>
      <c r="D4063" s="31"/>
      <c r="H4063" s="31"/>
    </row>
    <row r="4064">
      <c r="A4064" s="31"/>
      <c r="C4064" s="31"/>
      <c r="D4064" s="31"/>
      <c r="H4064" s="31"/>
    </row>
    <row r="4065">
      <c r="A4065" s="31"/>
      <c r="C4065" s="31"/>
      <c r="D4065" s="31"/>
      <c r="H4065" s="31"/>
    </row>
    <row r="4066">
      <c r="A4066" s="31"/>
      <c r="C4066" s="31"/>
      <c r="D4066" s="31"/>
      <c r="H4066" s="31"/>
    </row>
    <row r="4067">
      <c r="A4067" s="31"/>
      <c r="C4067" s="31"/>
      <c r="D4067" s="31"/>
      <c r="H4067" s="31"/>
    </row>
    <row r="4068">
      <c r="A4068" s="31"/>
      <c r="C4068" s="31"/>
      <c r="D4068" s="31"/>
      <c r="H4068" s="31"/>
    </row>
    <row r="4069">
      <c r="A4069" s="31"/>
      <c r="C4069" s="31"/>
      <c r="D4069" s="31"/>
      <c r="H4069" s="31"/>
    </row>
    <row r="4070">
      <c r="A4070" s="31"/>
      <c r="C4070" s="31"/>
      <c r="D4070" s="31"/>
      <c r="H4070" s="31"/>
    </row>
    <row r="4071">
      <c r="A4071" s="31"/>
      <c r="C4071" s="31"/>
      <c r="D4071" s="31"/>
      <c r="H4071" s="31"/>
    </row>
    <row r="4072">
      <c r="A4072" s="31"/>
      <c r="C4072" s="31"/>
      <c r="D4072" s="31"/>
      <c r="H4072" s="31"/>
    </row>
    <row r="4073">
      <c r="A4073" s="31"/>
      <c r="C4073" s="31"/>
      <c r="D4073" s="31"/>
      <c r="H4073" s="31"/>
    </row>
    <row r="4074">
      <c r="A4074" s="31"/>
      <c r="C4074" s="31"/>
      <c r="D4074" s="31"/>
      <c r="H4074" s="31"/>
    </row>
    <row r="4075">
      <c r="A4075" s="31"/>
      <c r="C4075" s="31"/>
      <c r="D4075" s="31"/>
      <c r="H4075" s="31"/>
    </row>
    <row r="4076">
      <c r="A4076" s="31"/>
      <c r="C4076" s="31"/>
      <c r="D4076" s="31"/>
      <c r="H4076" s="31"/>
    </row>
    <row r="4077">
      <c r="A4077" s="31"/>
      <c r="C4077" s="31"/>
      <c r="D4077" s="31"/>
      <c r="H4077" s="31"/>
    </row>
    <row r="4078">
      <c r="A4078" s="31"/>
      <c r="C4078" s="31"/>
      <c r="D4078" s="31"/>
      <c r="H4078" s="31"/>
    </row>
    <row r="4079">
      <c r="A4079" s="31"/>
      <c r="C4079" s="31"/>
      <c r="D4079" s="31"/>
      <c r="H4079" s="31"/>
    </row>
    <row r="4080">
      <c r="A4080" s="31"/>
      <c r="C4080" s="31"/>
      <c r="D4080" s="31"/>
      <c r="H4080" s="31"/>
    </row>
    <row r="4081">
      <c r="A4081" s="31"/>
      <c r="C4081" s="31"/>
      <c r="D4081" s="31"/>
      <c r="H4081" s="31"/>
    </row>
    <row r="4082">
      <c r="A4082" s="31"/>
      <c r="C4082" s="31"/>
      <c r="D4082" s="31"/>
      <c r="H4082" s="31"/>
    </row>
    <row r="4083">
      <c r="A4083" s="31"/>
      <c r="C4083" s="31"/>
      <c r="D4083" s="31"/>
      <c r="H4083" s="31"/>
    </row>
    <row r="4084">
      <c r="A4084" s="31"/>
      <c r="C4084" s="31"/>
      <c r="D4084" s="31"/>
      <c r="H4084" s="31"/>
    </row>
    <row r="4085">
      <c r="A4085" s="31"/>
      <c r="C4085" s="31"/>
      <c r="D4085" s="31"/>
      <c r="H4085" s="31"/>
    </row>
    <row r="4086">
      <c r="A4086" s="31"/>
      <c r="C4086" s="31"/>
      <c r="D4086" s="31"/>
      <c r="H4086" s="31"/>
    </row>
    <row r="4087">
      <c r="A4087" s="31"/>
      <c r="C4087" s="31"/>
      <c r="D4087" s="31"/>
      <c r="H4087" s="31"/>
    </row>
    <row r="4088">
      <c r="A4088" s="31"/>
      <c r="C4088" s="31"/>
      <c r="D4088" s="31"/>
      <c r="H4088" s="31"/>
    </row>
    <row r="4089">
      <c r="A4089" s="31"/>
      <c r="C4089" s="31"/>
      <c r="D4089" s="31"/>
      <c r="H4089" s="31"/>
    </row>
    <row r="4090">
      <c r="A4090" s="31"/>
      <c r="C4090" s="31"/>
      <c r="D4090" s="31"/>
      <c r="H4090" s="31"/>
    </row>
    <row r="4091">
      <c r="A4091" s="31"/>
      <c r="C4091" s="31"/>
      <c r="D4091" s="31"/>
      <c r="H4091" s="31"/>
    </row>
    <row r="4092">
      <c r="A4092" s="31"/>
      <c r="C4092" s="31"/>
      <c r="D4092" s="31"/>
      <c r="H4092" s="31"/>
    </row>
    <row r="4093">
      <c r="A4093" s="31"/>
      <c r="C4093" s="31"/>
      <c r="D4093" s="31"/>
      <c r="H4093" s="31"/>
    </row>
    <row r="4094">
      <c r="A4094" s="31"/>
      <c r="C4094" s="31"/>
      <c r="D4094" s="31"/>
      <c r="H4094" s="31"/>
    </row>
    <row r="4095">
      <c r="A4095" s="31"/>
      <c r="C4095" s="31"/>
      <c r="D4095" s="31"/>
      <c r="H4095" s="31"/>
    </row>
    <row r="4096">
      <c r="A4096" s="31"/>
      <c r="C4096" s="31"/>
      <c r="D4096" s="31"/>
      <c r="H4096" s="31"/>
    </row>
    <row r="4097">
      <c r="A4097" s="31"/>
      <c r="C4097" s="31"/>
      <c r="D4097" s="31"/>
      <c r="H4097" s="31"/>
    </row>
    <row r="4098">
      <c r="A4098" s="31"/>
      <c r="C4098" s="31"/>
      <c r="D4098" s="31"/>
      <c r="H4098" s="31"/>
    </row>
    <row r="4099">
      <c r="A4099" s="31"/>
      <c r="C4099" s="31"/>
      <c r="D4099" s="31"/>
      <c r="H4099" s="31"/>
    </row>
    <row r="4100">
      <c r="A4100" s="31"/>
      <c r="C4100" s="31"/>
      <c r="D4100" s="31"/>
      <c r="H4100" s="31"/>
    </row>
    <row r="4101">
      <c r="A4101" s="31"/>
      <c r="C4101" s="31"/>
      <c r="D4101" s="31"/>
      <c r="H4101" s="31"/>
    </row>
    <row r="4102">
      <c r="A4102" s="31"/>
      <c r="C4102" s="31"/>
      <c r="D4102" s="31"/>
      <c r="H4102" s="31"/>
    </row>
    <row r="4103">
      <c r="A4103" s="31"/>
      <c r="C4103" s="31"/>
      <c r="D4103" s="31"/>
      <c r="H4103" s="31"/>
    </row>
    <row r="4104">
      <c r="A4104" s="31"/>
      <c r="C4104" s="31"/>
      <c r="D4104" s="31"/>
      <c r="H4104" s="31"/>
    </row>
    <row r="4105">
      <c r="A4105" s="31"/>
      <c r="C4105" s="31"/>
      <c r="D4105" s="31"/>
      <c r="H4105" s="31"/>
    </row>
    <row r="4106">
      <c r="A4106" s="31"/>
      <c r="C4106" s="31"/>
      <c r="D4106" s="31"/>
      <c r="H4106" s="31"/>
    </row>
    <row r="4107">
      <c r="A4107" s="31"/>
      <c r="C4107" s="31"/>
      <c r="D4107" s="31"/>
      <c r="H4107" s="31"/>
    </row>
    <row r="4108">
      <c r="A4108" s="31"/>
      <c r="C4108" s="31"/>
      <c r="D4108" s="31"/>
      <c r="H4108" s="31"/>
    </row>
    <row r="4109">
      <c r="A4109" s="31"/>
      <c r="C4109" s="31"/>
      <c r="D4109" s="31"/>
      <c r="H4109" s="31"/>
    </row>
    <row r="4110">
      <c r="A4110" s="31"/>
      <c r="C4110" s="31"/>
      <c r="D4110" s="31"/>
      <c r="H4110" s="31"/>
    </row>
    <row r="4111">
      <c r="A4111" s="31"/>
      <c r="C4111" s="31"/>
      <c r="D4111" s="31"/>
      <c r="H4111" s="31"/>
    </row>
    <row r="4112">
      <c r="A4112" s="31"/>
      <c r="C4112" s="31"/>
      <c r="D4112" s="31"/>
      <c r="H4112" s="31"/>
    </row>
    <row r="4113">
      <c r="A4113" s="31"/>
      <c r="C4113" s="31"/>
      <c r="D4113" s="31"/>
      <c r="H4113" s="31"/>
    </row>
    <row r="4114">
      <c r="A4114" s="31"/>
      <c r="C4114" s="31"/>
      <c r="D4114" s="31"/>
      <c r="H4114" s="31"/>
    </row>
    <row r="4115">
      <c r="A4115" s="31"/>
      <c r="C4115" s="31"/>
      <c r="D4115" s="31"/>
      <c r="H4115" s="31"/>
    </row>
    <row r="4116">
      <c r="A4116" s="31"/>
      <c r="C4116" s="31"/>
      <c r="D4116" s="31"/>
      <c r="H4116" s="31"/>
    </row>
    <row r="4117">
      <c r="A4117" s="31"/>
      <c r="C4117" s="31"/>
      <c r="D4117" s="31"/>
      <c r="H4117" s="31"/>
    </row>
    <row r="4118">
      <c r="A4118" s="31"/>
      <c r="C4118" s="31"/>
      <c r="D4118" s="31"/>
      <c r="H4118" s="31"/>
    </row>
    <row r="4119">
      <c r="A4119" s="31"/>
      <c r="C4119" s="31"/>
      <c r="D4119" s="31"/>
      <c r="H4119" s="31"/>
    </row>
    <row r="4120">
      <c r="A4120" s="31"/>
      <c r="C4120" s="31"/>
      <c r="D4120" s="31"/>
      <c r="H4120" s="31"/>
    </row>
    <row r="4121">
      <c r="A4121" s="31"/>
      <c r="C4121" s="31"/>
      <c r="D4121" s="31"/>
      <c r="H4121" s="31"/>
    </row>
    <row r="4122">
      <c r="A4122" s="31"/>
      <c r="C4122" s="31"/>
      <c r="D4122" s="31"/>
      <c r="H4122" s="31"/>
    </row>
    <row r="4123">
      <c r="A4123" s="31"/>
      <c r="C4123" s="31"/>
      <c r="D4123" s="31"/>
      <c r="H4123" s="31"/>
    </row>
    <row r="4124">
      <c r="A4124" s="31"/>
      <c r="C4124" s="31"/>
      <c r="D4124" s="31"/>
      <c r="H4124" s="31"/>
    </row>
    <row r="4125">
      <c r="A4125" s="31"/>
      <c r="C4125" s="31"/>
      <c r="D4125" s="31"/>
      <c r="H4125" s="31"/>
    </row>
    <row r="4126">
      <c r="A4126" s="31"/>
      <c r="C4126" s="31"/>
      <c r="D4126" s="31"/>
      <c r="H4126" s="31"/>
    </row>
    <row r="4127">
      <c r="A4127" s="31"/>
      <c r="C4127" s="31"/>
      <c r="D4127" s="31"/>
      <c r="H4127" s="31"/>
    </row>
    <row r="4128">
      <c r="A4128" s="31"/>
      <c r="C4128" s="31"/>
      <c r="D4128" s="31"/>
      <c r="H4128" s="31"/>
    </row>
    <row r="4129">
      <c r="A4129" s="31"/>
      <c r="C4129" s="31"/>
      <c r="D4129" s="31"/>
      <c r="H4129" s="31"/>
    </row>
    <row r="4130">
      <c r="A4130" s="31"/>
      <c r="C4130" s="31"/>
      <c r="D4130" s="31"/>
      <c r="H4130" s="31"/>
    </row>
    <row r="4131">
      <c r="A4131" s="31"/>
      <c r="C4131" s="31"/>
      <c r="D4131" s="31"/>
      <c r="H4131" s="31"/>
    </row>
    <row r="4132">
      <c r="A4132" s="31"/>
      <c r="C4132" s="31"/>
      <c r="D4132" s="31"/>
      <c r="H4132" s="31"/>
    </row>
    <row r="4133">
      <c r="A4133" s="31"/>
      <c r="C4133" s="31"/>
      <c r="D4133" s="31"/>
      <c r="H4133" s="31"/>
    </row>
    <row r="4134">
      <c r="A4134" s="31"/>
      <c r="C4134" s="31"/>
      <c r="D4134" s="31"/>
      <c r="H4134" s="31"/>
    </row>
    <row r="4135">
      <c r="A4135" s="31"/>
      <c r="C4135" s="31"/>
      <c r="D4135" s="31"/>
      <c r="H4135" s="31"/>
    </row>
    <row r="4136">
      <c r="A4136" s="31"/>
      <c r="C4136" s="31"/>
      <c r="D4136" s="31"/>
      <c r="H4136" s="31"/>
    </row>
    <row r="4137">
      <c r="A4137" s="31"/>
      <c r="C4137" s="31"/>
      <c r="D4137" s="31"/>
      <c r="H4137" s="31"/>
    </row>
    <row r="4138">
      <c r="A4138" s="31"/>
      <c r="C4138" s="31"/>
      <c r="D4138" s="31"/>
      <c r="H4138" s="31"/>
    </row>
    <row r="4139">
      <c r="A4139" s="31"/>
      <c r="C4139" s="31"/>
      <c r="D4139" s="31"/>
      <c r="H4139" s="31"/>
    </row>
    <row r="4140">
      <c r="A4140" s="31"/>
      <c r="C4140" s="31"/>
      <c r="D4140" s="31"/>
      <c r="H4140" s="31"/>
    </row>
    <row r="4141">
      <c r="A4141" s="31"/>
      <c r="C4141" s="31"/>
      <c r="D4141" s="31"/>
      <c r="H4141" s="31"/>
    </row>
    <row r="4142">
      <c r="A4142" s="31"/>
      <c r="C4142" s="31"/>
      <c r="D4142" s="31"/>
      <c r="H4142" s="31"/>
    </row>
    <row r="4143">
      <c r="A4143" s="31"/>
      <c r="C4143" s="31"/>
      <c r="D4143" s="31"/>
      <c r="H4143" s="31"/>
    </row>
    <row r="4144">
      <c r="A4144" s="31"/>
      <c r="C4144" s="31"/>
      <c r="D4144" s="31"/>
      <c r="H4144" s="31"/>
    </row>
    <row r="4145">
      <c r="A4145" s="31"/>
      <c r="C4145" s="31"/>
      <c r="D4145" s="31"/>
      <c r="H4145" s="31"/>
    </row>
    <row r="4146">
      <c r="A4146" s="31"/>
      <c r="C4146" s="31"/>
      <c r="D4146" s="31"/>
      <c r="H4146" s="31"/>
    </row>
    <row r="4147">
      <c r="A4147" s="31"/>
      <c r="C4147" s="31"/>
      <c r="D4147" s="31"/>
      <c r="H4147" s="31"/>
    </row>
    <row r="4148">
      <c r="A4148" s="31"/>
      <c r="C4148" s="31"/>
      <c r="D4148" s="31"/>
      <c r="H4148" s="31"/>
    </row>
    <row r="4149">
      <c r="A4149" s="31"/>
      <c r="C4149" s="31"/>
      <c r="D4149" s="31"/>
      <c r="H4149" s="31"/>
    </row>
    <row r="4150">
      <c r="A4150" s="31"/>
      <c r="C4150" s="31"/>
      <c r="D4150" s="31"/>
      <c r="H4150" s="31"/>
    </row>
    <row r="4151">
      <c r="A4151" s="31"/>
      <c r="C4151" s="31"/>
      <c r="D4151" s="31"/>
      <c r="H4151" s="31"/>
    </row>
    <row r="4152">
      <c r="A4152" s="31"/>
      <c r="C4152" s="31"/>
      <c r="D4152" s="31"/>
      <c r="H4152" s="31"/>
    </row>
    <row r="4153">
      <c r="A4153" s="31"/>
      <c r="C4153" s="31"/>
      <c r="D4153" s="31"/>
      <c r="H4153" s="31"/>
    </row>
    <row r="4154">
      <c r="A4154" s="31"/>
      <c r="C4154" s="31"/>
      <c r="D4154" s="31"/>
      <c r="H4154" s="31"/>
    </row>
    <row r="4155">
      <c r="A4155" s="31"/>
      <c r="C4155" s="31"/>
      <c r="D4155" s="31"/>
      <c r="H4155" s="31"/>
    </row>
    <row r="4156">
      <c r="A4156" s="31"/>
      <c r="C4156" s="31"/>
      <c r="D4156" s="31"/>
      <c r="H4156" s="31"/>
    </row>
    <row r="4157">
      <c r="A4157" s="31"/>
      <c r="C4157" s="31"/>
      <c r="D4157" s="31"/>
      <c r="H4157" s="31"/>
    </row>
    <row r="4158">
      <c r="A4158" s="31"/>
      <c r="C4158" s="31"/>
      <c r="D4158" s="31"/>
      <c r="H4158" s="31"/>
    </row>
    <row r="4159">
      <c r="A4159" s="31"/>
      <c r="C4159" s="31"/>
      <c r="D4159" s="31"/>
      <c r="H4159" s="31"/>
    </row>
    <row r="4160">
      <c r="A4160" s="31"/>
      <c r="C4160" s="31"/>
      <c r="D4160" s="31"/>
      <c r="H4160" s="31"/>
    </row>
    <row r="4161">
      <c r="A4161" s="31"/>
      <c r="C4161" s="31"/>
      <c r="D4161" s="31"/>
      <c r="H4161" s="31"/>
    </row>
    <row r="4162">
      <c r="A4162" s="31"/>
      <c r="C4162" s="31"/>
      <c r="D4162" s="31"/>
      <c r="H4162" s="31"/>
    </row>
    <row r="4163">
      <c r="A4163" s="31"/>
      <c r="C4163" s="31"/>
      <c r="D4163" s="31"/>
      <c r="H4163" s="31"/>
    </row>
    <row r="4164">
      <c r="A4164" s="31"/>
      <c r="C4164" s="31"/>
      <c r="D4164" s="31"/>
      <c r="H4164" s="31"/>
    </row>
    <row r="4165">
      <c r="A4165" s="31"/>
      <c r="C4165" s="31"/>
      <c r="D4165" s="31"/>
      <c r="H4165" s="31"/>
    </row>
    <row r="4166">
      <c r="A4166" s="31"/>
      <c r="C4166" s="31"/>
      <c r="D4166" s="31"/>
      <c r="H4166" s="31"/>
    </row>
    <row r="4167">
      <c r="A4167" s="31"/>
      <c r="C4167" s="31"/>
      <c r="D4167" s="31"/>
      <c r="H4167" s="31"/>
    </row>
    <row r="4168">
      <c r="A4168" s="31"/>
      <c r="C4168" s="31"/>
      <c r="D4168" s="31"/>
      <c r="H4168" s="31"/>
    </row>
    <row r="4169">
      <c r="A4169" s="31"/>
      <c r="C4169" s="31"/>
      <c r="D4169" s="31"/>
      <c r="H4169" s="31"/>
    </row>
    <row r="4170">
      <c r="A4170" s="31"/>
      <c r="C4170" s="31"/>
      <c r="D4170" s="31"/>
      <c r="H4170" s="31"/>
    </row>
    <row r="4171">
      <c r="A4171" s="31"/>
      <c r="C4171" s="31"/>
      <c r="D4171" s="31"/>
      <c r="H4171" s="31"/>
    </row>
    <row r="4172">
      <c r="A4172" s="31"/>
      <c r="C4172" s="31"/>
      <c r="D4172" s="31"/>
      <c r="H4172" s="31"/>
    </row>
    <row r="4173">
      <c r="A4173" s="31"/>
      <c r="C4173" s="31"/>
      <c r="D4173" s="31"/>
      <c r="H4173" s="31"/>
    </row>
    <row r="4174">
      <c r="A4174" s="31"/>
      <c r="C4174" s="31"/>
      <c r="D4174" s="31"/>
      <c r="H4174" s="31"/>
    </row>
    <row r="4175">
      <c r="A4175" s="31"/>
      <c r="C4175" s="31"/>
      <c r="D4175" s="31"/>
      <c r="H4175" s="31"/>
    </row>
    <row r="4176">
      <c r="A4176" s="31"/>
      <c r="C4176" s="31"/>
      <c r="D4176" s="31"/>
      <c r="H4176" s="31"/>
    </row>
    <row r="4177">
      <c r="A4177" s="31"/>
      <c r="C4177" s="31"/>
      <c r="D4177" s="31"/>
      <c r="H4177" s="31"/>
    </row>
    <row r="4178">
      <c r="A4178" s="31"/>
      <c r="C4178" s="31"/>
      <c r="D4178" s="31"/>
      <c r="H4178" s="31"/>
    </row>
    <row r="4179">
      <c r="A4179" s="31"/>
      <c r="C4179" s="31"/>
      <c r="D4179" s="31"/>
      <c r="H4179" s="31"/>
    </row>
    <row r="4180">
      <c r="A4180" s="31"/>
      <c r="C4180" s="31"/>
      <c r="D4180" s="31"/>
      <c r="H4180" s="31"/>
    </row>
    <row r="4181">
      <c r="A4181" s="31"/>
      <c r="C4181" s="31"/>
      <c r="D4181" s="31"/>
      <c r="H4181" s="31"/>
    </row>
    <row r="4182">
      <c r="A4182" s="31"/>
      <c r="C4182" s="31"/>
      <c r="D4182" s="31"/>
      <c r="H4182" s="31"/>
    </row>
    <row r="4183">
      <c r="A4183" s="31"/>
      <c r="C4183" s="31"/>
      <c r="D4183" s="31"/>
      <c r="H4183" s="31"/>
    </row>
    <row r="4184">
      <c r="A4184" s="31"/>
      <c r="C4184" s="31"/>
      <c r="D4184" s="31"/>
      <c r="H4184" s="31"/>
    </row>
    <row r="4185">
      <c r="A4185" s="31"/>
      <c r="C4185" s="31"/>
      <c r="D4185" s="31"/>
      <c r="H4185" s="31"/>
    </row>
    <row r="4186">
      <c r="A4186" s="31"/>
      <c r="C4186" s="31"/>
      <c r="D4186" s="31"/>
      <c r="H4186" s="31"/>
    </row>
    <row r="4187">
      <c r="A4187" s="31"/>
      <c r="C4187" s="31"/>
      <c r="D4187" s="31"/>
      <c r="H4187" s="31"/>
    </row>
    <row r="4188">
      <c r="A4188" s="31"/>
      <c r="C4188" s="31"/>
      <c r="D4188" s="31"/>
      <c r="H4188" s="31"/>
    </row>
    <row r="4189">
      <c r="A4189" s="31"/>
      <c r="C4189" s="31"/>
      <c r="D4189" s="31"/>
      <c r="H4189" s="31"/>
    </row>
    <row r="4190">
      <c r="A4190" s="31"/>
      <c r="C4190" s="31"/>
      <c r="D4190" s="31"/>
      <c r="H4190" s="31"/>
    </row>
    <row r="4191">
      <c r="A4191" s="31"/>
      <c r="C4191" s="31"/>
      <c r="D4191" s="31"/>
      <c r="H4191" s="31"/>
    </row>
    <row r="4192">
      <c r="A4192" s="31"/>
      <c r="C4192" s="31"/>
      <c r="D4192" s="31"/>
      <c r="H4192" s="31"/>
    </row>
    <row r="4193">
      <c r="A4193" s="31"/>
      <c r="C4193" s="31"/>
      <c r="D4193" s="31"/>
      <c r="H4193" s="31"/>
    </row>
    <row r="4194">
      <c r="A4194" s="31"/>
      <c r="C4194" s="31"/>
      <c r="D4194" s="31"/>
      <c r="H4194" s="31"/>
    </row>
    <row r="4195">
      <c r="A4195" s="31"/>
      <c r="C4195" s="31"/>
      <c r="D4195" s="31"/>
      <c r="H4195" s="31"/>
    </row>
    <row r="4196">
      <c r="A4196" s="31"/>
      <c r="C4196" s="31"/>
      <c r="D4196" s="31"/>
      <c r="H4196" s="31"/>
    </row>
    <row r="4197">
      <c r="A4197" s="31"/>
      <c r="C4197" s="31"/>
      <c r="D4197" s="31"/>
      <c r="H4197" s="31"/>
    </row>
    <row r="4198">
      <c r="A4198" s="31"/>
      <c r="C4198" s="31"/>
      <c r="D4198" s="31"/>
      <c r="H4198" s="31"/>
    </row>
    <row r="4199">
      <c r="A4199" s="31"/>
      <c r="C4199" s="31"/>
      <c r="D4199" s="31"/>
      <c r="H4199" s="31"/>
    </row>
    <row r="4200">
      <c r="A4200" s="31"/>
      <c r="C4200" s="31"/>
      <c r="D4200" s="31"/>
      <c r="H4200" s="31"/>
    </row>
    <row r="4201">
      <c r="A4201" s="31"/>
      <c r="C4201" s="31"/>
      <c r="D4201" s="31"/>
      <c r="H4201" s="31"/>
    </row>
    <row r="4202">
      <c r="A4202" s="31"/>
      <c r="C4202" s="31"/>
      <c r="D4202" s="31"/>
      <c r="H4202" s="31"/>
    </row>
    <row r="4203">
      <c r="A4203" s="31"/>
      <c r="C4203" s="31"/>
      <c r="D4203" s="31"/>
      <c r="H4203" s="31"/>
    </row>
    <row r="4204">
      <c r="A4204" s="31"/>
      <c r="C4204" s="31"/>
      <c r="D4204" s="31"/>
      <c r="H4204" s="31"/>
    </row>
    <row r="4205">
      <c r="A4205" s="31"/>
      <c r="C4205" s="31"/>
      <c r="D4205" s="31"/>
      <c r="H4205" s="31"/>
    </row>
    <row r="4206">
      <c r="A4206" s="31"/>
      <c r="C4206" s="31"/>
      <c r="D4206" s="31"/>
      <c r="H4206" s="31"/>
    </row>
    <row r="4207">
      <c r="A4207" s="31"/>
      <c r="C4207" s="31"/>
      <c r="D4207" s="31"/>
      <c r="H4207" s="31"/>
    </row>
    <row r="4208">
      <c r="A4208" s="31"/>
      <c r="C4208" s="31"/>
      <c r="D4208" s="31"/>
      <c r="H4208" s="31"/>
    </row>
    <row r="4209">
      <c r="A4209" s="31"/>
      <c r="C4209" s="31"/>
      <c r="D4209" s="31"/>
      <c r="H4209" s="31"/>
    </row>
    <row r="4210">
      <c r="A4210" s="31"/>
      <c r="C4210" s="31"/>
      <c r="D4210" s="31"/>
      <c r="H4210" s="31"/>
    </row>
    <row r="4211">
      <c r="A4211" s="31"/>
      <c r="C4211" s="31"/>
      <c r="D4211" s="31"/>
      <c r="H4211" s="31"/>
    </row>
    <row r="4212">
      <c r="A4212" s="31"/>
      <c r="C4212" s="31"/>
      <c r="D4212" s="31"/>
      <c r="H4212" s="31"/>
    </row>
    <row r="4213">
      <c r="A4213" s="31"/>
      <c r="C4213" s="31"/>
      <c r="D4213" s="31"/>
      <c r="H4213" s="31"/>
    </row>
    <row r="4214">
      <c r="A4214" s="31"/>
      <c r="C4214" s="31"/>
      <c r="D4214" s="31"/>
      <c r="H4214" s="31"/>
    </row>
    <row r="4215">
      <c r="A4215" s="31"/>
      <c r="C4215" s="31"/>
      <c r="D4215" s="31"/>
      <c r="H4215" s="31"/>
    </row>
    <row r="4216">
      <c r="A4216" s="31"/>
      <c r="C4216" s="31"/>
      <c r="D4216" s="31"/>
      <c r="H4216" s="31"/>
    </row>
    <row r="4217">
      <c r="A4217" s="31"/>
      <c r="C4217" s="31"/>
      <c r="D4217" s="31"/>
      <c r="H4217" s="31"/>
    </row>
    <row r="4218">
      <c r="A4218" s="31"/>
      <c r="C4218" s="31"/>
      <c r="D4218" s="31"/>
      <c r="H4218" s="31"/>
    </row>
    <row r="4219">
      <c r="A4219" s="31"/>
      <c r="C4219" s="31"/>
      <c r="D4219" s="31"/>
      <c r="H4219" s="31"/>
    </row>
    <row r="4220">
      <c r="A4220" s="31"/>
      <c r="C4220" s="31"/>
      <c r="D4220" s="31"/>
      <c r="H4220" s="31"/>
    </row>
    <row r="4221">
      <c r="A4221" s="31"/>
      <c r="C4221" s="31"/>
      <c r="D4221" s="31"/>
      <c r="H4221" s="31"/>
    </row>
    <row r="4222">
      <c r="A4222" s="31"/>
      <c r="C4222" s="31"/>
      <c r="D4222" s="31"/>
      <c r="H4222" s="31"/>
    </row>
    <row r="4223">
      <c r="A4223" s="31"/>
      <c r="C4223" s="31"/>
      <c r="D4223" s="31"/>
      <c r="H4223" s="31"/>
    </row>
    <row r="4224">
      <c r="A4224" s="31"/>
      <c r="C4224" s="31"/>
      <c r="D4224" s="31"/>
      <c r="H4224" s="31"/>
    </row>
    <row r="4225">
      <c r="A4225" s="31"/>
      <c r="C4225" s="31"/>
      <c r="D4225" s="31"/>
      <c r="H4225" s="31"/>
    </row>
    <row r="4226">
      <c r="A4226" s="31"/>
      <c r="C4226" s="31"/>
      <c r="D4226" s="31"/>
      <c r="H4226" s="31"/>
    </row>
    <row r="4227">
      <c r="A4227" s="31"/>
      <c r="C4227" s="31"/>
      <c r="D4227" s="31"/>
      <c r="H4227" s="31"/>
    </row>
    <row r="4228">
      <c r="A4228" s="31"/>
      <c r="C4228" s="31"/>
      <c r="D4228" s="31"/>
      <c r="H4228" s="31"/>
    </row>
    <row r="4229">
      <c r="A4229" s="31"/>
      <c r="C4229" s="31"/>
      <c r="D4229" s="31"/>
      <c r="H4229" s="31"/>
    </row>
    <row r="4230">
      <c r="A4230" s="31"/>
      <c r="C4230" s="31"/>
      <c r="D4230" s="31"/>
      <c r="H4230" s="31"/>
    </row>
    <row r="4231">
      <c r="A4231" s="31"/>
      <c r="C4231" s="31"/>
      <c r="D4231" s="31"/>
      <c r="H4231" s="31"/>
    </row>
    <row r="4232">
      <c r="A4232" s="31"/>
      <c r="C4232" s="31"/>
      <c r="D4232" s="31"/>
      <c r="H4232" s="31"/>
    </row>
    <row r="4233">
      <c r="A4233" s="31"/>
      <c r="C4233" s="31"/>
      <c r="D4233" s="31"/>
      <c r="H4233" s="31"/>
    </row>
    <row r="4234">
      <c r="A4234" s="31"/>
      <c r="C4234" s="31"/>
      <c r="D4234" s="31"/>
      <c r="H4234" s="31"/>
    </row>
    <row r="4235">
      <c r="A4235" s="31"/>
      <c r="C4235" s="31"/>
      <c r="D4235" s="31"/>
      <c r="H4235" s="31"/>
    </row>
    <row r="4236">
      <c r="A4236" s="31"/>
      <c r="C4236" s="31"/>
      <c r="D4236" s="31"/>
      <c r="H4236" s="31"/>
    </row>
    <row r="4237">
      <c r="A4237" s="31"/>
      <c r="C4237" s="31"/>
      <c r="D4237" s="31"/>
      <c r="H4237" s="31"/>
    </row>
    <row r="4238">
      <c r="A4238" s="31"/>
      <c r="C4238" s="31"/>
      <c r="D4238" s="31"/>
      <c r="H4238" s="31"/>
    </row>
    <row r="4239">
      <c r="A4239" s="31"/>
      <c r="C4239" s="31"/>
      <c r="D4239" s="31"/>
      <c r="H4239" s="31"/>
    </row>
    <row r="4240">
      <c r="A4240" s="31"/>
      <c r="C4240" s="31"/>
      <c r="D4240" s="31"/>
      <c r="H4240" s="31"/>
    </row>
    <row r="4241">
      <c r="A4241" s="31"/>
      <c r="C4241" s="31"/>
      <c r="D4241" s="31"/>
      <c r="H4241" s="31"/>
    </row>
    <row r="4242">
      <c r="A4242" s="31"/>
      <c r="C4242" s="31"/>
      <c r="D4242" s="31"/>
      <c r="H4242" s="31"/>
    </row>
    <row r="4243">
      <c r="A4243" s="31"/>
      <c r="C4243" s="31"/>
      <c r="D4243" s="31"/>
      <c r="H4243" s="31"/>
    </row>
    <row r="4244">
      <c r="A4244" s="31"/>
      <c r="C4244" s="31"/>
      <c r="D4244" s="31"/>
      <c r="H4244" s="31"/>
    </row>
    <row r="4245">
      <c r="A4245" s="31"/>
      <c r="C4245" s="31"/>
      <c r="D4245" s="31"/>
      <c r="H4245" s="31"/>
    </row>
    <row r="4246">
      <c r="A4246" s="31"/>
      <c r="C4246" s="31"/>
      <c r="D4246" s="31"/>
      <c r="H4246" s="31"/>
    </row>
    <row r="4247">
      <c r="A4247" s="31"/>
      <c r="C4247" s="31"/>
      <c r="D4247" s="31"/>
      <c r="H4247" s="31"/>
    </row>
    <row r="4248">
      <c r="A4248" s="31"/>
      <c r="C4248" s="31"/>
      <c r="D4248" s="31"/>
      <c r="H4248" s="31"/>
    </row>
    <row r="4249">
      <c r="A4249" s="31"/>
      <c r="C4249" s="31"/>
      <c r="D4249" s="31"/>
      <c r="H4249" s="31"/>
    </row>
    <row r="4250">
      <c r="A4250" s="31"/>
      <c r="C4250" s="31"/>
      <c r="D4250" s="31"/>
      <c r="H4250" s="31"/>
    </row>
    <row r="4251">
      <c r="A4251" s="31"/>
      <c r="C4251" s="31"/>
      <c r="D4251" s="31"/>
      <c r="H4251" s="31"/>
    </row>
    <row r="4252">
      <c r="A4252" s="31"/>
      <c r="C4252" s="31"/>
      <c r="D4252" s="31"/>
      <c r="H4252" s="31"/>
    </row>
    <row r="4253">
      <c r="A4253" s="31"/>
      <c r="C4253" s="31"/>
      <c r="D4253" s="31"/>
      <c r="H4253" s="31"/>
    </row>
    <row r="4254">
      <c r="A4254" s="31"/>
      <c r="C4254" s="31"/>
      <c r="D4254" s="31"/>
      <c r="H4254" s="31"/>
    </row>
    <row r="4255">
      <c r="A4255" s="31"/>
      <c r="C4255" s="31"/>
      <c r="D4255" s="31"/>
      <c r="H4255" s="31"/>
    </row>
    <row r="4256">
      <c r="A4256" s="31"/>
      <c r="C4256" s="31"/>
      <c r="D4256" s="31"/>
      <c r="H4256" s="31"/>
    </row>
    <row r="4257">
      <c r="A4257" s="31"/>
      <c r="C4257" s="31"/>
      <c r="D4257" s="31"/>
      <c r="H4257" s="31"/>
    </row>
    <row r="4258">
      <c r="A4258" s="31"/>
      <c r="C4258" s="31"/>
      <c r="D4258" s="31"/>
      <c r="H4258" s="31"/>
    </row>
    <row r="4259">
      <c r="A4259" s="31"/>
      <c r="C4259" s="31"/>
      <c r="D4259" s="31"/>
      <c r="H4259" s="31"/>
    </row>
    <row r="4260">
      <c r="A4260" s="31"/>
      <c r="C4260" s="31"/>
      <c r="D4260" s="31"/>
      <c r="H4260" s="31"/>
    </row>
    <row r="4261">
      <c r="A4261" s="31"/>
      <c r="C4261" s="31"/>
      <c r="D4261" s="31"/>
      <c r="H4261" s="31"/>
    </row>
    <row r="4262">
      <c r="A4262" s="31"/>
      <c r="C4262" s="31"/>
      <c r="D4262" s="31"/>
      <c r="H4262" s="31"/>
    </row>
    <row r="4263">
      <c r="A4263" s="31"/>
      <c r="C4263" s="31"/>
      <c r="D4263" s="31"/>
      <c r="H4263" s="31"/>
    </row>
    <row r="4264">
      <c r="A4264" s="31"/>
      <c r="C4264" s="31"/>
      <c r="D4264" s="31"/>
      <c r="H4264" s="31"/>
    </row>
    <row r="4265">
      <c r="A4265" s="31"/>
      <c r="C4265" s="31"/>
      <c r="D4265" s="31"/>
      <c r="H4265" s="31"/>
    </row>
    <row r="4266">
      <c r="A4266" s="31"/>
      <c r="C4266" s="31"/>
      <c r="D4266" s="31"/>
      <c r="H4266" s="31"/>
    </row>
    <row r="4267">
      <c r="A4267" s="31"/>
      <c r="C4267" s="31"/>
      <c r="D4267" s="31"/>
      <c r="H4267" s="31"/>
    </row>
    <row r="4268">
      <c r="A4268" s="31"/>
      <c r="C4268" s="31"/>
      <c r="D4268" s="31"/>
      <c r="H4268" s="31"/>
    </row>
    <row r="4269">
      <c r="A4269" s="31"/>
      <c r="C4269" s="31"/>
      <c r="D4269" s="31"/>
      <c r="H4269" s="31"/>
    </row>
    <row r="4270">
      <c r="A4270" s="31"/>
      <c r="C4270" s="31"/>
      <c r="D4270" s="31"/>
      <c r="H4270" s="31"/>
    </row>
    <row r="4271">
      <c r="A4271" s="31"/>
      <c r="C4271" s="31"/>
      <c r="D4271" s="31"/>
      <c r="H4271" s="31"/>
    </row>
    <row r="4272">
      <c r="A4272" s="31"/>
      <c r="C4272" s="31"/>
      <c r="D4272" s="31"/>
      <c r="H4272" s="31"/>
    </row>
    <row r="4273">
      <c r="A4273" s="31"/>
      <c r="C4273" s="31"/>
      <c r="D4273" s="31"/>
      <c r="H4273" s="31"/>
    </row>
    <row r="4274">
      <c r="A4274" s="31"/>
      <c r="C4274" s="31"/>
      <c r="D4274" s="31"/>
      <c r="H4274" s="31"/>
    </row>
    <row r="4275">
      <c r="A4275" s="31"/>
      <c r="C4275" s="31"/>
      <c r="D4275" s="31"/>
      <c r="H4275" s="31"/>
    </row>
    <row r="4276">
      <c r="A4276" s="31"/>
      <c r="C4276" s="31"/>
      <c r="D4276" s="31"/>
      <c r="H4276" s="31"/>
    </row>
    <row r="4277">
      <c r="A4277" s="31"/>
      <c r="C4277" s="31"/>
      <c r="D4277" s="31"/>
      <c r="H4277" s="31"/>
    </row>
    <row r="4278">
      <c r="A4278" s="31"/>
      <c r="C4278" s="31"/>
      <c r="D4278" s="31"/>
      <c r="H4278" s="31"/>
    </row>
    <row r="4279">
      <c r="A4279" s="31"/>
      <c r="C4279" s="31"/>
      <c r="D4279" s="31"/>
      <c r="H4279" s="31"/>
    </row>
    <row r="4280">
      <c r="A4280" s="31"/>
      <c r="C4280" s="31"/>
      <c r="D4280" s="31"/>
      <c r="H4280" s="31"/>
    </row>
    <row r="4281">
      <c r="A4281" s="31"/>
      <c r="C4281" s="31"/>
      <c r="D4281" s="31"/>
      <c r="H4281" s="31"/>
    </row>
    <row r="4282">
      <c r="A4282" s="31"/>
      <c r="C4282" s="31"/>
      <c r="D4282" s="31"/>
      <c r="H4282" s="31"/>
    </row>
    <row r="4283">
      <c r="A4283" s="31"/>
      <c r="C4283" s="31"/>
      <c r="D4283" s="31"/>
      <c r="H4283" s="31"/>
    </row>
    <row r="4284">
      <c r="A4284" s="31"/>
      <c r="C4284" s="31"/>
      <c r="D4284" s="31"/>
      <c r="H4284" s="31"/>
    </row>
    <row r="4285">
      <c r="A4285" s="31"/>
      <c r="C4285" s="31"/>
      <c r="D4285" s="31"/>
      <c r="H4285" s="31"/>
    </row>
    <row r="4286">
      <c r="A4286" s="31"/>
      <c r="C4286" s="31"/>
      <c r="D4286" s="31"/>
      <c r="H4286" s="31"/>
    </row>
    <row r="4287">
      <c r="A4287" s="31"/>
      <c r="C4287" s="31"/>
      <c r="D4287" s="31"/>
      <c r="H4287" s="31"/>
    </row>
    <row r="4288">
      <c r="A4288" s="31"/>
      <c r="C4288" s="31"/>
      <c r="D4288" s="31"/>
      <c r="H4288" s="31"/>
    </row>
    <row r="4289">
      <c r="A4289" s="31"/>
      <c r="C4289" s="31"/>
      <c r="D4289" s="31"/>
      <c r="H4289" s="31"/>
    </row>
    <row r="4290">
      <c r="A4290" s="31"/>
      <c r="C4290" s="31"/>
      <c r="D4290" s="31"/>
      <c r="H4290" s="31"/>
    </row>
    <row r="4291">
      <c r="A4291" s="31"/>
      <c r="C4291" s="31"/>
      <c r="D4291" s="31"/>
      <c r="H4291" s="31"/>
    </row>
    <row r="4292">
      <c r="A4292" s="31"/>
      <c r="C4292" s="31"/>
      <c r="D4292" s="31"/>
      <c r="H4292" s="31"/>
    </row>
    <row r="4293">
      <c r="A4293" s="31"/>
      <c r="C4293" s="31"/>
      <c r="D4293" s="31"/>
      <c r="H4293" s="31"/>
    </row>
    <row r="4294">
      <c r="A4294" s="31"/>
      <c r="C4294" s="31"/>
      <c r="D4294" s="31"/>
      <c r="H4294" s="31"/>
    </row>
    <row r="4295">
      <c r="A4295" s="31"/>
      <c r="C4295" s="31"/>
      <c r="D4295" s="31"/>
      <c r="H4295" s="31"/>
    </row>
    <row r="4296">
      <c r="A4296" s="31"/>
      <c r="C4296" s="31"/>
      <c r="D4296" s="31"/>
      <c r="H4296" s="31"/>
    </row>
    <row r="4297">
      <c r="A4297" s="31"/>
      <c r="C4297" s="31"/>
      <c r="D4297" s="31"/>
      <c r="H4297" s="31"/>
    </row>
    <row r="4298">
      <c r="A4298" s="31"/>
      <c r="C4298" s="31"/>
      <c r="D4298" s="31"/>
      <c r="H4298" s="31"/>
    </row>
    <row r="4299">
      <c r="A4299" s="31"/>
      <c r="C4299" s="31"/>
      <c r="D4299" s="31"/>
      <c r="H4299" s="31"/>
    </row>
    <row r="4300">
      <c r="A4300" s="31"/>
      <c r="C4300" s="31"/>
      <c r="D4300" s="31"/>
      <c r="H4300" s="31"/>
    </row>
    <row r="4301">
      <c r="A4301" s="31"/>
      <c r="C4301" s="31"/>
      <c r="D4301" s="31"/>
      <c r="H4301" s="31"/>
    </row>
    <row r="4302">
      <c r="A4302" s="31"/>
      <c r="C4302" s="31"/>
      <c r="D4302" s="31"/>
      <c r="H4302" s="31"/>
    </row>
    <row r="4303">
      <c r="A4303" s="31"/>
      <c r="C4303" s="31"/>
      <c r="D4303" s="31"/>
      <c r="H4303" s="31"/>
    </row>
    <row r="4304">
      <c r="A4304" s="31"/>
      <c r="C4304" s="31"/>
      <c r="D4304" s="31"/>
      <c r="H4304" s="31"/>
    </row>
    <row r="4305">
      <c r="A4305" s="31"/>
      <c r="C4305" s="31"/>
      <c r="D4305" s="31"/>
      <c r="H4305" s="31"/>
    </row>
    <row r="4306">
      <c r="A4306" s="31"/>
      <c r="C4306" s="31"/>
      <c r="D4306" s="31"/>
      <c r="H4306" s="31"/>
    </row>
    <row r="4307">
      <c r="A4307" s="31"/>
      <c r="C4307" s="31"/>
      <c r="D4307" s="31"/>
      <c r="H4307" s="31"/>
    </row>
    <row r="4308">
      <c r="A4308" s="31"/>
      <c r="C4308" s="31"/>
      <c r="D4308" s="31"/>
      <c r="H4308" s="31"/>
    </row>
    <row r="4309">
      <c r="A4309" s="31"/>
      <c r="C4309" s="31"/>
      <c r="D4309" s="31"/>
      <c r="H4309" s="31"/>
    </row>
    <row r="4310">
      <c r="A4310" s="31"/>
      <c r="C4310" s="31"/>
      <c r="D4310" s="31"/>
      <c r="H4310" s="31"/>
    </row>
    <row r="4311">
      <c r="A4311" s="31"/>
      <c r="C4311" s="31"/>
      <c r="D4311" s="31"/>
      <c r="H4311" s="31"/>
    </row>
    <row r="4312">
      <c r="A4312" s="31"/>
      <c r="C4312" s="31"/>
      <c r="D4312" s="31"/>
      <c r="H4312" s="31"/>
    </row>
    <row r="4313">
      <c r="A4313" s="31"/>
      <c r="C4313" s="31"/>
      <c r="D4313" s="31"/>
      <c r="H4313" s="31"/>
    </row>
    <row r="4314">
      <c r="A4314" s="31"/>
      <c r="C4314" s="31"/>
      <c r="D4314" s="31"/>
      <c r="H4314" s="31"/>
    </row>
    <row r="4315">
      <c r="A4315" s="31"/>
      <c r="C4315" s="31"/>
      <c r="D4315" s="31"/>
      <c r="H4315" s="31"/>
    </row>
    <row r="4316">
      <c r="A4316" s="31"/>
      <c r="C4316" s="31"/>
      <c r="D4316" s="31"/>
      <c r="H4316" s="31"/>
    </row>
    <row r="4317">
      <c r="A4317" s="31"/>
      <c r="C4317" s="31"/>
      <c r="D4317" s="31"/>
      <c r="H4317" s="31"/>
    </row>
    <row r="4318">
      <c r="A4318" s="31"/>
      <c r="C4318" s="31"/>
      <c r="D4318" s="31"/>
      <c r="H4318" s="31"/>
    </row>
    <row r="4319">
      <c r="A4319" s="31"/>
      <c r="C4319" s="31"/>
      <c r="D4319" s="31"/>
      <c r="H4319" s="31"/>
    </row>
    <row r="4320">
      <c r="A4320" s="31"/>
      <c r="C4320" s="31"/>
      <c r="D4320" s="31"/>
      <c r="H4320" s="31"/>
    </row>
    <row r="4321">
      <c r="A4321" s="31"/>
      <c r="C4321" s="31"/>
      <c r="D4321" s="31"/>
      <c r="H4321" s="31"/>
    </row>
    <row r="4322">
      <c r="A4322" s="31"/>
      <c r="C4322" s="31"/>
      <c r="D4322" s="31"/>
      <c r="H4322" s="31"/>
    </row>
    <row r="4323">
      <c r="A4323" s="31"/>
      <c r="C4323" s="31"/>
      <c r="D4323" s="31"/>
      <c r="H4323" s="31"/>
    </row>
    <row r="4324">
      <c r="A4324" s="31"/>
      <c r="C4324" s="31"/>
      <c r="D4324" s="31"/>
      <c r="H4324" s="31"/>
    </row>
    <row r="4325">
      <c r="A4325" s="31"/>
      <c r="C4325" s="31"/>
      <c r="D4325" s="31"/>
      <c r="H4325" s="31"/>
    </row>
    <row r="4326">
      <c r="A4326" s="31"/>
      <c r="C4326" s="31"/>
      <c r="D4326" s="31"/>
      <c r="H4326" s="31"/>
    </row>
    <row r="4327">
      <c r="A4327" s="31"/>
      <c r="C4327" s="31"/>
      <c r="D4327" s="31"/>
      <c r="H4327" s="31"/>
    </row>
    <row r="4328">
      <c r="A4328" s="31"/>
      <c r="C4328" s="31"/>
      <c r="D4328" s="31"/>
      <c r="H4328" s="31"/>
    </row>
    <row r="4329">
      <c r="A4329" s="31"/>
      <c r="C4329" s="31"/>
      <c r="D4329" s="31"/>
      <c r="H4329" s="31"/>
    </row>
    <row r="4330">
      <c r="A4330" s="31"/>
      <c r="C4330" s="31"/>
      <c r="D4330" s="31"/>
      <c r="H4330" s="31"/>
    </row>
    <row r="4331">
      <c r="A4331" s="31"/>
      <c r="C4331" s="31"/>
      <c r="D4331" s="31"/>
      <c r="H4331" s="31"/>
    </row>
    <row r="4332">
      <c r="A4332" s="31"/>
      <c r="C4332" s="31"/>
      <c r="D4332" s="31"/>
      <c r="H4332" s="31"/>
    </row>
    <row r="4333">
      <c r="A4333" s="31"/>
      <c r="C4333" s="31"/>
      <c r="D4333" s="31"/>
      <c r="H4333" s="31"/>
    </row>
    <row r="4334">
      <c r="A4334" s="31"/>
      <c r="C4334" s="31"/>
      <c r="D4334" s="31"/>
      <c r="H4334" s="31"/>
    </row>
    <row r="4335">
      <c r="A4335" s="31"/>
      <c r="C4335" s="31"/>
      <c r="D4335" s="31"/>
      <c r="H4335" s="31"/>
    </row>
    <row r="4336">
      <c r="A4336" s="31"/>
      <c r="C4336" s="31"/>
      <c r="D4336" s="31"/>
      <c r="H4336" s="31"/>
    </row>
    <row r="4337">
      <c r="A4337" s="31"/>
      <c r="C4337" s="31"/>
      <c r="D4337" s="31"/>
      <c r="H4337" s="31"/>
    </row>
    <row r="4338">
      <c r="A4338" s="31"/>
      <c r="C4338" s="31"/>
      <c r="D4338" s="31"/>
      <c r="H4338" s="31"/>
    </row>
    <row r="4339">
      <c r="A4339" s="31"/>
      <c r="C4339" s="31"/>
      <c r="D4339" s="31"/>
      <c r="H4339" s="31"/>
    </row>
    <row r="4340">
      <c r="A4340" s="31"/>
      <c r="C4340" s="31"/>
      <c r="D4340" s="31"/>
      <c r="H4340" s="31"/>
    </row>
    <row r="4341">
      <c r="A4341" s="31"/>
      <c r="C4341" s="31"/>
      <c r="D4341" s="31"/>
      <c r="H4341" s="31"/>
    </row>
    <row r="4342">
      <c r="A4342" s="31"/>
      <c r="C4342" s="31"/>
      <c r="D4342" s="31"/>
      <c r="H4342" s="31"/>
    </row>
    <row r="4343">
      <c r="A4343" s="31"/>
      <c r="C4343" s="31"/>
      <c r="D4343" s="31"/>
      <c r="H4343" s="31"/>
    </row>
    <row r="4344">
      <c r="A4344" s="31"/>
      <c r="C4344" s="31"/>
      <c r="D4344" s="31"/>
      <c r="H4344" s="31"/>
    </row>
    <row r="4345">
      <c r="A4345" s="31"/>
      <c r="C4345" s="31"/>
      <c r="D4345" s="31"/>
      <c r="H4345" s="31"/>
    </row>
    <row r="4346">
      <c r="A4346" s="31"/>
      <c r="C4346" s="31"/>
      <c r="D4346" s="31"/>
      <c r="H4346" s="31"/>
    </row>
    <row r="4347">
      <c r="A4347" s="31"/>
      <c r="C4347" s="31"/>
      <c r="D4347" s="31"/>
      <c r="H4347" s="31"/>
    </row>
    <row r="4348">
      <c r="A4348" s="31"/>
      <c r="C4348" s="31"/>
      <c r="D4348" s="31"/>
      <c r="H4348" s="31"/>
    </row>
    <row r="4349">
      <c r="A4349" s="31"/>
      <c r="C4349" s="31"/>
      <c r="D4349" s="31"/>
      <c r="H4349" s="31"/>
    </row>
    <row r="4350">
      <c r="A4350" s="31"/>
      <c r="C4350" s="31"/>
      <c r="D4350" s="31"/>
      <c r="H4350" s="31"/>
    </row>
    <row r="4351">
      <c r="A4351" s="31"/>
      <c r="C4351" s="31"/>
      <c r="D4351" s="31"/>
      <c r="H4351" s="31"/>
    </row>
    <row r="4352">
      <c r="A4352" s="31"/>
      <c r="C4352" s="31"/>
      <c r="D4352" s="31"/>
      <c r="H4352" s="31"/>
    </row>
    <row r="4353">
      <c r="A4353" s="31"/>
      <c r="C4353" s="31"/>
      <c r="D4353" s="31"/>
      <c r="H4353" s="31"/>
    </row>
    <row r="4354">
      <c r="A4354" s="31"/>
      <c r="C4354" s="31"/>
      <c r="D4354" s="31"/>
      <c r="H4354" s="31"/>
    </row>
    <row r="4355">
      <c r="A4355" s="31"/>
      <c r="C4355" s="31"/>
      <c r="D4355" s="31"/>
      <c r="H4355" s="31"/>
    </row>
    <row r="4356">
      <c r="A4356" s="31"/>
      <c r="C4356" s="31"/>
      <c r="D4356" s="31"/>
      <c r="H4356" s="31"/>
    </row>
    <row r="4357">
      <c r="A4357" s="31"/>
      <c r="C4357" s="31"/>
      <c r="D4357" s="31"/>
      <c r="H4357" s="31"/>
    </row>
    <row r="4358">
      <c r="A4358" s="31"/>
      <c r="C4358" s="31"/>
      <c r="D4358" s="31"/>
      <c r="H4358" s="31"/>
    </row>
    <row r="4359">
      <c r="A4359" s="31"/>
      <c r="C4359" s="31"/>
      <c r="D4359" s="31"/>
      <c r="H4359" s="31"/>
    </row>
    <row r="4360">
      <c r="A4360" s="31"/>
      <c r="C4360" s="31"/>
      <c r="D4360" s="31"/>
      <c r="H4360" s="31"/>
    </row>
    <row r="4361">
      <c r="A4361" s="31"/>
      <c r="C4361" s="31"/>
      <c r="D4361" s="31"/>
      <c r="H4361" s="31"/>
    </row>
    <row r="4362">
      <c r="A4362" s="31"/>
      <c r="C4362" s="31"/>
      <c r="D4362" s="31"/>
      <c r="H4362" s="31"/>
    </row>
    <row r="4363">
      <c r="A4363" s="31"/>
      <c r="C4363" s="31"/>
      <c r="D4363" s="31"/>
      <c r="H4363" s="31"/>
    </row>
    <row r="4364">
      <c r="A4364" s="31"/>
      <c r="C4364" s="31"/>
      <c r="D4364" s="31"/>
      <c r="H4364" s="31"/>
    </row>
    <row r="4365">
      <c r="A4365" s="31"/>
      <c r="C4365" s="31"/>
      <c r="D4365" s="31"/>
      <c r="H4365" s="31"/>
    </row>
    <row r="4366">
      <c r="A4366" s="31"/>
      <c r="C4366" s="31"/>
      <c r="D4366" s="31"/>
      <c r="H4366" s="31"/>
    </row>
    <row r="4367">
      <c r="A4367" s="31"/>
      <c r="C4367" s="31"/>
      <c r="D4367" s="31"/>
      <c r="H4367" s="31"/>
    </row>
    <row r="4368">
      <c r="A4368" s="31"/>
      <c r="C4368" s="31"/>
      <c r="D4368" s="31"/>
      <c r="H4368" s="31"/>
    </row>
    <row r="4369">
      <c r="A4369" s="31"/>
      <c r="C4369" s="31"/>
      <c r="D4369" s="31"/>
      <c r="H4369" s="31"/>
    </row>
    <row r="4370">
      <c r="A4370" s="31"/>
      <c r="C4370" s="31"/>
      <c r="D4370" s="31"/>
      <c r="H4370" s="31"/>
    </row>
    <row r="4371">
      <c r="A4371" s="31"/>
      <c r="C4371" s="31"/>
      <c r="D4371" s="31"/>
      <c r="H4371" s="31"/>
    </row>
    <row r="4372">
      <c r="A4372" s="31"/>
      <c r="C4372" s="31"/>
      <c r="D4372" s="31"/>
      <c r="H4372" s="31"/>
    </row>
    <row r="4373">
      <c r="A4373" s="31"/>
      <c r="C4373" s="31"/>
      <c r="D4373" s="31"/>
      <c r="H4373" s="31"/>
    </row>
    <row r="4374">
      <c r="A4374" s="31"/>
      <c r="C4374" s="31"/>
      <c r="D4374" s="31"/>
      <c r="H4374" s="31"/>
    </row>
    <row r="4375">
      <c r="A4375" s="31"/>
      <c r="C4375" s="31"/>
      <c r="D4375" s="31"/>
      <c r="H4375" s="31"/>
    </row>
    <row r="4376">
      <c r="A4376" s="31"/>
      <c r="C4376" s="31"/>
      <c r="D4376" s="31"/>
      <c r="H4376" s="31"/>
    </row>
    <row r="4377">
      <c r="A4377" s="31"/>
      <c r="C4377" s="31"/>
      <c r="D4377" s="31"/>
      <c r="H4377" s="31"/>
    </row>
    <row r="4378">
      <c r="A4378" s="31"/>
      <c r="C4378" s="31"/>
      <c r="D4378" s="31"/>
      <c r="H4378" s="31"/>
    </row>
    <row r="4379">
      <c r="A4379" s="31"/>
      <c r="C4379" s="31"/>
      <c r="D4379" s="31"/>
      <c r="H4379" s="31"/>
    </row>
    <row r="4380">
      <c r="A4380" s="31"/>
      <c r="C4380" s="31"/>
      <c r="D4380" s="31"/>
      <c r="H4380" s="31"/>
    </row>
    <row r="4381">
      <c r="A4381" s="31"/>
      <c r="C4381" s="31"/>
      <c r="D4381" s="31"/>
      <c r="H4381" s="31"/>
    </row>
    <row r="4382">
      <c r="A4382" s="31"/>
      <c r="C4382" s="31"/>
      <c r="D4382" s="31"/>
      <c r="H4382" s="31"/>
    </row>
    <row r="4383">
      <c r="A4383" s="31"/>
      <c r="C4383" s="31"/>
      <c r="D4383" s="31"/>
      <c r="H4383" s="31"/>
    </row>
    <row r="4384">
      <c r="A4384" s="31"/>
      <c r="C4384" s="31"/>
      <c r="D4384" s="31"/>
      <c r="H4384" s="31"/>
    </row>
    <row r="4385">
      <c r="A4385" s="31"/>
      <c r="C4385" s="31"/>
      <c r="D4385" s="31"/>
      <c r="H4385" s="31"/>
    </row>
    <row r="4386">
      <c r="A4386" s="31"/>
      <c r="C4386" s="31"/>
      <c r="D4386" s="31"/>
      <c r="H4386" s="31"/>
    </row>
    <row r="4387">
      <c r="A4387" s="31"/>
      <c r="C4387" s="31"/>
      <c r="D4387" s="31"/>
      <c r="H4387" s="31"/>
    </row>
    <row r="4388">
      <c r="A4388" s="31"/>
      <c r="C4388" s="31"/>
      <c r="D4388" s="31"/>
      <c r="H4388" s="31"/>
    </row>
    <row r="4389">
      <c r="A4389" s="31"/>
      <c r="C4389" s="31"/>
      <c r="D4389" s="31"/>
      <c r="H4389" s="31"/>
    </row>
    <row r="4390">
      <c r="A4390" s="31"/>
      <c r="C4390" s="31"/>
      <c r="D4390" s="31"/>
      <c r="H4390" s="31"/>
    </row>
    <row r="4391">
      <c r="A4391" s="31"/>
      <c r="C4391" s="31"/>
      <c r="D4391" s="31"/>
      <c r="H4391" s="31"/>
    </row>
    <row r="4392">
      <c r="A4392" s="31"/>
      <c r="C4392" s="31"/>
      <c r="D4392" s="31"/>
      <c r="H4392" s="31"/>
    </row>
    <row r="4393">
      <c r="A4393" s="31"/>
      <c r="C4393" s="31"/>
      <c r="D4393" s="31"/>
      <c r="H4393" s="31"/>
    </row>
    <row r="4394">
      <c r="A4394" s="31"/>
      <c r="C4394" s="31"/>
      <c r="D4394" s="31"/>
      <c r="H4394" s="31"/>
    </row>
    <row r="4395">
      <c r="A4395" s="31"/>
      <c r="C4395" s="31"/>
      <c r="D4395" s="31"/>
      <c r="H4395" s="31"/>
    </row>
    <row r="4396">
      <c r="A4396" s="31"/>
      <c r="C4396" s="31"/>
      <c r="D4396" s="31"/>
      <c r="H4396" s="31"/>
    </row>
    <row r="4397">
      <c r="A4397" s="31"/>
      <c r="C4397" s="31"/>
      <c r="D4397" s="31"/>
      <c r="H4397" s="31"/>
    </row>
    <row r="4398">
      <c r="A4398" s="31"/>
      <c r="C4398" s="31"/>
      <c r="D4398" s="31"/>
      <c r="H4398" s="31"/>
    </row>
    <row r="4399">
      <c r="A4399" s="31"/>
      <c r="C4399" s="31"/>
      <c r="D4399" s="31"/>
      <c r="H4399" s="31"/>
    </row>
    <row r="4400">
      <c r="A4400" s="31"/>
      <c r="C4400" s="31"/>
      <c r="D4400" s="31"/>
      <c r="H4400" s="31"/>
    </row>
    <row r="4401">
      <c r="A4401" s="31"/>
      <c r="C4401" s="31"/>
      <c r="D4401" s="31"/>
      <c r="H4401" s="31"/>
    </row>
    <row r="4402">
      <c r="A4402" s="31"/>
      <c r="C4402" s="31"/>
      <c r="D4402" s="31"/>
      <c r="H4402" s="31"/>
    </row>
    <row r="4403">
      <c r="A4403" s="31"/>
      <c r="C4403" s="31"/>
      <c r="D4403" s="31"/>
      <c r="H4403" s="31"/>
    </row>
    <row r="4404">
      <c r="A4404" s="31"/>
      <c r="C4404" s="31"/>
      <c r="D4404" s="31"/>
      <c r="H4404" s="31"/>
    </row>
    <row r="4405">
      <c r="A4405" s="31"/>
      <c r="C4405" s="31"/>
      <c r="D4405" s="31"/>
      <c r="H4405" s="31"/>
    </row>
    <row r="4406">
      <c r="A4406" s="31"/>
      <c r="C4406" s="31"/>
      <c r="D4406" s="31"/>
      <c r="H4406" s="31"/>
    </row>
    <row r="4407">
      <c r="A4407" s="31"/>
      <c r="C4407" s="31"/>
      <c r="D4407" s="31"/>
      <c r="H4407" s="31"/>
    </row>
    <row r="4408">
      <c r="A4408" s="31"/>
      <c r="C4408" s="31"/>
      <c r="D4408" s="31"/>
      <c r="H4408" s="31"/>
    </row>
    <row r="4409">
      <c r="A4409" s="31"/>
      <c r="C4409" s="31"/>
      <c r="D4409" s="31"/>
      <c r="H4409" s="31"/>
    </row>
    <row r="4410">
      <c r="A4410" s="31"/>
      <c r="C4410" s="31"/>
      <c r="D4410" s="31"/>
      <c r="H4410" s="31"/>
    </row>
    <row r="4411">
      <c r="A4411" s="31"/>
      <c r="C4411" s="31"/>
      <c r="D4411" s="31"/>
      <c r="H4411" s="31"/>
    </row>
    <row r="4412">
      <c r="A4412" s="31"/>
      <c r="C4412" s="31"/>
      <c r="D4412" s="31"/>
      <c r="H4412" s="31"/>
    </row>
    <row r="4413">
      <c r="A4413" s="31"/>
      <c r="C4413" s="31"/>
      <c r="D4413" s="31"/>
      <c r="H4413" s="31"/>
    </row>
    <row r="4414">
      <c r="A4414" s="31"/>
      <c r="C4414" s="31"/>
      <c r="D4414" s="31"/>
      <c r="H4414" s="31"/>
    </row>
    <row r="4415">
      <c r="A4415" s="31"/>
      <c r="C4415" s="31"/>
      <c r="D4415" s="31"/>
      <c r="H4415" s="31"/>
    </row>
    <row r="4416">
      <c r="A4416" s="31"/>
      <c r="C4416" s="31"/>
      <c r="D4416" s="31"/>
      <c r="H4416" s="31"/>
    </row>
    <row r="4417">
      <c r="A4417" s="31"/>
      <c r="C4417" s="31"/>
      <c r="D4417" s="31"/>
      <c r="H4417" s="31"/>
    </row>
    <row r="4418">
      <c r="A4418" s="31"/>
      <c r="C4418" s="31"/>
      <c r="D4418" s="31"/>
      <c r="H4418" s="31"/>
    </row>
    <row r="4419">
      <c r="A4419" s="31"/>
      <c r="C4419" s="31"/>
      <c r="D4419" s="31"/>
      <c r="H4419" s="31"/>
    </row>
    <row r="4420">
      <c r="A4420" s="31"/>
      <c r="C4420" s="31"/>
      <c r="D4420" s="31"/>
      <c r="H4420" s="31"/>
    </row>
    <row r="4421">
      <c r="A4421" s="31"/>
      <c r="C4421" s="31"/>
      <c r="D4421" s="31"/>
      <c r="H4421" s="31"/>
    </row>
    <row r="4422">
      <c r="A4422" s="31"/>
      <c r="C4422" s="31"/>
      <c r="D4422" s="31"/>
      <c r="H4422" s="31"/>
    </row>
    <row r="4423">
      <c r="A4423" s="31"/>
      <c r="C4423" s="31"/>
      <c r="D4423" s="31"/>
      <c r="H4423" s="31"/>
    </row>
    <row r="4424">
      <c r="A4424" s="31"/>
      <c r="C4424" s="31"/>
      <c r="D4424" s="31"/>
      <c r="H4424" s="31"/>
    </row>
    <row r="4425">
      <c r="A4425" s="31"/>
      <c r="C4425" s="31"/>
      <c r="D4425" s="31"/>
      <c r="H4425" s="31"/>
    </row>
    <row r="4426">
      <c r="A4426" s="31"/>
      <c r="C4426" s="31"/>
      <c r="D4426" s="31"/>
      <c r="H4426" s="31"/>
    </row>
    <row r="4427">
      <c r="A4427" s="31"/>
      <c r="C4427" s="31"/>
      <c r="D4427" s="31"/>
      <c r="H4427" s="31"/>
    </row>
    <row r="4428">
      <c r="A4428" s="31"/>
      <c r="C4428" s="31"/>
      <c r="D4428" s="31"/>
      <c r="H4428" s="31"/>
    </row>
    <row r="4429">
      <c r="A4429" s="31"/>
      <c r="C4429" s="31"/>
      <c r="D4429" s="31"/>
      <c r="H4429" s="31"/>
    </row>
    <row r="4430">
      <c r="A4430" s="31"/>
      <c r="C4430" s="31"/>
      <c r="D4430" s="31"/>
      <c r="H4430" s="31"/>
    </row>
    <row r="4431">
      <c r="A4431" s="31"/>
      <c r="C4431" s="31"/>
      <c r="D4431" s="31"/>
      <c r="H4431" s="31"/>
    </row>
    <row r="4432">
      <c r="A4432" s="31"/>
      <c r="C4432" s="31"/>
      <c r="D4432" s="31"/>
      <c r="H4432" s="31"/>
    </row>
    <row r="4433">
      <c r="A4433" s="31"/>
      <c r="C4433" s="31"/>
      <c r="D4433" s="31"/>
      <c r="H4433" s="31"/>
    </row>
    <row r="4434">
      <c r="A4434" s="31"/>
      <c r="C4434" s="31"/>
      <c r="D4434" s="31"/>
      <c r="H4434" s="31"/>
    </row>
    <row r="4435">
      <c r="A4435" s="31"/>
      <c r="C4435" s="31"/>
      <c r="D4435" s="31"/>
      <c r="H4435" s="31"/>
    </row>
    <row r="4436">
      <c r="A4436" s="31"/>
      <c r="C4436" s="31"/>
      <c r="D4436" s="31"/>
      <c r="H4436" s="31"/>
    </row>
    <row r="4437">
      <c r="A4437" s="31"/>
      <c r="C4437" s="31"/>
      <c r="D4437" s="31"/>
      <c r="H4437" s="31"/>
    </row>
    <row r="4438">
      <c r="A4438" s="31"/>
      <c r="C4438" s="31"/>
      <c r="D4438" s="31"/>
      <c r="H4438" s="31"/>
    </row>
    <row r="4439">
      <c r="A4439" s="31"/>
      <c r="C4439" s="31"/>
      <c r="D4439" s="31"/>
      <c r="H4439" s="31"/>
    </row>
    <row r="4440">
      <c r="A4440" s="31"/>
      <c r="C4440" s="31"/>
      <c r="D4440" s="31"/>
      <c r="H4440" s="31"/>
    </row>
    <row r="4441">
      <c r="A4441" s="31"/>
      <c r="C4441" s="31"/>
      <c r="D4441" s="31"/>
      <c r="H4441" s="31"/>
    </row>
    <row r="4442">
      <c r="A4442" s="31"/>
      <c r="C4442" s="31"/>
      <c r="D4442" s="31"/>
      <c r="H4442" s="31"/>
    </row>
    <row r="4443">
      <c r="A4443" s="31"/>
      <c r="C4443" s="31"/>
      <c r="D4443" s="31"/>
      <c r="H4443" s="31"/>
    </row>
    <row r="4444">
      <c r="A4444" s="31"/>
      <c r="C4444" s="31"/>
      <c r="D4444" s="31"/>
      <c r="H4444" s="31"/>
    </row>
    <row r="4445">
      <c r="A4445" s="31"/>
      <c r="C4445" s="31"/>
      <c r="D4445" s="31"/>
      <c r="H4445" s="31"/>
    </row>
    <row r="4446">
      <c r="A4446" s="31"/>
      <c r="C4446" s="31"/>
      <c r="D4446" s="31"/>
      <c r="H4446" s="31"/>
    </row>
    <row r="4447">
      <c r="A4447" s="31"/>
      <c r="C4447" s="31"/>
      <c r="D4447" s="31"/>
      <c r="H4447" s="31"/>
    </row>
    <row r="4448">
      <c r="A4448" s="31"/>
      <c r="C4448" s="31"/>
      <c r="D4448" s="31"/>
      <c r="H4448" s="31"/>
    </row>
    <row r="4449">
      <c r="A4449" s="31"/>
      <c r="C4449" s="31"/>
      <c r="D4449" s="31"/>
      <c r="H4449" s="31"/>
    </row>
    <row r="4450">
      <c r="A4450" s="31"/>
      <c r="C4450" s="31"/>
      <c r="D4450" s="31"/>
      <c r="H4450" s="31"/>
    </row>
    <row r="4451">
      <c r="A4451" s="31"/>
      <c r="C4451" s="31"/>
      <c r="D4451" s="31"/>
      <c r="H4451" s="31"/>
    </row>
    <row r="4452">
      <c r="A4452" s="31"/>
      <c r="C4452" s="31"/>
      <c r="D4452" s="31"/>
      <c r="H4452" s="31"/>
    </row>
    <row r="4453">
      <c r="A4453" s="31"/>
      <c r="C4453" s="31"/>
      <c r="D4453" s="31"/>
      <c r="H4453" s="31"/>
    </row>
    <row r="4454">
      <c r="A4454" s="31"/>
      <c r="C4454" s="31"/>
      <c r="D4454" s="31"/>
      <c r="H4454" s="31"/>
    </row>
    <row r="4455">
      <c r="A4455" s="31"/>
      <c r="C4455" s="31"/>
      <c r="D4455" s="31"/>
      <c r="H4455" s="31"/>
    </row>
    <row r="4456">
      <c r="A4456" s="31"/>
      <c r="C4456" s="31"/>
      <c r="D4456" s="31"/>
      <c r="H4456" s="31"/>
    </row>
    <row r="4457">
      <c r="A4457" s="31"/>
      <c r="C4457" s="31"/>
      <c r="D4457" s="31"/>
      <c r="H4457" s="31"/>
    </row>
    <row r="4458">
      <c r="A4458" s="31"/>
      <c r="C4458" s="31"/>
      <c r="D4458" s="31"/>
      <c r="H4458" s="31"/>
    </row>
    <row r="4459">
      <c r="A4459" s="31"/>
      <c r="C4459" s="31"/>
      <c r="D4459" s="31"/>
      <c r="H4459" s="31"/>
    </row>
    <row r="4460">
      <c r="A4460" s="31"/>
      <c r="C4460" s="31"/>
      <c r="D4460" s="31"/>
      <c r="H4460" s="31"/>
    </row>
    <row r="4461">
      <c r="A4461" s="31"/>
      <c r="C4461" s="31"/>
      <c r="D4461" s="31"/>
      <c r="H4461" s="31"/>
    </row>
    <row r="4462">
      <c r="A4462" s="31"/>
      <c r="C4462" s="31"/>
      <c r="D4462" s="31"/>
      <c r="H4462" s="31"/>
    </row>
    <row r="4463">
      <c r="A4463" s="31"/>
      <c r="C4463" s="31"/>
      <c r="D4463" s="31"/>
      <c r="H4463" s="31"/>
    </row>
    <row r="4464">
      <c r="A4464" s="31"/>
      <c r="C4464" s="31"/>
      <c r="D4464" s="31"/>
      <c r="H4464" s="31"/>
    </row>
    <row r="4465">
      <c r="A4465" s="31"/>
      <c r="C4465" s="31"/>
      <c r="D4465" s="31"/>
      <c r="H4465" s="31"/>
    </row>
    <row r="4466">
      <c r="A4466" s="31"/>
      <c r="C4466" s="31"/>
      <c r="D4466" s="31"/>
      <c r="H4466" s="31"/>
    </row>
    <row r="4467">
      <c r="A4467" s="31"/>
      <c r="C4467" s="31"/>
      <c r="D4467" s="31"/>
      <c r="H4467" s="31"/>
    </row>
    <row r="4468">
      <c r="A4468" s="31"/>
      <c r="C4468" s="31"/>
      <c r="D4468" s="31"/>
      <c r="H4468" s="31"/>
    </row>
    <row r="4469">
      <c r="A4469" s="31"/>
      <c r="C4469" s="31"/>
      <c r="D4469" s="31"/>
      <c r="H4469" s="31"/>
    </row>
    <row r="4470">
      <c r="A4470" s="31"/>
      <c r="C4470" s="31"/>
      <c r="D4470" s="31"/>
      <c r="H4470" s="31"/>
    </row>
    <row r="4471">
      <c r="A4471" s="31"/>
      <c r="C4471" s="31"/>
      <c r="D4471" s="31"/>
      <c r="H4471" s="31"/>
    </row>
    <row r="4472">
      <c r="A4472" s="31"/>
      <c r="C4472" s="31"/>
      <c r="D4472" s="31"/>
      <c r="H4472" s="31"/>
    </row>
    <row r="4473">
      <c r="A4473" s="31"/>
      <c r="C4473" s="31"/>
      <c r="D4473" s="31"/>
      <c r="H4473" s="31"/>
    </row>
    <row r="4474">
      <c r="A4474" s="31"/>
      <c r="C4474" s="31"/>
      <c r="D4474" s="31"/>
      <c r="H4474" s="31"/>
    </row>
    <row r="4475">
      <c r="A4475" s="31"/>
      <c r="C4475" s="31"/>
      <c r="D4475" s="31"/>
      <c r="H4475" s="31"/>
    </row>
    <row r="4476">
      <c r="A4476" s="31"/>
      <c r="C4476" s="31"/>
      <c r="D4476" s="31"/>
      <c r="H4476" s="31"/>
    </row>
    <row r="4477">
      <c r="A4477" s="31"/>
      <c r="C4477" s="31"/>
      <c r="D4477" s="31"/>
      <c r="H4477" s="31"/>
    </row>
    <row r="4478">
      <c r="A4478" s="31"/>
      <c r="C4478" s="31"/>
      <c r="D4478" s="31"/>
      <c r="H4478" s="31"/>
    </row>
    <row r="4479">
      <c r="A4479" s="31"/>
      <c r="C4479" s="31"/>
      <c r="D4479" s="31"/>
      <c r="H4479" s="31"/>
    </row>
    <row r="4480">
      <c r="A4480" s="31"/>
      <c r="C4480" s="31"/>
      <c r="D4480" s="31"/>
      <c r="H4480" s="31"/>
    </row>
    <row r="4481">
      <c r="A4481" s="31"/>
      <c r="C4481" s="31"/>
      <c r="D4481" s="31"/>
      <c r="H4481" s="31"/>
    </row>
    <row r="4482">
      <c r="A4482" s="31"/>
      <c r="C4482" s="31"/>
      <c r="D4482" s="31"/>
      <c r="H4482" s="31"/>
    </row>
    <row r="4483">
      <c r="A4483" s="31"/>
      <c r="C4483" s="31"/>
      <c r="D4483" s="31"/>
      <c r="H4483" s="31"/>
    </row>
    <row r="4484">
      <c r="A4484" s="31"/>
      <c r="C4484" s="31"/>
      <c r="D4484" s="31"/>
      <c r="H4484" s="31"/>
    </row>
    <row r="4485">
      <c r="A4485" s="31"/>
      <c r="C4485" s="31"/>
      <c r="D4485" s="31"/>
      <c r="H4485" s="31"/>
    </row>
    <row r="4486">
      <c r="A4486" s="31"/>
      <c r="C4486" s="31"/>
      <c r="D4486" s="31"/>
      <c r="H4486" s="31"/>
    </row>
    <row r="4487">
      <c r="A4487" s="31"/>
      <c r="C4487" s="31"/>
      <c r="D4487" s="31"/>
      <c r="H4487" s="31"/>
    </row>
    <row r="4488">
      <c r="A4488" s="31"/>
      <c r="C4488" s="31"/>
      <c r="D4488" s="31"/>
      <c r="H4488" s="31"/>
    </row>
    <row r="4489">
      <c r="A4489" s="31"/>
      <c r="C4489" s="31"/>
      <c r="D4489" s="31"/>
      <c r="H4489" s="31"/>
    </row>
    <row r="4490">
      <c r="A4490" s="31"/>
      <c r="C4490" s="31"/>
      <c r="D4490" s="31"/>
      <c r="H4490" s="31"/>
    </row>
    <row r="4491">
      <c r="A4491" s="31"/>
      <c r="C4491" s="31"/>
      <c r="D4491" s="31"/>
      <c r="H4491" s="31"/>
    </row>
    <row r="4492">
      <c r="A4492" s="31"/>
      <c r="C4492" s="31"/>
      <c r="D4492" s="31"/>
      <c r="H4492" s="31"/>
    </row>
    <row r="4493">
      <c r="A4493" s="31"/>
      <c r="C4493" s="31"/>
      <c r="D4493" s="31"/>
      <c r="H4493" s="31"/>
    </row>
    <row r="4494">
      <c r="A4494" s="31"/>
      <c r="C4494" s="31"/>
      <c r="D4494" s="31"/>
      <c r="H4494" s="31"/>
    </row>
    <row r="4495">
      <c r="A4495" s="31"/>
      <c r="C4495" s="31"/>
      <c r="D4495" s="31"/>
      <c r="H4495" s="31"/>
    </row>
    <row r="4496">
      <c r="A4496" s="31"/>
      <c r="C4496" s="31"/>
      <c r="D4496" s="31"/>
      <c r="H4496" s="31"/>
    </row>
    <row r="4497">
      <c r="A4497" s="31"/>
      <c r="C4497" s="31"/>
      <c r="D4497" s="31"/>
      <c r="H4497" s="31"/>
    </row>
    <row r="4498">
      <c r="A4498" s="31"/>
      <c r="C4498" s="31"/>
      <c r="D4498" s="31"/>
      <c r="H4498" s="31"/>
    </row>
    <row r="4499">
      <c r="A4499" s="31"/>
      <c r="C4499" s="31"/>
      <c r="D4499" s="31"/>
      <c r="H4499" s="31"/>
    </row>
    <row r="4500">
      <c r="A4500" s="31"/>
      <c r="C4500" s="31"/>
      <c r="D4500" s="31"/>
      <c r="H4500" s="31"/>
    </row>
    <row r="4501">
      <c r="A4501" s="31"/>
      <c r="C4501" s="31"/>
      <c r="D4501" s="31"/>
      <c r="H4501" s="31"/>
    </row>
    <row r="4502">
      <c r="A4502" s="31"/>
      <c r="C4502" s="31"/>
      <c r="D4502" s="31"/>
      <c r="H4502" s="31"/>
    </row>
    <row r="4503">
      <c r="A4503" s="31"/>
      <c r="C4503" s="31"/>
      <c r="D4503" s="31"/>
      <c r="H4503" s="31"/>
    </row>
    <row r="4504">
      <c r="A4504" s="31"/>
      <c r="C4504" s="31"/>
      <c r="D4504" s="31"/>
      <c r="H4504" s="31"/>
    </row>
    <row r="4505">
      <c r="A4505" s="31"/>
      <c r="C4505" s="31"/>
      <c r="D4505" s="31"/>
      <c r="H4505" s="31"/>
    </row>
    <row r="4506">
      <c r="A4506" s="31"/>
      <c r="C4506" s="31"/>
      <c r="D4506" s="31"/>
      <c r="H4506" s="31"/>
    </row>
    <row r="4507">
      <c r="A4507" s="31"/>
      <c r="C4507" s="31"/>
      <c r="D4507" s="31"/>
      <c r="H4507" s="31"/>
    </row>
    <row r="4508">
      <c r="A4508" s="31"/>
      <c r="C4508" s="31"/>
      <c r="D4508" s="31"/>
      <c r="H4508" s="31"/>
    </row>
    <row r="4509">
      <c r="A4509" s="31"/>
      <c r="C4509" s="31"/>
      <c r="D4509" s="31"/>
      <c r="H4509" s="31"/>
    </row>
    <row r="4510">
      <c r="A4510" s="31"/>
      <c r="C4510" s="31"/>
      <c r="D4510" s="31"/>
      <c r="H4510" s="31"/>
    </row>
    <row r="4511">
      <c r="A4511" s="31"/>
      <c r="C4511" s="31"/>
      <c r="D4511" s="31"/>
      <c r="H4511" s="31"/>
    </row>
    <row r="4512">
      <c r="A4512" s="31"/>
      <c r="C4512" s="31"/>
      <c r="D4512" s="31"/>
      <c r="H4512" s="31"/>
    </row>
    <row r="4513">
      <c r="A4513" s="31"/>
      <c r="C4513" s="31"/>
      <c r="D4513" s="31"/>
      <c r="H4513" s="31"/>
    </row>
    <row r="4514">
      <c r="A4514" s="31"/>
      <c r="C4514" s="31"/>
      <c r="D4514" s="31"/>
      <c r="H4514" s="31"/>
    </row>
    <row r="4515">
      <c r="A4515" s="31"/>
      <c r="C4515" s="31"/>
      <c r="D4515" s="31"/>
      <c r="H4515" s="31"/>
    </row>
    <row r="4516">
      <c r="A4516" s="31"/>
      <c r="C4516" s="31"/>
      <c r="D4516" s="31"/>
      <c r="H4516" s="31"/>
    </row>
    <row r="4517">
      <c r="A4517" s="31"/>
      <c r="C4517" s="31"/>
      <c r="D4517" s="31"/>
      <c r="H4517" s="31"/>
    </row>
    <row r="4518">
      <c r="A4518" s="31"/>
      <c r="C4518" s="31"/>
      <c r="D4518" s="31"/>
      <c r="H4518" s="31"/>
    </row>
    <row r="4519">
      <c r="A4519" s="31"/>
      <c r="C4519" s="31"/>
      <c r="D4519" s="31"/>
      <c r="H4519" s="31"/>
    </row>
    <row r="4520">
      <c r="A4520" s="31"/>
      <c r="C4520" s="31"/>
      <c r="D4520" s="31"/>
      <c r="H4520" s="31"/>
    </row>
    <row r="4521">
      <c r="A4521" s="31"/>
      <c r="C4521" s="31"/>
      <c r="D4521" s="31"/>
      <c r="H4521" s="31"/>
    </row>
    <row r="4522">
      <c r="A4522" s="31"/>
      <c r="C4522" s="31"/>
      <c r="D4522" s="31"/>
      <c r="H4522" s="31"/>
    </row>
    <row r="4523">
      <c r="A4523" s="31"/>
      <c r="C4523" s="31"/>
      <c r="D4523" s="31"/>
      <c r="H4523" s="31"/>
    </row>
    <row r="4524">
      <c r="A4524" s="31"/>
      <c r="C4524" s="31"/>
      <c r="D4524" s="31"/>
      <c r="H4524" s="31"/>
    </row>
    <row r="4525">
      <c r="A4525" s="31"/>
      <c r="C4525" s="31"/>
      <c r="D4525" s="31"/>
      <c r="H4525" s="31"/>
    </row>
    <row r="4526">
      <c r="A4526" s="31"/>
      <c r="C4526" s="31"/>
      <c r="D4526" s="31"/>
      <c r="H4526" s="31"/>
    </row>
    <row r="4527">
      <c r="A4527" s="31"/>
      <c r="C4527" s="31"/>
      <c r="D4527" s="31"/>
      <c r="H4527" s="31"/>
    </row>
    <row r="4528">
      <c r="A4528" s="31"/>
      <c r="C4528" s="31"/>
      <c r="D4528" s="31"/>
      <c r="H4528" s="31"/>
    </row>
    <row r="4529">
      <c r="A4529" s="31"/>
      <c r="C4529" s="31"/>
      <c r="D4529" s="31"/>
      <c r="H4529" s="31"/>
    </row>
    <row r="4530">
      <c r="A4530" s="31"/>
      <c r="C4530" s="31"/>
      <c r="D4530" s="31"/>
      <c r="H4530" s="31"/>
    </row>
    <row r="4531">
      <c r="A4531" s="31"/>
      <c r="C4531" s="31"/>
      <c r="D4531" s="31"/>
      <c r="H4531" s="31"/>
    </row>
    <row r="4532">
      <c r="A4532" s="31"/>
      <c r="C4532" s="31"/>
      <c r="D4532" s="31"/>
      <c r="H4532" s="31"/>
    </row>
    <row r="4533">
      <c r="A4533" s="31"/>
      <c r="C4533" s="31"/>
      <c r="D4533" s="31"/>
      <c r="H4533" s="31"/>
    </row>
    <row r="4534">
      <c r="A4534" s="31"/>
      <c r="C4534" s="31"/>
      <c r="D4534" s="31"/>
      <c r="H4534" s="31"/>
    </row>
    <row r="4535">
      <c r="A4535" s="31"/>
      <c r="C4535" s="31"/>
      <c r="D4535" s="31"/>
      <c r="H4535" s="31"/>
    </row>
    <row r="4536">
      <c r="A4536" s="31"/>
      <c r="C4536" s="31"/>
      <c r="D4536" s="31"/>
      <c r="H4536" s="31"/>
    </row>
    <row r="4537">
      <c r="A4537" s="31"/>
      <c r="C4537" s="31"/>
      <c r="D4537" s="31"/>
      <c r="H4537" s="31"/>
    </row>
    <row r="4538">
      <c r="A4538" s="31"/>
      <c r="C4538" s="31"/>
      <c r="D4538" s="31"/>
      <c r="H4538" s="31"/>
    </row>
    <row r="4539">
      <c r="A4539" s="31"/>
      <c r="C4539" s="31"/>
      <c r="D4539" s="31"/>
      <c r="H4539" s="31"/>
    </row>
    <row r="4540">
      <c r="A4540" s="31"/>
      <c r="C4540" s="31"/>
      <c r="D4540" s="31"/>
      <c r="H4540" s="31"/>
    </row>
    <row r="4541">
      <c r="A4541" s="31"/>
      <c r="C4541" s="31"/>
      <c r="D4541" s="31"/>
      <c r="H4541" s="31"/>
    </row>
    <row r="4542">
      <c r="A4542" s="31"/>
      <c r="C4542" s="31"/>
      <c r="D4542" s="31"/>
      <c r="H4542" s="31"/>
    </row>
    <row r="4543">
      <c r="A4543" s="31"/>
      <c r="C4543" s="31"/>
      <c r="D4543" s="31"/>
      <c r="H4543" s="31"/>
    </row>
    <row r="4544">
      <c r="A4544" s="31"/>
      <c r="C4544" s="31"/>
      <c r="D4544" s="31"/>
      <c r="H4544" s="31"/>
    </row>
    <row r="4545">
      <c r="A4545" s="31"/>
      <c r="C4545" s="31"/>
      <c r="D4545" s="31"/>
      <c r="H4545" s="31"/>
    </row>
    <row r="4546">
      <c r="A4546" s="31"/>
      <c r="C4546" s="31"/>
      <c r="D4546" s="31"/>
      <c r="H4546" s="31"/>
    </row>
    <row r="4547">
      <c r="A4547" s="31"/>
      <c r="C4547" s="31"/>
      <c r="D4547" s="31"/>
      <c r="H4547" s="31"/>
    </row>
    <row r="4548">
      <c r="A4548" s="31"/>
      <c r="C4548" s="31"/>
      <c r="D4548" s="31"/>
      <c r="H4548" s="31"/>
    </row>
    <row r="4549">
      <c r="A4549" s="31"/>
      <c r="C4549" s="31"/>
      <c r="D4549" s="31"/>
      <c r="H4549" s="31"/>
    </row>
    <row r="4550">
      <c r="A4550" s="31"/>
      <c r="C4550" s="31"/>
      <c r="D4550" s="31"/>
      <c r="H4550" s="31"/>
    </row>
    <row r="4551">
      <c r="A4551" s="31"/>
      <c r="C4551" s="31"/>
      <c r="D4551" s="31"/>
      <c r="H4551" s="31"/>
    </row>
    <row r="4552">
      <c r="A4552" s="31"/>
      <c r="C4552" s="31"/>
      <c r="D4552" s="31"/>
      <c r="H4552" s="31"/>
    </row>
    <row r="4553">
      <c r="A4553" s="31"/>
      <c r="C4553" s="31"/>
      <c r="D4553" s="31"/>
      <c r="H4553" s="31"/>
    </row>
    <row r="4554">
      <c r="A4554" s="31"/>
      <c r="C4554" s="31"/>
      <c r="D4554" s="31"/>
      <c r="H4554" s="31"/>
    </row>
    <row r="4555">
      <c r="A4555" s="31"/>
      <c r="C4555" s="31"/>
      <c r="D4555" s="31"/>
      <c r="H4555" s="31"/>
    </row>
    <row r="4556">
      <c r="A4556" s="31"/>
      <c r="C4556" s="31"/>
      <c r="D4556" s="31"/>
      <c r="H4556" s="31"/>
    </row>
    <row r="4557">
      <c r="A4557" s="31"/>
      <c r="C4557" s="31"/>
      <c r="D4557" s="31"/>
      <c r="H4557" s="31"/>
    </row>
    <row r="4558">
      <c r="A4558" s="31"/>
      <c r="C4558" s="31"/>
      <c r="D4558" s="31"/>
      <c r="H4558" s="31"/>
    </row>
    <row r="4559">
      <c r="A4559" s="31"/>
      <c r="C4559" s="31"/>
      <c r="D4559" s="31"/>
      <c r="H4559" s="31"/>
    </row>
    <row r="4560">
      <c r="A4560" s="31"/>
      <c r="C4560" s="31"/>
      <c r="D4560" s="31"/>
      <c r="H4560" s="31"/>
    </row>
    <row r="4561">
      <c r="A4561" s="31"/>
      <c r="C4561" s="31"/>
      <c r="D4561" s="31"/>
      <c r="H4561" s="31"/>
    </row>
    <row r="4562">
      <c r="A4562" s="31"/>
      <c r="C4562" s="31"/>
      <c r="D4562" s="31"/>
      <c r="H4562" s="31"/>
    </row>
    <row r="4563">
      <c r="A4563" s="31"/>
      <c r="C4563" s="31"/>
      <c r="D4563" s="31"/>
      <c r="H4563" s="31"/>
    </row>
    <row r="4564">
      <c r="A4564" s="31"/>
      <c r="C4564" s="31"/>
      <c r="D4564" s="31"/>
      <c r="H4564" s="31"/>
    </row>
    <row r="4565">
      <c r="A4565" s="31"/>
      <c r="C4565" s="31"/>
      <c r="D4565" s="31"/>
      <c r="H4565" s="31"/>
    </row>
    <row r="4566">
      <c r="A4566" s="31"/>
      <c r="C4566" s="31"/>
      <c r="D4566" s="31"/>
      <c r="H4566" s="31"/>
    </row>
    <row r="4567">
      <c r="A4567" s="31"/>
      <c r="C4567" s="31"/>
      <c r="D4567" s="31"/>
      <c r="H4567" s="31"/>
    </row>
    <row r="4568">
      <c r="A4568" s="31"/>
      <c r="C4568" s="31"/>
      <c r="D4568" s="31"/>
      <c r="H4568" s="31"/>
    </row>
    <row r="4569">
      <c r="A4569" s="31"/>
      <c r="C4569" s="31"/>
      <c r="D4569" s="31"/>
      <c r="H4569" s="31"/>
    </row>
    <row r="4570">
      <c r="A4570" s="31"/>
      <c r="C4570" s="31"/>
      <c r="D4570" s="31"/>
      <c r="H4570" s="31"/>
    </row>
    <row r="4571">
      <c r="A4571" s="31"/>
      <c r="C4571" s="31"/>
      <c r="D4571" s="31"/>
      <c r="H4571" s="31"/>
    </row>
    <row r="4572">
      <c r="A4572" s="31"/>
      <c r="C4572" s="31"/>
      <c r="D4572" s="31"/>
      <c r="H4572" s="31"/>
    </row>
    <row r="4573">
      <c r="A4573" s="31"/>
      <c r="C4573" s="31"/>
      <c r="D4573" s="31"/>
      <c r="H4573" s="31"/>
    </row>
    <row r="4574">
      <c r="A4574" s="31"/>
      <c r="C4574" s="31"/>
      <c r="D4574" s="31"/>
      <c r="H4574" s="31"/>
    </row>
    <row r="4575">
      <c r="A4575" s="31"/>
      <c r="C4575" s="31"/>
      <c r="D4575" s="31"/>
      <c r="H4575" s="31"/>
    </row>
    <row r="4576">
      <c r="A4576" s="31"/>
      <c r="C4576" s="31"/>
      <c r="D4576" s="31"/>
      <c r="H4576" s="31"/>
    </row>
    <row r="4577">
      <c r="A4577" s="31"/>
      <c r="C4577" s="31"/>
      <c r="D4577" s="31"/>
      <c r="H4577" s="31"/>
    </row>
    <row r="4578">
      <c r="A4578" s="31"/>
      <c r="C4578" s="31"/>
      <c r="D4578" s="31"/>
      <c r="H4578" s="31"/>
    </row>
    <row r="4579">
      <c r="A4579" s="31"/>
      <c r="C4579" s="31"/>
      <c r="D4579" s="31"/>
      <c r="H4579" s="31"/>
    </row>
    <row r="4580">
      <c r="A4580" s="31"/>
      <c r="C4580" s="31"/>
      <c r="D4580" s="31"/>
      <c r="H4580" s="31"/>
    </row>
    <row r="4581">
      <c r="A4581" s="31"/>
      <c r="C4581" s="31"/>
      <c r="D4581" s="31"/>
      <c r="H4581" s="31"/>
    </row>
    <row r="4582">
      <c r="A4582" s="31"/>
      <c r="C4582" s="31"/>
      <c r="D4582" s="31"/>
      <c r="H4582" s="31"/>
    </row>
    <row r="4583">
      <c r="A4583" s="31"/>
      <c r="C4583" s="31"/>
      <c r="D4583" s="31"/>
      <c r="H4583" s="31"/>
    </row>
    <row r="4584">
      <c r="A4584" s="31"/>
      <c r="C4584" s="31"/>
      <c r="D4584" s="31"/>
      <c r="H4584" s="31"/>
    </row>
    <row r="4585">
      <c r="A4585" s="31"/>
      <c r="C4585" s="31"/>
      <c r="D4585" s="31"/>
      <c r="H4585" s="31"/>
    </row>
    <row r="4586">
      <c r="A4586" s="31"/>
      <c r="C4586" s="31"/>
      <c r="D4586" s="31"/>
      <c r="H4586" s="31"/>
    </row>
    <row r="4587">
      <c r="A4587" s="31"/>
      <c r="C4587" s="31"/>
      <c r="D4587" s="31"/>
      <c r="H4587" s="31"/>
    </row>
    <row r="4588">
      <c r="A4588" s="31"/>
      <c r="C4588" s="31"/>
      <c r="D4588" s="31"/>
      <c r="H4588" s="31"/>
    </row>
    <row r="4589">
      <c r="A4589" s="31"/>
      <c r="C4589" s="31"/>
      <c r="D4589" s="31"/>
      <c r="H4589" s="31"/>
    </row>
    <row r="4590">
      <c r="A4590" s="31"/>
      <c r="C4590" s="31"/>
      <c r="D4590" s="31"/>
      <c r="H4590" s="31"/>
    </row>
    <row r="4591">
      <c r="A4591" s="31"/>
      <c r="C4591" s="31"/>
      <c r="D4591" s="31"/>
      <c r="H4591" s="31"/>
    </row>
    <row r="4592">
      <c r="A4592" s="31"/>
      <c r="C4592" s="31"/>
      <c r="D4592" s="31"/>
      <c r="H4592" s="31"/>
    </row>
    <row r="4593">
      <c r="A4593" s="31"/>
      <c r="C4593" s="31"/>
      <c r="D4593" s="31"/>
      <c r="H4593" s="31"/>
    </row>
    <row r="4594">
      <c r="A4594" s="31"/>
      <c r="C4594" s="31"/>
      <c r="D4594" s="31"/>
      <c r="H4594" s="31"/>
    </row>
    <row r="4595">
      <c r="A4595" s="31"/>
      <c r="C4595" s="31"/>
      <c r="D4595" s="31"/>
      <c r="H4595" s="31"/>
    </row>
    <row r="4596">
      <c r="A4596" s="31"/>
      <c r="C4596" s="31"/>
      <c r="D4596" s="31"/>
      <c r="H4596" s="31"/>
    </row>
    <row r="4597">
      <c r="A4597" s="31"/>
      <c r="C4597" s="31"/>
      <c r="D4597" s="31"/>
      <c r="H4597" s="31"/>
    </row>
    <row r="4598">
      <c r="A4598" s="31"/>
      <c r="C4598" s="31"/>
      <c r="D4598" s="31"/>
      <c r="H4598" s="31"/>
    </row>
    <row r="4599">
      <c r="A4599" s="31"/>
      <c r="C4599" s="31"/>
      <c r="D4599" s="31"/>
      <c r="H4599" s="31"/>
    </row>
    <row r="4600">
      <c r="A4600" s="31"/>
      <c r="C4600" s="31"/>
      <c r="D4600" s="31"/>
      <c r="H4600" s="31"/>
    </row>
    <row r="4601">
      <c r="A4601" s="31"/>
      <c r="C4601" s="31"/>
      <c r="D4601" s="31"/>
      <c r="H4601" s="31"/>
    </row>
    <row r="4602">
      <c r="A4602" s="31"/>
      <c r="C4602" s="31"/>
      <c r="D4602" s="31"/>
      <c r="H4602" s="31"/>
    </row>
    <row r="4603">
      <c r="A4603" s="31"/>
      <c r="C4603" s="31"/>
      <c r="D4603" s="31"/>
      <c r="H4603" s="31"/>
    </row>
    <row r="4604">
      <c r="A4604" s="31"/>
      <c r="C4604" s="31"/>
      <c r="D4604" s="31"/>
      <c r="H4604" s="31"/>
    </row>
    <row r="4605">
      <c r="A4605" s="31"/>
      <c r="C4605" s="31"/>
      <c r="D4605" s="31"/>
      <c r="H4605" s="31"/>
    </row>
    <row r="4606">
      <c r="A4606" s="31"/>
      <c r="C4606" s="31"/>
      <c r="D4606" s="31"/>
      <c r="H4606" s="31"/>
    </row>
    <row r="4607">
      <c r="A4607" s="31"/>
      <c r="C4607" s="31"/>
      <c r="D4607" s="31"/>
      <c r="H4607" s="31"/>
    </row>
    <row r="4608">
      <c r="A4608" s="31"/>
      <c r="C4608" s="31"/>
      <c r="D4608" s="31"/>
      <c r="H4608" s="31"/>
    </row>
    <row r="4609">
      <c r="A4609" s="31"/>
      <c r="C4609" s="31"/>
      <c r="D4609" s="31"/>
      <c r="H4609" s="31"/>
    </row>
    <row r="4610">
      <c r="A4610" s="31"/>
      <c r="C4610" s="31"/>
      <c r="D4610" s="31"/>
      <c r="H4610" s="31"/>
    </row>
    <row r="4611">
      <c r="A4611" s="31"/>
      <c r="C4611" s="31"/>
      <c r="D4611" s="31"/>
      <c r="H4611" s="31"/>
    </row>
    <row r="4612">
      <c r="A4612" s="31"/>
      <c r="C4612" s="31"/>
      <c r="D4612" s="31"/>
      <c r="H4612" s="31"/>
    </row>
    <row r="4613">
      <c r="A4613" s="31"/>
      <c r="C4613" s="31"/>
      <c r="D4613" s="31"/>
      <c r="H4613" s="31"/>
    </row>
    <row r="4614">
      <c r="A4614" s="31"/>
      <c r="C4614" s="31"/>
      <c r="D4614" s="31"/>
      <c r="H4614" s="31"/>
    </row>
    <row r="4615">
      <c r="A4615" s="31"/>
      <c r="C4615" s="31"/>
      <c r="D4615" s="31"/>
      <c r="H4615" s="31"/>
    </row>
    <row r="4616">
      <c r="A4616" s="31"/>
      <c r="C4616" s="31"/>
      <c r="D4616" s="31"/>
      <c r="H4616" s="31"/>
    </row>
    <row r="4617">
      <c r="A4617" s="31"/>
      <c r="C4617" s="31"/>
      <c r="D4617" s="31"/>
      <c r="H4617" s="31"/>
    </row>
    <row r="4618">
      <c r="A4618" s="31"/>
      <c r="C4618" s="31"/>
      <c r="D4618" s="31"/>
      <c r="H4618" s="31"/>
    </row>
    <row r="4619">
      <c r="A4619" s="31"/>
      <c r="C4619" s="31"/>
      <c r="D4619" s="31"/>
      <c r="H4619" s="31"/>
    </row>
    <row r="4620">
      <c r="A4620" s="31"/>
      <c r="C4620" s="31"/>
      <c r="D4620" s="31"/>
      <c r="H4620" s="31"/>
    </row>
    <row r="4621">
      <c r="A4621" s="31"/>
      <c r="C4621" s="31"/>
      <c r="D4621" s="31"/>
      <c r="H4621" s="31"/>
    </row>
    <row r="4622">
      <c r="A4622" s="31"/>
      <c r="C4622" s="31"/>
      <c r="D4622" s="31"/>
      <c r="H4622" s="31"/>
    </row>
    <row r="4623">
      <c r="A4623" s="31"/>
      <c r="C4623" s="31"/>
      <c r="D4623" s="31"/>
      <c r="H4623" s="31"/>
    </row>
    <row r="4624">
      <c r="A4624" s="31"/>
      <c r="C4624" s="31"/>
      <c r="D4624" s="31"/>
      <c r="H4624" s="31"/>
    </row>
    <row r="4625">
      <c r="A4625" s="31"/>
      <c r="C4625" s="31"/>
      <c r="D4625" s="31"/>
      <c r="H4625" s="31"/>
    </row>
    <row r="4626">
      <c r="A4626" s="31"/>
      <c r="C4626" s="31"/>
      <c r="D4626" s="31"/>
      <c r="H4626" s="31"/>
    </row>
    <row r="4627">
      <c r="A4627" s="31"/>
      <c r="C4627" s="31"/>
      <c r="D4627" s="31"/>
      <c r="H4627" s="31"/>
    </row>
    <row r="4628">
      <c r="A4628" s="31"/>
      <c r="C4628" s="31"/>
      <c r="D4628" s="31"/>
      <c r="H4628" s="31"/>
    </row>
    <row r="4629">
      <c r="A4629" s="31"/>
      <c r="C4629" s="31"/>
      <c r="D4629" s="31"/>
      <c r="H4629" s="31"/>
    </row>
    <row r="4630">
      <c r="A4630" s="31"/>
      <c r="C4630" s="31"/>
      <c r="D4630" s="31"/>
      <c r="H4630" s="31"/>
    </row>
    <row r="4631">
      <c r="A4631" s="31"/>
      <c r="C4631" s="31"/>
      <c r="D4631" s="31"/>
      <c r="H4631" s="31"/>
    </row>
    <row r="4632">
      <c r="A4632" s="31"/>
      <c r="C4632" s="31"/>
      <c r="D4632" s="31"/>
      <c r="H4632" s="31"/>
    </row>
    <row r="4633">
      <c r="A4633" s="31"/>
      <c r="C4633" s="31"/>
      <c r="D4633" s="31"/>
      <c r="H4633" s="31"/>
    </row>
    <row r="4634">
      <c r="A4634" s="31"/>
      <c r="C4634" s="31"/>
      <c r="D4634" s="31"/>
      <c r="H4634" s="31"/>
    </row>
    <row r="4635">
      <c r="A4635" s="31"/>
      <c r="C4635" s="31"/>
      <c r="D4635" s="31"/>
      <c r="H4635" s="31"/>
    </row>
    <row r="4636">
      <c r="A4636" s="31"/>
      <c r="C4636" s="31"/>
      <c r="D4636" s="31"/>
      <c r="H4636" s="31"/>
    </row>
    <row r="4637">
      <c r="A4637" s="31"/>
      <c r="C4637" s="31"/>
      <c r="D4637" s="31"/>
      <c r="H4637" s="31"/>
    </row>
    <row r="4638">
      <c r="A4638" s="31"/>
      <c r="C4638" s="31"/>
      <c r="D4638" s="31"/>
      <c r="H4638" s="31"/>
    </row>
    <row r="4639">
      <c r="A4639" s="31"/>
      <c r="C4639" s="31"/>
      <c r="D4639" s="31"/>
      <c r="H4639" s="31"/>
    </row>
    <row r="4640">
      <c r="A4640" s="31"/>
      <c r="C4640" s="31"/>
      <c r="D4640" s="31"/>
      <c r="H4640" s="31"/>
    </row>
    <row r="4641">
      <c r="A4641" s="31"/>
      <c r="C4641" s="31"/>
      <c r="D4641" s="31"/>
      <c r="H4641" s="31"/>
    </row>
    <row r="4642">
      <c r="A4642" s="31"/>
      <c r="C4642" s="31"/>
      <c r="D4642" s="31"/>
      <c r="H4642" s="31"/>
    </row>
    <row r="4643">
      <c r="A4643" s="31"/>
      <c r="C4643" s="31"/>
      <c r="D4643" s="31"/>
      <c r="H4643" s="31"/>
    </row>
    <row r="4644">
      <c r="A4644" s="31"/>
      <c r="C4644" s="31"/>
      <c r="D4644" s="31"/>
      <c r="H4644" s="31"/>
    </row>
    <row r="4645">
      <c r="A4645" s="31"/>
      <c r="C4645" s="31"/>
      <c r="D4645" s="31"/>
      <c r="H4645" s="31"/>
    </row>
    <row r="4646">
      <c r="A4646" s="31"/>
      <c r="C4646" s="31"/>
      <c r="D4646" s="31"/>
      <c r="H4646" s="31"/>
    </row>
    <row r="4647">
      <c r="A4647" s="31"/>
      <c r="C4647" s="31"/>
      <c r="D4647" s="31"/>
      <c r="H4647" s="31"/>
    </row>
    <row r="4648">
      <c r="A4648" s="31"/>
      <c r="C4648" s="31"/>
      <c r="D4648" s="31"/>
      <c r="H4648" s="31"/>
    </row>
    <row r="4649">
      <c r="A4649" s="31"/>
      <c r="C4649" s="31"/>
      <c r="D4649" s="31"/>
      <c r="H4649" s="31"/>
    </row>
    <row r="4650">
      <c r="A4650" s="31"/>
      <c r="C4650" s="31"/>
      <c r="D4650" s="31"/>
      <c r="H4650" s="31"/>
    </row>
    <row r="4651">
      <c r="A4651" s="31"/>
      <c r="C4651" s="31"/>
      <c r="D4651" s="31"/>
      <c r="H4651" s="31"/>
    </row>
    <row r="4652">
      <c r="A4652" s="31"/>
      <c r="C4652" s="31"/>
      <c r="D4652" s="31"/>
      <c r="H4652" s="31"/>
    </row>
    <row r="4653">
      <c r="A4653" s="31"/>
      <c r="C4653" s="31"/>
      <c r="D4653" s="31"/>
      <c r="H4653" s="31"/>
    </row>
    <row r="4654">
      <c r="A4654" s="31"/>
      <c r="C4654" s="31"/>
      <c r="D4654" s="31"/>
      <c r="H4654" s="31"/>
    </row>
    <row r="4655">
      <c r="A4655" s="31"/>
      <c r="C4655" s="31"/>
      <c r="D4655" s="31"/>
      <c r="H4655" s="31"/>
    </row>
    <row r="4656">
      <c r="A4656" s="31"/>
      <c r="C4656" s="31"/>
      <c r="D4656" s="31"/>
      <c r="H4656" s="31"/>
    </row>
    <row r="4657">
      <c r="A4657" s="31"/>
      <c r="C4657" s="31"/>
      <c r="D4657" s="31"/>
      <c r="H4657" s="31"/>
    </row>
    <row r="4658">
      <c r="A4658" s="31"/>
      <c r="C4658" s="31"/>
      <c r="D4658" s="31"/>
      <c r="H4658" s="31"/>
    </row>
    <row r="4659">
      <c r="A4659" s="31"/>
      <c r="C4659" s="31"/>
      <c r="D4659" s="31"/>
      <c r="H4659" s="31"/>
    </row>
    <row r="4660">
      <c r="A4660" s="31"/>
      <c r="C4660" s="31"/>
      <c r="D4660" s="31"/>
      <c r="H4660" s="31"/>
    </row>
    <row r="4661">
      <c r="A4661" s="31"/>
      <c r="C4661" s="31"/>
      <c r="D4661" s="31"/>
      <c r="H4661" s="31"/>
    </row>
    <row r="4662">
      <c r="A4662" s="31"/>
      <c r="C4662" s="31"/>
      <c r="D4662" s="31"/>
      <c r="H4662" s="31"/>
    </row>
    <row r="4663">
      <c r="A4663" s="31"/>
      <c r="C4663" s="31"/>
      <c r="D4663" s="31"/>
      <c r="H4663" s="31"/>
    </row>
    <row r="4664">
      <c r="A4664" s="31"/>
      <c r="C4664" s="31"/>
      <c r="D4664" s="31"/>
      <c r="H4664" s="31"/>
    </row>
    <row r="4665">
      <c r="A4665" s="31"/>
      <c r="C4665" s="31"/>
      <c r="D4665" s="31"/>
      <c r="H4665" s="31"/>
    </row>
    <row r="4666">
      <c r="A4666" s="31"/>
      <c r="C4666" s="31"/>
      <c r="D4666" s="31"/>
      <c r="H4666" s="31"/>
    </row>
    <row r="4667">
      <c r="A4667" s="31"/>
      <c r="C4667" s="31"/>
      <c r="D4667" s="31"/>
      <c r="H4667" s="31"/>
    </row>
    <row r="4668">
      <c r="A4668" s="31"/>
      <c r="C4668" s="31"/>
      <c r="D4668" s="31"/>
      <c r="H4668" s="31"/>
    </row>
    <row r="4669">
      <c r="A4669" s="31"/>
      <c r="C4669" s="31"/>
      <c r="D4669" s="31"/>
      <c r="H4669" s="31"/>
    </row>
    <row r="4670">
      <c r="A4670" s="31"/>
      <c r="C4670" s="31"/>
      <c r="D4670" s="31"/>
      <c r="H4670" s="31"/>
    </row>
    <row r="4671">
      <c r="A4671" s="31"/>
      <c r="C4671" s="31"/>
      <c r="D4671" s="31"/>
      <c r="H4671" s="31"/>
    </row>
    <row r="4672">
      <c r="A4672" s="31"/>
      <c r="C4672" s="31"/>
      <c r="D4672" s="31"/>
      <c r="H4672" s="31"/>
    </row>
    <row r="4673">
      <c r="A4673" s="31"/>
      <c r="C4673" s="31"/>
      <c r="D4673" s="31"/>
      <c r="H4673" s="31"/>
    </row>
    <row r="4674">
      <c r="A4674" s="31"/>
      <c r="C4674" s="31"/>
      <c r="D4674" s="31"/>
      <c r="H4674" s="31"/>
    </row>
    <row r="4675">
      <c r="A4675" s="31"/>
      <c r="C4675" s="31"/>
      <c r="D4675" s="31"/>
      <c r="H4675" s="31"/>
    </row>
    <row r="4676">
      <c r="A4676" s="31"/>
      <c r="C4676" s="31"/>
      <c r="D4676" s="31"/>
      <c r="H4676" s="31"/>
    </row>
    <row r="4677">
      <c r="A4677" s="31"/>
      <c r="C4677" s="31"/>
      <c r="D4677" s="31"/>
      <c r="H4677" s="31"/>
    </row>
    <row r="4678">
      <c r="A4678" s="31"/>
      <c r="C4678" s="31"/>
      <c r="D4678" s="31"/>
      <c r="H4678" s="31"/>
    </row>
    <row r="4679">
      <c r="A4679" s="31"/>
      <c r="C4679" s="31"/>
      <c r="D4679" s="31"/>
      <c r="H4679" s="31"/>
    </row>
    <row r="4680">
      <c r="A4680" s="31"/>
      <c r="C4680" s="31"/>
      <c r="D4680" s="31"/>
      <c r="H4680" s="31"/>
    </row>
    <row r="4681">
      <c r="A4681" s="31"/>
      <c r="C4681" s="31"/>
      <c r="D4681" s="31"/>
      <c r="H4681" s="31"/>
    </row>
    <row r="4682">
      <c r="A4682" s="31"/>
      <c r="C4682" s="31"/>
      <c r="D4682" s="31"/>
      <c r="H4682" s="31"/>
    </row>
    <row r="4683">
      <c r="A4683" s="31"/>
      <c r="C4683" s="31"/>
      <c r="D4683" s="31"/>
      <c r="H4683" s="31"/>
    </row>
    <row r="4684">
      <c r="A4684" s="31"/>
      <c r="C4684" s="31"/>
      <c r="D4684" s="31"/>
      <c r="H4684" s="31"/>
    </row>
    <row r="4685">
      <c r="A4685" s="31"/>
      <c r="C4685" s="31"/>
      <c r="D4685" s="31"/>
      <c r="H4685" s="31"/>
    </row>
    <row r="4686">
      <c r="A4686" s="31"/>
      <c r="C4686" s="31"/>
      <c r="D4686" s="31"/>
      <c r="H4686" s="31"/>
    </row>
    <row r="4687">
      <c r="A4687" s="31"/>
      <c r="C4687" s="31"/>
      <c r="D4687" s="31"/>
      <c r="H4687" s="31"/>
    </row>
    <row r="4688">
      <c r="A4688" s="31"/>
      <c r="C4688" s="31"/>
      <c r="D4688" s="31"/>
      <c r="H4688" s="31"/>
    </row>
    <row r="4689">
      <c r="A4689" s="31"/>
      <c r="C4689" s="31"/>
      <c r="D4689" s="31"/>
      <c r="H4689" s="31"/>
    </row>
    <row r="4690">
      <c r="A4690" s="31"/>
      <c r="C4690" s="31"/>
      <c r="D4690" s="31"/>
      <c r="H4690" s="31"/>
    </row>
    <row r="4691">
      <c r="A4691" s="31"/>
      <c r="C4691" s="31"/>
      <c r="D4691" s="31"/>
      <c r="H4691" s="31"/>
    </row>
    <row r="4692">
      <c r="A4692" s="31"/>
      <c r="C4692" s="31"/>
      <c r="D4692" s="31"/>
      <c r="H4692" s="31"/>
    </row>
    <row r="4693">
      <c r="A4693" s="31"/>
      <c r="C4693" s="31"/>
      <c r="D4693" s="31"/>
      <c r="H4693" s="31"/>
    </row>
    <row r="4694">
      <c r="A4694" s="31"/>
      <c r="C4694" s="31"/>
      <c r="D4694" s="31"/>
      <c r="H4694" s="31"/>
    </row>
    <row r="4695">
      <c r="A4695" s="31"/>
      <c r="C4695" s="31"/>
      <c r="D4695" s="31"/>
      <c r="H4695" s="31"/>
    </row>
    <row r="4696">
      <c r="A4696" s="31"/>
      <c r="C4696" s="31"/>
      <c r="D4696" s="31"/>
      <c r="H4696" s="31"/>
    </row>
    <row r="4697">
      <c r="A4697" s="31"/>
      <c r="C4697" s="31"/>
      <c r="D4697" s="31"/>
      <c r="H4697" s="31"/>
    </row>
    <row r="4698">
      <c r="A4698" s="31"/>
      <c r="C4698" s="31"/>
      <c r="D4698" s="31"/>
      <c r="H4698" s="31"/>
    </row>
    <row r="4699">
      <c r="A4699" s="31"/>
      <c r="C4699" s="31"/>
      <c r="D4699" s="31"/>
      <c r="H4699" s="31"/>
    </row>
    <row r="4700">
      <c r="A4700" s="31"/>
      <c r="C4700" s="31"/>
      <c r="D4700" s="31"/>
      <c r="H4700" s="31"/>
    </row>
    <row r="4701">
      <c r="A4701" s="31"/>
      <c r="C4701" s="31"/>
      <c r="D4701" s="31"/>
      <c r="H4701" s="31"/>
    </row>
    <row r="4702">
      <c r="A4702" s="31"/>
      <c r="C4702" s="31"/>
      <c r="D4702" s="31"/>
      <c r="H4702" s="31"/>
    </row>
    <row r="4703">
      <c r="A4703" s="31"/>
      <c r="C4703" s="31"/>
      <c r="D4703" s="31"/>
      <c r="H4703" s="31"/>
    </row>
    <row r="4704">
      <c r="A4704" s="31"/>
      <c r="C4704" s="31"/>
      <c r="D4704" s="31"/>
      <c r="H4704" s="31"/>
    </row>
    <row r="4705">
      <c r="A4705" s="31"/>
      <c r="C4705" s="31"/>
      <c r="D4705" s="31"/>
      <c r="H4705" s="31"/>
    </row>
    <row r="4706">
      <c r="A4706" s="31"/>
      <c r="C4706" s="31"/>
      <c r="D4706" s="31"/>
      <c r="H4706" s="31"/>
    </row>
    <row r="4707">
      <c r="A4707" s="31"/>
      <c r="C4707" s="31"/>
      <c r="D4707" s="31"/>
      <c r="H4707" s="31"/>
    </row>
    <row r="4708">
      <c r="A4708" s="31"/>
      <c r="C4708" s="31"/>
      <c r="D4708" s="31"/>
      <c r="H4708" s="31"/>
    </row>
    <row r="4709">
      <c r="A4709" s="31"/>
      <c r="C4709" s="31"/>
      <c r="D4709" s="31"/>
      <c r="H4709" s="31"/>
    </row>
    <row r="4710">
      <c r="A4710" s="31"/>
      <c r="C4710" s="31"/>
      <c r="D4710" s="31"/>
      <c r="H4710" s="31"/>
    </row>
    <row r="4711">
      <c r="A4711" s="31"/>
      <c r="C4711" s="31"/>
      <c r="D4711" s="31"/>
      <c r="H4711" s="31"/>
    </row>
    <row r="4712">
      <c r="A4712" s="31"/>
      <c r="C4712" s="31"/>
      <c r="D4712" s="31"/>
      <c r="H4712" s="31"/>
    </row>
    <row r="4713">
      <c r="A4713" s="31"/>
      <c r="C4713" s="31"/>
      <c r="D4713" s="31"/>
      <c r="H4713" s="31"/>
    </row>
    <row r="4714">
      <c r="A4714" s="31"/>
      <c r="C4714" s="31"/>
      <c r="D4714" s="31"/>
      <c r="H4714" s="31"/>
    </row>
    <row r="4715">
      <c r="A4715" s="31"/>
      <c r="C4715" s="31"/>
      <c r="D4715" s="31"/>
      <c r="H4715" s="31"/>
    </row>
    <row r="4716">
      <c r="A4716" s="31"/>
      <c r="C4716" s="31"/>
      <c r="D4716" s="31"/>
      <c r="H4716" s="31"/>
    </row>
    <row r="4717">
      <c r="A4717" s="31"/>
      <c r="C4717" s="31"/>
      <c r="D4717" s="31"/>
      <c r="H4717" s="31"/>
    </row>
    <row r="4718">
      <c r="A4718" s="31"/>
      <c r="C4718" s="31"/>
      <c r="D4718" s="31"/>
      <c r="H4718" s="31"/>
    </row>
    <row r="4719">
      <c r="A4719" s="31"/>
      <c r="C4719" s="31"/>
      <c r="D4719" s="31"/>
      <c r="H4719" s="31"/>
    </row>
    <row r="4720">
      <c r="A4720" s="31"/>
      <c r="C4720" s="31"/>
      <c r="D4720" s="31"/>
      <c r="H4720" s="31"/>
    </row>
    <row r="4721">
      <c r="A4721" s="31"/>
      <c r="C4721" s="31"/>
      <c r="D4721" s="31"/>
      <c r="H4721" s="31"/>
    </row>
    <row r="4722">
      <c r="A4722" s="31"/>
      <c r="C4722" s="31"/>
      <c r="D4722" s="31"/>
      <c r="H4722" s="31"/>
    </row>
    <row r="4723">
      <c r="A4723" s="31"/>
      <c r="C4723" s="31"/>
      <c r="D4723" s="31"/>
      <c r="H4723" s="31"/>
    </row>
    <row r="4724">
      <c r="A4724" s="31"/>
      <c r="C4724" s="31"/>
      <c r="D4724" s="31"/>
      <c r="H4724" s="31"/>
    </row>
    <row r="4725">
      <c r="A4725" s="31"/>
      <c r="C4725" s="31"/>
      <c r="D4725" s="31"/>
      <c r="H4725" s="31"/>
    </row>
    <row r="4726">
      <c r="A4726" s="31"/>
      <c r="C4726" s="31"/>
      <c r="D4726" s="31"/>
      <c r="H4726" s="31"/>
    </row>
    <row r="4727">
      <c r="A4727" s="31"/>
      <c r="C4727" s="31"/>
      <c r="D4727" s="31"/>
      <c r="H4727" s="31"/>
    </row>
    <row r="4728">
      <c r="A4728" s="31"/>
      <c r="C4728" s="31"/>
      <c r="D4728" s="31"/>
      <c r="H4728" s="31"/>
    </row>
    <row r="4729">
      <c r="A4729" s="31"/>
      <c r="C4729" s="31"/>
      <c r="D4729" s="31"/>
      <c r="H4729" s="31"/>
    </row>
    <row r="4730">
      <c r="A4730" s="31"/>
      <c r="C4730" s="31"/>
      <c r="D4730" s="31"/>
      <c r="H4730" s="31"/>
    </row>
    <row r="4731">
      <c r="A4731" s="31"/>
      <c r="C4731" s="31"/>
      <c r="D4731" s="31"/>
      <c r="H4731" s="31"/>
    </row>
    <row r="4732">
      <c r="A4732" s="31"/>
      <c r="C4732" s="31"/>
      <c r="D4732" s="31"/>
      <c r="H4732" s="31"/>
    </row>
    <row r="4733">
      <c r="A4733" s="31"/>
      <c r="C4733" s="31"/>
      <c r="D4733" s="31"/>
      <c r="H4733" s="31"/>
    </row>
    <row r="4734">
      <c r="A4734" s="31"/>
      <c r="C4734" s="31"/>
      <c r="D4734" s="31"/>
      <c r="H4734" s="31"/>
    </row>
    <row r="4735">
      <c r="A4735" s="31"/>
      <c r="C4735" s="31"/>
      <c r="D4735" s="31"/>
      <c r="H4735" s="31"/>
    </row>
    <row r="4736">
      <c r="A4736" s="31"/>
      <c r="C4736" s="31"/>
      <c r="D4736" s="31"/>
      <c r="H4736" s="31"/>
    </row>
    <row r="4737">
      <c r="A4737" s="31"/>
      <c r="C4737" s="31"/>
      <c r="D4737" s="31"/>
      <c r="H4737" s="31"/>
    </row>
    <row r="4738">
      <c r="A4738" s="31"/>
      <c r="C4738" s="31"/>
      <c r="D4738" s="31"/>
      <c r="H4738" s="31"/>
    </row>
    <row r="4739">
      <c r="A4739" s="31"/>
      <c r="C4739" s="31"/>
      <c r="D4739" s="31"/>
      <c r="H4739" s="31"/>
    </row>
    <row r="4740">
      <c r="A4740" s="31"/>
      <c r="C4740" s="31"/>
      <c r="D4740" s="31"/>
      <c r="H4740" s="31"/>
    </row>
    <row r="4741">
      <c r="A4741" s="31"/>
      <c r="C4741" s="31"/>
      <c r="D4741" s="31"/>
      <c r="H4741" s="31"/>
    </row>
    <row r="4742">
      <c r="A4742" s="31"/>
      <c r="C4742" s="31"/>
      <c r="D4742" s="31"/>
      <c r="H4742" s="31"/>
    </row>
    <row r="4743">
      <c r="A4743" s="31"/>
      <c r="C4743" s="31"/>
      <c r="D4743" s="31"/>
      <c r="H4743" s="31"/>
    </row>
    <row r="4744">
      <c r="A4744" s="31"/>
      <c r="C4744" s="31"/>
      <c r="D4744" s="31"/>
      <c r="H4744" s="31"/>
    </row>
    <row r="4745">
      <c r="A4745" s="31"/>
      <c r="C4745" s="31"/>
      <c r="D4745" s="31"/>
      <c r="H4745" s="31"/>
    </row>
    <row r="4746">
      <c r="A4746" s="31"/>
      <c r="C4746" s="31"/>
      <c r="D4746" s="31"/>
      <c r="H4746" s="31"/>
    </row>
    <row r="4747">
      <c r="A4747" s="31"/>
      <c r="C4747" s="31"/>
      <c r="D4747" s="31"/>
      <c r="H4747" s="31"/>
    </row>
    <row r="4748">
      <c r="A4748" s="31"/>
      <c r="C4748" s="31"/>
      <c r="D4748" s="31"/>
      <c r="H4748" s="31"/>
    </row>
    <row r="4749">
      <c r="A4749" s="31"/>
      <c r="C4749" s="31"/>
      <c r="D4749" s="31"/>
      <c r="H4749" s="31"/>
    </row>
    <row r="4750">
      <c r="A4750" s="31"/>
      <c r="C4750" s="31"/>
      <c r="D4750" s="31"/>
      <c r="H4750" s="31"/>
    </row>
    <row r="4751">
      <c r="A4751" s="31"/>
      <c r="C4751" s="31"/>
      <c r="D4751" s="31"/>
      <c r="H4751" s="31"/>
    </row>
    <row r="4752">
      <c r="A4752" s="31"/>
      <c r="C4752" s="31"/>
      <c r="D4752" s="31"/>
      <c r="H4752" s="31"/>
    </row>
    <row r="4753">
      <c r="A4753" s="31"/>
      <c r="C4753" s="31"/>
      <c r="D4753" s="31"/>
      <c r="H4753" s="31"/>
    </row>
    <row r="4754">
      <c r="A4754" s="31"/>
      <c r="C4754" s="31"/>
      <c r="D4754" s="31"/>
      <c r="H4754" s="31"/>
    </row>
    <row r="4755">
      <c r="A4755" s="31"/>
      <c r="C4755" s="31"/>
      <c r="D4755" s="31"/>
      <c r="H4755" s="31"/>
    </row>
    <row r="4756">
      <c r="A4756" s="31"/>
      <c r="C4756" s="31"/>
      <c r="D4756" s="31"/>
      <c r="H4756" s="31"/>
    </row>
    <row r="4757">
      <c r="A4757" s="31"/>
      <c r="C4757" s="31"/>
      <c r="D4757" s="31"/>
      <c r="H4757" s="31"/>
    </row>
    <row r="4758">
      <c r="A4758" s="31"/>
      <c r="C4758" s="31"/>
      <c r="D4758" s="31"/>
      <c r="H4758" s="31"/>
    </row>
    <row r="4759">
      <c r="A4759" s="31"/>
      <c r="C4759" s="31"/>
      <c r="D4759" s="31"/>
      <c r="H4759" s="31"/>
    </row>
    <row r="4760">
      <c r="A4760" s="31"/>
      <c r="C4760" s="31"/>
      <c r="D4760" s="31"/>
      <c r="H4760" s="31"/>
    </row>
    <row r="4761">
      <c r="A4761" s="31"/>
      <c r="C4761" s="31"/>
      <c r="D4761" s="31"/>
      <c r="H4761" s="31"/>
    </row>
    <row r="4762">
      <c r="A4762" s="31"/>
      <c r="C4762" s="31"/>
      <c r="D4762" s="31"/>
      <c r="H4762" s="31"/>
    </row>
    <row r="4763">
      <c r="A4763" s="31"/>
      <c r="C4763" s="31"/>
      <c r="D4763" s="31"/>
      <c r="H4763" s="31"/>
    </row>
    <row r="4764">
      <c r="A4764" s="31"/>
      <c r="C4764" s="31"/>
      <c r="D4764" s="31"/>
      <c r="H4764" s="31"/>
    </row>
    <row r="4765">
      <c r="A4765" s="31"/>
      <c r="C4765" s="31"/>
      <c r="D4765" s="31"/>
      <c r="H4765" s="31"/>
    </row>
    <row r="4766">
      <c r="A4766" s="31"/>
      <c r="C4766" s="31"/>
      <c r="D4766" s="31"/>
      <c r="H4766" s="31"/>
    </row>
    <row r="4767">
      <c r="A4767" s="31"/>
      <c r="C4767" s="31"/>
      <c r="D4767" s="31"/>
      <c r="H4767" s="31"/>
    </row>
    <row r="4768">
      <c r="A4768" s="31"/>
      <c r="C4768" s="31"/>
      <c r="D4768" s="31"/>
      <c r="H4768" s="31"/>
    </row>
    <row r="4769">
      <c r="A4769" s="31"/>
      <c r="C4769" s="31"/>
      <c r="D4769" s="31"/>
      <c r="H4769" s="31"/>
    </row>
    <row r="4770">
      <c r="A4770" s="31"/>
      <c r="C4770" s="31"/>
      <c r="D4770" s="31"/>
      <c r="H4770" s="31"/>
    </row>
    <row r="4771">
      <c r="A4771" s="31"/>
      <c r="C4771" s="31"/>
      <c r="D4771" s="31"/>
      <c r="H4771" s="31"/>
    </row>
    <row r="4772">
      <c r="A4772" s="31"/>
      <c r="C4772" s="31"/>
      <c r="D4772" s="31"/>
      <c r="H4772" s="31"/>
    </row>
    <row r="4773">
      <c r="A4773" s="31"/>
      <c r="C4773" s="31"/>
      <c r="D4773" s="31"/>
      <c r="H4773" s="31"/>
    </row>
    <row r="4774">
      <c r="A4774" s="31"/>
      <c r="C4774" s="31"/>
      <c r="D4774" s="31"/>
      <c r="H4774" s="31"/>
    </row>
    <row r="4775">
      <c r="A4775" s="31"/>
      <c r="C4775" s="31"/>
      <c r="D4775" s="31"/>
      <c r="H4775" s="31"/>
    </row>
    <row r="4776">
      <c r="A4776" s="31"/>
      <c r="C4776" s="31"/>
      <c r="D4776" s="31"/>
      <c r="H4776" s="31"/>
    </row>
    <row r="4777">
      <c r="A4777" s="31"/>
      <c r="C4777" s="31"/>
      <c r="D4777" s="31"/>
      <c r="H4777" s="31"/>
    </row>
    <row r="4778">
      <c r="A4778" s="31"/>
      <c r="C4778" s="31"/>
      <c r="D4778" s="31"/>
      <c r="H4778" s="31"/>
    </row>
    <row r="4779">
      <c r="A4779" s="31"/>
      <c r="C4779" s="31"/>
      <c r="D4779" s="31"/>
      <c r="H4779" s="31"/>
    </row>
    <row r="4780">
      <c r="A4780" s="31"/>
      <c r="C4780" s="31"/>
      <c r="D4780" s="31"/>
      <c r="H4780" s="31"/>
    </row>
    <row r="4781">
      <c r="A4781" s="31"/>
      <c r="C4781" s="31"/>
      <c r="D4781" s="31"/>
      <c r="H4781" s="31"/>
    </row>
    <row r="4782">
      <c r="A4782" s="31"/>
      <c r="C4782" s="31"/>
      <c r="D4782" s="31"/>
      <c r="H4782" s="31"/>
    </row>
    <row r="4783">
      <c r="A4783" s="31"/>
      <c r="C4783" s="31"/>
      <c r="D4783" s="31"/>
      <c r="H4783" s="31"/>
    </row>
    <row r="4784">
      <c r="A4784" s="31"/>
      <c r="C4784" s="31"/>
      <c r="D4784" s="31"/>
      <c r="H4784" s="31"/>
    </row>
    <row r="4785">
      <c r="A4785" s="31"/>
      <c r="C4785" s="31"/>
      <c r="D4785" s="31"/>
      <c r="H4785" s="31"/>
    </row>
    <row r="4786">
      <c r="A4786" s="31"/>
      <c r="C4786" s="31"/>
      <c r="D4786" s="31"/>
      <c r="H4786" s="31"/>
    </row>
    <row r="4787">
      <c r="A4787" s="31"/>
      <c r="C4787" s="31"/>
      <c r="D4787" s="31"/>
      <c r="H4787" s="31"/>
    </row>
    <row r="4788">
      <c r="A4788" s="31"/>
      <c r="C4788" s="31"/>
      <c r="D4788" s="31"/>
      <c r="H4788" s="31"/>
    </row>
    <row r="4789">
      <c r="A4789" s="31"/>
      <c r="C4789" s="31"/>
      <c r="D4789" s="31"/>
      <c r="H4789" s="31"/>
    </row>
    <row r="4790">
      <c r="A4790" s="31"/>
      <c r="C4790" s="31"/>
      <c r="D4790" s="31"/>
      <c r="H4790" s="31"/>
    </row>
    <row r="4791">
      <c r="A4791" s="31"/>
      <c r="C4791" s="31"/>
      <c r="D4791" s="31"/>
      <c r="H4791" s="31"/>
    </row>
    <row r="4792">
      <c r="A4792" s="31"/>
      <c r="C4792" s="31"/>
      <c r="D4792" s="31"/>
      <c r="H4792" s="31"/>
    </row>
    <row r="4793">
      <c r="A4793" s="31"/>
      <c r="C4793" s="31"/>
      <c r="D4793" s="31"/>
      <c r="H4793" s="31"/>
    </row>
    <row r="4794">
      <c r="A4794" s="31"/>
      <c r="C4794" s="31"/>
      <c r="D4794" s="31"/>
      <c r="H4794" s="31"/>
    </row>
    <row r="4795">
      <c r="A4795" s="31"/>
      <c r="C4795" s="31"/>
      <c r="D4795" s="31"/>
      <c r="H4795" s="31"/>
    </row>
    <row r="4796">
      <c r="A4796" s="31"/>
      <c r="C4796" s="31"/>
      <c r="D4796" s="31"/>
      <c r="H4796" s="31"/>
    </row>
    <row r="4797">
      <c r="A4797" s="31"/>
      <c r="C4797" s="31"/>
      <c r="D4797" s="31"/>
      <c r="H4797" s="31"/>
    </row>
    <row r="4798">
      <c r="A4798" s="31"/>
      <c r="C4798" s="31"/>
      <c r="D4798" s="31"/>
      <c r="H4798" s="31"/>
    </row>
    <row r="4799">
      <c r="A4799" s="31"/>
      <c r="C4799" s="31"/>
      <c r="D4799" s="31"/>
      <c r="H4799" s="31"/>
    </row>
    <row r="4800">
      <c r="A4800" s="31"/>
      <c r="C4800" s="31"/>
      <c r="D4800" s="31"/>
      <c r="H4800" s="31"/>
    </row>
    <row r="4801">
      <c r="A4801" s="31"/>
      <c r="C4801" s="31"/>
      <c r="D4801" s="31"/>
      <c r="H4801" s="31"/>
    </row>
    <row r="4802">
      <c r="A4802" s="31"/>
      <c r="C4802" s="31"/>
      <c r="D4802" s="31"/>
      <c r="H4802" s="31"/>
    </row>
    <row r="4803">
      <c r="A4803" s="31"/>
      <c r="C4803" s="31"/>
      <c r="D4803" s="31"/>
      <c r="H4803" s="31"/>
    </row>
    <row r="4804">
      <c r="A4804" s="31"/>
      <c r="C4804" s="31"/>
      <c r="D4804" s="31"/>
      <c r="H4804" s="31"/>
    </row>
    <row r="4805">
      <c r="A4805" s="31"/>
      <c r="C4805" s="31"/>
      <c r="D4805" s="31"/>
      <c r="H4805" s="31"/>
    </row>
    <row r="4806">
      <c r="A4806" s="31"/>
      <c r="C4806" s="31"/>
      <c r="D4806" s="31"/>
      <c r="H4806" s="31"/>
    </row>
    <row r="4807">
      <c r="A4807" s="31"/>
      <c r="C4807" s="31"/>
      <c r="D4807" s="31"/>
      <c r="H4807" s="31"/>
    </row>
    <row r="4808">
      <c r="A4808" s="31"/>
      <c r="C4808" s="31"/>
      <c r="D4808" s="31"/>
      <c r="H4808" s="31"/>
    </row>
    <row r="4809">
      <c r="A4809" s="31"/>
      <c r="C4809" s="31"/>
      <c r="D4809" s="31"/>
      <c r="H4809" s="31"/>
    </row>
    <row r="4810">
      <c r="A4810" s="31"/>
      <c r="C4810" s="31"/>
      <c r="D4810" s="31"/>
      <c r="H4810" s="31"/>
    </row>
    <row r="4811">
      <c r="A4811" s="31"/>
      <c r="C4811" s="31"/>
      <c r="D4811" s="31"/>
      <c r="H4811" s="31"/>
    </row>
    <row r="4812">
      <c r="A4812" s="31"/>
      <c r="C4812" s="31"/>
      <c r="D4812" s="31"/>
      <c r="H4812" s="31"/>
    </row>
    <row r="4813">
      <c r="A4813" s="31"/>
      <c r="C4813" s="31"/>
      <c r="D4813" s="31"/>
      <c r="H4813" s="31"/>
    </row>
    <row r="4814">
      <c r="A4814" s="31"/>
      <c r="C4814" s="31"/>
      <c r="D4814" s="31"/>
      <c r="H4814" s="31"/>
    </row>
    <row r="4815">
      <c r="A4815" s="31"/>
      <c r="C4815" s="31"/>
      <c r="D4815" s="31"/>
      <c r="H4815" s="31"/>
    </row>
    <row r="4816">
      <c r="A4816" s="31"/>
      <c r="C4816" s="31"/>
      <c r="D4816" s="31"/>
      <c r="H4816" s="31"/>
    </row>
    <row r="4817">
      <c r="A4817" s="31"/>
      <c r="C4817" s="31"/>
      <c r="D4817" s="31"/>
      <c r="H4817" s="31"/>
    </row>
    <row r="4818">
      <c r="A4818" s="31"/>
      <c r="C4818" s="31"/>
      <c r="D4818" s="31"/>
      <c r="H4818" s="31"/>
    </row>
    <row r="4819">
      <c r="A4819" s="31"/>
      <c r="C4819" s="31"/>
      <c r="D4819" s="31"/>
      <c r="H4819" s="31"/>
    </row>
    <row r="4820">
      <c r="A4820" s="31"/>
      <c r="C4820" s="31"/>
      <c r="D4820" s="31"/>
      <c r="H4820" s="31"/>
    </row>
    <row r="4821">
      <c r="A4821" s="31"/>
      <c r="C4821" s="31"/>
      <c r="D4821" s="31"/>
      <c r="H4821" s="31"/>
    </row>
    <row r="4822">
      <c r="A4822" s="31"/>
      <c r="C4822" s="31"/>
      <c r="D4822" s="31"/>
      <c r="H4822" s="31"/>
    </row>
    <row r="4823">
      <c r="A4823" s="31"/>
      <c r="C4823" s="31"/>
      <c r="D4823" s="31"/>
      <c r="H4823" s="31"/>
    </row>
    <row r="4824">
      <c r="A4824" s="31"/>
      <c r="C4824" s="31"/>
      <c r="D4824" s="31"/>
      <c r="H4824" s="31"/>
    </row>
    <row r="4825">
      <c r="A4825" s="31"/>
      <c r="C4825" s="31"/>
      <c r="D4825" s="31"/>
      <c r="H4825" s="31"/>
    </row>
    <row r="4826">
      <c r="A4826" s="31"/>
      <c r="C4826" s="31"/>
      <c r="D4826" s="31"/>
      <c r="H4826" s="31"/>
    </row>
    <row r="4827">
      <c r="A4827" s="31"/>
      <c r="C4827" s="31"/>
      <c r="D4827" s="31"/>
      <c r="H4827" s="31"/>
    </row>
    <row r="4828">
      <c r="A4828" s="31"/>
      <c r="C4828" s="31"/>
      <c r="D4828" s="31"/>
      <c r="H4828" s="31"/>
    </row>
    <row r="4829">
      <c r="A4829" s="31"/>
      <c r="C4829" s="31"/>
      <c r="D4829" s="31"/>
      <c r="H4829" s="31"/>
    </row>
    <row r="4830">
      <c r="A4830" s="31"/>
      <c r="C4830" s="31"/>
      <c r="D4830" s="31"/>
      <c r="H4830" s="31"/>
    </row>
    <row r="4831">
      <c r="A4831" s="31"/>
      <c r="C4831" s="31"/>
      <c r="D4831" s="31"/>
      <c r="H4831" s="31"/>
    </row>
    <row r="4832">
      <c r="A4832" s="31"/>
      <c r="C4832" s="31"/>
      <c r="D4832" s="31"/>
      <c r="H4832" s="31"/>
    </row>
    <row r="4833">
      <c r="A4833" s="31"/>
      <c r="C4833" s="31"/>
      <c r="D4833" s="31"/>
      <c r="H4833" s="31"/>
    </row>
    <row r="4834">
      <c r="A4834" s="31"/>
      <c r="C4834" s="31"/>
      <c r="D4834" s="31"/>
      <c r="H4834" s="31"/>
    </row>
    <row r="4835">
      <c r="A4835" s="31"/>
      <c r="C4835" s="31"/>
      <c r="D4835" s="31"/>
      <c r="H4835" s="31"/>
    </row>
    <row r="4836">
      <c r="A4836" s="31"/>
      <c r="C4836" s="31"/>
      <c r="D4836" s="31"/>
      <c r="H4836" s="31"/>
    </row>
    <row r="4837">
      <c r="A4837" s="31"/>
      <c r="C4837" s="31"/>
      <c r="D4837" s="31"/>
      <c r="H4837" s="31"/>
    </row>
    <row r="4838">
      <c r="A4838" s="31"/>
      <c r="C4838" s="31"/>
      <c r="D4838" s="31"/>
      <c r="H4838" s="31"/>
    </row>
    <row r="4839">
      <c r="A4839" s="31"/>
      <c r="C4839" s="31"/>
      <c r="D4839" s="31"/>
      <c r="H4839" s="31"/>
    </row>
    <row r="4840">
      <c r="A4840" s="31"/>
      <c r="C4840" s="31"/>
      <c r="D4840" s="31"/>
      <c r="H4840" s="31"/>
    </row>
    <row r="4841">
      <c r="A4841" s="31"/>
      <c r="C4841" s="31"/>
      <c r="D4841" s="31"/>
      <c r="H4841" s="31"/>
    </row>
    <row r="4842">
      <c r="A4842" s="31"/>
      <c r="C4842" s="31"/>
      <c r="D4842" s="31"/>
      <c r="H4842" s="31"/>
    </row>
    <row r="4843">
      <c r="A4843" s="31"/>
      <c r="C4843" s="31"/>
      <c r="D4843" s="31"/>
      <c r="H4843" s="31"/>
    </row>
    <row r="4844">
      <c r="A4844" s="31"/>
      <c r="C4844" s="31"/>
      <c r="D4844" s="31"/>
      <c r="H4844" s="31"/>
    </row>
    <row r="4845">
      <c r="A4845" s="31"/>
      <c r="C4845" s="31"/>
      <c r="D4845" s="31"/>
      <c r="H4845" s="31"/>
    </row>
    <row r="4846">
      <c r="A4846" s="31"/>
      <c r="C4846" s="31"/>
      <c r="D4846" s="31"/>
      <c r="H4846" s="31"/>
    </row>
    <row r="4847">
      <c r="A4847" s="31"/>
      <c r="C4847" s="31"/>
      <c r="D4847" s="31"/>
      <c r="H4847" s="31"/>
    </row>
    <row r="4848">
      <c r="A4848" s="31"/>
      <c r="C4848" s="31"/>
      <c r="D4848" s="31"/>
      <c r="H4848" s="31"/>
    </row>
    <row r="4849">
      <c r="A4849" s="31"/>
      <c r="C4849" s="31"/>
      <c r="D4849" s="31"/>
      <c r="H4849" s="31"/>
    </row>
    <row r="4850">
      <c r="A4850" s="31"/>
      <c r="C4850" s="31"/>
      <c r="D4850" s="31"/>
      <c r="H4850" s="31"/>
    </row>
    <row r="4851">
      <c r="A4851" s="31"/>
      <c r="C4851" s="31"/>
      <c r="D4851" s="31"/>
      <c r="H4851" s="31"/>
    </row>
    <row r="4852">
      <c r="A4852" s="31"/>
      <c r="C4852" s="31"/>
      <c r="D4852" s="31"/>
      <c r="H4852" s="31"/>
    </row>
    <row r="4853">
      <c r="A4853" s="31"/>
      <c r="C4853" s="31"/>
      <c r="D4853" s="31"/>
      <c r="H4853" s="31"/>
    </row>
    <row r="4854">
      <c r="A4854" s="31"/>
      <c r="C4854" s="31"/>
      <c r="D4854" s="31"/>
      <c r="H4854" s="31"/>
    </row>
    <row r="4855">
      <c r="A4855" s="31"/>
      <c r="C4855" s="31"/>
      <c r="D4855" s="31"/>
      <c r="H4855" s="31"/>
    </row>
    <row r="4856">
      <c r="A4856" s="31"/>
      <c r="C4856" s="31"/>
      <c r="D4856" s="31"/>
      <c r="H4856" s="31"/>
    </row>
    <row r="4857">
      <c r="A4857" s="31"/>
      <c r="C4857" s="31"/>
      <c r="D4857" s="31"/>
      <c r="H4857" s="31"/>
    </row>
    <row r="4858">
      <c r="A4858" s="31"/>
      <c r="C4858" s="31"/>
      <c r="D4858" s="31"/>
      <c r="H4858" s="31"/>
    </row>
    <row r="4859">
      <c r="A4859" s="31"/>
      <c r="C4859" s="31"/>
      <c r="D4859" s="31"/>
      <c r="H4859" s="31"/>
    </row>
    <row r="4860">
      <c r="A4860" s="31"/>
      <c r="C4860" s="31"/>
      <c r="D4860" s="31"/>
      <c r="H4860" s="31"/>
    </row>
    <row r="4861">
      <c r="A4861" s="31"/>
      <c r="C4861" s="31"/>
      <c r="D4861" s="31"/>
      <c r="H4861" s="31"/>
    </row>
    <row r="4862">
      <c r="A4862" s="31"/>
      <c r="C4862" s="31"/>
      <c r="D4862" s="31"/>
      <c r="H4862" s="31"/>
    </row>
    <row r="4863">
      <c r="A4863" s="31"/>
      <c r="C4863" s="31"/>
      <c r="D4863" s="31"/>
      <c r="H4863" s="31"/>
    </row>
    <row r="4864">
      <c r="A4864" s="31"/>
      <c r="C4864" s="31"/>
      <c r="D4864" s="31"/>
      <c r="H4864" s="31"/>
    </row>
    <row r="4865">
      <c r="A4865" s="31"/>
      <c r="C4865" s="31"/>
      <c r="D4865" s="31"/>
      <c r="H4865" s="31"/>
    </row>
    <row r="4866">
      <c r="A4866" s="31"/>
      <c r="C4866" s="31"/>
      <c r="D4866" s="31"/>
      <c r="H4866" s="31"/>
    </row>
    <row r="4867">
      <c r="A4867" s="31"/>
      <c r="C4867" s="31"/>
      <c r="D4867" s="31"/>
      <c r="H4867" s="31"/>
    </row>
    <row r="4868">
      <c r="A4868" s="31"/>
      <c r="C4868" s="31"/>
      <c r="D4868" s="31"/>
      <c r="H4868" s="31"/>
    </row>
    <row r="4869">
      <c r="A4869" s="31"/>
      <c r="C4869" s="31"/>
      <c r="D4869" s="31"/>
      <c r="H4869" s="31"/>
    </row>
    <row r="4870">
      <c r="A4870" s="31"/>
      <c r="C4870" s="31"/>
      <c r="D4870" s="31"/>
      <c r="H4870" s="31"/>
    </row>
    <row r="4871">
      <c r="A4871" s="31"/>
      <c r="C4871" s="31"/>
      <c r="D4871" s="31"/>
      <c r="H4871" s="31"/>
    </row>
    <row r="4872">
      <c r="A4872" s="31"/>
      <c r="C4872" s="31"/>
      <c r="D4872" s="31"/>
      <c r="H4872" s="31"/>
    </row>
    <row r="4873">
      <c r="A4873" s="31"/>
      <c r="C4873" s="31"/>
      <c r="D4873" s="31"/>
      <c r="H4873" s="31"/>
    </row>
    <row r="4874">
      <c r="A4874" s="31"/>
      <c r="C4874" s="31"/>
      <c r="D4874" s="31"/>
      <c r="H4874" s="31"/>
    </row>
    <row r="4875">
      <c r="A4875" s="31"/>
      <c r="C4875" s="31"/>
      <c r="D4875" s="31"/>
      <c r="H4875" s="31"/>
    </row>
    <row r="4876">
      <c r="A4876" s="31"/>
      <c r="C4876" s="31"/>
      <c r="D4876" s="31"/>
      <c r="H4876" s="31"/>
    </row>
    <row r="4877">
      <c r="A4877" s="31"/>
      <c r="C4877" s="31"/>
      <c r="D4877" s="31"/>
      <c r="H4877" s="31"/>
    </row>
    <row r="4878">
      <c r="A4878" s="31"/>
      <c r="C4878" s="31"/>
      <c r="D4878" s="31"/>
      <c r="H4878" s="31"/>
    </row>
    <row r="4879">
      <c r="A4879" s="31"/>
      <c r="C4879" s="31"/>
      <c r="D4879" s="31"/>
      <c r="H4879" s="31"/>
    </row>
    <row r="4880">
      <c r="A4880" s="31"/>
      <c r="C4880" s="31"/>
      <c r="D4880" s="31"/>
      <c r="H4880" s="31"/>
    </row>
    <row r="4881">
      <c r="A4881" s="31"/>
      <c r="C4881" s="31"/>
      <c r="D4881" s="31"/>
      <c r="H4881" s="31"/>
    </row>
    <row r="4882">
      <c r="A4882" s="31"/>
      <c r="C4882" s="31"/>
      <c r="D4882" s="31"/>
      <c r="H4882" s="31"/>
    </row>
    <row r="4883">
      <c r="A4883" s="31"/>
      <c r="C4883" s="31"/>
      <c r="D4883" s="31"/>
      <c r="H4883" s="31"/>
    </row>
    <row r="4884">
      <c r="A4884" s="31"/>
      <c r="C4884" s="31"/>
      <c r="D4884" s="31"/>
      <c r="H4884" s="31"/>
    </row>
    <row r="4885">
      <c r="A4885" s="31"/>
      <c r="C4885" s="31"/>
      <c r="D4885" s="31"/>
      <c r="H4885" s="31"/>
    </row>
    <row r="4886">
      <c r="A4886" s="31"/>
      <c r="C4886" s="31"/>
      <c r="D4886" s="31"/>
      <c r="H4886" s="31"/>
    </row>
    <row r="4887">
      <c r="A4887" s="31"/>
      <c r="C4887" s="31"/>
      <c r="D4887" s="31"/>
      <c r="H4887" s="31"/>
    </row>
    <row r="4888">
      <c r="A4888" s="31"/>
      <c r="C4888" s="31"/>
      <c r="D4888" s="31"/>
      <c r="H4888" s="31"/>
    </row>
    <row r="4889">
      <c r="A4889" s="31"/>
      <c r="C4889" s="31"/>
      <c r="D4889" s="31"/>
      <c r="H4889" s="31"/>
    </row>
    <row r="4890">
      <c r="A4890" s="31"/>
      <c r="C4890" s="31"/>
      <c r="D4890" s="31"/>
      <c r="H4890" s="31"/>
    </row>
    <row r="4891">
      <c r="A4891" s="31"/>
      <c r="C4891" s="31"/>
      <c r="D4891" s="31"/>
      <c r="H4891" s="31"/>
    </row>
    <row r="4892">
      <c r="A4892" s="31"/>
      <c r="C4892" s="31"/>
      <c r="D4892" s="31"/>
      <c r="H4892" s="31"/>
    </row>
    <row r="4893">
      <c r="A4893" s="31"/>
      <c r="C4893" s="31"/>
      <c r="D4893" s="31"/>
      <c r="H4893" s="31"/>
    </row>
    <row r="4894">
      <c r="A4894" s="31"/>
      <c r="C4894" s="31"/>
      <c r="D4894" s="31"/>
      <c r="H4894" s="31"/>
    </row>
    <row r="4895">
      <c r="A4895" s="31"/>
      <c r="C4895" s="31"/>
      <c r="D4895" s="31"/>
      <c r="H4895" s="31"/>
    </row>
    <row r="4896">
      <c r="A4896" s="31"/>
      <c r="C4896" s="31"/>
      <c r="D4896" s="31"/>
      <c r="H4896" s="31"/>
    </row>
    <row r="4897">
      <c r="A4897" s="31"/>
      <c r="C4897" s="31"/>
      <c r="D4897" s="31"/>
      <c r="H4897" s="31"/>
    </row>
    <row r="4898">
      <c r="A4898" s="31"/>
      <c r="C4898" s="31"/>
      <c r="D4898" s="31"/>
      <c r="H4898" s="31"/>
    </row>
    <row r="4899">
      <c r="A4899" s="31"/>
      <c r="C4899" s="31"/>
      <c r="D4899" s="31"/>
      <c r="H4899" s="31"/>
    </row>
    <row r="4900">
      <c r="A4900" s="31"/>
      <c r="C4900" s="31"/>
      <c r="D4900" s="31"/>
      <c r="H4900" s="31"/>
    </row>
    <row r="4901">
      <c r="A4901" s="31"/>
      <c r="C4901" s="31"/>
      <c r="D4901" s="31"/>
      <c r="H4901" s="31"/>
    </row>
    <row r="4902">
      <c r="A4902" s="31"/>
      <c r="C4902" s="31"/>
      <c r="D4902" s="31"/>
      <c r="H4902" s="31"/>
    </row>
    <row r="4903">
      <c r="A4903" s="31"/>
      <c r="C4903" s="31"/>
      <c r="D4903" s="31"/>
      <c r="H4903" s="31"/>
    </row>
    <row r="4904">
      <c r="A4904" s="31"/>
      <c r="C4904" s="31"/>
      <c r="D4904" s="31"/>
      <c r="H4904" s="31"/>
    </row>
    <row r="4905">
      <c r="A4905" s="31"/>
      <c r="C4905" s="31"/>
      <c r="D4905" s="31"/>
      <c r="H4905" s="31"/>
    </row>
    <row r="4906">
      <c r="A4906" s="31"/>
      <c r="C4906" s="31"/>
      <c r="D4906" s="31"/>
      <c r="H4906" s="31"/>
    </row>
    <row r="4907">
      <c r="A4907" s="31"/>
      <c r="C4907" s="31"/>
      <c r="D4907" s="31"/>
      <c r="H4907" s="31"/>
    </row>
    <row r="4908">
      <c r="A4908" s="31"/>
      <c r="C4908" s="31"/>
      <c r="D4908" s="31"/>
      <c r="H4908" s="31"/>
    </row>
    <row r="4909">
      <c r="A4909" s="31"/>
      <c r="C4909" s="31"/>
      <c r="D4909" s="31"/>
      <c r="H4909" s="31"/>
    </row>
    <row r="4910">
      <c r="A4910" s="31"/>
      <c r="C4910" s="31"/>
      <c r="D4910" s="31"/>
      <c r="H4910" s="31"/>
    </row>
    <row r="4911">
      <c r="A4911" s="31"/>
      <c r="C4911" s="31"/>
      <c r="D4911" s="31"/>
      <c r="H4911" s="31"/>
    </row>
    <row r="4912">
      <c r="A4912" s="31"/>
      <c r="C4912" s="31"/>
      <c r="D4912" s="31"/>
      <c r="H4912" s="31"/>
    </row>
    <row r="4913">
      <c r="A4913" s="31"/>
      <c r="C4913" s="31"/>
      <c r="D4913" s="31"/>
      <c r="H4913" s="31"/>
    </row>
    <row r="4914">
      <c r="A4914" s="31"/>
      <c r="C4914" s="31"/>
      <c r="D4914" s="31"/>
      <c r="H4914" s="31"/>
    </row>
    <row r="4915">
      <c r="A4915" s="31"/>
      <c r="C4915" s="31"/>
      <c r="D4915" s="31"/>
      <c r="H4915" s="31"/>
    </row>
    <row r="4916">
      <c r="A4916" s="31"/>
      <c r="C4916" s="31"/>
      <c r="D4916" s="31"/>
      <c r="H4916" s="31"/>
    </row>
    <row r="4917">
      <c r="A4917" s="31"/>
      <c r="C4917" s="31"/>
      <c r="D4917" s="31"/>
      <c r="H4917" s="31"/>
    </row>
    <row r="4918">
      <c r="A4918" s="31"/>
      <c r="C4918" s="31"/>
      <c r="D4918" s="31"/>
      <c r="H4918" s="31"/>
    </row>
    <row r="4919">
      <c r="A4919" s="31"/>
      <c r="C4919" s="31"/>
      <c r="D4919" s="31"/>
      <c r="H4919" s="31"/>
    </row>
    <row r="4920">
      <c r="A4920" s="31"/>
      <c r="C4920" s="31"/>
      <c r="D4920" s="31"/>
      <c r="H4920" s="31"/>
    </row>
    <row r="4921">
      <c r="A4921" s="31"/>
      <c r="C4921" s="31"/>
      <c r="D4921" s="31"/>
      <c r="H4921" s="31"/>
    </row>
    <row r="4922">
      <c r="A4922" s="31"/>
      <c r="C4922" s="31"/>
      <c r="D4922" s="31"/>
      <c r="H4922" s="31"/>
    </row>
    <row r="4923">
      <c r="A4923" s="31"/>
      <c r="C4923" s="31"/>
      <c r="D4923" s="31"/>
      <c r="H4923" s="31"/>
    </row>
    <row r="4924">
      <c r="A4924" s="31"/>
      <c r="C4924" s="31"/>
      <c r="D4924" s="31"/>
      <c r="H4924" s="31"/>
    </row>
    <row r="4925">
      <c r="A4925" s="31"/>
      <c r="C4925" s="31"/>
      <c r="D4925" s="31"/>
      <c r="H4925" s="31"/>
    </row>
    <row r="4926">
      <c r="A4926" s="31"/>
      <c r="C4926" s="31"/>
      <c r="D4926" s="31"/>
      <c r="H4926" s="31"/>
    </row>
    <row r="4927">
      <c r="A4927" s="31"/>
      <c r="C4927" s="31"/>
      <c r="D4927" s="31"/>
      <c r="H4927" s="31"/>
    </row>
    <row r="4928">
      <c r="A4928" s="31"/>
      <c r="C4928" s="31"/>
      <c r="D4928" s="31"/>
      <c r="H4928" s="31"/>
    </row>
    <row r="4929">
      <c r="A4929" s="31"/>
      <c r="C4929" s="31"/>
      <c r="D4929" s="31"/>
      <c r="H4929" s="31"/>
    </row>
    <row r="4930">
      <c r="A4930" s="31"/>
      <c r="C4930" s="31"/>
      <c r="D4930" s="31"/>
      <c r="H4930" s="31"/>
    </row>
    <row r="4931">
      <c r="A4931" s="31"/>
      <c r="C4931" s="31"/>
      <c r="D4931" s="31"/>
      <c r="H4931" s="31"/>
    </row>
    <row r="4932">
      <c r="A4932" s="31"/>
      <c r="C4932" s="31"/>
      <c r="D4932" s="31"/>
      <c r="H4932" s="31"/>
    </row>
    <row r="4933">
      <c r="A4933" s="31"/>
      <c r="C4933" s="31"/>
      <c r="D4933" s="31"/>
      <c r="H4933" s="31"/>
    </row>
    <row r="4934">
      <c r="A4934" s="31"/>
      <c r="C4934" s="31"/>
      <c r="D4934" s="31"/>
      <c r="H4934" s="31"/>
    </row>
    <row r="4935">
      <c r="A4935" s="31"/>
      <c r="C4935" s="31"/>
      <c r="D4935" s="31"/>
      <c r="H4935" s="31"/>
    </row>
    <row r="4936">
      <c r="A4936" s="31"/>
      <c r="C4936" s="31"/>
      <c r="D4936" s="31"/>
      <c r="H4936" s="31"/>
    </row>
    <row r="4937">
      <c r="A4937" s="31"/>
      <c r="C4937" s="31"/>
      <c r="D4937" s="31"/>
      <c r="H4937" s="31"/>
    </row>
    <row r="4938">
      <c r="A4938" s="31"/>
      <c r="C4938" s="31"/>
      <c r="D4938" s="31"/>
      <c r="H4938" s="31"/>
    </row>
    <row r="4939">
      <c r="A4939" s="31"/>
      <c r="C4939" s="31"/>
      <c r="D4939" s="31"/>
      <c r="H4939" s="31"/>
    </row>
    <row r="4940">
      <c r="A4940" s="31"/>
      <c r="C4940" s="31"/>
      <c r="D4940" s="31"/>
      <c r="H4940" s="31"/>
    </row>
    <row r="4941">
      <c r="A4941" s="31"/>
      <c r="C4941" s="31"/>
      <c r="D4941" s="31"/>
      <c r="H4941" s="31"/>
    </row>
    <row r="4942">
      <c r="A4942" s="31"/>
      <c r="C4942" s="31"/>
      <c r="D4942" s="31"/>
      <c r="H4942" s="31"/>
    </row>
    <row r="4943">
      <c r="A4943" s="31"/>
      <c r="C4943" s="31"/>
      <c r="D4943" s="31"/>
      <c r="H4943" s="31"/>
    </row>
    <row r="4944">
      <c r="A4944" s="31"/>
      <c r="C4944" s="31"/>
      <c r="D4944" s="31"/>
      <c r="H4944" s="31"/>
    </row>
    <row r="4945">
      <c r="A4945" s="31"/>
      <c r="C4945" s="31"/>
      <c r="D4945" s="31"/>
      <c r="H4945" s="31"/>
    </row>
    <row r="4946">
      <c r="A4946" s="31"/>
      <c r="C4946" s="31"/>
      <c r="D4946" s="31"/>
      <c r="H4946" s="31"/>
    </row>
    <row r="4947">
      <c r="A4947" s="31"/>
      <c r="C4947" s="31"/>
      <c r="D4947" s="31"/>
      <c r="H4947" s="31"/>
    </row>
    <row r="4948">
      <c r="A4948" s="31"/>
      <c r="C4948" s="31"/>
      <c r="D4948" s="31"/>
      <c r="H4948" s="31"/>
    </row>
    <row r="4949">
      <c r="A4949" s="31"/>
      <c r="C4949" s="31"/>
      <c r="D4949" s="31"/>
      <c r="H4949" s="31"/>
    </row>
    <row r="4950">
      <c r="A4950" s="31"/>
      <c r="C4950" s="31"/>
      <c r="D4950" s="31"/>
      <c r="H4950" s="31"/>
    </row>
    <row r="4951">
      <c r="A4951" s="31"/>
      <c r="C4951" s="31"/>
      <c r="D4951" s="31"/>
      <c r="H4951" s="31"/>
    </row>
    <row r="4952">
      <c r="A4952" s="31"/>
      <c r="C4952" s="31"/>
      <c r="D4952" s="31"/>
      <c r="H4952" s="31"/>
    </row>
    <row r="4953">
      <c r="A4953" s="31"/>
      <c r="C4953" s="31"/>
      <c r="D4953" s="31"/>
      <c r="H4953" s="31"/>
    </row>
    <row r="4954">
      <c r="A4954" s="31"/>
      <c r="C4954" s="31"/>
      <c r="D4954" s="31"/>
      <c r="H4954" s="31"/>
    </row>
    <row r="4955">
      <c r="A4955" s="31"/>
      <c r="C4955" s="31"/>
      <c r="D4955" s="31"/>
      <c r="H4955" s="31"/>
    </row>
    <row r="4956">
      <c r="A4956" s="31"/>
      <c r="C4956" s="31"/>
      <c r="D4956" s="31"/>
      <c r="H4956" s="31"/>
    </row>
    <row r="4957">
      <c r="A4957" s="31"/>
      <c r="C4957" s="31"/>
      <c r="D4957" s="31"/>
      <c r="H4957" s="31"/>
    </row>
    <row r="4958">
      <c r="A4958" s="31"/>
      <c r="C4958" s="31"/>
      <c r="D4958" s="31"/>
      <c r="H4958" s="31"/>
    </row>
    <row r="4959">
      <c r="A4959" s="31"/>
      <c r="C4959" s="31"/>
      <c r="D4959" s="31"/>
      <c r="H4959" s="31"/>
    </row>
    <row r="4960">
      <c r="A4960" s="31"/>
      <c r="C4960" s="31"/>
      <c r="D4960" s="31"/>
      <c r="H4960" s="31"/>
    </row>
    <row r="4961">
      <c r="A4961" s="31"/>
      <c r="C4961" s="31"/>
      <c r="D4961" s="31"/>
      <c r="H4961" s="31"/>
    </row>
    <row r="4962">
      <c r="A4962" s="31"/>
      <c r="C4962" s="31"/>
      <c r="D4962" s="31"/>
      <c r="H4962" s="31"/>
    </row>
    <row r="4963">
      <c r="A4963" s="31"/>
      <c r="C4963" s="31"/>
      <c r="D4963" s="31"/>
      <c r="H4963" s="31"/>
    </row>
    <row r="4964">
      <c r="A4964" s="31"/>
      <c r="C4964" s="31"/>
      <c r="D4964" s="31"/>
      <c r="H4964" s="31"/>
    </row>
    <row r="4965">
      <c r="A4965" s="31"/>
      <c r="C4965" s="31"/>
      <c r="D4965" s="31"/>
      <c r="H4965" s="31"/>
    </row>
    <row r="4966">
      <c r="A4966" s="31"/>
      <c r="C4966" s="31"/>
      <c r="D4966" s="31"/>
      <c r="H4966" s="31"/>
    </row>
    <row r="4967">
      <c r="A4967" s="31"/>
      <c r="C4967" s="31"/>
      <c r="D4967" s="31"/>
      <c r="H4967" s="31"/>
    </row>
    <row r="4968">
      <c r="A4968" s="31"/>
      <c r="C4968" s="31"/>
      <c r="D4968" s="31"/>
      <c r="H4968" s="31"/>
    </row>
    <row r="4969">
      <c r="A4969" s="31"/>
      <c r="C4969" s="31"/>
      <c r="D4969" s="31"/>
      <c r="H4969" s="31"/>
    </row>
    <row r="4970">
      <c r="A4970" s="31"/>
      <c r="C4970" s="31"/>
      <c r="D4970" s="31"/>
      <c r="H4970" s="31"/>
    </row>
    <row r="4971">
      <c r="A4971" s="31"/>
      <c r="C4971" s="31"/>
      <c r="D4971" s="31"/>
      <c r="H4971" s="31"/>
    </row>
    <row r="4972">
      <c r="A4972" s="31"/>
      <c r="C4972" s="31"/>
      <c r="D4972" s="31"/>
      <c r="H4972" s="31"/>
    </row>
    <row r="4973">
      <c r="A4973" s="31"/>
      <c r="C4973" s="31"/>
      <c r="D4973" s="31"/>
      <c r="H4973" s="31"/>
    </row>
    <row r="4974">
      <c r="A4974" s="31"/>
      <c r="C4974" s="31"/>
      <c r="D4974" s="31"/>
      <c r="H4974" s="31"/>
    </row>
    <row r="4975">
      <c r="A4975" s="31"/>
      <c r="C4975" s="31"/>
      <c r="D4975" s="31"/>
      <c r="H4975" s="31"/>
    </row>
    <row r="4976">
      <c r="A4976" s="31"/>
      <c r="C4976" s="31"/>
      <c r="D4976" s="31"/>
      <c r="H4976" s="31"/>
    </row>
    <row r="4977">
      <c r="A4977" s="31"/>
      <c r="C4977" s="31"/>
      <c r="D4977" s="31"/>
      <c r="H4977" s="31"/>
    </row>
    <row r="4978">
      <c r="A4978" s="31"/>
      <c r="C4978" s="31"/>
      <c r="D4978" s="31"/>
      <c r="H4978" s="31"/>
    </row>
    <row r="4979">
      <c r="A4979" s="31"/>
      <c r="C4979" s="31"/>
      <c r="D4979" s="31"/>
      <c r="H4979" s="31"/>
    </row>
    <row r="4980">
      <c r="A4980" s="31"/>
      <c r="C4980" s="31"/>
      <c r="D4980" s="31"/>
      <c r="H4980" s="31"/>
    </row>
    <row r="4981">
      <c r="A4981" s="31"/>
      <c r="C4981" s="31"/>
      <c r="D4981" s="31"/>
      <c r="H4981" s="31"/>
    </row>
    <row r="4982">
      <c r="A4982" s="31"/>
      <c r="C4982" s="31"/>
      <c r="D4982" s="31"/>
      <c r="H4982" s="31"/>
    </row>
    <row r="4983">
      <c r="A4983" s="31"/>
      <c r="C4983" s="31"/>
      <c r="D4983" s="31"/>
      <c r="H4983" s="31"/>
    </row>
    <row r="4984">
      <c r="A4984" s="31"/>
      <c r="C4984" s="31"/>
      <c r="D4984" s="31"/>
      <c r="H4984" s="31"/>
    </row>
    <row r="4985">
      <c r="A4985" s="31"/>
      <c r="C4985" s="31"/>
      <c r="D4985" s="31"/>
      <c r="H4985" s="31"/>
    </row>
    <row r="4986">
      <c r="A4986" s="31"/>
      <c r="C4986" s="31"/>
      <c r="D4986" s="31"/>
      <c r="H4986" s="31"/>
    </row>
    <row r="4987">
      <c r="A4987" s="31"/>
      <c r="C4987" s="31"/>
      <c r="D4987" s="31"/>
      <c r="H4987" s="31"/>
    </row>
    <row r="4988">
      <c r="A4988" s="31"/>
      <c r="C4988" s="31"/>
      <c r="D4988" s="31"/>
      <c r="H4988" s="31"/>
    </row>
    <row r="4989">
      <c r="A4989" s="31"/>
      <c r="C4989" s="31"/>
      <c r="D4989" s="31"/>
      <c r="H4989" s="31"/>
    </row>
    <row r="4990">
      <c r="A4990" s="31"/>
      <c r="C4990" s="31"/>
      <c r="D4990" s="31"/>
      <c r="H4990" s="31"/>
    </row>
    <row r="4991">
      <c r="A4991" s="31"/>
      <c r="C4991" s="31"/>
      <c r="D4991" s="31"/>
      <c r="H4991" s="31"/>
    </row>
    <row r="4992">
      <c r="A4992" s="31"/>
      <c r="C4992" s="31"/>
      <c r="D4992" s="31"/>
      <c r="H4992" s="31"/>
    </row>
    <row r="4993">
      <c r="A4993" s="31"/>
      <c r="C4993" s="31"/>
      <c r="D4993" s="31"/>
      <c r="H4993" s="31"/>
    </row>
    <row r="4994">
      <c r="A4994" s="31"/>
      <c r="C4994" s="31"/>
      <c r="D4994" s="31"/>
      <c r="H4994" s="31"/>
    </row>
    <row r="4995">
      <c r="A4995" s="31"/>
      <c r="C4995" s="31"/>
      <c r="D4995" s="31"/>
      <c r="H4995" s="31"/>
    </row>
    <row r="4996">
      <c r="A4996" s="31"/>
      <c r="C4996" s="31"/>
      <c r="D4996" s="31"/>
      <c r="H4996" s="31"/>
    </row>
    <row r="4997">
      <c r="A4997" s="31"/>
      <c r="C4997" s="31"/>
      <c r="D4997" s="31"/>
      <c r="H4997" s="31"/>
    </row>
    <row r="4998">
      <c r="A4998" s="31"/>
      <c r="C4998" s="31"/>
      <c r="D4998" s="31"/>
      <c r="H4998" s="31"/>
    </row>
    <row r="4999">
      <c r="A4999" s="31"/>
      <c r="C4999" s="31"/>
      <c r="D4999" s="31"/>
      <c r="H4999" s="31"/>
    </row>
    <row r="5000">
      <c r="A5000" s="31"/>
      <c r="C5000" s="31"/>
      <c r="D5000" s="31"/>
      <c r="H5000" s="31"/>
    </row>
    <row r="5001">
      <c r="A5001" s="31"/>
      <c r="C5001" s="31"/>
      <c r="D5001" s="31"/>
      <c r="H5001" s="31"/>
    </row>
    <row r="5002">
      <c r="A5002" s="31"/>
      <c r="C5002" s="31"/>
      <c r="D5002" s="31"/>
      <c r="H5002" s="31"/>
    </row>
    <row r="5003">
      <c r="A5003" s="31"/>
      <c r="C5003" s="31"/>
      <c r="D5003" s="31"/>
      <c r="H5003" s="31"/>
    </row>
    <row r="5004">
      <c r="A5004" s="31"/>
      <c r="C5004" s="31"/>
      <c r="D5004" s="31"/>
      <c r="H5004" s="31"/>
    </row>
    <row r="5005">
      <c r="A5005" s="31"/>
      <c r="C5005" s="31"/>
      <c r="D5005" s="31"/>
      <c r="H5005" s="31"/>
    </row>
    <row r="5006">
      <c r="A5006" s="31"/>
      <c r="C5006" s="31"/>
      <c r="D5006" s="31"/>
      <c r="H5006" s="31"/>
    </row>
    <row r="5007">
      <c r="A5007" s="31"/>
      <c r="C5007" s="31"/>
      <c r="D5007" s="31"/>
      <c r="H5007" s="31"/>
    </row>
    <row r="5008">
      <c r="A5008" s="31"/>
      <c r="C5008" s="31"/>
      <c r="D5008" s="31"/>
      <c r="H5008" s="31"/>
    </row>
    <row r="5009">
      <c r="A5009" s="31"/>
      <c r="C5009" s="31"/>
      <c r="D5009" s="31"/>
      <c r="H5009" s="31"/>
    </row>
    <row r="5010">
      <c r="A5010" s="31"/>
      <c r="C5010" s="31"/>
      <c r="D5010" s="31"/>
      <c r="H5010" s="31"/>
    </row>
    <row r="5011">
      <c r="A5011" s="31"/>
      <c r="C5011" s="31"/>
      <c r="D5011" s="31"/>
      <c r="H5011" s="31"/>
    </row>
    <row r="5012">
      <c r="A5012" s="31"/>
      <c r="C5012" s="31"/>
      <c r="D5012" s="31"/>
      <c r="H5012" s="31"/>
    </row>
    <row r="5013">
      <c r="A5013" s="31"/>
      <c r="C5013" s="31"/>
      <c r="D5013" s="31"/>
      <c r="H5013" s="31"/>
    </row>
    <row r="5014">
      <c r="A5014" s="31"/>
      <c r="C5014" s="31"/>
      <c r="D5014" s="31"/>
      <c r="H5014" s="31"/>
    </row>
    <row r="5015">
      <c r="A5015" s="31"/>
      <c r="C5015" s="31"/>
      <c r="D5015" s="31"/>
      <c r="H5015" s="31"/>
    </row>
    <row r="5016">
      <c r="A5016" s="31"/>
      <c r="C5016" s="31"/>
      <c r="D5016" s="31"/>
      <c r="H5016" s="31"/>
    </row>
    <row r="5017">
      <c r="A5017" s="31"/>
      <c r="C5017" s="31"/>
      <c r="D5017" s="31"/>
      <c r="H5017" s="31"/>
    </row>
    <row r="5018">
      <c r="A5018" s="31"/>
      <c r="C5018" s="31"/>
      <c r="D5018" s="31"/>
      <c r="H5018" s="31"/>
    </row>
    <row r="5019">
      <c r="A5019" s="31"/>
      <c r="C5019" s="31"/>
      <c r="D5019" s="31"/>
      <c r="H5019" s="31"/>
    </row>
    <row r="5020">
      <c r="A5020" s="31"/>
      <c r="C5020" s="31"/>
      <c r="D5020" s="31"/>
      <c r="H5020" s="31"/>
    </row>
    <row r="5021">
      <c r="A5021" s="31"/>
      <c r="C5021" s="31"/>
      <c r="D5021" s="31"/>
      <c r="H5021" s="31"/>
    </row>
    <row r="5022">
      <c r="A5022" s="31"/>
      <c r="C5022" s="31"/>
      <c r="D5022" s="31"/>
      <c r="H5022" s="31"/>
    </row>
    <row r="5023">
      <c r="A5023" s="31"/>
      <c r="C5023" s="31"/>
      <c r="D5023" s="31"/>
      <c r="H5023" s="31"/>
    </row>
    <row r="5024">
      <c r="A5024" s="31"/>
      <c r="C5024" s="31"/>
      <c r="D5024" s="31"/>
      <c r="H5024" s="31"/>
    </row>
    <row r="5025">
      <c r="A5025" s="31"/>
      <c r="C5025" s="31"/>
      <c r="D5025" s="31"/>
      <c r="H5025" s="31"/>
    </row>
    <row r="5026">
      <c r="A5026" s="31"/>
      <c r="C5026" s="31"/>
      <c r="D5026" s="31"/>
      <c r="H5026" s="31"/>
    </row>
    <row r="5027">
      <c r="A5027" s="31"/>
      <c r="C5027" s="31"/>
      <c r="D5027" s="31"/>
      <c r="H5027" s="31"/>
    </row>
    <row r="5028">
      <c r="A5028" s="31"/>
      <c r="C5028" s="31"/>
      <c r="D5028" s="31"/>
      <c r="H5028" s="31"/>
    </row>
    <row r="5029">
      <c r="A5029" s="31"/>
      <c r="C5029" s="31"/>
      <c r="D5029" s="31"/>
      <c r="H5029" s="31"/>
    </row>
    <row r="5030">
      <c r="A5030" s="31"/>
      <c r="C5030" s="31"/>
      <c r="D5030" s="31"/>
      <c r="H5030" s="31"/>
    </row>
    <row r="5031">
      <c r="A5031" s="31"/>
      <c r="C5031" s="31"/>
      <c r="D5031" s="31"/>
      <c r="H5031" s="31"/>
    </row>
    <row r="5032">
      <c r="A5032" s="31"/>
      <c r="C5032" s="31"/>
      <c r="D5032" s="31"/>
      <c r="H5032" s="31"/>
    </row>
    <row r="5033">
      <c r="A5033" s="31"/>
      <c r="C5033" s="31"/>
      <c r="D5033" s="31"/>
      <c r="H5033" s="31"/>
    </row>
    <row r="5034">
      <c r="A5034" s="31"/>
      <c r="C5034" s="31"/>
      <c r="D5034" s="31"/>
      <c r="H5034" s="31"/>
    </row>
    <row r="5035">
      <c r="A5035" s="31"/>
      <c r="C5035" s="31"/>
      <c r="D5035" s="31"/>
      <c r="H5035" s="31"/>
    </row>
    <row r="5036">
      <c r="A5036" s="31"/>
      <c r="C5036" s="31"/>
      <c r="D5036" s="31"/>
      <c r="H5036" s="31"/>
    </row>
    <row r="5037">
      <c r="A5037" s="31"/>
      <c r="C5037" s="31"/>
      <c r="D5037" s="31"/>
      <c r="H5037" s="31"/>
    </row>
    <row r="5038">
      <c r="A5038" s="31"/>
      <c r="C5038" s="31"/>
      <c r="D5038" s="31"/>
      <c r="H5038" s="31"/>
    </row>
    <row r="5039">
      <c r="A5039" s="31"/>
      <c r="C5039" s="31"/>
      <c r="D5039" s="31"/>
      <c r="H5039" s="31"/>
    </row>
    <row r="5040">
      <c r="A5040" s="31"/>
      <c r="C5040" s="31"/>
      <c r="D5040" s="31"/>
      <c r="H5040" s="31"/>
    </row>
    <row r="5041">
      <c r="A5041" s="31"/>
      <c r="C5041" s="31"/>
      <c r="D5041" s="31"/>
      <c r="H5041" s="31"/>
    </row>
    <row r="5042">
      <c r="A5042" s="31"/>
      <c r="C5042" s="31"/>
      <c r="D5042" s="31"/>
      <c r="H5042" s="31"/>
    </row>
    <row r="5043">
      <c r="A5043" s="31"/>
      <c r="C5043" s="31"/>
      <c r="D5043" s="31"/>
      <c r="H5043" s="31"/>
    </row>
    <row r="5044">
      <c r="A5044" s="31"/>
      <c r="C5044" s="31"/>
      <c r="D5044" s="31"/>
      <c r="H5044" s="31"/>
    </row>
    <row r="5045">
      <c r="A5045" s="31"/>
      <c r="C5045" s="31"/>
      <c r="D5045" s="31"/>
      <c r="H5045" s="31"/>
    </row>
    <row r="5046">
      <c r="A5046" s="31"/>
      <c r="C5046" s="31"/>
      <c r="D5046" s="31"/>
      <c r="H5046" s="31"/>
    </row>
    <row r="5047">
      <c r="A5047" s="31"/>
      <c r="C5047" s="31"/>
      <c r="D5047" s="31"/>
      <c r="H5047" s="31"/>
    </row>
    <row r="5048">
      <c r="A5048" s="31"/>
      <c r="C5048" s="31"/>
      <c r="D5048" s="31"/>
      <c r="H5048" s="31"/>
    </row>
    <row r="5049">
      <c r="A5049" s="31"/>
      <c r="C5049" s="31"/>
      <c r="D5049" s="31"/>
      <c r="H5049" s="31"/>
    </row>
    <row r="5050">
      <c r="A5050" s="31"/>
      <c r="C5050" s="31"/>
      <c r="D5050" s="31"/>
      <c r="H5050" s="31"/>
    </row>
    <row r="5051">
      <c r="A5051" s="31"/>
      <c r="C5051" s="31"/>
      <c r="D5051" s="31"/>
      <c r="H5051" s="31"/>
    </row>
    <row r="5052">
      <c r="A5052" s="31"/>
      <c r="C5052" s="31"/>
      <c r="D5052" s="31"/>
      <c r="H5052" s="31"/>
    </row>
    <row r="5053">
      <c r="A5053" s="31"/>
      <c r="C5053" s="31"/>
      <c r="D5053" s="31"/>
      <c r="H5053" s="31"/>
    </row>
    <row r="5054">
      <c r="A5054" s="31"/>
      <c r="C5054" s="31"/>
      <c r="D5054" s="31"/>
      <c r="H5054" s="31"/>
    </row>
    <row r="5055">
      <c r="A5055" s="31"/>
      <c r="C5055" s="31"/>
      <c r="D5055" s="31"/>
      <c r="H5055" s="31"/>
    </row>
    <row r="5056">
      <c r="A5056" s="31"/>
      <c r="C5056" s="31"/>
      <c r="D5056" s="31"/>
      <c r="H5056" s="31"/>
    </row>
    <row r="5057">
      <c r="A5057" s="31"/>
      <c r="C5057" s="31"/>
      <c r="D5057" s="31"/>
      <c r="H5057" s="31"/>
    </row>
    <row r="5058">
      <c r="A5058" s="31"/>
      <c r="C5058" s="31"/>
      <c r="D5058" s="31"/>
      <c r="H5058" s="31"/>
    </row>
    <row r="5059">
      <c r="A5059" s="31"/>
      <c r="C5059" s="31"/>
      <c r="D5059" s="31"/>
      <c r="H5059" s="31"/>
    </row>
    <row r="5060">
      <c r="A5060" s="31"/>
      <c r="C5060" s="31"/>
      <c r="D5060" s="31"/>
      <c r="H5060" s="31"/>
    </row>
    <row r="5061">
      <c r="A5061" s="31"/>
      <c r="C5061" s="31"/>
      <c r="D5061" s="31"/>
      <c r="H5061" s="31"/>
    </row>
    <row r="5062">
      <c r="A5062" s="31"/>
      <c r="C5062" s="31"/>
      <c r="D5062" s="31"/>
      <c r="H5062" s="31"/>
    </row>
    <row r="5063">
      <c r="A5063" s="31"/>
      <c r="C5063" s="31"/>
      <c r="D5063" s="31"/>
      <c r="H5063" s="31"/>
    </row>
    <row r="5064">
      <c r="A5064" s="31"/>
      <c r="C5064" s="31"/>
      <c r="D5064" s="31"/>
      <c r="H5064" s="31"/>
    </row>
    <row r="5065">
      <c r="A5065" s="31"/>
      <c r="C5065" s="31"/>
      <c r="D5065" s="31"/>
      <c r="H5065" s="31"/>
    </row>
    <row r="5066">
      <c r="A5066" s="31"/>
      <c r="C5066" s="31"/>
      <c r="D5066" s="31"/>
      <c r="H5066" s="31"/>
    </row>
    <row r="5067">
      <c r="A5067" s="31"/>
      <c r="C5067" s="31"/>
      <c r="D5067" s="31"/>
      <c r="H5067" s="31"/>
    </row>
    <row r="5068">
      <c r="A5068" s="31"/>
      <c r="C5068" s="31"/>
      <c r="D5068" s="31"/>
      <c r="H5068" s="31"/>
    </row>
    <row r="5069">
      <c r="A5069" s="31"/>
      <c r="C5069" s="31"/>
      <c r="D5069" s="31"/>
      <c r="H5069" s="31"/>
    </row>
    <row r="5070">
      <c r="A5070" s="31"/>
      <c r="C5070" s="31"/>
      <c r="D5070" s="31"/>
      <c r="H5070" s="31"/>
    </row>
    <row r="5071">
      <c r="A5071" s="31"/>
      <c r="C5071" s="31"/>
      <c r="D5071" s="31"/>
      <c r="H5071" s="31"/>
    </row>
    <row r="5072">
      <c r="A5072" s="31"/>
      <c r="C5072" s="31"/>
      <c r="D5072" s="31"/>
      <c r="H5072" s="31"/>
    </row>
    <row r="5073">
      <c r="A5073" s="31"/>
      <c r="C5073" s="31"/>
      <c r="D5073" s="31"/>
      <c r="H5073" s="31"/>
    </row>
    <row r="5074">
      <c r="A5074" s="31"/>
      <c r="C5074" s="31"/>
      <c r="D5074" s="31"/>
      <c r="H5074" s="31"/>
    </row>
    <row r="5075">
      <c r="A5075" s="31"/>
      <c r="C5075" s="31"/>
      <c r="D5075" s="31"/>
      <c r="H5075" s="31"/>
    </row>
    <row r="5076">
      <c r="A5076" s="31"/>
      <c r="C5076" s="31"/>
      <c r="D5076" s="31"/>
      <c r="H5076" s="31"/>
    </row>
    <row r="5077">
      <c r="A5077" s="31"/>
      <c r="C5077" s="31"/>
      <c r="D5077" s="31"/>
      <c r="H5077" s="31"/>
    </row>
    <row r="5078">
      <c r="A5078" s="31"/>
      <c r="C5078" s="31"/>
      <c r="D5078" s="31"/>
      <c r="H5078" s="31"/>
    </row>
    <row r="5079">
      <c r="A5079" s="31"/>
      <c r="C5079" s="31"/>
      <c r="D5079" s="31"/>
      <c r="H5079" s="31"/>
    </row>
    <row r="5080">
      <c r="A5080" s="31"/>
      <c r="C5080" s="31"/>
      <c r="D5080" s="31"/>
      <c r="H5080" s="31"/>
    </row>
    <row r="5081">
      <c r="A5081" s="31"/>
      <c r="C5081" s="31"/>
      <c r="D5081" s="31"/>
      <c r="H5081" s="31"/>
    </row>
    <row r="5082">
      <c r="A5082" s="31"/>
      <c r="C5082" s="31"/>
      <c r="D5082" s="31"/>
      <c r="H5082" s="31"/>
    </row>
    <row r="5083">
      <c r="A5083" s="31"/>
      <c r="C5083" s="31"/>
      <c r="D5083" s="31"/>
      <c r="H5083" s="31"/>
    </row>
    <row r="5084">
      <c r="A5084" s="31"/>
      <c r="C5084" s="31"/>
      <c r="D5084" s="31"/>
      <c r="H5084" s="31"/>
    </row>
    <row r="5085">
      <c r="A5085" s="31"/>
      <c r="C5085" s="31"/>
      <c r="D5085" s="31"/>
      <c r="H5085" s="31"/>
    </row>
    <row r="5086">
      <c r="A5086" s="31"/>
      <c r="C5086" s="31"/>
      <c r="D5086" s="31"/>
      <c r="H5086" s="31"/>
    </row>
    <row r="5087">
      <c r="A5087" s="31"/>
      <c r="C5087" s="31"/>
      <c r="D5087" s="31"/>
      <c r="H5087" s="31"/>
    </row>
    <row r="5088">
      <c r="A5088" s="31"/>
      <c r="C5088" s="31"/>
      <c r="D5088" s="31"/>
      <c r="H5088" s="31"/>
    </row>
    <row r="5089">
      <c r="A5089" s="31"/>
      <c r="C5089" s="31"/>
      <c r="D5089" s="31"/>
      <c r="H5089" s="31"/>
    </row>
    <row r="5090">
      <c r="A5090" s="31"/>
      <c r="C5090" s="31"/>
      <c r="D5090" s="31"/>
      <c r="H5090" s="31"/>
    </row>
    <row r="5091">
      <c r="A5091" s="31"/>
      <c r="C5091" s="31"/>
      <c r="D5091" s="31"/>
      <c r="H5091" s="31"/>
    </row>
    <row r="5092">
      <c r="A5092" s="31"/>
      <c r="C5092" s="31"/>
      <c r="D5092" s="31"/>
      <c r="H5092" s="31"/>
    </row>
    <row r="5093">
      <c r="A5093" s="31"/>
      <c r="C5093" s="31"/>
      <c r="D5093" s="31"/>
      <c r="H5093" s="31"/>
    </row>
    <row r="5094">
      <c r="A5094" s="31"/>
      <c r="C5094" s="31"/>
      <c r="D5094" s="31"/>
      <c r="H5094" s="31"/>
    </row>
    <row r="5095">
      <c r="A5095" s="31"/>
      <c r="C5095" s="31"/>
      <c r="D5095" s="31"/>
      <c r="H5095" s="31"/>
    </row>
    <row r="5096">
      <c r="A5096" s="31"/>
      <c r="C5096" s="31"/>
      <c r="D5096" s="31"/>
      <c r="H5096" s="31"/>
    </row>
    <row r="5097">
      <c r="A5097" s="31"/>
      <c r="C5097" s="31"/>
      <c r="D5097" s="31"/>
      <c r="H5097" s="31"/>
    </row>
    <row r="5098">
      <c r="A5098" s="31"/>
      <c r="C5098" s="31"/>
      <c r="D5098" s="31"/>
      <c r="H5098" s="31"/>
    </row>
    <row r="5099">
      <c r="A5099" s="31"/>
      <c r="C5099" s="31"/>
      <c r="D5099" s="31"/>
      <c r="H5099" s="31"/>
    </row>
    <row r="5100">
      <c r="A5100" s="31"/>
      <c r="C5100" s="31"/>
      <c r="D5100" s="31"/>
      <c r="H5100" s="31"/>
    </row>
    <row r="5101">
      <c r="A5101" s="31"/>
      <c r="C5101" s="31"/>
      <c r="D5101" s="31"/>
      <c r="H5101" s="31"/>
    </row>
    <row r="5102">
      <c r="A5102" s="31"/>
      <c r="C5102" s="31"/>
      <c r="D5102" s="31"/>
      <c r="H5102" s="31"/>
    </row>
    <row r="5103">
      <c r="A5103" s="31"/>
      <c r="C5103" s="31"/>
      <c r="D5103" s="31"/>
      <c r="H5103" s="31"/>
    </row>
    <row r="5104">
      <c r="A5104" s="31"/>
      <c r="C5104" s="31"/>
      <c r="D5104" s="31"/>
      <c r="H5104" s="31"/>
    </row>
    <row r="5105">
      <c r="A5105" s="31"/>
      <c r="C5105" s="31"/>
      <c r="D5105" s="31"/>
      <c r="H5105" s="31"/>
    </row>
    <row r="5106">
      <c r="A5106" s="31"/>
      <c r="C5106" s="31"/>
      <c r="D5106" s="31"/>
      <c r="H5106" s="31"/>
    </row>
    <row r="5107">
      <c r="A5107" s="31"/>
      <c r="C5107" s="31"/>
      <c r="D5107" s="31"/>
      <c r="H5107" s="31"/>
    </row>
    <row r="5108">
      <c r="A5108" s="31"/>
      <c r="C5108" s="31"/>
      <c r="D5108" s="31"/>
      <c r="H5108" s="31"/>
    </row>
    <row r="5109">
      <c r="A5109" s="31"/>
      <c r="C5109" s="31"/>
      <c r="D5109" s="31"/>
      <c r="H5109" s="31"/>
    </row>
    <row r="5110">
      <c r="A5110" s="31"/>
      <c r="C5110" s="31"/>
      <c r="D5110" s="31"/>
      <c r="H5110" s="31"/>
    </row>
    <row r="5111">
      <c r="A5111" s="31"/>
      <c r="C5111" s="31"/>
      <c r="D5111" s="31"/>
      <c r="H5111" s="31"/>
    </row>
    <row r="5112">
      <c r="A5112" s="31"/>
      <c r="C5112" s="31"/>
      <c r="D5112" s="31"/>
      <c r="H5112" s="31"/>
    </row>
    <row r="5113">
      <c r="A5113" s="31"/>
      <c r="C5113" s="31"/>
      <c r="D5113" s="31"/>
      <c r="H5113" s="31"/>
    </row>
    <row r="5114">
      <c r="A5114" s="31"/>
      <c r="C5114" s="31"/>
      <c r="D5114" s="31"/>
      <c r="H5114" s="31"/>
    </row>
    <row r="5115">
      <c r="A5115" s="31"/>
      <c r="C5115" s="31"/>
      <c r="D5115" s="31"/>
      <c r="H5115" s="31"/>
    </row>
    <row r="5116">
      <c r="A5116" s="31"/>
      <c r="C5116" s="31"/>
      <c r="D5116" s="31"/>
      <c r="H5116" s="31"/>
    </row>
    <row r="5117">
      <c r="A5117" s="31"/>
      <c r="C5117" s="31"/>
      <c r="D5117" s="31"/>
      <c r="H5117" s="31"/>
    </row>
    <row r="5118">
      <c r="A5118" s="31"/>
      <c r="C5118" s="31"/>
      <c r="D5118" s="31"/>
      <c r="H5118" s="31"/>
    </row>
    <row r="5119">
      <c r="A5119" s="31"/>
      <c r="C5119" s="31"/>
      <c r="D5119" s="31"/>
      <c r="H5119" s="31"/>
    </row>
    <row r="5120">
      <c r="A5120" s="31"/>
      <c r="C5120" s="31"/>
      <c r="D5120" s="31"/>
      <c r="H5120" s="31"/>
    </row>
    <row r="5121">
      <c r="A5121" s="31"/>
      <c r="C5121" s="31"/>
      <c r="D5121" s="31"/>
      <c r="H5121" s="31"/>
    </row>
    <row r="5122">
      <c r="A5122" s="31"/>
      <c r="C5122" s="31"/>
      <c r="D5122" s="31"/>
      <c r="H5122" s="31"/>
    </row>
    <row r="5123">
      <c r="A5123" s="31"/>
      <c r="C5123" s="31"/>
      <c r="D5123" s="31"/>
      <c r="H5123" s="31"/>
    </row>
    <row r="5124">
      <c r="A5124" s="31"/>
      <c r="C5124" s="31"/>
      <c r="D5124" s="31"/>
      <c r="H5124" s="31"/>
    </row>
    <row r="5125">
      <c r="A5125" s="31"/>
      <c r="C5125" s="31"/>
      <c r="D5125" s="31"/>
      <c r="H5125" s="31"/>
    </row>
    <row r="5126">
      <c r="A5126" s="31"/>
      <c r="C5126" s="31"/>
      <c r="D5126" s="31"/>
      <c r="H5126" s="31"/>
    </row>
    <row r="5127">
      <c r="A5127" s="31"/>
      <c r="C5127" s="31"/>
      <c r="D5127" s="31"/>
      <c r="H5127" s="31"/>
    </row>
    <row r="5128">
      <c r="A5128" s="31"/>
      <c r="C5128" s="31"/>
      <c r="D5128" s="31"/>
      <c r="H5128" s="31"/>
    </row>
    <row r="5129">
      <c r="A5129" s="31"/>
      <c r="C5129" s="31"/>
      <c r="D5129" s="31"/>
      <c r="H5129" s="31"/>
    </row>
    <row r="5130">
      <c r="A5130" s="31"/>
      <c r="C5130" s="31"/>
      <c r="D5130" s="31"/>
      <c r="H5130" s="31"/>
    </row>
    <row r="5131">
      <c r="A5131" s="31"/>
      <c r="C5131" s="31"/>
      <c r="D5131" s="31"/>
      <c r="H5131" s="31"/>
    </row>
    <row r="5132">
      <c r="A5132" s="31"/>
      <c r="C5132" s="31"/>
      <c r="D5132" s="31"/>
      <c r="H5132" s="31"/>
    </row>
    <row r="5133">
      <c r="A5133" s="31"/>
      <c r="C5133" s="31"/>
      <c r="D5133" s="31"/>
      <c r="H5133" s="31"/>
    </row>
    <row r="5134">
      <c r="A5134" s="31"/>
      <c r="C5134" s="31"/>
      <c r="D5134" s="31"/>
      <c r="H5134" s="31"/>
    </row>
    <row r="5135">
      <c r="A5135" s="31"/>
      <c r="C5135" s="31"/>
      <c r="D5135" s="31"/>
      <c r="H5135" s="31"/>
    </row>
    <row r="5136">
      <c r="A5136" s="31"/>
      <c r="C5136" s="31"/>
      <c r="D5136" s="31"/>
      <c r="H5136" s="31"/>
    </row>
    <row r="5137">
      <c r="A5137" s="31"/>
      <c r="C5137" s="31"/>
      <c r="D5137" s="31"/>
      <c r="H5137" s="31"/>
    </row>
    <row r="5138">
      <c r="A5138" s="31"/>
      <c r="C5138" s="31"/>
      <c r="D5138" s="31"/>
      <c r="H5138" s="31"/>
    </row>
    <row r="5139">
      <c r="A5139" s="31"/>
      <c r="C5139" s="31"/>
      <c r="D5139" s="31"/>
      <c r="H5139" s="31"/>
    </row>
    <row r="5140">
      <c r="A5140" s="31"/>
      <c r="C5140" s="31"/>
      <c r="D5140" s="31"/>
      <c r="H5140" s="31"/>
    </row>
    <row r="5141">
      <c r="A5141" s="31"/>
      <c r="C5141" s="31"/>
      <c r="D5141" s="31"/>
      <c r="H5141" s="31"/>
    </row>
    <row r="5142">
      <c r="A5142" s="31"/>
      <c r="C5142" s="31"/>
      <c r="D5142" s="31"/>
      <c r="H5142" s="31"/>
    </row>
    <row r="5143">
      <c r="A5143" s="31"/>
      <c r="C5143" s="31"/>
      <c r="D5143" s="31"/>
      <c r="H5143" s="31"/>
    </row>
    <row r="5144">
      <c r="A5144" s="31"/>
      <c r="C5144" s="31"/>
      <c r="D5144" s="31"/>
      <c r="H5144" s="31"/>
    </row>
    <row r="5145">
      <c r="A5145" s="31"/>
      <c r="C5145" s="31"/>
      <c r="D5145" s="31"/>
      <c r="H5145" s="31"/>
    </row>
    <row r="5146">
      <c r="A5146" s="31"/>
      <c r="C5146" s="31"/>
      <c r="D5146" s="31"/>
      <c r="H5146" s="31"/>
    </row>
    <row r="5147">
      <c r="A5147" s="31"/>
      <c r="C5147" s="31"/>
      <c r="D5147" s="31"/>
      <c r="H5147" s="31"/>
    </row>
    <row r="5148">
      <c r="A5148" s="31"/>
      <c r="C5148" s="31"/>
      <c r="D5148" s="31"/>
      <c r="H5148" s="31"/>
    </row>
    <row r="5149">
      <c r="A5149" s="31"/>
      <c r="C5149" s="31"/>
      <c r="D5149" s="31"/>
      <c r="H5149" s="31"/>
    </row>
    <row r="5150">
      <c r="A5150" s="31"/>
      <c r="C5150" s="31"/>
      <c r="D5150" s="31"/>
      <c r="H5150" s="31"/>
    </row>
    <row r="5151">
      <c r="A5151" s="31"/>
      <c r="C5151" s="31"/>
      <c r="D5151" s="31"/>
      <c r="H5151" s="31"/>
    </row>
    <row r="5152">
      <c r="A5152" s="31"/>
      <c r="C5152" s="31"/>
      <c r="D5152" s="31"/>
      <c r="H5152" s="31"/>
    </row>
    <row r="5153">
      <c r="A5153" s="31"/>
      <c r="C5153" s="31"/>
      <c r="D5153" s="31"/>
      <c r="H5153" s="31"/>
    </row>
    <row r="5154">
      <c r="A5154" s="31"/>
      <c r="C5154" s="31"/>
      <c r="D5154" s="31"/>
      <c r="H5154" s="31"/>
    </row>
    <row r="5155">
      <c r="A5155" s="31"/>
      <c r="C5155" s="31"/>
      <c r="D5155" s="31"/>
      <c r="H5155" s="31"/>
    </row>
    <row r="5156">
      <c r="A5156" s="31"/>
      <c r="C5156" s="31"/>
      <c r="D5156" s="31"/>
      <c r="H5156" s="31"/>
    </row>
    <row r="5157">
      <c r="A5157" s="31"/>
      <c r="C5157" s="31"/>
      <c r="D5157" s="31"/>
      <c r="H5157" s="31"/>
    </row>
    <row r="5158">
      <c r="A5158" s="31"/>
      <c r="C5158" s="31"/>
      <c r="D5158" s="31"/>
      <c r="H5158" s="31"/>
    </row>
    <row r="5159">
      <c r="A5159" s="31"/>
      <c r="C5159" s="31"/>
      <c r="D5159" s="31"/>
      <c r="H5159" s="31"/>
    </row>
    <row r="5160">
      <c r="A5160" s="31"/>
      <c r="C5160" s="31"/>
      <c r="D5160" s="31"/>
      <c r="H5160" s="31"/>
    </row>
    <row r="5161">
      <c r="A5161" s="31"/>
      <c r="C5161" s="31"/>
      <c r="D5161" s="31"/>
      <c r="H5161" s="31"/>
    </row>
    <row r="5162">
      <c r="A5162" s="31"/>
      <c r="C5162" s="31"/>
      <c r="D5162" s="31"/>
      <c r="H5162" s="31"/>
    </row>
    <row r="5163">
      <c r="A5163" s="31"/>
      <c r="C5163" s="31"/>
      <c r="D5163" s="31"/>
      <c r="H5163" s="31"/>
    </row>
    <row r="5164">
      <c r="A5164" s="31"/>
      <c r="C5164" s="31"/>
      <c r="D5164" s="31"/>
      <c r="H5164" s="31"/>
    </row>
    <row r="5165">
      <c r="A5165" s="31"/>
      <c r="C5165" s="31"/>
      <c r="D5165" s="31"/>
      <c r="H5165" s="31"/>
    </row>
    <row r="5166">
      <c r="A5166" s="31"/>
      <c r="C5166" s="31"/>
      <c r="D5166" s="31"/>
      <c r="H5166" s="31"/>
    </row>
    <row r="5167">
      <c r="A5167" s="31"/>
      <c r="C5167" s="31"/>
      <c r="D5167" s="31"/>
      <c r="H5167" s="31"/>
    </row>
    <row r="5168">
      <c r="A5168" s="31"/>
      <c r="C5168" s="31"/>
      <c r="D5168" s="31"/>
      <c r="H5168" s="31"/>
    </row>
    <row r="5169">
      <c r="A5169" s="31"/>
      <c r="C5169" s="31"/>
      <c r="D5169" s="31"/>
      <c r="H5169" s="31"/>
    </row>
    <row r="5170">
      <c r="A5170" s="31"/>
      <c r="C5170" s="31"/>
      <c r="D5170" s="31"/>
      <c r="H5170" s="31"/>
    </row>
    <row r="5171">
      <c r="A5171" s="31"/>
      <c r="C5171" s="31"/>
      <c r="D5171" s="31"/>
      <c r="H5171" s="31"/>
    </row>
    <row r="5172">
      <c r="A5172" s="31"/>
      <c r="C5172" s="31"/>
      <c r="D5172" s="31"/>
      <c r="H5172" s="31"/>
    </row>
    <row r="5173">
      <c r="A5173" s="31"/>
      <c r="C5173" s="31"/>
      <c r="D5173" s="31"/>
      <c r="H5173" s="31"/>
    </row>
    <row r="5174">
      <c r="A5174" s="31"/>
      <c r="C5174" s="31"/>
      <c r="D5174" s="31"/>
      <c r="H5174" s="31"/>
    </row>
    <row r="5175">
      <c r="A5175" s="31"/>
      <c r="C5175" s="31"/>
      <c r="D5175" s="31"/>
      <c r="H5175" s="31"/>
    </row>
    <row r="5176">
      <c r="A5176" s="31"/>
      <c r="C5176" s="31"/>
      <c r="D5176" s="31"/>
      <c r="H5176" s="31"/>
    </row>
    <row r="5177">
      <c r="A5177" s="31"/>
      <c r="C5177" s="31"/>
      <c r="D5177" s="31"/>
      <c r="H5177" s="31"/>
    </row>
    <row r="5178">
      <c r="A5178" s="31"/>
      <c r="C5178" s="31"/>
      <c r="D5178" s="31"/>
      <c r="H5178" s="31"/>
    </row>
    <row r="5179">
      <c r="A5179" s="31"/>
      <c r="C5179" s="31"/>
      <c r="D5179" s="31"/>
      <c r="H5179" s="31"/>
    </row>
    <row r="5180">
      <c r="A5180" s="31"/>
      <c r="C5180" s="31"/>
      <c r="D5180" s="31"/>
      <c r="H5180" s="31"/>
    </row>
    <row r="5181">
      <c r="A5181" s="31"/>
      <c r="C5181" s="31"/>
      <c r="D5181" s="31"/>
      <c r="H5181" s="31"/>
    </row>
    <row r="5182">
      <c r="A5182" s="31"/>
      <c r="C5182" s="31"/>
      <c r="D5182" s="31"/>
      <c r="H5182" s="31"/>
    </row>
    <row r="5183">
      <c r="A5183" s="31"/>
      <c r="C5183" s="31"/>
      <c r="D5183" s="31"/>
      <c r="H5183" s="31"/>
    </row>
    <row r="5184">
      <c r="A5184" s="31"/>
      <c r="C5184" s="31"/>
      <c r="D5184" s="31"/>
      <c r="H5184" s="31"/>
    </row>
    <row r="5185">
      <c r="A5185" s="31"/>
      <c r="C5185" s="31"/>
      <c r="D5185" s="31"/>
      <c r="H5185" s="31"/>
    </row>
    <row r="5186">
      <c r="A5186" s="31"/>
      <c r="C5186" s="31"/>
      <c r="D5186" s="31"/>
      <c r="H5186" s="31"/>
    </row>
    <row r="5187">
      <c r="A5187" s="31"/>
      <c r="C5187" s="31"/>
      <c r="D5187" s="31"/>
      <c r="H5187" s="31"/>
    </row>
    <row r="5188">
      <c r="A5188" s="31"/>
      <c r="C5188" s="31"/>
      <c r="D5188" s="31"/>
      <c r="H5188" s="31"/>
    </row>
    <row r="5189">
      <c r="A5189" s="31"/>
      <c r="C5189" s="31"/>
      <c r="D5189" s="31"/>
      <c r="H5189" s="31"/>
    </row>
    <row r="5190">
      <c r="A5190" s="31"/>
      <c r="C5190" s="31"/>
      <c r="D5190" s="31"/>
      <c r="H5190" s="31"/>
    </row>
    <row r="5191">
      <c r="A5191" s="31"/>
      <c r="C5191" s="31"/>
      <c r="D5191" s="31"/>
      <c r="H5191" s="31"/>
    </row>
    <row r="5192">
      <c r="A5192" s="31"/>
      <c r="C5192" s="31"/>
      <c r="D5192" s="31"/>
      <c r="H5192" s="31"/>
    </row>
    <row r="5193">
      <c r="A5193" s="31"/>
      <c r="C5193" s="31"/>
      <c r="D5193" s="31"/>
      <c r="H5193" s="31"/>
    </row>
    <row r="5194">
      <c r="A5194" s="31"/>
      <c r="C5194" s="31"/>
      <c r="D5194" s="31"/>
      <c r="H5194" s="31"/>
    </row>
    <row r="5195">
      <c r="A5195" s="31"/>
      <c r="C5195" s="31"/>
      <c r="D5195" s="31"/>
      <c r="H5195" s="31"/>
    </row>
    <row r="5196">
      <c r="A5196" s="31"/>
      <c r="C5196" s="31"/>
      <c r="D5196" s="31"/>
      <c r="H5196" s="31"/>
    </row>
    <row r="5197">
      <c r="A5197" s="31"/>
      <c r="C5197" s="31"/>
      <c r="D5197" s="31"/>
      <c r="H5197" s="31"/>
    </row>
    <row r="5198">
      <c r="A5198" s="31"/>
      <c r="C5198" s="31"/>
      <c r="D5198" s="31"/>
      <c r="H5198" s="31"/>
    </row>
    <row r="5199">
      <c r="A5199" s="31"/>
      <c r="C5199" s="31"/>
      <c r="D5199" s="31"/>
      <c r="H5199" s="31"/>
    </row>
    <row r="5200">
      <c r="A5200" s="31"/>
      <c r="C5200" s="31"/>
      <c r="D5200" s="31"/>
      <c r="H5200" s="31"/>
    </row>
    <row r="5201">
      <c r="A5201" s="31"/>
      <c r="C5201" s="31"/>
      <c r="D5201" s="31"/>
      <c r="H5201" s="31"/>
    </row>
    <row r="5202">
      <c r="A5202" s="31"/>
      <c r="C5202" s="31"/>
      <c r="D5202" s="31"/>
      <c r="H5202" s="31"/>
    </row>
    <row r="5203">
      <c r="A5203" s="31"/>
      <c r="C5203" s="31"/>
      <c r="D5203" s="31"/>
      <c r="H5203" s="31"/>
    </row>
    <row r="5204">
      <c r="A5204" s="31"/>
      <c r="C5204" s="31"/>
      <c r="D5204" s="31"/>
      <c r="H5204" s="31"/>
    </row>
    <row r="5205">
      <c r="A5205" s="31"/>
      <c r="C5205" s="31"/>
      <c r="D5205" s="31"/>
      <c r="H5205" s="31"/>
    </row>
    <row r="5206">
      <c r="A5206" s="31"/>
      <c r="C5206" s="31"/>
      <c r="D5206" s="31"/>
      <c r="H5206" s="31"/>
    </row>
    <row r="5207">
      <c r="A5207" s="31"/>
      <c r="C5207" s="31"/>
      <c r="D5207" s="31"/>
      <c r="H5207" s="31"/>
    </row>
    <row r="5208">
      <c r="A5208" s="31"/>
      <c r="C5208" s="31"/>
      <c r="D5208" s="31"/>
      <c r="H5208" s="31"/>
    </row>
    <row r="5209">
      <c r="A5209" s="31"/>
      <c r="C5209" s="31"/>
      <c r="D5209" s="31"/>
      <c r="H5209" s="31"/>
    </row>
    <row r="5210">
      <c r="A5210" s="31"/>
      <c r="C5210" s="31"/>
      <c r="D5210" s="31"/>
      <c r="H5210" s="31"/>
    </row>
    <row r="5211">
      <c r="A5211" s="31"/>
      <c r="C5211" s="31"/>
      <c r="D5211" s="31"/>
      <c r="H5211" s="31"/>
    </row>
    <row r="5212">
      <c r="A5212" s="31"/>
      <c r="C5212" s="31"/>
      <c r="D5212" s="31"/>
      <c r="H5212" s="31"/>
    </row>
    <row r="5213">
      <c r="A5213" s="31"/>
      <c r="C5213" s="31"/>
      <c r="D5213" s="31"/>
      <c r="H5213" s="31"/>
    </row>
    <row r="5214">
      <c r="A5214" s="31"/>
      <c r="C5214" s="31"/>
      <c r="D5214" s="31"/>
      <c r="H5214" s="31"/>
    </row>
    <row r="5215">
      <c r="A5215" s="31"/>
      <c r="C5215" s="31"/>
      <c r="D5215" s="31"/>
      <c r="H5215" s="31"/>
    </row>
    <row r="5216">
      <c r="A5216" s="31"/>
      <c r="C5216" s="31"/>
      <c r="D5216" s="31"/>
      <c r="H5216" s="31"/>
    </row>
    <row r="5217">
      <c r="A5217" s="31"/>
      <c r="C5217" s="31"/>
      <c r="D5217" s="31"/>
      <c r="H5217" s="31"/>
    </row>
    <row r="5218">
      <c r="A5218" s="31"/>
      <c r="C5218" s="31"/>
      <c r="D5218" s="31"/>
      <c r="H5218" s="31"/>
    </row>
    <row r="5219">
      <c r="A5219" s="31"/>
      <c r="C5219" s="31"/>
      <c r="D5219" s="31"/>
      <c r="H5219" s="31"/>
    </row>
    <row r="5220">
      <c r="A5220" s="31"/>
      <c r="C5220" s="31"/>
      <c r="D5220" s="31"/>
      <c r="H5220" s="31"/>
    </row>
    <row r="5221">
      <c r="A5221" s="31"/>
      <c r="C5221" s="31"/>
      <c r="D5221" s="31"/>
      <c r="H5221" s="31"/>
    </row>
    <row r="5222">
      <c r="A5222" s="31"/>
      <c r="C5222" s="31"/>
      <c r="D5222" s="31"/>
      <c r="H5222" s="31"/>
    </row>
    <row r="5223">
      <c r="A5223" s="31"/>
      <c r="C5223" s="31"/>
      <c r="D5223" s="31"/>
      <c r="H5223" s="31"/>
    </row>
    <row r="5224">
      <c r="A5224" s="31"/>
      <c r="C5224" s="31"/>
      <c r="D5224" s="31"/>
      <c r="H5224" s="31"/>
    </row>
    <row r="5225">
      <c r="A5225" s="31"/>
      <c r="C5225" s="31"/>
      <c r="D5225" s="31"/>
      <c r="H5225" s="31"/>
    </row>
    <row r="5226">
      <c r="A5226" s="31"/>
      <c r="C5226" s="31"/>
      <c r="D5226" s="31"/>
      <c r="H5226" s="31"/>
    </row>
    <row r="5227">
      <c r="A5227" s="31"/>
      <c r="C5227" s="31"/>
      <c r="D5227" s="31"/>
      <c r="H5227" s="31"/>
    </row>
    <row r="5228">
      <c r="A5228" s="31"/>
      <c r="C5228" s="31"/>
      <c r="D5228" s="31"/>
      <c r="H5228" s="31"/>
    </row>
    <row r="5229">
      <c r="A5229" s="31"/>
      <c r="C5229" s="31"/>
      <c r="D5229" s="31"/>
      <c r="H5229" s="31"/>
    </row>
    <row r="5230">
      <c r="A5230" s="31"/>
      <c r="C5230" s="31"/>
      <c r="D5230" s="31"/>
      <c r="H5230" s="31"/>
    </row>
    <row r="5231">
      <c r="A5231" s="31"/>
      <c r="C5231" s="31"/>
      <c r="D5231" s="31"/>
      <c r="H5231" s="31"/>
    </row>
    <row r="5232">
      <c r="A5232" s="31"/>
      <c r="C5232" s="31"/>
      <c r="D5232" s="31"/>
      <c r="H5232" s="31"/>
    </row>
    <row r="5233">
      <c r="A5233" s="31"/>
      <c r="C5233" s="31"/>
      <c r="D5233" s="31"/>
      <c r="H5233" s="31"/>
    </row>
    <row r="5234">
      <c r="A5234" s="31"/>
      <c r="C5234" s="31"/>
      <c r="D5234" s="31"/>
      <c r="H5234" s="31"/>
    </row>
    <row r="5235">
      <c r="A5235" s="31"/>
      <c r="C5235" s="31"/>
      <c r="D5235" s="31"/>
      <c r="H5235" s="31"/>
    </row>
    <row r="5236">
      <c r="A5236" s="31"/>
      <c r="C5236" s="31"/>
      <c r="D5236" s="31"/>
      <c r="H5236" s="31"/>
    </row>
    <row r="5237">
      <c r="A5237" s="31"/>
      <c r="C5237" s="31"/>
      <c r="D5237" s="31"/>
      <c r="H5237" s="31"/>
    </row>
    <row r="5238">
      <c r="A5238" s="31"/>
      <c r="C5238" s="31"/>
      <c r="D5238" s="31"/>
      <c r="H5238" s="31"/>
    </row>
    <row r="5239">
      <c r="A5239" s="31"/>
      <c r="C5239" s="31"/>
      <c r="D5239" s="31"/>
      <c r="H5239" s="31"/>
    </row>
    <row r="5240">
      <c r="A5240" s="31"/>
      <c r="C5240" s="31"/>
      <c r="D5240" s="31"/>
      <c r="H5240" s="31"/>
    </row>
    <row r="5241">
      <c r="A5241" s="31"/>
      <c r="C5241" s="31"/>
      <c r="D5241" s="31"/>
      <c r="H5241" s="31"/>
    </row>
    <row r="5242">
      <c r="A5242" s="31"/>
      <c r="C5242" s="31"/>
      <c r="D5242" s="31"/>
      <c r="H5242" s="31"/>
    </row>
    <row r="5243">
      <c r="A5243" s="31"/>
      <c r="C5243" s="31"/>
      <c r="D5243" s="31"/>
      <c r="H5243" s="31"/>
    </row>
    <row r="5244">
      <c r="A5244" s="31"/>
      <c r="C5244" s="31"/>
      <c r="D5244" s="31"/>
      <c r="H5244" s="31"/>
    </row>
    <row r="5245">
      <c r="A5245" s="31"/>
      <c r="C5245" s="31"/>
      <c r="D5245" s="31"/>
      <c r="H5245" s="31"/>
    </row>
    <row r="5246">
      <c r="A5246" s="31"/>
      <c r="C5246" s="31"/>
      <c r="D5246" s="31"/>
      <c r="H5246" s="31"/>
    </row>
    <row r="5247">
      <c r="A5247" s="31"/>
      <c r="C5247" s="31"/>
      <c r="D5247" s="31"/>
      <c r="H5247" s="31"/>
    </row>
    <row r="5248">
      <c r="A5248" s="31"/>
      <c r="C5248" s="31"/>
      <c r="D5248" s="31"/>
      <c r="H5248" s="31"/>
    </row>
    <row r="5249">
      <c r="A5249" s="31"/>
      <c r="C5249" s="31"/>
      <c r="D5249" s="31"/>
      <c r="H5249" s="31"/>
    </row>
    <row r="5250">
      <c r="A5250" s="31"/>
      <c r="C5250" s="31"/>
      <c r="D5250" s="31"/>
      <c r="H5250" s="31"/>
    </row>
    <row r="5251">
      <c r="A5251" s="31"/>
      <c r="C5251" s="31"/>
      <c r="D5251" s="31"/>
      <c r="H5251" s="31"/>
    </row>
    <row r="5252">
      <c r="A5252" s="31"/>
      <c r="C5252" s="31"/>
      <c r="D5252" s="31"/>
      <c r="H5252" s="31"/>
    </row>
    <row r="5253">
      <c r="A5253" s="31"/>
      <c r="C5253" s="31"/>
      <c r="D5253" s="31"/>
      <c r="H5253" s="31"/>
    </row>
    <row r="5254">
      <c r="A5254" s="31"/>
      <c r="C5254" s="31"/>
      <c r="D5254" s="31"/>
      <c r="H5254" s="31"/>
    </row>
    <row r="5255">
      <c r="A5255" s="31"/>
      <c r="C5255" s="31"/>
      <c r="D5255" s="31"/>
      <c r="H5255" s="31"/>
    </row>
    <row r="5256">
      <c r="A5256" s="31"/>
      <c r="C5256" s="31"/>
      <c r="D5256" s="31"/>
      <c r="H5256" s="31"/>
    </row>
    <row r="5257">
      <c r="A5257" s="31"/>
      <c r="C5257" s="31"/>
      <c r="D5257" s="31"/>
      <c r="H5257" s="31"/>
    </row>
    <row r="5258">
      <c r="A5258" s="31"/>
      <c r="C5258" s="31"/>
      <c r="D5258" s="31"/>
      <c r="H5258" s="31"/>
    </row>
    <row r="5259">
      <c r="A5259" s="31"/>
      <c r="C5259" s="31"/>
      <c r="D5259" s="31"/>
      <c r="H5259" s="31"/>
    </row>
    <row r="5260">
      <c r="A5260" s="31"/>
      <c r="C5260" s="31"/>
      <c r="D5260" s="31"/>
      <c r="H5260" s="31"/>
    </row>
    <row r="5261">
      <c r="A5261" s="31"/>
      <c r="C5261" s="31"/>
      <c r="D5261" s="31"/>
      <c r="H5261" s="31"/>
    </row>
    <row r="5262">
      <c r="A5262" s="31"/>
      <c r="C5262" s="31"/>
      <c r="D5262" s="31"/>
      <c r="H5262" s="31"/>
    </row>
    <row r="5263">
      <c r="A5263" s="31"/>
      <c r="C5263" s="31"/>
      <c r="D5263" s="31"/>
      <c r="H5263" s="31"/>
    </row>
    <row r="5264">
      <c r="A5264" s="31"/>
      <c r="C5264" s="31"/>
      <c r="D5264" s="31"/>
      <c r="H5264" s="31"/>
    </row>
    <row r="5265">
      <c r="A5265" s="31"/>
      <c r="C5265" s="31"/>
      <c r="D5265" s="31"/>
      <c r="H5265" s="31"/>
    </row>
    <row r="5266">
      <c r="A5266" s="31"/>
      <c r="C5266" s="31"/>
      <c r="D5266" s="31"/>
      <c r="H5266" s="31"/>
    </row>
    <row r="5267">
      <c r="A5267" s="31"/>
      <c r="C5267" s="31"/>
      <c r="D5267" s="31"/>
      <c r="H5267" s="31"/>
    </row>
    <row r="5268">
      <c r="A5268" s="31"/>
      <c r="C5268" s="31"/>
      <c r="D5268" s="31"/>
      <c r="H5268" s="31"/>
    </row>
    <row r="5269">
      <c r="A5269" s="31"/>
      <c r="C5269" s="31"/>
      <c r="D5269" s="31"/>
      <c r="H5269" s="31"/>
    </row>
    <row r="5270">
      <c r="A5270" s="31"/>
      <c r="C5270" s="31"/>
      <c r="D5270" s="31"/>
      <c r="H5270" s="31"/>
    </row>
    <row r="5271">
      <c r="A5271" s="31"/>
      <c r="C5271" s="31"/>
      <c r="D5271" s="31"/>
      <c r="H5271" s="31"/>
    </row>
    <row r="5272">
      <c r="A5272" s="31"/>
      <c r="C5272" s="31"/>
      <c r="D5272" s="31"/>
      <c r="H5272" s="31"/>
    </row>
    <row r="5273">
      <c r="A5273" s="31"/>
      <c r="C5273" s="31"/>
      <c r="D5273" s="31"/>
      <c r="H5273" s="31"/>
    </row>
    <row r="5274">
      <c r="A5274" s="31"/>
      <c r="C5274" s="31"/>
      <c r="D5274" s="31"/>
      <c r="H5274" s="31"/>
    </row>
    <row r="5275">
      <c r="A5275" s="31"/>
      <c r="C5275" s="31"/>
      <c r="D5275" s="31"/>
      <c r="H5275" s="31"/>
    </row>
    <row r="5276">
      <c r="A5276" s="31"/>
      <c r="C5276" s="31"/>
      <c r="D5276" s="31"/>
      <c r="H5276" s="31"/>
    </row>
    <row r="5277">
      <c r="A5277" s="31"/>
      <c r="C5277" s="31"/>
      <c r="D5277" s="31"/>
      <c r="H5277" s="31"/>
    </row>
    <row r="5278">
      <c r="A5278" s="31"/>
      <c r="C5278" s="31"/>
      <c r="D5278" s="31"/>
      <c r="H5278" s="31"/>
    </row>
    <row r="5279">
      <c r="A5279" s="31"/>
      <c r="C5279" s="31"/>
      <c r="D5279" s="31"/>
      <c r="H5279" s="31"/>
    </row>
    <row r="5280">
      <c r="A5280" s="31"/>
      <c r="C5280" s="31"/>
      <c r="D5280" s="31"/>
      <c r="H5280" s="31"/>
    </row>
    <row r="5281">
      <c r="A5281" s="31"/>
      <c r="C5281" s="31"/>
      <c r="D5281" s="31"/>
      <c r="H5281" s="31"/>
    </row>
    <row r="5282">
      <c r="A5282" s="31"/>
      <c r="C5282" s="31"/>
      <c r="D5282" s="31"/>
      <c r="H5282" s="31"/>
    </row>
    <row r="5283">
      <c r="A5283" s="31"/>
      <c r="C5283" s="31"/>
      <c r="D5283" s="31"/>
      <c r="H5283" s="31"/>
    </row>
    <row r="5284">
      <c r="A5284" s="31"/>
      <c r="C5284" s="31"/>
      <c r="D5284" s="31"/>
      <c r="H5284" s="31"/>
    </row>
    <row r="5285">
      <c r="A5285" s="31"/>
      <c r="C5285" s="31"/>
      <c r="D5285" s="31"/>
      <c r="H5285" s="31"/>
    </row>
    <row r="5286">
      <c r="A5286" s="31"/>
      <c r="C5286" s="31"/>
      <c r="D5286" s="31"/>
      <c r="H5286" s="31"/>
    </row>
    <row r="5287">
      <c r="A5287" s="31"/>
      <c r="C5287" s="31"/>
      <c r="D5287" s="31"/>
      <c r="H5287" s="31"/>
    </row>
    <row r="5288">
      <c r="A5288" s="31"/>
      <c r="C5288" s="31"/>
      <c r="D5288" s="31"/>
      <c r="H5288" s="31"/>
    </row>
    <row r="5289">
      <c r="A5289" s="31"/>
      <c r="C5289" s="31"/>
      <c r="D5289" s="31"/>
      <c r="H5289" s="31"/>
    </row>
    <row r="5290">
      <c r="A5290" s="31"/>
      <c r="C5290" s="31"/>
      <c r="D5290" s="31"/>
      <c r="H5290" s="31"/>
    </row>
    <row r="5291">
      <c r="A5291" s="31"/>
      <c r="C5291" s="31"/>
      <c r="D5291" s="31"/>
      <c r="H5291" s="31"/>
    </row>
    <row r="5292">
      <c r="A5292" s="31"/>
      <c r="C5292" s="31"/>
      <c r="D5292" s="31"/>
      <c r="H5292" s="31"/>
    </row>
    <row r="5293">
      <c r="A5293" s="31"/>
      <c r="C5293" s="31"/>
      <c r="D5293" s="31"/>
      <c r="H5293" s="31"/>
    </row>
    <row r="5294">
      <c r="A5294" s="31"/>
      <c r="C5294" s="31"/>
      <c r="D5294" s="31"/>
      <c r="H5294" s="31"/>
    </row>
    <row r="5295">
      <c r="A5295" s="31"/>
      <c r="C5295" s="31"/>
      <c r="D5295" s="31"/>
      <c r="H5295" s="31"/>
    </row>
    <row r="5296">
      <c r="A5296" s="31"/>
      <c r="C5296" s="31"/>
      <c r="D5296" s="31"/>
      <c r="H5296" s="31"/>
    </row>
    <row r="5297">
      <c r="A5297" s="31"/>
      <c r="C5297" s="31"/>
      <c r="D5297" s="31"/>
      <c r="H5297" s="31"/>
    </row>
    <row r="5298">
      <c r="A5298" s="31"/>
      <c r="C5298" s="31"/>
      <c r="D5298" s="31"/>
      <c r="H5298" s="31"/>
    </row>
    <row r="5299">
      <c r="A5299" s="31"/>
      <c r="C5299" s="31"/>
      <c r="D5299" s="31"/>
      <c r="H5299" s="31"/>
    </row>
    <row r="5300">
      <c r="A5300" s="31"/>
      <c r="C5300" s="31"/>
      <c r="D5300" s="31"/>
      <c r="H5300" s="31"/>
    </row>
    <row r="5301">
      <c r="A5301" s="31"/>
      <c r="C5301" s="31"/>
      <c r="D5301" s="31"/>
      <c r="H5301" s="31"/>
    </row>
    <row r="5302">
      <c r="A5302" s="31"/>
      <c r="C5302" s="31"/>
      <c r="D5302" s="31"/>
      <c r="H5302" s="31"/>
    </row>
    <row r="5303">
      <c r="A5303" s="31"/>
      <c r="C5303" s="31"/>
      <c r="D5303" s="31"/>
      <c r="H5303" s="31"/>
    </row>
    <row r="5304">
      <c r="A5304" s="31"/>
      <c r="C5304" s="31"/>
      <c r="D5304" s="31"/>
      <c r="H5304" s="31"/>
    </row>
    <row r="5305">
      <c r="A5305" s="31"/>
      <c r="C5305" s="31"/>
      <c r="D5305" s="31"/>
      <c r="H5305" s="31"/>
    </row>
    <row r="5306">
      <c r="A5306" s="31"/>
      <c r="C5306" s="31"/>
      <c r="D5306" s="31"/>
      <c r="H5306" s="31"/>
    </row>
    <row r="5307">
      <c r="A5307" s="31"/>
      <c r="C5307" s="31"/>
      <c r="D5307" s="31"/>
      <c r="H5307" s="31"/>
    </row>
    <row r="5308">
      <c r="A5308" s="31"/>
      <c r="C5308" s="31"/>
      <c r="D5308" s="31"/>
      <c r="H5308" s="31"/>
    </row>
    <row r="5309">
      <c r="A5309" s="31"/>
      <c r="C5309" s="31"/>
      <c r="D5309" s="31"/>
      <c r="H5309" s="31"/>
    </row>
    <row r="5310">
      <c r="A5310" s="31"/>
      <c r="C5310" s="31"/>
      <c r="D5310" s="31"/>
      <c r="H5310" s="31"/>
    </row>
    <row r="5311">
      <c r="A5311" s="31"/>
      <c r="C5311" s="31"/>
      <c r="D5311" s="31"/>
      <c r="H5311" s="31"/>
    </row>
    <row r="5312">
      <c r="A5312" s="31"/>
      <c r="C5312" s="31"/>
      <c r="D5312" s="31"/>
      <c r="H5312" s="31"/>
    </row>
    <row r="5313">
      <c r="A5313" s="31"/>
      <c r="C5313" s="31"/>
      <c r="D5313" s="31"/>
      <c r="H5313" s="31"/>
    </row>
    <row r="5314">
      <c r="A5314" s="31"/>
      <c r="C5314" s="31"/>
      <c r="D5314" s="31"/>
      <c r="H5314" s="31"/>
    </row>
    <row r="5315">
      <c r="A5315" s="31"/>
      <c r="C5315" s="31"/>
      <c r="D5315" s="31"/>
      <c r="H5315" s="31"/>
    </row>
    <row r="5316">
      <c r="A5316" s="31"/>
      <c r="C5316" s="31"/>
      <c r="D5316" s="31"/>
      <c r="H5316" s="31"/>
    </row>
    <row r="5317">
      <c r="A5317" s="31"/>
      <c r="C5317" s="31"/>
      <c r="D5317" s="31"/>
      <c r="H5317" s="31"/>
    </row>
    <row r="5318">
      <c r="A5318" s="31"/>
      <c r="C5318" s="31"/>
      <c r="D5318" s="31"/>
      <c r="H5318" s="31"/>
    </row>
    <row r="5319">
      <c r="A5319" s="31"/>
      <c r="C5319" s="31"/>
      <c r="D5319" s="31"/>
      <c r="H5319" s="31"/>
    </row>
    <row r="5320">
      <c r="A5320" s="31"/>
      <c r="C5320" s="31"/>
      <c r="D5320" s="31"/>
      <c r="H5320" s="31"/>
    </row>
    <row r="5321">
      <c r="A5321" s="31"/>
      <c r="C5321" s="31"/>
      <c r="D5321" s="31"/>
      <c r="H5321" s="31"/>
    </row>
    <row r="5322">
      <c r="A5322" s="31"/>
      <c r="C5322" s="31"/>
      <c r="D5322" s="31"/>
      <c r="H5322" s="31"/>
    </row>
    <row r="5323">
      <c r="A5323" s="31"/>
      <c r="C5323" s="31"/>
      <c r="D5323" s="31"/>
      <c r="H5323" s="31"/>
    </row>
    <row r="5324">
      <c r="A5324" s="31"/>
      <c r="C5324" s="31"/>
      <c r="D5324" s="31"/>
      <c r="H5324" s="31"/>
    </row>
    <row r="5325">
      <c r="A5325" s="31"/>
      <c r="C5325" s="31"/>
      <c r="D5325" s="31"/>
      <c r="H5325" s="31"/>
    </row>
    <row r="5326">
      <c r="A5326" s="31"/>
      <c r="C5326" s="31"/>
      <c r="D5326" s="31"/>
      <c r="H5326" s="31"/>
    </row>
    <row r="5327">
      <c r="A5327" s="31"/>
      <c r="C5327" s="31"/>
      <c r="D5327" s="31"/>
      <c r="H5327" s="31"/>
    </row>
    <row r="5328">
      <c r="A5328" s="31"/>
      <c r="C5328" s="31"/>
      <c r="D5328" s="31"/>
      <c r="H5328" s="31"/>
    </row>
    <row r="5329">
      <c r="A5329" s="31"/>
      <c r="C5329" s="31"/>
      <c r="D5329" s="31"/>
      <c r="H5329" s="31"/>
    </row>
    <row r="5330">
      <c r="A5330" s="31"/>
      <c r="C5330" s="31"/>
      <c r="D5330" s="31"/>
      <c r="H5330" s="31"/>
    </row>
    <row r="5331">
      <c r="A5331" s="31"/>
      <c r="C5331" s="31"/>
      <c r="D5331" s="31"/>
      <c r="H5331" s="31"/>
    </row>
    <row r="5332">
      <c r="A5332" s="31"/>
      <c r="C5332" s="31"/>
      <c r="D5332" s="31"/>
      <c r="H5332" s="31"/>
    </row>
    <row r="5333">
      <c r="A5333" s="31"/>
      <c r="C5333" s="31"/>
      <c r="D5333" s="31"/>
      <c r="H5333" s="31"/>
    </row>
    <row r="5334">
      <c r="A5334" s="31"/>
      <c r="C5334" s="31"/>
      <c r="D5334" s="31"/>
      <c r="H5334" s="31"/>
    </row>
    <row r="5335">
      <c r="A5335" s="31"/>
      <c r="C5335" s="31"/>
      <c r="D5335" s="31"/>
      <c r="H5335" s="31"/>
    </row>
    <row r="5336">
      <c r="A5336" s="31"/>
      <c r="C5336" s="31"/>
      <c r="D5336" s="31"/>
      <c r="H5336" s="31"/>
    </row>
    <row r="5337">
      <c r="A5337" s="31"/>
      <c r="C5337" s="31"/>
      <c r="D5337" s="31"/>
      <c r="H5337" s="31"/>
    </row>
    <row r="5338">
      <c r="A5338" s="31"/>
      <c r="C5338" s="31"/>
      <c r="D5338" s="31"/>
      <c r="H5338" s="31"/>
    </row>
    <row r="5339">
      <c r="A5339" s="31"/>
      <c r="C5339" s="31"/>
      <c r="D5339" s="31"/>
      <c r="H5339" s="31"/>
    </row>
    <row r="5340">
      <c r="A5340" s="31"/>
      <c r="C5340" s="31"/>
      <c r="D5340" s="31"/>
      <c r="H5340" s="31"/>
    </row>
    <row r="5341">
      <c r="A5341" s="31"/>
      <c r="C5341" s="31"/>
      <c r="D5341" s="31"/>
      <c r="H5341" s="31"/>
    </row>
    <row r="5342">
      <c r="A5342" s="31"/>
      <c r="C5342" s="31"/>
      <c r="D5342" s="31"/>
      <c r="H5342" s="31"/>
    </row>
    <row r="5343">
      <c r="A5343" s="31"/>
      <c r="C5343" s="31"/>
      <c r="D5343" s="31"/>
      <c r="H5343" s="31"/>
    </row>
    <row r="5344">
      <c r="A5344" s="31"/>
      <c r="C5344" s="31"/>
      <c r="D5344" s="31"/>
      <c r="H5344" s="31"/>
    </row>
    <row r="5345">
      <c r="A5345" s="31"/>
      <c r="C5345" s="31"/>
      <c r="D5345" s="31"/>
      <c r="H5345" s="31"/>
    </row>
    <row r="5346">
      <c r="A5346" s="31"/>
      <c r="C5346" s="31"/>
      <c r="D5346" s="31"/>
      <c r="H5346" s="31"/>
    </row>
    <row r="5347">
      <c r="A5347" s="31"/>
      <c r="C5347" s="31"/>
      <c r="D5347" s="31"/>
      <c r="H5347" s="31"/>
    </row>
    <row r="5348">
      <c r="A5348" s="31"/>
      <c r="C5348" s="31"/>
      <c r="D5348" s="31"/>
      <c r="H5348" s="31"/>
    </row>
    <row r="5349">
      <c r="A5349" s="31"/>
      <c r="C5349" s="31"/>
      <c r="D5349" s="31"/>
      <c r="H5349" s="31"/>
    </row>
    <row r="5350">
      <c r="A5350" s="31"/>
      <c r="C5350" s="31"/>
      <c r="D5350" s="31"/>
      <c r="H5350" s="31"/>
    </row>
    <row r="5351">
      <c r="A5351" s="31"/>
      <c r="C5351" s="31"/>
      <c r="D5351" s="31"/>
      <c r="H5351" s="31"/>
    </row>
    <row r="5352">
      <c r="A5352" s="31"/>
      <c r="C5352" s="31"/>
      <c r="D5352" s="31"/>
      <c r="H5352" s="31"/>
    </row>
    <row r="5353">
      <c r="A5353" s="31"/>
      <c r="C5353" s="31"/>
      <c r="D5353" s="31"/>
      <c r="H5353" s="31"/>
    </row>
    <row r="5354">
      <c r="A5354" s="31"/>
      <c r="C5354" s="31"/>
      <c r="D5354" s="31"/>
      <c r="H5354" s="31"/>
    </row>
    <row r="5355">
      <c r="A5355" s="31"/>
      <c r="C5355" s="31"/>
      <c r="D5355" s="31"/>
      <c r="H5355" s="31"/>
    </row>
    <row r="5356">
      <c r="A5356" s="31"/>
      <c r="C5356" s="31"/>
      <c r="D5356" s="31"/>
      <c r="H5356" s="31"/>
    </row>
    <row r="5357">
      <c r="A5357" s="31"/>
      <c r="C5357" s="31"/>
      <c r="D5357" s="31"/>
      <c r="H5357" s="31"/>
    </row>
    <row r="5358">
      <c r="A5358" s="31"/>
      <c r="C5358" s="31"/>
      <c r="D5358" s="31"/>
      <c r="H5358" s="31"/>
    </row>
    <row r="5359">
      <c r="A5359" s="31"/>
      <c r="C5359" s="31"/>
      <c r="D5359" s="31"/>
      <c r="H5359" s="31"/>
    </row>
    <row r="5360">
      <c r="A5360" s="31"/>
      <c r="C5360" s="31"/>
      <c r="D5360" s="31"/>
      <c r="H5360" s="31"/>
    </row>
    <row r="5361">
      <c r="A5361" s="31"/>
      <c r="C5361" s="31"/>
      <c r="D5361" s="31"/>
      <c r="H5361" s="31"/>
    </row>
    <row r="5362">
      <c r="A5362" s="31"/>
      <c r="C5362" s="31"/>
      <c r="D5362" s="31"/>
      <c r="H5362" s="31"/>
    </row>
    <row r="5363">
      <c r="A5363" s="31"/>
      <c r="C5363" s="31"/>
      <c r="D5363" s="31"/>
      <c r="H5363" s="31"/>
    </row>
    <row r="5364">
      <c r="A5364" s="31"/>
      <c r="C5364" s="31"/>
      <c r="D5364" s="31"/>
      <c r="H5364" s="31"/>
    </row>
    <row r="5365">
      <c r="A5365" s="31"/>
      <c r="C5365" s="31"/>
      <c r="D5365" s="31"/>
      <c r="H5365" s="31"/>
    </row>
    <row r="5366">
      <c r="A5366" s="31"/>
      <c r="C5366" s="31"/>
      <c r="D5366" s="31"/>
      <c r="H5366" s="31"/>
    </row>
    <row r="5367">
      <c r="A5367" s="31"/>
      <c r="C5367" s="31"/>
      <c r="D5367" s="31"/>
      <c r="H5367" s="31"/>
    </row>
    <row r="5368">
      <c r="A5368" s="31"/>
      <c r="C5368" s="31"/>
      <c r="D5368" s="31"/>
      <c r="H5368" s="31"/>
    </row>
    <row r="5369">
      <c r="A5369" s="31"/>
      <c r="C5369" s="31"/>
      <c r="D5369" s="31"/>
      <c r="H5369" s="31"/>
    </row>
    <row r="5370">
      <c r="A5370" s="31"/>
      <c r="C5370" s="31"/>
      <c r="D5370" s="31"/>
      <c r="H5370" s="31"/>
    </row>
    <row r="5371">
      <c r="A5371" s="31"/>
      <c r="C5371" s="31"/>
      <c r="D5371" s="31"/>
      <c r="H5371" s="31"/>
    </row>
    <row r="5372">
      <c r="A5372" s="31"/>
      <c r="C5372" s="31"/>
      <c r="D5372" s="31"/>
      <c r="H5372" s="31"/>
    </row>
    <row r="5373">
      <c r="A5373" s="31"/>
      <c r="C5373" s="31"/>
      <c r="D5373" s="31"/>
      <c r="H5373" s="31"/>
    </row>
    <row r="5374">
      <c r="A5374" s="31"/>
      <c r="C5374" s="31"/>
      <c r="D5374" s="31"/>
      <c r="H5374" s="31"/>
    </row>
    <row r="5375">
      <c r="A5375" s="31"/>
      <c r="C5375" s="31"/>
      <c r="D5375" s="31"/>
      <c r="H5375" s="31"/>
    </row>
    <row r="5376">
      <c r="A5376" s="31"/>
      <c r="C5376" s="31"/>
      <c r="D5376" s="31"/>
      <c r="H5376" s="31"/>
    </row>
    <row r="5377">
      <c r="A5377" s="31"/>
      <c r="C5377" s="31"/>
      <c r="D5377" s="31"/>
      <c r="H5377" s="31"/>
    </row>
    <row r="5378">
      <c r="A5378" s="31"/>
      <c r="C5378" s="31"/>
      <c r="D5378" s="31"/>
      <c r="H5378" s="31"/>
    </row>
    <row r="5379">
      <c r="A5379" s="31"/>
      <c r="C5379" s="31"/>
      <c r="D5379" s="31"/>
      <c r="H5379" s="31"/>
    </row>
    <row r="5380">
      <c r="A5380" s="31"/>
      <c r="C5380" s="31"/>
      <c r="D5380" s="31"/>
      <c r="H5380" s="31"/>
    </row>
    <row r="5381">
      <c r="A5381" s="31"/>
      <c r="C5381" s="31"/>
      <c r="D5381" s="31"/>
      <c r="H5381" s="31"/>
    </row>
    <row r="5382">
      <c r="A5382" s="31"/>
      <c r="C5382" s="31"/>
      <c r="D5382" s="31"/>
      <c r="H5382" s="31"/>
    </row>
    <row r="5383">
      <c r="A5383" s="31"/>
      <c r="C5383" s="31"/>
      <c r="D5383" s="31"/>
      <c r="H5383" s="31"/>
    </row>
    <row r="5384">
      <c r="A5384" s="31"/>
      <c r="C5384" s="31"/>
      <c r="D5384" s="31"/>
      <c r="H5384" s="31"/>
    </row>
    <row r="5385">
      <c r="A5385" s="31"/>
      <c r="C5385" s="31"/>
      <c r="D5385" s="31"/>
      <c r="H5385" s="31"/>
    </row>
    <row r="5386">
      <c r="A5386" s="31"/>
      <c r="C5386" s="31"/>
      <c r="D5386" s="31"/>
      <c r="H5386" s="31"/>
    </row>
    <row r="5387">
      <c r="A5387" s="31"/>
      <c r="C5387" s="31"/>
      <c r="D5387" s="31"/>
      <c r="H5387" s="31"/>
    </row>
    <row r="5388">
      <c r="A5388" s="31"/>
      <c r="C5388" s="31"/>
      <c r="D5388" s="31"/>
      <c r="H5388" s="31"/>
    </row>
    <row r="5389">
      <c r="A5389" s="31"/>
      <c r="C5389" s="31"/>
      <c r="D5389" s="31"/>
      <c r="H5389" s="31"/>
    </row>
    <row r="5390">
      <c r="A5390" s="31"/>
      <c r="C5390" s="31"/>
      <c r="D5390" s="31"/>
      <c r="H5390" s="31"/>
    </row>
    <row r="5391">
      <c r="A5391" s="31"/>
      <c r="C5391" s="31"/>
      <c r="D5391" s="31"/>
      <c r="H5391" s="31"/>
    </row>
    <row r="5392">
      <c r="A5392" s="31"/>
      <c r="C5392" s="31"/>
      <c r="D5392" s="31"/>
      <c r="H5392" s="31"/>
    </row>
    <row r="5393">
      <c r="A5393" s="31"/>
      <c r="C5393" s="31"/>
      <c r="D5393" s="31"/>
      <c r="H5393" s="31"/>
    </row>
    <row r="5394">
      <c r="A5394" s="31"/>
      <c r="C5394" s="31"/>
      <c r="D5394" s="31"/>
      <c r="H5394" s="31"/>
    </row>
    <row r="5395">
      <c r="A5395" s="31"/>
      <c r="C5395" s="31"/>
      <c r="D5395" s="31"/>
      <c r="H5395" s="31"/>
    </row>
    <row r="5396">
      <c r="A5396" s="31"/>
      <c r="C5396" s="31"/>
      <c r="D5396" s="31"/>
      <c r="H5396" s="31"/>
    </row>
    <row r="5397">
      <c r="A5397" s="31"/>
      <c r="C5397" s="31"/>
      <c r="D5397" s="31"/>
      <c r="H5397" s="31"/>
    </row>
    <row r="5398">
      <c r="A5398" s="31"/>
      <c r="C5398" s="31"/>
      <c r="D5398" s="31"/>
      <c r="H5398" s="31"/>
    </row>
    <row r="5399">
      <c r="A5399" s="31"/>
      <c r="C5399" s="31"/>
      <c r="D5399" s="31"/>
      <c r="H5399" s="31"/>
    </row>
    <row r="5400">
      <c r="A5400" s="31"/>
      <c r="C5400" s="31"/>
      <c r="D5400" s="31"/>
      <c r="H5400" s="31"/>
    </row>
    <row r="5401">
      <c r="A5401" s="31"/>
      <c r="C5401" s="31"/>
      <c r="D5401" s="31"/>
      <c r="H5401" s="31"/>
    </row>
    <row r="5402">
      <c r="A5402" s="31"/>
      <c r="C5402" s="31"/>
      <c r="D5402" s="31"/>
      <c r="H5402" s="31"/>
    </row>
    <row r="5403">
      <c r="A5403" s="31"/>
      <c r="C5403" s="31"/>
      <c r="D5403" s="31"/>
      <c r="H5403" s="31"/>
    </row>
    <row r="5404">
      <c r="A5404" s="31"/>
      <c r="C5404" s="31"/>
      <c r="D5404" s="31"/>
      <c r="H5404" s="31"/>
    </row>
    <row r="5405">
      <c r="A5405" s="31"/>
      <c r="C5405" s="31"/>
      <c r="D5405" s="31"/>
      <c r="H5405" s="31"/>
    </row>
    <row r="5406">
      <c r="A5406" s="31"/>
      <c r="C5406" s="31"/>
      <c r="D5406" s="31"/>
      <c r="H5406" s="31"/>
    </row>
    <row r="5407">
      <c r="A5407" s="31"/>
      <c r="C5407" s="31"/>
      <c r="D5407" s="31"/>
      <c r="H5407" s="31"/>
    </row>
    <row r="5408">
      <c r="A5408" s="31"/>
      <c r="C5408" s="31"/>
      <c r="D5408" s="31"/>
      <c r="H5408" s="31"/>
    </row>
    <row r="5409">
      <c r="A5409" s="31"/>
      <c r="C5409" s="31"/>
      <c r="D5409" s="31"/>
      <c r="H5409" s="31"/>
    </row>
    <row r="5410">
      <c r="A5410" s="31"/>
      <c r="C5410" s="31"/>
      <c r="D5410" s="31"/>
      <c r="H5410" s="31"/>
    </row>
    <row r="5411">
      <c r="A5411" s="31"/>
      <c r="C5411" s="31"/>
      <c r="D5411" s="31"/>
      <c r="H5411" s="31"/>
    </row>
    <row r="5412">
      <c r="A5412" s="31"/>
      <c r="C5412" s="31"/>
      <c r="D5412" s="31"/>
      <c r="H5412" s="31"/>
    </row>
    <row r="5413">
      <c r="A5413" s="31"/>
      <c r="C5413" s="31"/>
      <c r="D5413" s="31"/>
      <c r="H5413" s="31"/>
    </row>
    <row r="5414">
      <c r="A5414" s="31"/>
      <c r="C5414" s="31"/>
      <c r="D5414" s="31"/>
      <c r="H5414" s="31"/>
    </row>
    <row r="5415">
      <c r="A5415" s="31"/>
      <c r="C5415" s="31"/>
      <c r="D5415" s="31"/>
      <c r="H5415" s="31"/>
    </row>
    <row r="5416">
      <c r="A5416" s="31"/>
      <c r="C5416" s="31"/>
      <c r="D5416" s="31"/>
      <c r="H5416" s="31"/>
    </row>
    <row r="5417">
      <c r="A5417" s="31"/>
      <c r="C5417" s="31"/>
      <c r="D5417" s="31"/>
      <c r="H5417" s="31"/>
    </row>
    <row r="5418">
      <c r="A5418" s="31"/>
      <c r="C5418" s="31"/>
      <c r="D5418" s="31"/>
      <c r="H5418" s="31"/>
    </row>
    <row r="5419">
      <c r="A5419" s="31"/>
      <c r="C5419" s="31"/>
      <c r="D5419" s="31"/>
      <c r="H5419" s="31"/>
    </row>
    <row r="5420">
      <c r="A5420" s="31"/>
      <c r="C5420" s="31"/>
      <c r="D5420" s="31"/>
      <c r="H5420" s="31"/>
    </row>
    <row r="5421">
      <c r="A5421" s="31"/>
      <c r="C5421" s="31"/>
      <c r="D5421" s="31"/>
      <c r="H5421" s="31"/>
    </row>
    <row r="5422">
      <c r="A5422" s="31"/>
      <c r="C5422" s="31"/>
      <c r="D5422" s="31"/>
      <c r="H5422" s="31"/>
    </row>
    <row r="5423">
      <c r="A5423" s="31"/>
      <c r="C5423" s="31"/>
      <c r="D5423" s="31"/>
      <c r="H5423" s="31"/>
    </row>
    <row r="5424">
      <c r="A5424" s="31"/>
      <c r="C5424" s="31"/>
      <c r="D5424" s="31"/>
      <c r="H5424" s="31"/>
    </row>
    <row r="5425">
      <c r="A5425" s="31"/>
      <c r="C5425" s="31"/>
      <c r="D5425" s="31"/>
      <c r="H5425" s="31"/>
    </row>
    <row r="5426">
      <c r="A5426" s="31"/>
      <c r="C5426" s="31"/>
      <c r="D5426" s="31"/>
      <c r="H5426" s="31"/>
    </row>
    <row r="5427">
      <c r="A5427" s="31"/>
      <c r="C5427" s="31"/>
      <c r="D5427" s="31"/>
      <c r="H5427" s="31"/>
    </row>
    <row r="5428">
      <c r="A5428" s="31"/>
      <c r="C5428" s="31"/>
      <c r="D5428" s="31"/>
      <c r="H5428" s="31"/>
    </row>
    <row r="5429">
      <c r="A5429" s="31"/>
      <c r="C5429" s="31"/>
      <c r="D5429" s="31"/>
      <c r="H5429" s="31"/>
    </row>
    <row r="5430">
      <c r="A5430" s="31"/>
      <c r="C5430" s="31"/>
      <c r="D5430" s="31"/>
      <c r="H5430" s="31"/>
    </row>
    <row r="5431">
      <c r="A5431" s="31"/>
      <c r="C5431" s="31"/>
      <c r="D5431" s="31"/>
      <c r="H5431" s="31"/>
    </row>
    <row r="5432">
      <c r="A5432" s="31"/>
      <c r="C5432" s="31"/>
      <c r="D5432" s="31"/>
      <c r="H5432" s="31"/>
    </row>
    <row r="5433">
      <c r="A5433" s="31"/>
      <c r="C5433" s="31"/>
      <c r="D5433" s="31"/>
      <c r="H5433" s="31"/>
    </row>
    <row r="5434">
      <c r="A5434" s="31"/>
      <c r="C5434" s="31"/>
      <c r="D5434" s="31"/>
      <c r="H5434" s="31"/>
    </row>
    <row r="5435">
      <c r="A5435" s="31"/>
      <c r="C5435" s="31"/>
      <c r="D5435" s="31"/>
      <c r="H5435" s="31"/>
    </row>
    <row r="5436">
      <c r="A5436" s="31"/>
      <c r="C5436" s="31"/>
      <c r="D5436" s="31"/>
      <c r="H5436" s="31"/>
    </row>
    <row r="5437">
      <c r="A5437" s="31"/>
      <c r="C5437" s="31"/>
      <c r="D5437" s="31"/>
      <c r="H5437" s="31"/>
    </row>
    <row r="5438">
      <c r="A5438" s="31"/>
      <c r="C5438" s="31"/>
      <c r="D5438" s="31"/>
      <c r="H5438" s="31"/>
    </row>
    <row r="5439">
      <c r="A5439" s="31"/>
      <c r="C5439" s="31"/>
      <c r="D5439" s="31"/>
      <c r="H5439" s="31"/>
    </row>
    <row r="5440">
      <c r="A5440" s="31"/>
      <c r="C5440" s="31"/>
      <c r="D5440" s="31"/>
      <c r="H5440" s="31"/>
    </row>
    <row r="5441">
      <c r="A5441" s="31"/>
      <c r="C5441" s="31"/>
      <c r="D5441" s="31"/>
      <c r="H5441" s="31"/>
    </row>
    <row r="5442">
      <c r="A5442" s="31"/>
      <c r="C5442" s="31"/>
      <c r="D5442" s="31"/>
      <c r="H5442" s="31"/>
    </row>
    <row r="5443">
      <c r="A5443" s="31"/>
      <c r="C5443" s="31"/>
      <c r="D5443" s="31"/>
      <c r="H5443" s="31"/>
    </row>
    <row r="5444">
      <c r="A5444" s="31"/>
      <c r="C5444" s="31"/>
      <c r="D5444" s="31"/>
      <c r="H5444" s="31"/>
    </row>
    <row r="5445">
      <c r="A5445" s="31"/>
      <c r="C5445" s="31"/>
      <c r="D5445" s="31"/>
      <c r="H5445" s="31"/>
    </row>
    <row r="5446">
      <c r="A5446" s="31"/>
      <c r="C5446" s="31"/>
      <c r="D5446" s="31"/>
      <c r="H5446" s="31"/>
    </row>
    <row r="5447">
      <c r="A5447" s="31"/>
      <c r="C5447" s="31"/>
      <c r="D5447" s="31"/>
      <c r="H5447" s="31"/>
    </row>
    <row r="5448">
      <c r="A5448" s="31"/>
      <c r="C5448" s="31"/>
      <c r="D5448" s="31"/>
      <c r="H5448" s="31"/>
    </row>
    <row r="5449">
      <c r="A5449" s="31"/>
      <c r="C5449" s="31"/>
      <c r="D5449" s="31"/>
      <c r="H5449" s="31"/>
    </row>
    <row r="5450">
      <c r="A5450" s="31"/>
      <c r="C5450" s="31"/>
      <c r="D5450" s="31"/>
      <c r="H5450" s="31"/>
    </row>
    <row r="5451">
      <c r="A5451" s="31"/>
      <c r="C5451" s="31"/>
      <c r="D5451" s="31"/>
      <c r="H5451" s="31"/>
    </row>
    <row r="5452">
      <c r="A5452" s="31"/>
      <c r="C5452" s="31"/>
      <c r="D5452" s="31"/>
      <c r="H5452" s="31"/>
    </row>
    <row r="5453">
      <c r="A5453" s="31"/>
      <c r="C5453" s="31"/>
      <c r="D5453" s="31"/>
      <c r="H5453" s="31"/>
    </row>
    <row r="5454">
      <c r="A5454" s="31"/>
      <c r="C5454" s="31"/>
      <c r="D5454" s="31"/>
      <c r="H5454" s="31"/>
    </row>
    <row r="5455">
      <c r="A5455" s="31"/>
      <c r="C5455" s="31"/>
      <c r="D5455" s="31"/>
      <c r="H5455" s="31"/>
    </row>
    <row r="5456">
      <c r="A5456" s="31"/>
      <c r="C5456" s="31"/>
      <c r="D5456" s="31"/>
      <c r="H5456" s="31"/>
    </row>
    <row r="5457">
      <c r="A5457" s="31"/>
      <c r="C5457" s="31"/>
      <c r="D5457" s="31"/>
      <c r="H5457" s="31"/>
    </row>
    <row r="5458">
      <c r="A5458" s="31"/>
      <c r="C5458" s="31"/>
      <c r="D5458" s="31"/>
      <c r="H5458" s="31"/>
    </row>
    <row r="5459">
      <c r="A5459" s="31"/>
      <c r="C5459" s="31"/>
      <c r="D5459" s="31"/>
      <c r="H5459" s="31"/>
    </row>
    <row r="5460">
      <c r="A5460" s="31"/>
      <c r="C5460" s="31"/>
      <c r="D5460" s="31"/>
      <c r="H5460" s="31"/>
    </row>
    <row r="5461">
      <c r="A5461" s="31"/>
      <c r="C5461" s="31"/>
      <c r="D5461" s="31"/>
      <c r="H5461" s="31"/>
    </row>
    <row r="5462">
      <c r="A5462" s="31"/>
      <c r="C5462" s="31"/>
      <c r="D5462" s="31"/>
      <c r="H5462" s="31"/>
    </row>
    <row r="5463">
      <c r="A5463" s="31"/>
      <c r="C5463" s="31"/>
      <c r="D5463" s="31"/>
      <c r="H5463" s="31"/>
    </row>
    <row r="5464">
      <c r="A5464" s="31"/>
      <c r="C5464" s="31"/>
      <c r="D5464" s="31"/>
      <c r="H5464" s="31"/>
    </row>
    <row r="5465">
      <c r="A5465" s="31"/>
      <c r="C5465" s="31"/>
      <c r="D5465" s="31"/>
      <c r="H5465" s="31"/>
    </row>
    <row r="5466">
      <c r="A5466" s="31"/>
      <c r="C5466" s="31"/>
      <c r="D5466" s="31"/>
      <c r="H5466" s="31"/>
    </row>
    <row r="5467">
      <c r="A5467" s="31"/>
      <c r="C5467" s="31"/>
      <c r="D5467" s="31"/>
      <c r="H5467" s="31"/>
    </row>
    <row r="5468">
      <c r="A5468" s="31"/>
      <c r="C5468" s="31"/>
      <c r="D5468" s="31"/>
      <c r="H5468" s="31"/>
    </row>
    <row r="5469">
      <c r="A5469" s="31"/>
      <c r="C5469" s="31"/>
      <c r="D5469" s="31"/>
      <c r="H5469" s="31"/>
    </row>
    <row r="5470">
      <c r="A5470" s="31"/>
      <c r="C5470" s="31"/>
      <c r="D5470" s="31"/>
      <c r="H5470" s="31"/>
    </row>
    <row r="5471">
      <c r="A5471" s="31"/>
      <c r="C5471" s="31"/>
      <c r="D5471" s="31"/>
      <c r="H5471" s="31"/>
    </row>
    <row r="5472">
      <c r="A5472" s="31"/>
      <c r="C5472" s="31"/>
      <c r="D5472" s="31"/>
      <c r="H5472" s="31"/>
    </row>
    <row r="5473">
      <c r="A5473" s="31"/>
      <c r="C5473" s="31"/>
      <c r="D5473" s="31"/>
      <c r="H5473" s="31"/>
    </row>
    <row r="5474">
      <c r="A5474" s="31"/>
      <c r="C5474" s="31"/>
      <c r="D5474" s="31"/>
      <c r="H5474" s="31"/>
    </row>
    <row r="5475">
      <c r="A5475" s="31"/>
      <c r="C5475" s="31"/>
      <c r="D5475" s="31"/>
      <c r="H5475" s="31"/>
    </row>
    <row r="5476">
      <c r="A5476" s="31"/>
      <c r="C5476" s="31"/>
      <c r="D5476" s="31"/>
      <c r="H5476" s="31"/>
    </row>
    <row r="5477">
      <c r="A5477" s="31"/>
      <c r="C5477" s="31"/>
      <c r="D5477" s="31"/>
      <c r="H5477" s="31"/>
    </row>
    <row r="5478">
      <c r="A5478" s="31"/>
      <c r="C5478" s="31"/>
      <c r="D5478" s="31"/>
      <c r="H5478" s="31"/>
    </row>
    <row r="5479">
      <c r="A5479" s="31"/>
      <c r="C5479" s="31"/>
      <c r="D5479" s="31"/>
      <c r="H5479" s="31"/>
    </row>
    <row r="5480">
      <c r="A5480" s="31"/>
      <c r="C5480" s="31"/>
      <c r="D5480" s="31"/>
      <c r="H5480" s="31"/>
    </row>
    <row r="5481">
      <c r="A5481" s="31"/>
      <c r="C5481" s="31"/>
      <c r="D5481" s="31"/>
      <c r="H5481" s="31"/>
    </row>
    <row r="5482">
      <c r="A5482" s="31"/>
      <c r="C5482" s="31"/>
      <c r="D5482" s="31"/>
      <c r="H5482" s="31"/>
    </row>
    <row r="5483">
      <c r="A5483" s="31"/>
      <c r="C5483" s="31"/>
      <c r="D5483" s="31"/>
      <c r="H5483" s="31"/>
    </row>
    <row r="5484">
      <c r="A5484" s="31"/>
      <c r="C5484" s="31"/>
      <c r="D5484" s="31"/>
      <c r="H5484" s="31"/>
    </row>
    <row r="5485">
      <c r="A5485" s="31"/>
      <c r="C5485" s="31"/>
      <c r="D5485" s="31"/>
      <c r="H5485" s="31"/>
    </row>
    <row r="5486">
      <c r="A5486" s="31"/>
      <c r="C5486" s="31"/>
      <c r="D5486" s="31"/>
      <c r="H5486" s="31"/>
    </row>
    <row r="5487">
      <c r="A5487" s="31"/>
      <c r="C5487" s="31"/>
      <c r="D5487" s="31"/>
      <c r="H5487" s="31"/>
    </row>
    <row r="5488">
      <c r="A5488" s="31"/>
      <c r="C5488" s="31"/>
      <c r="D5488" s="31"/>
      <c r="H5488" s="31"/>
    </row>
    <row r="5489">
      <c r="A5489" s="31"/>
      <c r="C5489" s="31"/>
      <c r="D5489" s="31"/>
      <c r="H5489" s="31"/>
    </row>
    <row r="5490">
      <c r="A5490" s="31"/>
      <c r="C5490" s="31"/>
      <c r="D5490" s="31"/>
      <c r="H5490" s="31"/>
    </row>
    <row r="5491">
      <c r="A5491" s="31"/>
      <c r="C5491" s="31"/>
      <c r="D5491" s="31"/>
      <c r="H5491" s="31"/>
    </row>
    <row r="5492">
      <c r="A5492" s="31"/>
      <c r="C5492" s="31"/>
      <c r="D5492" s="31"/>
      <c r="H5492" s="31"/>
    </row>
    <row r="5493">
      <c r="A5493" s="31"/>
      <c r="C5493" s="31"/>
      <c r="D5493" s="31"/>
      <c r="H5493" s="31"/>
    </row>
    <row r="5494">
      <c r="A5494" s="31"/>
      <c r="C5494" s="31"/>
      <c r="D5494" s="31"/>
      <c r="H5494" s="31"/>
    </row>
    <row r="5495">
      <c r="A5495" s="31"/>
      <c r="C5495" s="31"/>
      <c r="D5495" s="31"/>
      <c r="H5495" s="31"/>
    </row>
    <row r="5496">
      <c r="A5496" s="31"/>
      <c r="C5496" s="31"/>
      <c r="D5496" s="31"/>
      <c r="H5496" s="31"/>
    </row>
    <row r="5497">
      <c r="A5497" s="31"/>
      <c r="C5497" s="31"/>
      <c r="D5497" s="31"/>
      <c r="H5497" s="31"/>
    </row>
    <row r="5498">
      <c r="A5498" s="31"/>
      <c r="C5498" s="31"/>
      <c r="D5498" s="31"/>
      <c r="H5498" s="31"/>
    </row>
    <row r="5499">
      <c r="A5499" s="31"/>
      <c r="C5499" s="31"/>
      <c r="D5499" s="31"/>
      <c r="H5499" s="31"/>
    </row>
    <row r="5500">
      <c r="A5500" s="31"/>
      <c r="C5500" s="31"/>
      <c r="D5500" s="31"/>
      <c r="H5500" s="31"/>
    </row>
    <row r="5501">
      <c r="A5501" s="31"/>
      <c r="C5501" s="31"/>
      <c r="D5501" s="31"/>
      <c r="H5501" s="31"/>
    </row>
    <row r="5502">
      <c r="A5502" s="31"/>
      <c r="C5502" s="31"/>
      <c r="D5502" s="31"/>
      <c r="H5502" s="31"/>
    </row>
    <row r="5503">
      <c r="A5503" s="31"/>
      <c r="C5503" s="31"/>
      <c r="D5503" s="31"/>
      <c r="H5503" s="31"/>
    </row>
    <row r="5504">
      <c r="A5504" s="31"/>
      <c r="C5504" s="31"/>
      <c r="D5504" s="31"/>
      <c r="H5504" s="31"/>
    </row>
    <row r="5505">
      <c r="A5505" s="31"/>
      <c r="C5505" s="31"/>
      <c r="D5505" s="31"/>
      <c r="H5505" s="31"/>
    </row>
    <row r="5506">
      <c r="A5506" s="31"/>
      <c r="C5506" s="31"/>
      <c r="D5506" s="31"/>
      <c r="H5506" s="31"/>
    </row>
    <row r="5507">
      <c r="A5507" s="31"/>
      <c r="C5507" s="31"/>
      <c r="D5507" s="31"/>
      <c r="H5507" s="31"/>
    </row>
    <row r="5508">
      <c r="A5508" s="31"/>
      <c r="C5508" s="31"/>
      <c r="D5508" s="31"/>
      <c r="H5508" s="31"/>
    </row>
    <row r="5509">
      <c r="A5509" s="31"/>
      <c r="C5509" s="31"/>
      <c r="D5509" s="31"/>
      <c r="H5509" s="31"/>
    </row>
    <row r="5510">
      <c r="A5510" s="31"/>
      <c r="C5510" s="31"/>
      <c r="D5510" s="31"/>
      <c r="H5510" s="31"/>
    </row>
    <row r="5511">
      <c r="A5511" s="31"/>
      <c r="C5511" s="31"/>
      <c r="D5511" s="31"/>
      <c r="H5511" s="31"/>
    </row>
    <row r="5512">
      <c r="A5512" s="31"/>
      <c r="C5512" s="31"/>
      <c r="D5512" s="31"/>
      <c r="H5512" s="31"/>
    </row>
    <row r="5513">
      <c r="A5513" s="31"/>
      <c r="C5513" s="31"/>
      <c r="D5513" s="31"/>
      <c r="H5513" s="31"/>
    </row>
    <row r="5514">
      <c r="A5514" s="31"/>
      <c r="C5514" s="31"/>
      <c r="D5514" s="31"/>
      <c r="H5514" s="31"/>
    </row>
    <row r="5515">
      <c r="A5515" s="31"/>
      <c r="C5515" s="31"/>
      <c r="D5515" s="31"/>
      <c r="H5515" s="31"/>
    </row>
    <row r="5516">
      <c r="A5516" s="31"/>
      <c r="C5516" s="31"/>
      <c r="D5516" s="31"/>
      <c r="H5516" s="31"/>
    </row>
    <row r="5517">
      <c r="A5517" s="31"/>
      <c r="C5517" s="31"/>
      <c r="D5517" s="31"/>
      <c r="H5517" s="31"/>
    </row>
    <row r="5518">
      <c r="A5518" s="31"/>
      <c r="C5518" s="31"/>
      <c r="D5518" s="31"/>
      <c r="H5518" s="31"/>
    </row>
    <row r="5519">
      <c r="A5519" s="31"/>
      <c r="C5519" s="31"/>
      <c r="D5519" s="31"/>
      <c r="H5519" s="31"/>
    </row>
    <row r="5520">
      <c r="A5520" s="31"/>
      <c r="C5520" s="31"/>
      <c r="D5520" s="31"/>
      <c r="H5520" s="31"/>
    </row>
    <row r="5521">
      <c r="A5521" s="31"/>
      <c r="C5521" s="31"/>
      <c r="D5521" s="31"/>
      <c r="H5521" s="31"/>
    </row>
    <row r="5522">
      <c r="A5522" s="31"/>
      <c r="C5522" s="31"/>
      <c r="D5522" s="31"/>
      <c r="H5522" s="31"/>
    </row>
    <row r="5523">
      <c r="A5523" s="31"/>
      <c r="C5523" s="31"/>
      <c r="D5523" s="31"/>
      <c r="H5523" s="31"/>
    </row>
    <row r="5524">
      <c r="A5524" s="31"/>
      <c r="C5524" s="31"/>
      <c r="D5524" s="31"/>
      <c r="H5524" s="31"/>
    </row>
    <row r="5525">
      <c r="A5525" s="31"/>
      <c r="C5525" s="31"/>
      <c r="D5525" s="31"/>
      <c r="H5525" s="31"/>
    </row>
    <row r="5526">
      <c r="A5526" s="31"/>
      <c r="C5526" s="31"/>
      <c r="D5526" s="31"/>
      <c r="H5526" s="31"/>
    </row>
    <row r="5527">
      <c r="A5527" s="31"/>
      <c r="C5527" s="31"/>
      <c r="D5527" s="31"/>
      <c r="H5527" s="31"/>
    </row>
    <row r="5528">
      <c r="A5528" s="31"/>
      <c r="C5528" s="31"/>
      <c r="D5528" s="31"/>
      <c r="H5528" s="31"/>
    </row>
    <row r="5529">
      <c r="A5529" s="31"/>
      <c r="C5529" s="31"/>
      <c r="D5529" s="31"/>
      <c r="H5529" s="31"/>
    </row>
    <row r="5530">
      <c r="A5530" s="31"/>
      <c r="C5530" s="31"/>
      <c r="D5530" s="31"/>
      <c r="H5530" s="31"/>
    </row>
    <row r="5531">
      <c r="A5531" s="31"/>
      <c r="C5531" s="31"/>
      <c r="D5531" s="31"/>
      <c r="H5531" s="31"/>
    </row>
    <row r="5532">
      <c r="A5532" s="31"/>
      <c r="C5532" s="31"/>
      <c r="D5532" s="31"/>
      <c r="H5532" s="31"/>
    </row>
    <row r="5533">
      <c r="A5533" s="31"/>
      <c r="C5533" s="31"/>
      <c r="D5533" s="31"/>
      <c r="H5533" s="31"/>
    </row>
    <row r="5534">
      <c r="A5534" s="31"/>
      <c r="C5534" s="31"/>
      <c r="D5534" s="31"/>
      <c r="H5534" s="31"/>
    </row>
    <row r="5535">
      <c r="A5535" s="31"/>
      <c r="C5535" s="31"/>
      <c r="D5535" s="31"/>
      <c r="H5535" s="31"/>
    </row>
    <row r="5536">
      <c r="A5536" s="31"/>
      <c r="C5536" s="31"/>
      <c r="D5536" s="31"/>
      <c r="H5536" s="31"/>
    </row>
    <row r="5537">
      <c r="A5537" s="31"/>
      <c r="C5537" s="31"/>
      <c r="D5537" s="31"/>
      <c r="H5537" s="31"/>
    </row>
    <row r="5538">
      <c r="A5538" s="31"/>
      <c r="C5538" s="31"/>
      <c r="D5538" s="31"/>
      <c r="H5538" s="31"/>
    </row>
    <row r="5539">
      <c r="A5539" s="31"/>
      <c r="C5539" s="31"/>
      <c r="D5539" s="31"/>
      <c r="H5539" s="31"/>
    </row>
    <row r="5540">
      <c r="A5540" s="31"/>
      <c r="C5540" s="31"/>
      <c r="D5540" s="31"/>
      <c r="H5540" s="31"/>
    </row>
    <row r="5541">
      <c r="A5541" s="31"/>
      <c r="C5541" s="31"/>
      <c r="D5541" s="31"/>
      <c r="H5541" s="31"/>
    </row>
    <row r="5542">
      <c r="A5542" s="31"/>
      <c r="C5542" s="31"/>
      <c r="D5542" s="31"/>
      <c r="H5542" s="31"/>
    </row>
    <row r="5543">
      <c r="A5543" s="31"/>
      <c r="C5543" s="31"/>
      <c r="D5543" s="31"/>
      <c r="H5543" s="31"/>
    </row>
    <row r="5544">
      <c r="A5544" s="31"/>
      <c r="C5544" s="31"/>
      <c r="D5544" s="31"/>
      <c r="H5544" s="31"/>
    </row>
    <row r="5545">
      <c r="A5545" s="31"/>
      <c r="C5545" s="31"/>
      <c r="D5545" s="31"/>
      <c r="H5545" s="31"/>
    </row>
    <row r="5546">
      <c r="A5546" s="31"/>
      <c r="C5546" s="31"/>
      <c r="D5546" s="31"/>
      <c r="H5546" s="31"/>
    </row>
    <row r="5547">
      <c r="A5547" s="31"/>
      <c r="C5547" s="31"/>
      <c r="D5547" s="31"/>
      <c r="H5547" s="31"/>
    </row>
    <row r="5548">
      <c r="A5548" s="31"/>
      <c r="C5548" s="31"/>
      <c r="D5548" s="31"/>
      <c r="H5548" s="31"/>
    </row>
    <row r="5549">
      <c r="A5549" s="31"/>
      <c r="C5549" s="31"/>
      <c r="D5549" s="31"/>
      <c r="H5549" s="31"/>
    </row>
    <row r="5550">
      <c r="A5550" s="31"/>
      <c r="C5550" s="31"/>
      <c r="D5550" s="31"/>
      <c r="H5550" s="31"/>
    </row>
    <row r="5551">
      <c r="A5551" s="31"/>
      <c r="C5551" s="31"/>
      <c r="D5551" s="31"/>
      <c r="H5551" s="31"/>
    </row>
    <row r="5552">
      <c r="A5552" s="31"/>
      <c r="C5552" s="31"/>
      <c r="D5552" s="31"/>
      <c r="H5552" s="31"/>
    </row>
    <row r="5553">
      <c r="A5553" s="31"/>
      <c r="C5553" s="31"/>
      <c r="D5553" s="31"/>
      <c r="H5553" s="31"/>
    </row>
    <row r="5554">
      <c r="A5554" s="31"/>
      <c r="C5554" s="31"/>
      <c r="D5554" s="31"/>
      <c r="H5554" s="31"/>
    </row>
    <row r="5555">
      <c r="A5555" s="31"/>
      <c r="C5555" s="31"/>
      <c r="D5555" s="31"/>
      <c r="H5555" s="31"/>
    </row>
    <row r="5556">
      <c r="A5556" s="31"/>
      <c r="C5556" s="31"/>
      <c r="D5556" s="31"/>
      <c r="H5556" s="31"/>
    </row>
    <row r="5557">
      <c r="A5557" s="31"/>
      <c r="C5557" s="31"/>
      <c r="D5557" s="31"/>
      <c r="H5557" s="31"/>
    </row>
    <row r="5558">
      <c r="A5558" s="31"/>
      <c r="C5558" s="31"/>
      <c r="D5558" s="31"/>
      <c r="H5558" s="31"/>
    </row>
    <row r="5559">
      <c r="A5559" s="31"/>
      <c r="C5559" s="31"/>
      <c r="D5559" s="31"/>
      <c r="H5559" s="31"/>
    </row>
    <row r="5560">
      <c r="A5560" s="31"/>
      <c r="C5560" s="31"/>
      <c r="D5560" s="31"/>
      <c r="H5560" s="31"/>
    </row>
    <row r="5561">
      <c r="A5561" s="31"/>
      <c r="C5561" s="31"/>
      <c r="D5561" s="31"/>
      <c r="H5561" s="31"/>
    </row>
    <row r="5562">
      <c r="A5562" s="31"/>
      <c r="C5562" s="31"/>
      <c r="D5562" s="31"/>
      <c r="H5562" s="31"/>
    </row>
    <row r="5563">
      <c r="A5563" s="31"/>
      <c r="C5563" s="31"/>
      <c r="D5563" s="31"/>
      <c r="H5563" s="31"/>
    </row>
    <row r="5564">
      <c r="A5564" s="31"/>
      <c r="C5564" s="31"/>
      <c r="D5564" s="31"/>
      <c r="H5564" s="31"/>
    </row>
    <row r="5565">
      <c r="A5565" s="31"/>
      <c r="C5565" s="31"/>
      <c r="D5565" s="31"/>
      <c r="H5565" s="31"/>
    </row>
    <row r="5566">
      <c r="A5566" s="31"/>
      <c r="C5566" s="31"/>
      <c r="D5566" s="31"/>
      <c r="H5566" s="31"/>
    </row>
    <row r="5567">
      <c r="A5567" s="31"/>
      <c r="C5567" s="31"/>
      <c r="D5567" s="31"/>
      <c r="H5567" s="31"/>
    </row>
    <row r="5568">
      <c r="A5568" s="31"/>
      <c r="C5568" s="31"/>
      <c r="D5568" s="31"/>
      <c r="H5568" s="31"/>
    </row>
    <row r="5569">
      <c r="A5569" s="31"/>
      <c r="C5569" s="31"/>
      <c r="D5569" s="31"/>
      <c r="H5569" s="31"/>
    </row>
    <row r="5570">
      <c r="A5570" s="31"/>
      <c r="C5570" s="31"/>
      <c r="D5570" s="31"/>
      <c r="H5570" s="31"/>
    </row>
    <row r="5571">
      <c r="A5571" s="31"/>
      <c r="C5571" s="31"/>
      <c r="D5571" s="31"/>
      <c r="H5571" s="31"/>
    </row>
    <row r="5572">
      <c r="A5572" s="31"/>
      <c r="C5572" s="31"/>
      <c r="D5572" s="31"/>
      <c r="H5572" s="31"/>
    </row>
    <row r="5573">
      <c r="A5573" s="31"/>
      <c r="C5573" s="31"/>
      <c r="D5573" s="31"/>
      <c r="H5573" s="31"/>
    </row>
    <row r="5574">
      <c r="A5574" s="31"/>
      <c r="C5574" s="31"/>
      <c r="D5574" s="31"/>
      <c r="H5574" s="31"/>
    </row>
    <row r="5575">
      <c r="A5575" s="31"/>
      <c r="C5575" s="31"/>
      <c r="D5575" s="31"/>
      <c r="H5575" s="31"/>
    </row>
    <row r="5576">
      <c r="A5576" s="31"/>
      <c r="C5576" s="31"/>
      <c r="D5576" s="31"/>
      <c r="H5576" s="31"/>
    </row>
    <row r="5577">
      <c r="A5577" s="31"/>
      <c r="C5577" s="31"/>
      <c r="D5577" s="31"/>
      <c r="H5577" s="31"/>
    </row>
    <row r="5578">
      <c r="A5578" s="31"/>
      <c r="C5578" s="31"/>
      <c r="D5578" s="31"/>
      <c r="H5578" s="31"/>
    </row>
    <row r="5579">
      <c r="A5579" s="31"/>
      <c r="C5579" s="31"/>
      <c r="D5579" s="31"/>
      <c r="H5579" s="31"/>
    </row>
    <row r="5580">
      <c r="A5580" s="31"/>
      <c r="C5580" s="31"/>
      <c r="D5580" s="31"/>
      <c r="H5580" s="31"/>
    </row>
    <row r="5581">
      <c r="A5581" s="31"/>
      <c r="C5581" s="31"/>
      <c r="D5581" s="31"/>
      <c r="H5581" s="31"/>
    </row>
    <row r="5582">
      <c r="A5582" s="31"/>
      <c r="C5582" s="31"/>
      <c r="D5582" s="31"/>
      <c r="H5582" s="31"/>
    </row>
    <row r="5583">
      <c r="A5583" s="31"/>
      <c r="C5583" s="31"/>
      <c r="D5583" s="31"/>
      <c r="H5583" s="31"/>
    </row>
    <row r="5584">
      <c r="A5584" s="31"/>
      <c r="C5584" s="31"/>
      <c r="D5584" s="31"/>
      <c r="H5584" s="31"/>
    </row>
    <row r="5585">
      <c r="A5585" s="31"/>
      <c r="C5585" s="31"/>
      <c r="D5585" s="31"/>
      <c r="H5585" s="31"/>
    </row>
    <row r="5586">
      <c r="A5586" s="31"/>
      <c r="C5586" s="31"/>
      <c r="D5586" s="31"/>
      <c r="H5586" s="31"/>
    </row>
    <row r="5587">
      <c r="A5587" s="31"/>
      <c r="C5587" s="31"/>
      <c r="D5587" s="31"/>
      <c r="H5587" s="31"/>
    </row>
    <row r="5588">
      <c r="A5588" s="31"/>
      <c r="C5588" s="31"/>
      <c r="D5588" s="31"/>
      <c r="H5588" s="31"/>
    </row>
    <row r="5589">
      <c r="A5589" s="31"/>
      <c r="C5589" s="31"/>
      <c r="D5589" s="31"/>
      <c r="H5589" s="31"/>
    </row>
    <row r="5590">
      <c r="A5590" s="31"/>
      <c r="C5590" s="31"/>
      <c r="D5590" s="31"/>
      <c r="H5590" s="31"/>
    </row>
    <row r="5591">
      <c r="A5591" s="31"/>
      <c r="C5591" s="31"/>
      <c r="D5591" s="31"/>
      <c r="H5591" s="31"/>
    </row>
    <row r="5592">
      <c r="A5592" s="31"/>
      <c r="C5592" s="31"/>
      <c r="D5592" s="31"/>
      <c r="H5592" s="31"/>
    </row>
    <row r="5593">
      <c r="A5593" s="31"/>
      <c r="C5593" s="31"/>
      <c r="D5593" s="31"/>
      <c r="H5593" s="31"/>
    </row>
    <row r="5594">
      <c r="A5594" s="31"/>
      <c r="C5594" s="31"/>
      <c r="D5594" s="31"/>
      <c r="H5594" s="31"/>
    </row>
    <row r="5595">
      <c r="A5595" s="31"/>
      <c r="C5595" s="31"/>
      <c r="D5595" s="31"/>
      <c r="H5595" s="31"/>
    </row>
    <row r="5596">
      <c r="A5596" s="31"/>
      <c r="C5596" s="31"/>
      <c r="D5596" s="31"/>
      <c r="H5596" s="31"/>
    </row>
    <row r="5597">
      <c r="A5597" s="31"/>
      <c r="C5597" s="31"/>
      <c r="D5597" s="31"/>
      <c r="H5597" s="31"/>
    </row>
    <row r="5598">
      <c r="A5598" s="31"/>
      <c r="C5598" s="31"/>
      <c r="D5598" s="31"/>
      <c r="H5598" s="31"/>
    </row>
    <row r="5599">
      <c r="A5599" s="31"/>
      <c r="C5599" s="31"/>
      <c r="D5599" s="31"/>
      <c r="H5599" s="31"/>
    </row>
    <row r="5600">
      <c r="A5600" s="31"/>
      <c r="C5600" s="31"/>
      <c r="D5600" s="31"/>
      <c r="H5600" s="31"/>
    </row>
    <row r="5601">
      <c r="A5601" s="31"/>
      <c r="C5601" s="31"/>
      <c r="D5601" s="31"/>
      <c r="H5601" s="31"/>
    </row>
    <row r="5602">
      <c r="A5602" s="31"/>
      <c r="C5602" s="31"/>
      <c r="D5602" s="31"/>
      <c r="H5602" s="31"/>
    </row>
    <row r="5603">
      <c r="A5603" s="31"/>
      <c r="C5603" s="31"/>
      <c r="D5603" s="31"/>
      <c r="H5603" s="31"/>
    </row>
    <row r="5604">
      <c r="A5604" s="31"/>
      <c r="C5604" s="31"/>
      <c r="D5604" s="31"/>
      <c r="H5604" s="31"/>
    </row>
    <row r="5605">
      <c r="A5605" s="31"/>
      <c r="C5605" s="31"/>
      <c r="D5605" s="31"/>
      <c r="H5605" s="31"/>
    </row>
    <row r="5606">
      <c r="A5606" s="31"/>
      <c r="C5606" s="31"/>
      <c r="D5606" s="31"/>
      <c r="H5606" s="31"/>
    </row>
    <row r="5607">
      <c r="A5607" s="31"/>
      <c r="C5607" s="31"/>
      <c r="D5607" s="31"/>
      <c r="H5607" s="31"/>
    </row>
    <row r="5608">
      <c r="A5608" s="31"/>
      <c r="C5608" s="31"/>
      <c r="D5608" s="31"/>
      <c r="H5608" s="31"/>
    </row>
    <row r="5609">
      <c r="A5609" s="31"/>
      <c r="C5609" s="31"/>
      <c r="D5609" s="31"/>
      <c r="H5609" s="31"/>
    </row>
    <row r="5610">
      <c r="A5610" s="31"/>
      <c r="C5610" s="31"/>
      <c r="D5610" s="31"/>
      <c r="H5610" s="31"/>
    </row>
    <row r="5611">
      <c r="A5611" s="31"/>
      <c r="C5611" s="31"/>
      <c r="D5611" s="31"/>
      <c r="H5611" s="31"/>
    </row>
    <row r="5612">
      <c r="A5612" s="31"/>
      <c r="C5612" s="31"/>
      <c r="D5612" s="31"/>
      <c r="H5612" s="31"/>
    </row>
    <row r="5613">
      <c r="A5613" s="31"/>
      <c r="C5613" s="31"/>
      <c r="D5613" s="31"/>
      <c r="H5613" s="31"/>
    </row>
    <row r="5614">
      <c r="A5614" s="31"/>
      <c r="C5614" s="31"/>
      <c r="D5614" s="31"/>
      <c r="H5614" s="31"/>
    </row>
    <row r="5615">
      <c r="A5615" s="31"/>
      <c r="C5615" s="31"/>
      <c r="D5615" s="31"/>
      <c r="H5615" s="31"/>
    </row>
    <row r="5616">
      <c r="A5616" s="31"/>
      <c r="C5616" s="31"/>
      <c r="D5616" s="31"/>
      <c r="H5616" s="31"/>
    </row>
    <row r="5617">
      <c r="A5617" s="31"/>
      <c r="C5617" s="31"/>
      <c r="D5617" s="31"/>
      <c r="H5617" s="31"/>
    </row>
    <row r="5618">
      <c r="A5618" s="31"/>
      <c r="C5618" s="31"/>
      <c r="D5618" s="31"/>
      <c r="H5618" s="31"/>
    </row>
    <row r="5619">
      <c r="A5619" s="31"/>
      <c r="C5619" s="31"/>
      <c r="D5619" s="31"/>
      <c r="H5619" s="31"/>
    </row>
    <row r="5620">
      <c r="A5620" s="31"/>
      <c r="C5620" s="31"/>
      <c r="D5620" s="31"/>
      <c r="H5620" s="31"/>
    </row>
    <row r="5621">
      <c r="A5621" s="31"/>
      <c r="C5621" s="31"/>
      <c r="D5621" s="31"/>
      <c r="H5621" s="31"/>
    </row>
    <row r="5622">
      <c r="A5622" s="31"/>
      <c r="C5622" s="31"/>
      <c r="D5622" s="31"/>
      <c r="H5622" s="31"/>
    </row>
    <row r="5623">
      <c r="A5623" s="31"/>
      <c r="C5623" s="31"/>
      <c r="D5623" s="31"/>
      <c r="H5623" s="31"/>
    </row>
    <row r="5624">
      <c r="A5624" s="31"/>
      <c r="C5624" s="31"/>
      <c r="D5624" s="31"/>
      <c r="H5624" s="31"/>
    </row>
    <row r="5625">
      <c r="A5625" s="31"/>
      <c r="C5625" s="31"/>
      <c r="D5625" s="31"/>
      <c r="H5625" s="31"/>
    </row>
    <row r="5626">
      <c r="A5626" s="31"/>
      <c r="C5626" s="31"/>
      <c r="D5626" s="31"/>
      <c r="H5626" s="31"/>
    </row>
    <row r="5627">
      <c r="A5627" s="31"/>
      <c r="C5627" s="31"/>
      <c r="D5627" s="31"/>
      <c r="H5627" s="31"/>
    </row>
    <row r="5628">
      <c r="A5628" s="31"/>
      <c r="C5628" s="31"/>
      <c r="D5628" s="31"/>
      <c r="H5628" s="31"/>
    </row>
    <row r="5629">
      <c r="A5629" s="31"/>
      <c r="C5629" s="31"/>
      <c r="D5629" s="31"/>
      <c r="H5629" s="31"/>
    </row>
    <row r="5630">
      <c r="A5630" s="31"/>
      <c r="C5630" s="31"/>
      <c r="D5630" s="31"/>
      <c r="H5630" s="31"/>
    </row>
    <row r="5631">
      <c r="A5631" s="31"/>
      <c r="C5631" s="31"/>
      <c r="D5631" s="31"/>
      <c r="H5631" s="31"/>
    </row>
    <row r="5632">
      <c r="A5632" s="31"/>
      <c r="C5632" s="31"/>
      <c r="D5632" s="31"/>
      <c r="H5632" s="31"/>
    </row>
    <row r="5633">
      <c r="A5633" s="31"/>
      <c r="C5633" s="31"/>
      <c r="D5633" s="31"/>
      <c r="H5633" s="31"/>
    </row>
    <row r="5634">
      <c r="A5634" s="31"/>
      <c r="C5634" s="31"/>
      <c r="D5634" s="31"/>
      <c r="H5634" s="31"/>
    </row>
    <row r="5635">
      <c r="A5635" s="31"/>
      <c r="C5635" s="31"/>
      <c r="D5635" s="31"/>
      <c r="H5635" s="31"/>
    </row>
    <row r="5636">
      <c r="A5636" s="31"/>
      <c r="C5636" s="31"/>
      <c r="D5636" s="31"/>
      <c r="H5636" s="31"/>
    </row>
    <row r="5637">
      <c r="A5637" s="31"/>
      <c r="C5637" s="31"/>
      <c r="D5637" s="31"/>
      <c r="H5637" s="31"/>
    </row>
    <row r="5638">
      <c r="A5638" s="31"/>
      <c r="C5638" s="31"/>
      <c r="D5638" s="31"/>
      <c r="H5638" s="31"/>
    </row>
    <row r="5639">
      <c r="A5639" s="31"/>
      <c r="C5639" s="31"/>
      <c r="D5639" s="31"/>
      <c r="H5639" s="31"/>
    </row>
    <row r="5640">
      <c r="A5640" s="31"/>
      <c r="C5640" s="31"/>
      <c r="D5640" s="31"/>
      <c r="H5640" s="31"/>
    </row>
    <row r="5641">
      <c r="A5641" s="31"/>
      <c r="C5641" s="31"/>
      <c r="D5641" s="31"/>
      <c r="H5641" s="31"/>
    </row>
    <row r="5642">
      <c r="A5642" s="31"/>
      <c r="C5642" s="31"/>
      <c r="D5642" s="31"/>
      <c r="H5642" s="31"/>
    </row>
    <row r="5643">
      <c r="A5643" s="31"/>
      <c r="C5643" s="31"/>
      <c r="D5643" s="31"/>
      <c r="H5643" s="31"/>
    </row>
    <row r="5644">
      <c r="A5644" s="31"/>
      <c r="C5644" s="31"/>
      <c r="D5644" s="31"/>
      <c r="H5644" s="31"/>
    </row>
    <row r="5645">
      <c r="A5645" s="31"/>
      <c r="C5645" s="31"/>
      <c r="D5645" s="31"/>
      <c r="H5645" s="31"/>
    </row>
    <row r="5646">
      <c r="A5646" s="31"/>
      <c r="C5646" s="31"/>
      <c r="D5646" s="31"/>
      <c r="H5646" s="31"/>
    </row>
    <row r="5647">
      <c r="A5647" s="31"/>
      <c r="C5647" s="31"/>
      <c r="D5647" s="31"/>
      <c r="H5647" s="31"/>
    </row>
    <row r="5648">
      <c r="A5648" s="31"/>
      <c r="C5648" s="31"/>
      <c r="D5648" s="31"/>
      <c r="H5648" s="31"/>
    </row>
    <row r="5649">
      <c r="A5649" s="31"/>
      <c r="C5649" s="31"/>
      <c r="D5649" s="31"/>
      <c r="H5649" s="31"/>
    </row>
    <row r="5650">
      <c r="A5650" s="31"/>
      <c r="C5650" s="31"/>
      <c r="D5650" s="31"/>
      <c r="H5650" s="31"/>
    </row>
    <row r="5651">
      <c r="A5651" s="31"/>
      <c r="C5651" s="31"/>
      <c r="D5651" s="31"/>
      <c r="H5651" s="31"/>
    </row>
    <row r="5652">
      <c r="A5652" s="31"/>
      <c r="C5652" s="31"/>
      <c r="D5652" s="31"/>
      <c r="H5652" s="31"/>
    </row>
    <row r="5653">
      <c r="A5653" s="31"/>
      <c r="C5653" s="31"/>
      <c r="D5653" s="31"/>
      <c r="H5653" s="31"/>
    </row>
    <row r="5654">
      <c r="A5654" s="31"/>
      <c r="C5654" s="31"/>
      <c r="D5654" s="31"/>
      <c r="H5654" s="31"/>
    </row>
    <row r="5655">
      <c r="A5655" s="31"/>
      <c r="C5655" s="31"/>
      <c r="D5655" s="31"/>
      <c r="H5655" s="31"/>
    </row>
    <row r="5656">
      <c r="A5656" s="31"/>
      <c r="C5656" s="31"/>
      <c r="D5656" s="31"/>
      <c r="H5656" s="31"/>
    </row>
    <row r="5657">
      <c r="A5657" s="31"/>
      <c r="C5657" s="31"/>
      <c r="D5657" s="31"/>
      <c r="H5657" s="31"/>
    </row>
    <row r="5658">
      <c r="A5658" s="31"/>
      <c r="C5658" s="31"/>
      <c r="D5658" s="31"/>
      <c r="H5658" s="31"/>
    </row>
    <row r="5659">
      <c r="A5659" s="31"/>
      <c r="C5659" s="31"/>
      <c r="D5659" s="31"/>
      <c r="H5659" s="31"/>
    </row>
    <row r="5660">
      <c r="A5660" s="31"/>
      <c r="C5660" s="31"/>
      <c r="D5660" s="31"/>
      <c r="H5660" s="31"/>
    </row>
    <row r="5661">
      <c r="A5661" s="31"/>
      <c r="C5661" s="31"/>
      <c r="D5661" s="31"/>
      <c r="H5661" s="31"/>
    </row>
    <row r="5662">
      <c r="A5662" s="31"/>
      <c r="C5662" s="31"/>
      <c r="D5662" s="31"/>
      <c r="H5662" s="31"/>
    </row>
    <row r="5663">
      <c r="A5663" s="31"/>
      <c r="C5663" s="31"/>
      <c r="D5663" s="31"/>
      <c r="H5663" s="31"/>
    </row>
    <row r="5664">
      <c r="A5664" s="31"/>
      <c r="C5664" s="31"/>
      <c r="D5664" s="31"/>
      <c r="H5664" s="31"/>
    </row>
    <row r="5665">
      <c r="A5665" s="31"/>
      <c r="C5665" s="31"/>
      <c r="D5665" s="31"/>
      <c r="H5665" s="31"/>
    </row>
    <row r="5666">
      <c r="A5666" s="31"/>
      <c r="C5666" s="31"/>
      <c r="D5666" s="31"/>
      <c r="H5666" s="31"/>
    </row>
    <row r="5667">
      <c r="A5667" s="31"/>
      <c r="C5667" s="31"/>
      <c r="D5667" s="31"/>
      <c r="H5667" s="31"/>
    </row>
    <row r="5668">
      <c r="A5668" s="31"/>
      <c r="C5668" s="31"/>
      <c r="D5668" s="31"/>
      <c r="H5668" s="31"/>
    </row>
    <row r="5669">
      <c r="A5669" s="31"/>
      <c r="C5669" s="31"/>
      <c r="D5669" s="31"/>
      <c r="H5669" s="31"/>
    </row>
    <row r="5670">
      <c r="A5670" s="31"/>
      <c r="C5670" s="31"/>
      <c r="D5670" s="31"/>
      <c r="H5670" s="31"/>
    </row>
    <row r="5671">
      <c r="A5671" s="31"/>
      <c r="C5671" s="31"/>
      <c r="D5671" s="31"/>
      <c r="H5671" s="31"/>
    </row>
    <row r="5672">
      <c r="A5672" s="31"/>
      <c r="C5672" s="31"/>
      <c r="D5672" s="31"/>
      <c r="H5672" s="31"/>
    </row>
    <row r="5673">
      <c r="A5673" s="31"/>
      <c r="C5673" s="31"/>
      <c r="D5673" s="31"/>
      <c r="H5673" s="31"/>
    </row>
    <row r="5674">
      <c r="A5674" s="31"/>
      <c r="C5674" s="31"/>
      <c r="D5674" s="31"/>
      <c r="H5674" s="31"/>
    </row>
    <row r="5675">
      <c r="A5675" s="31"/>
      <c r="C5675" s="31"/>
      <c r="D5675" s="31"/>
      <c r="H5675" s="31"/>
    </row>
    <row r="5676">
      <c r="A5676" s="31"/>
      <c r="C5676" s="31"/>
      <c r="D5676" s="31"/>
      <c r="H5676" s="31"/>
    </row>
    <row r="5677">
      <c r="A5677" s="31"/>
      <c r="C5677" s="31"/>
      <c r="D5677" s="31"/>
      <c r="H5677" s="31"/>
    </row>
    <row r="5678">
      <c r="A5678" s="31"/>
      <c r="C5678" s="31"/>
      <c r="D5678" s="31"/>
      <c r="H5678" s="31"/>
    </row>
    <row r="5679">
      <c r="A5679" s="31"/>
      <c r="C5679" s="31"/>
      <c r="D5679" s="31"/>
      <c r="H5679" s="31"/>
    </row>
    <row r="5680">
      <c r="A5680" s="31"/>
      <c r="C5680" s="31"/>
      <c r="D5680" s="31"/>
      <c r="H5680" s="31"/>
    </row>
    <row r="5681">
      <c r="A5681" s="31"/>
      <c r="C5681" s="31"/>
      <c r="D5681" s="31"/>
      <c r="H5681" s="31"/>
    </row>
    <row r="5682">
      <c r="A5682" s="31"/>
      <c r="C5682" s="31"/>
      <c r="D5682" s="31"/>
      <c r="H5682" s="31"/>
    </row>
    <row r="5683">
      <c r="A5683" s="31"/>
      <c r="C5683" s="31"/>
      <c r="D5683" s="31"/>
      <c r="H5683" s="31"/>
    </row>
    <row r="5684">
      <c r="A5684" s="31"/>
      <c r="C5684" s="31"/>
      <c r="D5684" s="31"/>
      <c r="H5684" s="31"/>
    </row>
    <row r="5685">
      <c r="A5685" s="31"/>
      <c r="C5685" s="31"/>
      <c r="D5685" s="31"/>
      <c r="H5685" s="31"/>
    </row>
    <row r="5686">
      <c r="A5686" s="31"/>
      <c r="C5686" s="31"/>
      <c r="D5686" s="31"/>
      <c r="H5686" s="31"/>
    </row>
    <row r="5687">
      <c r="A5687" s="31"/>
      <c r="C5687" s="31"/>
      <c r="D5687" s="31"/>
      <c r="H5687" s="31"/>
    </row>
    <row r="5688">
      <c r="A5688" s="31"/>
      <c r="C5688" s="31"/>
      <c r="D5688" s="31"/>
      <c r="H5688" s="31"/>
    </row>
    <row r="5689">
      <c r="A5689" s="31"/>
      <c r="C5689" s="31"/>
      <c r="D5689" s="31"/>
      <c r="H5689" s="31"/>
    </row>
    <row r="5690">
      <c r="A5690" s="31"/>
      <c r="C5690" s="31"/>
      <c r="D5690" s="31"/>
      <c r="H5690" s="31"/>
    </row>
    <row r="5691">
      <c r="A5691" s="31"/>
      <c r="C5691" s="31"/>
      <c r="D5691" s="31"/>
      <c r="H5691" s="31"/>
    </row>
    <row r="5692">
      <c r="A5692" s="31"/>
      <c r="C5692" s="31"/>
      <c r="D5692" s="31"/>
      <c r="H5692" s="31"/>
    </row>
    <row r="5693">
      <c r="A5693" s="31"/>
      <c r="C5693" s="31"/>
      <c r="D5693" s="31"/>
      <c r="H5693" s="31"/>
    </row>
    <row r="5694">
      <c r="A5694" s="31"/>
      <c r="C5694" s="31"/>
      <c r="D5694" s="31"/>
      <c r="H5694" s="31"/>
    </row>
    <row r="5695">
      <c r="A5695" s="31"/>
      <c r="C5695" s="31"/>
      <c r="D5695" s="31"/>
      <c r="H5695" s="31"/>
    </row>
    <row r="5696">
      <c r="A5696" s="31"/>
      <c r="C5696" s="31"/>
      <c r="D5696" s="31"/>
      <c r="H5696" s="31"/>
    </row>
    <row r="5697">
      <c r="A5697" s="31"/>
      <c r="C5697" s="31"/>
      <c r="D5697" s="31"/>
      <c r="H5697" s="31"/>
    </row>
    <row r="5698">
      <c r="A5698" s="31"/>
      <c r="C5698" s="31"/>
      <c r="D5698" s="31"/>
      <c r="H5698" s="31"/>
    </row>
    <row r="5699">
      <c r="A5699" s="31"/>
      <c r="C5699" s="31"/>
      <c r="D5699" s="31"/>
      <c r="H5699" s="31"/>
    </row>
    <row r="5700">
      <c r="A5700" s="31"/>
      <c r="C5700" s="31"/>
      <c r="D5700" s="31"/>
      <c r="H5700" s="31"/>
    </row>
    <row r="5701">
      <c r="A5701" s="31"/>
      <c r="C5701" s="31"/>
      <c r="D5701" s="31"/>
      <c r="H5701" s="31"/>
    </row>
    <row r="5702">
      <c r="A5702" s="31"/>
      <c r="C5702" s="31"/>
      <c r="D5702" s="31"/>
      <c r="H5702" s="31"/>
    </row>
    <row r="5703">
      <c r="A5703" s="31"/>
      <c r="C5703" s="31"/>
      <c r="D5703" s="31"/>
      <c r="H5703" s="31"/>
    </row>
    <row r="5704">
      <c r="A5704" s="31"/>
      <c r="C5704" s="31"/>
      <c r="D5704" s="31"/>
      <c r="H5704" s="31"/>
    </row>
    <row r="5705">
      <c r="A5705" s="31"/>
      <c r="C5705" s="31"/>
      <c r="D5705" s="31"/>
      <c r="H5705" s="31"/>
    </row>
    <row r="5706">
      <c r="A5706" s="31"/>
      <c r="C5706" s="31"/>
      <c r="D5706" s="31"/>
      <c r="H5706" s="31"/>
    </row>
    <row r="5707">
      <c r="A5707" s="31"/>
      <c r="C5707" s="31"/>
      <c r="D5707" s="31"/>
      <c r="H5707" s="31"/>
    </row>
    <row r="5708">
      <c r="A5708" s="31"/>
      <c r="C5708" s="31"/>
      <c r="D5708" s="31"/>
      <c r="H5708" s="31"/>
    </row>
    <row r="5709">
      <c r="A5709" s="31"/>
      <c r="C5709" s="31"/>
      <c r="D5709" s="31"/>
      <c r="H5709" s="31"/>
    </row>
    <row r="5710">
      <c r="A5710" s="31"/>
      <c r="C5710" s="31"/>
      <c r="D5710" s="31"/>
      <c r="H5710" s="31"/>
    </row>
    <row r="5711">
      <c r="A5711" s="31"/>
      <c r="C5711" s="31"/>
      <c r="D5711" s="31"/>
      <c r="H5711" s="31"/>
    </row>
    <row r="5712">
      <c r="A5712" s="31"/>
      <c r="C5712" s="31"/>
      <c r="D5712" s="31"/>
      <c r="H5712" s="31"/>
    </row>
    <row r="5713">
      <c r="A5713" s="31"/>
      <c r="C5713" s="31"/>
      <c r="D5713" s="31"/>
      <c r="H5713" s="31"/>
    </row>
    <row r="5714">
      <c r="A5714" s="31"/>
      <c r="C5714" s="31"/>
      <c r="D5714" s="31"/>
      <c r="H5714" s="31"/>
    </row>
    <row r="5715">
      <c r="A5715" s="31"/>
      <c r="C5715" s="31"/>
      <c r="D5715" s="31"/>
      <c r="H5715" s="31"/>
    </row>
    <row r="5716">
      <c r="A5716" s="31"/>
      <c r="C5716" s="31"/>
      <c r="D5716" s="31"/>
      <c r="H5716" s="31"/>
    </row>
    <row r="5717">
      <c r="A5717" s="31"/>
      <c r="C5717" s="31"/>
      <c r="D5717" s="31"/>
      <c r="H5717" s="31"/>
    </row>
    <row r="5718">
      <c r="A5718" s="31"/>
      <c r="C5718" s="31"/>
      <c r="D5718" s="31"/>
      <c r="H5718" s="31"/>
    </row>
    <row r="5719">
      <c r="A5719" s="31"/>
      <c r="C5719" s="31"/>
      <c r="D5719" s="31"/>
      <c r="H5719" s="31"/>
    </row>
    <row r="5720">
      <c r="A5720" s="31"/>
      <c r="C5720" s="31"/>
      <c r="D5720" s="31"/>
      <c r="H5720" s="31"/>
    </row>
    <row r="5721">
      <c r="A5721" s="31"/>
      <c r="C5721" s="31"/>
      <c r="D5721" s="31"/>
      <c r="H5721" s="31"/>
    </row>
    <row r="5722">
      <c r="A5722" s="31"/>
      <c r="C5722" s="31"/>
      <c r="D5722" s="31"/>
      <c r="H5722" s="31"/>
    </row>
    <row r="5723">
      <c r="A5723" s="31"/>
      <c r="C5723" s="31"/>
      <c r="D5723" s="31"/>
      <c r="H5723" s="31"/>
    </row>
    <row r="5724">
      <c r="A5724" s="31"/>
      <c r="C5724" s="31"/>
      <c r="D5724" s="31"/>
      <c r="H5724" s="31"/>
    </row>
    <row r="5725">
      <c r="A5725" s="31"/>
      <c r="C5725" s="31"/>
      <c r="D5725" s="31"/>
      <c r="H5725" s="31"/>
    </row>
    <row r="5726">
      <c r="A5726" s="31"/>
      <c r="C5726" s="31"/>
      <c r="D5726" s="31"/>
      <c r="H5726" s="31"/>
    </row>
    <row r="5727">
      <c r="A5727" s="31"/>
      <c r="C5727" s="31"/>
      <c r="D5727" s="31"/>
      <c r="H5727" s="31"/>
    </row>
    <row r="5728">
      <c r="A5728" s="31"/>
      <c r="C5728" s="31"/>
      <c r="D5728" s="31"/>
      <c r="H5728" s="31"/>
    </row>
    <row r="5729">
      <c r="A5729" s="31"/>
      <c r="C5729" s="31"/>
      <c r="D5729" s="31"/>
      <c r="H5729" s="31"/>
    </row>
    <row r="5730">
      <c r="A5730" s="31"/>
      <c r="C5730" s="31"/>
      <c r="D5730" s="31"/>
      <c r="H5730" s="31"/>
    </row>
    <row r="5731">
      <c r="A5731" s="31"/>
      <c r="C5731" s="31"/>
      <c r="D5731" s="31"/>
      <c r="H5731" s="31"/>
    </row>
    <row r="5732">
      <c r="A5732" s="31"/>
      <c r="C5732" s="31"/>
      <c r="D5732" s="31"/>
      <c r="H5732" s="31"/>
    </row>
    <row r="5733">
      <c r="A5733" s="31"/>
      <c r="C5733" s="31"/>
      <c r="D5733" s="31"/>
      <c r="H5733" s="31"/>
    </row>
    <row r="5734">
      <c r="A5734" s="31"/>
      <c r="C5734" s="31"/>
      <c r="D5734" s="31"/>
      <c r="H5734" s="31"/>
    </row>
    <row r="5735">
      <c r="A5735" s="31"/>
      <c r="C5735" s="31"/>
      <c r="D5735" s="31"/>
      <c r="H5735" s="31"/>
    </row>
    <row r="5736">
      <c r="A5736" s="31"/>
      <c r="C5736" s="31"/>
      <c r="D5736" s="31"/>
      <c r="H5736" s="31"/>
    </row>
    <row r="5737">
      <c r="A5737" s="31"/>
      <c r="C5737" s="31"/>
      <c r="D5737" s="31"/>
      <c r="H5737" s="31"/>
    </row>
    <row r="5738">
      <c r="A5738" s="31"/>
      <c r="C5738" s="31"/>
      <c r="D5738" s="31"/>
      <c r="H5738" s="31"/>
    </row>
    <row r="5739">
      <c r="A5739" s="31"/>
      <c r="C5739" s="31"/>
      <c r="D5739" s="31"/>
      <c r="H5739" s="31"/>
    </row>
    <row r="5740">
      <c r="A5740" s="31"/>
      <c r="C5740" s="31"/>
      <c r="D5740" s="31"/>
      <c r="H5740" s="31"/>
    </row>
    <row r="5741">
      <c r="A5741" s="31"/>
      <c r="C5741" s="31"/>
      <c r="D5741" s="31"/>
      <c r="H5741" s="31"/>
    </row>
    <row r="5742">
      <c r="A5742" s="31"/>
      <c r="C5742" s="31"/>
      <c r="D5742" s="31"/>
      <c r="H5742" s="31"/>
    </row>
    <row r="5743">
      <c r="A5743" s="31"/>
      <c r="C5743" s="31"/>
      <c r="D5743" s="31"/>
      <c r="H5743" s="31"/>
    </row>
    <row r="5744">
      <c r="A5744" s="31"/>
      <c r="C5744" s="31"/>
      <c r="D5744" s="31"/>
      <c r="H5744" s="31"/>
    </row>
    <row r="5745">
      <c r="A5745" s="31"/>
      <c r="C5745" s="31"/>
      <c r="D5745" s="31"/>
      <c r="H5745" s="31"/>
    </row>
    <row r="5746">
      <c r="A5746" s="31"/>
      <c r="C5746" s="31"/>
      <c r="D5746" s="31"/>
      <c r="H5746" s="31"/>
    </row>
    <row r="5747">
      <c r="A5747" s="31"/>
      <c r="C5747" s="31"/>
      <c r="D5747" s="31"/>
      <c r="H5747" s="31"/>
    </row>
    <row r="5748">
      <c r="A5748" s="31"/>
      <c r="C5748" s="31"/>
      <c r="D5748" s="31"/>
      <c r="H5748" s="31"/>
    </row>
    <row r="5749">
      <c r="A5749" s="31"/>
      <c r="C5749" s="31"/>
      <c r="D5749" s="31"/>
      <c r="H5749" s="31"/>
    </row>
    <row r="5750">
      <c r="A5750" s="31"/>
      <c r="C5750" s="31"/>
      <c r="D5750" s="31"/>
      <c r="H5750" s="31"/>
    </row>
    <row r="5751">
      <c r="A5751" s="31"/>
      <c r="C5751" s="31"/>
      <c r="D5751" s="31"/>
      <c r="H5751" s="31"/>
    </row>
    <row r="5752">
      <c r="A5752" s="31"/>
      <c r="C5752" s="31"/>
      <c r="D5752" s="31"/>
      <c r="H5752" s="31"/>
    </row>
    <row r="5753">
      <c r="A5753" s="31"/>
      <c r="C5753" s="31"/>
      <c r="D5753" s="31"/>
      <c r="H5753" s="31"/>
    </row>
    <row r="5754">
      <c r="A5754" s="31"/>
      <c r="C5754" s="31"/>
      <c r="D5754" s="31"/>
      <c r="H5754" s="31"/>
    </row>
    <row r="5755">
      <c r="A5755" s="31"/>
      <c r="C5755" s="31"/>
      <c r="D5755" s="31"/>
      <c r="H5755" s="31"/>
    </row>
    <row r="5756">
      <c r="A5756" s="31"/>
      <c r="C5756" s="31"/>
      <c r="D5756" s="31"/>
      <c r="H5756" s="31"/>
    </row>
    <row r="5757">
      <c r="A5757" s="31"/>
      <c r="C5757" s="31"/>
      <c r="D5757" s="31"/>
      <c r="H5757" s="31"/>
    </row>
    <row r="5758">
      <c r="A5758" s="31"/>
      <c r="C5758" s="31"/>
      <c r="D5758" s="31"/>
      <c r="H5758" s="31"/>
    </row>
    <row r="5759">
      <c r="A5759" s="31"/>
      <c r="C5759" s="31"/>
      <c r="D5759" s="31"/>
      <c r="H5759" s="31"/>
    </row>
    <row r="5760">
      <c r="A5760" s="31"/>
      <c r="C5760" s="31"/>
      <c r="D5760" s="31"/>
      <c r="H5760" s="31"/>
    </row>
    <row r="5761">
      <c r="A5761" s="31"/>
      <c r="C5761" s="31"/>
      <c r="D5761" s="31"/>
      <c r="H5761" s="31"/>
    </row>
    <row r="5762">
      <c r="A5762" s="31"/>
      <c r="C5762" s="31"/>
      <c r="D5762" s="31"/>
      <c r="H5762" s="31"/>
    </row>
    <row r="5763">
      <c r="A5763" s="31"/>
      <c r="C5763" s="31"/>
      <c r="D5763" s="31"/>
      <c r="H5763" s="31"/>
    </row>
    <row r="5764">
      <c r="A5764" s="31"/>
      <c r="C5764" s="31"/>
      <c r="D5764" s="31"/>
      <c r="H5764" s="31"/>
    </row>
    <row r="5765">
      <c r="A5765" s="31"/>
      <c r="C5765" s="31"/>
      <c r="D5765" s="31"/>
      <c r="H5765" s="31"/>
    </row>
    <row r="5766">
      <c r="A5766" s="31"/>
      <c r="C5766" s="31"/>
      <c r="D5766" s="31"/>
      <c r="H5766" s="31"/>
    </row>
    <row r="5767">
      <c r="A5767" s="31"/>
      <c r="C5767" s="31"/>
      <c r="D5767" s="31"/>
      <c r="H5767" s="31"/>
    </row>
    <row r="5768">
      <c r="A5768" s="31"/>
      <c r="C5768" s="31"/>
      <c r="D5768" s="31"/>
      <c r="H5768" s="31"/>
    </row>
    <row r="5769">
      <c r="A5769" s="31"/>
      <c r="C5769" s="31"/>
      <c r="D5769" s="31"/>
      <c r="H5769" s="31"/>
    </row>
    <row r="5770">
      <c r="A5770" s="31"/>
      <c r="C5770" s="31"/>
      <c r="D5770" s="31"/>
      <c r="H5770" s="31"/>
    </row>
    <row r="5771">
      <c r="A5771" s="31"/>
      <c r="C5771" s="31"/>
      <c r="D5771" s="31"/>
      <c r="H5771" s="31"/>
    </row>
    <row r="5772">
      <c r="A5772" s="31"/>
      <c r="C5772" s="31"/>
      <c r="D5772" s="31"/>
      <c r="H5772" s="31"/>
    </row>
    <row r="5773">
      <c r="A5773" s="31"/>
      <c r="C5773" s="31"/>
      <c r="D5773" s="31"/>
      <c r="H5773" s="31"/>
    </row>
    <row r="5774">
      <c r="A5774" s="31"/>
      <c r="C5774" s="31"/>
      <c r="D5774" s="31"/>
      <c r="H5774" s="31"/>
    </row>
    <row r="5775">
      <c r="A5775" s="31"/>
      <c r="C5775" s="31"/>
      <c r="D5775" s="31"/>
      <c r="H5775" s="31"/>
    </row>
    <row r="5776">
      <c r="A5776" s="31"/>
      <c r="C5776" s="31"/>
      <c r="D5776" s="31"/>
      <c r="H5776" s="31"/>
    </row>
    <row r="5777">
      <c r="A5777" s="31"/>
      <c r="C5777" s="31"/>
      <c r="D5777" s="31"/>
      <c r="H5777" s="31"/>
    </row>
    <row r="5778">
      <c r="A5778" s="31"/>
      <c r="C5778" s="31"/>
      <c r="D5778" s="31"/>
      <c r="H5778" s="31"/>
    </row>
    <row r="5779">
      <c r="A5779" s="31"/>
      <c r="C5779" s="31"/>
      <c r="D5779" s="31"/>
      <c r="H5779" s="31"/>
    </row>
    <row r="5780">
      <c r="A5780" s="31"/>
      <c r="C5780" s="31"/>
      <c r="D5780" s="31"/>
      <c r="H5780" s="31"/>
    </row>
    <row r="5781">
      <c r="A5781" s="31"/>
      <c r="C5781" s="31"/>
      <c r="D5781" s="31"/>
      <c r="H5781" s="31"/>
    </row>
    <row r="5782">
      <c r="A5782" s="31"/>
      <c r="C5782" s="31"/>
      <c r="D5782" s="31"/>
      <c r="H5782" s="31"/>
    </row>
    <row r="5783">
      <c r="A5783" s="31"/>
      <c r="C5783" s="31"/>
      <c r="D5783" s="31"/>
      <c r="H5783" s="31"/>
    </row>
    <row r="5784">
      <c r="A5784" s="31"/>
      <c r="C5784" s="31"/>
      <c r="D5784" s="31"/>
      <c r="H5784" s="31"/>
    </row>
    <row r="5785">
      <c r="A5785" s="31"/>
      <c r="C5785" s="31"/>
      <c r="D5785" s="31"/>
      <c r="H5785" s="31"/>
    </row>
    <row r="5786">
      <c r="A5786" s="31"/>
      <c r="C5786" s="31"/>
      <c r="D5786" s="31"/>
      <c r="H5786" s="31"/>
    </row>
    <row r="5787">
      <c r="A5787" s="31"/>
      <c r="C5787" s="31"/>
      <c r="D5787" s="31"/>
      <c r="H5787" s="31"/>
    </row>
    <row r="5788">
      <c r="A5788" s="31"/>
      <c r="C5788" s="31"/>
      <c r="D5788" s="31"/>
      <c r="H5788" s="31"/>
    </row>
    <row r="5789">
      <c r="A5789" s="31"/>
      <c r="C5789" s="31"/>
      <c r="D5789" s="31"/>
      <c r="H5789" s="31"/>
    </row>
    <row r="5790">
      <c r="A5790" s="31"/>
      <c r="C5790" s="31"/>
      <c r="D5790" s="31"/>
      <c r="H5790" s="31"/>
    </row>
    <row r="5791">
      <c r="A5791" s="31"/>
      <c r="C5791" s="31"/>
      <c r="D5791" s="31"/>
      <c r="H5791" s="31"/>
    </row>
    <row r="5792">
      <c r="A5792" s="31"/>
      <c r="C5792" s="31"/>
      <c r="D5792" s="31"/>
      <c r="H5792" s="31"/>
    </row>
    <row r="5793">
      <c r="A5793" s="31"/>
      <c r="C5793" s="31"/>
      <c r="D5793" s="31"/>
      <c r="H5793" s="31"/>
    </row>
    <row r="5794">
      <c r="A5794" s="31"/>
      <c r="C5794" s="31"/>
      <c r="D5794" s="31"/>
      <c r="H5794" s="31"/>
    </row>
    <row r="5795">
      <c r="A5795" s="31"/>
      <c r="C5795" s="31"/>
      <c r="D5795" s="31"/>
      <c r="H5795" s="31"/>
    </row>
    <row r="5796">
      <c r="A5796" s="31"/>
      <c r="C5796" s="31"/>
      <c r="D5796" s="31"/>
      <c r="H5796" s="31"/>
    </row>
    <row r="5797">
      <c r="A5797" s="31"/>
      <c r="C5797" s="31"/>
      <c r="D5797" s="31"/>
      <c r="H5797" s="31"/>
    </row>
    <row r="5798">
      <c r="A5798" s="31"/>
      <c r="C5798" s="31"/>
      <c r="D5798" s="31"/>
      <c r="H5798" s="31"/>
    </row>
    <row r="5799">
      <c r="A5799" s="31"/>
      <c r="C5799" s="31"/>
      <c r="D5799" s="31"/>
      <c r="H5799" s="31"/>
    </row>
    <row r="5800">
      <c r="A5800" s="31"/>
      <c r="C5800" s="31"/>
      <c r="D5800" s="31"/>
      <c r="H5800" s="31"/>
    </row>
    <row r="5801">
      <c r="A5801" s="31"/>
      <c r="C5801" s="31"/>
      <c r="D5801" s="31"/>
      <c r="H5801" s="31"/>
    </row>
    <row r="5802">
      <c r="A5802" s="31"/>
      <c r="C5802" s="31"/>
      <c r="D5802" s="31"/>
      <c r="H5802" s="31"/>
    </row>
    <row r="5803">
      <c r="A5803" s="31"/>
      <c r="C5803" s="31"/>
      <c r="D5803" s="31"/>
      <c r="H5803" s="31"/>
    </row>
    <row r="5804">
      <c r="A5804" s="31"/>
      <c r="C5804" s="31"/>
      <c r="D5804" s="31"/>
      <c r="H5804" s="31"/>
    </row>
    <row r="5805">
      <c r="A5805" s="31"/>
      <c r="C5805" s="31"/>
      <c r="D5805" s="31"/>
      <c r="H5805" s="31"/>
    </row>
    <row r="5806">
      <c r="A5806" s="31"/>
      <c r="C5806" s="31"/>
      <c r="D5806" s="31"/>
      <c r="H5806" s="31"/>
    </row>
    <row r="5807">
      <c r="A5807" s="31"/>
      <c r="C5807" s="31"/>
      <c r="D5807" s="31"/>
      <c r="H5807" s="31"/>
    </row>
    <row r="5808">
      <c r="A5808" s="31"/>
      <c r="C5808" s="31"/>
      <c r="D5808" s="31"/>
      <c r="H5808" s="31"/>
    </row>
    <row r="5809">
      <c r="A5809" s="31"/>
      <c r="C5809" s="31"/>
      <c r="D5809" s="31"/>
      <c r="H5809" s="31"/>
    </row>
    <row r="5810">
      <c r="A5810" s="31"/>
      <c r="C5810" s="31"/>
      <c r="D5810" s="31"/>
      <c r="H5810" s="31"/>
    </row>
    <row r="5811">
      <c r="A5811" s="31"/>
      <c r="C5811" s="31"/>
      <c r="D5811" s="31"/>
      <c r="H5811" s="31"/>
    </row>
    <row r="5812">
      <c r="A5812" s="31"/>
      <c r="C5812" s="31"/>
      <c r="D5812" s="31"/>
      <c r="H5812" s="31"/>
    </row>
    <row r="5813">
      <c r="A5813" s="31"/>
      <c r="C5813" s="31"/>
      <c r="D5813" s="31"/>
      <c r="H5813" s="31"/>
    </row>
    <row r="5814">
      <c r="A5814" s="31"/>
      <c r="C5814" s="31"/>
      <c r="D5814" s="31"/>
      <c r="H5814" s="31"/>
    </row>
    <row r="5815">
      <c r="A5815" s="31"/>
      <c r="C5815" s="31"/>
      <c r="D5815" s="31"/>
      <c r="H5815" s="31"/>
    </row>
    <row r="5816">
      <c r="A5816" s="31"/>
      <c r="C5816" s="31"/>
      <c r="D5816" s="31"/>
      <c r="H5816" s="31"/>
    </row>
    <row r="5817">
      <c r="A5817" s="31"/>
      <c r="C5817" s="31"/>
      <c r="D5817" s="31"/>
      <c r="H5817" s="31"/>
    </row>
    <row r="5818">
      <c r="A5818" s="31"/>
      <c r="C5818" s="31"/>
      <c r="D5818" s="31"/>
      <c r="H5818" s="31"/>
    </row>
    <row r="5819">
      <c r="A5819" s="31"/>
      <c r="C5819" s="31"/>
      <c r="D5819" s="31"/>
      <c r="H5819" s="31"/>
    </row>
    <row r="5820">
      <c r="A5820" s="31"/>
      <c r="C5820" s="31"/>
      <c r="D5820" s="31"/>
      <c r="H5820" s="31"/>
    </row>
    <row r="5821">
      <c r="A5821" s="31"/>
      <c r="C5821" s="31"/>
      <c r="D5821" s="31"/>
      <c r="H5821" s="31"/>
    </row>
    <row r="5822">
      <c r="A5822" s="31"/>
      <c r="C5822" s="31"/>
      <c r="D5822" s="31"/>
      <c r="H5822" s="31"/>
    </row>
    <row r="5823">
      <c r="A5823" s="31"/>
      <c r="C5823" s="31"/>
      <c r="D5823" s="31"/>
      <c r="H5823" s="31"/>
    </row>
    <row r="5824">
      <c r="A5824" s="31"/>
      <c r="C5824" s="31"/>
      <c r="D5824" s="31"/>
      <c r="H5824" s="31"/>
    </row>
    <row r="5825">
      <c r="A5825" s="31"/>
      <c r="C5825" s="31"/>
      <c r="D5825" s="31"/>
      <c r="H5825" s="31"/>
    </row>
    <row r="5826">
      <c r="A5826" s="31"/>
      <c r="C5826" s="31"/>
      <c r="D5826" s="31"/>
      <c r="H5826" s="31"/>
    </row>
    <row r="5827">
      <c r="A5827" s="31"/>
      <c r="C5827" s="31"/>
      <c r="D5827" s="31"/>
      <c r="H5827" s="31"/>
    </row>
    <row r="5828">
      <c r="A5828" s="31"/>
      <c r="C5828" s="31"/>
      <c r="D5828" s="31"/>
      <c r="H5828" s="31"/>
    </row>
    <row r="5829">
      <c r="A5829" s="31"/>
      <c r="C5829" s="31"/>
      <c r="D5829" s="31"/>
      <c r="H5829" s="31"/>
    </row>
    <row r="5830">
      <c r="A5830" s="31"/>
      <c r="C5830" s="31"/>
      <c r="D5830" s="31"/>
      <c r="H5830" s="31"/>
    </row>
    <row r="5831">
      <c r="A5831" s="31"/>
      <c r="C5831" s="31"/>
      <c r="D5831" s="31"/>
      <c r="H5831" s="31"/>
    </row>
    <row r="5832">
      <c r="A5832" s="31"/>
      <c r="C5832" s="31"/>
      <c r="D5832" s="31"/>
      <c r="H5832" s="31"/>
    </row>
    <row r="5833">
      <c r="A5833" s="31"/>
      <c r="C5833" s="31"/>
      <c r="D5833" s="31"/>
      <c r="H5833" s="31"/>
    </row>
    <row r="5834">
      <c r="A5834" s="31"/>
      <c r="C5834" s="31"/>
      <c r="D5834" s="31"/>
      <c r="H5834" s="31"/>
    </row>
    <row r="5835">
      <c r="A5835" s="31"/>
      <c r="C5835" s="31"/>
      <c r="D5835" s="31"/>
      <c r="H5835" s="31"/>
    </row>
    <row r="5836">
      <c r="A5836" s="31"/>
      <c r="C5836" s="31"/>
      <c r="D5836" s="31"/>
      <c r="H5836" s="31"/>
    </row>
    <row r="5837">
      <c r="A5837" s="31"/>
      <c r="C5837" s="31"/>
      <c r="D5837" s="31"/>
      <c r="H5837" s="31"/>
    </row>
    <row r="5838">
      <c r="A5838" s="31"/>
      <c r="C5838" s="31"/>
      <c r="D5838" s="31"/>
      <c r="H5838" s="31"/>
    </row>
    <row r="5839">
      <c r="A5839" s="31"/>
      <c r="C5839" s="31"/>
      <c r="D5839" s="31"/>
      <c r="H5839" s="31"/>
    </row>
    <row r="5840">
      <c r="A5840" s="31"/>
      <c r="C5840" s="31"/>
      <c r="D5840" s="31"/>
      <c r="H5840" s="31"/>
    </row>
    <row r="5841">
      <c r="A5841" s="31"/>
      <c r="C5841" s="31"/>
      <c r="D5841" s="31"/>
      <c r="H5841" s="31"/>
    </row>
    <row r="5842">
      <c r="A5842" s="31"/>
      <c r="C5842" s="31"/>
      <c r="D5842" s="31"/>
      <c r="H5842" s="31"/>
    </row>
    <row r="5843">
      <c r="A5843" s="31"/>
      <c r="C5843" s="31"/>
      <c r="D5843" s="31"/>
      <c r="H5843" s="31"/>
    </row>
    <row r="5844">
      <c r="A5844" s="31"/>
      <c r="C5844" s="31"/>
      <c r="D5844" s="31"/>
      <c r="H5844" s="31"/>
    </row>
    <row r="5845">
      <c r="A5845" s="31"/>
      <c r="C5845" s="31"/>
      <c r="D5845" s="31"/>
      <c r="H5845" s="31"/>
    </row>
    <row r="5846">
      <c r="A5846" s="31"/>
      <c r="C5846" s="31"/>
      <c r="D5846" s="31"/>
      <c r="H5846" s="31"/>
    </row>
    <row r="5847">
      <c r="A5847" s="31"/>
      <c r="C5847" s="31"/>
      <c r="D5847" s="31"/>
      <c r="H5847" s="31"/>
    </row>
    <row r="5848">
      <c r="A5848" s="31"/>
      <c r="C5848" s="31"/>
      <c r="D5848" s="31"/>
      <c r="H5848" s="31"/>
    </row>
    <row r="5849">
      <c r="A5849" s="31"/>
      <c r="C5849" s="31"/>
      <c r="D5849" s="31"/>
      <c r="H5849" s="31"/>
    </row>
    <row r="5850">
      <c r="A5850" s="31"/>
      <c r="C5850" s="31"/>
      <c r="D5850" s="31"/>
      <c r="H5850" s="31"/>
    </row>
    <row r="5851">
      <c r="A5851" s="31"/>
      <c r="C5851" s="31"/>
      <c r="D5851" s="31"/>
      <c r="H5851" s="31"/>
    </row>
    <row r="5852">
      <c r="A5852" s="31"/>
      <c r="C5852" s="31"/>
      <c r="D5852" s="31"/>
      <c r="H5852" s="31"/>
    </row>
    <row r="5853">
      <c r="A5853" s="31"/>
      <c r="C5853" s="31"/>
      <c r="D5853" s="31"/>
      <c r="H5853" s="31"/>
    </row>
    <row r="5854">
      <c r="A5854" s="31"/>
      <c r="C5854" s="31"/>
      <c r="D5854" s="31"/>
      <c r="H5854" s="31"/>
    </row>
    <row r="5855">
      <c r="A5855" s="31"/>
      <c r="C5855" s="31"/>
      <c r="D5855" s="31"/>
      <c r="H5855" s="31"/>
    </row>
    <row r="5856">
      <c r="A5856" s="31"/>
      <c r="C5856" s="31"/>
      <c r="D5856" s="31"/>
      <c r="H5856" s="31"/>
    </row>
    <row r="5857">
      <c r="A5857" s="31"/>
      <c r="C5857" s="31"/>
      <c r="D5857" s="31"/>
      <c r="H5857" s="31"/>
    </row>
    <row r="5858">
      <c r="A5858" s="31"/>
      <c r="C5858" s="31"/>
      <c r="D5858" s="31"/>
      <c r="H5858" s="31"/>
    </row>
    <row r="5859">
      <c r="A5859" s="31"/>
      <c r="C5859" s="31"/>
      <c r="D5859" s="31"/>
      <c r="H5859" s="31"/>
    </row>
    <row r="5860">
      <c r="A5860" s="31"/>
      <c r="C5860" s="31"/>
      <c r="D5860" s="31"/>
      <c r="H5860" s="31"/>
    </row>
    <row r="5861">
      <c r="A5861" s="31"/>
      <c r="C5861" s="31"/>
      <c r="D5861" s="31"/>
      <c r="H5861" s="31"/>
    </row>
    <row r="5862">
      <c r="A5862" s="31"/>
      <c r="C5862" s="31"/>
      <c r="D5862" s="31"/>
      <c r="H5862" s="31"/>
    </row>
    <row r="5863">
      <c r="A5863" s="31"/>
      <c r="C5863" s="31"/>
      <c r="D5863" s="31"/>
      <c r="H5863" s="31"/>
    </row>
    <row r="5864">
      <c r="A5864" s="31"/>
      <c r="C5864" s="31"/>
      <c r="D5864" s="31"/>
      <c r="H5864" s="31"/>
    </row>
    <row r="5865">
      <c r="A5865" s="31"/>
      <c r="C5865" s="31"/>
      <c r="D5865" s="31"/>
      <c r="H5865" s="31"/>
    </row>
    <row r="5866">
      <c r="A5866" s="31"/>
      <c r="C5866" s="31"/>
      <c r="D5866" s="31"/>
      <c r="H5866" s="31"/>
    </row>
    <row r="5867">
      <c r="A5867" s="31"/>
      <c r="C5867" s="31"/>
      <c r="D5867" s="31"/>
      <c r="H5867" s="31"/>
    </row>
    <row r="5868">
      <c r="A5868" s="31"/>
      <c r="C5868" s="31"/>
      <c r="D5868" s="31"/>
      <c r="H5868" s="31"/>
    </row>
    <row r="5869">
      <c r="A5869" s="31"/>
      <c r="C5869" s="31"/>
      <c r="D5869" s="31"/>
      <c r="H5869" s="31"/>
    </row>
    <row r="5870">
      <c r="A5870" s="31"/>
      <c r="C5870" s="31"/>
      <c r="D5870" s="31"/>
      <c r="H5870" s="31"/>
    </row>
    <row r="5871">
      <c r="A5871" s="31"/>
      <c r="C5871" s="31"/>
      <c r="D5871" s="31"/>
      <c r="H5871" s="31"/>
    </row>
    <row r="5872">
      <c r="A5872" s="31"/>
      <c r="C5872" s="31"/>
      <c r="D5872" s="31"/>
      <c r="H5872" s="31"/>
    </row>
    <row r="5873">
      <c r="A5873" s="31"/>
      <c r="C5873" s="31"/>
      <c r="D5873" s="31"/>
      <c r="H5873" s="31"/>
    </row>
    <row r="5874">
      <c r="A5874" s="31"/>
      <c r="C5874" s="31"/>
      <c r="D5874" s="31"/>
      <c r="H5874" s="31"/>
    </row>
    <row r="5875">
      <c r="A5875" s="31"/>
      <c r="C5875" s="31"/>
      <c r="D5875" s="31"/>
      <c r="H5875" s="31"/>
    </row>
    <row r="5876">
      <c r="A5876" s="31"/>
      <c r="C5876" s="31"/>
      <c r="D5876" s="31"/>
      <c r="H5876" s="31"/>
    </row>
    <row r="5877">
      <c r="A5877" s="31"/>
      <c r="C5877" s="31"/>
      <c r="D5877" s="31"/>
      <c r="H5877" s="31"/>
    </row>
    <row r="5878">
      <c r="A5878" s="31"/>
      <c r="C5878" s="31"/>
      <c r="D5878" s="31"/>
      <c r="H5878" s="31"/>
    </row>
    <row r="5879">
      <c r="A5879" s="31"/>
      <c r="C5879" s="31"/>
      <c r="D5879" s="31"/>
      <c r="H5879" s="31"/>
    </row>
    <row r="5880">
      <c r="A5880" s="31"/>
      <c r="C5880" s="31"/>
      <c r="D5880" s="31"/>
      <c r="H5880" s="31"/>
    </row>
    <row r="5881">
      <c r="A5881" s="31"/>
      <c r="C5881" s="31"/>
      <c r="D5881" s="31"/>
      <c r="H5881" s="31"/>
    </row>
    <row r="5882">
      <c r="A5882" s="31"/>
      <c r="C5882" s="31"/>
      <c r="D5882" s="31"/>
      <c r="H5882" s="31"/>
    </row>
    <row r="5883">
      <c r="A5883" s="31"/>
      <c r="C5883" s="31"/>
      <c r="D5883" s="31"/>
      <c r="H5883" s="31"/>
    </row>
    <row r="5884">
      <c r="A5884" s="31"/>
      <c r="C5884" s="31"/>
      <c r="D5884" s="31"/>
      <c r="H5884" s="31"/>
    </row>
    <row r="5885">
      <c r="A5885" s="31"/>
      <c r="C5885" s="31"/>
      <c r="D5885" s="31"/>
      <c r="H5885" s="31"/>
    </row>
    <row r="5886">
      <c r="A5886" s="31"/>
      <c r="C5886" s="31"/>
      <c r="D5886" s="31"/>
      <c r="H5886" s="31"/>
    </row>
    <row r="5887">
      <c r="A5887" s="31"/>
      <c r="C5887" s="31"/>
      <c r="D5887" s="31"/>
      <c r="H5887" s="31"/>
    </row>
    <row r="5888">
      <c r="A5888" s="31"/>
      <c r="C5888" s="31"/>
      <c r="D5888" s="31"/>
      <c r="H5888" s="31"/>
    </row>
    <row r="5889">
      <c r="A5889" s="31"/>
      <c r="C5889" s="31"/>
      <c r="D5889" s="31"/>
      <c r="H5889" s="31"/>
    </row>
    <row r="5890">
      <c r="A5890" s="31"/>
      <c r="C5890" s="31"/>
      <c r="D5890" s="31"/>
      <c r="H5890" s="31"/>
    </row>
    <row r="5891">
      <c r="A5891" s="31"/>
      <c r="C5891" s="31"/>
      <c r="D5891" s="31"/>
      <c r="H5891" s="31"/>
    </row>
    <row r="5892">
      <c r="A5892" s="31"/>
      <c r="C5892" s="31"/>
      <c r="D5892" s="31"/>
      <c r="H5892" s="31"/>
    </row>
    <row r="5893">
      <c r="A5893" s="31"/>
      <c r="C5893" s="31"/>
      <c r="D5893" s="31"/>
      <c r="H5893" s="31"/>
    </row>
    <row r="5894">
      <c r="A5894" s="31"/>
      <c r="C5894" s="31"/>
      <c r="D5894" s="31"/>
      <c r="H5894" s="31"/>
    </row>
    <row r="5895">
      <c r="A5895" s="31"/>
      <c r="C5895" s="31"/>
      <c r="D5895" s="31"/>
      <c r="H5895" s="31"/>
    </row>
    <row r="5896">
      <c r="A5896" s="31"/>
      <c r="C5896" s="31"/>
      <c r="D5896" s="31"/>
      <c r="H5896" s="31"/>
    </row>
    <row r="5897">
      <c r="A5897" s="31"/>
      <c r="C5897" s="31"/>
      <c r="D5897" s="31"/>
      <c r="H5897" s="31"/>
    </row>
    <row r="5898">
      <c r="A5898" s="31"/>
      <c r="C5898" s="31"/>
      <c r="D5898" s="31"/>
      <c r="H5898" s="31"/>
    </row>
    <row r="5899">
      <c r="A5899" s="31"/>
      <c r="C5899" s="31"/>
      <c r="D5899" s="31"/>
      <c r="H5899" s="31"/>
    </row>
    <row r="5900">
      <c r="A5900" s="31"/>
      <c r="C5900" s="31"/>
      <c r="D5900" s="31"/>
      <c r="H5900" s="31"/>
    </row>
    <row r="5901">
      <c r="A5901" s="31"/>
      <c r="C5901" s="31"/>
      <c r="D5901" s="31"/>
      <c r="H5901" s="31"/>
    </row>
    <row r="5902">
      <c r="A5902" s="31"/>
      <c r="C5902" s="31"/>
      <c r="D5902" s="31"/>
      <c r="H5902" s="31"/>
    </row>
    <row r="5903">
      <c r="A5903" s="31"/>
      <c r="C5903" s="31"/>
      <c r="D5903" s="31"/>
      <c r="H5903" s="31"/>
    </row>
    <row r="5904">
      <c r="A5904" s="31"/>
      <c r="C5904" s="31"/>
      <c r="D5904" s="31"/>
      <c r="H5904" s="31"/>
    </row>
    <row r="5905">
      <c r="A5905" s="31"/>
      <c r="C5905" s="31"/>
      <c r="D5905" s="31"/>
      <c r="H5905" s="31"/>
    </row>
    <row r="5906">
      <c r="A5906" s="31"/>
      <c r="C5906" s="31"/>
      <c r="D5906" s="31"/>
      <c r="H5906" s="31"/>
    </row>
    <row r="5907">
      <c r="A5907" s="31"/>
      <c r="C5907" s="31"/>
      <c r="D5907" s="31"/>
      <c r="H5907" s="31"/>
    </row>
    <row r="5908">
      <c r="A5908" s="31"/>
      <c r="C5908" s="31"/>
      <c r="D5908" s="31"/>
      <c r="H5908" s="31"/>
    </row>
    <row r="5909">
      <c r="A5909" s="31"/>
      <c r="C5909" s="31"/>
      <c r="D5909" s="31"/>
      <c r="H5909" s="31"/>
    </row>
    <row r="5910">
      <c r="A5910" s="31"/>
      <c r="C5910" s="31"/>
      <c r="D5910" s="31"/>
      <c r="H5910" s="31"/>
    </row>
    <row r="5911">
      <c r="A5911" s="31"/>
      <c r="C5911" s="31"/>
      <c r="D5911" s="31"/>
      <c r="H5911" s="31"/>
    </row>
    <row r="5912">
      <c r="A5912" s="31"/>
      <c r="C5912" s="31"/>
      <c r="D5912" s="31"/>
      <c r="H5912" s="31"/>
    </row>
    <row r="5913">
      <c r="A5913" s="31"/>
      <c r="C5913" s="31"/>
      <c r="D5913" s="31"/>
      <c r="H5913" s="31"/>
    </row>
    <row r="5914">
      <c r="A5914" s="31"/>
      <c r="C5914" s="31"/>
      <c r="D5914" s="31"/>
      <c r="H5914" s="31"/>
    </row>
    <row r="5915">
      <c r="A5915" s="31"/>
      <c r="C5915" s="31"/>
      <c r="D5915" s="31"/>
      <c r="H5915" s="31"/>
    </row>
    <row r="5916">
      <c r="A5916" s="31"/>
      <c r="C5916" s="31"/>
      <c r="D5916" s="31"/>
      <c r="H5916" s="31"/>
    </row>
    <row r="5917">
      <c r="A5917" s="31"/>
      <c r="C5917" s="31"/>
      <c r="D5917" s="31"/>
      <c r="H5917" s="31"/>
    </row>
    <row r="5918">
      <c r="A5918" s="31"/>
      <c r="C5918" s="31"/>
      <c r="D5918" s="31"/>
      <c r="H5918" s="31"/>
    </row>
    <row r="5919">
      <c r="A5919" s="31"/>
      <c r="C5919" s="31"/>
      <c r="D5919" s="31"/>
      <c r="H5919" s="31"/>
    </row>
    <row r="5920">
      <c r="A5920" s="31"/>
      <c r="C5920" s="31"/>
      <c r="D5920" s="31"/>
      <c r="H5920" s="31"/>
    </row>
    <row r="5921">
      <c r="A5921" s="31"/>
      <c r="C5921" s="31"/>
      <c r="D5921" s="31"/>
      <c r="H5921" s="31"/>
    </row>
    <row r="5922">
      <c r="A5922" s="31"/>
      <c r="C5922" s="31"/>
      <c r="D5922" s="31"/>
      <c r="H5922" s="31"/>
    </row>
    <row r="5923">
      <c r="A5923" s="31"/>
      <c r="C5923" s="31"/>
      <c r="D5923" s="31"/>
      <c r="H5923" s="31"/>
    </row>
    <row r="5924">
      <c r="A5924" s="31"/>
      <c r="C5924" s="31"/>
      <c r="D5924" s="31"/>
      <c r="H5924" s="31"/>
    </row>
    <row r="5925">
      <c r="A5925" s="31"/>
      <c r="C5925" s="31"/>
      <c r="D5925" s="31"/>
      <c r="H5925" s="31"/>
    </row>
    <row r="5926">
      <c r="A5926" s="31"/>
      <c r="C5926" s="31"/>
      <c r="D5926" s="31"/>
      <c r="H5926" s="31"/>
    </row>
    <row r="5927">
      <c r="A5927" s="31"/>
      <c r="C5927" s="31"/>
      <c r="D5927" s="31"/>
      <c r="H5927" s="31"/>
    </row>
    <row r="5928">
      <c r="A5928" s="31"/>
      <c r="C5928" s="31"/>
      <c r="D5928" s="31"/>
      <c r="H5928" s="31"/>
    </row>
    <row r="5929">
      <c r="A5929" s="31"/>
      <c r="C5929" s="31"/>
      <c r="D5929" s="31"/>
      <c r="H5929" s="31"/>
    </row>
    <row r="5930">
      <c r="A5930" s="31"/>
      <c r="C5930" s="31"/>
      <c r="D5930" s="31"/>
      <c r="H5930" s="31"/>
    </row>
    <row r="5931">
      <c r="A5931" s="31"/>
      <c r="C5931" s="31"/>
      <c r="D5931" s="31"/>
      <c r="H5931" s="31"/>
    </row>
    <row r="5932">
      <c r="A5932" s="31"/>
      <c r="C5932" s="31"/>
      <c r="D5932" s="31"/>
      <c r="H5932" s="31"/>
    </row>
    <row r="5933">
      <c r="A5933" s="31"/>
      <c r="C5933" s="31"/>
      <c r="D5933" s="31"/>
      <c r="H5933" s="31"/>
    </row>
    <row r="5934">
      <c r="A5934" s="31"/>
      <c r="C5934" s="31"/>
      <c r="D5934" s="31"/>
      <c r="H5934" s="31"/>
    </row>
    <row r="5935">
      <c r="A5935" s="31"/>
      <c r="C5935" s="31"/>
      <c r="D5935" s="31"/>
      <c r="H5935" s="31"/>
    </row>
    <row r="5936">
      <c r="A5936" s="31"/>
      <c r="C5936" s="31"/>
      <c r="D5936" s="31"/>
      <c r="H5936" s="31"/>
    </row>
    <row r="5937">
      <c r="A5937" s="31"/>
      <c r="C5937" s="31"/>
      <c r="D5937" s="31"/>
      <c r="H5937" s="31"/>
    </row>
    <row r="5938">
      <c r="A5938" s="31"/>
      <c r="C5938" s="31"/>
      <c r="D5938" s="31"/>
      <c r="H5938" s="31"/>
    </row>
    <row r="5939">
      <c r="A5939" s="31"/>
      <c r="C5939" s="31"/>
      <c r="D5939" s="31"/>
      <c r="H5939" s="31"/>
    </row>
    <row r="5940">
      <c r="A5940" s="31"/>
      <c r="C5940" s="31"/>
      <c r="D5940" s="31"/>
      <c r="H5940" s="31"/>
    </row>
    <row r="5941">
      <c r="A5941" s="31"/>
      <c r="C5941" s="31"/>
      <c r="D5941" s="31"/>
      <c r="H5941" s="31"/>
    </row>
    <row r="5942">
      <c r="A5942" s="31"/>
      <c r="C5942" s="31"/>
      <c r="D5942" s="31"/>
      <c r="H5942" s="31"/>
    </row>
    <row r="5943">
      <c r="A5943" s="31"/>
      <c r="C5943" s="31"/>
      <c r="D5943" s="31"/>
      <c r="H5943" s="31"/>
    </row>
    <row r="5944">
      <c r="A5944" s="31"/>
      <c r="C5944" s="31"/>
      <c r="D5944" s="31"/>
      <c r="H5944" s="31"/>
    </row>
    <row r="5945">
      <c r="A5945" s="31"/>
      <c r="C5945" s="31"/>
      <c r="D5945" s="31"/>
      <c r="H5945" s="31"/>
    </row>
    <row r="5946">
      <c r="A5946" s="31"/>
      <c r="C5946" s="31"/>
      <c r="D5946" s="31"/>
      <c r="H5946" s="31"/>
    </row>
    <row r="5947">
      <c r="A5947" s="31"/>
      <c r="C5947" s="31"/>
      <c r="D5947" s="31"/>
      <c r="H5947" s="31"/>
    </row>
    <row r="5948">
      <c r="A5948" s="31"/>
      <c r="C5948" s="31"/>
      <c r="D5948" s="31"/>
      <c r="H5948" s="31"/>
    </row>
    <row r="5949">
      <c r="A5949" s="31"/>
      <c r="C5949" s="31"/>
      <c r="D5949" s="31"/>
      <c r="H5949" s="31"/>
    </row>
    <row r="5950">
      <c r="A5950" s="31"/>
      <c r="C5950" s="31"/>
      <c r="D5950" s="31"/>
      <c r="H5950" s="31"/>
    </row>
    <row r="5951">
      <c r="A5951" s="31"/>
      <c r="C5951" s="31"/>
      <c r="D5951" s="31"/>
      <c r="H5951" s="31"/>
    </row>
    <row r="5952">
      <c r="A5952" s="31"/>
      <c r="C5952" s="31"/>
      <c r="D5952" s="31"/>
      <c r="H5952" s="31"/>
    </row>
    <row r="5953">
      <c r="A5953" s="31"/>
      <c r="C5953" s="31"/>
      <c r="D5953" s="31"/>
      <c r="H5953" s="31"/>
    </row>
    <row r="5954">
      <c r="A5954" s="31"/>
      <c r="C5954" s="31"/>
      <c r="D5954" s="31"/>
      <c r="H5954" s="31"/>
    </row>
    <row r="5955">
      <c r="A5955" s="31"/>
      <c r="C5955" s="31"/>
      <c r="D5955" s="31"/>
      <c r="H5955" s="31"/>
    </row>
    <row r="5956">
      <c r="A5956" s="31"/>
      <c r="C5956" s="31"/>
      <c r="D5956" s="31"/>
      <c r="H5956" s="31"/>
    </row>
    <row r="5957">
      <c r="A5957" s="31"/>
      <c r="C5957" s="31"/>
      <c r="D5957" s="31"/>
      <c r="H5957" s="31"/>
    </row>
    <row r="5958">
      <c r="A5958" s="31"/>
      <c r="C5958" s="31"/>
      <c r="D5958" s="31"/>
      <c r="H5958" s="31"/>
    </row>
    <row r="5959">
      <c r="A5959" s="31"/>
      <c r="C5959" s="31"/>
      <c r="D5959" s="31"/>
      <c r="H5959" s="31"/>
    </row>
    <row r="5960">
      <c r="A5960" s="31"/>
      <c r="C5960" s="31"/>
      <c r="D5960" s="31"/>
      <c r="H5960" s="31"/>
    </row>
    <row r="5961">
      <c r="A5961" s="31"/>
      <c r="C5961" s="31"/>
      <c r="D5961" s="31"/>
      <c r="H5961" s="31"/>
    </row>
    <row r="5962">
      <c r="A5962" s="31"/>
      <c r="C5962" s="31"/>
      <c r="D5962" s="31"/>
      <c r="H5962" s="31"/>
    </row>
    <row r="5963">
      <c r="A5963" s="31"/>
      <c r="C5963" s="31"/>
      <c r="D5963" s="31"/>
      <c r="H5963" s="31"/>
    </row>
    <row r="5964">
      <c r="A5964" s="31"/>
      <c r="C5964" s="31"/>
      <c r="D5964" s="31"/>
      <c r="H5964" s="31"/>
    </row>
    <row r="5965">
      <c r="A5965" s="31"/>
      <c r="C5965" s="31"/>
      <c r="D5965" s="31"/>
      <c r="H5965" s="31"/>
    </row>
    <row r="5966">
      <c r="A5966" s="31"/>
      <c r="C5966" s="31"/>
      <c r="D5966" s="31"/>
      <c r="H5966" s="31"/>
    </row>
    <row r="5967">
      <c r="A5967" s="31"/>
      <c r="C5967" s="31"/>
      <c r="D5967" s="31"/>
      <c r="H5967" s="31"/>
    </row>
    <row r="5968">
      <c r="A5968" s="31"/>
      <c r="C5968" s="31"/>
      <c r="D5968" s="31"/>
      <c r="H5968" s="31"/>
    </row>
    <row r="5969">
      <c r="A5969" s="31"/>
      <c r="C5969" s="31"/>
      <c r="D5969" s="31"/>
      <c r="H5969" s="31"/>
    </row>
    <row r="5970">
      <c r="A5970" s="31"/>
      <c r="C5970" s="31"/>
      <c r="D5970" s="31"/>
      <c r="H5970" s="31"/>
    </row>
    <row r="5971">
      <c r="A5971" s="31"/>
      <c r="C5971" s="31"/>
      <c r="D5971" s="31"/>
      <c r="H5971" s="31"/>
    </row>
    <row r="5972">
      <c r="A5972" s="31"/>
      <c r="C5972" s="31"/>
      <c r="D5972" s="31"/>
      <c r="H5972" s="31"/>
    </row>
    <row r="5973">
      <c r="A5973" s="31"/>
      <c r="C5973" s="31"/>
      <c r="D5973" s="31"/>
      <c r="H5973" s="31"/>
    </row>
    <row r="5974">
      <c r="A5974" s="31"/>
      <c r="C5974" s="31"/>
      <c r="D5974" s="31"/>
      <c r="H5974" s="31"/>
    </row>
    <row r="5975">
      <c r="A5975" s="31"/>
      <c r="C5975" s="31"/>
      <c r="D5975" s="31"/>
      <c r="H5975" s="31"/>
    </row>
    <row r="5976">
      <c r="A5976" s="31"/>
      <c r="C5976" s="31"/>
      <c r="D5976" s="31"/>
      <c r="H5976" s="31"/>
    </row>
    <row r="5977">
      <c r="A5977" s="31"/>
      <c r="C5977" s="31"/>
      <c r="D5977" s="31"/>
      <c r="H5977" s="31"/>
    </row>
    <row r="5978">
      <c r="A5978" s="31"/>
      <c r="C5978" s="31"/>
      <c r="D5978" s="31"/>
      <c r="H5978" s="31"/>
    </row>
    <row r="5979">
      <c r="A5979" s="31"/>
      <c r="C5979" s="31"/>
      <c r="D5979" s="31"/>
      <c r="H5979" s="31"/>
    </row>
    <row r="5980">
      <c r="A5980" s="31"/>
      <c r="C5980" s="31"/>
      <c r="D5980" s="31"/>
      <c r="H5980" s="31"/>
    </row>
    <row r="5981">
      <c r="A5981" s="31"/>
      <c r="C5981" s="31"/>
      <c r="D5981" s="31"/>
      <c r="H5981" s="31"/>
    </row>
    <row r="5982">
      <c r="A5982" s="31"/>
      <c r="C5982" s="31"/>
      <c r="D5982" s="31"/>
      <c r="H5982" s="31"/>
    </row>
    <row r="5983">
      <c r="A5983" s="31"/>
      <c r="C5983" s="31"/>
      <c r="D5983" s="31"/>
      <c r="H5983" s="31"/>
    </row>
    <row r="5984">
      <c r="A5984" s="31"/>
      <c r="C5984" s="31"/>
      <c r="D5984" s="31"/>
      <c r="H5984" s="31"/>
    </row>
    <row r="5985">
      <c r="A5985" s="31"/>
      <c r="C5985" s="31"/>
      <c r="D5985" s="31"/>
      <c r="H5985" s="31"/>
    </row>
    <row r="5986">
      <c r="A5986" s="31"/>
      <c r="C5986" s="31"/>
      <c r="D5986" s="31"/>
      <c r="H5986" s="31"/>
    </row>
    <row r="5987">
      <c r="A5987" s="31"/>
      <c r="C5987" s="31"/>
      <c r="D5987" s="31"/>
      <c r="H5987" s="31"/>
    </row>
    <row r="5988">
      <c r="A5988" s="31"/>
      <c r="C5988" s="31"/>
      <c r="D5988" s="31"/>
      <c r="H5988" s="31"/>
    </row>
    <row r="5989">
      <c r="A5989" s="31"/>
      <c r="C5989" s="31"/>
      <c r="D5989" s="31"/>
      <c r="H5989" s="31"/>
    </row>
    <row r="5990">
      <c r="A5990" s="31"/>
      <c r="C5990" s="31"/>
      <c r="D5990" s="31"/>
      <c r="H5990" s="31"/>
    </row>
    <row r="5991">
      <c r="A5991" s="31"/>
      <c r="C5991" s="31"/>
      <c r="D5991" s="31"/>
      <c r="H5991" s="31"/>
    </row>
    <row r="5992">
      <c r="A5992" s="31"/>
      <c r="C5992" s="31"/>
      <c r="D5992" s="31"/>
      <c r="H5992" s="31"/>
    </row>
    <row r="5993">
      <c r="A5993" s="31"/>
      <c r="C5993" s="31"/>
      <c r="D5993" s="31"/>
      <c r="H5993" s="31"/>
    </row>
    <row r="5994">
      <c r="A5994" s="31"/>
      <c r="C5994" s="31"/>
      <c r="D5994" s="31"/>
      <c r="H5994" s="31"/>
    </row>
    <row r="5995">
      <c r="A5995" s="31"/>
      <c r="C5995" s="31"/>
      <c r="D5995" s="31"/>
      <c r="H5995" s="31"/>
    </row>
    <row r="5996">
      <c r="A5996" s="31"/>
      <c r="C5996" s="31"/>
      <c r="D5996" s="31"/>
      <c r="H5996" s="31"/>
    </row>
    <row r="5997">
      <c r="A5997" s="31"/>
      <c r="C5997" s="31"/>
      <c r="D5997" s="31"/>
      <c r="H5997" s="31"/>
    </row>
    <row r="5998">
      <c r="A5998" s="31"/>
      <c r="C5998" s="31"/>
      <c r="D5998" s="31"/>
      <c r="H5998" s="31"/>
    </row>
    <row r="5999">
      <c r="A5999" s="31"/>
      <c r="C5999" s="31"/>
      <c r="D5999" s="31"/>
      <c r="H5999" s="31"/>
    </row>
    <row r="6000">
      <c r="A6000" s="31"/>
      <c r="C6000" s="31"/>
      <c r="D6000" s="31"/>
      <c r="H6000" s="31"/>
    </row>
    <row r="6001">
      <c r="A6001" s="31"/>
      <c r="C6001" s="31"/>
      <c r="D6001" s="31"/>
      <c r="H6001" s="31"/>
    </row>
    <row r="6002">
      <c r="A6002" s="31"/>
      <c r="C6002" s="31"/>
      <c r="D6002" s="31"/>
      <c r="H6002" s="31"/>
    </row>
    <row r="6003">
      <c r="A6003" s="31"/>
      <c r="C6003" s="31"/>
      <c r="D6003" s="31"/>
      <c r="H6003" s="31"/>
    </row>
    <row r="6004">
      <c r="A6004" s="31"/>
      <c r="C6004" s="31"/>
      <c r="D6004" s="31"/>
      <c r="H6004" s="31"/>
    </row>
    <row r="6005">
      <c r="A6005" s="31"/>
      <c r="C6005" s="31"/>
      <c r="D6005" s="31"/>
      <c r="H6005" s="31"/>
    </row>
    <row r="6006">
      <c r="A6006" s="31"/>
      <c r="C6006" s="31"/>
      <c r="D6006" s="31"/>
      <c r="H6006" s="31"/>
    </row>
    <row r="6007">
      <c r="A6007" s="31"/>
      <c r="C6007" s="31"/>
      <c r="D6007" s="31"/>
      <c r="H6007" s="31"/>
    </row>
    <row r="6008">
      <c r="A6008" s="31"/>
      <c r="C6008" s="31"/>
      <c r="D6008" s="31"/>
      <c r="H6008" s="31"/>
    </row>
    <row r="6009">
      <c r="A6009" s="31"/>
      <c r="C6009" s="31"/>
      <c r="D6009" s="31"/>
      <c r="H6009" s="31"/>
    </row>
    <row r="6010">
      <c r="A6010" s="31"/>
      <c r="C6010" s="31"/>
      <c r="D6010" s="31"/>
      <c r="H6010" s="31"/>
    </row>
    <row r="6011">
      <c r="A6011" s="31"/>
      <c r="C6011" s="31"/>
      <c r="D6011" s="31"/>
      <c r="H6011" s="31"/>
    </row>
    <row r="6012">
      <c r="A6012" s="31"/>
      <c r="C6012" s="31"/>
      <c r="D6012" s="31"/>
      <c r="H6012" s="31"/>
    </row>
    <row r="6013">
      <c r="A6013" s="31"/>
      <c r="C6013" s="31"/>
      <c r="D6013" s="31"/>
      <c r="H6013" s="31"/>
    </row>
    <row r="6014">
      <c r="A6014" s="31"/>
      <c r="C6014" s="31"/>
      <c r="D6014" s="31"/>
      <c r="H6014" s="31"/>
    </row>
    <row r="6015">
      <c r="A6015" s="31"/>
      <c r="C6015" s="31"/>
      <c r="D6015" s="31"/>
      <c r="H6015" s="31"/>
    </row>
    <row r="6016">
      <c r="A6016" s="31"/>
      <c r="C6016" s="31"/>
      <c r="D6016" s="31"/>
      <c r="H6016" s="31"/>
    </row>
    <row r="6017">
      <c r="A6017" s="31"/>
      <c r="C6017" s="31"/>
      <c r="D6017" s="31"/>
      <c r="H6017" s="31"/>
    </row>
    <row r="6018">
      <c r="A6018" s="31"/>
      <c r="C6018" s="31"/>
      <c r="D6018" s="31"/>
      <c r="H6018" s="31"/>
    </row>
    <row r="6019">
      <c r="A6019" s="31"/>
      <c r="C6019" s="31"/>
      <c r="D6019" s="31"/>
      <c r="H6019" s="31"/>
    </row>
    <row r="6020">
      <c r="A6020" s="31"/>
      <c r="C6020" s="31"/>
      <c r="D6020" s="31"/>
      <c r="H6020" s="31"/>
    </row>
    <row r="6021">
      <c r="A6021" s="31"/>
      <c r="C6021" s="31"/>
      <c r="D6021" s="31"/>
      <c r="H6021" s="31"/>
    </row>
    <row r="6022">
      <c r="A6022" s="31"/>
      <c r="C6022" s="31"/>
      <c r="D6022" s="31"/>
      <c r="H6022" s="31"/>
    </row>
    <row r="6023">
      <c r="A6023" s="31"/>
      <c r="C6023" s="31"/>
      <c r="D6023" s="31"/>
      <c r="H6023" s="31"/>
    </row>
    <row r="6024">
      <c r="A6024" s="31"/>
      <c r="C6024" s="31"/>
      <c r="D6024" s="31"/>
      <c r="H6024" s="31"/>
    </row>
    <row r="6025">
      <c r="A6025" s="31"/>
      <c r="C6025" s="31"/>
      <c r="D6025" s="31"/>
      <c r="H6025" s="31"/>
    </row>
    <row r="6026">
      <c r="A6026" s="31"/>
      <c r="C6026" s="31"/>
      <c r="D6026" s="31"/>
      <c r="H6026" s="31"/>
    </row>
    <row r="6027">
      <c r="A6027" s="31"/>
      <c r="C6027" s="31"/>
      <c r="D6027" s="31"/>
      <c r="H6027" s="31"/>
    </row>
    <row r="6028">
      <c r="A6028" s="31"/>
      <c r="C6028" s="31"/>
      <c r="D6028" s="31"/>
      <c r="H6028" s="31"/>
    </row>
    <row r="6029">
      <c r="A6029" s="31"/>
      <c r="C6029" s="31"/>
      <c r="D6029" s="31"/>
      <c r="H6029" s="31"/>
    </row>
    <row r="6030">
      <c r="A6030" s="31"/>
      <c r="C6030" s="31"/>
      <c r="D6030" s="31"/>
      <c r="H6030" s="31"/>
    </row>
    <row r="6031">
      <c r="A6031" s="31"/>
      <c r="C6031" s="31"/>
      <c r="D6031" s="31"/>
      <c r="H6031" s="31"/>
    </row>
    <row r="6032">
      <c r="A6032" s="31"/>
      <c r="C6032" s="31"/>
      <c r="D6032" s="31"/>
      <c r="H6032" s="31"/>
    </row>
    <row r="6033">
      <c r="A6033" s="31"/>
      <c r="C6033" s="31"/>
      <c r="D6033" s="31"/>
      <c r="H6033" s="31"/>
    </row>
    <row r="6034">
      <c r="A6034" s="31"/>
      <c r="C6034" s="31"/>
      <c r="D6034" s="31"/>
      <c r="H6034" s="31"/>
    </row>
    <row r="6035">
      <c r="A6035" s="31"/>
      <c r="C6035" s="31"/>
      <c r="D6035" s="31"/>
      <c r="H6035" s="31"/>
    </row>
    <row r="6036">
      <c r="A6036" s="31"/>
      <c r="C6036" s="31"/>
      <c r="D6036" s="31"/>
      <c r="H6036" s="31"/>
    </row>
    <row r="6037">
      <c r="A6037" s="31"/>
      <c r="C6037" s="31"/>
      <c r="D6037" s="31"/>
      <c r="H6037" s="31"/>
    </row>
    <row r="6038">
      <c r="A6038" s="31"/>
      <c r="C6038" s="31"/>
      <c r="D6038" s="31"/>
      <c r="H6038" s="31"/>
    </row>
    <row r="6039">
      <c r="A6039" s="31"/>
      <c r="C6039" s="31"/>
      <c r="D6039" s="31"/>
      <c r="H6039" s="31"/>
    </row>
    <row r="6040">
      <c r="A6040" s="31"/>
      <c r="C6040" s="31"/>
      <c r="D6040" s="31"/>
      <c r="H6040" s="31"/>
    </row>
    <row r="6041">
      <c r="A6041" s="31"/>
      <c r="C6041" s="31"/>
      <c r="D6041" s="31"/>
      <c r="H6041" s="31"/>
    </row>
    <row r="6042">
      <c r="A6042" s="31"/>
      <c r="C6042" s="31"/>
      <c r="D6042" s="31"/>
      <c r="H6042" s="31"/>
    </row>
    <row r="6043">
      <c r="A6043" s="31"/>
      <c r="C6043" s="31"/>
      <c r="D6043" s="31"/>
      <c r="H6043" s="31"/>
    </row>
    <row r="6044">
      <c r="A6044" s="31"/>
      <c r="C6044" s="31"/>
      <c r="D6044" s="31"/>
      <c r="H6044" s="31"/>
    </row>
    <row r="6045">
      <c r="A6045" s="31"/>
      <c r="C6045" s="31"/>
      <c r="D6045" s="31"/>
      <c r="H6045" s="31"/>
    </row>
    <row r="6046">
      <c r="A6046" s="31"/>
      <c r="C6046" s="31"/>
      <c r="D6046" s="31"/>
      <c r="H6046" s="31"/>
    </row>
    <row r="6047">
      <c r="A6047" s="31"/>
      <c r="C6047" s="31"/>
      <c r="D6047" s="31"/>
      <c r="H6047" s="31"/>
    </row>
    <row r="6048">
      <c r="A6048" s="31"/>
      <c r="C6048" s="31"/>
      <c r="D6048" s="31"/>
      <c r="H6048" s="31"/>
    </row>
    <row r="6049">
      <c r="A6049" s="31"/>
      <c r="C6049" s="31"/>
      <c r="D6049" s="31"/>
      <c r="H6049" s="31"/>
    </row>
    <row r="6050">
      <c r="A6050" s="31"/>
      <c r="C6050" s="31"/>
      <c r="D6050" s="31"/>
      <c r="H6050" s="31"/>
    </row>
    <row r="6051">
      <c r="A6051" s="31"/>
      <c r="C6051" s="31"/>
      <c r="D6051" s="31"/>
      <c r="H6051" s="31"/>
    </row>
    <row r="6052">
      <c r="A6052" s="31"/>
      <c r="C6052" s="31"/>
      <c r="D6052" s="31"/>
      <c r="H6052" s="31"/>
    </row>
    <row r="6053">
      <c r="A6053" s="31"/>
      <c r="C6053" s="31"/>
      <c r="D6053" s="31"/>
      <c r="H6053" s="31"/>
    </row>
    <row r="6054">
      <c r="A6054" s="31"/>
      <c r="C6054" s="31"/>
      <c r="D6054" s="31"/>
      <c r="H6054" s="31"/>
    </row>
    <row r="6055">
      <c r="A6055" s="31"/>
      <c r="C6055" s="31"/>
      <c r="D6055" s="31"/>
      <c r="H6055" s="31"/>
    </row>
    <row r="6056">
      <c r="A6056" s="31"/>
      <c r="C6056" s="31"/>
      <c r="D6056" s="31"/>
      <c r="H6056" s="31"/>
    </row>
    <row r="6057">
      <c r="A6057" s="31"/>
      <c r="C6057" s="31"/>
      <c r="D6057" s="31"/>
      <c r="H6057" s="31"/>
    </row>
    <row r="6058">
      <c r="A6058" s="31"/>
      <c r="C6058" s="31"/>
      <c r="D6058" s="31"/>
      <c r="H6058" s="31"/>
    </row>
    <row r="6059">
      <c r="A6059" s="31"/>
      <c r="C6059" s="31"/>
      <c r="D6059" s="31"/>
      <c r="H6059" s="31"/>
    </row>
    <row r="6060">
      <c r="A6060" s="31"/>
      <c r="C6060" s="31"/>
      <c r="D6060" s="31"/>
      <c r="H6060" s="31"/>
    </row>
    <row r="6061">
      <c r="A6061" s="31"/>
      <c r="C6061" s="31"/>
      <c r="D6061" s="31"/>
      <c r="H6061" s="31"/>
    </row>
    <row r="6062">
      <c r="A6062" s="31"/>
      <c r="C6062" s="31"/>
      <c r="D6062" s="31"/>
      <c r="H6062" s="31"/>
    </row>
    <row r="6063">
      <c r="A6063" s="31"/>
      <c r="C6063" s="31"/>
      <c r="D6063" s="31"/>
      <c r="H6063" s="31"/>
    </row>
    <row r="6064">
      <c r="A6064" s="31"/>
      <c r="C6064" s="31"/>
      <c r="D6064" s="31"/>
      <c r="H6064" s="31"/>
    </row>
    <row r="6065">
      <c r="A6065" s="31"/>
      <c r="C6065" s="31"/>
      <c r="D6065" s="31"/>
      <c r="H6065" s="31"/>
    </row>
    <row r="6066">
      <c r="A6066" s="31"/>
      <c r="C6066" s="31"/>
      <c r="D6066" s="31"/>
      <c r="H6066" s="31"/>
    </row>
    <row r="6067">
      <c r="A6067" s="31"/>
      <c r="C6067" s="31"/>
      <c r="D6067" s="31"/>
      <c r="H6067" s="31"/>
    </row>
    <row r="6068">
      <c r="A6068" s="31"/>
      <c r="C6068" s="31"/>
      <c r="D6068" s="31"/>
      <c r="H6068" s="31"/>
    </row>
    <row r="6069">
      <c r="A6069" s="31"/>
      <c r="C6069" s="31"/>
      <c r="D6069" s="31"/>
      <c r="H6069" s="31"/>
    </row>
    <row r="6070">
      <c r="A6070" s="31"/>
      <c r="C6070" s="31"/>
      <c r="D6070" s="31"/>
      <c r="H6070" s="31"/>
    </row>
    <row r="6071">
      <c r="A6071" s="31"/>
      <c r="C6071" s="31"/>
      <c r="D6071" s="31"/>
      <c r="H6071" s="31"/>
    </row>
    <row r="6072">
      <c r="A6072" s="31"/>
      <c r="C6072" s="31"/>
      <c r="D6072" s="31"/>
      <c r="H6072" s="31"/>
    </row>
    <row r="6073">
      <c r="A6073" s="31"/>
      <c r="C6073" s="31"/>
      <c r="D6073" s="31"/>
      <c r="H6073" s="31"/>
    </row>
    <row r="6074">
      <c r="A6074" s="31"/>
      <c r="C6074" s="31"/>
      <c r="D6074" s="31"/>
      <c r="H6074" s="31"/>
    </row>
    <row r="6075">
      <c r="A6075" s="31"/>
      <c r="C6075" s="31"/>
      <c r="D6075" s="31"/>
      <c r="H6075" s="31"/>
    </row>
    <row r="6076">
      <c r="A6076" s="31"/>
      <c r="C6076" s="31"/>
      <c r="D6076" s="31"/>
      <c r="H6076" s="31"/>
    </row>
    <row r="6077">
      <c r="A6077" s="31"/>
      <c r="C6077" s="31"/>
      <c r="D6077" s="31"/>
      <c r="H6077" s="31"/>
    </row>
    <row r="6078">
      <c r="A6078" s="31"/>
      <c r="C6078" s="31"/>
      <c r="D6078" s="31"/>
      <c r="H6078" s="31"/>
    </row>
    <row r="6079">
      <c r="A6079" s="31"/>
      <c r="C6079" s="31"/>
      <c r="D6079" s="31"/>
      <c r="H6079" s="31"/>
    </row>
    <row r="6080">
      <c r="A6080" s="31"/>
      <c r="C6080" s="31"/>
      <c r="D6080" s="31"/>
      <c r="H6080" s="31"/>
    </row>
    <row r="6081">
      <c r="A6081" s="31"/>
      <c r="C6081" s="31"/>
      <c r="D6081" s="31"/>
      <c r="H6081" s="31"/>
    </row>
    <row r="6082">
      <c r="A6082" s="31"/>
      <c r="C6082" s="31"/>
      <c r="D6082" s="31"/>
      <c r="H6082" s="31"/>
    </row>
    <row r="6083">
      <c r="A6083" s="31"/>
      <c r="C6083" s="31"/>
      <c r="D6083" s="31"/>
      <c r="H6083" s="31"/>
    </row>
    <row r="6084">
      <c r="A6084" s="31"/>
      <c r="C6084" s="31"/>
      <c r="D6084" s="31"/>
      <c r="H6084" s="31"/>
    </row>
    <row r="6085">
      <c r="A6085" s="31"/>
      <c r="C6085" s="31"/>
      <c r="D6085" s="31"/>
      <c r="H6085" s="31"/>
    </row>
    <row r="6086">
      <c r="A6086" s="31"/>
      <c r="C6086" s="31"/>
      <c r="D6086" s="31"/>
      <c r="H6086" s="31"/>
    </row>
    <row r="6087">
      <c r="A6087" s="31"/>
      <c r="C6087" s="31"/>
      <c r="D6087" s="31"/>
      <c r="H6087" s="31"/>
    </row>
    <row r="6088">
      <c r="A6088" s="31"/>
      <c r="C6088" s="31"/>
      <c r="D6088" s="31"/>
      <c r="H6088" s="31"/>
    </row>
    <row r="6089">
      <c r="A6089" s="31"/>
      <c r="C6089" s="31"/>
      <c r="D6089" s="31"/>
      <c r="H6089" s="31"/>
    </row>
    <row r="6090">
      <c r="A6090" s="31"/>
      <c r="C6090" s="31"/>
      <c r="D6090" s="31"/>
      <c r="H6090" s="31"/>
    </row>
    <row r="6091">
      <c r="A6091" s="31"/>
      <c r="C6091" s="31"/>
      <c r="D6091" s="31"/>
      <c r="H6091" s="31"/>
    </row>
    <row r="6092">
      <c r="A6092" s="31"/>
      <c r="C6092" s="31"/>
      <c r="D6092" s="31"/>
      <c r="H6092" s="31"/>
    </row>
    <row r="6093">
      <c r="A6093" s="31"/>
      <c r="C6093" s="31"/>
      <c r="D6093" s="31"/>
      <c r="H6093" s="31"/>
    </row>
    <row r="6094">
      <c r="A6094" s="31"/>
      <c r="C6094" s="31"/>
      <c r="D6094" s="31"/>
      <c r="H6094" s="31"/>
    </row>
    <row r="6095">
      <c r="A6095" s="31"/>
      <c r="C6095" s="31"/>
      <c r="D6095" s="31"/>
      <c r="H6095" s="31"/>
    </row>
    <row r="6096">
      <c r="A6096" s="31"/>
      <c r="C6096" s="31"/>
      <c r="D6096" s="31"/>
      <c r="H6096" s="31"/>
    </row>
    <row r="6097">
      <c r="A6097" s="31"/>
      <c r="C6097" s="31"/>
      <c r="D6097" s="31"/>
      <c r="H6097" s="31"/>
    </row>
    <row r="6098">
      <c r="A6098" s="31"/>
      <c r="C6098" s="31"/>
      <c r="D6098" s="31"/>
      <c r="H6098" s="31"/>
    </row>
    <row r="6099">
      <c r="A6099" s="31"/>
      <c r="C6099" s="31"/>
      <c r="D6099" s="31"/>
      <c r="H6099" s="31"/>
    </row>
    <row r="6100">
      <c r="A6100" s="31"/>
      <c r="C6100" s="31"/>
      <c r="D6100" s="31"/>
      <c r="H6100" s="31"/>
    </row>
    <row r="6101">
      <c r="A6101" s="31"/>
      <c r="C6101" s="31"/>
      <c r="D6101" s="31"/>
      <c r="H6101" s="31"/>
    </row>
    <row r="6102">
      <c r="A6102" s="31"/>
      <c r="C6102" s="31"/>
      <c r="D6102" s="31"/>
      <c r="H6102" s="31"/>
    </row>
    <row r="6103">
      <c r="A6103" s="31"/>
      <c r="C6103" s="31"/>
      <c r="D6103" s="31"/>
      <c r="H6103" s="31"/>
    </row>
    <row r="6104">
      <c r="A6104" s="31"/>
      <c r="C6104" s="31"/>
      <c r="D6104" s="31"/>
      <c r="H6104" s="31"/>
    </row>
    <row r="6105">
      <c r="A6105" s="31"/>
      <c r="C6105" s="31"/>
      <c r="D6105" s="31"/>
      <c r="H6105" s="31"/>
    </row>
    <row r="6106">
      <c r="A6106" s="31"/>
      <c r="C6106" s="31"/>
      <c r="D6106" s="31"/>
      <c r="H6106" s="31"/>
    </row>
    <row r="6107">
      <c r="A6107" s="31"/>
      <c r="C6107" s="31"/>
      <c r="D6107" s="31"/>
      <c r="H6107" s="31"/>
    </row>
    <row r="6108">
      <c r="A6108" s="31"/>
      <c r="C6108" s="31"/>
      <c r="D6108" s="31"/>
      <c r="H6108" s="31"/>
    </row>
    <row r="6109">
      <c r="A6109" s="31"/>
      <c r="C6109" s="31"/>
      <c r="D6109" s="31"/>
      <c r="H6109" s="31"/>
    </row>
    <row r="6110">
      <c r="A6110" s="31"/>
      <c r="C6110" s="31"/>
      <c r="D6110" s="31"/>
      <c r="H6110" s="31"/>
    </row>
    <row r="6111">
      <c r="A6111" s="31"/>
      <c r="C6111" s="31"/>
      <c r="D6111" s="31"/>
      <c r="H6111" s="31"/>
    </row>
    <row r="6112">
      <c r="A6112" s="31"/>
      <c r="C6112" s="31"/>
      <c r="D6112" s="31"/>
      <c r="H6112" s="31"/>
    </row>
    <row r="6113">
      <c r="A6113" s="31"/>
      <c r="C6113" s="31"/>
      <c r="D6113" s="31"/>
      <c r="H6113" s="31"/>
    </row>
    <row r="6114">
      <c r="A6114" s="31"/>
      <c r="C6114" s="31"/>
      <c r="D6114" s="31"/>
      <c r="H6114" s="31"/>
    </row>
    <row r="6115">
      <c r="A6115" s="31"/>
      <c r="C6115" s="31"/>
      <c r="D6115" s="31"/>
      <c r="H6115" s="31"/>
    </row>
    <row r="6116">
      <c r="A6116" s="31"/>
      <c r="C6116" s="31"/>
      <c r="D6116" s="31"/>
      <c r="H6116" s="31"/>
    </row>
    <row r="6117">
      <c r="A6117" s="31"/>
      <c r="C6117" s="31"/>
      <c r="D6117" s="31"/>
      <c r="H6117" s="31"/>
    </row>
    <row r="6118">
      <c r="A6118" s="31"/>
      <c r="C6118" s="31"/>
      <c r="D6118" s="31"/>
      <c r="H6118" s="31"/>
    </row>
    <row r="6119">
      <c r="A6119" s="31"/>
      <c r="C6119" s="31"/>
      <c r="D6119" s="31"/>
      <c r="H6119" s="31"/>
    </row>
    <row r="6120">
      <c r="A6120" s="31"/>
      <c r="C6120" s="31"/>
      <c r="D6120" s="31"/>
      <c r="H6120" s="31"/>
    </row>
    <row r="6121">
      <c r="A6121" s="31"/>
      <c r="C6121" s="31"/>
      <c r="D6121" s="31"/>
      <c r="H6121" s="31"/>
    </row>
    <row r="6122">
      <c r="A6122" s="31"/>
      <c r="C6122" s="31"/>
      <c r="D6122" s="31"/>
      <c r="H6122" s="31"/>
    </row>
    <row r="6123">
      <c r="A6123" s="31"/>
      <c r="C6123" s="31"/>
      <c r="D6123" s="31"/>
      <c r="H6123" s="31"/>
    </row>
    <row r="6124">
      <c r="A6124" s="31"/>
      <c r="C6124" s="31"/>
      <c r="D6124" s="31"/>
      <c r="H6124" s="31"/>
    </row>
    <row r="6125">
      <c r="A6125" s="31"/>
      <c r="C6125" s="31"/>
      <c r="D6125" s="31"/>
      <c r="H6125" s="31"/>
    </row>
    <row r="6126">
      <c r="A6126" s="31"/>
      <c r="C6126" s="31"/>
      <c r="D6126" s="31"/>
      <c r="H6126" s="31"/>
    </row>
    <row r="6127">
      <c r="A6127" s="31"/>
      <c r="C6127" s="31"/>
      <c r="D6127" s="31"/>
      <c r="H6127" s="31"/>
    </row>
    <row r="6128">
      <c r="A6128" s="31"/>
      <c r="C6128" s="31"/>
      <c r="D6128" s="31"/>
      <c r="H6128" s="31"/>
    </row>
    <row r="6129">
      <c r="A6129" s="31"/>
      <c r="C6129" s="31"/>
      <c r="D6129" s="31"/>
      <c r="H6129" s="31"/>
    </row>
    <row r="6130">
      <c r="A6130" s="31"/>
      <c r="C6130" s="31"/>
      <c r="D6130" s="31"/>
      <c r="H6130" s="31"/>
    </row>
    <row r="6131">
      <c r="A6131" s="31"/>
      <c r="C6131" s="31"/>
      <c r="D6131" s="31"/>
      <c r="H6131" s="31"/>
    </row>
    <row r="6132">
      <c r="A6132" s="31"/>
      <c r="C6132" s="31"/>
      <c r="D6132" s="31"/>
      <c r="H6132" s="31"/>
    </row>
    <row r="6133">
      <c r="A6133" s="31"/>
      <c r="C6133" s="31"/>
      <c r="D6133" s="31"/>
      <c r="H6133" s="31"/>
    </row>
    <row r="6134">
      <c r="A6134" s="31"/>
      <c r="C6134" s="31"/>
      <c r="D6134" s="31"/>
      <c r="H6134" s="31"/>
    </row>
    <row r="6135">
      <c r="A6135" s="31"/>
      <c r="C6135" s="31"/>
      <c r="D6135" s="31"/>
      <c r="H6135" s="31"/>
    </row>
    <row r="6136">
      <c r="A6136" s="31"/>
      <c r="C6136" s="31"/>
      <c r="D6136" s="31"/>
      <c r="H6136" s="31"/>
    </row>
    <row r="6137">
      <c r="A6137" s="31"/>
      <c r="C6137" s="31"/>
      <c r="D6137" s="31"/>
      <c r="H6137" s="31"/>
    </row>
    <row r="6138">
      <c r="A6138" s="31"/>
      <c r="C6138" s="31"/>
      <c r="D6138" s="31"/>
      <c r="H6138" s="31"/>
    </row>
    <row r="6139">
      <c r="A6139" s="31"/>
      <c r="C6139" s="31"/>
      <c r="D6139" s="31"/>
      <c r="H6139" s="31"/>
    </row>
    <row r="6140">
      <c r="A6140" s="31"/>
      <c r="C6140" s="31"/>
      <c r="D6140" s="31"/>
      <c r="H6140" s="31"/>
    </row>
    <row r="6141">
      <c r="A6141" s="31"/>
      <c r="C6141" s="31"/>
      <c r="D6141" s="31"/>
      <c r="H6141" s="31"/>
    </row>
    <row r="6142">
      <c r="A6142" s="31"/>
      <c r="C6142" s="31"/>
      <c r="D6142" s="31"/>
      <c r="H6142" s="31"/>
    </row>
    <row r="6143">
      <c r="A6143" s="31"/>
      <c r="C6143" s="31"/>
      <c r="D6143" s="31"/>
      <c r="H6143" s="31"/>
    </row>
    <row r="6144">
      <c r="A6144" s="31"/>
      <c r="C6144" s="31"/>
      <c r="D6144" s="31"/>
      <c r="H6144" s="31"/>
    </row>
    <row r="6145">
      <c r="A6145" s="31"/>
      <c r="C6145" s="31"/>
      <c r="D6145" s="31"/>
      <c r="H6145" s="31"/>
    </row>
    <row r="6146">
      <c r="A6146" s="31"/>
      <c r="C6146" s="31"/>
      <c r="D6146" s="31"/>
      <c r="H6146" s="31"/>
    </row>
    <row r="6147">
      <c r="A6147" s="31"/>
      <c r="C6147" s="31"/>
      <c r="D6147" s="31"/>
      <c r="H6147" s="31"/>
    </row>
    <row r="6148">
      <c r="A6148" s="31"/>
      <c r="C6148" s="31"/>
      <c r="D6148" s="31"/>
      <c r="H6148" s="31"/>
    </row>
    <row r="6149">
      <c r="A6149" s="31"/>
      <c r="C6149" s="31"/>
      <c r="D6149" s="31"/>
      <c r="H6149" s="31"/>
    </row>
    <row r="6150">
      <c r="A6150" s="31"/>
      <c r="C6150" s="31"/>
      <c r="D6150" s="31"/>
      <c r="H6150" s="31"/>
    </row>
    <row r="6151">
      <c r="A6151" s="31"/>
      <c r="C6151" s="31"/>
      <c r="D6151" s="31"/>
      <c r="H6151" s="31"/>
    </row>
    <row r="6152">
      <c r="A6152" s="31"/>
      <c r="C6152" s="31"/>
      <c r="D6152" s="31"/>
      <c r="H6152" s="31"/>
    </row>
    <row r="6153">
      <c r="A6153" s="31"/>
      <c r="C6153" s="31"/>
      <c r="D6153" s="31"/>
      <c r="H6153" s="31"/>
    </row>
    <row r="6154">
      <c r="A6154" s="31"/>
      <c r="C6154" s="31"/>
      <c r="D6154" s="31"/>
      <c r="H6154" s="31"/>
    </row>
    <row r="6155">
      <c r="A6155" s="31"/>
      <c r="C6155" s="31"/>
      <c r="D6155" s="31"/>
      <c r="H6155" s="31"/>
    </row>
    <row r="6156">
      <c r="A6156" s="31"/>
      <c r="C6156" s="31"/>
      <c r="D6156" s="31"/>
      <c r="H6156" s="31"/>
    </row>
    <row r="6157">
      <c r="A6157" s="31"/>
      <c r="C6157" s="31"/>
      <c r="D6157" s="31"/>
      <c r="H6157" s="31"/>
    </row>
    <row r="6158">
      <c r="A6158" s="31"/>
      <c r="C6158" s="31"/>
      <c r="D6158" s="31"/>
      <c r="H6158" s="31"/>
    </row>
    <row r="6159">
      <c r="A6159" s="31"/>
      <c r="C6159" s="31"/>
      <c r="D6159" s="31"/>
      <c r="H6159" s="31"/>
    </row>
    <row r="6160">
      <c r="A6160" s="31"/>
      <c r="C6160" s="31"/>
      <c r="D6160" s="31"/>
      <c r="H6160" s="31"/>
    </row>
    <row r="6161">
      <c r="A6161" s="31"/>
      <c r="C6161" s="31"/>
      <c r="D6161" s="31"/>
      <c r="H6161" s="31"/>
    </row>
    <row r="6162">
      <c r="A6162" s="31"/>
      <c r="C6162" s="31"/>
      <c r="D6162" s="31"/>
      <c r="H6162" s="31"/>
    </row>
    <row r="6163">
      <c r="A6163" s="31"/>
      <c r="C6163" s="31"/>
      <c r="D6163" s="31"/>
      <c r="H6163" s="31"/>
    </row>
    <row r="6164">
      <c r="A6164" s="31"/>
      <c r="C6164" s="31"/>
      <c r="D6164" s="31"/>
      <c r="H6164" s="31"/>
    </row>
    <row r="6165">
      <c r="A6165" s="31"/>
      <c r="C6165" s="31"/>
      <c r="D6165" s="31"/>
      <c r="H6165" s="31"/>
    </row>
    <row r="6166">
      <c r="A6166" s="31"/>
      <c r="C6166" s="31"/>
      <c r="D6166" s="31"/>
      <c r="H6166" s="31"/>
    </row>
    <row r="6167">
      <c r="A6167" s="31"/>
      <c r="C6167" s="31"/>
      <c r="D6167" s="31"/>
      <c r="H6167" s="31"/>
    </row>
    <row r="6168">
      <c r="A6168" s="31"/>
      <c r="C6168" s="31"/>
      <c r="D6168" s="31"/>
      <c r="H6168" s="31"/>
    </row>
    <row r="6169">
      <c r="A6169" s="31"/>
      <c r="C6169" s="31"/>
      <c r="D6169" s="31"/>
      <c r="H6169" s="31"/>
    </row>
    <row r="6170">
      <c r="A6170" s="31"/>
      <c r="C6170" s="31"/>
      <c r="D6170" s="31"/>
      <c r="H6170" s="31"/>
    </row>
    <row r="6171">
      <c r="A6171" s="31"/>
      <c r="C6171" s="31"/>
      <c r="D6171" s="31"/>
      <c r="H6171" s="31"/>
    </row>
    <row r="6172">
      <c r="A6172" s="31"/>
      <c r="C6172" s="31"/>
      <c r="D6172" s="31"/>
      <c r="H6172" s="31"/>
    </row>
    <row r="6173">
      <c r="A6173" s="31"/>
      <c r="C6173" s="31"/>
      <c r="D6173" s="31"/>
      <c r="H6173" s="31"/>
    </row>
    <row r="6174">
      <c r="A6174" s="31"/>
      <c r="C6174" s="31"/>
      <c r="D6174" s="31"/>
      <c r="H6174" s="31"/>
    </row>
    <row r="6175">
      <c r="A6175" s="31"/>
      <c r="C6175" s="31"/>
      <c r="D6175" s="31"/>
      <c r="H6175" s="31"/>
    </row>
    <row r="6176">
      <c r="A6176" s="31"/>
      <c r="C6176" s="31"/>
      <c r="D6176" s="31"/>
      <c r="H6176" s="31"/>
    </row>
    <row r="6177">
      <c r="A6177" s="31"/>
      <c r="C6177" s="31"/>
      <c r="D6177" s="31"/>
      <c r="H6177" s="31"/>
    </row>
    <row r="6178">
      <c r="A6178" s="31"/>
      <c r="C6178" s="31"/>
      <c r="D6178" s="31"/>
      <c r="H6178" s="31"/>
    </row>
    <row r="6179">
      <c r="A6179" s="31"/>
      <c r="C6179" s="31"/>
      <c r="D6179" s="31"/>
      <c r="H6179" s="31"/>
    </row>
    <row r="6180">
      <c r="A6180" s="31"/>
      <c r="C6180" s="31"/>
      <c r="D6180" s="31"/>
      <c r="H6180" s="31"/>
    </row>
    <row r="6181">
      <c r="A6181" s="31"/>
      <c r="C6181" s="31"/>
      <c r="D6181" s="31"/>
      <c r="H6181" s="31"/>
    </row>
    <row r="6182">
      <c r="A6182" s="31"/>
      <c r="C6182" s="31"/>
      <c r="D6182" s="31"/>
      <c r="H6182" s="31"/>
    </row>
    <row r="6183">
      <c r="A6183" s="31"/>
      <c r="C6183" s="31"/>
      <c r="D6183" s="31"/>
      <c r="H6183" s="31"/>
    </row>
    <row r="6184">
      <c r="A6184" s="31"/>
      <c r="C6184" s="31"/>
      <c r="D6184" s="31"/>
      <c r="H6184" s="31"/>
    </row>
    <row r="6185">
      <c r="A6185" s="31"/>
      <c r="C6185" s="31"/>
      <c r="D6185" s="31"/>
      <c r="H6185" s="31"/>
    </row>
    <row r="6186">
      <c r="A6186" s="31"/>
      <c r="C6186" s="31"/>
      <c r="D6186" s="31"/>
      <c r="H6186" s="31"/>
    </row>
    <row r="6187">
      <c r="A6187" s="31"/>
      <c r="C6187" s="31"/>
      <c r="D6187" s="31"/>
      <c r="H6187" s="31"/>
    </row>
    <row r="6188">
      <c r="A6188" s="31"/>
      <c r="C6188" s="31"/>
      <c r="D6188" s="31"/>
      <c r="H6188" s="31"/>
    </row>
    <row r="6189">
      <c r="A6189" s="31"/>
      <c r="C6189" s="31"/>
      <c r="D6189" s="31"/>
      <c r="H6189" s="31"/>
    </row>
    <row r="6190">
      <c r="A6190" s="31"/>
      <c r="C6190" s="31"/>
      <c r="D6190" s="31"/>
      <c r="H6190" s="31"/>
    </row>
    <row r="6191">
      <c r="A6191" s="31"/>
      <c r="C6191" s="31"/>
      <c r="D6191" s="31"/>
      <c r="H6191" s="31"/>
    </row>
    <row r="6192">
      <c r="A6192" s="31"/>
      <c r="C6192" s="31"/>
      <c r="D6192" s="31"/>
      <c r="H6192" s="31"/>
    </row>
    <row r="6193">
      <c r="A6193" s="31"/>
      <c r="C6193" s="31"/>
      <c r="D6193" s="31"/>
      <c r="H6193" s="31"/>
    </row>
    <row r="6194">
      <c r="A6194" s="31"/>
      <c r="C6194" s="31"/>
      <c r="D6194" s="31"/>
      <c r="H6194" s="31"/>
    </row>
    <row r="6195">
      <c r="A6195" s="31"/>
      <c r="C6195" s="31"/>
      <c r="D6195" s="31"/>
      <c r="H6195" s="31"/>
    </row>
    <row r="6196">
      <c r="A6196" s="31"/>
      <c r="C6196" s="31"/>
      <c r="D6196" s="31"/>
      <c r="H6196" s="31"/>
    </row>
    <row r="6197">
      <c r="A6197" s="31"/>
      <c r="C6197" s="31"/>
      <c r="D6197" s="31"/>
      <c r="H6197" s="31"/>
    </row>
    <row r="6198">
      <c r="A6198" s="31"/>
      <c r="C6198" s="31"/>
      <c r="D6198" s="31"/>
      <c r="H6198" s="31"/>
    </row>
    <row r="6199">
      <c r="A6199" s="31"/>
      <c r="C6199" s="31"/>
      <c r="D6199" s="31"/>
      <c r="H6199" s="31"/>
    </row>
    <row r="6200">
      <c r="A6200" s="31"/>
      <c r="C6200" s="31"/>
      <c r="D6200" s="31"/>
      <c r="H6200" s="31"/>
    </row>
    <row r="6201">
      <c r="A6201" s="31"/>
      <c r="C6201" s="31"/>
      <c r="D6201" s="31"/>
      <c r="H6201" s="31"/>
    </row>
    <row r="6202">
      <c r="A6202" s="31"/>
      <c r="C6202" s="31"/>
      <c r="D6202" s="31"/>
      <c r="H6202" s="31"/>
    </row>
    <row r="6203">
      <c r="A6203" s="31"/>
      <c r="C6203" s="31"/>
      <c r="D6203" s="31"/>
      <c r="H6203" s="31"/>
    </row>
    <row r="6204">
      <c r="A6204" s="31"/>
      <c r="C6204" s="31"/>
      <c r="D6204" s="31"/>
      <c r="H6204" s="31"/>
    </row>
    <row r="6205">
      <c r="A6205" s="31"/>
      <c r="C6205" s="31"/>
      <c r="D6205" s="31"/>
      <c r="H6205" s="31"/>
    </row>
    <row r="6206">
      <c r="A6206" s="31"/>
      <c r="C6206" s="31"/>
      <c r="D6206" s="31"/>
      <c r="H6206" s="31"/>
    </row>
    <row r="6207">
      <c r="A6207" s="31"/>
      <c r="C6207" s="31"/>
      <c r="D6207" s="31"/>
      <c r="H6207" s="31"/>
    </row>
    <row r="6208">
      <c r="A6208" s="31"/>
      <c r="C6208" s="31"/>
      <c r="D6208" s="31"/>
      <c r="H6208" s="31"/>
    </row>
    <row r="6209">
      <c r="A6209" s="31"/>
      <c r="C6209" s="31"/>
      <c r="D6209" s="31"/>
      <c r="H6209" s="31"/>
    </row>
    <row r="6210">
      <c r="A6210" s="31"/>
      <c r="C6210" s="31"/>
      <c r="D6210" s="31"/>
      <c r="H6210" s="31"/>
    </row>
    <row r="6211">
      <c r="A6211" s="31"/>
      <c r="C6211" s="31"/>
      <c r="D6211" s="31"/>
      <c r="H6211" s="31"/>
    </row>
    <row r="6212">
      <c r="A6212" s="31"/>
      <c r="C6212" s="31"/>
      <c r="D6212" s="31"/>
      <c r="H6212" s="31"/>
    </row>
    <row r="6213">
      <c r="A6213" s="31"/>
      <c r="C6213" s="31"/>
      <c r="D6213" s="31"/>
      <c r="H6213" s="31"/>
    </row>
    <row r="6214">
      <c r="A6214" s="31"/>
      <c r="C6214" s="31"/>
      <c r="D6214" s="31"/>
      <c r="H6214" s="31"/>
    </row>
    <row r="6215">
      <c r="A6215" s="31"/>
      <c r="C6215" s="31"/>
      <c r="D6215" s="31"/>
      <c r="H6215" s="31"/>
    </row>
    <row r="6216">
      <c r="A6216" s="31"/>
      <c r="C6216" s="31"/>
      <c r="D6216" s="31"/>
      <c r="H6216" s="31"/>
    </row>
    <row r="6217">
      <c r="A6217" s="31"/>
      <c r="C6217" s="31"/>
      <c r="D6217" s="31"/>
      <c r="H6217" s="31"/>
    </row>
    <row r="6218">
      <c r="A6218" s="31"/>
      <c r="C6218" s="31"/>
      <c r="D6218" s="31"/>
      <c r="H6218" s="31"/>
    </row>
    <row r="6219">
      <c r="A6219" s="31"/>
      <c r="C6219" s="31"/>
      <c r="D6219" s="31"/>
      <c r="H6219" s="31"/>
    </row>
    <row r="6220">
      <c r="A6220" s="31"/>
      <c r="C6220" s="31"/>
      <c r="D6220" s="31"/>
      <c r="H6220" s="31"/>
    </row>
    <row r="6221">
      <c r="A6221" s="31"/>
      <c r="C6221" s="31"/>
      <c r="D6221" s="31"/>
      <c r="H6221" s="31"/>
    </row>
    <row r="6222">
      <c r="A6222" s="31"/>
      <c r="C6222" s="31"/>
      <c r="D6222" s="31"/>
      <c r="H6222" s="31"/>
    </row>
    <row r="6223">
      <c r="A6223" s="31"/>
      <c r="C6223" s="31"/>
      <c r="D6223" s="31"/>
      <c r="H6223" s="31"/>
    </row>
    <row r="6224">
      <c r="A6224" s="31"/>
      <c r="C6224" s="31"/>
      <c r="D6224" s="31"/>
      <c r="H6224" s="31"/>
    </row>
    <row r="6225">
      <c r="A6225" s="31"/>
      <c r="C6225" s="31"/>
      <c r="D6225" s="31"/>
      <c r="H6225" s="31"/>
    </row>
    <row r="6226">
      <c r="A6226" s="31"/>
      <c r="C6226" s="31"/>
      <c r="D6226" s="31"/>
      <c r="H6226" s="31"/>
    </row>
    <row r="6227">
      <c r="A6227" s="31"/>
      <c r="C6227" s="31"/>
      <c r="D6227" s="31"/>
      <c r="H6227" s="31"/>
    </row>
    <row r="6228">
      <c r="A6228" s="31"/>
      <c r="C6228" s="31"/>
      <c r="D6228" s="31"/>
      <c r="H6228" s="31"/>
    </row>
    <row r="6229">
      <c r="A6229" s="31"/>
      <c r="C6229" s="31"/>
      <c r="D6229" s="31"/>
      <c r="H6229" s="31"/>
    </row>
    <row r="6230">
      <c r="A6230" s="31"/>
      <c r="C6230" s="31"/>
      <c r="D6230" s="31"/>
      <c r="H6230" s="31"/>
    </row>
    <row r="6231">
      <c r="A6231" s="31"/>
      <c r="C6231" s="31"/>
      <c r="D6231" s="31"/>
      <c r="H6231" s="31"/>
    </row>
    <row r="6232">
      <c r="A6232" s="31"/>
      <c r="C6232" s="31"/>
      <c r="D6232" s="31"/>
      <c r="H6232" s="31"/>
    </row>
    <row r="6233">
      <c r="A6233" s="31"/>
      <c r="C6233" s="31"/>
      <c r="D6233" s="31"/>
      <c r="H6233" s="31"/>
    </row>
    <row r="6234">
      <c r="A6234" s="31"/>
      <c r="C6234" s="31"/>
      <c r="D6234" s="31"/>
      <c r="H6234" s="31"/>
    </row>
    <row r="6235">
      <c r="A6235" s="31"/>
      <c r="C6235" s="31"/>
      <c r="D6235" s="31"/>
      <c r="H6235" s="31"/>
    </row>
    <row r="6236">
      <c r="A6236" s="31"/>
      <c r="C6236" s="31"/>
      <c r="D6236" s="31"/>
      <c r="H6236" s="31"/>
    </row>
    <row r="6237">
      <c r="A6237" s="31"/>
      <c r="C6237" s="31"/>
      <c r="D6237" s="31"/>
      <c r="H6237" s="31"/>
    </row>
    <row r="6238">
      <c r="A6238" s="31"/>
      <c r="C6238" s="31"/>
      <c r="D6238" s="31"/>
      <c r="H6238" s="31"/>
    </row>
    <row r="6239">
      <c r="A6239" s="31"/>
      <c r="C6239" s="31"/>
      <c r="D6239" s="31"/>
      <c r="H6239" s="31"/>
    </row>
    <row r="6240">
      <c r="A6240" s="31"/>
      <c r="C6240" s="31"/>
      <c r="D6240" s="31"/>
      <c r="H6240" s="31"/>
    </row>
    <row r="6241">
      <c r="A6241" s="31"/>
      <c r="C6241" s="31"/>
      <c r="D6241" s="31"/>
      <c r="H6241" s="31"/>
    </row>
    <row r="6242">
      <c r="A6242" s="31"/>
      <c r="C6242" s="31"/>
      <c r="D6242" s="31"/>
      <c r="H6242" s="31"/>
    </row>
    <row r="6243">
      <c r="A6243" s="31"/>
      <c r="C6243" s="31"/>
      <c r="D6243" s="31"/>
      <c r="H6243" s="31"/>
    </row>
    <row r="6244">
      <c r="A6244" s="31"/>
      <c r="C6244" s="31"/>
      <c r="D6244" s="31"/>
      <c r="H6244" s="31"/>
    </row>
    <row r="6245">
      <c r="A6245" s="31"/>
      <c r="C6245" s="31"/>
      <c r="D6245" s="31"/>
      <c r="H6245" s="31"/>
    </row>
    <row r="6246">
      <c r="A6246" s="31"/>
      <c r="C6246" s="31"/>
      <c r="D6246" s="31"/>
      <c r="H6246" s="31"/>
    </row>
    <row r="6247">
      <c r="A6247" s="31"/>
      <c r="C6247" s="31"/>
      <c r="D6247" s="31"/>
      <c r="H6247" s="31"/>
    </row>
    <row r="6248">
      <c r="A6248" s="31"/>
      <c r="C6248" s="31"/>
      <c r="D6248" s="31"/>
      <c r="H6248" s="31"/>
    </row>
    <row r="6249">
      <c r="A6249" s="31"/>
      <c r="C6249" s="31"/>
      <c r="D6249" s="31"/>
      <c r="H6249" s="31"/>
    </row>
    <row r="6250">
      <c r="A6250" s="31"/>
      <c r="C6250" s="31"/>
      <c r="D6250" s="31"/>
      <c r="H6250" s="31"/>
    </row>
    <row r="6251">
      <c r="A6251" s="31"/>
      <c r="C6251" s="31"/>
      <c r="D6251" s="31"/>
      <c r="H6251" s="31"/>
    </row>
    <row r="6252">
      <c r="A6252" s="31"/>
      <c r="C6252" s="31"/>
      <c r="D6252" s="31"/>
      <c r="H6252" s="31"/>
    </row>
    <row r="6253">
      <c r="A6253" s="31"/>
      <c r="C6253" s="31"/>
      <c r="D6253" s="31"/>
      <c r="H6253" s="31"/>
    </row>
    <row r="6254">
      <c r="A6254" s="31"/>
      <c r="C6254" s="31"/>
      <c r="D6254" s="31"/>
      <c r="H6254" s="31"/>
    </row>
    <row r="6255">
      <c r="A6255" s="31"/>
      <c r="C6255" s="31"/>
      <c r="D6255" s="31"/>
      <c r="H6255" s="31"/>
    </row>
    <row r="6256">
      <c r="A6256" s="31"/>
      <c r="C6256" s="31"/>
      <c r="D6256" s="31"/>
      <c r="H6256" s="31"/>
    </row>
    <row r="6257">
      <c r="A6257" s="31"/>
      <c r="C6257" s="31"/>
      <c r="D6257" s="31"/>
      <c r="H6257" s="31"/>
    </row>
    <row r="6258">
      <c r="A6258" s="31"/>
      <c r="C6258" s="31"/>
      <c r="D6258" s="31"/>
      <c r="H6258" s="31"/>
    </row>
    <row r="6259">
      <c r="A6259" s="31"/>
      <c r="C6259" s="31"/>
      <c r="D6259" s="31"/>
      <c r="H6259" s="31"/>
    </row>
    <row r="6260">
      <c r="A6260" s="31"/>
      <c r="C6260" s="31"/>
      <c r="D6260" s="31"/>
      <c r="H6260" s="31"/>
    </row>
    <row r="6261">
      <c r="A6261" s="31"/>
      <c r="C6261" s="31"/>
      <c r="D6261" s="31"/>
      <c r="H6261" s="31"/>
    </row>
    <row r="6262">
      <c r="A6262" s="31"/>
      <c r="C6262" s="31"/>
      <c r="D6262" s="31"/>
      <c r="H6262" s="31"/>
    </row>
    <row r="6263">
      <c r="A6263" s="31"/>
      <c r="C6263" s="31"/>
      <c r="D6263" s="31"/>
      <c r="H6263" s="31"/>
    </row>
    <row r="6264">
      <c r="A6264" s="31"/>
      <c r="C6264" s="31"/>
      <c r="D6264" s="31"/>
      <c r="H6264" s="31"/>
    </row>
    <row r="6265">
      <c r="A6265" s="31"/>
      <c r="C6265" s="31"/>
      <c r="D6265" s="31"/>
      <c r="H6265" s="31"/>
    </row>
    <row r="6266">
      <c r="A6266" s="31"/>
      <c r="C6266" s="31"/>
      <c r="D6266" s="31"/>
      <c r="H6266" s="31"/>
    </row>
    <row r="6267">
      <c r="A6267" s="31"/>
      <c r="C6267" s="31"/>
      <c r="D6267" s="31"/>
      <c r="H6267" s="31"/>
    </row>
    <row r="6268">
      <c r="A6268" s="31"/>
      <c r="C6268" s="31"/>
      <c r="D6268" s="31"/>
      <c r="H6268" s="31"/>
    </row>
    <row r="6269">
      <c r="A6269" s="31"/>
      <c r="C6269" s="31"/>
      <c r="D6269" s="31"/>
      <c r="H6269" s="31"/>
    </row>
    <row r="6270">
      <c r="A6270" s="31"/>
      <c r="C6270" s="31"/>
      <c r="D6270" s="31"/>
      <c r="H6270" s="31"/>
    </row>
    <row r="6271">
      <c r="A6271" s="31"/>
      <c r="C6271" s="31"/>
      <c r="D6271" s="31"/>
      <c r="H6271" s="31"/>
    </row>
    <row r="6272">
      <c r="A6272" s="31"/>
      <c r="C6272" s="31"/>
      <c r="D6272" s="31"/>
      <c r="H6272" s="31"/>
    </row>
    <row r="6273">
      <c r="A6273" s="31"/>
      <c r="C6273" s="31"/>
      <c r="D6273" s="31"/>
      <c r="H6273" s="31"/>
    </row>
    <row r="6274">
      <c r="A6274" s="31"/>
      <c r="C6274" s="31"/>
      <c r="D6274" s="31"/>
      <c r="H6274" s="31"/>
    </row>
    <row r="6275">
      <c r="A6275" s="31"/>
      <c r="C6275" s="31"/>
      <c r="D6275" s="31"/>
      <c r="H6275" s="31"/>
    </row>
    <row r="6276">
      <c r="A6276" s="31"/>
      <c r="C6276" s="31"/>
      <c r="D6276" s="31"/>
      <c r="H6276" s="31"/>
    </row>
    <row r="6277">
      <c r="A6277" s="31"/>
      <c r="C6277" s="31"/>
      <c r="D6277" s="31"/>
      <c r="H6277" s="31"/>
    </row>
    <row r="6278">
      <c r="A6278" s="31"/>
      <c r="C6278" s="31"/>
      <c r="D6278" s="31"/>
      <c r="H6278" s="31"/>
    </row>
    <row r="6279">
      <c r="A6279" s="31"/>
      <c r="C6279" s="31"/>
      <c r="D6279" s="31"/>
      <c r="H6279" s="31"/>
    </row>
    <row r="6280">
      <c r="A6280" s="31"/>
      <c r="C6280" s="31"/>
      <c r="D6280" s="31"/>
      <c r="H6280" s="31"/>
    </row>
    <row r="6281">
      <c r="A6281" s="31"/>
      <c r="C6281" s="31"/>
      <c r="D6281" s="31"/>
      <c r="H6281" s="31"/>
    </row>
    <row r="6282">
      <c r="A6282" s="31"/>
      <c r="C6282" s="31"/>
      <c r="D6282" s="31"/>
      <c r="H6282" s="31"/>
    </row>
    <row r="6283">
      <c r="A6283" s="31"/>
      <c r="C6283" s="31"/>
      <c r="D6283" s="31"/>
      <c r="H6283" s="31"/>
    </row>
    <row r="6284">
      <c r="A6284" s="31"/>
      <c r="C6284" s="31"/>
      <c r="D6284" s="31"/>
      <c r="H6284" s="31"/>
    </row>
    <row r="6285">
      <c r="A6285" s="31"/>
      <c r="C6285" s="31"/>
      <c r="D6285" s="31"/>
      <c r="H6285" s="31"/>
    </row>
    <row r="6286">
      <c r="A6286" s="31"/>
      <c r="C6286" s="31"/>
      <c r="D6286" s="31"/>
      <c r="H6286" s="31"/>
    </row>
    <row r="6287">
      <c r="A6287" s="31"/>
      <c r="C6287" s="31"/>
      <c r="D6287" s="31"/>
      <c r="H6287" s="31"/>
    </row>
    <row r="6288">
      <c r="A6288" s="31"/>
      <c r="C6288" s="31"/>
      <c r="D6288" s="31"/>
      <c r="H6288" s="31"/>
    </row>
    <row r="6289">
      <c r="A6289" s="31"/>
      <c r="C6289" s="31"/>
      <c r="D6289" s="31"/>
      <c r="H6289" s="31"/>
    </row>
    <row r="6290">
      <c r="A6290" s="31"/>
      <c r="C6290" s="31"/>
      <c r="D6290" s="31"/>
      <c r="H6290" s="31"/>
    </row>
    <row r="6291">
      <c r="A6291" s="31"/>
      <c r="C6291" s="31"/>
      <c r="D6291" s="31"/>
      <c r="H6291" s="31"/>
    </row>
    <row r="6292">
      <c r="A6292" s="31"/>
      <c r="C6292" s="31"/>
      <c r="D6292" s="31"/>
      <c r="H6292" s="31"/>
    </row>
    <row r="6293">
      <c r="A6293" s="31"/>
      <c r="C6293" s="31"/>
      <c r="D6293" s="31"/>
      <c r="H6293" s="31"/>
    </row>
    <row r="6294">
      <c r="A6294" s="31"/>
      <c r="C6294" s="31"/>
      <c r="D6294" s="31"/>
      <c r="H6294" s="31"/>
    </row>
    <row r="6295">
      <c r="A6295" s="31"/>
      <c r="C6295" s="31"/>
      <c r="D6295" s="31"/>
      <c r="H6295" s="31"/>
    </row>
    <row r="6296">
      <c r="A6296" s="31"/>
      <c r="C6296" s="31"/>
      <c r="D6296" s="31"/>
      <c r="H6296" s="31"/>
    </row>
    <row r="6297">
      <c r="A6297" s="31"/>
      <c r="C6297" s="31"/>
      <c r="D6297" s="31"/>
      <c r="H6297" s="31"/>
    </row>
    <row r="6298">
      <c r="A6298" s="31"/>
      <c r="C6298" s="31"/>
      <c r="D6298" s="31"/>
      <c r="H6298" s="31"/>
    </row>
    <row r="6299">
      <c r="A6299" s="31"/>
      <c r="C6299" s="31"/>
      <c r="D6299" s="31"/>
      <c r="H6299" s="31"/>
    </row>
    <row r="6300">
      <c r="A6300" s="31"/>
      <c r="C6300" s="31"/>
      <c r="D6300" s="31"/>
      <c r="H6300" s="31"/>
    </row>
    <row r="6301">
      <c r="A6301" s="31"/>
      <c r="C6301" s="31"/>
      <c r="D6301" s="31"/>
      <c r="H6301" s="31"/>
    </row>
    <row r="6302">
      <c r="A6302" s="31"/>
      <c r="C6302" s="31"/>
      <c r="D6302" s="31"/>
      <c r="H6302" s="31"/>
    </row>
    <row r="6303">
      <c r="A6303" s="31"/>
      <c r="C6303" s="31"/>
      <c r="D6303" s="31"/>
      <c r="H6303" s="31"/>
    </row>
    <row r="6304">
      <c r="A6304" s="31"/>
      <c r="C6304" s="31"/>
      <c r="D6304" s="31"/>
      <c r="H6304" s="31"/>
    </row>
    <row r="6305">
      <c r="A6305" s="31"/>
      <c r="C6305" s="31"/>
      <c r="D6305" s="31"/>
      <c r="H6305" s="31"/>
    </row>
    <row r="6306">
      <c r="A6306" s="31"/>
      <c r="C6306" s="31"/>
      <c r="D6306" s="31"/>
      <c r="H6306" s="31"/>
    </row>
    <row r="6307">
      <c r="A6307" s="31"/>
      <c r="C6307" s="31"/>
      <c r="D6307" s="31"/>
      <c r="H6307" s="31"/>
    </row>
    <row r="6308">
      <c r="A6308" s="31"/>
      <c r="C6308" s="31"/>
      <c r="D6308" s="31"/>
      <c r="H6308" s="31"/>
    </row>
    <row r="6309">
      <c r="A6309" s="31"/>
      <c r="C6309" s="31"/>
      <c r="D6309" s="31"/>
      <c r="H6309" s="31"/>
    </row>
    <row r="6310">
      <c r="A6310" s="31"/>
      <c r="C6310" s="31"/>
      <c r="D6310" s="31"/>
      <c r="H6310" s="31"/>
    </row>
    <row r="6311">
      <c r="A6311" s="31"/>
      <c r="C6311" s="31"/>
      <c r="D6311" s="31"/>
      <c r="H6311" s="31"/>
    </row>
    <row r="6312">
      <c r="A6312" s="31"/>
      <c r="C6312" s="31"/>
      <c r="D6312" s="31"/>
      <c r="H6312" s="31"/>
    </row>
    <row r="6313">
      <c r="A6313" s="31"/>
      <c r="C6313" s="31"/>
      <c r="D6313" s="31"/>
      <c r="H6313" s="31"/>
    </row>
    <row r="6314">
      <c r="A6314" s="31"/>
      <c r="C6314" s="31"/>
      <c r="D6314" s="31"/>
      <c r="H6314" s="31"/>
    </row>
    <row r="6315">
      <c r="A6315" s="31"/>
      <c r="C6315" s="31"/>
      <c r="D6315" s="31"/>
      <c r="H6315" s="31"/>
    </row>
    <row r="6316">
      <c r="A6316" s="31"/>
      <c r="C6316" s="31"/>
      <c r="D6316" s="31"/>
      <c r="H6316" s="31"/>
    </row>
    <row r="6317">
      <c r="A6317" s="31"/>
      <c r="C6317" s="31"/>
      <c r="D6317" s="31"/>
      <c r="H6317" s="31"/>
    </row>
    <row r="6318">
      <c r="A6318" s="31"/>
      <c r="C6318" s="31"/>
      <c r="D6318" s="31"/>
      <c r="H6318" s="31"/>
    </row>
    <row r="6319">
      <c r="A6319" s="31"/>
      <c r="C6319" s="31"/>
      <c r="D6319" s="31"/>
      <c r="H6319" s="31"/>
    </row>
    <row r="6320">
      <c r="A6320" s="31"/>
      <c r="C6320" s="31"/>
      <c r="D6320" s="31"/>
      <c r="H6320" s="31"/>
    </row>
    <row r="6321">
      <c r="A6321" s="31"/>
      <c r="C6321" s="31"/>
      <c r="D6321" s="31"/>
      <c r="H6321" s="31"/>
    </row>
    <row r="6322">
      <c r="A6322" s="31"/>
      <c r="C6322" s="31"/>
      <c r="D6322" s="31"/>
      <c r="H6322" s="31"/>
    </row>
    <row r="6323">
      <c r="A6323" s="31"/>
      <c r="C6323" s="31"/>
      <c r="D6323" s="31"/>
      <c r="H6323" s="31"/>
    </row>
    <row r="6324">
      <c r="A6324" s="31"/>
      <c r="C6324" s="31"/>
      <c r="D6324" s="31"/>
      <c r="H6324" s="31"/>
    </row>
    <row r="6325">
      <c r="A6325" s="31"/>
      <c r="C6325" s="31"/>
      <c r="D6325" s="31"/>
      <c r="H6325" s="31"/>
    </row>
    <row r="6326">
      <c r="A6326" s="31"/>
      <c r="C6326" s="31"/>
      <c r="D6326" s="31"/>
      <c r="H6326" s="31"/>
    </row>
    <row r="6327">
      <c r="A6327" s="31"/>
      <c r="C6327" s="31"/>
      <c r="D6327" s="31"/>
      <c r="H6327" s="31"/>
    </row>
    <row r="6328">
      <c r="A6328" s="31"/>
      <c r="C6328" s="31"/>
      <c r="D6328" s="31"/>
      <c r="H6328" s="31"/>
    </row>
    <row r="6329">
      <c r="A6329" s="31"/>
      <c r="C6329" s="31"/>
      <c r="D6329" s="31"/>
      <c r="H6329" s="31"/>
    </row>
    <row r="6330">
      <c r="A6330" s="31"/>
      <c r="C6330" s="31"/>
      <c r="D6330" s="31"/>
      <c r="H6330" s="31"/>
    </row>
    <row r="6331">
      <c r="A6331" s="31"/>
      <c r="C6331" s="31"/>
      <c r="D6331" s="31"/>
      <c r="H6331" s="31"/>
    </row>
    <row r="6332">
      <c r="A6332" s="31"/>
      <c r="C6332" s="31"/>
      <c r="D6332" s="31"/>
      <c r="H6332" s="31"/>
    </row>
    <row r="6333">
      <c r="A6333" s="31"/>
      <c r="C6333" s="31"/>
      <c r="D6333" s="31"/>
      <c r="H6333" s="31"/>
    </row>
    <row r="6334">
      <c r="A6334" s="31"/>
      <c r="C6334" s="31"/>
      <c r="D6334" s="31"/>
      <c r="H6334" s="31"/>
    </row>
    <row r="6335">
      <c r="A6335" s="31"/>
      <c r="C6335" s="31"/>
      <c r="D6335" s="31"/>
      <c r="H6335" s="31"/>
    </row>
    <row r="6336">
      <c r="A6336" s="31"/>
      <c r="C6336" s="31"/>
      <c r="D6336" s="31"/>
      <c r="H6336" s="31"/>
    </row>
    <row r="6337">
      <c r="A6337" s="31"/>
      <c r="C6337" s="31"/>
      <c r="D6337" s="31"/>
      <c r="H6337" s="31"/>
    </row>
    <row r="6338">
      <c r="A6338" s="31"/>
      <c r="C6338" s="31"/>
      <c r="D6338" s="31"/>
      <c r="H6338" s="31"/>
    </row>
    <row r="6339">
      <c r="A6339" s="31"/>
      <c r="C6339" s="31"/>
      <c r="D6339" s="31"/>
      <c r="H6339" s="31"/>
    </row>
    <row r="6340">
      <c r="A6340" s="31"/>
      <c r="C6340" s="31"/>
      <c r="D6340" s="31"/>
      <c r="H6340" s="31"/>
    </row>
    <row r="6341">
      <c r="A6341" s="31"/>
      <c r="C6341" s="31"/>
      <c r="D6341" s="31"/>
      <c r="H6341" s="31"/>
    </row>
    <row r="6342">
      <c r="A6342" s="31"/>
      <c r="C6342" s="31"/>
      <c r="D6342" s="31"/>
      <c r="H6342" s="31"/>
    </row>
    <row r="6343">
      <c r="A6343" s="31"/>
      <c r="C6343" s="31"/>
      <c r="D6343" s="31"/>
      <c r="H6343" s="31"/>
    </row>
    <row r="6344">
      <c r="A6344" s="31"/>
      <c r="C6344" s="31"/>
      <c r="D6344" s="31"/>
      <c r="H6344" s="31"/>
    </row>
    <row r="6345">
      <c r="A6345" s="31"/>
      <c r="C6345" s="31"/>
      <c r="D6345" s="31"/>
      <c r="H6345" s="31"/>
    </row>
    <row r="6346">
      <c r="A6346" s="31"/>
      <c r="C6346" s="31"/>
      <c r="D6346" s="31"/>
      <c r="H6346" s="31"/>
    </row>
    <row r="6347">
      <c r="A6347" s="31"/>
      <c r="C6347" s="31"/>
      <c r="D6347" s="31"/>
      <c r="H6347" s="31"/>
    </row>
    <row r="6348">
      <c r="A6348" s="31"/>
      <c r="C6348" s="31"/>
      <c r="D6348" s="31"/>
      <c r="H6348" s="31"/>
    </row>
    <row r="6349">
      <c r="A6349" s="31"/>
      <c r="C6349" s="31"/>
      <c r="D6349" s="31"/>
      <c r="H6349" s="31"/>
    </row>
    <row r="6350">
      <c r="A6350" s="31"/>
      <c r="C6350" s="31"/>
      <c r="D6350" s="31"/>
      <c r="H6350" s="31"/>
    </row>
    <row r="6351">
      <c r="A6351" s="31"/>
      <c r="C6351" s="31"/>
      <c r="D6351" s="31"/>
      <c r="H6351" s="31"/>
    </row>
    <row r="6352">
      <c r="A6352" s="31"/>
      <c r="C6352" s="31"/>
      <c r="D6352" s="31"/>
      <c r="H6352" s="31"/>
    </row>
    <row r="6353">
      <c r="A6353" s="31"/>
      <c r="C6353" s="31"/>
      <c r="D6353" s="31"/>
      <c r="H6353" s="31"/>
    </row>
    <row r="6354">
      <c r="A6354" s="31"/>
      <c r="C6354" s="31"/>
      <c r="D6354" s="31"/>
      <c r="H6354" s="31"/>
    </row>
    <row r="6355">
      <c r="A6355" s="31"/>
      <c r="C6355" s="31"/>
      <c r="D6355" s="31"/>
      <c r="H6355" s="31"/>
    </row>
    <row r="6356">
      <c r="A6356" s="31"/>
      <c r="C6356" s="31"/>
      <c r="D6356" s="31"/>
      <c r="H6356" s="31"/>
    </row>
    <row r="6357">
      <c r="A6357" s="31"/>
      <c r="C6357" s="31"/>
      <c r="D6357" s="31"/>
      <c r="H6357" s="31"/>
    </row>
    <row r="6358">
      <c r="A6358" s="31"/>
      <c r="C6358" s="31"/>
      <c r="D6358" s="31"/>
      <c r="H6358" s="31"/>
    </row>
    <row r="6359">
      <c r="A6359" s="31"/>
      <c r="C6359" s="31"/>
      <c r="D6359" s="31"/>
      <c r="H6359" s="31"/>
    </row>
    <row r="6360">
      <c r="A6360" s="31"/>
      <c r="C6360" s="31"/>
      <c r="D6360" s="31"/>
      <c r="H6360" s="31"/>
    </row>
    <row r="6361">
      <c r="A6361" s="31"/>
      <c r="C6361" s="31"/>
      <c r="D6361" s="31"/>
      <c r="H6361" s="31"/>
    </row>
    <row r="6362">
      <c r="A6362" s="31"/>
      <c r="C6362" s="31"/>
      <c r="D6362" s="31"/>
      <c r="H6362" s="31"/>
    </row>
    <row r="6363">
      <c r="A6363" s="31"/>
      <c r="C6363" s="31"/>
      <c r="D6363" s="31"/>
      <c r="H6363" s="31"/>
    </row>
    <row r="6364">
      <c r="A6364" s="31"/>
      <c r="C6364" s="31"/>
      <c r="D6364" s="31"/>
      <c r="H6364" s="31"/>
    </row>
    <row r="6365">
      <c r="A6365" s="31"/>
      <c r="C6365" s="31"/>
      <c r="D6365" s="31"/>
      <c r="H6365" s="31"/>
    </row>
    <row r="6366">
      <c r="A6366" s="31"/>
      <c r="C6366" s="31"/>
      <c r="D6366" s="31"/>
      <c r="H6366" s="31"/>
    </row>
    <row r="6367">
      <c r="A6367" s="31"/>
      <c r="C6367" s="31"/>
      <c r="D6367" s="31"/>
      <c r="H6367" s="31"/>
    </row>
    <row r="6368">
      <c r="A6368" s="31"/>
      <c r="C6368" s="31"/>
      <c r="D6368" s="31"/>
      <c r="H6368" s="31"/>
    </row>
    <row r="6369">
      <c r="A6369" s="31"/>
      <c r="C6369" s="31"/>
      <c r="D6369" s="31"/>
      <c r="H6369" s="31"/>
    </row>
    <row r="6370">
      <c r="A6370" s="31"/>
      <c r="C6370" s="31"/>
      <c r="D6370" s="31"/>
      <c r="H6370" s="31"/>
    </row>
    <row r="6371">
      <c r="A6371" s="31"/>
      <c r="C6371" s="31"/>
      <c r="D6371" s="31"/>
      <c r="H6371" s="31"/>
    </row>
    <row r="6372">
      <c r="A6372" s="31"/>
      <c r="C6372" s="31"/>
      <c r="D6372" s="31"/>
      <c r="H6372" s="31"/>
    </row>
    <row r="6373">
      <c r="A6373" s="31"/>
      <c r="C6373" s="31"/>
      <c r="D6373" s="31"/>
      <c r="H6373" s="31"/>
    </row>
    <row r="6374">
      <c r="A6374" s="31"/>
      <c r="C6374" s="31"/>
      <c r="D6374" s="31"/>
      <c r="H6374" s="31"/>
    </row>
    <row r="6375">
      <c r="A6375" s="31"/>
      <c r="C6375" s="31"/>
      <c r="D6375" s="31"/>
      <c r="H6375" s="31"/>
    </row>
    <row r="6376">
      <c r="A6376" s="31"/>
      <c r="C6376" s="31"/>
      <c r="D6376" s="31"/>
      <c r="H6376" s="31"/>
    </row>
    <row r="6377">
      <c r="A6377" s="31"/>
      <c r="C6377" s="31"/>
      <c r="D6377" s="31"/>
      <c r="H6377" s="31"/>
    </row>
    <row r="6378">
      <c r="A6378" s="31"/>
      <c r="C6378" s="31"/>
      <c r="D6378" s="31"/>
      <c r="H6378" s="31"/>
    </row>
    <row r="6379">
      <c r="A6379" s="31"/>
      <c r="C6379" s="31"/>
      <c r="D6379" s="31"/>
      <c r="H6379" s="31"/>
    </row>
    <row r="6380">
      <c r="A6380" s="31"/>
      <c r="C6380" s="31"/>
      <c r="D6380" s="31"/>
      <c r="H6380" s="31"/>
    </row>
    <row r="6381">
      <c r="A6381" s="31"/>
      <c r="C6381" s="31"/>
      <c r="D6381" s="31"/>
      <c r="H6381" s="31"/>
    </row>
    <row r="6382">
      <c r="A6382" s="31"/>
      <c r="C6382" s="31"/>
      <c r="D6382" s="31"/>
      <c r="H6382" s="31"/>
    </row>
    <row r="6383">
      <c r="A6383" s="31"/>
      <c r="C6383" s="31"/>
      <c r="D6383" s="31"/>
      <c r="H6383" s="31"/>
    </row>
    <row r="6384">
      <c r="A6384" s="31"/>
      <c r="C6384" s="31"/>
      <c r="D6384" s="31"/>
      <c r="H6384" s="31"/>
    </row>
    <row r="6385">
      <c r="A6385" s="31"/>
      <c r="C6385" s="31"/>
      <c r="D6385" s="31"/>
      <c r="H6385" s="31"/>
    </row>
    <row r="6386">
      <c r="A6386" s="31"/>
      <c r="C6386" s="31"/>
      <c r="D6386" s="31"/>
      <c r="H6386" s="31"/>
    </row>
    <row r="6387">
      <c r="A6387" s="31"/>
      <c r="C6387" s="31"/>
      <c r="D6387" s="31"/>
      <c r="H6387" s="31"/>
    </row>
    <row r="6388">
      <c r="A6388" s="31"/>
      <c r="C6388" s="31"/>
      <c r="D6388" s="31"/>
      <c r="H6388" s="31"/>
    </row>
    <row r="6389">
      <c r="A6389" s="31"/>
      <c r="C6389" s="31"/>
      <c r="D6389" s="31"/>
      <c r="H6389" s="31"/>
    </row>
    <row r="6390">
      <c r="A6390" s="31"/>
      <c r="C6390" s="31"/>
      <c r="D6390" s="31"/>
      <c r="H6390" s="31"/>
    </row>
    <row r="6391">
      <c r="A6391" s="31"/>
      <c r="C6391" s="31"/>
      <c r="D6391" s="31"/>
      <c r="H6391" s="31"/>
    </row>
    <row r="6392">
      <c r="A6392" s="31"/>
      <c r="C6392" s="31"/>
      <c r="D6392" s="31"/>
      <c r="H6392" s="31"/>
    </row>
    <row r="6393">
      <c r="A6393" s="31"/>
      <c r="C6393" s="31"/>
      <c r="D6393" s="31"/>
      <c r="H6393" s="31"/>
    </row>
    <row r="6394">
      <c r="A6394" s="31"/>
      <c r="C6394" s="31"/>
      <c r="D6394" s="31"/>
      <c r="H6394" s="31"/>
    </row>
    <row r="6395">
      <c r="A6395" s="31"/>
      <c r="C6395" s="31"/>
      <c r="D6395" s="31"/>
      <c r="H6395" s="31"/>
    </row>
    <row r="6396">
      <c r="A6396" s="31"/>
      <c r="C6396" s="31"/>
      <c r="D6396" s="31"/>
      <c r="H6396" s="31"/>
    </row>
    <row r="6397">
      <c r="A6397" s="31"/>
      <c r="C6397" s="31"/>
      <c r="D6397" s="31"/>
      <c r="H6397" s="31"/>
    </row>
    <row r="6398">
      <c r="A6398" s="31"/>
      <c r="C6398" s="31"/>
      <c r="D6398" s="31"/>
      <c r="H6398" s="31"/>
    </row>
    <row r="6399">
      <c r="A6399" s="31"/>
      <c r="C6399" s="31"/>
      <c r="D6399" s="31"/>
      <c r="H6399" s="31"/>
    </row>
    <row r="6400">
      <c r="A6400" s="31"/>
      <c r="C6400" s="31"/>
      <c r="D6400" s="31"/>
      <c r="H6400" s="31"/>
    </row>
    <row r="6401">
      <c r="A6401" s="31"/>
      <c r="C6401" s="31"/>
      <c r="D6401" s="31"/>
      <c r="H6401" s="31"/>
    </row>
    <row r="6402">
      <c r="A6402" s="31"/>
      <c r="C6402" s="31"/>
      <c r="D6402" s="31"/>
      <c r="H6402" s="31"/>
    </row>
    <row r="6403">
      <c r="A6403" s="31"/>
      <c r="C6403" s="31"/>
      <c r="D6403" s="31"/>
      <c r="H6403" s="31"/>
    </row>
    <row r="6404">
      <c r="A6404" s="31"/>
      <c r="C6404" s="31"/>
      <c r="D6404" s="31"/>
      <c r="H6404" s="31"/>
    </row>
    <row r="6405">
      <c r="A6405" s="31"/>
      <c r="C6405" s="31"/>
      <c r="D6405" s="31"/>
      <c r="H6405" s="31"/>
    </row>
    <row r="6406">
      <c r="A6406" s="31"/>
      <c r="C6406" s="31"/>
      <c r="D6406" s="31"/>
      <c r="H6406" s="31"/>
    </row>
    <row r="6407">
      <c r="A6407" s="31"/>
      <c r="C6407" s="31"/>
      <c r="D6407" s="31"/>
      <c r="H6407" s="31"/>
    </row>
    <row r="6408">
      <c r="A6408" s="31"/>
      <c r="C6408" s="31"/>
      <c r="D6408" s="31"/>
      <c r="H6408" s="31"/>
    </row>
    <row r="6409">
      <c r="A6409" s="31"/>
      <c r="C6409" s="31"/>
      <c r="D6409" s="31"/>
      <c r="H6409" s="31"/>
    </row>
    <row r="6410">
      <c r="A6410" s="31"/>
      <c r="C6410" s="31"/>
      <c r="D6410" s="31"/>
      <c r="H6410" s="31"/>
    </row>
    <row r="6411">
      <c r="A6411" s="31"/>
      <c r="C6411" s="31"/>
      <c r="D6411" s="31"/>
      <c r="H6411" s="31"/>
    </row>
    <row r="6412">
      <c r="A6412" s="31"/>
      <c r="C6412" s="31"/>
      <c r="D6412" s="31"/>
      <c r="H6412" s="31"/>
    </row>
    <row r="6413">
      <c r="A6413" s="31"/>
      <c r="C6413" s="31"/>
      <c r="D6413" s="31"/>
      <c r="H6413" s="31"/>
    </row>
    <row r="6414">
      <c r="A6414" s="31"/>
      <c r="C6414" s="31"/>
      <c r="D6414" s="31"/>
      <c r="H6414" s="31"/>
    </row>
    <row r="6415">
      <c r="A6415" s="31"/>
      <c r="C6415" s="31"/>
      <c r="D6415" s="31"/>
      <c r="H6415" s="31"/>
    </row>
    <row r="6416">
      <c r="A6416" s="31"/>
      <c r="C6416" s="31"/>
      <c r="D6416" s="31"/>
      <c r="H6416" s="31"/>
    </row>
    <row r="6417">
      <c r="A6417" s="31"/>
      <c r="C6417" s="31"/>
      <c r="D6417" s="31"/>
      <c r="H6417" s="31"/>
    </row>
    <row r="6418">
      <c r="A6418" s="31"/>
      <c r="C6418" s="31"/>
      <c r="D6418" s="31"/>
      <c r="H6418" s="31"/>
    </row>
    <row r="6419">
      <c r="A6419" s="31"/>
      <c r="C6419" s="31"/>
      <c r="D6419" s="31"/>
      <c r="H6419" s="31"/>
    </row>
    <row r="6420">
      <c r="A6420" s="31"/>
      <c r="C6420" s="31"/>
      <c r="D6420" s="31"/>
      <c r="H6420" s="31"/>
    </row>
    <row r="6421">
      <c r="A6421" s="31"/>
      <c r="C6421" s="31"/>
      <c r="D6421" s="31"/>
      <c r="H6421" s="31"/>
    </row>
    <row r="6422">
      <c r="A6422" s="31"/>
      <c r="C6422" s="31"/>
      <c r="D6422" s="31"/>
      <c r="H6422" s="31"/>
    </row>
    <row r="6423">
      <c r="A6423" s="31"/>
      <c r="C6423" s="31"/>
      <c r="D6423" s="31"/>
      <c r="H6423" s="31"/>
    </row>
    <row r="6424">
      <c r="A6424" s="31"/>
      <c r="C6424" s="31"/>
      <c r="D6424" s="31"/>
      <c r="H6424" s="31"/>
    </row>
    <row r="6425">
      <c r="A6425" s="31"/>
      <c r="C6425" s="31"/>
      <c r="D6425" s="31"/>
      <c r="H6425" s="31"/>
    </row>
    <row r="6426">
      <c r="A6426" s="31"/>
      <c r="C6426" s="31"/>
      <c r="D6426" s="31"/>
      <c r="H6426" s="31"/>
    </row>
    <row r="6427">
      <c r="A6427" s="31"/>
      <c r="C6427" s="31"/>
      <c r="D6427" s="31"/>
      <c r="H6427" s="31"/>
    </row>
    <row r="6428">
      <c r="A6428" s="31"/>
      <c r="C6428" s="31"/>
      <c r="D6428" s="31"/>
      <c r="H6428" s="31"/>
    </row>
    <row r="6429">
      <c r="A6429" s="31"/>
      <c r="C6429" s="31"/>
      <c r="D6429" s="31"/>
      <c r="H6429" s="31"/>
    </row>
    <row r="6430">
      <c r="A6430" s="31"/>
      <c r="C6430" s="31"/>
      <c r="D6430" s="31"/>
      <c r="H6430" s="31"/>
    </row>
    <row r="6431">
      <c r="A6431" s="31"/>
      <c r="C6431" s="31"/>
      <c r="D6431" s="31"/>
      <c r="H6431" s="31"/>
    </row>
    <row r="6432">
      <c r="A6432" s="31"/>
      <c r="C6432" s="31"/>
      <c r="D6432" s="31"/>
      <c r="H6432" s="31"/>
    </row>
    <row r="6433">
      <c r="A6433" s="31"/>
      <c r="C6433" s="31"/>
      <c r="D6433" s="31"/>
      <c r="H6433" s="31"/>
    </row>
    <row r="6434">
      <c r="A6434" s="31"/>
      <c r="C6434" s="31"/>
      <c r="D6434" s="31"/>
      <c r="H6434" s="31"/>
    </row>
    <row r="6435">
      <c r="A6435" s="31"/>
      <c r="C6435" s="31"/>
      <c r="D6435" s="31"/>
      <c r="H6435" s="31"/>
    </row>
    <row r="6436">
      <c r="A6436" s="31"/>
      <c r="C6436" s="31"/>
      <c r="D6436" s="31"/>
      <c r="H6436" s="31"/>
    </row>
    <row r="6437">
      <c r="A6437" s="31"/>
      <c r="C6437" s="31"/>
      <c r="D6437" s="31"/>
      <c r="H6437" s="31"/>
    </row>
    <row r="6438">
      <c r="A6438" s="31"/>
      <c r="C6438" s="31"/>
      <c r="D6438" s="31"/>
      <c r="H6438" s="31"/>
    </row>
    <row r="6439">
      <c r="A6439" s="31"/>
      <c r="C6439" s="31"/>
      <c r="D6439" s="31"/>
      <c r="H6439" s="31"/>
    </row>
    <row r="6440">
      <c r="A6440" s="31"/>
      <c r="C6440" s="31"/>
      <c r="D6440" s="31"/>
      <c r="H6440" s="31"/>
    </row>
    <row r="6441">
      <c r="A6441" s="31"/>
      <c r="C6441" s="31"/>
      <c r="D6441" s="31"/>
      <c r="H6441" s="31"/>
    </row>
    <row r="6442">
      <c r="A6442" s="31"/>
      <c r="C6442" s="31"/>
      <c r="D6442" s="31"/>
      <c r="H6442" s="31"/>
    </row>
    <row r="6443">
      <c r="A6443" s="31"/>
      <c r="C6443" s="31"/>
      <c r="D6443" s="31"/>
      <c r="H6443" s="31"/>
    </row>
    <row r="6444">
      <c r="A6444" s="31"/>
      <c r="C6444" s="31"/>
      <c r="D6444" s="31"/>
      <c r="H6444" s="31"/>
    </row>
    <row r="6445">
      <c r="A6445" s="31"/>
      <c r="C6445" s="31"/>
      <c r="D6445" s="31"/>
      <c r="H6445" s="31"/>
    </row>
    <row r="6446">
      <c r="A6446" s="31"/>
      <c r="C6446" s="31"/>
      <c r="D6446" s="31"/>
      <c r="H6446" s="31"/>
    </row>
    <row r="6447">
      <c r="A6447" s="31"/>
      <c r="C6447" s="31"/>
      <c r="D6447" s="31"/>
      <c r="H6447" s="31"/>
    </row>
    <row r="6448">
      <c r="A6448" s="31"/>
      <c r="C6448" s="31"/>
      <c r="D6448" s="31"/>
      <c r="H6448" s="31"/>
    </row>
    <row r="6449">
      <c r="A6449" s="31"/>
      <c r="C6449" s="31"/>
      <c r="D6449" s="31"/>
      <c r="H6449" s="31"/>
    </row>
    <row r="6450">
      <c r="A6450" s="31"/>
      <c r="C6450" s="31"/>
      <c r="D6450" s="31"/>
      <c r="H6450" s="31"/>
    </row>
    <row r="6451">
      <c r="A6451" s="31"/>
      <c r="C6451" s="31"/>
      <c r="D6451" s="31"/>
      <c r="H6451" s="31"/>
    </row>
    <row r="6452">
      <c r="A6452" s="31"/>
      <c r="C6452" s="31"/>
      <c r="D6452" s="31"/>
      <c r="H6452" s="31"/>
    </row>
    <row r="6453">
      <c r="A6453" s="31"/>
      <c r="C6453" s="31"/>
      <c r="D6453" s="31"/>
      <c r="H6453" s="31"/>
    </row>
    <row r="6454">
      <c r="A6454" s="31"/>
      <c r="C6454" s="31"/>
      <c r="D6454" s="31"/>
      <c r="H6454" s="31"/>
    </row>
    <row r="6455">
      <c r="A6455" s="31"/>
      <c r="C6455" s="31"/>
      <c r="D6455" s="31"/>
      <c r="H6455" s="31"/>
    </row>
    <row r="6456">
      <c r="A6456" s="31"/>
      <c r="C6456" s="31"/>
      <c r="D6456" s="31"/>
      <c r="H6456" s="31"/>
    </row>
    <row r="6457">
      <c r="A6457" s="31"/>
      <c r="C6457" s="31"/>
      <c r="D6457" s="31"/>
      <c r="H6457" s="31"/>
    </row>
    <row r="6458">
      <c r="A6458" s="31"/>
      <c r="C6458" s="31"/>
      <c r="D6458" s="31"/>
      <c r="H6458" s="31"/>
    </row>
    <row r="6459">
      <c r="A6459" s="31"/>
      <c r="C6459" s="31"/>
      <c r="D6459" s="31"/>
      <c r="H6459" s="31"/>
    </row>
    <row r="6460">
      <c r="A6460" s="31"/>
      <c r="C6460" s="31"/>
      <c r="D6460" s="31"/>
      <c r="H6460" s="31"/>
    </row>
    <row r="6461">
      <c r="A6461" s="31"/>
      <c r="C6461" s="31"/>
      <c r="D6461" s="31"/>
      <c r="H6461" s="31"/>
    </row>
    <row r="6462">
      <c r="A6462" s="31"/>
      <c r="C6462" s="31"/>
      <c r="D6462" s="31"/>
      <c r="H6462" s="31"/>
    </row>
    <row r="6463">
      <c r="A6463" s="31"/>
      <c r="C6463" s="31"/>
      <c r="D6463" s="31"/>
      <c r="H6463" s="31"/>
    </row>
    <row r="6464">
      <c r="A6464" s="31"/>
      <c r="C6464" s="31"/>
      <c r="D6464" s="31"/>
      <c r="H6464" s="31"/>
    </row>
    <row r="6465">
      <c r="A6465" s="31"/>
      <c r="C6465" s="31"/>
      <c r="D6465" s="31"/>
      <c r="H6465" s="31"/>
    </row>
    <row r="6466">
      <c r="A6466" s="31"/>
      <c r="C6466" s="31"/>
      <c r="D6466" s="31"/>
      <c r="H6466" s="31"/>
    </row>
    <row r="6467">
      <c r="A6467" s="31"/>
      <c r="C6467" s="31"/>
      <c r="D6467" s="31"/>
      <c r="H6467" s="31"/>
    </row>
    <row r="6468">
      <c r="A6468" s="31"/>
      <c r="C6468" s="31"/>
      <c r="D6468" s="31"/>
      <c r="H6468" s="31"/>
    </row>
    <row r="6469">
      <c r="A6469" s="31"/>
      <c r="C6469" s="31"/>
      <c r="D6469" s="31"/>
      <c r="H6469" s="31"/>
    </row>
    <row r="6470">
      <c r="A6470" s="31"/>
      <c r="C6470" s="31"/>
      <c r="D6470" s="31"/>
      <c r="H6470" s="31"/>
    </row>
    <row r="6471">
      <c r="A6471" s="31"/>
      <c r="C6471" s="31"/>
      <c r="D6471" s="31"/>
      <c r="H6471" s="31"/>
    </row>
    <row r="6472">
      <c r="A6472" s="31"/>
      <c r="C6472" s="31"/>
      <c r="D6472" s="31"/>
      <c r="H6472" s="31"/>
    </row>
    <row r="6473">
      <c r="A6473" s="31"/>
      <c r="C6473" s="31"/>
      <c r="D6473" s="31"/>
      <c r="H6473" s="31"/>
    </row>
    <row r="6474">
      <c r="A6474" s="31"/>
      <c r="C6474" s="31"/>
      <c r="D6474" s="31"/>
      <c r="H6474" s="31"/>
    </row>
    <row r="6475">
      <c r="A6475" s="31"/>
      <c r="C6475" s="31"/>
      <c r="D6475" s="31"/>
      <c r="H6475" s="31"/>
    </row>
    <row r="6476">
      <c r="A6476" s="31"/>
      <c r="C6476" s="31"/>
      <c r="D6476" s="31"/>
      <c r="H6476" s="31"/>
    </row>
    <row r="6477">
      <c r="A6477" s="31"/>
      <c r="C6477" s="31"/>
      <c r="D6477" s="31"/>
      <c r="H6477" s="31"/>
    </row>
    <row r="6478">
      <c r="A6478" s="31"/>
      <c r="C6478" s="31"/>
      <c r="D6478" s="31"/>
      <c r="H6478" s="31"/>
    </row>
    <row r="6479">
      <c r="A6479" s="31"/>
      <c r="C6479" s="31"/>
      <c r="D6479" s="31"/>
      <c r="H6479" s="31"/>
    </row>
    <row r="6480">
      <c r="A6480" s="31"/>
      <c r="C6480" s="31"/>
      <c r="D6480" s="31"/>
      <c r="H6480" s="31"/>
    </row>
    <row r="6481">
      <c r="A6481" s="31"/>
      <c r="C6481" s="31"/>
      <c r="D6481" s="31"/>
      <c r="H6481" s="31"/>
    </row>
    <row r="6482">
      <c r="A6482" s="31"/>
      <c r="C6482" s="31"/>
      <c r="D6482" s="31"/>
      <c r="H6482" s="31"/>
    </row>
    <row r="6483">
      <c r="A6483" s="31"/>
      <c r="C6483" s="31"/>
      <c r="D6483" s="31"/>
      <c r="H6483" s="31"/>
    </row>
    <row r="6484">
      <c r="A6484" s="31"/>
      <c r="C6484" s="31"/>
      <c r="D6484" s="31"/>
      <c r="H6484" s="31"/>
    </row>
    <row r="6485">
      <c r="A6485" s="31"/>
      <c r="C6485" s="31"/>
      <c r="D6485" s="31"/>
      <c r="H6485" s="31"/>
    </row>
    <row r="6486">
      <c r="A6486" s="31"/>
      <c r="C6486" s="31"/>
      <c r="D6486" s="31"/>
      <c r="H6486" s="31"/>
    </row>
    <row r="6487">
      <c r="A6487" s="31"/>
      <c r="C6487" s="31"/>
      <c r="D6487" s="31"/>
      <c r="H6487" s="31"/>
    </row>
    <row r="6488">
      <c r="A6488" s="31"/>
      <c r="C6488" s="31"/>
      <c r="D6488" s="31"/>
      <c r="H6488" s="31"/>
    </row>
    <row r="6489">
      <c r="A6489" s="31"/>
      <c r="C6489" s="31"/>
      <c r="D6489" s="31"/>
      <c r="H6489" s="31"/>
    </row>
    <row r="6490">
      <c r="A6490" s="31"/>
      <c r="C6490" s="31"/>
      <c r="D6490" s="31"/>
      <c r="H6490" s="31"/>
    </row>
    <row r="6491">
      <c r="A6491" s="31"/>
      <c r="C6491" s="31"/>
      <c r="D6491" s="31"/>
      <c r="H6491" s="31"/>
    </row>
    <row r="6492">
      <c r="A6492" s="31"/>
      <c r="C6492" s="31"/>
      <c r="D6492" s="31"/>
      <c r="H6492" s="31"/>
    </row>
    <row r="6493">
      <c r="A6493" s="31"/>
      <c r="C6493" s="31"/>
      <c r="D6493" s="31"/>
      <c r="H6493" s="31"/>
    </row>
    <row r="6494">
      <c r="A6494" s="31"/>
      <c r="C6494" s="31"/>
      <c r="D6494" s="31"/>
      <c r="H6494" s="31"/>
    </row>
    <row r="6495">
      <c r="A6495" s="31"/>
      <c r="C6495" s="31"/>
      <c r="D6495" s="31"/>
      <c r="H6495" s="31"/>
    </row>
    <row r="6496">
      <c r="A6496" s="31"/>
      <c r="C6496" s="31"/>
      <c r="D6496" s="31"/>
      <c r="H6496" s="31"/>
    </row>
    <row r="6497">
      <c r="A6497" s="31"/>
      <c r="C6497" s="31"/>
      <c r="D6497" s="31"/>
      <c r="H6497" s="31"/>
    </row>
    <row r="6498">
      <c r="A6498" s="31"/>
      <c r="C6498" s="31"/>
      <c r="D6498" s="31"/>
      <c r="H6498" s="31"/>
    </row>
    <row r="6499">
      <c r="A6499" s="31"/>
      <c r="C6499" s="31"/>
      <c r="D6499" s="31"/>
      <c r="H6499" s="31"/>
    </row>
    <row r="6500">
      <c r="A6500" s="31"/>
      <c r="C6500" s="31"/>
      <c r="D6500" s="31"/>
      <c r="H6500" s="31"/>
    </row>
    <row r="6501">
      <c r="A6501" s="31"/>
      <c r="C6501" s="31"/>
      <c r="D6501" s="31"/>
      <c r="H6501" s="31"/>
    </row>
    <row r="6502">
      <c r="A6502" s="31"/>
      <c r="C6502" s="31"/>
      <c r="D6502" s="31"/>
      <c r="H6502" s="31"/>
    </row>
    <row r="6503">
      <c r="A6503" s="31"/>
      <c r="C6503" s="31"/>
      <c r="D6503" s="31"/>
      <c r="H6503" s="31"/>
    </row>
    <row r="6504">
      <c r="A6504" s="31"/>
      <c r="C6504" s="31"/>
      <c r="D6504" s="31"/>
      <c r="H6504" s="31"/>
    </row>
    <row r="6505">
      <c r="A6505" s="31"/>
      <c r="C6505" s="31"/>
      <c r="D6505" s="31"/>
      <c r="H6505" s="31"/>
    </row>
    <row r="6506">
      <c r="A6506" s="31"/>
      <c r="C6506" s="31"/>
      <c r="D6506" s="31"/>
      <c r="H6506" s="31"/>
    </row>
    <row r="6507">
      <c r="A6507" s="31"/>
      <c r="C6507" s="31"/>
      <c r="D6507" s="31"/>
      <c r="H6507" s="31"/>
    </row>
    <row r="6508">
      <c r="A6508" s="31"/>
      <c r="C6508" s="31"/>
      <c r="D6508" s="31"/>
      <c r="H6508" s="31"/>
    </row>
    <row r="6509">
      <c r="A6509" s="31"/>
      <c r="C6509" s="31"/>
      <c r="D6509" s="31"/>
      <c r="H6509" s="31"/>
    </row>
    <row r="6510">
      <c r="A6510" s="31"/>
      <c r="C6510" s="31"/>
      <c r="D6510" s="31"/>
      <c r="H6510" s="31"/>
    </row>
    <row r="6511">
      <c r="A6511" s="31"/>
      <c r="C6511" s="31"/>
      <c r="D6511" s="31"/>
      <c r="H6511" s="31"/>
    </row>
    <row r="6512">
      <c r="A6512" s="31"/>
      <c r="C6512" s="31"/>
      <c r="D6512" s="31"/>
      <c r="H6512" s="31"/>
    </row>
    <row r="6513">
      <c r="A6513" s="31"/>
      <c r="C6513" s="31"/>
      <c r="D6513" s="31"/>
      <c r="H6513" s="31"/>
    </row>
    <row r="6514">
      <c r="A6514" s="31"/>
      <c r="C6514" s="31"/>
      <c r="D6514" s="31"/>
      <c r="H6514" s="31"/>
    </row>
    <row r="6515">
      <c r="A6515" s="31"/>
      <c r="C6515" s="31"/>
      <c r="D6515" s="31"/>
      <c r="H6515" s="31"/>
    </row>
    <row r="6516">
      <c r="A6516" s="31"/>
      <c r="C6516" s="31"/>
      <c r="D6516" s="31"/>
      <c r="H6516" s="31"/>
    </row>
    <row r="6517">
      <c r="A6517" s="31"/>
      <c r="C6517" s="31"/>
      <c r="D6517" s="31"/>
      <c r="H6517" s="31"/>
    </row>
    <row r="6518">
      <c r="A6518" s="31"/>
      <c r="C6518" s="31"/>
      <c r="D6518" s="31"/>
      <c r="H6518" s="31"/>
    </row>
    <row r="6519">
      <c r="A6519" s="31"/>
      <c r="C6519" s="31"/>
      <c r="D6519" s="31"/>
      <c r="H6519" s="31"/>
    </row>
    <row r="6520">
      <c r="A6520" s="31"/>
      <c r="C6520" s="31"/>
      <c r="D6520" s="31"/>
      <c r="H6520" s="31"/>
    </row>
    <row r="6521">
      <c r="A6521" s="31"/>
      <c r="C6521" s="31"/>
      <c r="D6521" s="31"/>
      <c r="H6521" s="31"/>
    </row>
    <row r="6522">
      <c r="A6522" s="31"/>
      <c r="C6522" s="31"/>
      <c r="D6522" s="31"/>
      <c r="H6522" s="31"/>
    </row>
    <row r="6523">
      <c r="A6523" s="31"/>
      <c r="C6523" s="31"/>
      <c r="D6523" s="31"/>
      <c r="H6523" s="31"/>
    </row>
    <row r="6524">
      <c r="A6524" s="31"/>
      <c r="C6524" s="31"/>
      <c r="D6524" s="31"/>
      <c r="H6524" s="31"/>
    </row>
    <row r="6525">
      <c r="A6525" s="31"/>
      <c r="C6525" s="31"/>
      <c r="D6525" s="31"/>
      <c r="H6525" s="31"/>
    </row>
    <row r="6526">
      <c r="A6526" s="31"/>
      <c r="C6526" s="31"/>
      <c r="D6526" s="31"/>
      <c r="H6526" s="31"/>
    </row>
    <row r="6527">
      <c r="A6527" s="31"/>
      <c r="C6527" s="31"/>
      <c r="D6527" s="31"/>
      <c r="H6527" s="31"/>
    </row>
    <row r="6528">
      <c r="A6528" s="31"/>
      <c r="C6528" s="31"/>
      <c r="D6528" s="31"/>
      <c r="H6528" s="31"/>
    </row>
    <row r="6529">
      <c r="A6529" s="31"/>
      <c r="C6529" s="31"/>
      <c r="D6529" s="31"/>
      <c r="H6529" s="31"/>
    </row>
    <row r="6530">
      <c r="A6530" s="31"/>
      <c r="C6530" s="31"/>
      <c r="D6530" s="31"/>
      <c r="H6530" s="31"/>
    </row>
    <row r="6531">
      <c r="A6531" s="31"/>
      <c r="C6531" s="31"/>
      <c r="D6531" s="31"/>
      <c r="H6531" s="31"/>
    </row>
    <row r="6532">
      <c r="A6532" s="31"/>
      <c r="C6532" s="31"/>
      <c r="D6532" s="31"/>
      <c r="H6532" s="31"/>
    </row>
    <row r="6533">
      <c r="A6533" s="31"/>
      <c r="C6533" s="31"/>
      <c r="D6533" s="31"/>
      <c r="H6533" s="31"/>
    </row>
    <row r="6534">
      <c r="A6534" s="31"/>
      <c r="C6534" s="31"/>
      <c r="D6534" s="31"/>
      <c r="H6534" s="31"/>
    </row>
    <row r="6535">
      <c r="A6535" s="31"/>
      <c r="C6535" s="31"/>
      <c r="D6535" s="31"/>
      <c r="H6535" s="31"/>
    </row>
    <row r="6536">
      <c r="A6536" s="31"/>
      <c r="C6536" s="31"/>
      <c r="D6536" s="31"/>
      <c r="H6536" s="31"/>
    </row>
    <row r="6537">
      <c r="A6537" s="31"/>
      <c r="C6537" s="31"/>
      <c r="D6537" s="31"/>
      <c r="H6537" s="31"/>
    </row>
    <row r="6538">
      <c r="A6538" s="31"/>
      <c r="C6538" s="31"/>
      <c r="D6538" s="31"/>
      <c r="H6538" s="31"/>
    </row>
    <row r="6539">
      <c r="A6539" s="31"/>
      <c r="C6539" s="31"/>
      <c r="D6539" s="31"/>
      <c r="H6539" s="31"/>
    </row>
    <row r="6540">
      <c r="A6540" s="31"/>
      <c r="C6540" s="31"/>
      <c r="D6540" s="31"/>
      <c r="H6540" s="31"/>
    </row>
    <row r="6541">
      <c r="A6541" s="31"/>
      <c r="C6541" s="31"/>
      <c r="D6541" s="31"/>
      <c r="H6541" s="31"/>
    </row>
    <row r="6542">
      <c r="A6542" s="31"/>
      <c r="C6542" s="31"/>
      <c r="D6542" s="31"/>
      <c r="H6542" s="31"/>
    </row>
    <row r="6543">
      <c r="A6543" s="31"/>
      <c r="C6543" s="31"/>
      <c r="D6543" s="31"/>
      <c r="H6543" s="31"/>
    </row>
    <row r="6544">
      <c r="A6544" s="31"/>
      <c r="C6544" s="31"/>
      <c r="D6544" s="31"/>
      <c r="H6544" s="31"/>
    </row>
    <row r="6545">
      <c r="A6545" s="31"/>
      <c r="C6545" s="31"/>
      <c r="D6545" s="31"/>
      <c r="H6545" s="31"/>
    </row>
    <row r="6546">
      <c r="A6546" s="31"/>
      <c r="C6546" s="31"/>
      <c r="D6546" s="31"/>
      <c r="H6546" s="31"/>
    </row>
    <row r="6547">
      <c r="A6547" s="31"/>
      <c r="C6547" s="31"/>
      <c r="D6547" s="31"/>
      <c r="H6547" s="31"/>
    </row>
    <row r="6548">
      <c r="A6548" s="31"/>
      <c r="C6548" s="31"/>
      <c r="D6548" s="31"/>
      <c r="H6548" s="31"/>
    </row>
    <row r="6549">
      <c r="A6549" s="31"/>
      <c r="C6549" s="31"/>
      <c r="D6549" s="31"/>
      <c r="H6549" s="31"/>
    </row>
    <row r="6550">
      <c r="A6550" s="31"/>
      <c r="C6550" s="31"/>
      <c r="D6550" s="31"/>
      <c r="H6550" s="31"/>
    </row>
    <row r="6551">
      <c r="A6551" s="31"/>
      <c r="C6551" s="31"/>
      <c r="D6551" s="31"/>
      <c r="H6551" s="31"/>
    </row>
    <row r="6552">
      <c r="A6552" s="31"/>
      <c r="C6552" s="31"/>
      <c r="D6552" s="31"/>
      <c r="H6552" s="31"/>
    </row>
    <row r="6553">
      <c r="A6553" s="31"/>
      <c r="C6553" s="31"/>
      <c r="D6553" s="31"/>
      <c r="H6553" s="31"/>
    </row>
    <row r="6554">
      <c r="A6554" s="31"/>
      <c r="C6554" s="31"/>
      <c r="D6554" s="31"/>
      <c r="H6554" s="31"/>
    </row>
    <row r="6555">
      <c r="A6555" s="31"/>
      <c r="C6555" s="31"/>
      <c r="D6555" s="31"/>
      <c r="H6555" s="31"/>
    </row>
    <row r="6556">
      <c r="A6556" s="31"/>
      <c r="C6556" s="31"/>
      <c r="D6556" s="31"/>
      <c r="H6556" s="31"/>
    </row>
    <row r="6557">
      <c r="A6557" s="31"/>
      <c r="C6557" s="31"/>
      <c r="D6557" s="31"/>
      <c r="H6557" s="31"/>
    </row>
    <row r="6558">
      <c r="A6558" s="31"/>
      <c r="C6558" s="31"/>
      <c r="D6558" s="31"/>
      <c r="H6558" s="31"/>
    </row>
    <row r="6559">
      <c r="A6559" s="31"/>
      <c r="C6559" s="31"/>
      <c r="D6559" s="31"/>
      <c r="H6559" s="31"/>
    </row>
    <row r="6560">
      <c r="A6560" s="31"/>
      <c r="C6560" s="31"/>
      <c r="D6560" s="31"/>
      <c r="H6560" s="31"/>
    </row>
    <row r="6561">
      <c r="A6561" s="31"/>
      <c r="C6561" s="31"/>
      <c r="D6561" s="31"/>
      <c r="H6561" s="31"/>
    </row>
    <row r="6562">
      <c r="A6562" s="31"/>
      <c r="C6562" s="31"/>
      <c r="D6562" s="31"/>
      <c r="H6562" s="31"/>
    </row>
    <row r="6563">
      <c r="A6563" s="31"/>
      <c r="C6563" s="31"/>
      <c r="D6563" s="31"/>
      <c r="H6563" s="31"/>
    </row>
    <row r="6564">
      <c r="A6564" s="31"/>
      <c r="C6564" s="31"/>
      <c r="D6564" s="31"/>
      <c r="H6564" s="31"/>
    </row>
    <row r="6565">
      <c r="A6565" s="31"/>
      <c r="C6565" s="31"/>
      <c r="D6565" s="31"/>
      <c r="H6565" s="31"/>
    </row>
    <row r="6566">
      <c r="A6566" s="31"/>
      <c r="C6566" s="31"/>
      <c r="D6566" s="31"/>
      <c r="H6566" s="31"/>
    </row>
    <row r="6567">
      <c r="A6567" s="31"/>
      <c r="C6567" s="31"/>
      <c r="D6567" s="31"/>
      <c r="H6567" s="31"/>
    </row>
    <row r="6568">
      <c r="A6568" s="31"/>
      <c r="C6568" s="31"/>
      <c r="D6568" s="31"/>
      <c r="H6568" s="31"/>
    </row>
    <row r="6569">
      <c r="A6569" s="31"/>
      <c r="C6569" s="31"/>
      <c r="D6569" s="31"/>
      <c r="H6569" s="31"/>
    </row>
    <row r="6570">
      <c r="A6570" s="31"/>
      <c r="C6570" s="31"/>
      <c r="D6570" s="31"/>
      <c r="H6570" s="31"/>
    </row>
    <row r="6571">
      <c r="A6571" s="31"/>
      <c r="C6571" s="31"/>
      <c r="D6571" s="31"/>
      <c r="H6571" s="31"/>
    </row>
    <row r="6572">
      <c r="A6572" s="31"/>
      <c r="C6572" s="31"/>
      <c r="D6572" s="31"/>
      <c r="H6572" s="31"/>
    </row>
    <row r="6573">
      <c r="A6573" s="31"/>
      <c r="C6573" s="31"/>
      <c r="D6573" s="31"/>
      <c r="H6573" s="31"/>
    </row>
    <row r="6574">
      <c r="A6574" s="31"/>
      <c r="C6574" s="31"/>
      <c r="D6574" s="31"/>
      <c r="H6574" s="31"/>
    </row>
    <row r="6575">
      <c r="A6575" s="31"/>
      <c r="C6575" s="31"/>
      <c r="D6575" s="31"/>
      <c r="H6575" s="31"/>
    </row>
    <row r="6576">
      <c r="A6576" s="31"/>
      <c r="C6576" s="31"/>
      <c r="D6576" s="31"/>
      <c r="H6576" s="31"/>
    </row>
    <row r="6577">
      <c r="A6577" s="31"/>
      <c r="C6577" s="31"/>
      <c r="D6577" s="31"/>
      <c r="H6577" s="31"/>
    </row>
    <row r="6578">
      <c r="A6578" s="31"/>
      <c r="C6578" s="31"/>
      <c r="D6578" s="31"/>
      <c r="H6578" s="31"/>
    </row>
    <row r="6579">
      <c r="A6579" s="31"/>
      <c r="C6579" s="31"/>
      <c r="D6579" s="31"/>
      <c r="H6579" s="31"/>
    </row>
    <row r="6580">
      <c r="A6580" s="31"/>
      <c r="C6580" s="31"/>
      <c r="D6580" s="31"/>
      <c r="H6580" s="31"/>
    </row>
    <row r="6581">
      <c r="A6581" s="31"/>
      <c r="C6581" s="31"/>
      <c r="D6581" s="31"/>
      <c r="H6581" s="31"/>
    </row>
    <row r="6582">
      <c r="A6582" s="31"/>
      <c r="C6582" s="31"/>
      <c r="D6582" s="31"/>
      <c r="H6582" s="31"/>
    </row>
    <row r="6583">
      <c r="A6583" s="31"/>
      <c r="C6583" s="31"/>
      <c r="D6583" s="31"/>
      <c r="H6583" s="31"/>
    </row>
    <row r="6584">
      <c r="A6584" s="31"/>
      <c r="C6584" s="31"/>
      <c r="D6584" s="31"/>
      <c r="H6584" s="31"/>
    </row>
    <row r="6585">
      <c r="A6585" s="31"/>
      <c r="C6585" s="31"/>
      <c r="D6585" s="31"/>
      <c r="H6585" s="31"/>
    </row>
    <row r="6586">
      <c r="A6586" s="31"/>
      <c r="C6586" s="31"/>
      <c r="D6586" s="31"/>
      <c r="H6586" s="31"/>
    </row>
    <row r="6587">
      <c r="A6587" s="31"/>
      <c r="C6587" s="31"/>
      <c r="D6587" s="31"/>
      <c r="H6587" s="31"/>
    </row>
    <row r="6588">
      <c r="A6588" s="31"/>
      <c r="C6588" s="31"/>
      <c r="D6588" s="31"/>
      <c r="H6588" s="31"/>
    </row>
    <row r="6589">
      <c r="A6589" s="31"/>
      <c r="C6589" s="31"/>
      <c r="D6589" s="31"/>
      <c r="H6589" s="31"/>
    </row>
    <row r="6590">
      <c r="A6590" s="31"/>
      <c r="C6590" s="31"/>
      <c r="D6590" s="31"/>
      <c r="H6590" s="31"/>
    </row>
    <row r="6591">
      <c r="A6591" s="31"/>
      <c r="C6591" s="31"/>
      <c r="D6591" s="31"/>
      <c r="H6591" s="31"/>
    </row>
    <row r="6592">
      <c r="A6592" s="31"/>
      <c r="C6592" s="31"/>
      <c r="D6592" s="31"/>
      <c r="H6592" s="31"/>
    </row>
    <row r="6593">
      <c r="A6593" s="31"/>
      <c r="C6593" s="31"/>
      <c r="D6593" s="31"/>
      <c r="H6593" s="31"/>
    </row>
    <row r="6594">
      <c r="A6594" s="31"/>
      <c r="C6594" s="31"/>
      <c r="D6594" s="31"/>
      <c r="H6594" s="31"/>
    </row>
    <row r="6595">
      <c r="A6595" s="31"/>
      <c r="C6595" s="31"/>
      <c r="D6595" s="31"/>
      <c r="H6595" s="31"/>
    </row>
    <row r="6596">
      <c r="A6596" s="31"/>
      <c r="C6596" s="31"/>
      <c r="D6596" s="31"/>
      <c r="H6596" s="31"/>
    </row>
    <row r="6597">
      <c r="A6597" s="31"/>
      <c r="C6597" s="31"/>
      <c r="D6597" s="31"/>
      <c r="H6597" s="31"/>
    </row>
    <row r="6598">
      <c r="A6598" s="31"/>
      <c r="C6598" s="31"/>
      <c r="D6598" s="31"/>
      <c r="H6598" s="31"/>
    </row>
    <row r="6599">
      <c r="A6599" s="31"/>
      <c r="C6599" s="31"/>
      <c r="D6599" s="31"/>
      <c r="H6599" s="31"/>
    </row>
    <row r="6600">
      <c r="A6600" s="31"/>
      <c r="C6600" s="31"/>
      <c r="D6600" s="31"/>
      <c r="H6600" s="31"/>
    </row>
    <row r="6601">
      <c r="A6601" s="31"/>
      <c r="C6601" s="31"/>
      <c r="D6601" s="31"/>
      <c r="H6601" s="31"/>
    </row>
    <row r="6602">
      <c r="A6602" s="31"/>
      <c r="C6602" s="31"/>
      <c r="D6602" s="31"/>
      <c r="H6602" s="31"/>
    </row>
    <row r="6603">
      <c r="A6603" s="31"/>
      <c r="C6603" s="31"/>
      <c r="D6603" s="31"/>
      <c r="H6603" s="31"/>
    </row>
    <row r="6604">
      <c r="A6604" s="31"/>
      <c r="C6604" s="31"/>
      <c r="D6604" s="31"/>
      <c r="H6604" s="31"/>
    </row>
    <row r="6605">
      <c r="A6605" s="31"/>
      <c r="C6605" s="31"/>
      <c r="D6605" s="31"/>
      <c r="H6605" s="31"/>
    </row>
    <row r="6606">
      <c r="A6606" s="31"/>
      <c r="C6606" s="31"/>
      <c r="D6606" s="31"/>
      <c r="H6606" s="31"/>
    </row>
    <row r="6607">
      <c r="A6607" s="31"/>
      <c r="C6607" s="31"/>
      <c r="D6607" s="31"/>
      <c r="H6607" s="31"/>
    </row>
    <row r="6608">
      <c r="A6608" s="31"/>
      <c r="C6608" s="31"/>
      <c r="D6608" s="31"/>
      <c r="H6608" s="31"/>
    </row>
    <row r="6609">
      <c r="A6609" s="31"/>
      <c r="C6609" s="31"/>
      <c r="D6609" s="31"/>
      <c r="H6609" s="31"/>
    </row>
    <row r="6610">
      <c r="A6610" s="31"/>
      <c r="C6610" s="31"/>
      <c r="D6610" s="31"/>
      <c r="H6610" s="31"/>
    </row>
    <row r="6611">
      <c r="A6611" s="31"/>
      <c r="C6611" s="31"/>
      <c r="D6611" s="31"/>
      <c r="H6611" s="31"/>
    </row>
    <row r="6612">
      <c r="A6612" s="31"/>
      <c r="C6612" s="31"/>
      <c r="D6612" s="31"/>
      <c r="H6612" s="31"/>
    </row>
    <row r="6613">
      <c r="A6613" s="31"/>
      <c r="C6613" s="31"/>
      <c r="D6613" s="31"/>
      <c r="H6613" s="31"/>
    </row>
    <row r="6614">
      <c r="A6614" s="31"/>
      <c r="C6614" s="31"/>
      <c r="D6614" s="31"/>
      <c r="H6614" s="31"/>
    </row>
    <row r="6615">
      <c r="A6615" s="31"/>
      <c r="C6615" s="31"/>
      <c r="D6615" s="31"/>
      <c r="H6615" s="31"/>
    </row>
    <row r="6616">
      <c r="A6616" s="31"/>
      <c r="C6616" s="31"/>
      <c r="D6616" s="31"/>
      <c r="H6616" s="31"/>
    </row>
    <row r="6617">
      <c r="A6617" s="31"/>
      <c r="C6617" s="31"/>
      <c r="D6617" s="31"/>
      <c r="H6617" s="31"/>
    </row>
    <row r="6618">
      <c r="A6618" s="31"/>
      <c r="C6618" s="31"/>
      <c r="D6618" s="31"/>
      <c r="H6618" s="31"/>
    </row>
    <row r="6619">
      <c r="A6619" s="31"/>
      <c r="C6619" s="31"/>
      <c r="D6619" s="31"/>
      <c r="H6619" s="31"/>
    </row>
    <row r="6620">
      <c r="A6620" s="31"/>
      <c r="C6620" s="31"/>
      <c r="D6620" s="31"/>
      <c r="H6620" s="31"/>
    </row>
    <row r="6621">
      <c r="A6621" s="31"/>
      <c r="C6621" s="31"/>
      <c r="D6621" s="31"/>
      <c r="H6621" s="31"/>
    </row>
    <row r="6622">
      <c r="A6622" s="31"/>
      <c r="C6622" s="31"/>
      <c r="D6622" s="31"/>
      <c r="H6622" s="31"/>
    </row>
    <row r="6623">
      <c r="A6623" s="31"/>
      <c r="C6623" s="31"/>
      <c r="D6623" s="31"/>
      <c r="H6623" s="31"/>
    </row>
    <row r="6624">
      <c r="A6624" s="31"/>
      <c r="C6624" s="31"/>
      <c r="D6624" s="31"/>
      <c r="H6624" s="31"/>
    </row>
    <row r="6625">
      <c r="A6625" s="31"/>
      <c r="C6625" s="31"/>
      <c r="D6625" s="31"/>
      <c r="H6625" s="31"/>
    </row>
    <row r="6626">
      <c r="A6626" s="31"/>
      <c r="C6626" s="31"/>
      <c r="D6626" s="31"/>
      <c r="H6626" s="31"/>
    </row>
    <row r="6627">
      <c r="A6627" s="31"/>
      <c r="C6627" s="31"/>
      <c r="D6627" s="31"/>
      <c r="H6627" s="31"/>
    </row>
    <row r="6628">
      <c r="A6628" s="31"/>
      <c r="C6628" s="31"/>
      <c r="D6628" s="31"/>
      <c r="H6628" s="31"/>
    </row>
    <row r="6629">
      <c r="A6629" s="31"/>
      <c r="C6629" s="31"/>
      <c r="D6629" s="31"/>
      <c r="H6629" s="31"/>
    </row>
    <row r="6630">
      <c r="A6630" s="31"/>
      <c r="C6630" s="31"/>
      <c r="D6630" s="31"/>
      <c r="H6630" s="31"/>
    </row>
    <row r="6631">
      <c r="A6631" s="31"/>
      <c r="C6631" s="31"/>
      <c r="D6631" s="31"/>
      <c r="H6631" s="31"/>
    </row>
    <row r="6632">
      <c r="A6632" s="31"/>
      <c r="C6632" s="31"/>
      <c r="D6632" s="31"/>
      <c r="H6632" s="31"/>
    </row>
    <row r="6633">
      <c r="A6633" s="31"/>
      <c r="C6633" s="31"/>
      <c r="D6633" s="31"/>
      <c r="H6633" s="31"/>
    </row>
    <row r="6634">
      <c r="A6634" s="31"/>
      <c r="C6634" s="31"/>
      <c r="D6634" s="31"/>
      <c r="H6634" s="31"/>
    </row>
    <row r="6635">
      <c r="A6635" s="31"/>
      <c r="C6635" s="31"/>
      <c r="D6635" s="31"/>
      <c r="H6635" s="31"/>
    </row>
    <row r="6636">
      <c r="A6636" s="31"/>
      <c r="C6636" s="31"/>
      <c r="D6636" s="31"/>
      <c r="H6636" s="31"/>
    </row>
    <row r="6637">
      <c r="A6637" s="31"/>
      <c r="C6637" s="31"/>
      <c r="D6637" s="31"/>
      <c r="H6637" s="31"/>
    </row>
    <row r="6638">
      <c r="A6638" s="31"/>
      <c r="C6638" s="31"/>
      <c r="D6638" s="31"/>
      <c r="H6638" s="31"/>
    </row>
    <row r="6639">
      <c r="A6639" s="31"/>
      <c r="C6639" s="31"/>
      <c r="D6639" s="31"/>
      <c r="H6639" s="31"/>
    </row>
    <row r="6640">
      <c r="A6640" s="31"/>
      <c r="C6640" s="31"/>
      <c r="D6640" s="31"/>
      <c r="H6640" s="31"/>
    </row>
    <row r="6641">
      <c r="A6641" s="31"/>
      <c r="C6641" s="31"/>
      <c r="D6641" s="31"/>
      <c r="H6641" s="31"/>
    </row>
    <row r="6642">
      <c r="A6642" s="31"/>
      <c r="C6642" s="31"/>
      <c r="D6642" s="31"/>
      <c r="H6642" s="31"/>
    </row>
    <row r="6643">
      <c r="A6643" s="31"/>
      <c r="C6643" s="31"/>
      <c r="D6643" s="31"/>
      <c r="H6643" s="31"/>
    </row>
    <row r="6644">
      <c r="A6644" s="31"/>
      <c r="C6644" s="31"/>
      <c r="D6644" s="31"/>
      <c r="H6644" s="31"/>
    </row>
    <row r="6645">
      <c r="A6645" s="31"/>
      <c r="C6645" s="31"/>
      <c r="D6645" s="31"/>
      <c r="H6645" s="31"/>
    </row>
    <row r="6646">
      <c r="A6646" s="31"/>
      <c r="C6646" s="31"/>
      <c r="D6646" s="31"/>
      <c r="H6646" s="31"/>
    </row>
    <row r="6647">
      <c r="A6647" s="31"/>
      <c r="C6647" s="31"/>
      <c r="D6647" s="31"/>
      <c r="H6647" s="31"/>
    </row>
    <row r="6648">
      <c r="A6648" s="31"/>
      <c r="C6648" s="31"/>
      <c r="D6648" s="31"/>
      <c r="H6648" s="31"/>
    </row>
    <row r="6649">
      <c r="A6649" s="31"/>
      <c r="C6649" s="31"/>
      <c r="D6649" s="31"/>
      <c r="H6649" s="31"/>
    </row>
    <row r="6650">
      <c r="A6650" s="31"/>
      <c r="C6650" s="31"/>
      <c r="D6650" s="31"/>
      <c r="H6650" s="31"/>
    </row>
    <row r="6651">
      <c r="A6651" s="31"/>
      <c r="C6651" s="31"/>
      <c r="D6651" s="31"/>
      <c r="H6651" s="31"/>
    </row>
    <row r="6652">
      <c r="A6652" s="31"/>
      <c r="C6652" s="31"/>
      <c r="D6652" s="31"/>
      <c r="H6652" s="31"/>
    </row>
    <row r="6653">
      <c r="A6653" s="31"/>
      <c r="C6653" s="31"/>
      <c r="D6653" s="31"/>
      <c r="H6653" s="31"/>
    </row>
    <row r="6654">
      <c r="A6654" s="31"/>
      <c r="C6654" s="31"/>
      <c r="D6654" s="31"/>
      <c r="H6654" s="31"/>
    </row>
    <row r="6655">
      <c r="A6655" s="31"/>
      <c r="C6655" s="31"/>
      <c r="D6655" s="31"/>
      <c r="H6655" s="31"/>
    </row>
    <row r="6656">
      <c r="A6656" s="31"/>
      <c r="C6656" s="31"/>
      <c r="D6656" s="31"/>
      <c r="H6656" s="31"/>
    </row>
    <row r="6657">
      <c r="A6657" s="31"/>
      <c r="C6657" s="31"/>
      <c r="D6657" s="31"/>
      <c r="H6657" s="31"/>
    </row>
    <row r="6658">
      <c r="A6658" s="31"/>
      <c r="C6658" s="31"/>
      <c r="D6658" s="31"/>
      <c r="H6658" s="31"/>
    </row>
    <row r="6659">
      <c r="A6659" s="31"/>
      <c r="C6659" s="31"/>
      <c r="D6659" s="31"/>
      <c r="H6659" s="31"/>
    </row>
    <row r="6660">
      <c r="A6660" s="31"/>
      <c r="C6660" s="31"/>
      <c r="D6660" s="31"/>
      <c r="H6660" s="31"/>
    </row>
    <row r="6661">
      <c r="A6661" s="31"/>
      <c r="C6661" s="31"/>
      <c r="D6661" s="31"/>
      <c r="H6661" s="31"/>
    </row>
    <row r="6662">
      <c r="A6662" s="31"/>
      <c r="C6662" s="31"/>
      <c r="D6662" s="31"/>
      <c r="H6662" s="31"/>
    </row>
    <row r="6663">
      <c r="A6663" s="31"/>
      <c r="C6663" s="31"/>
      <c r="D6663" s="31"/>
      <c r="H6663" s="31"/>
    </row>
    <row r="6664">
      <c r="A6664" s="31"/>
      <c r="C6664" s="31"/>
      <c r="D6664" s="31"/>
      <c r="H6664" s="31"/>
    </row>
    <row r="6665">
      <c r="A6665" s="31"/>
      <c r="C6665" s="31"/>
      <c r="D6665" s="31"/>
      <c r="H6665" s="31"/>
    </row>
    <row r="6666">
      <c r="A6666" s="31"/>
      <c r="C6666" s="31"/>
      <c r="D6666" s="31"/>
      <c r="H6666" s="31"/>
    </row>
    <row r="6667">
      <c r="A6667" s="31"/>
      <c r="C6667" s="31"/>
      <c r="D6667" s="31"/>
      <c r="H6667" s="31"/>
    </row>
    <row r="6668">
      <c r="A6668" s="31"/>
      <c r="C6668" s="31"/>
      <c r="D6668" s="31"/>
      <c r="H6668" s="31"/>
    </row>
    <row r="6669">
      <c r="A6669" s="31"/>
      <c r="C6669" s="31"/>
      <c r="D6669" s="31"/>
      <c r="H6669" s="31"/>
    </row>
    <row r="6670">
      <c r="A6670" s="31"/>
      <c r="C6670" s="31"/>
      <c r="D6670" s="31"/>
      <c r="H6670" s="31"/>
    </row>
    <row r="6671">
      <c r="A6671" s="31"/>
      <c r="C6671" s="31"/>
      <c r="D6671" s="31"/>
      <c r="H6671" s="31"/>
    </row>
    <row r="6672">
      <c r="A6672" s="31"/>
      <c r="C6672" s="31"/>
      <c r="D6672" s="31"/>
      <c r="H6672" s="31"/>
    </row>
    <row r="6673">
      <c r="A6673" s="31"/>
      <c r="C6673" s="31"/>
      <c r="D6673" s="31"/>
      <c r="H6673" s="31"/>
    </row>
    <row r="6674">
      <c r="A6674" s="31"/>
      <c r="C6674" s="31"/>
      <c r="D6674" s="31"/>
      <c r="H6674" s="31"/>
    </row>
    <row r="6675">
      <c r="A6675" s="31"/>
      <c r="C6675" s="31"/>
      <c r="D6675" s="31"/>
      <c r="H6675" s="31"/>
    </row>
    <row r="6676">
      <c r="A6676" s="31"/>
      <c r="C6676" s="31"/>
      <c r="D6676" s="31"/>
      <c r="H6676" s="31"/>
    </row>
    <row r="6677">
      <c r="A6677" s="31"/>
      <c r="C6677" s="31"/>
      <c r="D6677" s="31"/>
      <c r="H6677" s="31"/>
    </row>
    <row r="6678">
      <c r="A6678" s="31"/>
      <c r="C6678" s="31"/>
      <c r="D6678" s="31"/>
      <c r="H6678" s="31"/>
    </row>
    <row r="6679">
      <c r="A6679" s="31"/>
      <c r="C6679" s="31"/>
      <c r="D6679" s="31"/>
      <c r="H6679" s="31"/>
    </row>
    <row r="6680">
      <c r="A6680" s="31"/>
      <c r="C6680" s="31"/>
      <c r="D6680" s="31"/>
      <c r="H6680" s="31"/>
    </row>
    <row r="6681">
      <c r="A6681" s="31"/>
      <c r="C6681" s="31"/>
      <c r="D6681" s="31"/>
      <c r="H6681" s="31"/>
    </row>
    <row r="6682">
      <c r="A6682" s="31"/>
      <c r="C6682" s="31"/>
      <c r="D6682" s="31"/>
      <c r="H6682" s="31"/>
    </row>
    <row r="6683">
      <c r="A6683" s="31"/>
      <c r="C6683" s="31"/>
      <c r="D6683" s="31"/>
      <c r="H6683" s="31"/>
    </row>
    <row r="6684">
      <c r="A6684" s="31"/>
      <c r="C6684" s="31"/>
      <c r="D6684" s="31"/>
      <c r="H6684" s="31"/>
    </row>
    <row r="6685">
      <c r="A6685" s="31"/>
      <c r="C6685" s="31"/>
      <c r="D6685" s="31"/>
      <c r="H6685" s="31"/>
    </row>
    <row r="6686">
      <c r="A6686" s="31"/>
      <c r="C6686" s="31"/>
      <c r="D6686" s="31"/>
      <c r="H6686" s="31"/>
    </row>
    <row r="6687">
      <c r="A6687" s="31"/>
      <c r="C6687" s="31"/>
      <c r="D6687" s="31"/>
      <c r="H6687" s="31"/>
    </row>
    <row r="6688">
      <c r="A6688" s="31"/>
      <c r="C6688" s="31"/>
      <c r="D6688" s="31"/>
      <c r="H6688" s="31"/>
    </row>
    <row r="6689">
      <c r="A6689" s="31"/>
      <c r="C6689" s="31"/>
      <c r="D6689" s="31"/>
      <c r="H6689" s="31"/>
    </row>
    <row r="6690">
      <c r="A6690" s="31"/>
      <c r="C6690" s="31"/>
      <c r="D6690" s="31"/>
      <c r="H6690" s="31"/>
    </row>
    <row r="6691">
      <c r="A6691" s="31"/>
      <c r="C6691" s="31"/>
      <c r="D6691" s="31"/>
      <c r="H6691" s="31"/>
    </row>
    <row r="6692">
      <c r="A6692" s="31"/>
      <c r="C6692" s="31"/>
      <c r="D6692" s="31"/>
      <c r="H6692" s="31"/>
    </row>
    <row r="6693">
      <c r="A6693" s="31"/>
      <c r="C6693" s="31"/>
      <c r="D6693" s="31"/>
      <c r="H6693" s="31"/>
    </row>
    <row r="6694">
      <c r="A6694" s="31"/>
      <c r="C6694" s="31"/>
      <c r="D6694" s="31"/>
      <c r="H6694" s="31"/>
    </row>
    <row r="6695">
      <c r="A6695" s="31"/>
      <c r="C6695" s="31"/>
      <c r="D6695" s="31"/>
      <c r="H6695" s="31"/>
    </row>
    <row r="6696">
      <c r="A6696" s="31"/>
      <c r="C6696" s="31"/>
      <c r="D6696" s="31"/>
      <c r="H6696" s="31"/>
    </row>
    <row r="6697">
      <c r="A6697" s="31"/>
      <c r="C6697" s="31"/>
      <c r="D6697" s="31"/>
      <c r="H6697" s="31"/>
    </row>
    <row r="6698">
      <c r="A6698" s="31"/>
      <c r="C6698" s="31"/>
      <c r="D6698" s="31"/>
      <c r="H6698" s="31"/>
    </row>
    <row r="6699">
      <c r="A6699" s="31"/>
      <c r="C6699" s="31"/>
      <c r="D6699" s="31"/>
      <c r="H6699" s="31"/>
    </row>
    <row r="6700">
      <c r="A6700" s="31"/>
      <c r="C6700" s="31"/>
      <c r="D6700" s="31"/>
      <c r="H6700" s="31"/>
    </row>
    <row r="6701">
      <c r="A6701" s="31"/>
      <c r="C6701" s="31"/>
      <c r="D6701" s="31"/>
      <c r="H6701" s="31"/>
    </row>
    <row r="6702">
      <c r="A6702" s="31"/>
      <c r="C6702" s="31"/>
      <c r="D6702" s="31"/>
      <c r="H6702" s="31"/>
    </row>
    <row r="6703">
      <c r="A6703" s="31"/>
      <c r="C6703" s="31"/>
      <c r="D6703" s="31"/>
      <c r="H6703" s="31"/>
    </row>
    <row r="6704">
      <c r="A6704" s="31"/>
      <c r="C6704" s="31"/>
      <c r="D6704" s="31"/>
      <c r="H6704" s="31"/>
    </row>
    <row r="6705">
      <c r="A6705" s="31"/>
      <c r="C6705" s="31"/>
      <c r="D6705" s="31"/>
      <c r="H6705" s="31"/>
    </row>
    <row r="6706">
      <c r="A6706" s="31"/>
      <c r="C6706" s="31"/>
      <c r="D6706" s="31"/>
      <c r="H6706" s="31"/>
    </row>
    <row r="6707">
      <c r="A6707" s="31"/>
      <c r="C6707" s="31"/>
      <c r="D6707" s="31"/>
      <c r="H6707" s="31"/>
    </row>
    <row r="6708">
      <c r="A6708" s="31"/>
      <c r="C6708" s="31"/>
      <c r="D6708" s="31"/>
      <c r="H6708" s="31"/>
    </row>
    <row r="6709">
      <c r="A6709" s="31"/>
      <c r="C6709" s="31"/>
      <c r="D6709" s="31"/>
      <c r="H6709" s="31"/>
    </row>
    <row r="6710">
      <c r="A6710" s="31"/>
      <c r="C6710" s="31"/>
      <c r="D6710" s="31"/>
      <c r="H6710" s="31"/>
    </row>
    <row r="6711">
      <c r="A6711" s="31"/>
      <c r="C6711" s="31"/>
      <c r="D6711" s="31"/>
      <c r="H6711" s="31"/>
    </row>
    <row r="6712">
      <c r="A6712" s="31"/>
      <c r="C6712" s="31"/>
      <c r="D6712" s="31"/>
      <c r="H6712" s="31"/>
    </row>
    <row r="6713">
      <c r="A6713" s="31"/>
      <c r="C6713" s="31"/>
      <c r="D6713" s="31"/>
      <c r="H6713" s="31"/>
    </row>
    <row r="6714">
      <c r="A6714" s="31"/>
      <c r="C6714" s="31"/>
      <c r="D6714" s="31"/>
      <c r="H6714" s="31"/>
    </row>
    <row r="6715">
      <c r="A6715" s="31"/>
      <c r="C6715" s="31"/>
      <c r="D6715" s="31"/>
      <c r="H6715" s="31"/>
    </row>
    <row r="6716">
      <c r="A6716" s="31"/>
      <c r="C6716" s="31"/>
      <c r="D6716" s="31"/>
      <c r="H6716" s="31"/>
    </row>
    <row r="6717">
      <c r="A6717" s="31"/>
      <c r="C6717" s="31"/>
      <c r="D6717" s="31"/>
      <c r="H6717" s="31"/>
    </row>
    <row r="6718">
      <c r="A6718" s="31"/>
      <c r="C6718" s="31"/>
      <c r="D6718" s="31"/>
      <c r="H6718" s="31"/>
    </row>
    <row r="6719">
      <c r="A6719" s="31"/>
      <c r="C6719" s="31"/>
      <c r="D6719" s="31"/>
      <c r="H6719" s="31"/>
    </row>
    <row r="6720">
      <c r="A6720" s="31"/>
      <c r="C6720" s="31"/>
      <c r="D6720" s="31"/>
      <c r="H6720" s="31"/>
    </row>
    <row r="6721">
      <c r="A6721" s="31"/>
      <c r="C6721" s="31"/>
      <c r="D6721" s="31"/>
      <c r="H6721" s="31"/>
    </row>
    <row r="6722">
      <c r="A6722" s="31"/>
      <c r="C6722" s="31"/>
      <c r="D6722" s="31"/>
      <c r="H6722" s="31"/>
    </row>
    <row r="6723">
      <c r="A6723" s="31"/>
      <c r="C6723" s="31"/>
      <c r="D6723" s="31"/>
      <c r="H6723" s="31"/>
    </row>
    <row r="6724">
      <c r="A6724" s="31"/>
      <c r="C6724" s="31"/>
      <c r="D6724" s="31"/>
      <c r="H6724" s="31"/>
    </row>
    <row r="6725">
      <c r="A6725" s="31"/>
      <c r="C6725" s="31"/>
      <c r="D6725" s="31"/>
      <c r="H6725" s="31"/>
    </row>
    <row r="6726">
      <c r="A6726" s="31"/>
      <c r="C6726" s="31"/>
      <c r="D6726" s="31"/>
      <c r="H6726" s="31"/>
    </row>
    <row r="6727">
      <c r="A6727" s="31"/>
      <c r="C6727" s="31"/>
      <c r="D6727" s="31"/>
      <c r="H6727" s="31"/>
    </row>
    <row r="6728">
      <c r="A6728" s="31"/>
      <c r="C6728" s="31"/>
      <c r="D6728" s="31"/>
      <c r="H6728" s="31"/>
    </row>
    <row r="6729">
      <c r="A6729" s="31"/>
      <c r="C6729" s="31"/>
      <c r="D6729" s="31"/>
      <c r="H6729" s="31"/>
    </row>
    <row r="6730">
      <c r="A6730" s="31"/>
      <c r="C6730" s="31"/>
      <c r="D6730" s="31"/>
      <c r="H6730" s="31"/>
    </row>
    <row r="6731">
      <c r="A6731" s="31"/>
      <c r="C6731" s="31"/>
      <c r="D6731" s="31"/>
      <c r="H6731" s="31"/>
    </row>
    <row r="6732">
      <c r="A6732" s="31"/>
      <c r="C6732" s="31"/>
      <c r="D6732" s="31"/>
      <c r="H6732" s="31"/>
    </row>
    <row r="6733">
      <c r="A6733" s="31"/>
      <c r="C6733" s="31"/>
      <c r="D6733" s="31"/>
      <c r="H6733" s="31"/>
    </row>
    <row r="6734">
      <c r="A6734" s="31"/>
      <c r="C6734" s="31"/>
      <c r="D6734" s="31"/>
      <c r="H6734" s="31"/>
    </row>
    <row r="6735">
      <c r="A6735" s="31"/>
      <c r="C6735" s="31"/>
      <c r="D6735" s="31"/>
      <c r="H6735" s="31"/>
    </row>
    <row r="6736">
      <c r="A6736" s="31"/>
      <c r="C6736" s="31"/>
      <c r="D6736" s="31"/>
      <c r="H6736" s="31"/>
    </row>
    <row r="6737">
      <c r="A6737" s="31"/>
      <c r="C6737" s="31"/>
      <c r="D6737" s="31"/>
      <c r="H6737" s="31"/>
    </row>
    <row r="6738">
      <c r="A6738" s="31"/>
      <c r="C6738" s="31"/>
      <c r="D6738" s="31"/>
      <c r="H6738" s="31"/>
    </row>
    <row r="6739">
      <c r="A6739" s="31"/>
      <c r="C6739" s="31"/>
      <c r="D6739" s="31"/>
      <c r="H6739" s="31"/>
    </row>
    <row r="6740">
      <c r="A6740" s="31"/>
      <c r="C6740" s="31"/>
      <c r="D6740" s="31"/>
      <c r="H6740" s="31"/>
    </row>
    <row r="6741">
      <c r="A6741" s="31"/>
      <c r="C6741" s="31"/>
      <c r="D6741" s="31"/>
      <c r="H6741" s="31"/>
    </row>
    <row r="6742">
      <c r="A6742" s="31"/>
      <c r="C6742" s="31"/>
      <c r="D6742" s="31"/>
      <c r="H6742" s="31"/>
    </row>
    <row r="6743">
      <c r="A6743" s="31"/>
      <c r="C6743" s="31"/>
      <c r="D6743" s="31"/>
      <c r="H6743" s="31"/>
    </row>
    <row r="6744">
      <c r="A6744" s="31"/>
      <c r="C6744" s="31"/>
      <c r="D6744" s="31"/>
      <c r="H6744" s="31"/>
    </row>
    <row r="6745">
      <c r="A6745" s="31"/>
      <c r="C6745" s="31"/>
      <c r="D6745" s="31"/>
      <c r="H6745" s="31"/>
    </row>
    <row r="6746">
      <c r="A6746" s="31"/>
      <c r="C6746" s="31"/>
      <c r="D6746" s="31"/>
      <c r="H6746" s="31"/>
    </row>
    <row r="6747">
      <c r="A6747" s="31"/>
      <c r="C6747" s="31"/>
      <c r="D6747" s="31"/>
      <c r="H6747" s="31"/>
    </row>
    <row r="6748">
      <c r="A6748" s="31"/>
      <c r="C6748" s="31"/>
      <c r="D6748" s="31"/>
      <c r="H6748" s="31"/>
    </row>
    <row r="6749">
      <c r="A6749" s="31"/>
      <c r="C6749" s="31"/>
      <c r="D6749" s="31"/>
      <c r="H6749" s="31"/>
    </row>
    <row r="6750">
      <c r="A6750" s="31"/>
      <c r="C6750" s="31"/>
      <c r="D6750" s="31"/>
      <c r="H6750" s="31"/>
    </row>
    <row r="6751">
      <c r="A6751" s="31"/>
      <c r="C6751" s="31"/>
      <c r="D6751" s="31"/>
      <c r="H6751" s="31"/>
    </row>
    <row r="6752">
      <c r="A6752" s="31"/>
      <c r="C6752" s="31"/>
      <c r="D6752" s="31"/>
      <c r="H6752" s="31"/>
    </row>
    <row r="6753">
      <c r="A6753" s="31"/>
      <c r="C6753" s="31"/>
      <c r="D6753" s="31"/>
      <c r="H6753" s="31"/>
    </row>
    <row r="6754">
      <c r="A6754" s="31"/>
      <c r="C6754" s="31"/>
      <c r="D6754" s="31"/>
      <c r="H6754" s="31"/>
    </row>
    <row r="6755">
      <c r="A6755" s="31"/>
      <c r="C6755" s="31"/>
      <c r="D6755" s="31"/>
      <c r="H6755" s="31"/>
    </row>
    <row r="6756">
      <c r="A6756" s="31"/>
      <c r="C6756" s="31"/>
      <c r="D6756" s="31"/>
      <c r="H6756" s="31"/>
    </row>
    <row r="6757">
      <c r="A6757" s="31"/>
      <c r="C6757" s="31"/>
      <c r="D6757" s="31"/>
      <c r="H6757" s="31"/>
    </row>
    <row r="6758">
      <c r="A6758" s="31"/>
      <c r="C6758" s="31"/>
      <c r="D6758" s="31"/>
      <c r="H6758" s="31"/>
    </row>
    <row r="6759">
      <c r="A6759" s="31"/>
      <c r="C6759" s="31"/>
      <c r="D6759" s="31"/>
      <c r="H6759" s="31"/>
    </row>
    <row r="6760">
      <c r="A6760" s="31"/>
      <c r="C6760" s="31"/>
      <c r="D6760" s="31"/>
      <c r="H6760" s="31"/>
    </row>
    <row r="6761">
      <c r="A6761" s="31"/>
      <c r="C6761" s="31"/>
      <c r="D6761" s="31"/>
      <c r="H6761" s="31"/>
    </row>
    <row r="6762">
      <c r="A6762" s="31"/>
      <c r="C6762" s="31"/>
      <c r="D6762" s="31"/>
      <c r="H6762" s="31"/>
    </row>
    <row r="6763">
      <c r="A6763" s="31"/>
      <c r="C6763" s="31"/>
      <c r="D6763" s="31"/>
      <c r="H6763" s="31"/>
    </row>
    <row r="6764">
      <c r="A6764" s="31"/>
      <c r="C6764" s="31"/>
      <c r="D6764" s="31"/>
      <c r="H6764" s="31"/>
    </row>
    <row r="6765">
      <c r="A6765" s="31"/>
      <c r="C6765" s="31"/>
      <c r="D6765" s="31"/>
      <c r="H6765" s="31"/>
    </row>
    <row r="6766">
      <c r="A6766" s="31"/>
      <c r="C6766" s="31"/>
      <c r="D6766" s="31"/>
      <c r="H6766" s="31"/>
    </row>
    <row r="6767">
      <c r="A6767" s="31"/>
      <c r="C6767" s="31"/>
      <c r="D6767" s="31"/>
      <c r="H6767" s="31"/>
    </row>
    <row r="6768">
      <c r="A6768" s="31"/>
      <c r="C6768" s="31"/>
      <c r="D6768" s="31"/>
      <c r="H6768" s="31"/>
    </row>
    <row r="6769">
      <c r="A6769" s="31"/>
      <c r="C6769" s="31"/>
      <c r="D6769" s="31"/>
      <c r="H6769" s="31"/>
    </row>
    <row r="6770">
      <c r="A6770" s="31"/>
      <c r="C6770" s="31"/>
      <c r="D6770" s="31"/>
      <c r="H6770" s="31"/>
    </row>
    <row r="6771">
      <c r="A6771" s="31"/>
      <c r="C6771" s="31"/>
      <c r="D6771" s="31"/>
      <c r="H6771" s="31"/>
    </row>
    <row r="6772">
      <c r="A6772" s="31"/>
      <c r="C6772" s="31"/>
      <c r="D6772" s="31"/>
      <c r="H6772" s="31"/>
    </row>
    <row r="6773">
      <c r="A6773" s="31"/>
      <c r="C6773" s="31"/>
      <c r="D6773" s="31"/>
      <c r="H6773" s="31"/>
    </row>
    <row r="6774">
      <c r="A6774" s="31"/>
      <c r="C6774" s="31"/>
      <c r="D6774" s="31"/>
      <c r="H6774" s="31"/>
    </row>
    <row r="6775">
      <c r="A6775" s="31"/>
      <c r="C6775" s="31"/>
      <c r="D6775" s="31"/>
      <c r="H6775" s="31"/>
    </row>
    <row r="6776">
      <c r="A6776" s="31"/>
      <c r="C6776" s="31"/>
      <c r="D6776" s="31"/>
      <c r="H6776" s="31"/>
    </row>
    <row r="6777">
      <c r="A6777" s="31"/>
      <c r="C6777" s="31"/>
      <c r="D6777" s="31"/>
      <c r="H6777" s="31"/>
    </row>
    <row r="6778">
      <c r="A6778" s="31"/>
      <c r="C6778" s="31"/>
      <c r="D6778" s="31"/>
      <c r="H6778" s="31"/>
    </row>
    <row r="6779">
      <c r="A6779" s="31"/>
      <c r="C6779" s="31"/>
      <c r="D6779" s="31"/>
      <c r="H6779" s="31"/>
    </row>
    <row r="6780">
      <c r="A6780" s="31"/>
      <c r="C6780" s="31"/>
      <c r="D6780" s="31"/>
      <c r="H6780" s="31"/>
    </row>
    <row r="6781">
      <c r="A6781" s="31"/>
      <c r="C6781" s="31"/>
      <c r="D6781" s="31"/>
      <c r="H6781" s="31"/>
    </row>
    <row r="6782">
      <c r="A6782" s="31"/>
      <c r="C6782" s="31"/>
      <c r="D6782" s="31"/>
      <c r="H6782" s="31"/>
    </row>
    <row r="6783">
      <c r="A6783" s="31"/>
      <c r="C6783" s="31"/>
      <c r="D6783" s="31"/>
      <c r="H6783" s="31"/>
    </row>
    <row r="6784">
      <c r="A6784" s="31"/>
      <c r="C6784" s="31"/>
      <c r="D6784" s="31"/>
      <c r="H6784" s="31"/>
    </row>
    <row r="6785">
      <c r="A6785" s="31"/>
      <c r="C6785" s="31"/>
      <c r="D6785" s="31"/>
      <c r="H6785" s="31"/>
    </row>
    <row r="6786">
      <c r="A6786" s="31"/>
      <c r="C6786" s="31"/>
      <c r="D6786" s="31"/>
      <c r="H6786" s="31"/>
    </row>
    <row r="6787">
      <c r="A6787" s="31"/>
      <c r="C6787" s="31"/>
      <c r="D6787" s="31"/>
      <c r="H6787" s="31"/>
    </row>
    <row r="6788">
      <c r="A6788" s="31"/>
      <c r="C6788" s="31"/>
      <c r="D6788" s="31"/>
      <c r="H6788" s="31"/>
    </row>
    <row r="6789">
      <c r="A6789" s="31"/>
      <c r="C6789" s="31"/>
      <c r="D6789" s="31"/>
      <c r="H6789" s="31"/>
    </row>
    <row r="6790">
      <c r="A6790" s="31"/>
      <c r="C6790" s="31"/>
      <c r="D6790" s="31"/>
      <c r="H6790" s="31"/>
    </row>
    <row r="6791">
      <c r="A6791" s="31"/>
      <c r="C6791" s="31"/>
      <c r="D6791" s="31"/>
      <c r="H6791" s="31"/>
    </row>
    <row r="6792">
      <c r="A6792" s="31"/>
      <c r="C6792" s="31"/>
      <c r="D6792" s="31"/>
      <c r="H6792" s="31"/>
    </row>
    <row r="6793">
      <c r="A6793" s="31"/>
      <c r="C6793" s="31"/>
      <c r="D6793" s="31"/>
      <c r="H6793" s="31"/>
    </row>
    <row r="6794">
      <c r="A6794" s="31"/>
      <c r="C6794" s="31"/>
      <c r="D6794" s="31"/>
      <c r="H6794" s="31"/>
    </row>
    <row r="6795">
      <c r="A6795" s="31"/>
      <c r="C6795" s="31"/>
      <c r="D6795" s="31"/>
      <c r="H6795" s="31"/>
    </row>
    <row r="6796">
      <c r="A6796" s="31"/>
      <c r="C6796" s="31"/>
      <c r="D6796" s="31"/>
      <c r="H6796" s="31"/>
    </row>
    <row r="6797">
      <c r="A6797" s="31"/>
      <c r="C6797" s="31"/>
      <c r="D6797" s="31"/>
      <c r="H6797" s="31"/>
    </row>
    <row r="6798">
      <c r="A6798" s="31"/>
      <c r="C6798" s="31"/>
      <c r="D6798" s="31"/>
      <c r="H6798" s="31"/>
    </row>
    <row r="6799">
      <c r="A6799" s="31"/>
      <c r="C6799" s="31"/>
      <c r="D6799" s="31"/>
      <c r="H6799" s="31"/>
    </row>
    <row r="6800">
      <c r="A6800" s="31"/>
      <c r="C6800" s="31"/>
      <c r="D6800" s="31"/>
      <c r="H6800" s="31"/>
    </row>
    <row r="6801">
      <c r="A6801" s="31"/>
      <c r="C6801" s="31"/>
      <c r="D6801" s="31"/>
      <c r="H6801" s="31"/>
    </row>
    <row r="6802">
      <c r="A6802" s="31"/>
      <c r="C6802" s="31"/>
      <c r="D6802" s="31"/>
      <c r="H6802" s="31"/>
    </row>
    <row r="6803">
      <c r="A6803" s="31"/>
      <c r="C6803" s="31"/>
      <c r="D6803" s="31"/>
      <c r="H6803" s="31"/>
    </row>
    <row r="6804">
      <c r="A6804" s="31"/>
      <c r="C6804" s="31"/>
      <c r="D6804" s="31"/>
      <c r="H6804" s="31"/>
    </row>
    <row r="6805">
      <c r="A6805" s="31"/>
      <c r="C6805" s="31"/>
      <c r="D6805" s="31"/>
      <c r="H6805" s="31"/>
    </row>
    <row r="6806">
      <c r="A6806" s="31"/>
      <c r="C6806" s="31"/>
      <c r="D6806" s="31"/>
      <c r="H6806" s="31"/>
    </row>
    <row r="6807">
      <c r="A6807" s="31"/>
      <c r="C6807" s="31"/>
      <c r="D6807" s="31"/>
      <c r="H6807" s="31"/>
    </row>
    <row r="6808">
      <c r="A6808" s="31"/>
      <c r="C6808" s="31"/>
      <c r="D6808" s="31"/>
      <c r="H6808" s="31"/>
    </row>
    <row r="6809">
      <c r="A6809" s="31"/>
      <c r="C6809" s="31"/>
      <c r="D6809" s="31"/>
      <c r="H6809" s="31"/>
    </row>
    <row r="6810">
      <c r="A6810" s="31"/>
      <c r="C6810" s="31"/>
      <c r="D6810" s="31"/>
      <c r="H6810" s="31"/>
    </row>
    <row r="6811">
      <c r="A6811" s="31"/>
      <c r="C6811" s="31"/>
      <c r="D6811" s="31"/>
      <c r="H6811" s="31"/>
    </row>
    <row r="6812">
      <c r="A6812" s="31"/>
      <c r="C6812" s="31"/>
      <c r="D6812" s="31"/>
      <c r="H6812" s="31"/>
    </row>
    <row r="6813">
      <c r="A6813" s="31"/>
      <c r="C6813" s="31"/>
      <c r="D6813" s="31"/>
      <c r="H6813" s="31"/>
    </row>
    <row r="6814">
      <c r="A6814" s="31"/>
      <c r="C6814" s="31"/>
      <c r="D6814" s="31"/>
      <c r="H6814" s="31"/>
    </row>
    <row r="6815">
      <c r="A6815" s="31"/>
      <c r="C6815" s="31"/>
      <c r="D6815" s="31"/>
      <c r="H6815" s="31"/>
    </row>
    <row r="6816">
      <c r="A6816" s="31"/>
      <c r="C6816" s="31"/>
      <c r="D6816" s="31"/>
      <c r="H6816" s="31"/>
    </row>
    <row r="6817">
      <c r="A6817" s="31"/>
      <c r="C6817" s="31"/>
      <c r="D6817" s="31"/>
      <c r="H6817" s="31"/>
    </row>
    <row r="6818">
      <c r="A6818" s="31"/>
      <c r="C6818" s="31"/>
      <c r="D6818" s="31"/>
      <c r="H6818" s="31"/>
    </row>
    <row r="6819">
      <c r="A6819" s="31"/>
      <c r="C6819" s="31"/>
      <c r="D6819" s="31"/>
      <c r="H6819" s="31"/>
    </row>
    <row r="6820">
      <c r="A6820" s="31"/>
      <c r="C6820" s="31"/>
      <c r="D6820" s="31"/>
      <c r="H6820" s="31"/>
    </row>
    <row r="6821">
      <c r="A6821" s="31"/>
      <c r="C6821" s="31"/>
      <c r="D6821" s="31"/>
      <c r="H6821" s="31"/>
    </row>
    <row r="6822">
      <c r="A6822" s="31"/>
      <c r="C6822" s="31"/>
      <c r="D6822" s="31"/>
      <c r="H6822" s="31"/>
    </row>
    <row r="6823">
      <c r="A6823" s="31"/>
      <c r="C6823" s="31"/>
      <c r="D6823" s="31"/>
      <c r="H6823" s="31"/>
    </row>
    <row r="6824">
      <c r="A6824" s="31"/>
      <c r="C6824" s="31"/>
      <c r="D6824" s="31"/>
      <c r="H6824" s="31"/>
    </row>
    <row r="6825">
      <c r="A6825" s="31"/>
      <c r="C6825" s="31"/>
      <c r="D6825" s="31"/>
      <c r="H6825" s="31"/>
    </row>
    <row r="6826">
      <c r="A6826" s="31"/>
      <c r="C6826" s="31"/>
      <c r="D6826" s="31"/>
      <c r="H6826" s="31"/>
    </row>
    <row r="6827">
      <c r="A6827" s="31"/>
      <c r="C6827" s="31"/>
      <c r="D6827" s="31"/>
      <c r="H6827" s="31"/>
    </row>
    <row r="6828">
      <c r="A6828" s="31"/>
      <c r="C6828" s="31"/>
      <c r="D6828" s="31"/>
      <c r="H6828" s="31"/>
    </row>
    <row r="6829">
      <c r="A6829" s="31"/>
      <c r="C6829" s="31"/>
      <c r="D6829" s="31"/>
      <c r="H6829" s="31"/>
    </row>
    <row r="6830">
      <c r="A6830" s="31"/>
      <c r="C6830" s="31"/>
      <c r="D6830" s="31"/>
      <c r="H6830" s="31"/>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7" t="str">
        <f>IFERROR(__xludf.DUMMYFUNCTION("arrayformula(if(REGEXMATCH(Headers, "".""), regexreplace(split(Headers, char(10), false, false) &amp; char(10) &amp; split(FullText, char(10)&amp;char(10), false, false) &amp; char(10) &amp; split(Classifications, char(10)), ""^_\n"", """"), """"))"),"")</f>
        <v/>
      </c>
      <c r="B1" s="17" t="str">
        <f>IFERROR(__xludf.DUMMYFUNCTION("""COMPUTED_VALUE"""),"")</f>
        <v/>
      </c>
      <c r="C1" s="17" t="str">
        <f>IFERROR(__xludf.DUMMYFUNCTION("""COMPUTED_VALUE"""),"")</f>
        <v/>
      </c>
      <c r="D1" s="17" t="str">
        <f>IFERROR(__xludf.DUMMYFUNCTION("""COMPUTED_VALUE"""),"")</f>
        <v/>
      </c>
      <c r="E1" s="17" t="str">
        <f>IFERROR(__xludf.DUMMYFUNCTION("""COMPUTED_VALUE"""),"")</f>
        <v/>
      </c>
      <c r="F1" s="17" t="str">
        <f>IFERROR(__xludf.DUMMYFUNCTION("""COMPUTED_VALUE"""),"")</f>
        <v/>
      </c>
      <c r="G1" s="17" t="str">
        <f>IFERROR(__xludf.DUMMYFUNCTION("""COMPUTED_VALUE"""),"")</f>
        <v/>
      </c>
      <c r="H1" s="17" t="str">
        <f>IFERROR(__xludf.DUMMYFUNCTION("""COMPUTED_VALUE"""),"")</f>
        <v/>
      </c>
      <c r="I1" s="17" t="str">
        <f>IFERROR(__xludf.DUMMYFUNCTION("""COMPUTED_VALUE"""),"")</f>
        <v/>
      </c>
      <c r="J1" s="17" t="str">
        <f>IFERROR(__xludf.DUMMYFUNCTION("""COMPUTED_VALUE"""),"")</f>
        <v/>
      </c>
      <c r="K1" s="17" t="str">
        <f>IFERROR(__xludf.DUMMYFUNCTION("""COMPUTED_VALUE"""),"")</f>
        <v/>
      </c>
      <c r="L1" s="17" t="str">
        <f>IFERROR(__xludf.DUMMYFUNCTION("""COMPUTED_VALUE"""),"")</f>
        <v/>
      </c>
      <c r="M1" s="17" t="str">
        <f>IFERROR(__xludf.DUMMYFUNCTION("""COMPUTED_VALUE"""),"")</f>
        <v/>
      </c>
      <c r="N1" s="17" t="str">
        <f>IFERROR(__xludf.DUMMYFUNCTION("""COMPUTED_VALUE"""),"")</f>
        <v/>
      </c>
      <c r="O1" s="17" t="str">
        <f>IFERROR(__xludf.DUMMYFUNCTION("""COMPUTED_VALUE"""),"")</f>
        <v/>
      </c>
      <c r="P1" s="17" t="str">
        <f>IFERROR(__xludf.DUMMYFUNCTION("""COMPUTED_VALUE"""),"")</f>
        <v/>
      </c>
      <c r="Q1" s="17" t="str">
        <f>IFERROR(__xludf.DUMMYFUNCTION("""COMPUTED_VALUE"""),"")</f>
        <v/>
      </c>
      <c r="R1" s="17" t="str">
        <f>IFERROR(__xludf.DUMMYFUNCTION("""COMPUTED_VALUE"""),"")</f>
        <v/>
      </c>
      <c r="S1" s="17" t="str">
        <f>IFERROR(__xludf.DUMMYFUNCTION("""COMPUTED_VALUE"""),"")</f>
        <v/>
      </c>
      <c r="T1" s="17" t="str">
        <f>IFERROR(__xludf.DUMMYFUNCTION("""COMPUTED_VALUE"""),"")</f>
        <v/>
      </c>
      <c r="U1" s="17" t="str">
        <f>IFERROR(__xludf.DUMMYFUNCTION("""COMPUTED_VALUE"""),"")</f>
        <v/>
      </c>
      <c r="V1" s="17" t="str">
        <f>IFERROR(__xludf.DUMMYFUNCTION("""COMPUTED_VALUE"""),"")</f>
        <v/>
      </c>
      <c r="W1" s="17" t="str">
        <f>IFERROR(__xludf.DUMMYFUNCTION("""COMPUTED_VALUE"""),"")</f>
        <v/>
      </c>
      <c r="X1" s="17" t="str">
        <f>IFERROR(__xludf.DUMMYFUNCTION("""COMPUTED_VALUE"""),"")</f>
        <v/>
      </c>
      <c r="Y1" s="17" t="str">
        <f>IFERROR(__xludf.DUMMYFUNCTION("""COMPUTED_VALUE"""),"")</f>
        <v/>
      </c>
      <c r="Z1" s="17" t="str">
        <f>IFERROR(__xludf.DUMMYFUNCTION("""COMPUTED_VALUE"""),"")</f>
        <v/>
      </c>
      <c r="AA1" s="17" t="str">
        <f>IFERROR(__xludf.DUMMYFUNCTION("""COMPUTED_VALUE"""),"")</f>
        <v/>
      </c>
      <c r="AB1" s="17" t="str">
        <f>IFERROR(__xludf.DUMMYFUNCTION("""COMPUTED_VALUE"""),"")</f>
        <v/>
      </c>
      <c r="AC1" s="17" t="str">
        <f>IFERROR(__xludf.DUMMYFUNCTION("""COMPUTED_VALUE"""),"")</f>
        <v/>
      </c>
    </row>
    <row r="2">
      <c r="A2" s="17" t="str">
        <f>IFERROR(__xludf.DUMMYFUNCTION("""COMPUTED_VALUE"""),"")</f>
        <v/>
      </c>
      <c r="B2" s="17" t="str">
        <f>IFERROR(__xludf.DUMMYFUNCTION("""COMPUTED_VALUE"""),"")</f>
        <v/>
      </c>
      <c r="C2" s="17" t="str">
        <f>IFERROR(__xludf.DUMMYFUNCTION("""COMPUTED_VALUE"""),"")</f>
        <v/>
      </c>
      <c r="D2" s="17" t="str">
        <f>IFERROR(__xludf.DUMMYFUNCTION("""COMPUTED_VALUE"""),"")</f>
        <v/>
      </c>
      <c r="E2" s="17" t="str">
        <f>IFERROR(__xludf.DUMMYFUNCTION("""COMPUTED_VALUE"""),"")</f>
        <v/>
      </c>
      <c r="F2" s="17" t="str">
        <f>IFERROR(__xludf.DUMMYFUNCTION("""COMPUTED_VALUE"""),"")</f>
        <v/>
      </c>
      <c r="G2" s="17" t="str">
        <f>IFERROR(__xludf.DUMMYFUNCTION("""COMPUTED_VALUE"""),"")</f>
        <v/>
      </c>
      <c r="H2" s="17" t="str">
        <f>IFERROR(__xludf.DUMMYFUNCTION("""COMPUTED_VALUE"""),"")</f>
        <v/>
      </c>
      <c r="I2" s="17" t="str">
        <f>IFERROR(__xludf.DUMMYFUNCTION("""COMPUTED_VALUE"""),"")</f>
        <v/>
      </c>
      <c r="J2" s="17" t="str">
        <f>IFERROR(__xludf.DUMMYFUNCTION("""COMPUTED_VALUE"""),"")</f>
        <v/>
      </c>
      <c r="K2" s="17" t="str">
        <f>IFERROR(__xludf.DUMMYFUNCTION("""COMPUTED_VALUE"""),"")</f>
        <v/>
      </c>
      <c r="L2" s="17" t="str">
        <f>IFERROR(__xludf.DUMMYFUNCTION("""COMPUTED_VALUE"""),"")</f>
        <v/>
      </c>
      <c r="M2" s="17" t="str">
        <f>IFERROR(__xludf.DUMMYFUNCTION("""COMPUTED_VALUE"""),"")</f>
        <v/>
      </c>
      <c r="N2" s="17" t="str">
        <f>IFERROR(__xludf.DUMMYFUNCTION("""COMPUTED_VALUE"""),"")</f>
        <v/>
      </c>
      <c r="O2" s="17" t="str">
        <f>IFERROR(__xludf.DUMMYFUNCTION("""COMPUTED_VALUE"""),"")</f>
        <v/>
      </c>
      <c r="P2" s="17" t="str">
        <f>IFERROR(__xludf.DUMMYFUNCTION("""COMPUTED_VALUE"""),"")</f>
        <v/>
      </c>
      <c r="Q2" s="17" t="str">
        <f>IFERROR(__xludf.DUMMYFUNCTION("""COMPUTED_VALUE"""),"")</f>
        <v/>
      </c>
      <c r="R2" s="17" t="str">
        <f>IFERROR(__xludf.DUMMYFUNCTION("""COMPUTED_VALUE"""),"")</f>
        <v/>
      </c>
      <c r="S2" s="17" t="str">
        <f>IFERROR(__xludf.DUMMYFUNCTION("""COMPUTED_VALUE"""),"")</f>
        <v/>
      </c>
      <c r="T2" s="17" t="str">
        <f>IFERROR(__xludf.DUMMYFUNCTION("""COMPUTED_VALUE"""),"")</f>
        <v/>
      </c>
      <c r="U2" s="17" t="str">
        <f>IFERROR(__xludf.DUMMYFUNCTION("""COMPUTED_VALUE"""),"")</f>
        <v/>
      </c>
      <c r="V2" s="17" t="str">
        <f>IFERROR(__xludf.DUMMYFUNCTION("""COMPUTED_VALUE"""),"")</f>
        <v/>
      </c>
      <c r="W2" s="17" t="str">
        <f>IFERROR(__xludf.DUMMYFUNCTION("""COMPUTED_VALUE"""),"")</f>
        <v/>
      </c>
      <c r="X2" s="17" t="str">
        <f>IFERROR(__xludf.DUMMYFUNCTION("""COMPUTED_VALUE"""),"")</f>
        <v/>
      </c>
      <c r="Y2" s="17" t="str">
        <f>IFERROR(__xludf.DUMMYFUNCTION("""COMPUTED_VALUE"""),"")</f>
        <v/>
      </c>
      <c r="Z2" s="17" t="str">
        <f>IFERROR(__xludf.DUMMYFUNCTION("""COMPUTED_VALUE"""),"")</f>
        <v/>
      </c>
      <c r="AA2" s="17" t="str">
        <f>IFERROR(__xludf.DUMMYFUNCTION("""COMPUTED_VALUE"""),"")</f>
        <v/>
      </c>
      <c r="AB2" s="17" t="str">
        <f>IFERROR(__xludf.DUMMYFUNCTION("""COMPUTED_VALUE"""),"")</f>
        <v/>
      </c>
      <c r="AC2" s="17" t="str">
        <f>IFERROR(__xludf.DUMMYFUNCTION("""COMPUTED_VALUE"""),"")</f>
        <v/>
      </c>
    </row>
    <row r="3">
      <c r="A3" s="17" t="str">
        <f>IFERROR(__xludf.DUMMYFUNCTION("""COMPUTED_VALUE"""),"Chapter 12: 9 Acquisitions
Alchemy (Banjo-Kazooie) 100:
You are incredibly capable at mixing together mundane ingredients to create effects that can only be described as magical. For a short time these potions can create temporary copies of you, turn you "&amp;"invisible, or give you shielding.
Set")</f>
        <v>Chapter 12: 9 Acquisitions
Alchemy (Banjo-Kazooie) 100:
You are incredibly capable at mixing together mundane ingredients to create effects that can only be described as magical. For a short time these potions can create temporary copies of you, turn you invisible, or give you shielding.
Set</v>
      </c>
      <c r="B3" s="17" t="str">
        <f>IFERROR(__xludf.DUMMYFUNCTION("""COMPUTED_VALUE"""),"Chapter 175: 113 Disrupted Discourse
Mixing Mixtures (Banjo-Kazooie) 200:
Your created potions can bestow multiple effects you know, however mixing too many might cause surprises. You can Reliably mix up to a dozen elixirs without them interfering with th"&amp;"e effects of each other.
Set")</f>
        <v>Chapter 175: 113 Disrupted Discourse
Mixing Mixtures (Banjo-Kazooie) 200:
Your created potions can bestow multiple effects you know, however mixing too many might cause surprises. You can Reliably mix up to a dozen elixirs without them interfering with the effects of each other.
Set</v>
      </c>
      <c r="C3" s="17" t="str">
        <f>IFERROR(__xludf.DUMMYFUNCTION("""COMPUTED_VALUE"""),"
")</f>
        <v>
</v>
      </c>
      <c r="D3" s="17" t="str">
        <f>IFERROR(__xludf.DUMMYFUNCTION("""COMPUTED_VALUE"""),"
")</f>
        <v>
</v>
      </c>
      <c r="E3" s="17" t="str">
        <f>IFERROR(__xludf.DUMMYFUNCTION("""COMPUTED_VALUE"""),"
")</f>
        <v>
</v>
      </c>
      <c r="F3" s="17" t="str">
        <f>IFERROR(__xludf.DUMMYFUNCTION("""COMPUTED_VALUE"""),"
")</f>
        <v>
</v>
      </c>
      <c r="G3" s="17" t="str">
        <f>IFERROR(__xludf.DUMMYFUNCTION("""COMPUTED_VALUE"""),"
")</f>
        <v>
</v>
      </c>
      <c r="H3" s="17" t="str">
        <f>IFERROR(__xludf.DUMMYFUNCTION("""COMPUTED_VALUE"""),"
")</f>
        <v>
</v>
      </c>
      <c r="I3" s="17" t="str">
        <f>IFERROR(__xludf.DUMMYFUNCTION("""COMPUTED_VALUE"""),"
")</f>
        <v>
</v>
      </c>
      <c r="J3" s="17" t="str">
        <f>IFERROR(__xludf.DUMMYFUNCTION("""COMPUTED_VALUE"""),"
")</f>
        <v>
</v>
      </c>
      <c r="K3" s="17" t="str">
        <f>IFERROR(__xludf.DUMMYFUNCTION("""COMPUTED_VALUE"""),"
")</f>
        <v>
</v>
      </c>
      <c r="L3" s="17" t="str">
        <f>IFERROR(__xludf.DUMMYFUNCTION("""COMPUTED_VALUE"""),"
")</f>
        <v>
</v>
      </c>
      <c r="M3" s="17" t="str">
        <f>IFERROR(__xludf.DUMMYFUNCTION("""COMPUTED_VALUE"""),"
")</f>
        <v>
</v>
      </c>
      <c r="N3" s="17" t="str">
        <f>IFERROR(__xludf.DUMMYFUNCTION("""COMPUTED_VALUE"""),"
")</f>
        <v>
</v>
      </c>
      <c r="O3" s="17" t="str">
        <f>IFERROR(__xludf.DUMMYFUNCTION("""COMPUTED_VALUE"""),"
")</f>
        <v>
</v>
      </c>
      <c r="P3" s="17" t="str">
        <f>IFERROR(__xludf.DUMMYFUNCTION("""COMPUTED_VALUE"""),"
")</f>
        <v>
</v>
      </c>
      <c r="Q3" s="17" t="str">
        <f>IFERROR(__xludf.DUMMYFUNCTION("""COMPUTED_VALUE"""),"
")</f>
        <v>
</v>
      </c>
      <c r="R3" s="17" t="str">
        <f>IFERROR(__xludf.DUMMYFUNCTION("""COMPUTED_VALUE"""),"
")</f>
        <v>
</v>
      </c>
      <c r="S3" s="17" t="str">
        <f>IFERROR(__xludf.DUMMYFUNCTION("""COMPUTED_VALUE"""),"
")</f>
        <v>
</v>
      </c>
      <c r="T3" s="17" t="str">
        <f>IFERROR(__xludf.DUMMYFUNCTION("""COMPUTED_VALUE"""),"
")</f>
        <v>
</v>
      </c>
      <c r="U3" s="17" t="str">
        <f>IFERROR(__xludf.DUMMYFUNCTION("""COMPUTED_VALUE"""),"
")</f>
        <v>
</v>
      </c>
      <c r="V3" s="17" t="str">
        <f>IFERROR(__xludf.DUMMYFUNCTION("""COMPUTED_VALUE"""),"
")</f>
        <v>
</v>
      </c>
      <c r="W3" s="17" t="str">
        <f>IFERROR(__xludf.DUMMYFUNCTION("""COMPUTED_VALUE"""),"
")</f>
        <v>
</v>
      </c>
      <c r="X3" s="17" t="str">
        <f>IFERROR(__xludf.DUMMYFUNCTION("""COMPUTED_VALUE"""),"
")</f>
        <v>
</v>
      </c>
      <c r="Y3" s="17" t="str">
        <f>IFERROR(__xludf.DUMMYFUNCTION("""COMPUTED_VALUE"""),"
")</f>
        <v>
</v>
      </c>
      <c r="Z3" s="17" t="str">
        <f>IFERROR(__xludf.DUMMYFUNCTION("""COMPUTED_VALUE"""),"
")</f>
        <v>
</v>
      </c>
      <c r="AA3" s="17" t="str">
        <f>IFERROR(__xludf.DUMMYFUNCTION("""COMPUTED_VALUE"""),"
")</f>
        <v>
</v>
      </c>
      <c r="AB3" s="17" t="str">
        <f>IFERROR(__xludf.DUMMYFUNCTION("""COMPUTED_VALUE"""),"
")</f>
        <v>
</v>
      </c>
      <c r="AC3" s="17" t="str">
        <f>IFERROR(__xludf.DUMMYFUNCTION("""COMPUTED_VALUE"""),"
")</f>
        <v>
</v>
      </c>
    </row>
    <row r="4">
      <c r="A4" s="17" t="str">
        <f>IFERROR(__xludf.DUMMYFUNCTION("""COMPUTED_VALUE"""),"Chapter 44: 37 Small Tasks - Addendum Meeting Report
Alchemy (Castlevania) 300:
Through careful experimentation and research, you've gained understanding of the true nature of God's creation of the world. You may now utilize a lesser form of this art to c"&amp;"reate items of power, ranging from potions and charms to powerful weapons to drive back the forces of evil. You also understand the basics of a darker form of this art, enabling you to understand and counter evil rituals.
System")</f>
        <v>Chapter 44: 37 Small Tasks - Addendum Meeting Report
Alchemy (Castlevania) 300:
Through careful experimentation and research, you've gained understanding of the true nature of God's creation of the world. You may now utilize a lesser form of this art to create items of power, ranging from potions and charms to powerful weapons to drive back the forces of evil. You also understand the basics of a darker form of this art, enabling you to understand and counter evil rituals.
System</v>
      </c>
      <c r="B4" s="17" t="str">
        <f>IFERROR(__xludf.DUMMYFUNCTION("""COMPUTED_VALUE"""),"
")</f>
        <v>
</v>
      </c>
      <c r="C4" s="17" t="str">
        <f>IFERROR(__xludf.DUMMYFUNCTION("""COMPUTED_VALUE"""),"
")</f>
        <v>
</v>
      </c>
      <c r="D4" s="17" t="str">
        <f>IFERROR(__xludf.DUMMYFUNCTION("""COMPUTED_VALUE"""),"
")</f>
        <v>
</v>
      </c>
      <c r="E4" s="17" t="str">
        <f>IFERROR(__xludf.DUMMYFUNCTION("""COMPUTED_VALUE"""),"
")</f>
        <v>
</v>
      </c>
      <c r="F4" s="17" t="str">
        <f>IFERROR(__xludf.DUMMYFUNCTION("""COMPUTED_VALUE"""),"
")</f>
        <v>
</v>
      </c>
      <c r="G4" s="17" t="str">
        <f>IFERROR(__xludf.DUMMYFUNCTION("""COMPUTED_VALUE"""),"
")</f>
        <v>
</v>
      </c>
      <c r="H4" s="17" t="str">
        <f>IFERROR(__xludf.DUMMYFUNCTION("""COMPUTED_VALUE"""),"
")</f>
        <v>
</v>
      </c>
      <c r="I4" s="17" t="str">
        <f>IFERROR(__xludf.DUMMYFUNCTION("""COMPUTED_VALUE"""),"
")</f>
        <v>
</v>
      </c>
      <c r="J4" s="17" t="str">
        <f>IFERROR(__xludf.DUMMYFUNCTION("""COMPUTED_VALUE"""),"
")</f>
        <v>
</v>
      </c>
      <c r="K4" s="17" t="str">
        <f>IFERROR(__xludf.DUMMYFUNCTION("""COMPUTED_VALUE"""),"
")</f>
        <v>
</v>
      </c>
      <c r="L4" s="17" t="str">
        <f>IFERROR(__xludf.DUMMYFUNCTION("""COMPUTED_VALUE"""),"
")</f>
        <v>
</v>
      </c>
      <c r="M4" s="17" t="str">
        <f>IFERROR(__xludf.DUMMYFUNCTION("""COMPUTED_VALUE"""),"
")</f>
        <v>
</v>
      </c>
      <c r="N4" s="17" t="str">
        <f>IFERROR(__xludf.DUMMYFUNCTION("""COMPUTED_VALUE"""),"
")</f>
        <v>
</v>
      </c>
      <c r="O4" s="17" t="str">
        <f>IFERROR(__xludf.DUMMYFUNCTION("""COMPUTED_VALUE"""),"
")</f>
        <v>
</v>
      </c>
      <c r="P4" s="17" t="str">
        <f>IFERROR(__xludf.DUMMYFUNCTION("""COMPUTED_VALUE"""),"
")</f>
        <v>
</v>
      </c>
      <c r="Q4" s="17" t="str">
        <f>IFERROR(__xludf.DUMMYFUNCTION("""COMPUTED_VALUE"""),"
")</f>
        <v>
</v>
      </c>
      <c r="R4" s="17" t="str">
        <f>IFERROR(__xludf.DUMMYFUNCTION("""COMPUTED_VALUE"""),"
")</f>
        <v>
</v>
      </c>
      <c r="S4" s="17" t="str">
        <f>IFERROR(__xludf.DUMMYFUNCTION("""COMPUTED_VALUE"""),"
")</f>
        <v>
</v>
      </c>
      <c r="T4" s="17" t="str">
        <f>IFERROR(__xludf.DUMMYFUNCTION("""COMPUTED_VALUE"""),"
")</f>
        <v>
</v>
      </c>
      <c r="U4" s="17" t="str">
        <f>IFERROR(__xludf.DUMMYFUNCTION("""COMPUTED_VALUE"""),"
")</f>
        <v>
</v>
      </c>
      <c r="V4" s="17" t="str">
        <f>IFERROR(__xludf.DUMMYFUNCTION("""COMPUTED_VALUE"""),"
")</f>
        <v>
</v>
      </c>
      <c r="W4" s="17" t="str">
        <f>IFERROR(__xludf.DUMMYFUNCTION("""COMPUTED_VALUE"""),"
")</f>
        <v>
</v>
      </c>
      <c r="X4" s="17" t="str">
        <f>IFERROR(__xludf.DUMMYFUNCTION("""COMPUTED_VALUE"""),"
")</f>
        <v>
</v>
      </c>
      <c r="Y4" s="17" t="str">
        <f>IFERROR(__xludf.DUMMYFUNCTION("""COMPUTED_VALUE"""),"
")</f>
        <v>
</v>
      </c>
      <c r="Z4" s="17" t="str">
        <f>IFERROR(__xludf.DUMMYFUNCTION("""COMPUTED_VALUE"""),"
")</f>
        <v>
</v>
      </c>
      <c r="AA4" s="17" t="str">
        <f>IFERROR(__xludf.DUMMYFUNCTION("""COMPUTED_VALUE"""),"
")</f>
        <v>
</v>
      </c>
      <c r="AB4" s="17" t="str">
        <f>IFERROR(__xludf.DUMMYFUNCTION("""COMPUTED_VALUE"""),"
")</f>
        <v>
</v>
      </c>
      <c r="AC4" s="17" t="str">
        <f>IFERROR(__xludf.DUMMYFUNCTION("""COMPUTED_VALUE"""),"
")</f>
        <v>
</v>
      </c>
    </row>
    <row r="5">
      <c r="A5" s="17" t="str">
        <f>IFERROR(__xludf.DUMMYFUNCTION("""COMPUTED_VALUE"""),"")</f>
        <v/>
      </c>
      <c r="B5" s="17" t="str">
        <f>IFERROR(__xludf.DUMMYFUNCTION("""COMPUTED_VALUE"""),"")</f>
        <v/>
      </c>
      <c r="C5" s="17" t="str">
        <f>IFERROR(__xludf.DUMMYFUNCTION("""COMPUTED_VALUE"""),"")</f>
        <v/>
      </c>
      <c r="D5" s="17" t="str">
        <f>IFERROR(__xludf.DUMMYFUNCTION("""COMPUTED_VALUE"""),"")</f>
        <v/>
      </c>
      <c r="E5" s="17" t="str">
        <f>IFERROR(__xludf.DUMMYFUNCTION("""COMPUTED_VALUE"""),"")</f>
        <v/>
      </c>
      <c r="F5" s="17" t="str">
        <f>IFERROR(__xludf.DUMMYFUNCTION("""COMPUTED_VALUE"""),"")</f>
        <v/>
      </c>
      <c r="G5" s="17" t="str">
        <f>IFERROR(__xludf.DUMMYFUNCTION("""COMPUTED_VALUE"""),"")</f>
        <v/>
      </c>
      <c r="H5" s="17" t="str">
        <f>IFERROR(__xludf.DUMMYFUNCTION("""COMPUTED_VALUE"""),"")</f>
        <v/>
      </c>
      <c r="I5" s="17" t="str">
        <f>IFERROR(__xludf.DUMMYFUNCTION("""COMPUTED_VALUE"""),"")</f>
        <v/>
      </c>
      <c r="J5" s="17" t="str">
        <f>IFERROR(__xludf.DUMMYFUNCTION("""COMPUTED_VALUE"""),"")</f>
        <v/>
      </c>
      <c r="K5" s="17" t="str">
        <f>IFERROR(__xludf.DUMMYFUNCTION("""COMPUTED_VALUE"""),"")</f>
        <v/>
      </c>
      <c r="L5" s="17" t="str">
        <f>IFERROR(__xludf.DUMMYFUNCTION("""COMPUTED_VALUE"""),"")</f>
        <v/>
      </c>
      <c r="M5" s="17" t="str">
        <f>IFERROR(__xludf.DUMMYFUNCTION("""COMPUTED_VALUE"""),"")</f>
        <v/>
      </c>
      <c r="N5" s="17" t="str">
        <f>IFERROR(__xludf.DUMMYFUNCTION("""COMPUTED_VALUE"""),"")</f>
        <v/>
      </c>
      <c r="O5" s="17" t="str">
        <f>IFERROR(__xludf.DUMMYFUNCTION("""COMPUTED_VALUE"""),"")</f>
        <v/>
      </c>
      <c r="P5" s="17" t="str">
        <f>IFERROR(__xludf.DUMMYFUNCTION("""COMPUTED_VALUE"""),"")</f>
        <v/>
      </c>
      <c r="Q5" s="17" t="str">
        <f>IFERROR(__xludf.DUMMYFUNCTION("""COMPUTED_VALUE"""),"")</f>
        <v/>
      </c>
      <c r="R5" s="17" t="str">
        <f>IFERROR(__xludf.DUMMYFUNCTION("""COMPUTED_VALUE"""),"")</f>
        <v/>
      </c>
      <c r="S5" s="17" t="str">
        <f>IFERROR(__xludf.DUMMYFUNCTION("""COMPUTED_VALUE"""),"")</f>
        <v/>
      </c>
      <c r="T5" s="17" t="str">
        <f>IFERROR(__xludf.DUMMYFUNCTION("""COMPUTED_VALUE"""),"")</f>
        <v/>
      </c>
      <c r="U5" s="17" t="str">
        <f>IFERROR(__xludf.DUMMYFUNCTION("""COMPUTED_VALUE"""),"")</f>
        <v/>
      </c>
      <c r="V5" s="17" t="str">
        <f>IFERROR(__xludf.DUMMYFUNCTION("""COMPUTED_VALUE"""),"")</f>
        <v/>
      </c>
      <c r="W5" s="17" t="str">
        <f>IFERROR(__xludf.DUMMYFUNCTION("""COMPUTED_VALUE"""),"")</f>
        <v/>
      </c>
      <c r="X5" s="17" t="str">
        <f>IFERROR(__xludf.DUMMYFUNCTION("""COMPUTED_VALUE"""),"")</f>
        <v/>
      </c>
      <c r="Y5" s="17" t="str">
        <f>IFERROR(__xludf.DUMMYFUNCTION("""COMPUTED_VALUE"""),"")</f>
        <v/>
      </c>
      <c r="Z5" s="17" t="str">
        <f>IFERROR(__xludf.DUMMYFUNCTION("""COMPUTED_VALUE"""),"")</f>
        <v/>
      </c>
      <c r="AA5" s="17" t="str">
        <f>IFERROR(__xludf.DUMMYFUNCTION("""COMPUTED_VALUE"""),"")</f>
        <v/>
      </c>
      <c r="AB5" s="17" t="str">
        <f>IFERROR(__xludf.DUMMYFUNCTION("""COMPUTED_VALUE"""),"")</f>
        <v/>
      </c>
      <c r="AC5" s="17" t="str">
        <f>IFERROR(__xludf.DUMMYFUNCTION("""COMPUTED_VALUE"""),"")</f>
        <v/>
      </c>
    </row>
    <row r="6">
      <c r="A6" s="17" t="str">
        <f>IFERROR(__xludf.DUMMYFUNCTION("""COMPUTED_VALUE"""),"")</f>
        <v/>
      </c>
      <c r="B6" s="17" t="str">
        <f>IFERROR(__xludf.DUMMYFUNCTION("""COMPUTED_VALUE"""),"")</f>
        <v/>
      </c>
      <c r="C6" s="17" t="str">
        <f>IFERROR(__xludf.DUMMYFUNCTION("""COMPUTED_VALUE"""),"")</f>
        <v/>
      </c>
      <c r="D6" s="17" t="str">
        <f>IFERROR(__xludf.DUMMYFUNCTION("""COMPUTED_VALUE"""),"")</f>
        <v/>
      </c>
      <c r="E6" s="17" t="str">
        <f>IFERROR(__xludf.DUMMYFUNCTION("""COMPUTED_VALUE"""),"")</f>
        <v/>
      </c>
      <c r="F6" s="17" t="str">
        <f>IFERROR(__xludf.DUMMYFUNCTION("""COMPUTED_VALUE"""),"")</f>
        <v/>
      </c>
      <c r="G6" s="17" t="str">
        <f>IFERROR(__xludf.DUMMYFUNCTION("""COMPUTED_VALUE"""),"")</f>
        <v/>
      </c>
      <c r="H6" s="17" t="str">
        <f>IFERROR(__xludf.DUMMYFUNCTION("""COMPUTED_VALUE"""),"")</f>
        <v/>
      </c>
      <c r="I6" s="17" t="str">
        <f>IFERROR(__xludf.DUMMYFUNCTION("""COMPUTED_VALUE"""),"")</f>
        <v/>
      </c>
      <c r="J6" s="17" t="str">
        <f>IFERROR(__xludf.DUMMYFUNCTION("""COMPUTED_VALUE"""),"")</f>
        <v/>
      </c>
      <c r="K6" s="17" t="str">
        <f>IFERROR(__xludf.DUMMYFUNCTION("""COMPUTED_VALUE"""),"")</f>
        <v/>
      </c>
      <c r="L6" s="17" t="str">
        <f>IFERROR(__xludf.DUMMYFUNCTION("""COMPUTED_VALUE"""),"")</f>
        <v/>
      </c>
      <c r="M6" s="17" t="str">
        <f>IFERROR(__xludf.DUMMYFUNCTION("""COMPUTED_VALUE"""),"")</f>
        <v/>
      </c>
      <c r="N6" s="17" t="str">
        <f>IFERROR(__xludf.DUMMYFUNCTION("""COMPUTED_VALUE"""),"")</f>
        <v/>
      </c>
      <c r="O6" s="17" t="str">
        <f>IFERROR(__xludf.DUMMYFUNCTION("""COMPUTED_VALUE"""),"")</f>
        <v/>
      </c>
      <c r="P6" s="17" t="str">
        <f>IFERROR(__xludf.DUMMYFUNCTION("""COMPUTED_VALUE"""),"")</f>
        <v/>
      </c>
      <c r="Q6" s="17" t="str">
        <f>IFERROR(__xludf.DUMMYFUNCTION("""COMPUTED_VALUE"""),"")</f>
        <v/>
      </c>
      <c r="R6" s="17" t="str">
        <f>IFERROR(__xludf.DUMMYFUNCTION("""COMPUTED_VALUE"""),"")</f>
        <v/>
      </c>
      <c r="S6" s="17" t="str">
        <f>IFERROR(__xludf.DUMMYFUNCTION("""COMPUTED_VALUE"""),"")</f>
        <v/>
      </c>
      <c r="T6" s="17" t="str">
        <f>IFERROR(__xludf.DUMMYFUNCTION("""COMPUTED_VALUE"""),"")</f>
        <v/>
      </c>
      <c r="U6" s="17" t="str">
        <f>IFERROR(__xludf.DUMMYFUNCTION("""COMPUTED_VALUE"""),"")</f>
        <v/>
      </c>
      <c r="V6" s="17" t="str">
        <f>IFERROR(__xludf.DUMMYFUNCTION("""COMPUTED_VALUE"""),"")</f>
        <v/>
      </c>
      <c r="W6" s="17" t="str">
        <f>IFERROR(__xludf.DUMMYFUNCTION("""COMPUTED_VALUE"""),"")</f>
        <v/>
      </c>
      <c r="X6" s="17" t="str">
        <f>IFERROR(__xludf.DUMMYFUNCTION("""COMPUTED_VALUE"""),"")</f>
        <v/>
      </c>
      <c r="Y6" s="17" t="str">
        <f>IFERROR(__xludf.DUMMYFUNCTION("""COMPUTED_VALUE"""),"")</f>
        <v/>
      </c>
      <c r="Z6" s="17" t="str">
        <f>IFERROR(__xludf.DUMMYFUNCTION("""COMPUTED_VALUE"""),"")</f>
        <v/>
      </c>
      <c r="AA6" s="17" t="str">
        <f>IFERROR(__xludf.DUMMYFUNCTION("""COMPUTED_VALUE"""),"")</f>
        <v/>
      </c>
      <c r="AB6" s="17" t="str">
        <f>IFERROR(__xludf.DUMMYFUNCTION("""COMPUTED_VALUE"""),"")</f>
        <v/>
      </c>
      <c r="AC6" s="17" t="str">
        <f>IFERROR(__xludf.DUMMYFUNCTION("""COMPUTED_VALUE"""),"")</f>
        <v/>
      </c>
    </row>
    <row r="7">
      <c r="A7" s="17" t="str">
        <f>IFERROR(__xludf.DUMMYFUNCTION("""COMPUTED_VALUE"""),"Chapter 56: 44 Awakening
Thaumaturgical Focus: Transmutation (Fate/) 400:
There exist many special arts within magecraft, and now you have gained the knowledge of one of them. There are many schools of magic to specialise in, such as Alchemy, Memory Parti"&amp;"tion, Thought Acceleration, Transmutation, Jewelcraft, Curses etc. You could even learn the Emiya art of Time Manipulation, though you will have only the very basics, and will need years just to get to Kiritsugu's level, but you may possible go even furth"&amp;"er. You may not choose any True Magic with this perk. This perk can be bought multiple times
System")</f>
        <v>Chapter 56: 44 Awakening
Thaumaturgical Focus: Transmutation (Fate/) 400:
There exist many special arts within magecraft, and now you have gained the knowledge of one of them. There are many schools of magic to specialise in, such as Alchemy, Memory Partition, Thought Acceleration, Transmutation, Jewelcraft, Curses etc. You could even learn the Emiya art of Time Manipulation, though you will have only the very basics, and will need years just to get to Kiritsugu's level, but you may possible go even further. You may not choose any True Magic with this perk. This perk can be bought multiple times
System</v>
      </c>
      <c r="B7" s="17" t="str">
        <f>IFERROR(__xludf.DUMMYFUNCTION("""COMPUTED_VALUE"""),"Chapter 56: 44 Awakening
Magic Circuits (Fate/) Free:
You receive 20 magic circuits, each of the highest quality, upon entering the jump. These circuits are used to control both Od and Mana, internal and external magical energy respectively, and allow the"&amp;" use of magecraft. The more circuits you have, the more prana you get to play with.
Personal")</f>
        <v>Chapter 56: 44 Awakening
Magic Circuits (Fate/) Free:
You receive 20 magic circuits, each of the highest quality, upon entering the jump. These circuits are used to control both Od and Mana, internal and external magical energy respectively, and allow the use of magecraft. The more circuits you have, the more prana you get to play with.
Personal</v>
      </c>
      <c r="C7" s="17" t="str">
        <f>IFERROR(__xludf.DUMMYFUNCTION("""COMPUTED_VALUE"""),"Chapter 68: 53 Hard Time
Thaumaturgical Focus: Alchemy (Fate) 400:
There exist many special arts within magecraft, and now you have gained the knowledge of one of them. There are many schools of magic to specialise in, such as Alchemy, Memory Partition, T"&amp;"hought Acceleration, Transmutation, Jewelcraft, Curses etc. You could even learn the Emiya art of Time Manipulation, though you will have only the very basics, and will need years just to get to Kiritsugu's level, but you may possible go even further. You"&amp;" may not choose any True Magic with this perk. This perk can be bought multiple times
System")</f>
        <v>Chapter 68: 53 Hard Time
Thaumaturgical Focus: Alchemy (Fate) 400:
There exist many special arts within magecraft, and now you have gained the knowledge of one of them. There are many schools of magic to specialise in, such as Alchemy, Memory Partition, Thought Acceleration, Transmutation, Jewelcraft, Curses etc. You could even learn the Emiya art of Time Manipulation, though you will have only the very basics, and will need years just to get to Kiritsugu's level, but you may possible go even further. You may not choose any True Magic with this perk. This perk can be bought multiple times
System</v>
      </c>
      <c r="D7" s="17" t="str">
        <f>IFERROR(__xludf.DUMMYFUNCTION("""COMPUTED_VALUE"""),"Chapter 68: 53 Hard Time
Status Page (Fate) Free:
A natural boon given to all masters, you have the ability to view the abilities of your servant and other beings in the form of an RPG statistics page. While this does not give you any information you do n"&amp;"ot already know, it does put it into an easily understandable format.
Ability")</f>
        <v>Chapter 68: 53 Hard Time
Status Page (Fate) Free:
A natural boon given to all masters, you have the ability to view the abilities of your servant and other beings in the form of an RPG statistics page. While this does not give you any information you do not already know, it does put it into an easily understandable format.
Ability</v>
      </c>
      <c r="E7" s="17" t="str">
        <f>IFERROR(__xludf.DUMMYFUNCTION("""COMPUTED_VALUE"""),"Chapter 68: 53 Hard Time
Dapper Dressing (Fate) Free:
What is a magus without style? A priest without his robe? A jumper without their outfit? Taking this allows you to create your own fabulous outfit, or take a copy of an existing outfit from any Type Mo"&amp;"on character. This may be purchased multiple times.
Item")</f>
        <v>Chapter 68: 53 Hard Time
Dapper Dressing (Fate) Free:
What is a magus without style? A priest without his robe? A jumper without their outfit? Taking this allows you to create your own fabulous outfit, or take a copy of an existing outfit from any Type Moon character. This may be purchased multiple times.
Item</v>
      </c>
      <c r="F7" s="17" t="str">
        <f>IFERROR(__xludf.DUMMYFUNCTION("""COMPUTED_VALUE"""),"
")</f>
        <v>
</v>
      </c>
      <c r="G7" s="17" t="str">
        <f>IFERROR(__xludf.DUMMYFUNCTION("""COMPUTED_VALUE"""),"
")</f>
        <v>
</v>
      </c>
      <c r="H7" s="17" t="str">
        <f>IFERROR(__xludf.DUMMYFUNCTION("""COMPUTED_VALUE"""),"
")</f>
        <v>
</v>
      </c>
      <c r="I7" s="17" t="str">
        <f>IFERROR(__xludf.DUMMYFUNCTION("""COMPUTED_VALUE"""),"
")</f>
        <v>
</v>
      </c>
      <c r="J7" s="17" t="str">
        <f>IFERROR(__xludf.DUMMYFUNCTION("""COMPUTED_VALUE"""),"
")</f>
        <v>
</v>
      </c>
      <c r="K7" s="17" t="str">
        <f>IFERROR(__xludf.DUMMYFUNCTION("""COMPUTED_VALUE"""),"
")</f>
        <v>
</v>
      </c>
      <c r="L7" s="17" t="str">
        <f>IFERROR(__xludf.DUMMYFUNCTION("""COMPUTED_VALUE"""),"
")</f>
        <v>
</v>
      </c>
      <c r="M7" s="17" t="str">
        <f>IFERROR(__xludf.DUMMYFUNCTION("""COMPUTED_VALUE"""),"
")</f>
        <v>
</v>
      </c>
      <c r="N7" s="17" t="str">
        <f>IFERROR(__xludf.DUMMYFUNCTION("""COMPUTED_VALUE"""),"
")</f>
        <v>
</v>
      </c>
      <c r="O7" s="17" t="str">
        <f>IFERROR(__xludf.DUMMYFUNCTION("""COMPUTED_VALUE"""),"
")</f>
        <v>
</v>
      </c>
      <c r="P7" s="17" t="str">
        <f>IFERROR(__xludf.DUMMYFUNCTION("""COMPUTED_VALUE"""),"
")</f>
        <v>
</v>
      </c>
      <c r="Q7" s="17" t="str">
        <f>IFERROR(__xludf.DUMMYFUNCTION("""COMPUTED_VALUE"""),"
")</f>
        <v>
</v>
      </c>
      <c r="R7" s="17" t="str">
        <f>IFERROR(__xludf.DUMMYFUNCTION("""COMPUTED_VALUE"""),"
")</f>
        <v>
</v>
      </c>
      <c r="S7" s="17" t="str">
        <f>IFERROR(__xludf.DUMMYFUNCTION("""COMPUTED_VALUE"""),"
")</f>
        <v>
</v>
      </c>
      <c r="T7" s="17" t="str">
        <f>IFERROR(__xludf.DUMMYFUNCTION("""COMPUTED_VALUE"""),"
")</f>
        <v>
</v>
      </c>
      <c r="U7" s="17" t="str">
        <f>IFERROR(__xludf.DUMMYFUNCTION("""COMPUTED_VALUE"""),"
")</f>
        <v>
</v>
      </c>
      <c r="V7" s="17" t="str">
        <f>IFERROR(__xludf.DUMMYFUNCTION("""COMPUTED_VALUE"""),"
")</f>
        <v>
</v>
      </c>
      <c r="W7" s="17" t="str">
        <f>IFERROR(__xludf.DUMMYFUNCTION("""COMPUTED_VALUE"""),"
")</f>
        <v>
</v>
      </c>
      <c r="X7" s="17" t="str">
        <f>IFERROR(__xludf.DUMMYFUNCTION("""COMPUTED_VALUE"""),"
")</f>
        <v>
</v>
      </c>
      <c r="Y7" s="17" t="str">
        <f>IFERROR(__xludf.DUMMYFUNCTION("""COMPUTED_VALUE"""),"
")</f>
        <v>
</v>
      </c>
      <c r="Z7" s="17" t="str">
        <f>IFERROR(__xludf.DUMMYFUNCTION("""COMPUTED_VALUE"""),"
")</f>
        <v>
</v>
      </c>
      <c r="AA7" s="17" t="str">
        <f>IFERROR(__xludf.DUMMYFUNCTION("""COMPUTED_VALUE"""),"
")</f>
        <v>
</v>
      </c>
      <c r="AB7" s="17" t="str">
        <f>IFERROR(__xludf.DUMMYFUNCTION("""COMPUTED_VALUE"""),"
")</f>
        <v>
</v>
      </c>
      <c r="AC7" s="17" t="str">
        <f>IFERROR(__xludf.DUMMYFUNCTION("""COMPUTED_VALUE"""),"
")</f>
        <v>
</v>
      </c>
    </row>
    <row r="8">
      <c r="A8" s="17" t="str">
        <f>IFERROR(__xludf.DUMMYFUNCTION("""COMPUTED_VALUE"""),"Chapter 29: 23 Renovation - Addendum Taylor
Simplified Formulae (Fullmetal Alchemist) 100:
You understand the connections between parts. You can make large alchemy circles far more easily and far less complex than others. You can combine this with Advance"&amp;"d Formulae for multipurpose combat alchemy.
System")</f>
        <v>Chapter 29: 23 Renovation - Addendum Taylor
Simplified Formulae (Fullmetal Alchemist) 100:
You understand the connections between parts. You can make large alchemy circles far more easily and far less complex than others. You can combine this with Advanced Formulae for multipurpose combat alchemy.
System</v>
      </c>
      <c r="B8" s="17" t="str">
        <f>IFERROR(__xludf.DUMMYFUNCTION("""COMPUTED_VALUE"""),"Chapter 29: 23 Renovation - Addendum Taylor
Alchemy Fiats (Fullmetal Alchemist) Free:
Your alchemy will always work as intended no matter what universe you're in.
Alchemy can be taught, but your students will lack a lot of the fundamentals you take for gr"&amp;"anted. It is a science after all, and science is only useful if you know what it does.
Fiat")</f>
        <v>Chapter 29: 23 Renovation - Addendum Taylor
Alchemy Fiats (Fullmetal Alchemist) Free:
Your alchemy will always work as intended no matter what universe you're in.
Alchemy can be taught, but your students will lack a lot of the fundamentals you take for granted. It is a science after all, and science is only useful if you know what it does.
Fiat</v>
      </c>
      <c r="C8" s="17" t="str">
        <f>IFERROR(__xludf.DUMMYFUNCTION("""COMPUTED_VALUE"""),"Chapter 36: 30 Crescendo - Addendum Missy
Alkahestry (Fullmetal Alchemist) 300:
You can feel The Dragon’s Pulse. You understand how to perfom basic Alkahestry, an art from Xing wich can perform transmutation from a distance using linked circles, and can h"&amp;"eal wounds of many kinds by following the pulse of the body. With practice or tutoring you can make a real skill from it.
System")</f>
        <v>Chapter 36: 30 Crescendo - Addendum Missy
Alkahestry (Fullmetal Alchemist) 300:
You can feel The Dragon’s Pulse. You understand how to perfom basic Alkahestry, an art from Xing wich can perform transmutation from a distance using linked circles, and can heal wounds of many kinds by following the pulse of the body. With practice or tutoring you can make a real skill from it.
System</v>
      </c>
      <c r="D8" s="17" t="str">
        <f>IFERROR(__xludf.DUMMYFUNCTION("""COMPUTED_VALUE"""),"Chapter 40: 34 Little Talks - Addendum Ethan
Advanced Formulae (Fullmetal Alchemist) 100:
Alchemy comes to you as breathing does. Your greater understanding allows for the creation of more complex alchemy. You can combine with Simplified Formulae for mult"&amp;"ipurpose combat alchemy
System")</f>
        <v>Chapter 40: 34 Little Talks - Addendum Ethan
Advanced Formulae (Fullmetal Alchemist) 100:
Alchemy comes to you as breathing does. Your greater understanding allows for the creation of more complex alchemy. You can combine with Simplified Formulae for multipurpose combat alchemy
System</v>
      </c>
      <c r="E8" s="17" t="str">
        <f>IFERROR(__xludf.DUMMYFUNCTION("""COMPUTED_VALUE"""),"
")</f>
        <v>
</v>
      </c>
      <c r="F8" s="17" t="str">
        <f>IFERROR(__xludf.DUMMYFUNCTION("""COMPUTED_VALUE"""),"
")</f>
        <v>
</v>
      </c>
      <c r="G8" s="17" t="str">
        <f>IFERROR(__xludf.DUMMYFUNCTION("""COMPUTED_VALUE"""),"
")</f>
        <v>
</v>
      </c>
      <c r="H8" s="17" t="str">
        <f>IFERROR(__xludf.DUMMYFUNCTION("""COMPUTED_VALUE"""),"
")</f>
        <v>
</v>
      </c>
      <c r="I8" s="17" t="str">
        <f>IFERROR(__xludf.DUMMYFUNCTION("""COMPUTED_VALUE"""),"
")</f>
        <v>
</v>
      </c>
      <c r="J8" s="17" t="str">
        <f>IFERROR(__xludf.DUMMYFUNCTION("""COMPUTED_VALUE"""),"
")</f>
        <v>
</v>
      </c>
      <c r="K8" s="17" t="str">
        <f>IFERROR(__xludf.DUMMYFUNCTION("""COMPUTED_VALUE"""),"
")</f>
        <v>
</v>
      </c>
      <c r="L8" s="17" t="str">
        <f>IFERROR(__xludf.DUMMYFUNCTION("""COMPUTED_VALUE"""),"
")</f>
        <v>
</v>
      </c>
      <c r="M8" s="17" t="str">
        <f>IFERROR(__xludf.DUMMYFUNCTION("""COMPUTED_VALUE"""),"
")</f>
        <v>
</v>
      </c>
      <c r="N8" s="17" t="str">
        <f>IFERROR(__xludf.DUMMYFUNCTION("""COMPUTED_VALUE"""),"
")</f>
        <v>
</v>
      </c>
      <c r="O8" s="17" t="str">
        <f>IFERROR(__xludf.DUMMYFUNCTION("""COMPUTED_VALUE"""),"
")</f>
        <v>
</v>
      </c>
      <c r="P8" s="17" t="str">
        <f>IFERROR(__xludf.DUMMYFUNCTION("""COMPUTED_VALUE"""),"
")</f>
        <v>
</v>
      </c>
      <c r="Q8" s="17" t="str">
        <f>IFERROR(__xludf.DUMMYFUNCTION("""COMPUTED_VALUE"""),"
")</f>
        <v>
</v>
      </c>
      <c r="R8" s="17" t="str">
        <f>IFERROR(__xludf.DUMMYFUNCTION("""COMPUTED_VALUE"""),"
")</f>
        <v>
</v>
      </c>
      <c r="S8" s="17" t="str">
        <f>IFERROR(__xludf.DUMMYFUNCTION("""COMPUTED_VALUE"""),"
")</f>
        <v>
</v>
      </c>
      <c r="T8" s="17" t="str">
        <f>IFERROR(__xludf.DUMMYFUNCTION("""COMPUTED_VALUE"""),"
")</f>
        <v>
</v>
      </c>
      <c r="U8" s="17" t="str">
        <f>IFERROR(__xludf.DUMMYFUNCTION("""COMPUTED_VALUE"""),"
")</f>
        <v>
</v>
      </c>
      <c r="V8" s="17" t="str">
        <f>IFERROR(__xludf.DUMMYFUNCTION("""COMPUTED_VALUE"""),"
")</f>
        <v>
</v>
      </c>
      <c r="W8" s="17" t="str">
        <f>IFERROR(__xludf.DUMMYFUNCTION("""COMPUTED_VALUE"""),"
")</f>
        <v>
</v>
      </c>
      <c r="X8" s="17" t="str">
        <f>IFERROR(__xludf.DUMMYFUNCTION("""COMPUTED_VALUE"""),"
")</f>
        <v>
</v>
      </c>
      <c r="Y8" s="17" t="str">
        <f>IFERROR(__xludf.DUMMYFUNCTION("""COMPUTED_VALUE"""),"
")</f>
        <v>
</v>
      </c>
      <c r="Z8" s="17" t="str">
        <f>IFERROR(__xludf.DUMMYFUNCTION("""COMPUTED_VALUE"""),"
")</f>
        <v>
</v>
      </c>
      <c r="AA8" s="17" t="str">
        <f>IFERROR(__xludf.DUMMYFUNCTION("""COMPUTED_VALUE"""),"
")</f>
        <v>
</v>
      </c>
      <c r="AB8" s="17" t="str">
        <f>IFERROR(__xludf.DUMMYFUNCTION("""COMPUTED_VALUE"""),"
")</f>
        <v>
</v>
      </c>
      <c r="AC8" s="17" t="str">
        <f>IFERROR(__xludf.DUMMYFUNCTION("""COMPUTED_VALUE"""),"
")</f>
        <v>
</v>
      </c>
    </row>
    <row r="9">
      <c r="A9" s="17" t="str">
        <f>IFERROR(__xludf.DUMMYFUNCTION("""COMPUTED_VALUE"""),"")</f>
        <v/>
      </c>
      <c r="B9" s="17" t="str">
        <f>IFERROR(__xludf.DUMMYFUNCTION("""COMPUTED_VALUE"""),"")</f>
        <v/>
      </c>
      <c r="C9" s="17" t="str">
        <f>IFERROR(__xludf.DUMMYFUNCTION("""COMPUTED_VALUE"""),"")</f>
        <v/>
      </c>
      <c r="D9" s="17" t="str">
        <f>IFERROR(__xludf.DUMMYFUNCTION("""COMPUTED_VALUE"""),"")</f>
        <v/>
      </c>
      <c r="E9" s="17" t="str">
        <f>IFERROR(__xludf.DUMMYFUNCTION("""COMPUTED_VALUE"""),"")</f>
        <v/>
      </c>
      <c r="F9" s="17" t="str">
        <f>IFERROR(__xludf.DUMMYFUNCTION("""COMPUTED_VALUE"""),"")</f>
        <v/>
      </c>
      <c r="G9" s="17" t="str">
        <f>IFERROR(__xludf.DUMMYFUNCTION("""COMPUTED_VALUE"""),"")</f>
        <v/>
      </c>
      <c r="H9" s="17" t="str">
        <f>IFERROR(__xludf.DUMMYFUNCTION("""COMPUTED_VALUE"""),"")</f>
        <v/>
      </c>
      <c r="I9" s="17" t="str">
        <f>IFERROR(__xludf.DUMMYFUNCTION("""COMPUTED_VALUE"""),"")</f>
        <v/>
      </c>
      <c r="J9" s="17" t="str">
        <f>IFERROR(__xludf.DUMMYFUNCTION("""COMPUTED_VALUE"""),"")</f>
        <v/>
      </c>
      <c r="K9" s="17" t="str">
        <f>IFERROR(__xludf.DUMMYFUNCTION("""COMPUTED_VALUE"""),"")</f>
        <v/>
      </c>
      <c r="L9" s="17" t="str">
        <f>IFERROR(__xludf.DUMMYFUNCTION("""COMPUTED_VALUE"""),"")</f>
        <v/>
      </c>
      <c r="M9" s="17" t="str">
        <f>IFERROR(__xludf.DUMMYFUNCTION("""COMPUTED_VALUE"""),"")</f>
        <v/>
      </c>
      <c r="N9" s="17" t="str">
        <f>IFERROR(__xludf.DUMMYFUNCTION("""COMPUTED_VALUE"""),"")</f>
        <v/>
      </c>
      <c r="O9" s="17" t="str">
        <f>IFERROR(__xludf.DUMMYFUNCTION("""COMPUTED_VALUE"""),"")</f>
        <v/>
      </c>
      <c r="P9" s="17" t="str">
        <f>IFERROR(__xludf.DUMMYFUNCTION("""COMPUTED_VALUE"""),"")</f>
        <v/>
      </c>
      <c r="Q9" s="17" t="str">
        <f>IFERROR(__xludf.DUMMYFUNCTION("""COMPUTED_VALUE"""),"")</f>
        <v/>
      </c>
      <c r="R9" s="17" t="str">
        <f>IFERROR(__xludf.DUMMYFUNCTION("""COMPUTED_VALUE"""),"")</f>
        <v/>
      </c>
      <c r="S9" s="17" t="str">
        <f>IFERROR(__xludf.DUMMYFUNCTION("""COMPUTED_VALUE"""),"")</f>
        <v/>
      </c>
      <c r="T9" s="17" t="str">
        <f>IFERROR(__xludf.DUMMYFUNCTION("""COMPUTED_VALUE"""),"")</f>
        <v/>
      </c>
      <c r="U9" s="17" t="str">
        <f>IFERROR(__xludf.DUMMYFUNCTION("""COMPUTED_VALUE"""),"")</f>
        <v/>
      </c>
      <c r="V9" s="17" t="str">
        <f>IFERROR(__xludf.DUMMYFUNCTION("""COMPUTED_VALUE"""),"")</f>
        <v/>
      </c>
      <c r="W9" s="17" t="str">
        <f>IFERROR(__xludf.DUMMYFUNCTION("""COMPUTED_VALUE"""),"")</f>
        <v/>
      </c>
      <c r="X9" s="17" t="str">
        <f>IFERROR(__xludf.DUMMYFUNCTION("""COMPUTED_VALUE"""),"")</f>
        <v/>
      </c>
      <c r="Y9" s="17" t="str">
        <f>IFERROR(__xludf.DUMMYFUNCTION("""COMPUTED_VALUE"""),"")</f>
        <v/>
      </c>
      <c r="Z9" s="17" t="str">
        <f>IFERROR(__xludf.DUMMYFUNCTION("""COMPUTED_VALUE"""),"")</f>
        <v/>
      </c>
      <c r="AA9" s="17" t="str">
        <f>IFERROR(__xludf.DUMMYFUNCTION("""COMPUTED_VALUE"""),"")</f>
        <v/>
      </c>
      <c r="AB9" s="17" t="str">
        <f>IFERROR(__xludf.DUMMYFUNCTION("""COMPUTED_VALUE"""),"")</f>
        <v/>
      </c>
      <c r="AC9" s="17" t="str">
        <f>IFERROR(__xludf.DUMMYFUNCTION("""COMPUTED_VALUE"""),"")</f>
        <v/>
      </c>
    </row>
    <row r="10">
      <c r="A10" s="17" t="str">
        <f>IFERROR(__xludf.DUMMYFUNCTION("""COMPUTED_VALUE"""),"")</f>
        <v/>
      </c>
      <c r="B10" s="17" t="str">
        <f>IFERROR(__xludf.DUMMYFUNCTION("""COMPUTED_VALUE"""),"")</f>
        <v/>
      </c>
      <c r="C10" s="17" t="str">
        <f>IFERROR(__xludf.DUMMYFUNCTION("""COMPUTED_VALUE"""),"")</f>
        <v/>
      </c>
      <c r="D10" s="17" t="str">
        <f>IFERROR(__xludf.DUMMYFUNCTION("""COMPUTED_VALUE"""),"")</f>
        <v/>
      </c>
      <c r="E10" s="17" t="str">
        <f>IFERROR(__xludf.DUMMYFUNCTION("""COMPUTED_VALUE"""),"")</f>
        <v/>
      </c>
      <c r="F10" s="17" t="str">
        <f>IFERROR(__xludf.DUMMYFUNCTION("""COMPUTED_VALUE"""),"")</f>
        <v/>
      </c>
      <c r="G10" s="17" t="str">
        <f>IFERROR(__xludf.DUMMYFUNCTION("""COMPUTED_VALUE"""),"")</f>
        <v/>
      </c>
      <c r="H10" s="17" t="str">
        <f>IFERROR(__xludf.DUMMYFUNCTION("""COMPUTED_VALUE"""),"")</f>
        <v/>
      </c>
      <c r="I10" s="17" t="str">
        <f>IFERROR(__xludf.DUMMYFUNCTION("""COMPUTED_VALUE"""),"")</f>
        <v/>
      </c>
      <c r="J10" s="17" t="str">
        <f>IFERROR(__xludf.DUMMYFUNCTION("""COMPUTED_VALUE"""),"")</f>
        <v/>
      </c>
      <c r="K10" s="17" t="str">
        <f>IFERROR(__xludf.DUMMYFUNCTION("""COMPUTED_VALUE"""),"")</f>
        <v/>
      </c>
      <c r="L10" s="17" t="str">
        <f>IFERROR(__xludf.DUMMYFUNCTION("""COMPUTED_VALUE"""),"")</f>
        <v/>
      </c>
      <c r="M10" s="17" t="str">
        <f>IFERROR(__xludf.DUMMYFUNCTION("""COMPUTED_VALUE"""),"")</f>
        <v/>
      </c>
      <c r="N10" s="17" t="str">
        <f>IFERROR(__xludf.DUMMYFUNCTION("""COMPUTED_VALUE"""),"")</f>
        <v/>
      </c>
      <c r="O10" s="17" t="str">
        <f>IFERROR(__xludf.DUMMYFUNCTION("""COMPUTED_VALUE"""),"")</f>
        <v/>
      </c>
      <c r="P10" s="17" t="str">
        <f>IFERROR(__xludf.DUMMYFUNCTION("""COMPUTED_VALUE"""),"")</f>
        <v/>
      </c>
      <c r="Q10" s="17" t="str">
        <f>IFERROR(__xludf.DUMMYFUNCTION("""COMPUTED_VALUE"""),"")</f>
        <v/>
      </c>
      <c r="R10" s="17" t="str">
        <f>IFERROR(__xludf.DUMMYFUNCTION("""COMPUTED_VALUE"""),"")</f>
        <v/>
      </c>
      <c r="S10" s="17" t="str">
        <f>IFERROR(__xludf.DUMMYFUNCTION("""COMPUTED_VALUE"""),"")</f>
        <v/>
      </c>
      <c r="T10" s="17" t="str">
        <f>IFERROR(__xludf.DUMMYFUNCTION("""COMPUTED_VALUE"""),"")</f>
        <v/>
      </c>
      <c r="U10" s="17" t="str">
        <f>IFERROR(__xludf.DUMMYFUNCTION("""COMPUTED_VALUE"""),"")</f>
        <v/>
      </c>
      <c r="V10" s="17" t="str">
        <f>IFERROR(__xludf.DUMMYFUNCTION("""COMPUTED_VALUE"""),"")</f>
        <v/>
      </c>
      <c r="W10" s="17" t="str">
        <f>IFERROR(__xludf.DUMMYFUNCTION("""COMPUTED_VALUE"""),"")</f>
        <v/>
      </c>
      <c r="X10" s="17" t="str">
        <f>IFERROR(__xludf.DUMMYFUNCTION("""COMPUTED_VALUE"""),"")</f>
        <v/>
      </c>
      <c r="Y10" s="17" t="str">
        <f>IFERROR(__xludf.DUMMYFUNCTION("""COMPUTED_VALUE"""),"")</f>
        <v/>
      </c>
      <c r="Z10" s="17" t="str">
        <f>IFERROR(__xludf.DUMMYFUNCTION("""COMPUTED_VALUE"""),"")</f>
        <v/>
      </c>
      <c r="AA10" s="17" t="str">
        <f>IFERROR(__xludf.DUMMYFUNCTION("""COMPUTED_VALUE"""),"")</f>
        <v/>
      </c>
      <c r="AB10" s="17" t="str">
        <f>IFERROR(__xludf.DUMMYFUNCTION("""COMPUTED_VALUE"""),"")</f>
        <v/>
      </c>
      <c r="AC10" s="17" t="str">
        <f>IFERROR(__xludf.DUMMYFUNCTION("""COMPUTED_VALUE"""),"")</f>
        <v/>
      </c>
    </row>
    <row r="11">
      <c r="A11" s="17" t="str">
        <f>IFERROR(__xludf.DUMMYFUNCTION("""COMPUTED_VALUE"""),"Chapter 143: 98 Finite Resolutions
Trigram Knowledge and Manipulation (Journey to the West) 600:
Alchemy and matter manipulation with the understanding of the 8 trigrams to represent the fundamental forces of reality and how to represent and enforce chang"&amp;"e using these. Let me break this one down for you. It’s like FMA alchemy but with less focus on direct creation and more turning one thing into another of a similar size, including living things. However it cannot create life where there once was none and"&amp;" it requires you to write out a short formula describing the change to make it happen. Feel free to turn sand into water, sheep into boulders and anything else you can think of.
System")</f>
        <v>Chapter 143: 98 Finite Resolutions
Trigram Knowledge and Manipulation (Journey to the West) 600:
Alchemy and matter manipulation with the understanding of the 8 trigrams to represent the fundamental forces of reality and how to represent and enforce change using these. Let me break this one down for you. It’s like FMA alchemy but with less focus on direct creation and more turning one thing into another of a similar size, including living things. However it cannot create life where there once was none and it requires you to write out a short formula describing the change to make it happen. Feel free to turn sand into water, sheep into boulders and anything else you can think of.
System</v>
      </c>
      <c r="B11" s="17" t="str">
        <f>IFERROR(__xludf.DUMMYFUNCTION("""COMPUTED_VALUE"""),"
")</f>
        <v>
</v>
      </c>
      <c r="C11" s="17" t="str">
        <f>IFERROR(__xludf.DUMMYFUNCTION("""COMPUTED_VALUE"""),"
")</f>
        <v>
</v>
      </c>
      <c r="D11" s="17" t="str">
        <f>IFERROR(__xludf.DUMMYFUNCTION("""COMPUTED_VALUE"""),"
")</f>
        <v>
</v>
      </c>
      <c r="E11" s="17" t="str">
        <f>IFERROR(__xludf.DUMMYFUNCTION("""COMPUTED_VALUE"""),"
")</f>
        <v>
</v>
      </c>
      <c r="F11" s="17" t="str">
        <f>IFERROR(__xludf.DUMMYFUNCTION("""COMPUTED_VALUE"""),"
")</f>
        <v>
</v>
      </c>
      <c r="G11" s="17" t="str">
        <f>IFERROR(__xludf.DUMMYFUNCTION("""COMPUTED_VALUE"""),"
")</f>
        <v>
</v>
      </c>
      <c r="H11" s="17" t="str">
        <f>IFERROR(__xludf.DUMMYFUNCTION("""COMPUTED_VALUE"""),"
")</f>
        <v>
</v>
      </c>
      <c r="I11" s="17" t="str">
        <f>IFERROR(__xludf.DUMMYFUNCTION("""COMPUTED_VALUE"""),"
")</f>
        <v>
</v>
      </c>
      <c r="J11" s="17" t="str">
        <f>IFERROR(__xludf.DUMMYFUNCTION("""COMPUTED_VALUE"""),"
")</f>
        <v>
</v>
      </c>
      <c r="K11" s="17" t="str">
        <f>IFERROR(__xludf.DUMMYFUNCTION("""COMPUTED_VALUE"""),"
")</f>
        <v>
</v>
      </c>
      <c r="L11" s="17" t="str">
        <f>IFERROR(__xludf.DUMMYFUNCTION("""COMPUTED_VALUE"""),"
")</f>
        <v>
</v>
      </c>
      <c r="M11" s="17" t="str">
        <f>IFERROR(__xludf.DUMMYFUNCTION("""COMPUTED_VALUE"""),"
")</f>
        <v>
</v>
      </c>
      <c r="N11" s="17" t="str">
        <f>IFERROR(__xludf.DUMMYFUNCTION("""COMPUTED_VALUE"""),"
")</f>
        <v>
</v>
      </c>
      <c r="O11" s="17" t="str">
        <f>IFERROR(__xludf.DUMMYFUNCTION("""COMPUTED_VALUE"""),"
")</f>
        <v>
</v>
      </c>
      <c r="P11" s="17" t="str">
        <f>IFERROR(__xludf.DUMMYFUNCTION("""COMPUTED_VALUE"""),"
")</f>
        <v>
</v>
      </c>
      <c r="Q11" s="17" t="str">
        <f>IFERROR(__xludf.DUMMYFUNCTION("""COMPUTED_VALUE"""),"
")</f>
        <v>
</v>
      </c>
      <c r="R11" s="17" t="str">
        <f>IFERROR(__xludf.DUMMYFUNCTION("""COMPUTED_VALUE"""),"
")</f>
        <v>
</v>
      </c>
      <c r="S11" s="17" t="str">
        <f>IFERROR(__xludf.DUMMYFUNCTION("""COMPUTED_VALUE"""),"
")</f>
        <v>
</v>
      </c>
      <c r="T11" s="17" t="str">
        <f>IFERROR(__xludf.DUMMYFUNCTION("""COMPUTED_VALUE"""),"
")</f>
        <v>
</v>
      </c>
      <c r="U11" s="17" t="str">
        <f>IFERROR(__xludf.DUMMYFUNCTION("""COMPUTED_VALUE"""),"
")</f>
        <v>
</v>
      </c>
      <c r="V11" s="17" t="str">
        <f>IFERROR(__xludf.DUMMYFUNCTION("""COMPUTED_VALUE"""),"
")</f>
        <v>
</v>
      </c>
      <c r="W11" s="17" t="str">
        <f>IFERROR(__xludf.DUMMYFUNCTION("""COMPUTED_VALUE"""),"
")</f>
        <v>
</v>
      </c>
      <c r="X11" s="17" t="str">
        <f>IFERROR(__xludf.DUMMYFUNCTION("""COMPUTED_VALUE"""),"
")</f>
        <v>
</v>
      </c>
      <c r="Y11" s="17" t="str">
        <f>IFERROR(__xludf.DUMMYFUNCTION("""COMPUTED_VALUE"""),"
")</f>
        <v>
</v>
      </c>
      <c r="Z11" s="17" t="str">
        <f>IFERROR(__xludf.DUMMYFUNCTION("""COMPUTED_VALUE"""),"
")</f>
        <v>
</v>
      </c>
      <c r="AA11" s="17" t="str">
        <f>IFERROR(__xludf.DUMMYFUNCTION("""COMPUTED_VALUE"""),"
")</f>
        <v>
</v>
      </c>
      <c r="AB11" s="17" t="str">
        <f>IFERROR(__xludf.DUMMYFUNCTION("""COMPUTED_VALUE"""),"
")</f>
        <v>
</v>
      </c>
      <c r="AC11" s="17" t="str">
        <f>IFERROR(__xludf.DUMMYFUNCTION("""COMPUTED_VALUE"""),"
")</f>
        <v>
</v>
      </c>
    </row>
    <row r="12">
      <c r="A12" s="17" t="str">
        <f>IFERROR(__xludf.DUMMYFUNCTION("""COMPUTED_VALUE"""),"")</f>
        <v/>
      </c>
      <c r="B12" s="17" t="str">
        <f>IFERROR(__xludf.DUMMYFUNCTION("""COMPUTED_VALUE"""),"")</f>
        <v/>
      </c>
      <c r="C12" s="17" t="str">
        <f>IFERROR(__xludf.DUMMYFUNCTION("""COMPUTED_VALUE"""),"")</f>
        <v/>
      </c>
      <c r="D12" s="17" t="str">
        <f>IFERROR(__xludf.DUMMYFUNCTION("""COMPUTED_VALUE"""),"")</f>
        <v/>
      </c>
      <c r="E12" s="17" t="str">
        <f>IFERROR(__xludf.DUMMYFUNCTION("""COMPUTED_VALUE"""),"")</f>
        <v/>
      </c>
      <c r="F12" s="17" t="str">
        <f>IFERROR(__xludf.DUMMYFUNCTION("""COMPUTED_VALUE"""),"")</f>
        <v/>
      </c>
      <c r="G12" s="17" t="str">
        <f>IFERROR(__xludf.DUMMYFUNCTION("""COMPUTED_VALUE"""),"")</f>
        <v/>
      </c>
      <c r="H12" s="17" t="str">
        <f>IFERROR(__xludf.DUMMYFUNCTION("""COMPUTED_VALUE"""),"")</f>
        <v/>
      </c>
      <c r="I12" s="17" t="str">
        <f>IFERROR(__xludf.DUMMYFUNCTION("""COMPUTED_VALUE"""),"")</f>
        <v/>
      </c>
      <c r="J12" s="17" t="str">
        <f>IFERROR(__xludf.DUMMYFUNCTION("""COMPUTED_VALUE"""),"")</f>
        <v/>
      </c>
      <c r="K12" s="17" t="str">
        <f>IFERROR(__xludf.DUMMYFUNCTION("""COMPUTED_VALUE"""),"")</f>
        <v/>
      </c>
      <c r="L12" s="17" t="str">
        <f>IFERROR(__xludf.DUMMYFUNCTION("""COMPUTED_VALUE"""),"")</f>
        <v/>
      </c>
      <c r="M12" s="17" t="str">
        <f>IFERROR(__xludf.DUMMYFUNCTION("""COMPUTED_VALUE"""),"")</f>
        <v/>
      </c>
      <c r="N12" s="17" t="str">
        <f>IFERROR(__xludf.DUMMYFUNCTION("""COMPUTED_VALUE"""),"")</f>
        <v/>
      </c>
      <c r="O12" s="17" t="str">
        <f>IFERROR(__xludf.DUMMYFUNCTION("""COMPUTED_VALUE"""),"")</f>
        <v/>
      </c>
      <c r="P12" s="17" t="str">
        <f>IFERROR(__xludf.DUMMYFUNCTION("""COMPUTED_VALUE"""),"")</f>
        <v/>
      </c>
      <c r="Q12" s="17" t="str">
        <f>IFERROR(__xludf.DUMMYFUNCTION("""COMPUTED_VALUE"""),"")</f>
        <v/>
      </c>
      <c r="R12" s="17" t="str">
        <f>IFERROR(__xludf.DUMMYFUNCTION("""COMPUTED_VALUE"""),"")</f>
        <v/>
      </c>
      <c r="S12" s="17" t="str">
        <f>IFERROR(__xludf.DUMMYFUNCTION("""COMPUTED_VALUE"""),"")</f>
        <v/>
      </c>
      <c r="T12" s="17" t="str">
        <f>IFERROR(__xludf.DUMMYFUNCTION("""COMPUTED_VALUE"""),"")</f>
        <v/>
      </c>
      <c r="U12" s="17" t="str">
        <f>IFERROR(__xludf.DUMMYFUNCTION("""COMPUTED_VALUE"""),"")</f>
        <v/>
      </c>
      <c r="V12" s="17" t="str">
        <f>IFERROR(__xludf.DUMMYFUNCTION("""COMPUTED_VALUE"""),"")</f>
        <v/>
      </c>
      <c r="W12" s="17" t="str">
        <f>IFERROR(__xludf.DUMMYFUNCTION("""COMPUTED_VALUE"""),"")</f>
        <v/>
      </c>
      <c r="X12" s="17" t="str">
        <f>IFERROR(__xludf.DUMMYFUNCTION("""COMPUTED_VALUE"""),"")</f>
        <v/>
      </c>
      <c r="Y12" s="17" t="str">
        <f>IFERROR(__xludf.DUMMYFUNCTION("""COMPUTED_VALUE"""),"")</f>
        <v/>
      </c>
      <c r="Z12" s="17" t="str">
        <f>IFERROR(__xludf.DUMMYFUNCTION("""COMPUTED_VALUE"""),"")</f>
        <v/>
      </c>
      <c r="AA12" s="17" t="str">
        <f>IFERROR(__xludf.DUMMYFUNCTION("""COMPUTED_VALUE"""),"")</f>
        <v/>
      </c>
      <c r="AB12" s="17" t="str">
        <f>IFERROR(__xludf.DUMMYFUNCTION("""COMPUTED_VALUE"""),"")</f>
        <v/>
      </c>
      <c r="AC12" s="17" t="str">
        <f>IFERROR(__xludf.DUMMYFUNCTION("""COMPUTED_VALUE"""),"")</f>
        <v/>
      </c>
    </row>
    <row r="13">
      <c r="A13" s="17" t="str">
        <f>IFERROR(__xludf.DUMMYFUNCTION("""COMPUTED_VALUE"""),"")</f>
        <v/>
      </c>
      <c r="B13" s="17" t="str">
        <f>IFERROR(__xludf.DUMMYFUNCTION("""COMPUTED_VALUE"""),"")</f>
        <v/>
      </c>
      <c r="C13" s="17" t="str">
        <f>IFERROR(__xludf.DUMMYFUNCTION("""COMPUTED_VALUE"""),"")</f>
        <v/>
      </c>
      <c r="D13" s="17" t="str">
        <f>IFERROR(__xludf.DUMMYFUNCTION("""COMPUTED_VALUE"""),"")</f>
        <v/>
      </c>
      <c r="E13" s="17" t="str">
        <f>IFERROR(__xludf.DUMMYFUNCTION("""COMPUTED_VALUE"""),"")</f>
        <v/>
      </c>
      <c r="F13" s="17" t="str">
        <f>IFERROR(__xludf.DUMMYFUNCTION("""COMPUTED_VALUE"""),"")</f>
        <v/>
      </c>
      <c r="G13" s="17" t="str">
        <f>IFERROR(__xludf.DUMMYFUNCTION("""COMPUTED_VALUE"""),"")</f>
        <v/>
      </c>
      <c r="H13" s="17" t="str">
        <f>IFERROR(__xludf.DUMMYFUNCTION("""COMPUTED_VALUE"""),"")</f>
        <v/>
      </c>
      <c r="I13" s="17" t="str">
        <f>IFERROR(__xludf.DUMMYFUNCTION("""COMPUTED_VALUE"""),"")</f>
        <v/>
      </c>
      <c r="J13" s="17" t="str">
        <f>IFERROR(__xludf.DUMMYFUNCTION("""COMPUTED_VALUE"""),"")</f>
        <v/>
      </c>
      <c r="K13" s="17" t="str">
        <f>IFERROR(__xludf.DUMMYFUNCTION("""COMPUTED_VALUE"""),"")</f>
        <v/>
      </c>
      <c r="L13" s="17" t="str">
        <f>IFERROR(__xludf.DUMMYFUNCTION("""COMPUTED_VALUE"""),"")</f>
        <v/>
      </c>
      <c r="M13" s="17" t="str">
        <f>IFERROR(__xludf.DUMMYFUNCTION("""COMPUTED_VALUE"""),"")</f>
        <v/>
      </c>
      <c r="N13" s="17" t="str">
        <f>IFERROR(__xludf.DUMMYFUNCTION("""COMPUTED_VALUE"""),"")</f>
        <v/>
      </c>
      <c r="O13" s="17" t="str">
        <f>IFERROR(__xludf.DUMMYFUNCTION("""COMPUTED_VALUE"""),"")</f>
        <v/>
      </c>
      <c r="P13" s="17" t="str">
        <f>IFERROR(__xludf.DUMMYFUNCTION("""COMPUTED_VALUE"""),"")</f>
        <v/>
      </c>
      <c r="Q13" s="17" t="str">
        <f>IFERROR(__xludf.DUMMYFUNCTION("""COMPUTED_VALUE"""),"")</f>
        <v/>
      </c>
      <c r="R13" s="17" t="str">
        <f>IFERROR(__xludf.DUMMYFUNCTION("""COMPUTED_VALUE"""),"")</f>
        <v/>
      </c>
      <c r="S13" s="17" t="str">
        <f>IFERROR(__xludf.DUMMYFUNCTION("""COMPUTED_VALUE"""),"")</f>
        <v/>
      </c>
      <c r="T13" s="17" t="str">
        <f>IFERROR(__xludf.DUMMYFUNCTION("""COMPUTED_VALUE"""),"")</f>
        <v/>
      </c>
      <c r="U13" s="17" t="str">
        <f>IFERROR(__xludf.DUMMYFUNCTION("""COMPUTED_VALUE"""),"")</f>
        <v/>
      </c>
      <c r="V13" s="17" t="str">
        <f>IFERROR(__xludf.DUMMYFUNCTION("""COMPUTED_VALUE"""),"")</f>
        <v/>
      </c>
      <c r="W13" s="17" t="str">
        <f>IFERROR(__xludf.DUMMYFUNCTION("""COMPUTED_VALUE"""),"")</f>
        <v/>
      </c>
      <c r="X13" s="17" t="str">
        <f>IFERROR(__xludf.DUMMYFUNCTION("""COMPUTED_VALUE"""),"")</f>
        <v/>
      </c>
      <c r="Y13" s="17" t="str">
        <f>IFERROR(__xludf.DUMMYFUNCTION("""COMPUTED_VALUE"""),"")</f>
        <v/>
      </c>
      <c r="Z13" s="17" t="str">
        <f>IFERROR(__xludf.DUMMYFUNCTION("""COMPUTED_VALUE"""),"")</f>
        <v/>
      </c>
      <c r="AA13" s="17" t="str">
        <f>IFERROR(__xludf.DUMMYFUNCTION("""COMPUTED_VALUE"""),"")</f>
        <v/>
      </c>
      <c r="AB13" s="17" t="str">
        <f>IFERROR(__xludf.DUMMYFUNCTION("""COMPUTED_VALUE"""),"")</f>
        <v/>
      </c>
      <c r="AC13" s="17" t="str">
        <f>IFERROR(__xludf.DUMMYFUNCTION("""COMPUTED_VALUE"""),"")</f>
        <v/>
      </c>
    </row>
    <row r="14">
      <c r="A14" s="17" t="str">
        <f>IFERROR(__xludf.DUMMYFUNCTION("""COMPUTED_VALUE"""),"")</f>
        <v/>
      </c>
      <c r="B14" s="17" t="str">
        <f>IFERROR(__xludf.DUMMYFUNCTION("""COMPUTED_VALUE"""),"")</f>
        <v/>
      </c>
      <c r="C14" s="17" t="str">
        <f>IFERROR(__xludf.DUMMYFUNCTION("""COMPUTED_VALUE"""),"")</f>
        <v/>
      </c>
      <c r="D14" s="17" t="str">
        <f>IFERROR(__xludf.DUMMYFUNCTION("""COMPUTED_VALUE"""),"")</f>
        <v/>
      </c>
      <c r="E14" s="17" t="str">
        <f>IFERROR(__xludf.DUMMYFUNCTION("""COMPUTED_VALUE"""),"")</f>
        <v/>
      </c>
      <c r="F14" s="17" t="str">
        <f>IFERROR(__xludf.DUMMYFUNCTION("""COMPUTED_VALUE"""),"")</f>
        <v/>
      </c>
      <c r="G14" s="17" t="str">
        <f>IFERROR(__xludf.DUMMYFUNCTION("""COMPUTED_VALUE"""),"")</f>
        <v/>
      </c>
      <c r="H14" s="17" t="str">
        <f>IFERROR(__xludf.DUMMYFUNCTION("""COMPUTED_VALUE"""),"")</f>
        <v/>
      </c>
      <c r="I14" s="17" t="str">
        <f>IFERROR(__xludf.DUMMYFUNCTION("""COMPUTED_VALUE"""),"")</f>
        <v/>
      </c>
      <c r="J14" s="17" t="str">
        <f>IFERROR(__xludf.DUMMYFUNCTION("""COMPUTED_VALUE"""),"")</f>
        <v/>
      </c>
      <c r="K14" s="17" t="str">
        <f>IFERROR(__xludf.DUMMYFUNCTION("""COMPUTED_VALUE"""),"")</f>
        <v/>
      </c>
      <c r="L14" s="17" t="str">
        <f>IFERROR(__xludf.DUMMYFUNCTION("""COMPUTED_VALUE"""),"")</f>
        <v/>
      </c>
      <c r="M14" s="17" t="str">
        <f>IFERROR(__xludf.DUMMYFUNCTION("""COMPUTED_VALUE"""),"")</f>
        <v/>
      </c>
      <c r="N14" s="17" t="str">
        <f>IFERROR(__xludf.DUMMYFUNCTION("""COMPUTED_VALUE"""),"")</f>
        <v/>
      </c>
      <c r="O14" s="17" t="str">
        <f>IFERROR(__xludf.DUMMYFUNCTION("""COMPUTED_VALUE"""),"")</f>
        <v/>
      </c>
      <c r="P14" s="17" t="str">
        <f>IFERROR(__xludf.DUMMYFUNCTION("""COMPUTED_VALUE"""),"")</f>
        <v/>
      </c>
      <c r="Q14" s="17" t="str">
        <f>IFERROR(__xludf.DUMMYFUNCTION("""COMPUTED_VALUE"""),"")</f>
        <v/>
      </c>
      <c r="R14" s="17" t="str">
        <f>IFERROR(__xludf.DUMMYFUNCTION("""COMPUTED_VALUE"""),"")</f>
        <v/>
      </c>
      <c r="S14" s="17" t="str">
        <f>IFERROR(__xludf.DUMMYFUNCTION("""COMPUTED_VALUE"""),"")</f>
        <v/>
      </c>
      <c r="T14" s="17" t="str">
        <f>IFERROR(__xludf.DUMMYFUNCTION("""COMPUTED_VALUE"""),"")</f>
        <v/>
      </c>
      <c r="U14" s="17" t="str">
        <f>IFERROR(__xludf.DUMMYFUNCTION("""COMPUTED_VALUE"""),"")</f>
        <v/>
      </c>
      <c r="V14" s="17" t="str">
        <f>IFERROR(__xludf.DUMMYFUNCTION("""COMPUTED_VALUE"""),"")</f>
        <v/>
      </c>
      <c r="W14" s="17" t="str">
        <f>IFERROR(__xludf.DUMMYFUNCTION("""COMPUTED_VALUE"""),"")</f>
        <v/>
      </c>
      <c r="X14" s="17" t="str">
        <f>IFERROR(__xludf.DUMMYFUNCTION("""COMPUTED_VALUE"""),"")</f>
        <v/>
      </c>
      <c r="Y14" s="17" t="str">
        <f>IFERROR(__xludf.DUMMYFUNCTION("""COMPUTED_VALUE"""),"")</f>
        <v/>
      </c>
      <c r="Z14" s="17" t="str">
        <f>IFERROR(__xludf.DUMMYFUNCTION("""COMPUTED_VALUE"""),"")</f>
        <v/>
      </c>
      <c r="AA14" s="17" t="str">
        <f>IFERROR(__xludf.DUMMYFUNCTION("""COMPUTED_VALUE"""),"")</f>
        <v/>
      </c>
      <c r="AB14" s="17" t="str">
        <f>IFERROR(__xludf.DUMMYFUNCTION("""COMPUTED_VALUE"""),"")</f>
        <v/>
      </c>
      <c r="AC14" s="17" t="str">
        <f>IFERROR(__xludf.DUMMYFUNCTION("""COMPUTED_VALUE"""),"")</f>
        <v/>
      </c>
    </row>
    <row r="15">
      <c r="A15" s="17" t="str">
        <f>IFERROR(__xludf.DUMMYFUNCTION("""COMPUTED_VALUE"""),"Chapter 192: 119.5 Interlude Labyrinth
Equivalent Exchange (Minecraft) 600:
You are a powerful Alchemist, able to infuse a Diamond with the power of Redstone and Glowstone to make a Philosopher’s Stone. With such a stone in hand, you’ll be able to create "&amp;"a Transmutation Tablet, allowing you to instantly convert matter from one form to another, possibly even converting ordinary dirt to valuable Diamonds... or even compressing the Diamonds further into Dark Matter or Red Matter. Combining your transmutation"&amp;" skills with these exotic and vastly expensive forms of matter, you’ll be able to produce Alchemical Chests with incredible volume, indestructible equipment with immense power, energy collector systems to generate additional resources from nothingness, an"&amp;"d potentially become nearly immortal, burning vast quantities of resources instead of taking wounds. Your powers are all incredibly expensive to use, and you won’t be able to max them out in your time here (especially if you don’t have any advantages in h"&amp;"arvesting resources!), but the raw potential of this path exceeds all others.
System")</f>
        <v>Chapter 192: 119.5 Interlude Labyrinth
Equivalent Exchange (Minecraft) 600:
You are a powerful Alchemist, able to infuse a Diamond with the power of Redstone and Glowstone to make a Philosopher’s Stone. With such a stone in hand, you’ll be able to create a Transmutation Tablet, allowing you to instantly convert matter from one form to another, possibly even converting ordinary dirt to valuable Diamonds... or even compressing the Diamonds further into Dark Matter or Red Matter. Combining your transmutation skills with these exotic and vastly expensive forms of matter, you’ll be able to produce Alchemical Chests with incredible volume, indestructible equipment with immense power, energy collector systems to generate additional resources from nothingness, and potentially become nearly immortal, burning vast quantities of resources instead of taking wounds. Your powers are all incredibly expensive to use, and you won’t be able to max them out in your time here (especially if you don’t have any advantages in harvesting resources!), but the raw potential of this path exceeds all others.
System</v>
      </c>
      <c r="B15" s="17" t="str">
        <f>IFERROR(__xludf.DUMMYFUNCTION("""COMPUTED_VALUE"""),"
")</f>
        <v>
</v>
      </c>
      <c r="C15" s="17" t="str">
        <f>IFERROR(__xludf.DUMMYFUNCTION("""COMPUTED_VALUE"""),"
")</f>
        <v>
</v>
      </c>
      <c r="D15" s="17" t="str">
        <f>IFERROR(__xludf.DUMMYFUNCTION("""COMPUTED_VALUE"""),"
")</f>
        <v>
</v>
      </c>
      <c r="E15" s="17" t="str">
        <f>IFERROR(__xludf.DUMMYFUNCTION("""COMPUTED_VALUE"""),"
")</f>
        <v>
</v>
      </c>
      <c r="F15" s="17" t="str">
        <f>IFERROR(__xludf.DUMMYFUNCTION("""COMPUTED_VALUE"""),"
")</f>
        <v>
</v>
      </c>
      <c r="G15" s="17" t="str">
        <f>IFERROR(__xludf.DUMMYFUNCTION("""COMPUTED_VALUE"""),"
")</f>
        <v>
</v>
      </c>
      <c r="H15" s="17" t="str">
        <f>IFERROR(__xludf.DUMMYFUNCTION("""COMPUTED_VALUE"""),"
")</f>
        <v>
</v>
      </c>
      <c r="I15" s="17" t="str">
        <f>IFERROR(__xludf.DUMMYFUNCTION("""COMPUTED_VALUE"""),"
")</f>
        <v>
</v>
      </c>
      <c r="J15" s="17" t="str">
        <f>IFERROR(__xludf.DUMMYFUNCTION("""COMPUTED_VALUE"""),"
")</f>
        <v>
</v>
      </c>
      <c r="K15" s="17" t="str">
        <f>IFERROR(__xludf.DUMMYFUNCTION("""COMPUTED_VALUE"""),"
")</f>
        <v>
</v>
      </c>
      <c r="L15" s="17" t="str">
        <f>IFERROR(__xludf.DUMMYFUNCTION("""COMPUTED_VALUE"""),"
")</f>
        <v>
</v>
      </c>
      <c r="M15" s="17" t="str">
        <f>IFERROR(__xludf.DUMMYFUNCTION("""COMPUTED_VALUE"""),"
")</f>
        <v>
</v>
      </c>
      <c r="N15" s="17" t="str">
        <f>IFERROR(__xludf.DUMMYFUNCTION("""COMPUTED_VALUE"""),"
")</f>
        <v>
</v>
      </c>
      <c r="O15" s="17" t="str">
        <f>IFERROR(__xludf.DUMMYFUNCTION("""COMPUTED_VALUE"""),"
")</f>
        <v>
</v>
      </c>
      <c r="P15" s="17" t="str">
        <f>IFERROR(__xludf.DUMMYFUNCTION("""COMPUTED_VALUE"""),"
")</f>
        <v>
</v>
      </c>
      <c r="Q15" s="17" t="str">
        <f>IFERROR(__xludf.DUMMYFUNCTION("""COMPUTED_VALUE"""),"
")</f>
        <v>
</v>
      </c>
      <c r="R15" s="17" t="str">
        <f>IFERROR(__xludf.DUMMYFUNCTION("""COMPUTED_VALUE"""),"
")</f>
        <v>
</v>
      </c>
      <c r="S15" s="17" t="str">
        <f>IFERROR(__xludf.DUMMYFUNCTION("""COMPUTED_VALUE"""),"
")</f>
        <v>
</v>
      </c>
      <c r="T15" s="17" t="str">
        <f>IFERROR(__xludf.DUMMYFUNCTION("""COMPUTED_VALUE"""),"
")</f>
        <v>
</v>
      </c>
      <c r="U15" s="17" t="str">
        <f>IFERROR(__xludf.DUMMYFUNCTION("""COMPUTED_VALUE"""),"
")</f>
        <v>
</v>
      </c>
      <c r="V15" s="17" t="str">
        <f>IFERROR(__xludf.DUMMYFUNCTION("""COMPUTED_VALUE"""),"
")</f>
        <v>
</v>
      </c>
      <c r="W15" s="17" t="str">
        <f>IFERROR(__xludf.DUMMYFUNCTION("""COMPUTED_VALUE"""),"
")</f>
        <v>
</v>
      </c>
      <c r="X15" s="17" t="str">
        <f>IFERROR(__xludf.DUMMYFUNCTION("""COMPUTED_VALUE"""),"
")</f>
        <v>
</v>
      </c>
      <c r="Y15" s="17" t="str">
        <f>IFERROR(__xludf.DUMMYFUNCTION("""COMPUTED_VALUE"""),"
")</f>
        <v>
</v>
      </c>
      <c r="Z15" s="17" t="str">
        <f>IFERROR(__xludf.DUMMYFUNCTION("""COMPUTED_VALUE"""),"
")</f>
        <v>
</v>
      </c>
      <c r="AA15" s="17" t="str">
        <f>IFERROR(__xludf.DUMMYFUNCTION("""COMPUTED_VALUE"""),"
")</f>
        <v>
</v>
      </c>
      <c r="AB15" s="17" t="str">
        <f>IFERROR(__xludf.DUMMYFUNCTION("""COMPUTED_VALUE"""),"
")</f>
        <v>
</v>
      </c>
      <c r="AC15" s="17" t="str">
        <f>IFERROR(__xludf.DUMMYFUNCTION("""COMPUTED_VALUE"""),"
")</f>
        <v>
</v>
      </c>
    </row>
    <row r="16">
      <c r="A16" s="17" t="str">
        <f>IFERROR(__xludf.DUMMYFUNCTION("""COMPUTED_VALUE"""),"Chapter 19: 15 Recuperation
Innate Talent: Alchemist (Overlord) 200:
You are capable of brewing potions with magical effects. You can easily create ‘true’ healing potions that provide instantaneous healing rather than healing-over-time, and can make potio"&amp;"ns for any ‘buffing’ spells you know that are in the ranked magic system such as flight, invisibility, increased magic resistance, physical boosts, and so on. Obviously you must actually know a spell in order to make a potion with that spells effect. Addi"&amp;"tionally to make use of this talent you must actually have the means to make the potions in the first place such as an alchemist's lab or, for slimes, your own body
System")</f>
        <v>Chapter 19: 15 Recuperation
Innate Talent: Alchemist (Overlord) 200:
You are capable of brewing potions with magical effects. You can easily create ‘true’ healing potions that provide instantaneous healing rather than healing-over-time, and can make potions for any ‘buffing’ spells you know that are in the ranked magic system such as flight, invisibility, increased magic resistance, physical boosts, and so on. Obviously you must actually know a spell in order to make a potion with that spells effect. Additionally to make use of this talent you must actually have the means to make the potions in the first place such as an alchemist's lab or, for slimes, your own body
System</v>
      </c>
      <c r="B16" s="17" t="str">
        <f>IFERROR(__xludf.DUMMYFUNCTION("""COMPUTED_VALUE"""),"Chapter 19: 15 Recuperation
Alchemist's Laboratory (Overlord) Free with Alchemist:
A fully fitted and supplied alchemist’s laboratory ready for your use. It comes with the highest quality supplies and equipment required to make magical potions, allowing y"&amp;"ou to make potions to emulate the effect of any spell you know that could be reasonably made into a potion via alchemy (assuming you know alchemy, at least). The equipment will automatically upgrade itself relative to your own personal skill level, so the"&amp;" more skilled you are the better it will be to reflect that. Reagents for common potions restock themselves automatically on a regular basis.
Facility")</f>
        <v>Chapter 19: 15 Recuperation
Alchemist's Laboratory (Overlord) Free with Alchemist:
A fully fitted and supplied alchemist’s laboratory ready for your use. It comes with the highest quality supplies and equipment required to make magical potions, allowing you to make potions to emulate the effect of any spell you know that could be reasonably made into a potion via alchemy (assuming you know alchemy, at least). The equipment will automatically upgrade itself relative to your own personal skill level, so the more skilled you are the better it will be to reflect that. Reagents for common potions restock themselves automatically on a regular basis.
Facility</v>
      </c>
      <c r="C16" s="17" t="str">
        <f>IFERROR(__xludf.DUMMYFUNCTION("""COMPUTED_VALUE"""),"
")</f>
        <v>
</v>
      </c>
      <c r="D16" s="17" t="str">
        <f>IFERROR(__xludf.DUMMYFUNCTION("""COMPUTED_VALUE"""),"
")</f>
        <v>
</v>
      </c>
      <c r="E16" s="17" t="str">
        <f>IFERROR(__xludf.DUMMYFUNCTION("""COMPUTED_VALUE"""),"
")</f>
        <v>
</v>
      </c>
      <c r="F16" s="17" t="str">
        <f>IFERROR(__xludf.DUMMYFUNCTION("""COMPUTED_VALUE"""),"
")</f>
        <v>
</v>
      </c>
      <c r="G16" s="17" t="str">
        <f>IFERROR(__xludf.DUMMYFUNCTION("""COMPUTED_VALUE"""),"
")</f>
        <v>
</v>
      </c>
      <c r="H16" s="17" t="str">
        <f>IFERROR(__xludf.DUMMYFUNCTION("""COMPUTED_VALUE"""),"
")</f>
        <v>
</v>
      </c>
      <c r="I16" s="17" t="str">
        <f>IFERROR(__xludf.DUMMYFUNCTION("""COMPUTED_VALUE"""),"
")</f>
        <v>
</v>
      </c>
      <c r="J16" s="17" t="str">
        <f>IFERROR(__xludf.DUMMYFUNCTION("""COMPUTED_VALUE"""),"
")</f>
        <v>
</v>
      </c>
      <c r="K16" s="17" t="str">
        <f>IFERROR(__xludf.DUMMYFUNCTION("""COMPUTED_VALUE"""),"
")</f>
        <v>
</v>
      </c>
      <c r="L16" s="17" t="str">
        <f>IFERROR(__xludf.DUMMYFUNCTION("""COMPUTED_VALUE"""),"
")</f>
        <v>
</v>
      </c>
      <c r="M16" s="17" t="str">
        <f>IFERROR(__xludf.DUMMYFUNCTION("""COMPUTED_VALUE"""),"
")</f>
        <v>
</v>
      </c>
      <c r="N16" s="17" t="str">
        <f>IFERROR(__xludf.DUMMYFUNCTION("""COMPUTED_VALUE"""),"
")</f>
        <v>
</v>
      </c>
      <c r="O16" s="17" t="str">
        <f>IFERROR(__xludf.DUMMYFUNCTION("""COMPUTED_VALUE"""),"
")</f>
        <v>
</v>
      </c>
      <c r="P16" s="17" t="str">
        <f>IFERROR(__xludf.DUMMYFUNCTION("""COMPUTED_VALUE"""),"
")</f>
        <v>
</v>
      </c>
      <c r="Q16" s="17" t="str">
        <f>IFERROR(__xludf.DUMMYFUNCTION("""COMPUTED_VALUE"""),"
")</f>
        <v>
</v>
      </c>
      <c r="R16" s="17" t="str">
        <f>IFERROR(__xludf.DUMMYFUNCTION("""COMPUTED_VALUE"""),"
")</f>
        <v>
</v>
      </c>
      <c r="S16" s="17" t="str">
        <f>IFERROR(__xludf.DUMMYFUNCTION("""COMPUTED_VALUE"""),"
")</f>
        <v>
</v>
      </c>
      <c r="T16" s="17" t="str">
        <f>IFERROR(__xludf.DUMMYFUNCTION("""COMPUTED_VALUE"""),"
")</f>
        <v>
</v>
      </c>
      <c r="U16" s="17" t="str">
        <f>IFERROR(__xludf.DUMMYFUNCTION("""COMPUTED_VALUE"""),"
")</f>
        <v>
</v>
      </c>
      <c r="V16" s="17" t="str">
        <f>IFERROR(__xludf.DUMMYFUNCTION("""COMPUTED_VALUE"""),"
")</f>
        <v>
</v>
      </c>
      <c r="W16" s="17" t="str">
        <f>IFERROR(__xludf.DUMMYFUNCTION("""COMPUTED_VALUE"""),"
")</f>
        <v>
</v>
      </c>
      <c r="X16" s="17" t="str">
        <f>IFERROR(__xludf.DUMMYFUNCTION("""COMPUTED_VALUE"""),"
")</f>
        <v>
</v>
      </c>
      <c r="Y16" s="17" t="str">
        <f>IFERROR(__xludf.DUMMYFUNCTION("""COMPUTED_VALUE"""),"
")</f>
        <v>
</v>
      </c>
      <c r="Z16" s="17" t="str">
        <f>IFERROR(__xludf.DUMMYFUNCTION("""COMPUTED_VALUE"""),"
")</f>
        <v>
</v>
      </c>
      <c r="AA16" s="17" t="str">
        <f>IFERROR(__xludf.DUMMYFUNCTION("""COMPUTED_VALUE"""),"
")</f>
        <v>
</v>
      </c>
      <c r="AB16" s="17" t="str">
        <f>IFERROR(__xludf.DUMMYFUNCTION("""COMPUTED_VALUE"""),"
")</f>
        <v>
</v>
      </c>
      <c r="AC16" s="17" t="str">
        <f>IFERROR(__xludf.DUMMYFUNCTION("""COMPUTED_VALUE"""),"
")</f>
        <v>
</v>
      </c>
    </row>
    <row r="17">
      <c r="A17" s="17" t="str">
        <f>IFERROR(__xludf.DUMMYFUNCTION("""COMPUTED_VALUE"""),"Chapter 22: 17 Confrontation
Alchemy (Samurai Jack) 200:
The ancient science of mixing specific ingredients and then infusing them with natural energy. You know how to make a wide array of potions with both beneficial and harmful effects.
System")</f>
        <v>Chapter 22: 17 Confrontation
Alchemy (Samurai Jack) 200:
The ancient science of mixing specific ingredients and then infusing them with natural energy. You know how to make a wide array of potions with both beneficial and harmful effects.
System</v>
      </c>
      <c r="B17" s="17" t="str">
        <f>IFERROR(__xludf.DUMMYFUNCTION("""COMPUTED_VALUE"""),"
")</f>
        <v>
</v>
      </c>
      <c r="C17" s="17" t="str">
        <f>IFERROR(__xludf.DUMMYFUNCTION("""COMPUTED_VALUE"""),"
")</f>
        <v>
</v>
      </c>
      <c r="D17" s="17" t="str">
        <f>IFERROR(__xludf.DUMMYFUNCTION("""COMPUTED_VALUE"""),"
")</f>
        <v>
</v>
      </c>
      <c r="E17" s="17" t="str">
        <f>IFERROR(__xludf.DUMMYFUNCTION("""COMPUTED_VALUE"""),"
")</f>
        <v>
</v>
      </c>
      <c r="F17" s="17" t="str">
        <f>IFERROR(__xludf.DUMMYFUNCTION("""COMPUTED_VALUE"""),"
")</f>
        <v>
</v>
      </c>
      <c r="G17" s="17" t="str">
        <f>IFERROR(__xludf.DUMMYFUNCTION("""COMPUTED_VALUE"""),"
")</f>
        <v>
</v>
      </c>
      <c r="H17" s="17" t="str">
        <f>IFERROR(__xludf.DUMMYFUNCTION("""COMPUTED_VALUE"""),"
")</f>
        <v>
</v>
      </c>
      <c r="I17" s="17" t="str">
        <f>IFERROR(__xludf.DUMMYFUNCTION("""COMPUTED_VALUE"""),"
")</f>
        <v>
</v>
      </c>
      <c r="J17" s="17" t="str">
        <f>IFERROR(__xludf.DUMMYFUNCTION("""COMPUTED_VALUE"""),"
")</f>
        <v>
</v>
      </c>
      <c r="K17" s="17" t="str">
        <f>IFERROR(__xludf.DUMMYFUNCTION("""COMPUTED_VALUE"""),"
")</f>
        <v>
</v>
      </c>
      <c r="L17" s="17" t="str">
        <f>IFERROR(__xludf.DUMMYFUNCTION("""COMPUTED_VALUE"""),"
")</f>
        <v>
</v>
      </c>
      <c r="M17" s="17" t="str">
        <f>IFERROR(__xludf.DUMMYFUNCTION("""COMPUTED_VALUE"""),"
")</f>
        <v>
</v>
      </c>
      <c r="N17" s="17" t="str">
        <f>IFERROR(__xludf.DUMMYFUNCTION("""COMPUTED_VALUE"""),"
")</f>
        <v>
</v>
      </c>
      <c r="O17" s="17" t="str">
        <f>IFERROR(__xludf.DUMMYFUNCTION("""COMPUTED_VALUE"""),"
")</f>
        <v>
</v>
      </c>
      <c r="P17" s="17" t="str">
        <f>IFERROR(__xludf.DUMMYFUNCTION("""COMPUTED_VALUE"""),"
")</f>
        <v>
</v>
      </c>
      <c r="Q17" s="17" t="str">
        <f>IFERROR(__xludf.DUMMYFUNCTION("""COMPUTED_VALUE"""),"
")</f>
        <v>
</v>
      </c>
      <c r="R17" s="17" t="str">
        <f>IFERROR(__xludf.DUMMYFUNCTION("""COMPUTED_VALUE"""),"
")</f>
        <v>
</v>
      </c>
      <c r="S17" s="17" t="str">
        <f>IFERROR(__xludf.DUMMYFUNCTION("""COMPUTED_VALUE"""),"
")</f>
        <v>
</v>
      </c>
      <c r="T17" s="17" t="str">
        <f>IFERROR(__xludf.DUMMYFUNCTION("""COMPUTED_VALUE"""),"
")</f>
        <v>
</v>
      </c>
      <c r="U17" s="17" t="str">
        <f>IFERROR(__xludf.DUMMYFUNCTION("""COMPUTED_VALUE"""),"
")</f>
        <v>
</v>
      </c>
      <c r="V17" s="17" t="str">
        <f>IFERROR(__xludf.DUMMYFUNCTION("""COMPUTED_VALUE"""),"
")</f>
        <v>
</v>
      </c>
      <c r="W17" s="17" t="str">
        <f>IFERROR(__xludf.DUMMYFUNCTION("""COMPUTED_VALUE"""),"
")</f>
        <v>
</v>
      </c>
      <c r="X17" s="17" t="str">
        <f>IFERROR(__xludf.DUMMYFUNCTION("""COMPUTED_VALUE"""),"
")</f>
        <v>
</v>
      </c>
      <c r="Y17" s="17" t="str">
        <f>IFERROR(__xludf.DUMMYFUNCTION("""COMPUTED_VALUE"""),"
")</f>
        <v>
</v>
      </c>
      <c r="Z17" s="17" t="str">
        <f>IFERROR(__xludf.DUMMYFUNCTION("""COMPUTED_VALUE"""),"
")</f>
        <v>
</v>
      </c>
      <c r="AA17" s="17" t="str">
        <f>IFERROR(__xludf.DUMMYFUNCTION("""COMPUTED_VALUE"""),"
")</f>
        <v>
</v>
      </c>
      <c r="AB17" s="17" t="str">
        <f>IFERROR(__xludf.DUMMYFUNCTION("""COMPUTED_VALUE"""),"
")</f>
        <v>
</v>
      </c>
      <c r="AC17" s="17" t="str">
        <f>IFERROR(__xludf.DUMMYFUNCTION("""COMPUTED_VALUE"""),"
")</f>
        <v>
</v>
      </c>
    </row>
    <row r="18">
      <c r="A18" s="17" t="str">
        <f>IFERROR(__xludf.DUMMYFUNCTION("""COMPUTED_VALUE"""),"")</f>
        <v/>
      </c>
      <c r="B18" s="17" t="str">
        <f>IFERROR(__xludf.DUMMYFUNCTION("""COMPUTED_VALUE"""),"")</f>
        <v/>
      </c>
      <c r="C18" s="17" t="str">
        <f>IFERROR(__xludf.DUMMYFUNCTION("""COMPUTED_VALUE"""),"")</f>
        <v/>
      </c>
      <c r="D18" s="17" t="str">
        <f>IFERROR(__xludf.DUMMYFUNCTION("""COMPUTED_VALUE"""),"")</f>
        <v/>
      </c>
      <c r="E18" s="17" t="str">
        <f>IFERROR(__xludf.DUMMYFUNCTION("""COMPUTED_VALUE"""),"")</f>
        <v/>
      </c>
      <c r="F18" s="17" t="str">
        <f>IFERROR(__xludf.DUMMYFUNCTION("""COMPUTED_VALUE"""),"")</f>
        <v/>
      </c>
      <c r="G18" s="17" t="str">
        <f>IFERROR(__xludf.DUMMYFUNCTION("""COMPUTED_VALUE"""),"")</f>
        <v/>
      </c>
      <c r="H18" s="17" t="str">
        <f>IFERROR(__xludf.DUMMYFUNCTION("""COMPUTED_VALUE"""),"")</f>
        <v/>
      </c>
      <c r="I18" s="17" t="str">
        <f>IFERROR(__xludf.DUMMYFUNCTION("""COMPUTED_VALUE"""),"")</f>
        <v/>
      </c>
      <c r="J18" s="17" t="str">
        <f>IFERROR(__xludf.DUMMYFUNCTION("""COMPUTED_VALUE"""),"")</f>
        <v/>
      </c>
      <c r="K18" s="17" t="str">
        <f>IFERROR(__xludf.DUMMYFUNCTION("""COMPUTED_VALUE"""),"")</f>
        <v/>
      </c>
      <c r="L18" s="17" t="str">
        <f>IFERROR(__xludf.DUMMYFUNCTION("""COMPUTED_VALUE"""),"")</f>
        <v/>
      </c>
      <c r="M18" s="17" t="str">
        <f>IFERROR(__xludf.DUMMYFUNCTION("""COMPUTED_VALUE"""),"")</f>
        <v/>
      </c>
      <c r="N18" s="17" t="str">
        <f>IFERROR(__xludf.DUMMYFUNCTION("""COMPUTED_VALUE"""),"")</f>
        <v/>
      </c>
      <c r="O18" s="17" t="str">
        <f>IFERROR(__xludf.DUMMYFUNCTION("""COMPUTED_VALUE"""),"")</f>
        <v/>
      </c>
      <c r="P18" s="17" t="str">
        <f>IFERROR(__xludf.DUMMYFUNCTION("""COMPUTED_VALUE"""),"")</f>
        <v/>
      </c>
      <c r="Q18" s="17" t="str">
        <f>IFERROR(__xludf.DUMMYFUNCTION("""COMPUTED_VALUE"""),"")</f>
        <v/>
      </c>
      <c r="R18" s="17" t="str">
        <f>IFERROR(__xludf.DUMMYFUNCTION("""COMPUTED_VALUE"""),"")</f>
        <v/>
      </c>
      <c r="S18" s="17" t="str">
        <f>IFERROR(__xludf.DUMMYFUNCTION("""COMPUTED_VALUE"""),"")</f>
        <v/>
      </c>
      <c r="T18" s="17" t="str">
        <f>IFERROR(__xludf.DUMMYFUNCTION("""COMPUTED_VALUE"""),"")</f>
        <v/>
      </c>
      <c r="U18" s="17" t="str">
        <f>IFERROR(__xludf.DUMMYFUNCTION("""COMPUTED_VALUE"""),"")</f>
        <v/>
      </c>
      <c r="V18" s="17" t="str">
        <f>IFERROR(__xludf.DUMMYFUNCTION("""COMPUTED_VALUE"""),"")</f>
        <v/>
      </c>
      <c r="W18" s="17" t="str">
        <f>IFERROR(__xludf.DUMMYFUNCTION("""COMPUTED_VALUE"""),"")</f>
        <v/>
      </c>
      <c r="X18" s="17" t="str">
        <f>IFERROR(__xludf.DUMMYFUNCTION("""COMPUTED_VALUE"""),"")</f>
        <v/>
      </c>
      <c r="Y18" s="17" t="str">
        <f>IFERROR(__xludf.DUMMYFUNCTION("""COMPUTED_VALUE"""),"")</f>
        <v/>
      </c>
      <c r="Z18" s="17" t="str">
        <f>IFERROR(__xludf.DUMMYFUNCTION("""COMPUTED_VALUE"""),"")</f>
        <v/>
      </c>
      <c r="AA18" s="17" t="str">
        <f>IFERROR(__xludf.DUMMYFUNCTION("""COMPUTED_VALUE"""),"")</f>
        <v/>
      </c>
      <c r="AB18" s="17" t="str">
        <f>IFERROR(__xludf.DUMMYFUNCTION("""COMPUTED_VALUE"""),"")</f>
        <v/>
      </c>
      <c r="AC18" s="17" t="str">
        <f>IFERROR(__xludf.DUMMYFUNCTION("""COMPUTED_VALUE"""),"")</f>
        <v/>
      </c>
    </row>
    <row r="19">
      <c r="A19" s="17" t="str">
        <f>IFERROR(__xludf.DUMMYFUNCTION("""COMPUTED_VALUE"""),"Chapter 02: 2 Preparation
Alchemist (Secret of Evermore) 200:
Considered a lost art, the science of Alchemy has reawakened in Evermore, and you've been trained in its use. By combining ordinary ingredients together using an alchemical formula, you can tra"&amp;"nsform them into effects that can only be described as magic. You know both Light Alchemy, the art of healing or protection, and Dark Alchemy, the art of attacking. While it's theoretically possible to learn Alchemy at a later point in Evermore, this will"&amp;" let you skip the training and get straight to the mixing and casting, and will make you significantly better at it to boot.
Set")</f>
        <v>Chapter 02: 2 Preparation
Alchemist (Secret of Evermore) 200:
Considered a lost art, the science of Alchemy has reawakened in Evermore, and you've been trained in its use. By combining ordinary ingredients together using an alchemical formula, you can transform them into effects that can only be described as magic. You know both Light Alchemy, the art of healing or protection, and Dark Alchemy, the art of attacking. While it's theoretically possible to learn Alchemy at a later point in Evermore, this will let you skip the training and get straight to the mixing and casting, and will make you significantly better at it to boot.
Set</v>
      </c>
      <c r="B19" s="17" t="str">
        <f>IFERROR(__xludf.DUMMYFUNCTION("""COMPUTED_VALUE"""),"
")</f>
        <v>
</v>
      </c>
      <c r="C19" s="17" t="str">
        <f>IFERROR(__xludf.DUMMYFUNCTION("""COMPUTED_VALUE"""),"
")</f>
        <v>
</v>
      </c>
      <c r="D19" s="17" t="str">
        <f>IFERROR(__xludf.DUMMYFUNCTION("""COMPUTED_VALUE"""),"
")</f>
        <v>
</v>
      </c>
      <c r="E19" s="17" t="str">
        <f>IFERROR(__xludf.DUMMYFUNCTION("""COMPUTED_VALUE"""),"
")</f>
        <v>
</v>
      </c>
      <c r="F19" s="17" t="str">
        <f>IFERROR(__xludf.DUMMYFUNCTION("""COMPUTED_VALUE"""),"
")</f>
        <v>
</v>
      </c>
      <c r="G19" s="17" t="str">
        <f>IFERROR(__xludf.DUMMYFUNCTION("""COMPUTED_VALUE"""),"
")</f>
        <v>
</v>
      </c>
      <c r="H19" s="17" t="str">
        <f>IFERROR(__xludf.DUMMYFUNCTION("""COMPUTED_VALUE"""),"
")</f>
        <v>
</v>
      </c>
      <c r="I19" s="17" t="str">
        <f>IFERROR(__xludf.DUMMYFUNCTION("""COMPUTED_VALUE"""),"
")</f>
        <v>
</v>
      </c>
      <c r="J19" s="17" t="str">
        <f>IFERROR(__xludf.DUMMYFUNCTION("""COMPUTED_VALUE"""),"
")</f>
        <v>
</v>
      </c>
      <c r="K19" s="17" t="str">
        <f>IFERROR(__xludf.DUMMYFUNCTION("""COMPUTED_VALUE"""),"
")</f>
        <v>
</v>
      </c>
      <c r="L19" s="17" t="str">
        <f>IFERROR(__xludf.DUMMYFUNCTION("""COMPUTED_VALUE"""),"
")</f>
        <v>
</v>
      </c>
      <c r="M19" s="17" t="str">
        <f>IFERROR(__xludf.DUMMYFUNCTION("""COMPUTED_VALUE"""),"
")</f>
        <v>
</v>
      </c>
      <c r="N19" s="17" t="str">
        <f>IFERROR(__xludf.DUMMYFUNCTION("""COMPUTED_VALUE"""),"
")</f>
        <v>
</v>
      </c>
      <c r="O19" s="17" t="str">
        <f>IFERROR(__xludf.DUMMYFUNCTION("""COMPUTED_VALUE"""),"
")</f>
        <v>
</v>
      </c>
      <c r="P19" s="17" t="str">
        <f>IFERROR(__xludf.DUMMYFUNCTION("""COMPUTED_VALUE"""),"
")</f>
        <v>
</v>
      </c>
      <c r="Q19" s="17" t="str">
        <f>IFERROR(__xludf.DUMMYFUNCTION("""COMPUTED_VALUE"""),"
")</f>
        <v>
</v>
      </c>
      <c r="R19" s="17" t="str">
        <f>IFERROR(__xludf.DUMMYFUNCTION("""COMPUTED_VALUE"""),"
")</f>
        <v>
</v>
      </c>
      <c r="S19" s="17" t="str">
        <f>IFERROR(__xludf.DUMMYFUNCTION("""COMPUTED_VALUE"""),"
")</f>
        <v>
</v>
      </c>
      <c r="T19" s="17" t="str">
        <f>IFERROR(__xludf.DUMMYFUNCTION("""COMPUTED_VALUE"""),"
")</f>
        <v>
</v>
      </c>
      <c r="U19" s="17" t="str">
        <f>IFERROR(__xludf.DUMMYFUNCTION("""COMPUTED_VALUE"""),"
")</f>
        <v>
</v>
      </c>
      <c r="V19" s="17" t="str">
        <f>IFERROR(__xludf.DUMMYFUNCTION("""COMPUTED_VALUE"""),"
")</f>
        <v>
</v>
      </c>
      <c r="W19" s="17" t="str">
        <f>IFERROR(__xludf.DUMMYFUNCTION("""COMPUTED_VALUE"""),"
")</f>
        <v>
</v>
      </c>
      <c r="X19" s="17" t="str">
        <f>IFERROR(__xludf.DUMMYFUNCTION("""COMPUTED_VALUE"""),"
")</f>
        <v>
</v>
      </c>
      <c r="Y19" s="17" t="str">
        <f>IFERROR(__xludf.DUMMYFUNCTION("""COMPUTED_VALUE"""),"
")</f>
        <v>
</v>
      </c>
      <c r="Z19" s="17" t="str">
        <f>IFERROR(__xludf.DUMMYFUNCTION("""COMPUTED_VALUE"""),"
")</f>
        <v>
</v>
      </c>
      <c r="AA19" s="17" t="str">
        <f>IFERROR(__xludf.DUMMYFUNCTION("""COMPUTED_VALUE"""),"
")</f>
        <v>
</v>
      </c>
      <c r="AB19" s="17" t="str">
        <f>IFERROR(__xludf.DUMMYFUNCTION("""COMPUTED_VALUE"""),"
")</f>
        <v>
</v>
      </c>
      <c r="AC19" s="17" t="str">
        <f>IFERROR(__xludf.DUMMYFUNCTION("""COMPUTED_VALUE"""),"
")</f>
        <v>
</v>
      </c>
    </row>
    <row r="20">
      <c r="A20" s="17" t="str">
        <f>IFERROR(__xludf.DUMMYFUNCTION("""COMPUTED_VALUE"""),"")</f>
        <v/>
      </c>
      <c r="B20" s="17" t="str">
        <f>IFERROR(__xludf.DUMMYFUNCTION("""COMPUTED_VALUE"""),"")</f>
        <v/>
      </c>
      <c r="C20" s="17" t="str">
        <f>IFERROR(__xludf.DUMMYFUNCTION("""COMPUTED_VALUE"""),"")</f>
        <v/>
      </c>
      <c r="D20" s="17" t="str">
        <f>IFERROR(__xludf.DUMMYFUNCTION("""COMPUTED_VALUE"""),"")</f>
        <v/>
      </c>
      <c r="E20" s="17" t="str">
        <f>IFERROR(__xludf.DUMMYFUNCTION("""COMPUTED_VALUE"""),"")</f>
        <v/>
      </c>
      <c r="F20" s="17" t="str">
        <f>IFERROR(__xludf.DUMMYFUNCTION("""COMPUTED_VALUE"""),"")</f>
        <v/>
      </c>
      <c r="G20" s="17" t="str">
        <f>IFERROR(__xludf.DUMMYFUNCTION("""COMPUTED_VALUE"""),"")</f>
        <v/>
      </c>
      <c r="H20" s="17" t="str">
        <f>IFERROR(__xludf.DUMMYFUNCTION("""COMPUTED_VALUE"""),"")</f>
        <v/>
      </c>
      <c r="I20" s="17" t="str">
        <f>IFERROR(__xludf.DUMMYFUNCTION("""COMPUTED_VALUE"""),"")</f>
        <v/>
      </c>
      <c r="J20" s="17" t="str">
        <f>IFERROR(__xludf.DUMMYFUNCTION("""COMPUTED_VALUE"""),"")</f>
        <v/>
      </c>
      <c r="K20" s="17" t="str">
        <f>IFERROR(__xludf.DUMMYFUNCTION("""COMPUTED_VALUE"""),"")</f>
        <v/>
      </c>
      <c r="L20" s="17" t="str">
        <f>IFERROR(__xludf.DUMMYFUNCTION("""COMPUTED_VALUE"""),"")</f>
        <v/>
      </c>
      <c r="M20" s="17" t="str">
        <f>IFERROR(__xludf.DUMMYFUNCTION("""COMPUTED_VALUE"""),"")</f>
        <v/>
      </c>
      <c r="N20" s="17" t="str">
        <f>IFERROR(__xludf.DUMMYFUNCTION("""COMPUTED_VALUE"""),"")</f>
        <v/>
      </c>
      <c r="O20" s="17" t="str">
        <f>IFERROR(__xludf.DUMMYFUNCTION("""COMPUTED_VALUE"""),"")</f>
        <v/>
      </c>
      <c r="P20" s="17" t="str">
        <f>IFERROR(__xludf.DUMMYFUNCTION("""COMPUTED_VALUE"""),"")</f>
        <v/>
      </c>
      <c r="Q20" s="17" t="str">
        <f>IFERROR(__xludf.DUMMYFUNCTION("""COMPUTED_VALUE"""),"")</f>
        <v/>
      </c>
      <c r="R20" s="17" t="str">
        <f>IFERROR(__xludf.DUMMYFUNCTION("""COMPUTED_VALUE"""),"")</f>
        <v/>
      </c>
      <c r="S20" s="17" t="str">
        <f>IFERROR(__xludf.DUMMYFUNCTION("""COMPUTED_VALUE"""),"")</f>
        <v/>
      </c>
      <c r="T20" s="17" t="str">
        <f>IFERROR(__xludf.DUMMYFUNCTION("""COMPUTED_VALUE"""),"")</f>
        <v/>
      </c>
      <c r="U20" s="17" t="str">
        <f>IFERROR(__xludf.DUMMYFUNCTION("""COMPUTED_VALUE"""),"")</f>
        <v/>
      </c>
      <c r="V20" s="17" t="str">
        <f>IFERROR(__xludf.DUMMYFUNCTION("""COMPUTED_VALUE"""),"")</f>
        <v/>
      </c>
      <c r="W20" s="17" t="str">
        <f>IFERROR(__xludf.DUMMYFUNCTION("""COMPUTED_VALUE"""),"")</f>
        <v/>
      </c>
      <c r="X20" s="17" t="str">
        <f>IFERROR(__xludf.DUMMYFUNCTION("""COMPUTED_VALUE"""),"")</f>
        <v/>
      </c>
      <c r="Y20" s="17" t="str">
        <f>IFERROR(__xludf.DUMMYFUNCTION("""COMPUTED_VALUE"""),"")</f>
        <v/>
      </c>
      <c r="Z20" s="17" t="str">
        <f>IFERROR(__xludf.DUMMYFUNCTION("""COMPUTED_VALUE"""),"")</f>
        <v/>
      </c>
      <c r="AA20" s="17" t="str">
        <f>IFERROR(__xludf.DUMMYFUNCTION("""COMPUTED_VALUE"""),"")</f>
        <v/>
      </c>
      <c r="AB20" s="17" t="str">
        <f>IFERROR(__xludf.DUMMYFUNCTION("""COMPUTED_VALUE"""),"")</f>
        <v/>
      </c>
      <c r="AC20" s="17" t="str">
        <f>IFERROR(__xludf.DUMMYFUNCTION("""COMPUTED_VALUE"""),"")</f>
        <v/>
      </c>
    </row>
    <row r="21">
      <c r="A21" s="17" t="str">
        <f>IFERROR(__xludf.DUMMYFUNCTION("""COMPUTED_VALUE"""),"")</f>
        <v/>
      </c>
      <c r="B21" s="17" t="str">
        <f>IFERROR(__xludf.DUMMYFUNCTION("""COMPUTED_VALUE"""),"")</f>
        <v/>
      </c>
      <c r="C21" s="17" t="str">
        <f>IFERROR(__xludf.DUMMYFUNCTION("""COMPUTED_VALUE"""),"")</f>
        <v/>
      </c>
      <c r="D21" s="17" t="str">
        <f>IFERROR(__xludf.DUMMYFUNCTION("""COMPUTED_VALUE"""),"")</f>
        <v/>
      </c>
      <c r="E21" s="17" t="str">
        <f>IFERROR(__xludf.DUMMYFUNCTION("""COMPUTED_VALUE"""),"")</f>
        <v/>
      </c>
      <c r="F21" s="17" t="str">
        <f>IFERROR(__xludf.DUMMYFUNCTION("""COMPUTED_VALUE"""),"")</f>
        <v/>
      </c>
      <c r="G21" s="17" t="str">
        <f>IFERROR(__xludf.DUMMYFUNCTION("""COMPUTED_VALUE"""),"")</f>
        <v/>
      </c>
      <c r="H21" s="17" t="str">
        <f>IFERROR(__xludf.DUMMYFUNCTION("""COMPUTED_VALUE"""),"")</f>
        <v/>
      </c>
      <c r="I21" s="17" t="str">
        <f>IFERROR(__xludf.DUMMYFUNCTION("""COMPUTED_VALUE"""),"")</f>
        <v/>
      </c>
      <c r="J21" s="17" t="str">
        <f>IFERROR(__xludf.DUMMYFUNCTION("""COMPUTED_VALUE"""),"")</f>
        <v/>
      </c>
      <c r="K21" s="17" t="str">
        <f>IFERROR(__xludf.DUMMYFUNCTION("""COMPUTED_VALUE"""),"")</f>
        <v/>
      </c>
      <c r="L21" s="17" t="str">
        <f>IFERROR(__xludf.DUMMYFUNCTION("""COMPUTED_VALUE"""),"")</f>
        <v/>
      </c>
      <c r="M21" s="17" t="str">
        <f>IFERROR(__xludf.DUMMYFUNCTION("""COMPUTED_VALUE"""),"")</f>
        <v/>
      </c>
      <c r="N21" s="17" t="str">
        <f>IFERROR(__xludf.DUMMYFUNCTION("""COMPUTED_VALUE"""),"")</f>
        <v/>
      </c>
      <c r="O21" s="17" t="str">
        <f>IFERROR(__xludf.DUMMYFUNCTION("""COMPUTED_VALUE"""),"")</f>
        <v/>
      </c>
      <c r="P21" s="17" t="str">
        <f>IFERROR(__xludf.DUMMYFUNCTION("""COMPUTED_VALUE"""),"")</f>
        <v/>
      </c>
      <c r="Q21" s="17" t="str">
        <f>IFERROR(__xludf.DUMMYFUNCTION("""COMPUTED_VALUE"""),"")</f>
        <v/>
      </c>
      <c r="R21" s="17" t="str">
        <f>IFERROR(__xludf.DUMMYFUNCTION("""COMPUTED_VALUE"""),"")</f>
        <v/>
      </c>
      <c r="S21" s="17" t="str">
        <f>IFERROR(__xludf.DUMMYFUNCTION("""COMPUTED_VALUE"""),"")</f>
        <v/>
      </c>
      <c r="T21" s="17" t="str">
        <f>IFERROR(__xludf.DUMMYFUNCTION("""COMPUTED_VALUE"""),"")</f>
        <v/>
      </c>
      <c r="U21" s="17" t="str">
        <f>IFERROR(__xludf.DUMMYFUNCTION("""COMPUTED_VALUE"""),"")</f>
        <v/>
      </c>
      <c r="V21" s="17" t="str">
        <f>IFERROR(__xludf.DUMMYFUNCTION("""COMPUTED_VALUE"""),"")</f>
        <v/>
      </c>
      <c r="W21" s="17" t="str">
        <f>IFERROR(__xludf.DUMMYFUNCTION("""COMPUTED_VALUE"""),"")</f>
        <v/>
      </c>
      <c r="X21" s="17" t="str">
        <f>IFERROR(__xludf.DUMMYFUNCTION("""COMPUTED_VALUE"""),"")</f>
        <v/>
      </c>
      <c r="Y21" s="17" t="str">
        <f>IFERROR(__xludf.DUMMYFUNCTION("""COMPUTED_VALUE"""),"")</f>
        <v/>
      </c>
      <c r="Z21" s="17" t="str">
        <f>IFERROR(__xludf.DUMMYFUNCTION("""COMPUTED_VALUE"""),"")</f>
        <v/>
      </c>
      <c r="AA21" s="17" t="str">
        <f>IFERROR(__xludf.DUMMYFUNCTION("""COMPUTED_VALUE"""),"")</f>
        <v/>
      </c>
      <c r="AB21" s="17" t="str">
        <f>IFERROR(__xludf.DUMMYFUNCTION("""COMPUTED_VALUE"""),"")</f>
        <v/>
      </c>
      <c r="AC21" s="17" t="str">
        <f>IFERROR(__xludf.DUMMYFUNCTION("""COMPUTED_VALUE"""),"")</f>
        <v/>
      </c>
    </row>
    <row r="22">
      <c r="A22" s="17" t="str">
        <f>IFERROR(__xludf.DUMMYFUNCTION("""COMPUTED_VALUE"""),"Chapter 14: 11 Power Trip
Deranged Alchemist (Van Helsing) 300:
You have mastered the medieval forerunner of chemistry, and know the transformation of matter via elaborate rituals and mysticism on top of your scientific approach. The greatest secrets of A"&amp;"lchemy still elude you, such as the fabled Panacea, but that can be found in due time. (Hint: Nobody’s found it. At all.) However, you are capable of transmutation of many materials (although it requires that said materials be the same base) and can creat"&amp;"e Homunculi from following Paracelsus’ studies into alchemy.
System")</f>
        <v>Chapter 14: 11 Power Trip
Deranged Alchemist (Van Helsing) 300:
You have mastered the medieval forerunner of chemistry, and know the transformation of matter via elaborate rituals and mysticism on top of your scientific approach. The greatest secrets of Alchemy still elude you, such as the fabled Panacea, but that can be found in due time. (Hint: Nobody’s found it. At all.) However, you are capable of transmutation of many materials (although it requires that said materials be the same base) and can create Homunculi from following Paracelsus’ studies into alchemy.
System</v>
      </c>
      <c r="B22" s="17" t="str">
        <f>IFERROR(__xludf.DUMMYFUNCTION("""COMPUTED_VALUE"""),"
")</f>
        <v>
</v>
      </c>
      <c r="C22" s="17" t="str">
        <f>IFERROR(__xludf.DUMMYFUNCTION("""COMPUTED_VALUE"""),"
")</f>
        <v>
</v>
      </c>
      <c r="D22" s="17" t="str">
        <f>IFERROR(__xludf.DUMMYFUNCTION("""COMPUTED_VALUE"""),"
")</f>
        <v>
</v>
      </c>
      <c r="E22" s="17" t="str">
        <f>IFERROR(__xludf.DUMMYFUNCTION("""COMPUTED_VALUE"""),"
")</f>
        <v>
</v>
      </c>
      <c r="F22" s="17" t="str">
        <f>IFERROR(__xludf.DUMMYFUNCTION("""COMPUTED_VALUE"""),"
")</f>
        <v>
</v>
      </c>
      <c r="G22" s="17" t="str">
        <f>IFERROR(__xludf.DUMMYFUNCTION("""COMPUTED_VALUE"""),"
")</f>
        <v>
</v>
      </c>
      <c r="H22" s="17" t="str">
        <f>IFERROR(__xludf.DUMMYFUNCTION("""COMPUTED_VALUE"""),"
")</f>
        <v>
</v>
      </c>
      <c r="I22" s="17" t="str">
        <f>IFERROR(__xludf.DUMMYFUNCTION("""COMPUTED_VALUE"""),"
")</f>
        <v>
</v>
      </c>
      <c r="J22" s="17" t="str">
        <f>IFERROR(__xludf.DUMMYFUNCTION("""COMPUTED_VALUE"""),"
")</f>
        <v>
</v>
      </c>
      <c r="K22" s="17" t="str">
        <f>IFERROR(__xludf.DUMMYFUNCTION("""COMPUTED_VALUE"""),"
")</f>
        <v>
</v>
      </c>
      <c r="L22" s="17" t="str">
        <f>IFERROR(__xludf.DUMMYFUNCTION("""COMPUTED_VALUE"""),"
")</f>
        <v>
</v>
      </c>
      <c r="M22" s="17" t="str">
        <f>IFERROR(__xludf.DUMMYFUNCTION("""COMPUTED_VALUE"""),"
")</f>
        <v>
</v>
      </c>
      <c r="N22" s="17" t="str">
        <f>IFERROR(__xludf.DUMMYFUNCTION("""COMPUTED_VALUE"""),"
")</f>
        <v>
</v>
      </c>
      <c r="O22" s="17" t="str">
        <f>IFERROR(__xludf.DUMMYFUNCTION("""COMPUTED_VALUE"""),"
")</f>
        <v>
</v>
      </c>
      <c r="P22" s="17" t="str">
        <f>IFERROR(__xludf.DUMMYFUNCTION("""COMPUTED_VALUE"""),"
")</f>
        <v>
</v>
      </c>
      <c r="Q22" s="17" t="str">
        <f>IFERROR(__xludf.DUMMYFUNCTION("""COMPUTED_VALUE"""),"
")</f>
        <v>
</v>
      </c>
      <c r="R22" s="17" t="str">
        <f>IFERROR(__xludf.DUMMYFUNCTION("""COMPUTED_VALUE"""),"
")</f>
        <v>
</v>
      </c>
      <c r="S22" s="17" t="str">
        <f>IFERROR(__xludf.DUMMYFUNCTION("""COMPUTED_VALUE"""),"
")</f>
        <v>
</v>
      </c>
      <c r="T22" s="17" t="str">
        <f>IFERROR(__xludf.DUMMYFUNCTION("""COMPUTED_VALUE"""),"
")</f>
        <v>
</v>
      </c>
      <c r="U22" s="17" t="str">
        <f>IFERROR(__xludf.DUMMYFUNCTION("""COMPUTED_VALUE"""),"
")</f>
        <v>
</v>
      </c>
      <c r="V22" s="17" t="str">
        <f>IFERROR(__xludf.DUMMYFUNCTION("""COMPUTED_VALUE"""),"
")</f>
        <v>
</v>
      </c>
      <c r="W22" s="17" t="str">
        <f>IFERROR(__xludf.DUMMYFUNCTION("""COMPUTED_VALUE"""),"
")</f>
        <v>
</v>
      </c>
      <c r="X22" s="17" t="str">
        <f>IFERROR(__xludf.DUMMYFUNCTION("""COMPUTED_VALUE"""),"
")</f>
        <v>
</v>
      </c>
      <c r="Y22" s="17" t="str">
        <f>IFERROR(__xludf.DUMMYFUNCTION("""COMPUTED_VALUE"""),"
")</f>
        <v>
</v>
      </c>
      <c r="Z22" s="17" t="str">
        <f>IFERROR(__xludf.DUMMYFUNCTION("""COMPUTED_VALUE"""),"
")</f>
        <v>
</v>
      </c>
      <c r="AA22" s="17" t="str">
        <f>IFERROR(__xludf.DUMMYFUNCTION("""COMPUTED_VALUE"""),"
")</f>
        <v>
</v>
      </c>
      <c r="AB22" s="17" t="str">
        <f>IFERROR(__xludf.DUMMYFUNCTION("""COMPUTED_VALUE"""),"
")</f>
        <v>
</v>
      </c>
      <c r="AC22" s="17" t="str">
        <f>IFERROR(__xludf.DUMMYFUNCTION("""COMPUTED_VALUE"""),"
")</f>
        <v>
</v>
      </c>
    </row>
    <row r="23">
      <c r="A23" s="17" t="str">
        <f>IFERROR(__xludf.DUMMYFUNCTION("""COMPUTED_VALUE"""),"")</f>
        <v/>
      </c>
      <c r="B23" s="17" t="str">
        <f>IFERROR(__xludf.DUMMYFUNCTION("""COMPUTED_VALUE"""),"")</f>
        <v/>
      </c>
      <c r="C23" s="17" t="str">
        <f>IFERROR(__xludf.DUMMYFUNCTION("""COMPUTED_VALUE"""),"")</f>
        <v/>
      </c>
      <c r="D23" s="17" t="str">
        <f>IFERROR(__xludf.DUMMYFUNCTION("""COMPUTED_VALUE"""),"")</f>
        <v/>
      </c>
      <c r="E23" s="17" t="str">
        <f>IFERROR(__xludf.DUMMYFUNCTION("""COMPUTED_VALUE"""),"")</f>
        <v/>
      </c>
      <c r="F23" s="17" t="str">
        <f>IFERROR(__xludf.DUMMYFUNCTION("""COMPUTED_VALUE"""),"")</f>
        <v/>
      </c>
      <c r="G23" s="17" t="str">
        <f>IFERROR(__xludf.DUMMYFUNCTION("""COMPUTED_VALUE"""),"")</f>
        <v/>
      </c>
      <c r="H23" s="17" t="str">
        <f>IFERROR(__xludf.DUMMYFUNCTION("""COMPUTED_VALUE"""),"")</f>
        <v/>
      </c>
      <c r="I23" s="17" t="str">
        <f>IFERROR(__xludf.DUMMYFUNCTION("""COMPUTED_VALUE"""),"")</f>
        <v/>
      </c>
      <c r="J23" s="17" t="str">
        <f>IFERROR(__xludf.DUMMYFUNCTION("""COMPUTED_VALUE"""),"")</f>
        <v/>
      </c>
      <c r="K23" s="17" t="str">
        <f>IFERROR(__xludf.DUMMYFUNCTION("""COMPUTED_VALUE"""),"")</f>
        <v/>
      </c>
      <c r="L23" s="17" t="str">
        <f>IFERROR(__xludf.DUMMYFUNCTION("""COMPUTED_VALUE"""),"")</f>
        <v/>
      </c>
      <c r="M23" s="17" t="str">
        <f>IFERROR(__xludf.DUMMYFUNCTION("""COMPUTED_VALUE"""),"")</f>
        <v/>
      </c>
      <c r="N23" s="17" t="str">
        <f>IFERROR(__xludf.DUMMYFUNCTION("""COMPUTED_VALUE"""),"")</f>
        <v/>
      </c>
      <c r="O23" s="17" t="str">
        <f>IFERROR(__xludf.DUMMYFUNCTION("""COMPUTED_VALUE"""),"")</f>
        <v/>
      </c>
      <c r="P23" s="17" t="str">
        <f>IFERROR(__xludf.DUMMYFUNCTION("""COMPUTED_VALUE"""),"")</f>
        <v/>
      </c>
      <c r="Q23" s="17" t="str">
        <f>IFERROR(__xludf.DUMMYFUNCTION("""COMPUTED_VALUE"""),"")</f>
        <v/>
      </c>
      <c r="R23" s="17" t="str">
        <f>IFERROR(__xludf.DUMMYFUNCTION("""COMPUTED_VALUE"""),"")</f>
        <v/>
      </c>
      <c r="S23" s="17" t="str">
        <f>IFERROR(__xludf.DUMMYFUNCTION("""COMPUTED_VALUE"""),"")</f>
        <v/>
      </c>
      <c r="T23" s="17" t="str">
        <f>IFERROR(__xludf.DUMMYFUNCTION("""COMPUTED_VALUE"""),"")</f>
        <v/>
      </c>
      <c r="U23" s="17" t="str">
        <f>IFERROR(__xludf.DUMMYFUNCTION("""COMPUTED_VALUE"""),"")</f>
        <v/>
      </c>
      <c r="V23" s="17" t="str">
        <f>IFERROR(__xludf.DUMMYFUNCTION("""COMPUTED_VALUE"""),"")</f>
        <v/>
      </c>
      <c r="W23" s="17" t="str">
        <f>IFERROR(__xludf.DUMMYFUNCTION("""COMPUTED_VALUE"""),"")</f>
        <v/>
      </c>
      <c r="X23" s="17" t="str">
        <f>IFERROR(__xludf.DUMMYFUNCTION("""COMPUTED_VALUE"""),"")</f>
        <v/>
      </c>
      <c r="Y23" s="17" t="str">
        <f>IFERROR(__xludf.DUMMYFUNCTION("""COMPUTED_VALUE"""),"")</f>
        <v/>
      </c>
      <c r="Z23" s="17" t="str">
        <f>IFERROR(__xludf.DUMMYFUNCTION("""COMPUTED_VALUE"""),"")</f>
        <v/>
      </c>
      <c r="AA23" s="17" t="str">
        <f>IFERROR(__xludf.DUMMYFUNCTION("""COMPUTED_VALUE"""),"")</f>
        <v/>
      </c>
      <c r="AB23" s="17" t="str">
        <f>IFERROR(__xludf.DUMMYFUNCTION("""COMPUTED_VALUE"""),"")</f>
        <v/>
      </c>
      <c r="AC23" s="17" t="str">
        <f>IFERROR(__xludf.DUMMYFUNCTION("""COMPUTED_VALUE"""),"")</f>
        <v/>
      </c>
    </row>
    <row r="24">
      <c r="A24" s="17" t="str">
        <f>IFERROR(__xludf.DUMMYFUNCTION("""COMPUTED_VALUE"""),"Chapter 98: 71 Good Faith - Preamble PHO
Cyborg Hindu Godbody (Asura’s Wrath) 400:
You have a genetically, cybernetically and magically enhanced physiology, and the knowledge to propagate this technology. Your capacity to wield Mantra is enhanced, both "&amp;"accepting general Mantra as well as your primary association. This constructed body can heal itself, or be repaired by yourself or others. Your magical physiology is obvious, but always aesthetically pleasing. You can survive in space without a suit, endu"&amp;"re planetbusting attacks with sufficient Mantra, and are otherwise ageless. This increases your maximum Mantra Level by 2.
If you took any of the theotech cybernetic perks, those upgrades are integrated seamlessly into your body however, channeling large"&amp;"r amounts of Mantra can gradually reveal your body’s true nature. Basically you get a perfect passive ‘I’m normal!’ disguise until you bust open the mantra.
Personal")</f>
        <v>Chapter 98: 71 Good Faith - Preamble PHO
Cyborg Hindu Godbody (Asura’s Wrath) 400:
You have a genetically, cybernetically and magically enhanced physiology, and the knowledge to propagate this technology. Your capacity to wield Mantra is enhanced, both accepting general Mantra as well as your primary association. This constructed body can heal itself, or be repaired by yourself or others. Your magical physiology is obvious, but always aesthetically pleasing. You can survive in space without a suit, endure planetbusting attacks with sufficient Mantra, and are otherwise ageless. This increases your maximum Mantra Level by 2.
If you took any of the theotech cybernetic perks, those upgrades are integrated seamlessly into your body however, channeling larger amounts of Mantra can gradually reveal your body’s true nature. Basically you get a perfect passive ‘I’m normal!’ disguise until you bust open the mantra.
Personal</v>
      </c>
      <c r="B24" s="17" t="str">
        <f>IFERROR(__xludf.DUMMYFUNCTION("""COMPUTED_VALUE"""),"
")</f>
        <v>
</v>
      </c>
      <c r="C24" s="17" t="str">
        <f>IFERROR(__xludf.DUMMYFUNCTION("""COMPUTED_VALUE"""),"
")</f>
        <v>
</v>
      </c>
      <c r="D24" s="17" t="str">
        <f>IFERROR(__xludf.DUMMYFUNCTION("""COMPUTED_VALUE"""),"
")</f>
        <v>
</v>
      </c>
      <c r="E24" s="17" t="str">
        <f>IFERROR(__xludf.DUMMYFUNCTION("""COMPUTED_VALUE"""),"
")</f>
        <v>
</v>
      </c>
      <c r="F24" s="17" t="str">
        <f>IFERROR(__xludf.DUMMYFUNCTION("""COMPUTED_VALUE"""),"
")</f>
        <v>
</v>
      </c>
      <c r="G24" s="17" t="str">
        <f>IFERROR(__xludf.DUMMYFUNCTION("""COMPUTED_VALUE"""),"
")</f>
        <v>
</v>
      </c>
      <c r="H24" s="17" t="str">
        <f>IFERROR(__xludf.DUMMYFUNCTION("""COMPUTED_VALUE"""),"
")</f>
        <v>
</v>
      </c>
      <c r="I24" s="17" t="str">
        <f>IFERROR(__xludf.DUMMYFUNCTION("""COMPUTED_VALUE"""),"
")</f>
        <v>
</v>
      </c>
      <c r="J24" s="17" t="str">
        <f>IFERROR(__xludf.DUMMYFUNCTION("""COMPUTED_VALUE"""),"
")</f>
        <v>
</v>
      </c>
      <c r="K24" s="17" t="str">
        <f>IFERROR(__xludf.DUMMYFUNCTION("""COMPUTED_VALUE"""),"
")</f>
        <v>
</v>
      </c>
      <c r="L24" s="17" t="str">
        <f>IFERROR(__xludf.DUMMYFUNCTION("""COMPUTED_VALUE"""),"
")</f>
        <v>
</v>
      </c>
      <c r="M24" s="17" t="str">
        <f>IFERROR(__xludf.DUMMYFUNCTION("""COMPUTED_VALUE"""),"
")</f>
        <v>
</v>
      </c>
      <c r="N24" s="17" t="str">
        <f>IFERROR(__xludf.DUMMYFUNCTION("""COMPUTED_VALUE"""),"
")</f>
        <v>
</v>
      </c>
      <c r="O24" s="17" t="str">
        <f>IFERROR(__xludf.DUMMYFUNCTION("""COMPUTED_VALUE"""),"
")</f>
        <v>
</v>
      </c>
      <c r="P24" s="17" t="str">
        <f>IFERROR(__xludf.DUMMYFUNCTION("""COMPUTED_VALUE"""),"
")</f>
        <v>
</v>
      </c>
      <c r="Q24" s="17" t="str">
        <f>IFERROR(__xludf.DUMMYFUNCTION("""COMPUTED_VALUE"""),"
")</f>
        <v>
</v>
      </c>
      <c r="R24" s="17" t="str">
        <f>IFERROR(__xludf.DUMMYFUNCTION("""COMPUTED_VALUE"""),"
")</f>
        <v>
</v>
      </c>
      <c r="S24" s="17" t="str">
        <f>IFERROR(__xludf.DUMMYFUNCTION("""COMPUTED_VALUE"""),"
")</f>
        <v>
</v>
      </c>
      <c r="T24" s="17" t="str">
        <f>IFERROR(__xludf.DUMMYFUNCTION("""COMPUTED_VALUE"""),"
")</f>
        <v>
</v>
      </c>
      <c r="U24" s="17" t="str">
        <f>IFERROR(__xludf.DUMMYFUNCTION("""COMPUTED_VALUE"""),"
")</f>
        <v>
</v>
      </c>
      <c r="V24" s="17" t="str">
        <f>IFERROR(__xludf.DUMMYFUNCTION("""COMPUTED_VALUE"""),"
")</f>
        <v>
</v>
      </c>
      <c r="W24" s="17" t="str">
        <f>IFERROR(__xludf.DUMMYFUNCTION("""COMPUTED_VALUE"""),"
")</f>
        <v>
</v>
      </c>
      <c r="X24" s="17" t="str">
        <f>IFERROR(__xludf.DUMMYFUNCTION("""COMPUTED_VALUE"""),"
")</f>
        <v>
</v>
      </c>
      <c r="Y24" s="17" t="str">
        <f>IFERROR(__xludf.DUMMYFUNCTION("""COMPUTED_VALUE"""),"
")</f>
        <v>
</v>
      </c>
      <c r="Z24" s="17" t="str">
        <f>IFERROR(__xludf.DUMMYFUNCTION("""COMPUTED_VALUE"""),"
")</f>
        <v>
</v>
      </c>
      <c r="AA24" s="17" t="str">
        <f>IFERROR(__xludf.DUMMYFUNCTION("""COMPUTED_VALUE"""),"
")</f>
        <v>
</v>
      </c>
      <c r="AB24" s="17" t="str">
        <f>IFERROR(__xludf.DUMMYFUNCTION("""COMPUTED_VALUE"""),"
")</f>
        <v>
</v>
      </c>
      <c r="AC24" s="17" t="str">
        <f>IFERROR(__xludf.DUMMYFUNCTION("""COMPUTED_VALUE"""),"
")</f>
        <v>
</v>
      </c>
    </row>
    <row r="25">
      <c r="A25" s="17" t="str">
        <f>IFERROR(__xludf.DUMMYFUNCTION("""COMPUTED_VALUE"""),"Chapter 114: 82.1 Interlude Uppercrust
Divine Weapon (Asura's Wrath) 300:
You have a legendary weapon forged by the smiths of heaven or found in the hot blood of the earth. In either case, it is nighunbreakable and has a unique quality or power.
As an "&amp;"example Wailing Dark, Argus’s sword, can extend to an outlandish length and with sufficient mantra, cut through a moon. Mooncutting feats require Mantra Level 5 at minimum.
Item")</f>
        <v>Chapter 114: 82.1 Interlude Uppercrust
Divine Weapon (Asura's Wrath) 300:
You have a legendary weapon forged by the smiths of heaven or found in the hot blood of the earth. In either case, it is nighunbreakable and has a unique quality or power.
As an example Wailing Dark, Argus’s sword, can extend to an outlandish length and with sufficient mantra, cut through a moon. Mooncutting feats require Mantra Level 5 at minimum.
Item</v>
      </c>
      <c r="B25" s="17" t="str">
        <f>IFERROR(__xludf.DUMMYFUNCTION("""COMPUTED_VALUE"""),"
")</f>
        <v>
</v>
      </c>
      <c r="C25" s="17" t="str">
        <f>IFERROR(__xludf.DUMMYFUNCTION("""COMPUTED_VALUE"""),"
")</f>
        <v>
</v>
      </c>
      <c r="D25" s="17" t="str">
        <f>IFERROR(__xludf.DUMMYFUNCTION("""COMPUTED_VALUE"""),"
")</f>
        <v>
</v>
      </c>
      <c r="E25" s="17" t="str">
        <f>IFERROR(__xludf.DUMMYFUNCTION("""COMPUTED_VALUE"""),"
")</f>
        <v>
</v>
      </c>
      <c r="F25" s="17" t="str">
        <f>IFERROR(__xludf.DUMMYFUNCTION("""COMPUTED_VALUE"""),"
")</f>
        <v>
</v>
      </c>
      <c r="G25" s="17" t="str">
        <f>IFERROR(__xludf.DUMMYFUNCTION("""COMPUTED_VALUE"""),"
")</f>
        <v>
</v>
      </c>
      <c r="H25" s="17" t="str">
        <f>IFERROR(__xludf.DUMMYFUNCTION("""COMPUTED_VALUE"""),"
")</f>
        <v>
</v>
      </c>
      <c r="I25" s="17" t="str">
        <f>IFERROR(__xludf.DUMMYFUNCTION("""COMPUTED_VALUE"""),"
")</f>
        <v>
</v>
      </c>
      <c r="J25" s="17" t="str">
        <f>IFERROR(__xludf.DUMMYFUNCTION("""COMPUTED_VALUE"""),"
")</f>
        <v>
</v>
      </c>
      <c r="K25" s="17" t="str">
        <f>IFERROR(__xludf.DUMMYFUNCTION("""COMPUTED_VALUE"""),"
")</f>
        <v>
</v>
      </c>
      <c r="L25" s="17" t="str">
        <f>IFERROR(__xludf.DUMMYFUNCTION("""COMPUTED_VALUE"""),"
")</f>
        <v>
</v>
      </c>
      <c r="M25" s="17" t="str">
        <f>IFERROR(__xludf.DUMMYFUNCTION("""COMPUTED_VALUE"""),"
")</f>
        <v>
</v>
      </c>
      <c r="N25" s="17" t="str">
        <f>IFERROR(__xludf.DUMMYFUNCTION("""COMPUTED_VALUE"""),"
")</f>
        <v>
</v>
      </c>
      <c r="O25" s="17" t="str">
        <f>IFERROR(__xludf.DUMMYFUNCTION("""COMPUTED_VALUE"""),"
")</f>
        <v>
</v>
      </c>
      <c r="P25" s="17" t="str">
        <f>IFERROR(__xludf.DUMMYFUNCTION("""COMPUTED_VALUE"""),"
")</f>
        <v>
</v>
      </c>
      <c r="Q25" s="17" t="str">
        <f>IFERROR(__xludf.DUMMYFUNCTION("""COMPUTED_VALUE"""),"
")</f>
        <v>
</v>
      </c>
      <c r="R25" s="17" t="str">
        <f>IFERROR(__xludf.DUMMYFUNCTION("""COMPUTED_VALUE"""),"
")</f>
        <v>
</v>
      </c>
      <c r="S25" s="17" t="str">
        <f>IFERROR(__xludf.DUMMYFUNCTION("""COMPUTED_VALUE"""),"
")</f>
        <v>
</v>
      </c>
      <c r="T25" s="17" t="str">
        <f>IFERROR(__xludf.DUMMYFUNCTION("""COMPUTED_VALUE"""),"
")</f>
        <v>
</v>
      </c>
      <c r="U25" s="17" t="str">
        <f>IFERROR(__xludf.DUMMYFUNCTION("""COMPUTED_VALUE"""),"
")</f>
        <v>
</v>
      </c>
      <c r="V25" s="17" t="str">
        <f>IFERROR(__xludf.DUMMYFUNCTION("""COMPUTED_VALUE"""),"
")</f>
        <v>
</v>
      </c>
      <c r="W25" s="17" t="str">
        <f>IFERROR(__xludf.DUMMYFUNCTION("""COMPUTED_VALUE"""),"
")</f>
        <v>
</v>
      </c>
      <c r="X25" s="17" t="str">
        <f>IFERROR(__xludf.DUMMYFUNCTION("""COMPUTED_VALUE"""),"
")</f>
        <v>
</v>
      </c>
      <c r="Y25" s="17" t="str">
        <f>IFERROR(__xludf.DUMMYFUNCTION("""COMPUTED_VALUE"""),"
")</f>
        <v>
</v>
      </c>
      <c r="Z25" s="17" t="str">
        <f>IFERROR(__xludf.DUMMYFUNCTION("""COMPUTED_VALUE"""),"
")</f>
        <v>
</v>
      </c>
      <c r="AA25" s="17" t="str">
        <f>IFERROR(__xludf.DUMMYFUNCTION("""COMPUTED_VALUE"""),"
")</f>
        <v>
</v>
      </c>
      <c r="AB25" s="17" t="str">
        <f>IFERROR(__xludf.DUMMYFUNCTION("""COMPUTED_VALUE"""),"
")</f>
        <v>
</v>
      </c>
      <c r="AC25" s="17" t="str">
        <f>IFERROR(__xludf.DUMMYFUNCTION("""COMPUTED_VALUE"""),"
")</f>
        <v>
</v>
      </c>
    </row>
    <row r="26">
      <c r="A26" s="17" t="str">
        <f>IFERROR(__xludf.DUMMYFUNCTION("""COMPUTED_VALUE"""),"Chapter 82: 63 Summit Conclusion
Shut Up! (Asura’s Wrath) 50:
You don’t have the patience for bullshit. During longwinded speeches or similar engagements that drag on and on, you will have a sense for when and how to best expedite the proceedings. You are"&amp;"n’t required to take the chance, but you will have to live with consequences if you do. This perk cannot let you automatically kill someone, no matter how hard you can hit.
Skill")</f>
        <v>Chapter 82: 63 Summit Conclusion
Shut Up! (Asura’s Wrath) 50:
You don’t have the patience for bullshit. During longwinded speeches or similar engagements that drag on and on, you will have a sense for when and how to best expedite the proceedings. You aren’t required to take the chance, but you will have to live with consequences if you do. This perk cannot let you automatically kill someone, no matter how hard you can hit.
Skill</v>
      </c>
      <c r="B26" s="17" t="str">
        <f>IFERROR(__xludf.DUMMYFUNCTION("""COMPUTED_VALUE"""),"Chapter 82: 63 Summit Conclusion
Mantra Affinity (Asura’s Wrath) 100:
You are empowered by a single flavor of sentient emotion. When acting within the themes of your dominant Mantra, you are capable of peakhuman feats. You count as both a prayer source an"&amp;"d an emotional source of Mantra. There are eight Mantra affinities, Wrath, Violence, Vanity, Sloth, Melancholy, Lust, Greed, and Pride. Without a Mantra Affinity, you are denied the strength of emotion, and must subsist on ordinary Mantra. By taking this "&amp;"perk, your safe Mantra Level is set to 2, and you always count as having a minimum of Mantral Level 1 for purposes of determining such feats.
Personal")</f>
        <v>Chapter 82: 63 Summit Conclusion
Mantra Affinity (Asura’s Wrath) 100:
You are empowered by a single flavor of sentient emotion. When acting within the themes of your dominant Mantra, you are capable of peakhuman feats. You count as both a prayer source and an emotional source of Mantra. There are eight Mantra affinities, Wrath, Violence, Vanity, Sloth, Melancholy, Lust, Greed, and Pride. Without a Mantra Affinity, you are denied the strength of emotion, and must subsist on ordinary Mantra. By taking this perk, your safe Mantra Level is set to 2, and you always count as having a minimum of Mantral Level 1 for purposes of determining such feats.
Personal</v>
      </c>
      <c r="C26" s="17" t="str">
        <f>IFERROR(__xludf.DUMMYFUNCTION("""COMPUTED_VALUE"""),"Chapter 82: 63 Summit Conclusion
Mantra Training and Techniques (Asura’s Wrath) 200:
You have learned or been taught numerous techniques to focus and express your Mantra, rendered as supernatural martial arts and superhuman feats of agility, durability an"&amp;"d so on. Meditative Kata can extend your natural lifespan, heal minor wounds and fight off sickness, while strikes and attacks could shatter walls. This increases your maximum Mantra level by 1.
As an added benefit, this perk also allows you to create you"&amp;"r own personal Mantra Form. Your first form will take approximately five years of study and meditation to fully construct, but when completed, you will be able to manifest an external mantra interface. To most people, it will look like an ornate halo, evo"&amp;"cative of your personality and mantra affinity.
A Mantra Form usually has a core theme, such as improved combat ability, damage resistance, speed or other such boosts. Establishing a form enhances your abilities, even beyond what a given level of Mantra w"&amp;"ould normally allow. With a mantra form active, you may easily perform superhuman physical, mental and social feats, even before the direct application of Mantra. These stances and techniques however cannot enhance stranger powers such as psychic blasts o"&amp;"r arcane magic, short of ensuring you can survive to perform them.
Successfully creating an initial form and manifesting it increases your capacity for Mantra by 1. Subsequent forms and other perks can increase this cap further, to a maximum of 8. You may"&amp;" use any mantra form you know, but you cannot stack them. Creating a new form takes ten years, times the number of forms you have already mastered.
Your halos can be attacked however, and if knocked aside or even destroyed. If that happens, you immediatel"&amp;"y drop down to Mantra Level 3, and any excess Mantra is wasted.
Skill")</f>
        <v>Chapter 82: 63 Summit Conclusion
Mantra Training and Techniques (Asura’s Wrath) 200:
You have learned or been taught numerous techniques to focus and express your Mantra, rendered as supernatural martial arts and superhuman feats of agility, durability and so on. Meditative Kata can extend your natural lifespan, heal minor wounds and fight off sickness, while strikes and attacks could shatter walls. This increases your maximum Mantra level by 1.
As an added benefit, this perk also allows you to create your own personal Mantra Form. Your first form will take approximately five years of study and meditation to fully construct, but when completed, you will be able to manifest an external mantra interface. To most people, it will look like an ornate halo, evocative of your personality and mantra affinity.
A Mantra Form usually has a core theme, such as improved combat ability, damage resistance, speed or other such boosts. Establishing a form enhances your abilities, even beyond what a given level of Mantra would normally allow. With a mantra form active, you may easily perform superhuman physical, mental and social feats, even before the direct application of Mantra. These stances and techniques however cannot enhance stranger powers such as psychic blasts or arcane magic, short of ensuring you can survive to perform them.
Successfully creating an initial form and manifesting it increases your capacity for Mantra by 1. Subsequent forms and other perks can increase this cap further, to a maximum of 8. You may use any mantra form you know, but you cannot stack them. Creating a new form takes ten years, times the number of forms you have already mastered.
Your halos can be attacked however, and if knocked aside or even destroyed. If that happens, you immediately drop down to Mantra Level 3, and any excess Mantra is wasted.
Skill</v>
      </c>
      <c r="D26" s="17" t="str">
        <f>IFERROR(__xludf.DUMMYFUNCTION("""COMPUTED_VALUE"""),"Chapter 82: 63 Summit Conclusion
Resplendent Wardrobe (Asura’s Wrath) 50:
You have access to an unlimited closet or the finest designers of Shinkoku Trastrium, able to properly dress your theotech empowered form in the grandest of styles. Anyone with mant"&amp;"ra cybernetics can wear impossibly impractical clothing without any issue.
Facility")</f>
        <v>Chapter 82: 63 Summit Conclusion
Resplendent Wardrobe (Asura’s Wrath) 50:
You have access to an unlimited closet or the finest designers of Shinkoku Trastrium, able to properly dress your theotech empowered form in the grandest of styles. Anyone with mantra cybernetics can wear impossibly impractical clothing without any issue.
Facility</v>
      </c>
      <c r="E26" s="17" t="str">
        <f>IFERROR(__xludf.DUMMYFUNCTION("""COMPUTED_VALUE"""),"
")</f>
        <v>
</v>
      </c>
      <c r="F26" s="17" t="str">
        <f>IFERROR(__xludf.DUMMYFUNCTION("""COMPUTED_VALUE"""),"
")</f>
        <v>
</v>
      </c>
      <c r="G26" s="17" t="str">
        <f>IFERROR(__xludf.DUMMYFUNCTION("""COMPUTED_VALUE"""),"
")</f>
        <v>
</v>
      </c>
      <c r="H26" s="17" t="str">
        <f>IFERROR(__xludf.DUMMYFUNCTION("""COMPUTED_VALUE"""),"
")</f>
        <v>
</v>
      </c>
      <c r="I26" s="17" t="str">
        <f>IFERROR(__xludf.DUMMYFUNCTION("""COMPUTED_VALUE"""),"
")</f>
        <v>
</v>
      </c>
      <c r="J26" s="17" t="str">
        <f>IFERROR(__xludf.DUMMYFUNCTION("""COMPUTED_VALUE"""),"
")</f>
        <v>
</v>
      </c>
      <c r="K26" s="17" t="str">
        <f>IFERROR(__xludf.DUMMYFUNCTION("""COMPUTED_VALUE"""),"
")</f>
        <v>
</v>
      </c>
      <c r="L26" s="17" t="str">
        <f>IFERROR(__xludf.DUMMYFUNCTION("""COMPUTED_VALUE"""),"
")</f>
        <v>
</v>
      </c>
      <c r="M26" s="17" t="str">
        <f>IFERROR(__xludf.DUMMYFUNCTION("""COMPUTED_VALUE"""),"
")</f>
        <v>
</v>
      </c>
      <c r="N26" s="17" t="str">
        <f>IFERROR(__xludf.DUMMYFUNCTION("""COMPUTED_VALUE"""),"
")</f>
        <v>
</v>
      </c>
      <c r="O26" s="17" t="str">
        <f>IFERROR(__xludf.DUMMYFUNCTION("""COMPUTED_VALUE"""),"
")</f>
        <v>
</v>
      </c>
      <c r="P26" s="17" t="str">
        <f>IFERROR(__xludf.DUMMYFUNCTION("""COMPUTED_VALUE"""),"
")</f>
        <v>
</v>
      </c>
      <c r="Q26" s="17" t="str">
        <f>IFERROR(__xludf.DUMMYFUNCTION("""COMPUTED_VALUE"""),"
")</f>
        <v>
</v>
      </c>
      <c r="R26" s="17" t="str">
        <f>IFERROR(__xludf.DUMMYFUNCTION("""COMPUTED_VALUE"""),"
")</f>
        <v>
</v>
      </c>
      <c r="S26" s="17" t="str">
        <f>IFERROR(__xludf.DUMMYFUNCTION("""COMPUTED_VALUE"""),"
")</f>
        <v>
</v>
      </c>
      <c r="T26" s="17" t="str">
        <f>IFERROR(__xludf.DUMMYFUNCTION("""COMPUTED_VALUE"""),"
")</f>
        <v>
</v>
      </c>
      <c r="U26" s="17" t="str">
        <f>IFERROR(__xludf.DUMMYFUNCTION("""COMPUTED_VALUE"""),"
")</f>
        <v>
</v>
      </c>
      <c r="V26" s="17" t="str">
        <f>IFERROR(__xludf.DUMMYFUNCTION("""COMPUTED_VALUE"""),"
")</f>
        <v>
</v>
      </c>
      <c r="W26" s="17" t="str">
        <f>IFERROR(__xludf.DUMMYFUNCTION("""COMPUTED_VALUE"""),"
")</f>
        <v>
</v>
      </c>
      <c r="X26" s="17" t="str">
        <f>IFERROR(__xludf.DUMMYFUNCTION("""COMPUTED_VALUE"""),"
")</f>
        <v>
</v>
      </c>
      <c r="Y26" s="17" t="str">
        <f>IFERROR(__xludf.DUMMYFUNCTION("""COMPUTED_VALUE"""),"
")</f>
        <v>
</v>
      </c>
      <c r="Z26" s="17" t="str">
        <f>IFERROR(__xludf.DUMMYFUNCTION("""COMPUTED_VALUE"""),"
")</f>
        <v>
</v>
      </c>
      <c r="AA26" s="17" t="str">
        <f>IFERROR(__xludf.DUMMYFUNCTION("""COMPUTED_VALUE"""),"
")</f>
        <v>
</v>
      </c>
      <c r="AB26" s="17" t="str">
        <f>IFERROR(__xludf.DUMMYFUNCTION("""COMPUTED_VALUE"""),"
")</f>
        <v>
</v>
      </c>
      <c r="AC26" s="17" t="str">
        <f>IFERROR(__xludf.DUMMYFUNCTION("""COMPUTED_VALUE"""),"
")</f>
        <v>
</v>
      </c>
    </row>
    <row r="27">
      <c r="A27" s="17" t="str">
        <f>IFERROR(__xludf.DUMMYFUNCTION("""COMPUTED_VALUE"""),"Chapter 111: 80 Analysis and Reflections
Burning Bright (Binbougami Ga!) 300:
The powers of Fortune Energy are great within you; so great that it defies logic. Your energies are so bountiful that your techniques/effects using them are greatly increased,"&amp;" and your overall luck with them has likewise increased. Why, it's likely that given time to train you can unlock different abilities and methods to use the amount of Fortune Energy you possess. Furthermore, you gain the ability to toggle on or off a 'pas"&amp;"sive' absorbing ability to slowly drain the fortune energy of others and pull them into yourself. Just be wary about staying around people too long with this power. Cannot take with 'A Song For The Hopeless'.
-The maximum Fortune Energy/Misfortune Energy"&amp;" capacity one may possess will only grow slowly with age, and cannot be increased with training. 'A Song For The Hopeless' or 'Burning Bright' will increase the rate your maximum capacity grows, but it will always be at a fixed rate due to age.
-'Burning"&amp;" Bright' likewise is limited in that while you can temporarily supercharge yourself, your maximum Fortune Energy reservoir can only increase with age and not training. In addition, while you can try to supercharge yourself enough to become a god, you will"&amp;" only become a low-level one in the beginning. It will take hundreds of years for your reservoir to grow truly impressive
-'Burning Bright' grants an AoE Fortune Energy-draining field that is a 10-15 feet radius around you, and cannot be improved. Howeve"&amp;"r, the more people around you the more you will drain by volume. A temporary timespan of 3-12 hours will not harm the person, but the more time you spend around others with the field on, the more detrimental it will be to them. Spending 8-10 years around "&amp;"a person constantly with the field on will likely result in their death, if they are mortal. The more powerful the entity, the less likely this will occur.
Ability")</f>
        <v>Chapter 111: 80 Analysis and Reflections
Burning Bright (Binbougami Ga!) 300:
The powers of Fortune Energy are great within you; so great that it defies logic. Your energies are so bountiful that your techniques/effects using them are greatly increased, and your overall luck with them has likewise increased. Why, it's likely that given time to train you can unlock different abilities and methods to use the amount of Fortune Energy you possess. Furthermore, you gain the ability to toggle on or off a 'passive' absorbing ability to slowly drain the fortune energy of others and pull them into yourself. Just be wary about staying around people too long with this power. Cannot take with 'A Song For The Hopeless'.
-The maximum Fortune Energy/Misfortune Energy capacity one may possess will only grow slowly with age, and cannot be increased with training. 'A Song For The Hopeless' or 'Burning Bright' will increase the rate your maximum capacity grows, but it will always be at a fixed rate due to age.
-'Burning Bright' likewise is limited in that while you can temporarily supercharge yourself, your maximum Fortune Energy reservoir can only increase with age and not training. In addition, while you can try to supercharge yourself enough to become a god, you will only become a low-level one in the beginning. It will take hundreds of years for your reservoir to grow truly impressive
-'Burning Bright' grants an AoE Fortune Energy-draining field that is a 10-15 feet radius around you, and cannot be improved. However, the more people around you the more you will drain by volume. A temporary timespan of 3-12 hours will not harm the person, but the more time you spend around others with the field on, the more detrimental it will be to them. Spending 8-10 years around a person constantly with the field on will likely result in their death, if they are mortal. The more powerful the entity, the less likely this will occur.
Ability</v>
      </c>
      <c r="B27" s="17" t="str">
        <f>IFERROR(__xludf.DUMMYFUNCTION("""COMPUTED_VALUE"""),"
")</f>
        <v>
</v>
      </c>
      <c r="C27" s="17" t="str">
        <f>IFERROR(__xludf.DUMMYFUNCTION("""COMPUTED_VALUE"""),"
")</f>
        <v>
</v>
      </c>
      <c r="D27" s="17" t="str">
        <f>IFERROR(__xludf.DUMMYFUNCTION("""COMPUTED_VALUE"""),"
")</f>
        <v>
</v>
      </c>
      <c r="E27" s="17" t="str">
        <f>IFERROR(__xludf.DUMMYFUNCTION("""COMPUTED_VALUE"""),"
")</f>
        <v>
</v>
      </c>
      <c r="F27" s="17" t="str">
        <f>IFERROR(__xludf.DUMMYFUNCTION("""COMPUTED_VALUE"""),"
")</f>
        <v>
</v>
      </c>
      <c r="G27" s="17" t="str">
        <f>IFERROR(__xludf.DUMMYFUNCTION("""COMPUTED_VALUE"""),"
")</f>
        <v>
</v>
      </c>
      <c r="H27" s="17" t="str">
        <f>IFERROR(__xludf.DUMMYFUNCTION("""COMPUTED_VALUE"""),"
")</f>
        <v>
</v>
      </c>
      <c r="I27" s="17" t="str">
        <f>IFERROR(__xludf.DUMMYFUNCTION("""COMPUTED_VALUE"""),"
")</f>
        <v>
</v>
      </c>
      <c r="J27" s="17" t="str">
        <f>IFERROR(__xludf.DUMMYFUNCTION("""COMPUTED_VALUE"""),"
")</f>
        <v>
</v>
      </c>
      <c r="K27" s="17" t="str">
        <f>IFERROR(__xludf.DUMMYFUNCTION("""COMPUTED_VALUE"""),"
")</f>
        <v>
</v>
      </c>
      <c r="L27" s="17" t="str">
        <f>IFERROR(__xludf.DUMMYFUNCTION("""COMPUTED_VALUE"""),"
")</f>
        <v>
</v>
      </c>
      <c r="M27" s="17" t="str">
        <f>IFERROR(__xludf.DUMMYFUNCTION("""COMPUTED_VALUE"""),"
")</f>
        <v>
</v>
      </c>
      <c r="N27" s="17" t="str">
        <f>IFERROR(__xludf.DUMMYFUNCTION("""COMPUTED_VALUE"""),"
")</f>
        <v>
</v>
      </c>
      <c r="O27" s="17" t="str">
        <f>IFERROR(__xludf.DUMMYFUNCTION("""COMPUTED_VALUE"""),"
")</f>
        <v>
</v>
      </c>
      <c r="P27" s="17" t="str">
        <f>IFERROR(__xludf.DUMMYFUNCTION("""COMPUTED_VALUE"""),"
")</f>
        <v>
</v>
      </c>
      <c r="Q27" s="17" t="str">
        <f>IFERROR(__xludf.DUMMYFUNCTION("""COMPUTED_VALUE"""),"
")</f>
        <v>
</v>
      </c>
      <c r="R27" s="17" t="str">
        <f>IFERROR(__xludf.DUMMYFUNCTION("""COMPUTED_VALUE"""),"
")</f>
        <v>
</v>
      </c>
      <c r="S27" s="17" t="str">
        <f>IFERROR(__xludf.DUMMYFUNCTION("""COMPUTED_VALUE"""),"
")</f>
        <v>
</v>
      </c>
      <c r="T27" s="17" t="str">
        <f>IFERROR(__xludf.DUMMYFUNCTION("""COMPUTED_VALUE"""),"
")</f>
        <v>
</v>
      </c>
      <c r="U27" s="17" t="str">
        <f>IFERROR(__xludf.DUMMYFUNCTION("""COMPUTED_VALUE"""),"
")</f>
        <v>
</v>
      </c>
      <c r="V27" s="17" t="str">
        <f>IFERROR(__xludf.DUMMYFUNCTION("""COMPUTED_VALUE"""),"
")</f>
        <v>
</v>
      </c>
      <c r="W27" s="17" t="str">
        <f>IFERROR(__xludf.DUMMYFUNCTION("""COMPUTED_VALUE"""),"
")</f>
        <v>
</v>
      </c>
      <c r="X27" s="17" t="str">
        <f>IFERROR(__xludf.DUMMYFUNCTION("""COMPUTED_VALUE"""),"
")</f>
        <v>
</v>
      </c>
      <c r="Y27" s="17" t="str">
        <f>IFERROR(__xludf.DUMMYFUNCTION("""COMPUTED_VALUE"""),"
")</f>
        <v>
</v>
      </c>
      <c r="Z27" s="17" t="str">
        <f>IFERROR(__xludf.DUMMYFUNCTION("""COMPUTED_VALUE"""),"
")</f>
        <v>
</v>
      </c>
      <c r="AA27" s="17" t="str">
        <f>IFERROR(__xludf.DUMMYFUNCTION("""COMPUTED_VALUE"""),"
")</f>
        <v>
</v>
      </c>
      <c r="AB27" s="17" t="str">
        <f>IFERROR(__xludf.DUMMYFUNCTION("""COMPUTED_VALUE"""),"
")</f>
        <v>
</v>
      </c>
      <c r="AC27" s="17" t="str">
        <f>IFERROR(__xludf.DUMMYFUNCTION("""COMPUTED_VALUE"""),"
")</f>
        <v>
</v>
      </c>
    </row>
    <row r="28">
      <c r="A28" s="17" t="str">
        <f>IFERROR(__xludf.DUMMYFUNCTION("""COMPUTED_VALUE"""),"Chapter 159: 107 Coffee Time
Bloodied Combat (Bloodborne) 400:
More so than Blood Bullets, Bloodied Combat is a perk that allows you to make use of your blood in a fight in a few basic ways. Covering a weapon with your blood allows you to expand the strik"&amp;"ing surface, lengthening blades or enlarging hammers with a solid sheath of blood. Outside of this, you may also scoop up a handful of your own blood, compressing it into orbs or daggers that can be thrown at enemies, impacting with surprising force. Enou"&amp;"gh blood gathered and compacted could even allow multiple projectiles to be thrown at once. While this perk isn't as potent as Blood Saint, it also increases blood production enough that it's a great deal harder to bleed out. This allows you to use these "&amp;"abilities safely, provided you practice a bit of moderation. Depending on the buyer, all of these traits are secondary compared to the final benefit it grants though. Bloodied Combat is a ""Capstone Booster"" that provides any Tier 3 perks you've purchase"&amp;"d with secondary benefits. These benefits are listed at the bottom of the Jump in the ""Notes"" section.
Ability")</f>
        <v>Chapter 159: 107 Coffee Time
Bloodied Combat (Bloodborne) 400:
More so than Blood Bullets, Bloodied Combat is a perk that allows you to make use of your blood in a fight in a few basic ways. Covering a weapon with your blood allows you to expand the striking surface, lengthening blades or enlarging hammers with a solid sheath of blood. Outside of this, you may also scoop up a handful of your own blood, compressing it into orbs or daggers that can be thrown at enemies, impacting with surprising force. Enough blood gathered and compacted could even allow multiple projectiles to be thrown at once. While this perk isn't as potent as Blood Saint, it also increases blood production enough that it's a great deal harder to bleed out. This allows you to use these abilities safely, provided you practice a bit of moderation. Depending on the buyer, all of these traits are secondary compared to the final benefit it grants though. Bloodied Combat is a "Capstone Booster" that provides any Tier 3 perks you've purchased with secondary benefits. These benefits are listed at the bottom of the Jump in the "Notes" section.
Ability</v>
      </c>
      <c r="B28" s="17" t="str">
        <f>IFERROR(__xludf.DUMMYFUNCTION("""COMPUTED_VALUE"""),"Chapter 159: 107 Coffee Time
Good Blood (Bloodborne) Free:
May the good blood guide your way good hunter! In addition to having stronger white blood cells and more efficient red blood cells, your blood has been strengthened, allowing it to create much mor"&amp;"e potent Blood Bullets. This perk basically makes your blood more useful all around. Your immune system should be able to fight off most of the diseases lurking in this festering, rotting hell for one. Now, when before it could have taken more a dozen sho"&amp;"ts to put down an enemy, it should only take two or three. This allows you to be much more conservative with your bullets. Due to your blood empowering Quicksilver Bullets, they are also improved by this perk.
Personal")</f>
        <v>Chapter 159: 107 Coffee Time
Good Blood (Bloodborne) Free:
May the good blood guide your way good hunter! In addition to having stronger white blood cells and more efficient red blood cells, your blood has been strengthened, allowing it to create much more potent Blood Bullets. This perk basically makes your blood more useful all around. Your immune system should be able to fight off most of the diseases lurking in this festering, rotting hell for one. Now, when before it could have taken more a dozen shots to put down an enemy, it should only take two or three. This allows you to be much more conservative with your bullets. Due to your blood empowering Quicksilver Bullets, they are also improved by this perk.
Personal</v>
      </c>
      <c r="C28" s="17" t="str">
        <f>IFERROR(__xludf.DUMMYFUNCTION("""COMPUTED_VALUE"""),"
")</f>
        <v>
</v>
      </c>
      <c r="D28" s="17" t="str">
        <f>IFERROR(__xludf.DUMMYFUNCTION("""COMPUTED_VALUE"""),"
")</f>
        <v>
</v>
      </c>
      <c r="E28" s="17" t="str">
        <f>IFERROR(__xludf.DUMMYFUNCTION("""COMPUTED_VALUE"""),"
")</f>
        <v>
</v>
      </c>
      <c r="F28" s="17" t="str">
        <f>IFERROR(__xludf.DUMMYFUNCTION("""COMPUTED_VALUE"""),"
")</f>
        <v>
</v>
      </c>
      <c r="G28" s="17" t="str">
        <f>IFERROR(__xludf.DUMMYFUNCTION("""COMPUTED_VALUE"""),"
")</f>
        <v>
</v>
      </c>
      <c r="H28" s="17" t="str">
        <f>IFERROR(__xludf.DUMMYFUNCTION("""COMPUTED_VALUE"""),"
")</f>
        <v>
</v>
      </c>
      <c r="I28" s="17" t="str">
        <f>IFERROR(__xludf.DUMMYFUNCTION("""COMPUTED_VALUE"""),"
")</f>
        <v>
</v>
      </c>
      <c r="J28" s="17" t="str">
        <f>IFERROR(__xludf.DUMMYFUNCTION("""COMPUTED_VALUE"""),"
")</f>
        <v>
</v>
      </c>
      <c r="K28" s="17" t="str">
        <f>IFERROR(__xludf.DUMMYFUNCTION("""COMPUTED_VALUE"""),"
")</f>
        <v>
</v>
      </c>
      <c r="L28" s="17" t="str">
        <f>IFERROR(__xludf.DUMMYFUNCTION("""COMPUTED_VALUE"""),"
")</f>
        <v>
</v>
      </c>
      <c r="M28" s="17" t="str">
        <f>IFERROR(__xludf.DUMMYFUNCTION("""COMPUTED_VALUE"""),"
")</f>
        <v>
</v>
      </c>
      <c r="N28" s="17" t="str">
        <f>IFERROR(__xludf.DUMMYFUNCTION("""COMPUTED_VALUE"""),"
")</f>
        <v>
</v>
      </c>
      <c r="O28" s="17" t="str">
        <f>IFERROR(__xludf.DUMMYFUNCTION("""COMPUTED_VALUE"""),"
")</f>
        <v>
</v>
      </c>
      <c r="P28" s="17" t="str">
        <f>IFERROR(__xludf.DUMMYFUNCTION("""COMPUTED_VALUE"""),"
")</f>
        <v>
</v>
      </c>
      <c r="Q28" s="17" t="str">
        <f>IFERROR(__xludf.DUMMYFUNCTION("""COMPUTED_VALUE"""),"
")</f>
        <v>
</v>
      </c>
      <c r="R28" s="17" t="str">
        <f>IFERROR(__xludf.DUMMYFUNCTION("""COMPUTED_VALUE"""),"
")</f>
        <v>
</v>
      </c>
      <c r="S28" s="17" t="str">
        <f>IFERROR(__xludf.DUMMYFUNCTION("""COMPUTED_VALUE"""),"
")</f>
        <v>
</v>
      </c>
      <c r="T28" s="17" t="str">
        <f>IFERROR(__xludf.DUMMYFUNCTION("""COMPUTED_VALUE"""),"
")</f>
        <v>
</v>
      </c>
      <c r="U28" s="17" t="str">
        <f>IFERROR(__xludf.DUMMYFUNCTION("""COMPUTED_VALUE"""),"
")</f>
        <v>
</v>
      </c>
      <c r="V28" s="17" t="str">
        <f>IFERROR(__xludf.DUMMYFUNCTION("""COMPUTED_VALUE"""),"
")</f>
        <v>
</v>
      </c>
      <c r="W28" s="17" t="str">
        <f>IFERROR(__xludf.DUMMYFUNCTION("""COMPUTED_VALUE"""),"
")</f>
        <v>
</v>
      </c>
      <c r="X28" s="17" t="str">
        <f>IFERROR(__xludf.DUMMYFUNCTION("""COMPUTED_VALUE"""),"
")</f>
        <v>
</v>
      </c>
      <c r="Y28" s="17" t="str">
        <f>IFERROR(__xludf.DUMMYFUNCTION("""COMPUTED_VALUE"""),"
")</f>
        <v>
</v>
      </c>
      <c r="Z28" s="17" t="str">
        <f>IFERROR(__xludf.DUMMYFUNCTION("""COMPUTED_VALUE"""),"
")</f>
        <v>
</v>
      </c>
      <c r="AA28" s="17" t="str">
        <f>IFERROR(__xludf.DUMMYFUNCTION("""COMPUTED_VALUE"""),"
")</f>
        <v>
</v>
      </c>
      <c r="AB28" s="17" t="str">
        <f>IFERROR(__xludf.DUMMYFUNCTION("""COMPUTED_VALUE"""),"
")</f>
        <v>
</v>
      </c>
      <c r="AC28" s="17" t="str">
        <f>IFERROR(__xludf.DUMMYFUNCTION("""COMPUTED_VALUE"""),"
")</f>
        <v>
</v>
      </c>
    </row>
    <row r="29">
      <c r="A29" s="17" t="str">
        <f>IFERROR(__xludf.DUMMYFUNCTION("""COMPUTED_VALUE"""),"Chapter 123: 88 Perspectives
Synchronicity Event (F.E.A.R.) 300:
Curiouser and curiouser. Due to coming into contact with... well, SOMETHING, your psionic abilities have noticeably increased. Psychic powers you may have had are stronger now, with contro"&amp;"l and development coming more quickly with practice. There is also a boon to this; by taking a few days to 'attune' a person, you may impart upon them the beginning of psionic abilities of their own. You may only gift one school at a time, and they start "&amp;"at the very beginning; if they are to grow and learn as you have, it would be wise to teach them. On the plus side, they’ll eventually become as strong as you are, so you’ll have quite the pupil on your hands.
Synchronicity Event boosts psychic powers fr"&amp;"om outside this setting by a decent amount. It's nothing like Alma, but it's a decent boost. At the same time, you may also unlock the following abilities:
-Taking 'Feel It Out' increases your understanding of technologies and different items, dramatical"&amp;"ly cutting down the time needed to analyze the object in question and improving defenses should any psionic traps be laid. You can also 'attune' objects to better channel psionic abilities and become a powerful focus for them.
Psionic schools from F.E.A."&amp;"R. include Telekinesis, Telepathy, Pyrokinesis, Possession, Teleportation, and Manifestation.
System")</f>
        <v>Chapter 123: 88 Perspectives
Synchronicity Event (F.E.A.R.) 300:
Curiouser and curiouser. Due to coming into contact with... well, SOMETHING, your psionic abilities have noticeably increased. Psychic powers you may have had are stronger now, with control and development coming more quickly with practice. There is also a boon to this; by taking a few days to 'attune' a person, you may impart upon them the beginning of psionic abilities of their own. You may only gift one school at a time, and they start at the very beginning; if they are to grow and learn as you have, it would be wise to teach them. On the plus side, they’ll eventually become as strong as you are, so you’ll have quite the pupil on your hands.
Synchronicity Event boosts psychic powers from outside this setting by a decent amount. It's nothing like Alma, but it's a decent boost. At the same time, you may also unlock the following abilities:
-Taking 'Feel It Out' increases your understanding of technologies and different items, dramatically cutting down the time needed to analyze the object in question and improving defenses should any psionic traps be laid. You can also 'attune' objects to better channel psionic abilities and become a powerful focus for them.
Psionic schools from F.E.A.R. include Telekinesis, Telepathy, Pyrokinesis, Possession, Teleportation, and Manifestation.
System</v>
      </c>
      <c r="B29" s="17" t="str">
        <f>IFERROR(__xludf.DUMMYFUNCTION("""COMPUTED_VALUE"""),"
")</f>
        <v>
</v>
      </c>
      <c r="C29" s="17" t="str">
        <f>IFERROR(__xludf.DUMMYFUNCTION("""COMPUTED_VALUE"""),"
")</f>
        <v>
</v>
      </c>
      <c r="D29" s="17" t="str">
        <f>IFERROR(__xludf.DUMMYFUNCTION("""COMPUTED_VALUE"""),"
")</f>
        <v>
</v>
      </c>
      <c r="E29" s="17" t="str">
        <f>IFERROR(__xludf.DUMMYFUNCTION("""COMPUTED_VALUE"""),"
")</f>
        <v>
</v>
      </c>
      <c r="F29" s="17" t="str">
        <f>IFERROR(__xludf.DUMMYFUNCTION("""COMPUTED_VALUE"""),"
")</f>
        <v>
</v>
      </c>
      <c r="G29" s="17" t="str">
        <f>IFERROR(__xludf.DUMMYFUNCTION("""COMPUTED_VALUE"""),"
")</f>
        <v>
</v>
      </c>
      <c r="H29" s="17" t="str">
        <f>IFERROR(__xludf.DUMMYFUNCTION("""COMPUTED_VALUE"""),"
")</f>
        <v>
</v>
      </c>
      <c r="I29" s="17" t="str">
        <f>IFERROR(__xludf.DUMMYFUNCTION("""COMPUTED_VALUE"""),"
")</f>
        <v>
</v>
      </c>
      <c r="J29" s="17" t="str">
        <f>IFERROR(__xludf.DUMMYFUNCTION("""COMPUTED_VALUE"""),"
")</f>
        <v>
</v>
      </c>
      <c r="K29" s="17" t="str">
        <f>IFERROR(__xludf.DUMMYFUNCTION("""COMPUTED_VALUE"""),"
")</f>
        <v>
</v>
      </c>
      <c r="L29" s="17" t="str">
        <f>IFERROR(__xludf.DUMMYFUNCTION("""COMPUTED_VALUE"""),"
")</f>
        <v>
</v>
      </c>
      <c r="M29" s="17" t="str">
        <f>IFERROR(__xludf.DUMMYFUNCTION("""COMPUTED_VALUE"""),"
")</f>
        <v>
</v>
      </c>
      <c r="N29" s="17" t="str">
        <f>IFERROR(__xludf.DUMMYFUNCTION("""COMPUTED_VALUE"""),"
")</f>
        <v>
</v>
      </c>
      <c r="O29" s="17" t="str">
        <f>IFERROR(__xludf.DUMMYFUNCTION("""COMPUTED_VALUE"""),"
")</f>
        <v>
</v>
      </c>
      <c r="P29" s="17" t="str">
        <f>IFERROR(__xludf.DUMMYFUNCTION("""COMPUTED_VALUE"""),"
")</f>
        <v>
</v>
      </c>
      <c r="Q29" s="17" t="str">
        <f>IFERROR(__xludf.DUMMYFUNCTION("""COMPUTED_VALUE"""),"
")</f>
        <v>
</v>
      </c>
      <c r="R29" s="17" t="str">
        <f>IFERROR(__xludf.DUMMYFUNCTION("""COMPUTED_VALUE"""),"
")</f>
        <v>
</v>
      </c>
      <c r="S29" s="17" t="str">
        <f>IFERROR(__xludf.DUMMYFUNCTION("""COMPUTED_VALUE"""),"
")</f>
        <v>
</v>
      </c>
      <c r="T29" s="17" t="str">
        <f>IFERROR(__xludf.DUMMYFUNCTION("""COMPUTED_VALUE"""),"
")</f>
        <v>
</v>
      </c>
      <c r="U29" s="17" t="str">
        <f>IFERROR(__xludf.DUMMYFUNCTION("""COMPUTED_VALUE"""),"
")</f>
        <v>
</v>
      </c>
      <c r="V29" s="17" t="str">
        <f>IFERROR(__xludf.DUMMYFUNCTION("""COMPUTED_VALUE"""),"
")</f>
        <v>
</v>
      </c>
      <c r="W29" s="17" t="str">
        <f>IFERROR(__xludf.DUMMYFUNCTION("""COMPUTED_VALUE"""),"
")</f>
        <v>
</v>
      </c>
      <c r="X29" s="17" t="str">
        <f>IFERROR(__xludf.DUMMYFUNCTION("""COMPUTED_VALUE"""),"
")</f>
        <v>
</v>
      </c>
      <c r="Y29" s="17" t="str">
        <f>IFERROR(__xludf.DUMMYFUNCTION("""COMPUTED_VALUE"""),"
")</f>
        <v>
</v>
      </c>
      <c r="Z29" s="17" t="str">
        <f>IFERROR(__xludf.DUMMYFUNCTION("""COMPUTED_VALUE"""),"
")</f>
        <v>
</v>
      </c>
      <c r="AA29" s="17" t="str">
        <f>IFERROR(__xludf.DUMMYFUNCTION("""COMPUTED_VALUE"""),"
")</f>
        <v>
</v>
      </c>
      <c r="AB29" s="17" t="str">
        <f>IFERROR(__xludf.DUMMYFUNCTION("""COMPUTED_VALUE"""),"
")</f>
        <v>
</v>
      </c>
      <c r="AC29" s="17" t="str">
        <f>IFERROR(__xludf.DUMMYFUNCTION("""COMPUTED_VALUE"""),"
")</f>
        <v>
</v>
      </c>
    </row>
    <row r="30">
      <c r="A30" s="17" t="str">
        <f>IFERROR(__xludf.DUMMYFUNCTION("""COMPUTED_VALUE"""),"Chapter 125: 89 Divine Mechanics
Titan's Blood (God of War) 500:
What a curious thing you are, to have become such a thing. One of your ancestors was a Titan, a primordial being of great power and ability that was responsible with shaping the world as i"&amp;"t is. You are not full-blooded, but the effects have been prevalent on you nonetheless; your size may be increased up to fifteen meters in height, with your strength as such that you could throw pieces of buildings one-handed at your enemies. You may also"&amp;" choose one Titan you are a descendent from, gaining aesthetic appearance changes similar to them. But more importantly, you may relax yourself and 'commune' with the world and nature around you; by opening your mind to the world you can learn about it an"&amp;"d its secrets quite quickly, along with finding what is the largest threat to the balance of nature. You are of the planet, child. It is your birthright to know these things.
‘Titan’s Blood’ only gives physical boons and an impressive aesthetic relating "&amp;"to your Titan ancestor. You do not get minor powers from your parent, such as Cronos and his time powers.
Titan's Blood also grants access to the following boosts for capstones you've purchased:
'Daedalus' Student': Your crafting has undergone a dramati"&amp;"c improvement, to the point where you can make incredible works with the strength of an army within them. You have also gleamed into a new type of crafting, and you can forge energy constructs such as Zeus' Lightning to be used in your wishes.
Personal")</f>
        <v>Chapter 125: 89 Divine Mechanics
Titan's Blood (God of War) 500:
What a curious thing you are, to have become such a thing. One of your ancestors was a Titan, a primordial being of great power and ability that was responsible with shaping the world as it is. You are not full-blooded, but the effects have been prevalent on you nonetheless; your size may be increased up to fifteen meters in height, with your strength as such that you could throw pieces of buildings one-handed at your enemies. You may also choose one Titan you are a descendent from, gaining aesthetic appearance changes similar to them. But more importantly, you may relax yourself and 'commune' with the world and nature around you; by opening your mind to the world you can learn about it and its secrets quite quickly, along with finding what is the largest threat to the balance of nature. You are of the planet, child. It is your birthright to know these things.
‘Titan’s Blood’ only gives physical boons and an impressive aesthetic relating to your Titan ancestor. You do not get minor powers from your parent, such as Cronos and his time powers.
Titan's Blood also grants access to the following boosts for capstones you've purchased:
'Daedalus' Student': Your crafting has undergone a dramatic improvement, to the point where you can make incredible works with the strength of an army within them. You have also gleamed into a new type of crafting, and you can forge energy constructs such as Zeus' Lightning to be used in your wishes.
Personal</v>
      </c>
      <c r="B30" s="17" t="str">
        <f>IFERROR(__xludf.DUMMYFUNCTION("""COMPUTED_VALUE"""),"
")</f>
        <v>
</v>
      </c>
      <c r="C30" s="17" t="str">
        <f>IFERROR(__xludf.DUMMYFUNCTION("""COMPUTED_VALUE"""),"
")</f>
        <v>
</v>
      </c>
      <c r="D30" s="17" t="str">
        <f>IFERROR(__xludf.DUMMYFUNCTION("""COMPUTED_VALUE"""),"
")</f>
        <v>
</v>
      </c>
      <c r="E30" s="17" t="str">
        <f>IFERROR(__xludf.DUMMYFUNCTION("""COMPUTED_VALUE"""),"
")</f>
        <v>
</v>
      </c>
      <c r="F30" s="17" t="str">
        <f>IFERROR(__xludf.DUMMYFUNCTION("""COMPUTED_VALUE"""),"
")</f>
        <v>
</v>
      </c>
      <c r="G30" s="17" t="str">
        <f>IFERROR(__xludf.DUMMYFUNCTION("""COMPUTED_VALUE"""),"
")</f>
        <v>
</v>
      </c>
      <c r="H30" s="17" t="str">
        <f>IFERROR(__xludf.DUMMYFUNCTION("""COMPUTED_VALUE"""),"
")</f>
        <v>
</v>
      </c>
      <c r="I30" s="17" t="str">
        <f>IFERROR(__xludf.DUMMYFUNCTION("""COMPUTED_VALUE"""),"
")</f>
        <v>
</v>
      </c>
      <c r="J30" s="17" t="str">
        <f>IFERROR(__xludf.DUMMYFUNCTION("""COMPUTED_VALUE"""),"
")</f>
        <v>
</v>
      </c>
      <c r="K30" s="17" t="str">
        <f>IFERROR(__xludf.DUMMYFUNCTION("""COMPUTED_VALUE"""),"
")</f>
        <v>
</v>
      </c>
      <c r="L30" s="17" t="str">
        <f>IFERROR(__xludf.DUMMYFUNCTION("""COMPUTED_VALUE"""),"
")</f>
        <v>
</v>
      </c>
      <c r="M30" s="17" t="str">
        <f>IFERROR(__xludf.DUMMYFUNCTION("""COMPUTED_VALUE"""),"
")</f>
        <v>
</v>
      </c>
      <c r="N30" s="17" t="str">
        <f>IFERROR(__xludf.DUMMYFUNCTION("""COMPUTED_VALUE"""),"
")</f>
        <v>
</v>
      </c>
      <c r="O30" s="17" t="str">
        <f>IFERROR(__xludf.DUMMYFUNCTION("""COMPUTED_VALUE"""),"
")</f>
        <v>
</v>
      </c>
      <c r="P30" s="17" t="str">
        <f>IFERROR(__xludf.DUMMYFUNCTION("""COMPUTED_VALUE"""),"
")</f>
        <v>
</v>
      </c>
      <c r="Q30" s="17" t="str">
        <f>IFERROR(__xludf.DUMMYFUNCTION("""COMPUTED_VALUE"""),"
")</f>
        <v>
</v>
      </c>
      <c r="R30" s="17" t="str">
        <f>IFERROR(__xludf.DUMMYFUNCTION("""COMPUTED_VALUE"""),"
")</f>
        <v>
</v>
      </c>
      <c r="S30" s="17" t="str">
        <f>IFERROR(__xludf.DUMMYFUNCTION("""COMPUTED_VALUE"""),"
")</f>
        <v>
</v>
      </c>
      <c r="T30" s="17" t="str">
        <f>IFERROR(__xludf.DUMMYFUNCTION("""COMPUTED_VALUE"""),"
")</f>
        <v>
</v>
      </c>
      <c r="U30" s="17" t="str">
        <f>IFERROR(__xludf.DUMMYFUNCTION("""COMPUTED_VALUE"""),"
")</f>
        <v>
</v>
      </c>
      <c r="V30" s="17" t="str">
        <f>IFERROR(__xludf.DUMMYFUNCTION("""COMPUTED_VALUE"""),"
")</f>
        <v>
</v>
      </c>
      <c r="W30" s="17" t="str">
        <f>IFERROR(__xludf.DUMMYFUNCTION("""COMPUTED_VALUE"""),"
")</f>
        <v>
</v>
      </c>
      <c r="X30" s="17" t="str">
        <f>IFERROR(__xludf.DUMMYFUNCTION("""COMPUTED_VALUE"""),"
")</f>
        <v>
</v>
      </c>
      <c r="Y30" s="17" t="str">
        <f>IFERROR(__xludf.DUMMYFUNCTION("""COMPUTED_VALUE"""),"
")</f>
        <v>
</v>
      </c>
      <c r="Z30" s="17" t="str">
        <f>IFERROR(__xludf.DUMMYFUNCTION("""COMPUTED_VALUE"""),"
")</f>
        <v>
</v>
      </c>
      <c r="AA30" s="17" t="str">
        <f>IFERROR(__xludf.DUMMYFUNCTION("""COMPUTED_VALUE"""),"
")</f>
        <v>
</v>
      </c>
      <c r="AB30" s="17" t="str">
        <f>IFERROR(__xludf.DUMMYFUNCTION("""COMPUTED_VALUE"""),"
")</f>
        <v>
</v>
      </c>
      <c r="AC30" s="17" t="str">
        <f>IFERROR(__xludf.DUMMYFUNCTION("""COMPUTED_VALUE"""),"
")</f>
        <v>
</v>
      </c>
    </row>
    <row r="31">
      <c r="A31" s="17" t="str">
        <f>IFERROR(__xludf.DUMMYFUNCTION("""COMPUTED_VALUE"""),"Chapter 92: 68 Personal Training
Touched by the Protoculture (Macross) 500:
The Protoculture were a powerful group, having been the creators of the Zentraedi, and having fought off the Protodeviln in their time. They could terraform entire worlds, trave"&amp;"rse the galaxy in seconds, and were the first advanced humanoid civilization to exist... and now in some way, you carry their legacy. Along with the ability to understand a species' culture and the paths they could take for evolution, you now have an unde"&amp;"rstanding of 'Space Fold' technology, which allows faster-than-light communication and the generation of micro-wormholes to traverse space in a much faster method.
System")</f>
        <v>Chapter 92: 68 Personal Training
Touched by the Protoculture (Macross) 500:
The Protoculture were a powerful group, having been the creators of the Zentraedi, and having fought off the Protodeviln in their time. They could terraform entire worlds, traverse the galaxy in seconds, and were the first advanced humanoid civilization to exist... and now in some way, you carry their legacy. Along with the ability to understand a species' culture and the paths they could take for evolution, you now have an understanding of 'Space Fold' technology, which allows faster-than-light communication and the generation of micro-wormholes to traverse space in a much faster method.
System</v>
      </c>
      <c r="B31" s="17" t="str">
        <f>IFERROR(__xludf.DUMMYFUNCTION("""COMPUTED_VALUE"""),"
")</f>
        <v>
</v>
      </c>
      <c r="C31" s="17" t="str">
        <f>IFERROR(__xludf.DUMMYFUNCTION("""COMPUTED_VALUE"""),"
")</f>
        <v>
</v>
      </c>
      <c r="D31" s="17" t="str">
        <f>IFERROR(__xludf.DUMMYFUNCTION("""COMPUTED_VALUE"""),"
")</f>
        <v>
</v>
      </c>
      <c r="E31" s="17" t="str">
        <f>IFERROR(__xludf.DUMMYFUNCTION("""COMPUTED_VALUE"""),"
")</f>
        <v>
</v>
      </c>
      <c r="F31" s="17" t="str">
        <f>IFERROR(__xludf.DUMMYFUNCTION("""COMPUTED_VALUE"""),"
")</f>
        <v>
</v>
      </c>
      <c r="G31" s="17" t="str">
        <f>IFERROR(__xludf.DUMMYFUNCTION("""COMPUTED_VALUE"""),"
")</f>
        <v>
</v>
      </c>
      <c r="H31" s="17" t="str">
        <f>IFERROR(__xludf.DUMMYFUNCTION("""COMPUTED_VALUE"""),"
")</f>
        <v>
</v>
      </c>
      <c r="I31" s="17" t="str">
        <f>IFERROR(__xludf.DUMMYFUNCTION("""COMPUTED_VALUE"""),"
")</f>
        <v>
</v>
      </c>
      <c r="J31" s="17" t="str">
        <f>IFERROR(__xludf.DUMMYFUNCTION("""COMPUTED_VALUE"""),"
")</f>
        <v>
</v>
      </c>
      <c r="K31" s="17" t="str">
        <f>IFERROR(__xludf.DUMMYFUNCTION("""COMPUTED_VALUE"""),"
")</f>
        <v>
</v>
      </c>
      <c r="L31" s="17" t="str">
        <f>IFERROR(__xludf.DUMMYFUNCTION("""COMPUTED_VALUE"""),"
")</f>
        <v>
</v>
      </c>
      <c r="M31" s="17" t="str">
        <f>IFERROR(__xludf.DUMMYFUNCTION("""COMPUTED_VALUE"""),"
")</f>
        <v>
</v>
      </c>
      <c r="N31" s="17" t="str">
        <f>IFERROR(__xludf.DUMMYFUNCTION("""COMPUTED_VALUE"""),"
")</f>
        <v>
</v>
      </c>
      <c r="O31" s="17" t="str">
        <f>IFERROR(__xludf.DUMMYFUNCTION("""COMPUTED_VALUE"""),"
")</f>
        <v>
</v>
      </c>
      <c r="P31" s="17" t="str">
        <f>IFERROR(__xludf.DUMMYFUNCTION("""COMPUTED_VALUE"""),"
")</f>
        <v>
</v>
      </c>
      <c r="Q31" s="17" t="str">
        <f>IFERROR(__xludf.DUMMYFUNCTION("""COMPUTED_VALUE"""),"
")</f>
        <v>
</v>
      </c>
      <c r="R31" s="17" t="str">
        <f>IFERROR(__xludf.DUMMYFUNCTION("""COMPUTED_VALUE"""),"
")</f>
        <v>
</v>
      </c>
      <c r="S31" s="17" t="str">
        <f>IFERROR(__xludf.DUMMYFUNCTION("""COMPUTED_VALUE"""),"
")</f>
        <v>
</v>
      </c>
      <c r="T31" s="17" t="str">
        <f>IFERROR(__xludf.DUMMYFUNCTION("""COMPUTED_VALUE"""),"
")</f>
        <v>
</v>
      </c>
      <c r="U31" s="17" t="str">
        <f>IFERROR(__xludf.DUMMYFUNCTION("""COMPUTED_VALUE"""),"
")</f>
        <v>
</v>
      </c>
      <c r="V31" s="17" t="str">
        <f>IFERROR(__xludf.DUMMYFUNCTION("""COMPUTED_VALUE"""),"
")</f>
        <v>
</v>
      </c>
      <c r="W31" s="17" t="str">
        <f>IFERROR(__xludf.DUMMYFUNCTION("""COMPUTED_VALUE"""),"
")</f>
        <v>
</v>
      </c>
      <c r="X31" s="17" t="str">
        <f>IFERROR(__xludf.DUMMYFUNCTION("""COMPUTED_VALUE"""),"
")</f>
        <v>
</v>
      </c>
      <c r="Y31" s="17" t="str">
        <f>IFERROR(__xludf.DUMMYFUNCTION("""COMPUTED_VALUE"""),"
")</f>
        <v>
</v>
      </c>
      <c r="Z31" s="17" t="str">
        <f>IFERROR(__xludf.DUMMYFUNCTION("""COMPUTED_VALUE"""),"
")</f>
        <v>
</v>
      </c>
      <c r="AA31" s="17" t="str">
        <f>IFERROR(__xludf.DUMMYFUNCTION("""COMPUTED_VALUE"""),"
")</f>
        <v>
</v>
      </c>
      <c r="AB31" s="17" t="str">
        <f>IFERROR(__xludf.DUMMYFUNCTION("""COMPUTED_VALUE"""),"
")</f>
        <v>
</v>
      </c>
      <c r="AC31" s="17" t="str">
        <f>IFERROR(__xludf.DUMMYFUNCTION("""COMPUTED_VALUE"""),"
")</f>
        <v>
</v>
      </c>
    </row>
    <row r="32">
      <c r="A32" s="17" t="str">
        <f>IFERROR(__xludf.DUMMYFUNCTION("""COMPUTED_VALUE"""),"")</f>
        <v/>
      </c>
      <c r="B32" s="17" t="str">
        <f>IFERROR(__xludf.DUMMYFUNCTION("""COMPUTED_VALUE"""),"")</f>
        <v/>
      </c>
      <c r="C32" s="17" t="str">
        <f>IFERROR(__xludf.DUMMYFUNCTION("""COMPUTED_VALUE"""),"")</f>
        <v/>
      </c>
      <c r="D32" s="17" t="str">
        <f>IFERROR(__xludf.DUMMYFUNCTION("""COMPUTED_VALUE"""),"")</f>
        <v/>
      </c>
      <c r="E32" s="17" t="str">
        <f>IFERROR(__xludf.DUMMYFUNCTION("""COMPUTED_VALUE"""),"")</f>
        <v/>
      </c>
      <c r="F32" s="17" t="str">
        <f>IFERROR(__xludf.DUMMYFUNCTION("""COMPUTED_VALUE"""),"")</f>
        <v/>
      </c>
      <c r="G32" s="17" t="str">
        <f>IFERROR(__xludf.DUMMYFUNCTION("""COMPUTED_VALUE"""),"")</f>
        <v/>
      </c>
      <c r="H32" s="17" t="str">
        <f>IFERROR(__xludf.DUMMYFUNCTION("""COMPUTED_VALUE"""),"")</f>
        <v/>
      </c>
      <c r="I32" s="17" t="str">
        <f>IFERROR(__xludf.DUMMYFUNCTION("""COMPUTED_VALUE"""),"")</f>
        <v/>
      </c>
      <c r="J32" s="17" t="str">
        <f>IFERROR(__xludf.DUMMYFUNCTION("""COMPUTED_VALUE"""),"")</f>
        <v/>
      </c>
      <c r="K32" s="17" t="str">
        <f>IFERROR(__xludf.DUMMYFUNCTION("""COMPUTED_VALUE"""),"")</f>
        <v/>
      </c>
      <c r="L32" s="17" t="str">
        <f>IFERROR(__xludf.DUMMYFUNCTION("""COMPUTED_VALUE"""),"")</f>
        <v/>
      </c>
      <c r="M32" s="17" t="str">
        <f>IFERROR(__xludf.DUMMYFUNCTION("""COMPUTED_VALUE"""),"")</f>
        <v/>
      </c>
      <c r="N32" s="17" t="str">
        <f>IFERROR(__xludf.DUMMYFUNCTION("""COMPUTED_VALUE"""),"")</f>
        <v/>
      </c>
      <c r="O32" s="17" t="str">
        <f>IFERROR(__xludf.DUMMYFUNCTION("""COMPUTED_VALUE"""),"")</f>
        <v/>
      </c>
      <c r="P32" s="17" t="str">
        <f>IFERROR(__xludf.DUMMYFUNCTION("""COMPUTED_VALUE"""),"")</f>
        <v/>
      </c>
      <c r="Q32" s="17" t="str">
        <f>IFERROR(__xludf.DUMMYFUNCTION("""COMPUTED_VALUE"""),"")</f>
        <v/>
      </c>
      <c r="R32" s="17" t="str">
        <f>IFERROR(__xludf.DUMMYFUNCTION("""COMPUTED_VALUE"""),"")</f>
        <v/>
      </c>
      <c r="S32" s="17" t="str">
        <f>IFERROR(__xludf.DUMMYFUNCTION("""COMPUTED_VALUE"""),"")</f>
        <v/>
      </c>
      <c r="T32" s="17" t="str">
        <f>IFERROR(__xludf.DUMMYFUNCTION("""COMPUTED_VALUE"""),"")</f>
        <v/>
      </c>
      <c r="U32" s="17" t="str">
        <f>IFERROR(__xludf.DUMMYFUNCTION("""COMPUTED_VALUE"""),"")</f>
        <v/>
      </c>
      <c r="V32" s="17" t="str">
        <f>IFERROR(__xludf.DUMMYFUNCTION("""COMPUTED_VALUE"""),"")</f>
        <v/>
      </c>
      <c r="W32" s="17" t="str">
        <f>IFERROR(__xludf.DUMMYFUNCTION("""COMPUTED_VALUE"""),"")</f>
        <v/>
      </c>
      <c r="X32" s="17" t="str">
        <f>IFERROR(__xludf.DUMMYFUNCTION("""COMPUTED_VALUE"""),"")</f>
        <v/>
      </c>
      <c r="Y32" s="17" t="str">
        <f>IFERROR(__xludf.DUMMYFUNCTION("""COMPUTED_VALUE"""),"")</f>
        <v/>
      </c>
      <c r="Z32" s="17" t="str">
        <f>IFERROR(__xludf.DUMMYFUNCTION("""COMPUTED_VALUE"""),"")</f>
        <v/>
      </c>
      <c r="AA32" s="17" t="str">
        <f>IFERROR(__xludf.DUMMYFUNCTION("""COMPUTED_VALUE"""),"")</f>
        <v/>
      </c>
      <c r="AB32" s="17" t="str">
        <f>IFERROR(__xludf.DUMMYFUNCTION("""COMPUTED_VALUE"""),"")</f>
        <v/>
      </c>
      <c r="AC32" s="17" t="str">
        <f>IFERROR(__xludf.DUMMYFUNCTION("""COMPUTED_VALUE"""),"")</f>
        <v/>
      </c>
    </row>
    <row r="33">
      <c r="A33" s="17" t="str">
        <f>IFERROR(__xludf.DUMMYFUNCTION("""COMPUTED_VALUE"""),"")</f>
        <v/>
      </c>
      <c r="B33" s="17" t="str">
        <f>IFERROR(__xludf.DUMMYFUNCTION("""COMPUTED_VALUE"""),"")</f>
        <v/>
      </c>
      <c r="C33" s="17" t="str">
        <f>IFERROR(__xludf.DUMMYFUNCTION("""COMPUTED_VALUE"""),"")</f>
        <v/>
      </c>
      <c r="D33" s="17" t="str">
        <f>IFERROR(__xludf.DUMMYFUNCTION("""COMPUTED_VALUE"""),"")</f>
        <v/>
      </c>
      <c r="E33" s="17" t="str">
        <f>IFERROR(__xludf.DUMMYFUNCTION("""COMPUTED_VALUE"""),"")</f>
        <v/>
      </c>
      <c r="F33" s="17" t="str">
        <f>IFERROR(__xludf.DUMMYFUNCTION("""COMPUTED_VALUE"""),"")</f>
        <v/>
      </c>
      <c r="G33" s="17" t="str">
        <f>IFERROR(__xludf.DUMMYFUNCTION("""COMPUTED_VALUE"""),"")</f>
        <v/>
      </c>
      <c r="H33" s="17" t="str">
        <f>IFERROR(__xludf.DUMMYFUNCTION("""COMPUTED_VALUE"""),"")</f>
        <v/>
      </c>
      <c r="I33" s="17" t="str">
        <f>IFERROR(__xludf.DUMMYFUNCTION("""COMPUTED_VALUE"""),"")</f>
        <v/>
      </c>
      <c r="J33" s="17" t="str">
        <f>IFERROR(__xludf.DUMMYFUNCTION("""COMPUTED_VALUE"""),"")</f>
        <v/>
      </c>
      <c r="K33" s="17" t="str">
        <f>IFERROR(__xludf.DUMMYFUNCTION("""COMPUTED_VALUE"""),"")</f>
        <v/>
      </c>
      <c r="L33" s="17" t="str">
        <f>IFERROR(__xludf.DUMMYFUNCTION("""COMPUTED_VALUE"""),"")</f>
        <v/>
      </c>
      <c r="M33" s="17" t="str">
        <f>IFERROR(__xludf.DUMMYFUNCTION("""COMPUTED_VALUE"""),"")</f>
        <v/>
      </c>
      <c r="N33" s="17" t="str">
        <f>IFERROR(__xludf.DUMMYFUNCTION("""COMPUTED_VALUE"""),"")</f>
        <v/>
      </c>
      <c r="O33" s="17" t="str">
        <f>IFERROR(__xludf.DUMMYFUNCTION("""COMPUTED_VALUE"""),"")</f>
        <v/>
      </c>
      <c r="P33" s="17" t="str">
        <f>IFERROR(__xludf.DUMMYFUNCTION("""COMPUTED_VALUE"""),"")</f>
        <v/>
      </c>
      <c r="Q33" s="17" t="str">
        <f>IFERROR(__xludf.DUMMYFUNCTION("""COMPUTED_VALUE"""),"")</f>
        <v/>
      </c>
      <c r="R33" s="17" t="str">
        <f>IFERROR(__xludf.DUMMYFUNCTION("""COMPUTED_VALUE"""),"")</f>
        <v/>
      </c>
      <c r="S33" s="17" t="str">
        <f>IFERROR(__xludf.DUMMYFUNCTION("""COMPUTED_VALUE"""),"")</f>
        <v/>
      </c>
      <c r="T33" s="17" t="str">
        <f>IFERROR(__xludf.DUMMYFUNCTION("""COMPUTED_VALUE"""),"")</f>
        <v/>
      </c>
      <c r="U33" s="17" t="str">
        <f>IFERROR(__xludf.DUMMYFUNCTION("""COMPUTED_VALUE"""),"")</f>
        <v/>
      </c>
      <c r="V33" s="17" t="str">
        <f>IFERROR(__xludf.DUMMYFUNCTION("""COMPUTED_VALUE"""),"")</f>
        <v/>
      </c>
      <c r="W33" s="17" t="str">
        <f>IFERROR(__xludf.DUMMYFUNCTION("""COMPUTED_VALUE"""),"")</f>
        <v/>
      </c>
      <c r="X33" s="17" t="str">
        <f>IFERROR(__xludf.DUMMYFUNCTION("""COMPUTED_VALUE"""),"")</f>
        <v/>
      </c>
      <c r="Y33" s="17" t="str">
        <f>IFERROR(__xludf.DUMMYFUNCTION("""COMPUTED_VALUE"""),"")</f>
        <v/>
      </c>
      <c r="Z33" s="17" t="str">
        <f>IFERROR(__xludf.DUMMYFUNCTION("""COMPUTED_VALUE"""),"")</f>
        <v/>
      </c>
      <c r="AA33" s="17" t="str">
        <f>IFERROR(__xludf.DUMMYFUNCTION("""COMPUTED_VALUE"""),"")</f>
        <v/>
      </c>
      <c r="AB33" s="17" t="str">
        <f>IFERROR(__xludf.DUMMYFUNCTION("""COMPUTED_VALUE"""),"")</f>
        <v/>
      </c>
      <c r="AC33" s="17" t="str">
        <f>IFERROR(__xludf.DUMMYFUNCTION("""COMPUTED_VALUE"""),"")</f>
        <v/>
      </c>
    </row>
    <row r="34">
      <c r="A34" s="17" t="str">
        <f>IFERROR(__xludf.DUMMYFUNCTION("""COMPUTED_VALUE"""),"Chapter 192: 119.5 Interlude Labyrinth
Box-tech (Metal Gear Solid) 400:
Cardboard boxes that can produce a smoke cloud? Check. Poison Cigars? Check. A mine-detector the size of a Walkman? Check. Building the sort of gadgets that MGS protagonists rely on i"&amp;"s your thing. With Box-tech you can apply 'A New Age of Warfare' cutting-edge technologies to combat-ready gear, creating things like man-portable Railguns and Stealth Camo.
System")</f>
        <v>Chapter 192: 119.5 Interlude Labyrinth
Box-tech (Metal Gear Solid) 400:
Cardboard boxes that can produce a smoke cloud? Check. Poison Cigars? Check. A mine-detector the size of a Walkman? Check. Building the sort of gadgets that MGS protagonists rely on is your thing. With Box-tech you can apply 'A New Age of Warfare' cutting-edge technologies to combat-ready gear, creating things like man-portable Railguns and Stealth Camo.
System</v>
      </c>
      <c r="B34" s="17" t="str">
        <f>IFERROR(__xludf.DUMMYFUNCTION("""COMPUTED_VALUE"""),"
")</f>
        <v>
</v>
      </c>
      <c r="C34" s="17" t="str">
        <f>IFERROR(__xludf.DUMMYFUNCTION("""COMPUTED_VALUE"""),"
")</f>
        <v>
</v>
      </c>
      <c r="D34" s="17" t="str">
        <f>IFERROR(__xludf.DUMMYFUNCTION("""COMPUTED_VALUE"""),"
")</f>
        <v>
</v>
      </c>
      <c r="E34" s="17" t="str">
        <f>IFERROR(__xludf.DUMMYFUNCTION("""COMPUTED_VALUE"""),"
")</f>
        <v>
</v>
      </c>
      <c r="F34" s="17" t="str">
        <f>IFERROR(__xludf.DUMMYFUNCTION("""COMPUTED_VALUE"""),"
")</f>
        <v>
</v>
      </c>
      <c r="G34" s="17" t="str">
        <f>IFERROR(__xludf.DUMMYFUNCTION("""COMPUTED_VALUE"""),"
")</f>
        <v>
</v>
      </c>
      <c r="H34" s="17" t="str">
        <f>IFERROR(__xludf.DUMMYFUNCTION("""COMPUTED_VALUE"""),"
")</f>
        <v>
</v>
      </c>
      <c r="I34" s="17" t="str">
        <f>IFERROR(__xludf.DUMMYFUNCTION("""COMPUTED_VALUE"""),"
")</f>
        <v>
</v>
      </c>
      <c r="J34" s="17" t="str">
        <f>IFERROR(__xludf.DUMMYFUNCTION("""COMPUTED_VALUE"""),"
")</f>
        <v>
</v>
      </c>
      <c r="K34" s="17" t="str">
        <f>IFERROR(__xludf.DUMMYFUNCTION("""COMPUTED_VALUE"""),"
")</f>
        <v>
</v>
      </c>
      <c r="L34" s="17" t="str">
        <f>IFERROR(__xludf.DUMMYFUNCTION("""COMPUTED_VALUE"""),"
")</f>
        <v>
</v>
      </c>
      <c r="M34" s="17" t="str">
        <f>IFERROR(__xludf.DUMMYFUNCTION("""COMPUTED_VALUE"""),"
")</f>
        <v>
</v>
      </c>
      <c r="N34" s="17" t="str">
        <f>IFERROR(__xludf.DUMMYFUNCTION("""COMPUTED_VALUE"""),"
")</f>
        <v>
</v>
      </c>
      <c r="O34" s="17" t="str">
        <f>IFERROR(__xludf.DUMMYFUNCTION("""COMPUTED_VALUE"""),"
")</f>
        <v>
</v>
      </c>
      <c r="P34" s="17" t="str">
        <f>IFERROR(__xludf.DUMMYFUNCTION("""COMPUTED_VALUE"""),"
")</f>
        <v>
</v>
      </c>
      <c r="Q34" s="17" t="str">
        <f>IFERROR(__xludf.DUMMYFUNCTION("""COMPUTED_VALUE"""),"
")</f>
        <v>
</v>
      </c>
      <c r="R34" s="17" t="str">
        <f>IFERROR(__xludf.DUMMYFUNCTION("""COMPUTED_VALUE"""),"
")</f>
        <v>
</v>
      </c>
      <c r="S34" s="17" t="str">
        <f>IFERROR(__xludf.DUMMYFUNCTION("""COMPUTED_VALUE"""),"
")</f>
        <v>
</v>
      </c>
      <c r="T34" s="17" t="str">
        <f>IFERROR(__xludf.DUMMYFUNCTION("""COMPUTED_VALUE"""),"
")</f>
        <v>
</v>
      </c>
      <c r="U34" s="17" t="str">
        <f>IFERROR(__xludf.DUMMYFUNCTION("""COMPUTED_VALUE"""),"
")</f>
        <v>
</v>
      </c>
      <c r="V34" s="17" t="str">
        <f>IFERROR(__xludf.DUMMYFUNCTION("""COMPUTED_VALUE"""),"
")</f>
        <v>
</v>
      </c>
      <c r="W34" s="17" t="str">
        <f>IFERROR(__xludf.DUMMYFUNCTION("""COMPUTED_VALUE"""),"
")</f>
        <v>
</v>
      </c>
      <c r="X34" s="17" t="str">
        <f>IFERROR(__xludf.DUMMYFUNCTION("""COMPUTED_VALUE"""),"
")</f>
        <v>
</v>
      </c>
      <c r="Y34" s="17" t="str">
        <f>IFERROR(__xludf.DUMMYFUNCTION("""COMPUTED_VALUE"""),"
")</f>
        <v>
</v>
      </c>
      <c r="Z34" s="17" t="str">
        <f>IFERROR(__xludf.DUMMYFUNCTION("""COMPUTED_VALUE"""),"
")</f>
        <v>
</v>
      </c>
      <c r="AA34" s="17" t="str">
        <f>IFERROR(__xludf.DUMMYFUNCTION("""COMPUTED_VALUE"""),"
")</f>
        <v>
</v>
      </c>
      <c r="AB34" s="17" t="str">
        <f>IFERROR(__xludf.DUMMYFUNCTION("""COMPUTED_VALUE"""),"
")</f>
        <v>
</v>
      </c>
      <c r="AC34" s="17" t="str">
        <f>IFERROR(__xludf.DUMMYFUNCTION("""COMPUTED_VALUE"""),"
")</f>
        <v>
</v>
      </c>
    </row>
    <row r="35">
      <c r="A35" s="17" t="str">
        <f>IFERROR(__xludf.DUMMYFUNCTION("""COMPUTED_VALUE"""),"Chapter 123: 88 Perspectives
Monstrous Strength (Percy Jackson) 100:
Whether by oddity of birth, ancestry, or mystical experiments you have gained an inhuman form. On the plus side this boosts your physical abilities in proportion to how obviously unnat"&amp;"ural your current form is. Generally your form will be some terrifying fusion of various aspects of animals and humans, it is your choice on the particulars though. This boost also applies to other monster discounted perks. Generally you can interact with"&amp;" mortals without their notice so long as you stick to actions that can be reasonably explained by the Mist but even then most of those familiar with the true nature of the world will be able to spot various tells.
Personal")</f>
        <v>Chapter 123: 88 Perspectives
Monstrous Strength (Percy Jackson) 100:
Whether by oddity of birth, ancestry, or mystical experiments you have gained an inhuman form. On the plus side this boosts your physical abilities in proportion to how obviously unnatural your current form is. Generally your form will be some terrifying fusion of various aspects of animals and humans, it is your choice on the particulars though. This boost also applies to other monster discounted perks. Generally you can interact with mortals without their notice so long as you stick to actions that can be reasonably explained by the Mist but even then most of those familiar with the true nature of the world will be able to spot various tells.
Personal</v>
      </c>
      <c r="B35" s="17" t="str">
        <f>IFERROR(__xludf.DUMMYFUNCTION("""COMPUTED_VALUE"""),"
")</f>
        <v>
</v>
      </c>
      <c r="C35" s="17" t="str">
        <f>IFERROR(__xludf.DUMMYFUNCTION("""COMPUTED_VALUE"""),"
")</f>
        <v>
</v>
      </c>
      <c r="D35" s="17" t="str">
        <f>IFERROR(__xludf.DUMMYFUNCTION("""COMPUTED_VALUE"""),"
")</f>
        <v>
</v>
      </c>
      <c r="E35" s="17" t="str">
        <f>IFERROR(__xludf.DUMMYFUNCTION("""COMPUTED_VALUE"""),"
")</f>
        <v>
</v>
      </c>
      <c r="F35" s="17" t="str">
        <f>IFERROR(__xludf.DUMMYFUNCTION("""COMPUTED_VALUE"""),"
")</f>
        <v>
</v>
      </c>
      <c r="G35" s="17" t="str">
        <f>IFERROR(__xludf.DUMMYFUNCTION("""COMPUTED_VALUE"""),"
")</f>
        <v>
</v>
      </c>
      <c r="H35" s="17" t="str">
        <f>IFERROR(__xludf.DUMMYFUNCTION("""COMPUTED_VALUE"""),"
")</f>
        <v>
</v>
      </c>
      <c r="I35" s="17" t="str">
        <f>IFERROR(__xludf.DUMMYFUNCTION("""COMPUTED_VALUE"""),"
")</f>
        <v>
</v>
      </c>
      <c r="J35" s="17" t="str">
        <f>IFERROR(__xludf.DUMMYFUNCTION("""COMPUTED_VALUE"""),"
")</f>
        <v>
</v>
      </c>
      <c r="K35" s="17" t="str">
        <f>IFERROR(__xludf.DUMMYFUNCTION("""COMPUTED_VALUE"""),"
")</f>
        <v>
</v>
      </c>
      <c r="L35" s="17" t="str">
        <f>IFERROR(__xludf.DUMMYFUNCTION("""COMPUTED_VALUE"""),"
")</f>
        <v>
</v>
      </c>
      <c r="M35" s="17" t="str">
        <f>IFERROR(__xludf.DUMMYFUNCTION("""COMPUTED_VALUE"""),"
")</f>
        <v>
</v>
      </c>
      <c r="N35" s="17" t="str">
        <f>IFERROR(__xludf.DUMMYFUNCTION("""COMPUTED_VALUE"""),"
")</f>
        <v>
</v>
      </c>
      <c r="O35" s="17" t="str">
        <f>IFERROR(__xludf.DUMMYFUNCTION("""COMPUTED_VALUE"""),"
")</f>
        <v>
</v>
      </c>
      <c r="P35" s="17" t="str">
        <f>IFERROR(__xludf.DUMMYFUNCTION("""COMPUTED_VALUE"""),"
")</f>
        <v>
</v>
      </c>
      <c r="Q35" s="17" t="str">
        <f>IFERROR(__xludf.DUMMYFUNCTION("""COMPUTED_VALUE"""),"
")</f>
        <v>
</v>
      </c>
      <c r="R35" s="17" t="str">
        <f>IFERROR(__xludf.DUMMYFUNCTION("""COMPUTED_VALUE"""),"
")</f>
        <v>
</v>
      </c>
      <c r="S35" s="17" t="str">
        <f>IFERROR(__xludf.DUMMYFUNCTION("""COMPUTED_VALUE"""),"
")</f>
        <v>
</v>
      </c>
      <c r="T35" s="17" t="str">
        <f>IFERROR(__xludf.DUMMYFUNCTION("""COMPUTED_VALUE"""),"
")</f>
        <v>
</v>
      </c>
      <c r="U35" s="17" t="str">
        <f>IFERROR(__xludf.DUMMYFUNCTION("""COMPUTED_VALUE"""),"
")</f>
        <v>
</v>
      </c>
      <c r="V35" s="17" t="str">
        <f>IFERROR(__xludf.DUMMYFUNCTION("""COMPUTED_VALUE"""),"
")</f>
        <v>
</v>
      </c>
      <c r="W35" s="17" t="str">
        <f>IFERROR(__xludf.DUMMYFUNCTION("""COMPUTED_VALUE"""),"
")</f>
        <v>
</v>
      </c>
      <c r="X35" s="17" t="str">
        <f>IFERROR(__xludf.DUMMYFUNCTION("""COMPUTED_VALUE"""),"
")</f>
        <v>
</v>
      </c>
      <c r="Y35" s="17" t="str">
        <f>IFERROR(__xludf.DUMMYFUNCTION("""COMPUTED_VALUE"""),"
")</f>
        <v>
</v>
      </c>
      <c r="Z35" s="17" t="str">
        <f>IFERROR(__xludf.DUMMYFUNCTION("""COMPUTED_VALUE"""),"
")</f>
        <v>
</v>
      </c>
      <c r="AA35" s="17" t="str">
        <f>IFERROR(__xludf.DUMMYFUNCTION("""COMPUTED_VALUE"""),"
")</f>
        <v>
</v>
      </c>
      <c r="AB35" s="17" t="str">
        <f>IFERROR(__xludf.DUMMYFUNCTION("""COMPUTED_VALUE"""),"
")</f>
        <v>
</v>
      </c>
      <c r="AC35" s="17" t="str">
        <f>IFERROR(__xludf.DUMMYFUNCTION("""COMPUTED_VALUE"""),"
")</f>
        <v>
</v>
      </c>
    </row>
    <row r="36">
      <c r="A36" s="17" t="str">
        <f>IFERROR(__xludf.DUMMYFUNCTION("""COMPUTED_VALUE"""),"")</f>
        <v/>
      </c>
      <c r="B36" s="17" t="str">
        <f>IFERROR(__xludf.DUMMYFUNCTION("""COMPUTED_VALUE"""),"")</f>
        <v/>
      </c>
      <c r="C36" s="17" t="str">
        <f>IFERROR(__xludf.DUMMYFUNCTION("""COMPUTED_VALUE"""),"")</f>
        <v/>
      </c>
      <c r="D36" s="17" t="str">
        <f>IFERROR(__xludf.DUMMYFUNCTION("""COMPUTED_VALUE"""),"")</f>
        <v/>
      </c>
      <c r="E36" s="17" t="str">
        <f>IFERROR(__xludf.DUMMYFUNCTION("""COMPUTED_VALUE"""),"")</f>
        <v/>
      </c>
      <c r="F36" s="17" t="str">
        <f>IFERROR(__xludf.DUMMYFUNCTION("""COMPUTED_VALUE"""),"")</f>
        <v/>
      </c>
      <c r="G36" s="17" t="str">
        <f>IFERROR(__xludf.DUMMYFUNCTION("""COMPUTED_VALUE"""),"")</f>
        <v/>
      </c>
      <c r="H36" s="17" t="str">
        <f>IFERROR(__xludf.DUMMYFUNCTION("""COMPUTED_VALUE"""),"")</f>
        <v/>
      </c>
      <c r="I36" s="17" t="str">
        <f>IFERROR(__xludf.DUMMYFUNCTION("""COMPUTED_VALUE"""),"")</f>
        <v/>
      </c>
      <c r="J36" s="17" t="str">
        <f>IFERROR(__xludf.DUMMYFUNCTION("""COMPUTED_VALUE"""),"")</f>
        <v/>
      </c>
      <c r="K36" s="17" t="str">
        <f>IFERROR(__xludf.DUMMYFUNCTION("""COMPUTED_VALUE"""),"")</f>
        <v/>
      </c>
      <c r="L36" s="17" t="str">
        <f>IFERROR(__xludf.DUMMYFUNCTION("""COMPUTED_VALUE"""),"")</f>
        <v/>
      </c>
      <c r="M36" s="17" t="str">
        <f>IFERROR(__xludf.DUMMYFUNCTION("""COMPUTED_VALUE"""),"")</f>
        <v/>
      </c>
      <c r="N36" s="17" t="str">
        <f>IFERROR(__xludf.DUMMYFUNCTION("""COMPUTED_VALUE"""),"")</f>
        <v/>
      </c>
      <c r="O36" s="17" t="str">
        <f>IFERROR(__xludf.DUMMYFUNCTION("""COMPUTED_VALUE"""),"")</f>
        <v/>
      </c>
      <c r="P36" s="17" t="str">
        <f>IFERROR(__xludf.DUMMYFUNCTION("""COMPUTED_VALUE"""),"")</f>
        <v/>
      </c>
      <c r="Q36" s="17" t="str">
        <f>IFERROR(__xludf.DUMMYFUNCTION("""COMPUTED_VALUE"""),"")</f>
        <v/>
      </c>
      <c r="R36" s="17" t="str">
        <f>IFERROR(__xludf.DUMMYFUNCTION("""COMPUTED_VALUE"""),"")</f>
        <v/>
      </c>
      <c r="S36" s="17" t="str">
        <f>IFERROR(__xludf.DUMMYFUNCTION("""COMPUTED_VALUE"""),"")</f>
        <v/>
      </c>
      <c r="T36" s="17" t="str">
        <f>IFERROR(__xludf.DUMMYFUNCTION("""COMPUTED_VALUE"""),"")</f>
        <v/>
      </c>
      <c r="U36" s="17" t="str">
        <f>IFERROR(__xludf.DUMMYFUNCTION("""COMPUTED_VALUE"""),"")</f>
        <v/>
      </c>
      <c r="V36" s="17" t="str">
        <f>IFERROR(__xludf.DUMMYFUNCTION("""COMPUTED_VALUE"""),"")</f>
        <v/>
      </c>
      <c r="W36" s="17" t="str">
        <f>IFERROR(__xludf.DUMMYFUNCTION("""COMPUTED_VALUE"""),"")</f>
        <v/>
      </c>
      <c r="X36" s="17" t="str">
        <f>IFERROR(__xludf.DUMMYFUNCTION("""COMPUTED_VALUE"""),"")</f>
        <v/>
      </c>
      <c r="Y36" s="17" t="str">
        <f>IFERROR(__xludf.DUMMYFUNCTION("""COMPUTED_VALUE"""),"")</f>
        <v/>
      </c>
      <c r="Z36" s="17" t="str">
        <f>IFERROR(__xludf.DUMMYFUNCTION("""COMPUTED_VALUE"""),"")</f>
        <v/>
      </c>
      <c r="AA36" s="17" t="str">
        <f>IFERROR(__xludf.DUMMYFUNCTION("""COMPUTED_VALUE"""),"")</f>
        <v/>
      </c>
      <c r="AB36" s="17" t="str">
        <f>IFERROR(__xludf.DUMMYFUNCTION("""COMPUTED_VALUE"""),"")</f>
        <v/>
      </c>
      <c r="AC36" s="17" t="str">
        <f>IFERROR(__xludf.DUMMYFUNCTION("""COMPUTED_VALUE"""),"")</f>
        <v/>
      </c>
    </row>
    <row r="37">
      <c r="A37" s="17" t="str">
        <f>IFERROR(__xludf.DUMMYFUNCTION("""COMPUTED_VALUE"""),"Chapter 96: 69 Magic Instruction
Bigger on the Inside (RWBY) 100:
A book teaching miniaturization techniques. Starts with Bazookas into bottles, leads into Cars into cupholders. They still weigh the same, unfortunately. A master of this knows how to min"&amp;"iaturize around living things! It's very uncomfortable for them, so they won't stay like that. Mastery of a skill-book, as you stretch beyond what the public can accomplish, will take at least three years of independent study and practice, with the approp"&amp;"riate resources.
System")</f>
        <v>Chapter 96: 69 Magic Instruction
Bigger on the Inside (RWBY) 100:
A book teaching miniaturization techniques. Starts with Bazookas into bottles, leads into Cars into cupholders. They still weigh the same, unfortunately. A master of this knows how to miniaturize around living things! It's very uncomfortable for them, so they won't stay like that. Mastery of a skill-book, as you stretch beyond what the public can accomplish, will take at least three years of independent study and practice, with the appropriate resources.
System</v>
      </c>
      <c r="B37" s="17" t="str">
        <f>IFERROR(__xludf.DUMMYFUNCTION("""COMPUTED_VALUE"""),"
")</f>
        <v>
</v>
      </c>
      <c r="C37" s="17" t="str">
        <f>IFERROR(__xludf.DUMMYFUNCTION("""COMPUTED_VALUE"""),"
")</f>
        <v>
</v>
      </c>
      <c r="D37" s="17" t="str">
        <f>IFERROR(__xludf.DUMMYFUNCTION("""COMPUTED_VALUE"""),"
")</f>
        <v>
</v>
      </c>
      <c r="E37" s="17" t="str">
        <f>IFERROR(__xludf.DUMMYFUNCTION("""COMPUTED_VALUE"""),"
")</f>
        <v>
</v>
      </c>
      <c r="F37" s="17" t="str">
        <f>IFERROR(__xludf.DUMMYFUNCTION("""COMPUTED_VALUE"""),"
")</f>
        <v>
</v>
      </c>
      <c r="G37" s="17" t="str">
        <f>IFERROR(__xludf.DUMMYFUNCTION("""COMPUTED_VALUE"""),"
")</f>
        <v>
</v>
      </c>
      <c r="H37" s="17" t="str">
        <f>IFERROR(__xludf.DUMMYFUNCTION("""COMPUTED_VALUE"""),"
")</f>
        <v>
</v>
      </c>
      <c r="I37" s="17" t="str">
        <f>IFERROR(__xludf.DUMMYFUNCTION("""COMPUTED_VALUE"""),"
")</f>
        <v>
</v>
      </c>
      <c r="J37" s="17" t="str">
        <f>IFERROR(__xludf.DUMMYFUNCTION("""COMPUTED_VALUE"""),"
")</f>
        <v>
</v>
      </c>
      <c r="K37" s="17" t="str">
        <f>IFERROR(__xludf.DUMMYFUNCTION("""COMPUTED_VALUE"""),"
")</f>
        <v>
</v>
      </c>
      <c r="L37" s="17" t="str">
        <f>IFERROR(__xludf.DUMMYFUNCTION("""COMPUTED_VALUE"""),"
")</f>
        <v>
</v>
      </c>
      <c r="M37" s="17" t="str">
        <f>IFERROR(__xludf.DUMMYFUNCTION("""COMPUTED_VALUE"""),"
")</f>
        <v>
</v>
      </c>
      <c r="N37" s="17" t="str">
        <f>IFERROR(__xludf.DUMMYFUNCTION("""COMPUTED_VALUE"""),"
")</f>
        <v>
</v>
      </c>
      <c r="O37" s="17" t="str">
        <f>IFERROR(__xludf.DUMMYFUNCTION("""COMPUTED_VALUE"""),"
")</f>
        <v>
</v>
      </c>
      <c r="P37" s="17" t="str">
        <f>IFERROR(__xludf.DUMMYFUNCTION("""COMPUTED_VALUE"""),"
")</f>
        <v>
</v>
      </c>
      <c r="Q37" s="17" t="str">
        <f>IFERROR(__xludf.DUMMYFUNCTION("""COMPUTED_VALUE"""),"
")</f>
        <v>
</v>
      </c>
      <c r="R37" s="17" t="str">
        <f>IFERROR(__xludf.DUMMYFUNCTION("""COMPUTED_VALUE"""),"
")</f>
        <v>
</v>
      </c>
      <c r="S37" s="17" t="str">
        <f>IFERROR(__xludf.DUMMYFUNCTION("""COMPUTED_VALUE"""),"
")</f>
        <v>
</v>
      </c>
      <c r="T37" s="17" t="str">
        <f>IFERROR(__xludf.DUMMYFUNCTION("""COMPUTED_VALUE"""),"
")</f>
        <v>
</v>
      </c>
      <c r="U37" s="17" t="str">
        <f>IFERROR(__xludf.DUMMYFUNCTION("""COMPUTED_VALUE"""),"
")</f>
        <v>
</v>
      </c>
      <c r="V37" s="17" t="str">
        <f>IFERROR(__xludf.DUMMYFUNCTION("""COMPUTED_VALUE"""),"
")</f>
        <v>
</v>
      </c>
      <c r="W37" s="17" t="str">
        <f>IFERROR(__xludf.DUMMYFUNCTION("""COMPUTED_VALUE"""),"
")</f>
        <v>
</v>
      </c>
      <c r="X37" s="17" t="str">
        <f>IFERROR(__xludf.DUMMYFUNCTION("""COMPUTED_VALUE"""),"
")</f>
        <v>
</v>
      </c>
      <c r="Y37" s="17" t="str">
        <f>IFERROR(__xludf.DUMMYFUNCTION("""COMPUTED_VALUE"""),"
")</f>
        <v>
</v>
      </c>
      <c r="Z37" s="17" t="str">
        <f>IFERROR(__xludf.DUMMYFUNCTION("""COMPUTED_VALUE"""),"
")</f>
        <v>
</v>
      </c>
      <c r="AA37" s="17" t="str">
        <f>IFERROR(__xludf.DUMMYFUNCTION("""COMPUTED_VALUE"""),"
")</f>
        <v>
</v>
      </c>
      <c r="AB37" s="17" t="str">
        <f>IFERROR(__xludf.DUMMYFUNCTION("""COMPUTED_VALUE"""),"
")</f>
        <v>
</v>
      </c>
      <c r="AC37" s="17" t="str">
        <f>IFERROR(__xludf.DUMMYFUNCTION("""COMPUTED_VALUE"""),"
")</f>
        <v>
</v>
      </c>
    </row>
    <row r="38">
      <c r="A38" s="17" t="str">
        <f>IFERROR(__xludf.DUMMYFUNCTION("""COMPUTED_VALUE"""),"")</f>
        <v/>
      </c>
      <c r="B38" s="17" t="str">
        <f>IFERROR(__xludf.DUMMYFUNCTION("""COMPUTED_VALUE"""),"")</f>
        <v/>
      </c>
      <c r="C38" s="17" t="str">
        <f>IFERROR(__xludf.DUMMYFUNCTION("""COMPUTED_VALUE"""),"")</f>
        <v/>
      </c>
      <c r="D38" s="17" t="str">
        <f>IFERROR(__xludf.DUMMYFUNCTION("""COMPUTED_VALUE"""),"")</f>
        <v/>
      </c>
      <c r="E38" s="17" t="str">
        <f>IFERROR(__xludf.DUMMYFUNCTION("""COMPUTED_VALUE"""),"")</f>
        <v/>
      </c>
      <c r="F38" s="17" t="str">
        <f>IFERROR(__xludf.DUMMYFUNCTION("""COMPUTED_VALUE"""),"")</f>
        <v/>
      </c>
      <c r="G38" s="17" t="str">
        <f>IFERROR(__xludf.DUMMYFUNCTION("""COMPUTED_VALUE"""),"")</f>
        <v/>
      </c>
      <c r="H38" s="17" t="str">
        <f>IFERROR(__xludf.DUMMYFUNCTION("""COMPUTED_VALUE"""),"")</f>
        <v/>
      </c>
      <c r="I38" s="17" t="str">
        <f>IFERROR(__xludf.DUMMYFUNCTION("""COMPUTED_VALUE"""),"")</f>
        <v/>
      </c>
      <c r="J38" s="17" t="str">
        <f>IFERROR(__xludf.DUMMYFUNCTION("""COMPUTED_VALUE"""),"")</f>
        <v/>
      </c>
      <c r="K38" s="17" t="str">
        <f>IFERROR(__xludf.DUMMYFUNCTION("""COMPUTED_VALUE"""),"")</f>
        <v/>
      </c>
      <c r="L38" s="17" t="str">
        <f>IFERROR(__xludf.DUMMYFUNCTION("""COMPUTED_VALUE"""),"")</f>
        <v/>
      </c>
      <c r="M38" s="17" t="str">
        <f>IFERROR(__xludf.DUMMYFUNCTION("""COMPUTED_VALUE"""),"")</f>
        <v/>
      </c>
      <c r="N38" s="17" t="str">
        <f>IFERROR(__xludf.DUMMYFUNCTION("""COMPUTED_VALUE"""),"")</f>
        <v/>
      </c>
      <c r="O38" s="17" t="str">
        <f>IFERROR(__xludf.DUMMYFUNCTION("""COMPUTED_VALUE"""),"")</f>
        <v/>
      </c>
      <c r="P38" s="17" t="str">
        <f>IFERROR(__xludf.DUMMYFUNCTION("""COMPUTED_VALUE"""),"")</f>
        <v/>
      </c>
      <c r="Q38" s="17" t="str">
        <f>IFERROR(__xludf.DUMMYFUNCTION("""COMPUTED_VALUE"""),"")</f>
        <v/>
      </c>
      <c r="R38" s="17" t="str">
        <f>IFERROR(__xludf.DUMMYFUNCTION("""COMPUTED_VALUE"""),"")</f>
        <v/>
      </c>
      <c r="S38" s="17" t="str">
        <f>IFERROR(__xludf.DUMMYFUNCTION("""COMPUTED_VALUE"""),"")</f>
        <v/>
      </c>
      <c r="T38" s="17" t="str">
        <f>IFERROR(__xludf.DUMMYFUNCTION("""COMPUTED_VALUE"""),"")</f>
        <v/>
      </c>
      <c r="U38" s="17" t="str">
        <f>IFERROR(__xludf.DUMMYFUNCTION("""COMPUTED_VALUE"""),"")</f>
        <v/>
      </c>
      <c r="V38" s="17" t="str">
        <f>IFERROR(__xludf.DUMMYFUNCTION("""COMPUTED_VALUE"""),"")</f>
        <v/>
      </c>
      <c r="W38" s="17" t="str">
        <f>IFERROR(__xludf.DUMMYFUNCTION("""COMPUTED_VALUE"""),"")</f>
        <v/>
      </c>
      <c r="X38" s="17" t="str">
        <f>IFERROR(__xludf.DUMMYFUNCTION("""COMPUTED_VALUE"""),"")</f>
        <v/>
      </c>
      <c r="Y38" s="17" t="str">
        <f>IFERROR(__xludf.DUMMYFUNCTION("""COMPUTED_VALUE"""),"")</f>
        <v/>
      </c>
      <c r="Z38" s="17" t="str">
        <f>IFERROR(__xludf.DUMMYFUNCTION("""COMPUTED_VALUE"""),"")</f>
        <v/>
      </c>
      <c r="AA38" s="17" t="str">
        <f>IFERROR(__xludf.DUMMYFUNCTION("""COMPUTED_VALUE"""),"")</f>
        <v/>
      </c>
      <c r="AB38" s="17" t="str">
        <f>IFERROR(__xludf.DUMMYFUNCTION("""COMPUTED_VALUE"""),"")</f>
        <v/>
      </c>
      <c r="AC38" s="17" t="str">
        <f>IFERROR(__xludf.DUMMYFUNCTION("""COMPUTED_VALUE"""),"")</f>
        <v/>
      </c>
    </row>
    <row r="39">
      <c r="A39" s="17" t="str">
        <f>IFERROR(__xludf.DUMMYFUNCTION("""COMPUTED_VALUE"""),"")</f>
        <v/>
      </c>
      <c r="B39" s="17" t="str">
        <f>IFERROR(__xludf.DUMMYFUNCTION("""COMPUTED_VALUE"""),"")</f>
        <v/>
      </c>
      <c r="C39" s="17" t="str">
        <f>IFERROR(__xludf.DUMMYFUNCTION("""COMPUTED_VALUE"""),"")</f>
        <v/>
      </c>
      <c r="D39" s="17" t="str">
        <f>IFERROR(__xludf.DUMMYFUNCTION("""COMPUTED_VALUE"""),"")</f>
        <v/>
      </c>
      <c r="E39" s="17" t="str">
        <f>IFERROR(__xludf.DUMMYFUNCTION("""COMPUTED_VALUE"""),"")</f>
        <v/>
      </c>
      <c r="F39" s="17" t="str">
        <f>IFERROR(__xludf.DUMMYFUNCTION("""COMPUTED_VALUE"""),"")</f>
        <v/>
      </c>
      <c r="G39" s="17" t="str">
        <f>IFERROR(__xludf.DUMMYFUNCTION("""COMPUTED_VALUE"""),"")</f>
        <v/>
      </c>
      <c r="H39" s="17" t="str">
        <f>IFERROR(__xludf.DUMMYFUNCTION("""COMPUTED_VALUE"""),"")</f>
        <v/>
      </c>
      <c r="I39" s="17" t="str">
        <f>IFERROR(__xludf.DUMMYFUNCTION("""COMPUTED_VALUE"""),"")</f>
        <v/>
      </c>
      <c r="J39" s="17" t="str">
        <f>IFERROR(__xludf.DUMMYFUNCTION("""COMPUTED_VALUE"""),"")</f>
        <v/>
      </c>
      <c r="K39" s="17" t="str">
        <f>IFERROR(__xludf.DUMMYFUNCTION("""COMPUTED_VALUE"""),"")</f>
        <v/>
      </c>
      <c r="L39" s="17" t="str">
        <f>IFERROR(__xludf.DUMMYFUNCTION("""COMPUTED_VALUE"""),"")</f>
        <v/>
      </c>
      <c r="M39" s="17" t="str">
        <f>IFERROR(__xludf.DUMMYFUNCTION("""COMPUTED_VALUE"""),"")</f>
        <v/>
      </c>
      <c r="N39" s="17" t="str">
        <f>IFERROR(__xludf.DUMMYFUNCTION("""COMPUTED_VALUE"""),"")</f>
        <v/>
      </c>
      <c r="O39" s="17" t="str">
        <f>IFERROR(__xludf.DUMMYFUNCTION("""COMPUTED_VALUE"""),"")</f>
        <v/>
      </c>
      <c r="P39" s="17" t="str">
        <f>IFERROR(__xludf.DUMMYFUNCTION("""COMPUTED_VALUE"""),"")</f>
        <v/>
      </c>
      <c r="Q39" s="17" t="str">
        <f>IFERROR(__xludf.DUMMYFUNCTION("""COMPUTED_VALUE"""),"")</f>
        <v/>
      </c>
      <c r="R39" s="17" t="str">
        <f>IFERROR(__xludf.DUMMYFUNCTION("""COMPUTED_VALUE"""),"")</f>
        <v/>
      </c>
      <c r="S39" s="17" t="str">
        <f>IFERROR(__xludf.DUMMYFUNCTION("""COMPUTED_VALUE"""),"")</f>
        <v/>
      </c>
      <c r="T39" s="17" t="str">
        <f>IFERROR(__xludf.DUMMYFUNCTION("""COMPUTED_VALUE"""),"")</f>
        <v/>
      </c>
      <c r="U39" s="17" t="str">
        <f>IFERROR(__xludf.DUMMYFUNCTION("""COMPUTED_VALUE"""),"")</f>
        <v/>
      </c>
      <c r="V39" s="17" t="str">
        <f>IFERROR(__xludf.DUMMYFUNCTION("""COMPUTED_VALUE"""),"")</f>
        <v/>
      </c>
      <c r="W39" s="17" t="str">
        <f>IFERROR(__xludf.DUMMYFUNCTION("""COMPUTED_VALUE"""),"")</f>
        <v/>
      </c>
      <c r="X39" s="17" t="str">
        <f>IFERROR(__xludf.DUMMYFUNCTION("""COMPUTED_VALUE"""),"")</f>
        <v/>
      </c>
      <c r="Y39" s="17" t="str">
        <f>IFERROR(__xludf.DUMMYFUNCTION("""COMPUTED_VALUE"""),"")</f>
        <v/>
      </c>
      <c r="Z39" s="17" t="str">
        <f>IFERROR(__xludf.DUMMYFUNCTION("""COMPUTED_VALUE"""),"")</f>
        <v/>
      </c>
      <c r="AA39" s="17" t="str">
        <f>IFERROR(__xludf.DUMMYFUNCTION("""COMPUTED_VALUE"""),"")</f>
        <v/>
      </c>
      <c r="AB39" s="17" t="str">
        <f>IFERROR(__xludf.DUMMYFUNCTION("""COMPUTED_VALUE"""),"")</f>
        <v/>
      </c>
      <c r="AC39" s="17" t="str">
        <f>IFERROR(__xludf.DUMMYFUNCTION("""COMPUTED_VALUE"""),"")</f>
        <v/>
      </c>
    </row>
    <row r="40">
      <c r="A40" s="17" t="str">
        <f>IFERROR(__xludf.DUMMYFUNCTION("""COMPUTED_VALUE"""),"")</f>
        <v/>
      </c>
      <c r="B40" s="17" t="str">
        <f>IFERROR(__xludf.DUMMYFUNCTION("""COMPUTED_VALUE"""),"")</f>
        <v/>
      </c>
      <c r="C40" s="17" t="str">
        <f>IFERROR(__xludf.DUMMYFUNCTION("""COMPUTED_VALUE"""),"")</f>
        <v/>
      </c>
      <c r="D40" s="17" t="str">
        <f>IFERROR(__xludf.DUMMYFUNCTION("""COMPUTED_VALUE"""),"")</f>
        <v/>
      </c>
      <c r="E40" s="17" t="str">
        <f>IFERROR(__xludf.DUMMYFUNCTION("""COMPUTED_VALUE"""),"")</f>
        <v/>
      </c>
      <c r="F40" s="17" t="str">
        <f>IFERROR(__xludf.DUMMYFUNCTION("""COMPUTED_VALUE"""),"")</f>
        <v/>
      </c>
      <c r="G40" s="17" t="str">
        <f>IFERROR(__xludf.DUMMYFUNCTION("""COMPUTED_VALUE"""),"")</f>
        <v/>
      </c>
      <c r="H40" s="17" t="str">
        <f>IFERROR(__xludf.DUMMYFUNCTION("""COMPUTED_VALUE"""),"")</f>
        <v/>
      </c>
      <c r="I40" s="17" t="str">
        <f>IFERROR(__xludf.DUMMYFUNCTION("""COMPUTED_VALUE"""),"")</f>
        <v/>
      </c>
      <c r="J40" s="17" t="str">
        <f>IFERROR(__xludf.DUMMYFUNCTION("""COMPUTED_VALUE"""),"")</f>
        <v/>
      </c>
      <c r="K40" s="17" t="str">
        <f>IFERROR(__xludf.DUMMYFUNCTION("""COMPUTED_VALUE"""),"")</f>
        <v/>
      </c>
      <c r="L40" s="17" t="str">
        <f>IFERROR(__xludf.DUMMYFUNCTION("""COMPUTED_VALUE"""),"")</f>
        <v/>
      </c>
      <c r="M40" s="17" t="str">
        <f>IFERROR(__xludf.DUMMYFUNCTION("""COMPUTED_VALUE"""),"")</f>
        <v/>
      </c>
      <c r="N40" s="17" t="str">
        <f>IFERROR(__xludf.DUMMYFUNCTION("""COMPUTED_VALUE"""),"")</f>
        <v/>
      </c>
      <c r="O40" s="17" t="str">
        <f>IFERROR(__xludf.DUMMYFUNCTION("""COMPUTED_VALUE"""),"")</f>
        <v/>
      </c>
      <c r="P40" s="17" t="str">
        <f>IFERROR(__xludf.DUMMYFUNCTION("""COMPUTED_VALUE"""),"")</f>
        <v/>
      </c>
      <c r="Q40" s="17" t="str">
        <f>IFERROR(__xludf.DUMMYFUNCTION("""COMPUTED_VALUE"""),"")</f>
        <v/>
      </c>
      <c r="R40" s="17" t="str">
        <f>IFERROR(__xludf.DUMMYFUNCTION("""COMPUTED_VALUE"""),"")</f>
        <v/>
      </c>
      <c r="S40" s="17" t="str">
        <f>IFERROR(__xludf.DUMMYFUNCTION("""COMPUTED_VALUE"""),"")</f>
        <v/>
      </c>
      <c r="T40" s="17" t="str">
        <f>IFERROR(__xludf.DUMMYFUNCTION("""COMPUTED_VALUE"""),"")</f>
        <v/>
      </c>
      <c r="U40" s="17" t="str">
        <f>IFERROR(__xludf.DUMMYFUNCTION("""COMPUTED_VALUE"""),"")</f>
        <v/>
      </c>
      <c r="V40" s="17" t="str">
        <f>IFERROR(__xludf.DUMMYFUNCTION("""COMPUTED_VALUE"""),"")</f>
        <v/>
      </c>
      <c r="W40" s="17" t="str">
        <f>IFERROR(__xludf.DUMMYFUNCTION("""COMPUTED_VALUE"""),"")</f>
        <v/>
      </c>
      <c r="X40" s="17" t="str">
        <f>IFERROR(__xludf.DUMMYFUNCTION("""COMPUTED_VALUE"""),"")</f>
        <v/>
      </c>
      <c r="Y40" s="17" t="str">
        <f>IFERROR(__xludf.DUMMYFUNCTION("""COMPUTED_VALUE"""),"")</f>
        <v/>
      </c>
      <c r="Z40" s="17" t="str">
        <f>IFERROR(__xludf.DUMMYFUNCTION("""COMPUTED_VALUE"""),"")</f>
        <v/>
      </c>
      <c r="AA40" s="17" t="str">
        <f>IFERROR(__xludf.DUMMYFUNCTION("""COMPUTED_VALUE"""),"")</f>
        <v/>
      </c>
      <c r="AB40" s="17" t="str">
        <f>IFERROR(__xludf.DUMMYFUNCTION("""COMPUTED_VALUE"""),"")</f>
        <v/>
      </c>
      <c r="AC40" s="17" t="str">
        <f>IFERROR(__xludf.DUMMYFUNCTION("""COMPUTED_VALUE"""),"")</f>
        <v/>
      </c>
    </row>
    <row r="41">
      <c r="A41" s="17" t="str">
        <f>IFERROR(__xludf.DUMMYFUNCTION("""COMPUTED_VALUE"""),"")</f>
        <v/>
      </c>
      <c r="B41" s="17" t="str">
        <f>IFERROR(__xludf.DUMMYFUNCTION("""COMPUTED_VALUE"""),"")</f>
        <v/>
      </c>
      <c r="C41" s="17" t="str">
        <f>IFERROR(__xludf.DUMMYFUNCTION("""COMPUTED_VALUE"""),"")</f>
        <v/>
      </c>
      <c r="D41" s="17" t="str">
        <f>IFERROR(__xludf.DUMMYFUNCTION("""COMPUTED_VALUE"""),"")</f>
        <v/>
      </c>
      <c r="E41" s="17" t="str">
        <f>IFERROR(__xludf.DUMMYFUNCTION("""COMPUTED_VALUE"""),"")</f>
        <v/>
      </c>
      <c r="F41" s="17" t="str">
        <f>IFERROR(__xludf.DUMMYFUNCTION("""COMPUTED_VALUE"""),"")</f>
        <v/>
      </c>
      <c r="G41" s="17" t="str">
        <f>IFERROR(__xludf.DUMMYFUNCTION("""COMPUTED_VALUE"""),"")</f>
        <v/>
      </c>
      <c r="H41" s="17" t="str">
        <f>IFERROR(__xludf.DUMMYFUNCTION("""COMPUTED_VALUE"""),"")</f>
        <v/>
      </c>
      <c r="I41" s="17" t="str">
        <f>IFERROR(__xludf.DUMMYFUNCTION("""COMPUTED_VALUE"""),"")</f>
        <v/>
      </c>
      <c r="J41" s="17" t="str">
        <f>IFERROR(__xludf.DUMMYFUNCTION("""COMPUTED_VALUE"""),"")</f>
        <v/>
      </c>
      <c r="K41" s="17" t="str">
        <f>IFERROR(__xludf.DUMMYFUNCTION("""COMPUTED_VALUE"""),"")</f>
        <v/>
      </c>
      <c r="L41" s="17" t="str">
        <f>IFERROR(__xludf.DUMMYFUNCTION("""COMPUTED_VALUE"""),"")</f>
        <v/>
      </c>
      <c r="M41" s="17" t="str">
        <f>IFERROR(__xludf.DUMMYFUNCTION("""COMPUTED_VALUE"""),"")</f>
        <v/>
      </c>
      <c r="N41" s="17" t="str">
        <f>IFERROR(__xludf.DUMMYFUNCTION("""COMPUTED_VALUE"""),"")</f>
        <v/>
      </c>
      <c r="O41" s="17" t="str">
        <f>IFERROR(__xludf.DUMMYFUNCTION("""COMPUTED_VALUE"""),"")</f>
        <v/>
      </c>
      <c r="P41" s="17" t="str">
        <f>IFERROR(__xludf.DUMMYFUNCTION("""COMPUTED_VALUE"""),"")</f>
        <v/>
      </c>
      <c r="Q41" s="17" t="str">
        <f>IFERROR(__xludf.DUMMYFUNCTION("""COMPUTED_VALUE"""),"")</f>
        <v/>
      </c>
      <c r="R41" s="17" t="str">
        <f>IFERROR(__xludf.DUMMYFUNCTION("""COMPUTED_VALUE"""),"")</f>
        <v/>
      </c>
      <c r="S41" s="17" t="str">
        <f>IFERROR(__xludf.DUMMYFUNCTION("""COMPUTED_VALUE"""),"")</f>
        <v/>
      </c>
      <c r="T41" s="17" t="str">
        <f>IFERROR(__xludf.DUMMYFUNCTION("""COMPUTED_VALUE"""),"")</f>
        <v/>
      </c>
      <c r="U41" s="17" t="str">
        <f>IFERROR(__xludf.DUMMYFUNCTION("""COMPUTED_VALUE"""),"")</f>
        <v/>
      </c>
      <c r="V41" s="17" t="str">
        <f>IFERROR(__xludf.DUMMYFUNCTION("""COMPUTED_VALUE"""),"")</f>
        <v/>
      </c>
      <c r="W41" s="17" t="str">
        <f>IFERROR(__xludf.DUMMYFUNCTION("""COMPUTED_VALUE"""),"")</f>
        <v/>
      </c>
      <c r="X41" s="17" t="str">
        <f>IFERROR(__xludf.DUMMYFUNCTION("""COMPUTED_VALUE"""),"")</f>
        <v/>
      </c>
      <c r="Y41" s="17" t="str">
        <f>IFERROR(__xludf.DUMMYFUNCTION("""COMPUTED_VALUE"""),"")</f>
        <v/>
      </c>
      <c r="Z41" s="17" t="str">
        <f>IFERROR(__xludf.DUMMYFUNCTION("""COMPUTED_VALUE"""),"")</f>
        <v/>
      </c>
      <c r="AA41" s="17" t="str">
        <f>IFERROR(__xludf.DUMMYFUNCTION("""COMPUTED_VALUE"""),"")</f>
        <v/>
      </c>
      <c r="AB41" s="17" t="str">
        <f>IFERROR(__xludf.DUMMYFUNCTION("""COMPUTED_VALUE"""),"")</f>
        <v/>
      </c>
      <c r="AC41" s="17" t="str">
        <f>IFERROR(__xludf.DUMMYFUNCTION("""COMPUTED_VALUE"""),"")</f>
        <v/>
      </c>
    </row>
    <row r="42">
      <c r="A42" s="17" t="str">
        <f>IFERROR(__xludf.DUMMYFUNCTION("""COMPUTED_VALUE"""),"")</f>
        <v/>
      </c>
      <c r="B42" s="17" t="str">
        <f>IFERROR(__xludf.DUMMYFUNCTION("""COMPUTED_VALUE"""),"")</f>
        <v/>
      </c>
      <c r="C42" s="17" t="str">
        <f>IFERROR(__xludf.DUMMYFUNCTION("""COMPUTED_VALUE"""),"")</f>
        <v/>
      </c>
      <c r="D42" s="17" t="str">
        <f>IFERROR(__xludf.DUMMYFUNCTION("""COMPUTED_VALUE"""),"")</f>
        <v/>
      </c>
      <c r="E42" s="17" t="str">
        <f>IFERROR(__xludf.DUMMYFUNCTION("""COMPUTED_VALUE"""),"")</f>
        <v/>
      </c>
      <c r="F42" s="17" t="str">
        <f>IFERROR(__xludf.DUMMYFUNCTION("""COMPUTED_VALUE"""),"")</f>
        <v/>
      </c>
      <c r="G42" s="17" t="str">
        <f>IFERROR(__xludf.DUMMYFUNCTION("""COMPUTED_VALUE"""),"")</f>
        <v/>
      </c>
      <c r="H42" s="17" t="str">
        <f>IFERROR(__xludf.DUMMYFUNCTION("""COMPUTED_VALUE"""),"")</f>
        <v/>
      </c>
      <c r="I42" s="17" t="str">
        <f>IFERROR(__xludf.DUMMYFUNCTION("""COMPUTED_VALUE"""),"")</f>
        <v/>
      </c>
      <c r="J42" s="17" t="str">
        <f>IFERROR(__xludf.DUMMYFUNCTION("""COMPUTED_VALUE"""),"")</f>
        <v/>
      </c>
      <c r="K42" s="17" t="str">
        <f>IFERROR(__xludf.DUMMYFUNCTION("""COMPUTED_VALUE"""),"")</f>
        <v/>
      </c>
      <c r="L42" s="17" t="str">
        <f>IFERROR(__xludf.DUMMYFUNCTION("""COMPUTED_VALUE"""),"")</f>
        <v/>
      </c>
      <c r="M42" s="17" t="str">
        <f>IFERROR(__xludf.DUMMYFUNCTION("""COMPUTED_VALUE"""),"")</f>
        <v/>
      </c>
      <c r="N42" s="17" t="str">
        <f>IFERROR(__xludf.DUMMYFUNCTION("""COMPUTED_VALUE"""),"")</f>
        <v/>
      </c>
      <c r="O42" s="17" t="str">
        <f>IFERROR(__xludf.DUMMYFUNCTION("""COMPUTED_VALUE"""),"")</f>
        <v/>
      </c>
      <c r="P42" s="17" t="str">
        <f>IFERROR(__xludf.DUMMYFUNCTION("""COMPUTED_VALUE"""),"")</f>
        <v/>
      </c>
      <c r="Q42" s="17" t="str">
        <f>IFERROR(__xludf.DUMMYFUNCTION("""COMPUTED_VALUE"""),"")</f>
        <v/>
      </c>
      <c r="R42" s="17" t="str">
        <f>IFERROR(__xludf.DUMMYFUNCTION("""COMPUTED_VALUE"""),"")</f>
        <v/>
      </c>
      <c r="S42" s="17" t="str">
        <f>IFERROR(__xludf.DUMMYFUNCTION("""COMPUTED_VALUE"""),"")</f>
        <v/>
      </c>
      <c r="T42" s="17" t="str">
        <f>IFERROR(__xludf.DUMMYFUNCTION("""COMPUTED_VALUE"""),"")</f>
        <v/>
      </c>
      <c r="U42" s="17" t="str">
        <f>IFERROR(__xludf.DUMMYFUNCTION("""COMPUTED_VALUE"""),"")</f>
        <v/>
      </c>
      <c r="V42" s="17" t="str">
        <f>IFERROR(__xludf.DUMMYFUNCTION("""COMPUTED_VALUE"""),"")</f>
        <v/>
      </c>
      <c r="W42" s="17" t="str">
        <f>IFERROR(__xludf.DUMMYFUNCTION("""COMPUTED_VALUE"""),"")</f>
        <v/>
      </c>
      <c r="X42" s="17" t="str">
        <f>IFERROR(__xludf.DUMMYFUNCTION("""COMPUTED_VALUE"""),"")</f>
        <v/>
      </c>
      <c r="Y42" s="17" t="str">
        <f>IFERROR(__xludf.DUMMYFUNCTION("""COMPUTED_VALUE"""),"")</f>
        <v/>
      </c>
      <c r="Z42" s="17" t="str">
        <f>IFERROR(__xludf.DUMMYFUNCTION("""COMPUTED_VALUE"""),"")</f>
        <v/>
      </c>
      <c r="AA42" s="17" t="str">
        <f>IFERROR(__xludf.DUMMYFUNCTION("""COMPUTED_VALUE"""),"")</f>
        <v/>
      </c>
      <c r="AB42" s="17" t="str">
        <f>IFERROR(__xludf.DUMMYFUNCTION("""COMPUTED_VALUE"""),"")</f>
        <v/>
      </c>
      <c r="AC42" s="17" t="str">
        <f>IFERROR(__xludf.DUMMYFUNCTION("""COMPUTED_VALUE"""),"")</f>
        <v/>
      </c>
    </row>
    <row r="43">
      <c r="A43" s="17" t="str">
        <f>IFERROR(__xludf.DUMMYFUNCTION("""COMPUTED_VALUE"""),"")</f>
        <v/>
      </c>
      <c r="B43" s="17" t="str">
        <f>IFERROR(__xludf.DUMMYFUNCTION("""COMPUTED_VALUE"""),"")</f>
        <v/>
      </c>
      <c r="C43" s="17" t="str">
        <f>IFERROR(__xludf.DUMMYFUNCTION("""COMPUTED_VALUE"""),"")</f>
        <v/>
      </c>
      <c r="D43" s="17" t="str">
        <f>IFERROR(__xludf.DUMMYFUNCTION("""COMPUTED_VALUE"""),"")</f>
        <v/>
      </c>
      <c r="E43" s="17" t="str">
        <f>IFERROR(__xludf.DUMMYFUNCTION("""COMPUTED_VALUE"""),"")</f>
        <v/>
      </c>
      <c r="F43" s="17" t="str">
        <f>IFERROR(__xludf.DUMMYFUNCTION("""COMPUTED_VALUE"""),"")</f>
        <v/>
      </c>
      <c r="G43" s="17" t="str">
        <f>IFERROR(__xludf.DUMMYFUNCTION("""COMPUTED_VALUE"""),"")</f>
        <v/>
      </c>
      <c r="H43" s="17" t="str">
        <f>IFERROR(__xludf.DUMMYFUNCTION("""COMPUTED_VALUE"""),"")</f>
        <v/>
      </c>
      <c r="I43" s="17" t="str">
        <f>IFERROR(__xludf.DUMMYFUNCTION("""COMPUTED_VALUE"""),"")</f>
        <v/>
      </c>
      <c r="J43" s="17" t="str">
        <f>IFERROR(__xludf.DUMMYFUNCTION("""COMPUTED_VALUE"""),"")</f>
        <v/>
      </c>
      <c r="K43" s="17" t="str">
        <f>IFERROR(__xludf.DUMMYFUNCTION("""COMPUTED_VALUE"""),"")</f>
        <v/>
      </c>
      <c r="L43" s="17" t="str">
        <f>IFERROR(__xludf.DUMMYFUNCTION("""COMPUTED_VALUE"""),"")</f>
        <v/>
      </c>
      <c r="M43" s="17" t="str">
        <f>IFERROR(__xludf.DUMMYFUNCTION("""COMPUTED_VALUE"""),"")</f>
        <v/>
      </c>
      <c r="N43" s="17" t="str">
        <f>IFERROR(__xludf.DUMMYFUNCTION("""COMPUTED_VALUE"""),"")</f>
        <v/>
      </c>
      <c r="O43" s="17" t="str">
        <f>IFERROR(__xludf.DUMMYFUNCTION("""COMPUTED_VALUE"""),"")</f>
        <v/>
      </c>
      <c r="P43" s="17" t="str">
        <f>IFERROR(__xludf.DUMMYFUNCTION("""COMPUTED_VALUE"""),"")</f>
        <v/>
      </c>
      <c r="Q43" s="17" t="str">
        <f>IFERROR(__xludf.DUMMYFUNCTION("""COMPUTED_VALUE"""),"")</f>
        <v/>
      </c>
      <c r="R43" s="17" t="str">
        <f>IFERROR(__xludf.DUMMYFUNCTION("""COMPUTED_VALUE"""),"")</f>
        <v/>
      </c>
      <c r="S43" s="17" t="str">
        <f>IFERROR(__xludf.DUMMYFUNCTION("""COMPUTED_VALUE"""),"")</f>
        <v/>
      </c>
      <c r="T43" s="17" t="str">
        <f>IFERROR(__xludf.DUMMYFUNCTION("""COMPUTED_VALUE"""),"")</f>
        <v/>
      </c>
      <c r="U43" s="17" t="str">
        <f>IFERROR(__xludf.DUMMYFUNCTION("""COMPUTED_VALUE"""),"")</f>
        <v/>
      </c>
      <c r="V43" s="17" t="str">
        <f>IFERROR(__xludf.DUMMYFUNCTION("""COMPUTED_VALUE"""),"")</f>
        <v/>
      </c>
      <c r="W43" s="17" t="str">
        <f>IFERROR(__xludf.DUMMYFUNCTION("""COMPUTED_VALUE"""),"")</f>
        <v/>
      </c>
      <c r="X43" s="17" t="str">
        <f>IFERROR(__xludf.DUMMYFUNCTION("""COMPUTED_VALUE"""),"")</f>
        <v/>
      </c>
      <c r="Y43" s="17" t="str">
        <f>IFERROR(__xludf.DUMMYFUNCTION("""COMPUTED_VALUE"""),"")</f>
        <v/>
      </c>
      <c r="Z43" s="17" t="str">
        <f>IFERROR(__xludf.DUMMYFUNCTION("""COMPUTED_VALUE"""),"")</f>
        <v/>
      </c>
      <c r="AA43" s="17" t="str">
        <f>IFERROR(__xludf.DUMMYFUNCTION("""COMPUTED_VALUE"""),"")</f>
        <v/>
      </c>
      <c r="AB43" s="17" t="str">
        <f>IFERROR(__xludf.DUMMYFUNCTION("""COMPUTED_VALUE"""),"")</f>
        <v/>
      </c>
      <c r="AC43" s="17" t="str">
        <f>IFERROR(__xludf.DUMMYFUNCTION("""COMPUTED_VALUE"""),"")</f>
        <v/>
      </c>
    </row>
    <row r="44">
      <c r="A44" s="17" t="str">
        <f>IFERROR(__xludf.DUMMYFUNCTION("""COMPUTED_VALUE"""),"")</f>
        <v/>
      </c>
      <c r="B44" s="17" t="str">
        <f>IFERROR(__xludf.DUMMYFUNCTION("""COMPUTED_VALUE"""),"")</f>
        <v/>
      </c>
      <c r="C44" s="17" t="str">
        <f>IFERROR(__xludf.DUMMYFUNCTION("""COMPUTED_VALUE"""),"")</f>
        <v/>
      </c>
      <c r="D44" s="17" t="str">
        <f>IFERROR(__xludf.DUMMYFUNCTION("""COMPUTED_VALUE"""),"")</f>
        <v/>
      </c>
      <c r="E44" s="17" t="str">
        <f>IFERROR(__xludf.DUMMYFUNCTION("""COMPUTED_VALUE"""),"")</f>
        <v/>
      </c>
      <c r="F44" s="17" t="str">
        <f>IFERROR(__xludf.DUMMYFUNCTION("""COMPUTED_VALUE"""),"")</f>
        <v/>
      </c>
      <c r="G44" s="17" t="str">
        <f>IFERROR(__xludf.DUMMYFUNCTION("""COMPUTED_VALUE"""),"")</f>
        <v/>
      </c>
      <c r="H44" s="17" t="str">
        <f>IFERROR(__xludf.DUMMYFUNCTION("""COMPUTED_VALUE"""),"")</f>
        <v/>
      </c>
      <c r="I44" s="17" t="str">
        <f>IFERROR(__xludf.DUMMYFUNCTION("""COMPUTED_VALUE"""),"")</f>
        <v/>
      </c>
      <c r="J44" s="17" t="str">
        <f>IFERROR(__xludf.DUMMYFUNCTION("""COMPUTED_VALUE"""),"")</f>
        <v/>
      </c>
      <c r="K44" s="17" t="str">
        <f>IFERROR(__xludf.DUMMYFUNCTION("""COMPUTED_VALUE"""),"")</f>
        <v/>
      </c>
      <c r="L44" s="17" t="str">
        <f>IFERROR(__xludf.DUMMYFUNCTION("""COMPUTED_VALUE"""),"")</f>
        <v/>
      </c>
      <c r="M44" s="17" t="str">
        <f>IFERROR(__xludf.DUMMYFUNCTION("""COMPUTED_VALUE"""),"")</f>
        <v/>
      </c>
      <c r="N44" s="17" t="str">
        <f>IFERROR(__xludf.DUMMYFUNCTION("""COMPUTED_VALUE"""),"")</f>
        <v/>
      </c>
      <c r="O44" s="17" t="str">
        <f>IFERROR(__xludf.DUMMYFUNCTION("""COMPUTED_VALUE"""),"")</f>
        <v/>
      </c>
      <c r="P44" s="17" t="str">
        <f>IFERROR(__xludf.DUMMYFUNCTION("""COMPUTED_VALUE"""),"")</f>
        <v/>
      </c>
      <c r="Q44" s="17" t="str">
        <f>IFERROR(__xludf.DUMMYFUNCTION("""COMPUTED_VALUE"""),"")</f>
        <v/>
      </c>
      <c r="R44" s="17" t="str">
        <f>IFERROR(__xludf.DUMMYFUNCTION("""COMPUTED_VALUE"""),"")</f>
        <v/>
      </c>
      <c r="S44" s="17" t="str">
        <f>IFERROR(__xludf.DUMMYFUNCTION("""COMPUTED_VALUE"""),"")</f>
        <v/>
      </c>
      <c r="T44" s="17" t="str">
        <f>IFERROR(__xludf.DUMMYFUNCTION("""COMPUTED_VALUE"""),"")</f>
        <v/>
      </c>
      <c r="U44" s="17" t="str">
        <f>IFERROR(__xludf.DUMMYFUNCTION("""COMPUTED_VALUE"""),"")</f>
        <v/>
      </c>
      <c r="V44" s="17" t="str">
        <f>IFERROR(__xludf.DUMMYFUNCTION("""COMPUTED_VALUE"""),"")</f>
        <v/>
      </c>
      <c r="W44" s="17" t="str">
        <f>IFERROR(__xludf.DUMMYFUNCTION("""COMPUTED_VALUE"""),"")</f>
        <v/>
      </c>
      <c r="X44" s="17" t="str">
        <f>IFERROR(__xludf.DUMMYFUNCTION("""COMPUTED_VALUE"""),"")</f>
        <v/>
      </c>
      <c r="Y44" s="17" t="str">
        <f>IFERROR(__xludf.DUMMYFUNCTION("""COMPUTED_VALUE"""),"")</f>
        <v/>
      </c>
      <c r="Z44" s="17" t="str">
        <f>IFERROR(__xludf.DUMMYFUNCTION("""COMPUTED_VALUE"""),"")</f>
        <v/>
      </c>
      <c r="AA44" s="17" t="str">
        <f>IFERROR(__xludf.DUMMYFUNCTION("""COMPUTED_VALUE"""),"")</f>
        <v/>
      </c>
      <c r="AB44" s="17" t="str">
        <f>IFERROR(__xludf.DUMMYFUNCTION("""COMPUTED_VALUE"""),"")</f>
        <v/>
      </c>
      <c r="AC44" s="17" t="str">
        <f>IFERROR(__xludf.DUMMYFUNCTION("""COMPUTED_VALUE"""),"")</f>
        <v/>
      </c>
    </row>
    <row r="45">
      <c r="A45" s="17" t="str">
        <f>IFERROR(__xludf.DUMMYFUNCTION("""COMPUTED_VALUE"""),"")</f>
        <v/>
      </c>
      <c r="B45" s="17" t="str">
        <f>IFERROR(__xludf.DUMMYFUNCTION("""COMPUTED_VALUE"""),"")</f>
        <v/>
      </c>
      <c r="C45" s="17" t="str">
        <f>IFERROR(__xludf.DUMMYFUNCTION("""COMPUTED_VALUE"""),"")</f>
        <v/>
      </c>
      <c r="D45" s="17" t="str">
        <f>IFERROR(__xludf.DUMMYFUNCTION("""COMPUTED_VALUE"""),"")</f>
        <v/>
      </c>
      <c r="E45" s="17" t="str">
        <f>IFERROR(__xludf.DUMMYFUNCTION("""COMPUTED_VALUE"""),"")</f>
        <v/>
      </c>
      <c r="F45" s="17" t="str">
        <f>IFERROR(__xludf.DUMMYFUNCTION("""COMPUTED_VALUE"""),"")</f>
        <v/>
      </c>
      <c r="G45" s="17" t="str">
        <f>IFERROR(__xludf.DUMMYFUNCTION("""COMPUTED_VALUE"""),"")</f>
        <v/>
      </c>
      <c r="H45" s="17" t="str">
        <f>IFERROR(__xludf.DUMMYFUNCTION("""COMPUTED_VALUE"""),"")</f>
        <v/>
      </c>
      <c r="I45" s="17" t="str">
        <f>IFERROR(__xludf.DUMMYFUNCTION("""COMPUTED_VALUE"""),"")</f>
        <v/>
      </c>
      <c r="J45" s="17" t="str">
        <f>IFERROR(__xludf.DUMMYFUNCTION("""COMPUTED_VALUE"""),"")</f>
        <v/>
      </c>
      <c r="K45" s="17" t="str">
        <f>IFERROR(__xludf.DUMMYFUNCTION("""COMPUTED_VALUE"""),"")</f>
        <v/>
      </c>
      <c r="L45" s="17" t="str">
        <f>IFERROR(__xludf.DUMMYFUNCTION("""COMPUTED_VALUE"""),"")</f>
        <v/>
      </c>
      <c r="M45" s="17" t="str">
        <f>IFERROR(__xludf.DUMMYFUNCTION("""COMPUTED_VALUE"""),"")</f>
        <v/>
      </c>
      <c r="N45" s="17" t="str">
        <f>IFERROR(__xludf.DUMMYFUNCTION("""COMPUTED_VALUE"""),"")</f>
        <v/>
      </c>
      <c r="O45" s="17" t="str">
        <f>IFERROR(__xludf.DUMMYFUNCTION("""COMPUTED_VALUE"""),"")</f>
        <v/>
      </c>
      <c r="P45" s="17" t="str">
        <f>IFERROR(__xludf.DUMMYFUNCTION("""COMPUTED_VALUE"""),"")</f>
        <v/>
      </c>
      <c r="Q45" s="17" t="str">
        <f>IFERROR(__xludf.DUMMYFUNCTION("""COMPUTED_VALUE"""),"")</f>
        <v/>
      </c>
      <c r="R45" s="17" t="str">
        <f>IFERROR(__xludf.DUMMYFUNCTION("""COMPUTED_VALUE"""),"")</f>
        <v/>
      </c>
      <c r="S45" s="17" t="str">
        <f>IFERROR(__xludf.DUMMYFUNCTION("""COMPUTED_VALUE"""),"")</f>
        <v/>
      </c>
      <c r="T45" s="17" t="str">
        <f>IFERROR(__xludf.DUMMYFUNCTION("""COMPUTED_VALUE"""),"")</f>
        <v/>
      </c>
      <c r="U45" s="17" t="str">
        <f>IFERROR(__xludf.DUMMYFUNCTION("""COMPUTED_VALUE"""),"")</f>
        <v/>
      </c>
      <c r="V45" s="17" t="str">
        <f>IFERROR(__xludf.DUMMYFUNCTION("""COMPUTED_VALUE"""),"")</f>
        <v/>
      </c>
      <c r="W45" s="17" t="str">
        <f>IFERROR(__xludf.DUMMYFUNCTION("""COMPUTED_VALUE"""),"")</f>
        <v/>
      </c>
      <c r="X45" s="17" t="str">
        <f>IFERROR(__xludf.DUMMYFUNCTION("""COMPUTED_VALUE"""),"")</f>
        <v/>
      </c>
      <c r="Y45" s="17" t="str">
        <f>IFERROR(__xludf.DUMMYFUNCTION("""COMPUTED_VALUE"""),"")</f>
        <v/>
      </c>
      <c r="Z45" s="17" t="str">
        <f>IFERROR(__xludf.DUMMYFUNCTION("""COMPUTED_VALUE"""),"")</f>
        <v/>
      </c>
      <c r="AA45" s="17" t="str">
        <f>IFERROR(__xludf.DUMMYFUNCTION("""COMPUTED_VALUE"""),"")</f>
        <v/>
      </c>
      <c r="AB45" s="17" t="str">
        <f>IFERROR(__xludf.DUMMYFUNCTION("""COMPUTED_VALUE"""),"")</f>
        <v/>
      </c>
      <c r="AC45" s="17" t="str">
        <f>IFERROR(__xludf.DUMMYFUNCTION("""COMPUTED_VALUE"""),"")</f>
        <v/>
      </c>
    </row>
    <row r="46">
      <c r="A46" s="17" t="str">
        <f>IFERROR(__xludf.DUMMYFUNCTION("""COMPUTED_VALUE"""),"")</f>
        <v/>
      </c>
      <c r="B46" s="17" t="str">
        <f>IFERROR(__xludf.DUMMYFUNCTION("""COMPUTED_VALUE"""),"")</f>
        <v/>
      </c>
      <c r="C46" s="17" t="str">
        <f>IFERROR(__xludf.DUMMYFUNCTION("""COMPUTED_VALUE"""),"")</f>
        <v/>
      </c>
      <c r="D46" s="17" t="str">
        <f>IFERROR(__xludf.DUMMYFUNCTION("""COMPUTED_VALUE"""),"")</f>
        <v/>
      </c>
      <c r="E46" s="17" t="str">
        <f>IFERROR(__xludf.DUMMYFUNCTION("""COMPUTED_VALUE"""),"")</f>
        <v/>
      </c>
      <c r="F46" s="17" t="str">
        <f>IFERROR(__xludf.DUMMYFUNCTION("""COMPUTED_VALUE"""),"")</f>
        <v/>
      </c>
      <c r="G46" s="17" t="str">
        <f>IFERROR(__xludf.DUMMYFUNCTION("""COMPUTED_VALUE"""),"")</f>
        <v/>
      </c>
      <c r="H46" s="17" t="str">
        <f>IFERROR(__xludf.DUMMYFUNCTION("""COMPUTED_VALUE"""),"")</f>
        <v/>
      </c>
      <c r="I46" s="17" t="str">
        <f>IFERROR(__xludf.DUMMYFUNCTION("""COMPUTED_VALUE"""),"")</f>
        <v/>
      </c>
      <c r="J46" s="17" t="str">
        <f>IFERROR(__xludf.DUMMYFUNCTION("""COMPUTED_VALUE"""),"")</f>
        <v/>
      </c>
      <c r="K46" s="17" t="str">
        <f>IFERROR(__xludf.DUMMYFUNCTION("""COMPUTED_VALUE"""),"")</f>
        <v/>
      </c>
      <c r="L46" s="17" t="str">
        <f>IFERROR(__xludf.DUMMYFUNCTION("""COMPUTED_VALUE"""),"")</f>
        <v/>
      </c>
      <c r="M46" s="17" t="str">
        <f>IFERROR(__xludf.DUMMYFUNCTION("""COMPUTED_VALUE"""),"")</f>
        <v/>
      </c>
      <c r="N46" s="17" t="str">
        <f>IFERROR(__xludf.DUMMYFUNCTION("""COMPUTED_VALUE"""),"")</f>
        <v/>
      </c>
      <c r="O46" s="17" t="str">
        <f>IFERROR(__xludf.DUMMYFUNCTION("""COMPUTED_VALUE"""),"")</f>
        <v/>
      </c>
      <c r="P46" s="17" t="str">
        <f>IFERROR(__xludf.DUMMYFUNCTION("""COMPUTED_VALUE"""),"")</f>
        <v/>
      </c>
      <c r="Q46" s="17" t="str">
        <f>IFERROR(__xludf.DUMMYFUNCTION("""COMPUTED_VALUE"""),"")</f>
        <v/>
      </c>
      <c r="R46" s="17" t="str">
        <f>IFERROR(__xludf.DUMMYFUNCTION("""COMPUTED_VALUE"""),"")</f>
        <v/>
      </c>
      <c r="S46" s="17" t="str">
        <f>IFERROR(__xludf.DUMMYFUNCTION("""COMPUTED_VALUE"""),"")</f>
        <v/>
      </c>
      <c r="T46" s="17" t="str">
        <f>IFERROR(__xludf.DUMMYFUNCTION("""COMPUTED_VALUE"""),"")</f>
        <v/>
      </c>
      <c r="U46" s="17" t="str">
        <f>IFERROR(__xludf.DUMMYFUNCTION("""COMPUTED_VALUE"""),"")</f>
        <v/>
      </c>
      <c r="V46" s="17" t="str">
        <f>IFERROR(__xludf.DUMMYFUNCTION("""COMPUTED_VALUE"""),"")</f>
        <v/>
      </c>
      <c r="W46" s="17" t="str">
        <f>IFERROR(__xludf.DUMMYFUNCTION("""COMPUTED_VALUE"""),"")</f>
        <v/>
      </c>
      <c r="X46" s="17" t="str">
        <f>IFERROR(__xludf.DUMMYFUNCTION("""COMPUTED_VALUE"""),"")</f>
        <v/>
      </c>
      <c r="Y46" s="17" t="str">
        <f>IFERROR(__xludf.DUMMYFUNCTION("""COMPUTED_VALUE"""),"")</f>
        <v/>
      </c>
      <c r="Z46" s="17" t="str">
        <f>IFERROR(__xludf.DUMMYFUNCTION("""COMPUTED_VALUE"""),"")</f>
        <v/>
      </c>
      <c r="AA46" s="17" t="str">
        <f>IFERROR(__xludf.DUMMYFUNCTION("""COMPUTED_VALUE"""),"")</f>
        <v/>
      </c>
      <c r="AB46" s="17" t="str">
        <f>IFERROR(__xludf.DUMMYFUNCTION("""COMPUTED_VALUE"""),"")</f>
        <v/>
      </c>
      <c r="AC46" s="17" t="str">
        <f>IFERROR(__xludf.DUMMYFUNCTION("""COMPUTED_VALUE"""),"")</f>
        <v/>
      </c>
    </row>
    <row r="47">
      <c r="A47" s="17" t="str">
        <f>IFERROR(__xludf.DUMMYFUNCTION("""COMPUTED_VALUE"""),"")</f>
        <v/>
      </c>
      <c r="B47" s="17" t="str">
        <f>IFERROR(__xludf.DUMMYFUNCTION("""COMPUTED_VALUE"""),"")</f>
        <v/>
      </c>
      <c r="C47" s="17" t="str">
        <f>IFERROR(__xludf.DUMMYFUNCTION("""COMPUTED_VALUE"""),"")</f>
        <v/>
      </c>
      <c r="D47" s="17" t="str">
        <f>IFERROR(__xludf.DUMMYFUNCTION("""COMPUTED_VALUE"""),"")</f>
        <v/>
      </c>
      <c r="E47" s="17" t="str">
        <f>IFERROR(__xludf.DUMMYFUNCTION("""COMPUTED_VALUE"""),"")</f>
        <v/>
      </c>
      <c r="F47" s="17" t="str">
        <f>IFERROR(__xludf.DUMMYFUNCTION("""COMPUTED_VALUE"""),"")</f>
        <v/>
      </c>
      <c r="G47" s="17" t="str">
        <f>IFERROR(__xludf.DUMMYFUNCTION("""COMPUTED_VALUE"""),"")</f>
        <v/>
      </c>
      <c r="H47" s="17" t="str">
        <f>IFERROR(__xludf.DUMMYFUNCTION("""COMPUTED_VALUE"""),"")</f>
        <v/>
      </c>
      <c r="I47" s="17" t="str">
        <f>IFERROR(__xludf.DUMMYFUNCTION("""COMPUTED_VALUE"""),"")</f>
        <v/>
      </c>
      <c r="J47" s="17" t="str">
        <f>IFERROR(__xludf.DUMMYFUNCTION("""COMPUTED_VALUE"""),"")</f>
        <v/>
      </c>
      <c r="K47" s="17" t="str">
        <f>IFERROR(__xludf.DUMMYFUNCTION("""COMPUTED_VALUE"""),"")</f>
        <v/>
      </c>
      <c r="L47" s="17" t="str">
        <f>IFERROR(__xludf.DUMMYFUNCTION("""COMPUTED_VALUE"""),"")</f>
        <v/>
      </c>
      <c r="M47" s="17" t="str">
        <f>IFERROR(__xludf.DUMMYFUNCTION("""COMPUTED_VALUE"""),"")</f>
        <v/>
      </c>
      <c r="N47" s="17" t="str">
        <f>IFERROR(__xludf.DUMMYFUNCTION("""COMPUTED_VALUE"""),"")</f>
        <v/>
      </c>
      <c r="O47" s="17" t="str">
        <f>IFERROR(__xludf.DUMMYFUNCTION("""COMPUTED_VALUE"""),"")</f>
        <v/>
      </c>
      <c r="P47" s="17" t="str">
        <f>IFERROR(__xludf.DUMMYFUNCTION("""COMPUTED_VALUE"""),"")</f>
        <v/>
      </c>
      <c r="Q47" s="17" t="str">
        <f>IFERROR(__xludf.DUMMYFUNCTION("""COMPUTED_VALUE"""),"")</f>
        <v/>
      </c>
      <c r="R47" s="17" t="str">
        <f>IFERROR(__xludf.DUMMYFUNCTION("""COMPUTED_VALUE"""),"")</f>
        <v/>
      </c>
      <c r="S47" s="17" t="str">
        <f>IFERROR(__xludf.DUMMYFUNCTION("""COMPUTED_VALUE"""),"")</f>
        <v/>
      </c>
      <c r="T47" s="17" t="str">
        <f>IFERROR(__xludf.DUMMYFUNCTION("""COMPUTED_VALUE"""),"")</f>
        <v/>
      </c>
      <c r="U47" s="17" t="str">
        <f>IFERROR(__xludf.DUMMYFUNCTION("""COMPUTED_VALUE"""),"")</f>
        <v/>
      </c>
      <c r="V47" s="17" t="str">
        <f>IFERROR(__xludf.DUMMYFUNCTION("""COMPUTED_VALUE"""),"")</f>
        <v/>
      </c>
      <c r="W47" s="17" t="str">
        <f>IFERROR(__xludf.DUMMYFUNCTION("""COMPUTED_VALUE"""),"")</f>
        <v/>
      </c>
      <c r="X47" s="17" t="str">
        <f>IFERROR(__xludf.DUMMYFUNCTION("""COMPUTED_VALUE"""),"")</f>
        <v/>
      </c>
      <c r="Y47" s="17" t="str">
        <f>IFERROR(__xludf.DUMMYFUNCTION("""COMPUTED_VALUE"""),"")</f>
        <v/>
      </c>
      <c r="Z47" s="17" t="str">
        <f>IFERROR(__xludf.DUMMYFUNCTION("""COMPUTED_VALUE"""),"")</f>
        <v/>
      </c>
      <c r="AA47" s="17" t="str">
        <f>IFERROR(__xludf.DUMMYFUNCTION("""COMPUTED_VALUE"""),"")</f>
        <v/>
      </c>
      <c r="AB47" s="17" t="str">
        <f>IFERROR(__xludf.DUMMYFUNCTION("""COMPUTED_VALUE"""),"")</f>
        <v/>
      </c>
      <c r="AC47" s="17" t="str">
        <f>IFERROR(__xludf.DUMMYFUNCTION("""COMPUTED_VALUE"""),"")</f>
        <v/>
      </c>
    </row>
    <row r="48">
      <c r="A48" s="17" t="str">
        <f>IFERROR(__xludf.DUMMYFUNCTION("""COMPUTED_VALUE"""),"")</f>
        <v/>
      </c>
      <c r="B48" s="17" t="str">
        <f>IFERROR(__xludf.DUMMYFUNCTION("""COMPUTED_VALUE"""),"")</f>
        <v/>
      </c>
      <c r="C48" s="17" t="str">
        <f>IFERROR(__xludf.DUMMYFUNCTION("""COMPUTED_VALUE"""),"")</f>
        <v/>
      </c>
      <c r="D48" s="17" t="str">
        <f>IFERROR(__xludf.DUMMYFUNCTION("""COMPUTED_VALUE"""),"")</f>
        <v/>
      </c>
      <c r="E48" s="17" t="str">
        <f>IFERROR(__xludf.DUMMYFUNCTION("""COMPUTED_VALUE"""),"")</f>
        <v/>
      </c>
      <c r="F48" s="17" t="str">
        <f>IFERROR(__xludf.DUMMYFUNCTION("""COMPUTED_VALUE"""),"")</f>
        <v/>
      </c>
      <c r="G48" s="17" t="str">
        <f>IFERROR(__xludf.DUMMYFUNCTION("""COMPUTED_VALUE"""),"")</f>
        <v/>
      </c>
      <c r="H48" s="17" t="str">
        <f>IFERROR(__xludf.DUMMYFUNCTION("""COMPUTED_VALUE"""),"")</f>
        <v/>
      </c>
      <c r="I48" s="17" t="str">
        <f>IFERROR(__xludf.DUMMYFUNCTION("""COMPUTED_VALUE"""),"")</f>
        <v/>
      </c>
      <c r="J48" s="17" t="str">
        <f>IFERROR(__xludf.DUMMYFUNCTION("""COMPUTED_VALUE"""),"")</f>
        <v/>
      </c>
      <c r="K48" s="17" t="str">
        <f>IFERROR(__xludf.DUMMYFUNCTION("""COMPUTED_VALUE"""),"")</f>
        <v/>
      </c>
      <c r="L48" s="17" t="str">
        <f>IFERROR(__xludf.DUMMYFUNCTION("""COMPUTED_VALUE"""),"")</f>
        <v/>
      </c>
      <c r="M48" s="17" t="str">
        <f>IFERROR(__xludf.DUMMYFUNCTION("""COMPUTED_VALUE"""),"")</f>
        <v/>
      </c>
      <c r="N48" s="17" t="str">
        <f>IFERROR(__xludf.DUMMYFUNCTION("""COMPUTED_VALUE"""),"")</f>
        <v/>
      </c>
      <c r="O48" s="17" t="str">
        <f>IFERROR(__xludf.DUMMYFUNCTION("""COMPUTED_VALUE"""),"")</f>
        <v/>
      </c>
      <c r="P48" s="17" t="str">
        <f>IFERROR(__xludf.DUMMYFUNCTION("""COMPUTED_VALUE"""),"")</f>
        <v/>
      </c>
      <c r="Q48" s="17" t="str">
        <f>IFERROR(__xludf.DUMMYFUNCTION("""COMPUTED_VALUE"""),"")</f>
        <v/>
      </c>
      <c r="R48" s="17" t="str">
        <f>IFERROR(__xludf.DUMMYFUNCTION("""COMPUTED_VALUE"""),"")</f>
        <v/>
      </c>
      <c r="S48" s="17" t="str">
        <f>IFERROR(__xludf.DUMMYFUNCTION("""COMPUTED_VALUE"""),"")</f>
        <v/>
      </c>
      <c r="T48" s="17" t="str">
        <f>IFERROR(__xludf.DUMMYFUNCTION("""COMPUTED_VALUE"""),"")</f>
        <v/>
      </c>
      <c r="U48" s="17" t="str">
        <f>IFERROR(__xludf.DUMMYFUNCTION("""COMPUTED_VALUE"""),"")</f>
        <v/>
      </c>
      <c r="V48" s="17" t="str">
        <f>IFERROR(__xludf.DUMMYFUNCTION("""COMPUTED_VALUE"""),"")</f>
        <v/>
      </c>
      <c r="W48" s="17" t="str">
        <f>IFERROR(__xludf.DUMMYFUNCTION("""COMPUTED_VALUE"""),"")</f>
        <v/>
      </c>
      <c r="X48" s="17" t="str">
        <f>IFERROR(__xludf.DUMMYFUNCTION("""COMPUTED_VALUE"""),"")</f>
        <v/>
      </c>
      <c r="Y48" s="17" t="str">
        <f>IFERROR(__xludf.DUMMYFUNCTION("""COMPUTED_VALUE"""),"")</f>
        <v/>
      </c>
      <c r="Z48" s="17" t="str">
        <f>IFERROR(__xludf.DUMMYFUNCTION("""COMPUTED_VALUE"""),"")</f>
        <v/>
      </c>
      <c r="AA48" s="17" t="str">
        <f>IFERROR(__xludf.DUMMYFUNCTION("""COMPUTED_VALUE"""),"")</f>
        <v/>
      </c>
      <c r="AB48" s="17" t="str">
        <f>IFERROR(__xludf.DUMMYFUNCTION("""COMPUTED_VALUE"""),"")</f>
        <v/>
      </c>
      <c r="AC48" s="17" t="str">
        <f>IFERROR(__xludf.DUMMYFUNCTION("""COMPUTED_VALUE"""),"")</f>
        <v/>
      </c>
    </row>
    <row r="49">
      <c r="A49" s="17" t="str">
        <f>IFERROR(__xludf.DUMMYFUNCTION("""COMPUTED_VALUE"""),"")</f>
        <v/>
      </c>
      <c r="B49" s="17" t="str">
        <f>IFERROR(__xludf.DUMMYFUNCTION("""COMPUTED_VALUE"""),"")</f>
        <v/>
      </c>
      <c r="C49" s="17" t="str">
        <f>IFERROR(__xludf.DUMMYFUNCTION("""COMPUTED_VALUE"""),"")</f>
        <v/>
      </c>
      <c r="D49" s="17" t="str">
        <f>IFERROR(__xludf.DUMMYFUNCTION("""COMPUTED_VALUE"""),"")</f>
        <v/>
      </c>
      <c r="E49" s="17" t="str">
        <f>IFERROR(__xludf.DUMMYFUNCTION("""COMPUTED_VALUE"""),"")</f>
        <v/>
      </c>
      <c r="F49" s="17" t="str">
        <f>IFERROR(__xludf.DUMMYFUNCTION("""COMPUTED_VALUE"""),"")</f>
        <v/>
      </c>
      <c r="G49" s="17" t="str">
        <f>IFERROR(__xludf.DUMMYFUNCTION("""COMPUTED_VALUE"""),"")</f>
        <v/>
      </c>
      <c r="H49" s="17" t="str">
        <f>IFERROR(__xludf.DUMMYFUNCTION("""COMPUTED_VALUE"""),"")</f>
        <v/>
      </c>
      <c r="I49" s="17" t="str">
        <f>IFERROR(__xludf.DUMMYFUNCTION("""COMPUTED_VALUE"""),"")</f>
        <v/>
      </c>
      <c r="J49" s="17" t="str">
        <f>IFERROR(__xludf.DUMMYFUNCTION("""COMPUTED_VALUE"""),"")</f>
        <v/>
      </c>
      <c r="K49" s="17" t="str">
        <f>IFERROR(__xludf.DUMMYFUNCTION("""COMPUTED_VALUE"""),"")</f>
        <v/>
      </c>
      <c r="L49" s="17" t="str">
        <f>IFERROR(__xludf.DUMMYFUNCTION("""COMPUTED_VALUE"""),"")</f>
        <v/>
      </c>
      <c r="M49" s="17" t="str">
        <f>IFERROR(__xludf.DUMMYFUNCTION("""COMPUTED_VALUE"""),"")</f>
        <v/>
      </c>
      <c r="N49" s="17" t="str">
        <f>IFERROR(__xludf.DUMMYFUNCTION("""COMPUTED_VALUE"""),"")</f>
        <v/>
      </c>
      <c r="O49" s="17" t="str">
        <f>IFERROR(__xludf.DUMMYFUNCTION("""COMPUTED_VALUE"""),"")</f>
        <v/>
      </c>
      <c r="P49" s="17" t="str">
        <f>IFERROR(__xludf.DUMMYFUNCTION("""COMPUTED_VALUE"""),"")</f>
        <v/>
      </c>
      <c r="Q49" s="17" t="str">
        <f>IFERROR(__xludf.DUMMYFUNCTION("""COMPUTED_VALUE"""),"")</f>
        <v/>
      </c>
      <c r="R49" s="17" t="str">
        <f>IFERROR(__xludf.DUMMYFUNCTION("""COMPUTED_VALUE"""),"")</f>
        <v/>
      </c>
      <c r="S49" s="17" t="str">
        <f>IFERROR(__xludf.DUMMYFUNCTION("""COMPUTED_VALUE"""),"")</f>
        <v/>
      </c>
      <c r="T49" s="17" t="str">
        <f>IFERROR(__xludf.DUMMYFUNCTION("""COMPUTED_VALUE"""),"")</f>
        <v/>
      </c>
      <c r="U49" s="17" t="str">
        <f>IFERROR(__xludf.DUMMYFUNCTION("""COMPUTED_VALUE"""),"")</f>
        <v/>
      </c>
      <c r="V49" s="17" t="str">
        <f>IFERROR(__xludf.DUMMYFUNCTION("""COMPUTED_VALUE"""),"")</f>
        <v/>
      </c>
      <c r="W49" s="17" t="str">
        <f>IFERROR(__xludf.DUMMYFUNCTION("""COMPUTED_VALUE"""),"")</f>
        <v/>
      </c>
      <c r="X49" s="17" t="str">
        <f>IFERROR(__xludf.DUMMYFUNCTION("""COMPUTED_VALUE"""),"")</f>
        <v/>
      </c>
      <c r="Y49" s="17" t="str">
        <f>IFERROR(__xludf.DUMMYFUNCTION("""COMPUTED_VALUE"""),"")</f>
        <v/>
      </c>
      <c r="Z49" s="17" t="str">
        <f>IFERROR(__xludf.DUMMYFUNCTION("""COMPUTED_VALUE"""),"")</f>
        <v/>
      </c>
      <c r="AA49" s="17" t="str">
        <f>IFERROR(__xludf.DUMMYFUNCTION("""COMPUTED_VALUE"""),"")</f>
        <v/>
      </c>
      <c r="AB49" s="17" t="str">
        <f>IFERROR(__xludf.DUMMYFUNCTION("""COMPUTED_VALUE"""),"")</f>
        <v/>
      </c>
      <c r="AC49" s="17" t="str">
        <f>IFERROR(__xludf.DUMMYFUNCTION("""COMPUTED_VALUE"""),"")</f>
        <v/>
      </c>
    </row>
    <row r="50">
      <c r="A50" s="17" t="str">
        <f>IFERROR(__xludf.DUMMYFUNCTION("""COMPUTED_VALUE"""),"Chapter 19: 15 Recuperation
The Flock's Fleece (Actraiser) 400:
Men and women have not wandered the wilds naked since the long-gone days of the Garden. Whether they knew it or not, the act of clothing oneself is one that at once protects and isolates. A s"&amp;"hirt or a robe is a metaphorical armor against the elements, against shame and against the prying eyes of others. You are such a skilled craftsman that you can take the 'metaphorical' part out of the equation. You're a one-person clothing creator and tail"&amp;"or, able to take the raw materials of silk, cotton, wool and hide...and then with almost no tools produce wondrous clothing, fitted just right for anyone who dares try the garments on. They're protective vestments against the harsh elements, able to keep "&amp;"people in comfortable condition be they in the deserts of Kasandora or the icy plains of Northwall.
Not only that, but people who wear them find that they'll be kept safer from the claws of beasts or the swords of their enemies, acting as a light chain-ma"&amp;"il mesh despite being soft and maneuverable fabric.
Fiat")</f>
        <v>Chapter 19: 15 Recuperation
The Flock's Fleece (Actraiser) 400:
Men and women have not wandered the wilds naked since the long-gone days of the Garden. Whether they knew it or not, the act of clothing oneself is one that at once protects and isolates. A shirt or a robe is a metaphorical armor against the elements, against shame and against the prying eyes of others. You are such a skilled craftsman that you can take the 'metaphorical' part out of the equation. You're a one-person clothing creator and tailor, able to take the raw materials of silk, cotton, wool and hide...and then with almost no tools produce wondrous clothing, fitted just right for anyone who dares try the garments on. They're protective vestments against the harsh elements, able to keep people in comfortable condition be they in the deserts of Kasandora or the icy plains of Northwall.
Not only that, but people who wear them find that they'll be kept safer from the claws of beasts or the swords of their enemies, acting as a light chain-mail mesh despite being soft and maneuverable fabric.
Fiat</v>
      </c>
      <c r="B50" s="17" t="str">
        <f>IFERROR(__xludf.DUMMYFUNCTION("""COMPUTED_VALUE"""),"
")</f>
        <v>
</v>
      </c>
      <c r="C50" s="17" t="str">
        <f>IFERROR(__xludf.DUMMYFUNCTION("""COMPUTED_VALUE"""),"
")</f>
        <v>
</v>
      </c>
      <c r="D50" s="17" t="str">
        <f>IFERROR(__xludf.DUMMYFUNCTION("""COMPUTED_VALUE"""),"
")</f>
        <v>
</v>
      </c>
      <c r="E50" s="17" t="str">
        <f>IFERROR(__xludf.DUMMYFUNCTION("""COMPUTED_VALUE"""),"
")</f>
        <v>
</v>
      </c>
      <c r="F50" s="17" t="str">
        <f>IFERROR(__xludf.DUMMYFUNCTION("""COMPUTED_VALUE"""),"
")</f>
        <v>
</v>
      </c>
      <c r="G50" s="17" t="str">
        <f>IFERROR(__xludf.DUMMYFUNCTION("""COMPUTED_VALUE"""),"
")</f>
        <v>
</v>
      </c>
      <c r="H50" s="17" t="str">
        <f>IFERROR(__xludf.DUMMYFUNCTION("""COMPUTED_VALUE"""),"
")</f>
        <v>
</v>
      </c>
      <c r="I50" s="17" t="str">
        <f>IFERROR(__xludf.DUMMYFUNCTION("""COMPUTED_VALUE"""),"
")</f>
        <v>
</v>
      </c>
      <c r="J50" s="17" t="str">
        <f>IFERROR(__xludf.DUMMYFUNCTION("""COMPUTED_VALUE"""),"
")</f>
        <v>
</v>
      </c>
      <c r="K50" s="17" t="str">
        <f>IFERROR(__xludf.DUMMYFUNCTION("""COMPUTED_VALUE"""),"
")</f>
        <v>
</v>
      </c>
      <c r="L50" s="17" t="str">
        <f>IFERROR(__xludf.DUMMYFUNCTION("""COMPUTED_VALUE"""),"
")</f>
        <v>
</v>
      </c>
      <c r="M50" s="17" t="str">
        <f>IFERROR(__xludf.DUMMYFUNCTION("""COMPUTED_VALUE"""),"
")</f>
        <v>
</v>
      </c>
      <c r="N50" s="17" t="str">
        <f>IFERROR(__xludf.DUMMYFUNCTION("""COMPUTED_VALUE"""),"
")</f>
        <v>
</v>
      </c>
      <c r="O50" s="17" t="str">
        <f>IFERROR(__xludf.DUMMYFUNCTION("""COMPUTED_VALUE"""),"
")</f>
        <v>
</v>
      </c>
      <c r="P50" s="17" t="str">
        <f>IFERROR(__xludf.DUMMYFUNCTION("""COMPUTED_VALUE"""),"
")</f>
        <v>
</v>
      </c>
      <c r="Q50" s="17" t="str">
        <f>IFERROR(__xludf.DUMMYFUNCTION("""COMPUTED_VALUE"""),"
")</f>
        <v>
</v>
      </c>
      <c r="R50" s="17" t="str">
        <f>IFERROR(__xludf.DUMMYFUNCTION("""COMPUTED_VALUE"""),"
")</f>
        <v>
</v>
      </c>
      <c r="S50" s="17" t="str">
        <f>IFERROR(__xludf.DUMMYFUNCTION("""COMPUTED_VALUE"""),"
")</f>
        <v>
</v>
      </c>
      <c r="T50" s="17" t="str">
        <f>IFERROR(__xludf.DUMMYFUNCTION("""COMPUTED_VALUE"""),"
")</f>
        <v>
</v>
      </c>
      <c r="U50" s="17" t="str">
        <f>IFERROR(__xludf.DUMMYFUNCTION("""COMPUTED_VALUE"""),"
")</f>
        <v>
</v>
      </c>
      <c r="V50" s="17" t="str">
        <f>IFERROR(__xludf.DUMMYFUNCTION("""COMPUTED_VALUE"""),"
")</f>
        <v>
</v>
      </c>
      <c r="W50" s="17" t="str">
        <f>IFERROR(__xludf.DUMMYFUNCTION("""COMPUTED_VALUE"""),"
")</f>
        <v>
</v>
      </c>
      <c r="X50" s="17" t="str">
        <f>IFERROR(__xludf.DUMMYFUNCTION("""COMPUTED_VALUE"""),"
")</f>
        <v>
</v>
      </c>
      <c r="Y50" s="17" t="str">
        <f>IFERROR(__xludf.DUMMYFUNCTION("""COMPUTED_VALUE"""),"
")</f>
        <v>
</v>
      </c>
      <c r="Z50" s="17" t="str">
        <f>IFERROR(__xludf.DUMMYFUNCTION("""COMPUTED_VALUE"""),"
")</f>
        <v>
</v>
      </c>
      <c r="AA50" s="17" t="str">
        <f>IFERROR(__xludf.DUMMYFUNCTION("""COMPUTED_VALUE"""),"
")</f>
        <v>
</v>
      </c>
      <c r="AB50" s="17" t="str">
        <f>IFERROR(__xludf.DUMMYFUNCTION("""COMPUTED_VALUE"""),"
")</f>
        <v>
</v>
      </c>
      <c r="AC50" s="17" t="str">
        <f>IFERROR(__xludf.DUMMYFUNCTION("""COMPUTED_VALUE"""),"
")</f>
        <v>
</v>
      </c>
    </row>
    <row r="51">
      <c r="A51" s="17" t="str">
        <f>IFERROR(__xludf.DUMMYFUNCTION("""COMPUTED_VALUE"""),"Chapter 12: 9 Acquisitions
Garment Gloves (Dodgeball) 200:
These are a pair of pure white gloves. Bound to them is an intelligence with a mind for fashion: a designer, seamstress, clothier, and tailor without mortal peer. It has the ability to scry for fa"&amp;"shion based information from international trends to precise measurements. Given materials and orders, it will industriously produce fine apparel, producing any modifications, clothing, footwear, accessories, etc that is within theoretical mortal ability."&amp;" It has sufficient telekinesis to move itself and to independently suspend materials. It must be provided with materials, though it may be provided a lump sum or budget with which to magically acquire materials at cost.
You may wear the gloves to channel "&amp;"the skills (but not powers) of the entity, perhaps even learning from it.
Entity")</f>
        <v>Chapter 12: 9 Acquisitions
Garment Gloves (Dodgeball) 200:
These are a pair of pure white gloves. Bound to them is an intelligence with a mind for fashion: a designer, seamstress, clothier, and tailor without mortal peer. It has the ability to scry for fashion based information from international trends to precise measurements. Given materials and orders, it will industriously produce fine apparel, producing any modifications, clothing, footwear, accessories, etc that is within theoretical mortal ability. It has sufficient telekinesis to move itself and to independently suspend materials. It must be provided with materials, though it may be provided a lump sum or budget with which to magically acquire materials at cost.
You may wear the gloves to channel the skills (but not powers) of the entity, perhaps even learning from it.
Entity</v>
      </c>
      <c r="B51" s="17" t="str">
        <f>IFERROR(__xludf.DUMMYFUNCTION("""COMPUTED_VALUE"""),"
")</f>
        <v>
</v>
      </c>
      <c r="C51" s="17" t="str">
        <f>IFERROR(__xludf.DUMMYFUNCTION("""COMPUTED_VALUE"""),"
")</f>
        <v>
</v>
      </c>
      <c r="D51" s="17" t="str">
        <f>IFERROR(__xludf.DUMMYFUNCTION("""COMPUTED_VALUE"""),"
")</f>
        <v>
</v>
      </c>
      <c r="E51" s="17" t="str">
        <f>IFERROR(__xludf.DUMMYFUNCTION("""COMPUTED_VALUE"""),"
")</f>
        <v>
</v>
      </c>
      <c r="F51" s="17" t="str">
        <f>IFERROR(__xludf.DUMMYFUNCTION("""COMPUTED_VALUE"""),"
")</f>
        <v>
</v>
      </c>
      <c r="G51" s="17" t="str">
        <f>IFERROR(__xludf.DUMMYFUNCTION("""COMPUTED_VALUE"""),"
")</f>
        <v>
</v>
      </c>
      <c r="H51" s="17" t="str">
        <f>IFERROR(__xludf.DUMMYFUNCTION("""COMPUTED_VALUE"""),"
")</f>
        <v>
</v>
      </c>
      <c r="I51" s="17" t="str">
        <f>IFERROR(__xludf.DUMMYFUNCTION("""COMPUTED_VALUE"""),"
")</f>
        <v>
</v>
      </c>
      <c r="J51" s="17" t="str">
        <f>IFERROR(__xludf.DUMMYFUNCTION("""COMPUTED_VALUE"""),"
")</f>
        <v>
</v>
      </c>
      <c r="K51" s="17" t="str">
        <f>IFERROR(__xludf.DUMMYFUNCTION("""COMPUTED_VALUE"""),"
")</f>
        <v>
</v>
      </c>
      <c r="L51" s="17" t="str">
        <f>IFERROR(__xludf.DUMMYFUNCTION("""COMPUTED_VALUE"""),"
")</f>
        <v>
</v>
      </c>
      <c r="M51" s="17" t="str">
        <f>IFERROR(__xludf.DUMMYFUNCTION("""COMPUTED_VALUE"""),"
")</f>
        <v>
</v>
      </c>
      <c r="N51" s="17" t="str">
        <f>IFERROR(__xludf.DUMMYFUNCTION("""COMPUTED_VALUE"""),"
")</f>
        <v>
</v>
      </c>
      <c r="O51" s="17" t="str">
        <f>IFERROR(__xludf.DUMMYFUNCTION("""COMPUTED_VALUE"""),"
")</f>
        <v>
</v>
      </c>
      <c r="P51" s="17" t="str">
        <f>IFERROR(__xludf.DUMMYFUNCTION("""COMPUTED_VALUE"""),"
")</f>
        <v>
</v>
      </c>
      <c r="Q51" s="17" t="str">
        <f>IFERROR(__xludf.DUMMYFUNCTION("""COMPUTED_VALUE"""),"
")</f>
        <v>
</v>
      </c>
      <c r="R51" s="17" t="str">
        <f>IFERROR(__xludf.DUMMYFUNCTION("""COMPUTED_VALUE"""),"
")</f>
        <v>
</v>
      </c>
      <c r="S51" s="17" t="str">
        <f>IFERROR(__xludf.DUMMYFUNCTION("""COMPUTED_VALUE"""),"
")</f>
        <v>
</v>
      </c>
      <c r="T51" s="17" t="str">
        <f>IFERROR(__xludf.DUMMYFUNCTION("""COMPUTED_VALUE"""),"
")</f>
        <v>
</v>
      </c>
      <c r="U51" s="17" t="str">
        <f>IFERROR(__xludf.DUMMYFUNCTION("""COMPUTED_VALUE"""),"
")</f>
        <v>
</v>
      </c>
      <c r="V51" s="17" t="str">
        <f>IFERROR(__xludf.DUMMYFUNCTION("""COMPUTED_VALUE"""),"
")</f>
        <v>
</v>
      </c>
      <c r="W51" s="17" t="str">
        <f>IFERROR(__xludf.DUMMYFUNCTION("""COMPUTED_VALUE"""),"
")</f>
        <v>
</v>
      </c>
      <c r="X51" s="17" t="str">
        <f>IFERROR(__xludf.DUMMYFUNCTION("""COMPUTED_VALUE"""),"
")</f>
        <v>
</v>
      </c>
      <c r="Y51" s="17" t="str">
        <f>IFERROR(__xludf.DUMMYFUNCTION("""COMPUTED_VALUE"""),"
")</f>
        <v>
</v>
      </c>
      <c r="Z51" s="17" t="str">
        <f>IFERROR(__xludf.DUMMYFUNCTION("""COMPUTED_VALUE"""),"
")</f>
        <v>
</v>
      </c>
      <c r="AA51" s="17" t="str">
        <f>IFERROR(__xludf.DUMMYFUNCTION("""COMPUTED_VALUE"""),"
")</f>
        <v>
</v>
      </c>
      <c r="AB51" s="17" t="str">
        <f>IFERROR(__xludf.DUMMYFUNCTION("""COMPUTED_VALUE"""),"
")</f>
        <v>
</v>
      </c>
      <c r="AC51" s="17" t="str">
        <f>IFERROR(__xludf.DUMMYFUNCTION("""COMPUTED_VALUE"""),"
")</f>
        <v>
</v>
      </c>
    </row>
    <row r="52">
      <c r="A52" s="17" t="str">
        <f>IFERROR(__xludf.DUMMYFUNCTION("""COMPUTED_VALUE"""),"Chapter 66: 51 Lunchtime
Avid Glove (Fallen London) 100:
A miracle of surgery and tailoring, though it may bite any hands shaken. Who can say no to another set of eyes and fingers?
Entity")</f>
        <v>Chapter 66: 51 Lunchtime
Avid Glove (Fallen London) 100:
A miracle of surgery and tailoring, though it may bite any hands shaken. Who can say no to another set of eyes and fingers?
Entity</v>
      </c>
      <c r="B52" s="17" t="str">
        <f>IFERROR(__xludf.DUMMYFUNCTION("""COMPUTED_VALUE"""),"Chapter 66: 51 Lunchtime
Amateur Academic – Trivia (Fallen London) Free:
A classical training in grammar, logic and rhetoric. You could fit in with the learned and flighty. This has given your memory a boost, entire books can be memorized.
Skill")</f>
        <v>Chapter 66: 51 Lunchtime
Amateur Academic – Trivia (Fallen London) Free:
A classical training in grammar, logic and rhetoric. You could fit in with the learned and flighty. This has given your memory a boost, entire books can be memorized.
Skill</v>
      </c>
      <c r="C52" s="17" t="str">
        <f>IFERROR(__xludf.DUMMYFUNCTION("""COMPUTED_VALUE"""),"Chapter 66: 51 Lunchtime
Dabbling Academic – Fool Proof (Fallen London) Free:
Not only must one learn and understand, but to understand at a level that even laymen can comprehend. Your knowledge can be taught to those far below you.
Skill")</f>
        <v>Chapter 66: 51 Lunchtime
Dabbling Academic – Fool Proof (Fallen London) Free:
Not only must one learn and understand, but to understand at a level that even laymen can comprehend. Your knowledge can be taught to those far below you.
Skill</v>
      </c>
      <c r="D52" s="17" t="str">
        <f>IFERROR(__xludf.DUMMYFUNCTION("""COMPUTED_VALUE"""),"Chapter 66: 51 Lunchtime
A Thing About Names (Fallen London) Free:
Following the example of HRH Queen Vic- I mean the Traitor Empress, many citizens of the Neath have taken to calling themselves the Adjectival Noun. Prominent individuals include the Fidge"&amp;"ting Writer, the Sardonic Singer, the Amused Lordship and so on. It is fashionable to do so, though choosing not to do so is a choice in itself. The name chosen will become the title others refer you as.
Personal")</f>
        <v>Chapter 66: 51 Lunchtime
A Thing About Names (Fallen London) Free:
Following the example of HRH Queen Vic- I mean the Traitor Empress, many citizens of the Neath have taken to calling themselves the Adjectival Noun. Prominent individuals include the Fidgeting Writer, the Sardonic Singer, the Amused Lordship and so on. It is fashionable to do so, though choosing not to do so is a choice in itself. The name chosen will become the title others refer you as.
Personal</v>
      </c>
      <c r="E52" s="17" t="str">
        <f>IFERROR(__xludf.DUMMYFUNCTION("""COMPUTED_VALUE"""),"
")</f>
        <v>
</v>
      </c>
      <c r="F52" s="17" t="str">
        <f>IFERROR(__xludf.DUMMYFUNCTION("""COMPUTED_VALUE"""),"
")</f>
        <v>
</v>
      </c>
      <c r="G52" s="17" t="str">
        <f>IFERROR(__xludf.DUMMYFUNCTION("""COMPUTED_VALUE"""),"
")</f>
        <v>
</v>
      </c>
      <c r="H52" s="17" t="str">
        <f>IFERROR(__xludf.DUMMYFUNCTION("""COMPUTED_VALUE"""),"
")</f>
        <v>
</v>
      </c>
      <c r="I52" s="17" t="str">
        <f>IFERROR(__xludf.DUMMYFUNCTION("""COMPUTED_VALUE"""),"
")</f>
        <v>
</v>
      </c>
      <c r="J52" s="17" t="str">
        <f>IFERROR(__xludf.DUMMYFUNCTION("""COMPUTED_VALUE"""),"
")</f>
        <v>
</v>
      </c>
      <c r="K52" s="17" t="str">
        <f>IFERROR(__xludf.DUMMYFUNCTION("""COMPUTED_VALUE"""),"
")</f>
        <v>
</v>
      </c>
      <c r="L52" s="17" t="str">
        <f>IFERROR(__xludf.DUMMYFUNCTION("""COMPUTED_VALUE"""),"
")</f>
        <v>
</v>
      </c>
      <c r="M52" s="17" t="str">
        <f>IFERROR(__xludf.DUMMYFUNCTION("""COMPUTED_VALUE"""),"
")</f>
        <v>
</v>
      </c>
      <c r="N52" s="17" t="str">
        <f>IFERROR(__xludf.DUMMYFUNCTION("""COMPUTED_VALUE"""),"
")</f>
        <v>
</v>
      </c>
      <c r="O52" s="17" t="str">
        <f>IFERROR(__xludf.DUMMYFUNCTION("""COMPUTED_VALUE"""),"
")</f>
        <v>
</v>
      </c>
      <c r="P52" s="17" t="str">
        <f>IFERROR(__xludf.DUMMYFUNCTION("""COMPUTED_VALUE"""),"
")</f>
        <v>
</v>
      </c>
      <c r="Q52" s="17" t="str">
        <f>IFERROR(__xludf.DUMMYFUNCTION("""COMPUTED_VALUE"""),"
")</f>
        <v>
</v>
      </c>
      <c r="R52" s="17" t="str">
        <f>IFERROR(__xludf.DUMMYFUNCTION("""COMPUTED_VALUE"""),"
")</f>
        <v>
</v>
      </c>
      <c r="S52" s="17" t="str">
        <f>IFERROR(__xludf.DUMMYFUNCTION("""COMPUTED_VALUE"""),"
")</f>
        <v>
</v>
      </c>
      <c r="T52" s="17" t="str">
        <f>IFERROR(__xludf.DUMMYFUNCTION("""COMPUTED_VALUE"""),"
")</f>
        <v>
</v>
      </c>
      <c r="U52" s="17" t="str">
        <f>IFERROR(__xludf.DUMMYFUNCTION("""COMPUTED_VALUE"""),"
")</f>
        <v>
</v>
      </c>
      <c r="V52" s="17" t="str">
        <f>IFERROR(__xludf.DUMMYFUNCTION("""COMPUTED_VALUE"""),"
")</f>
        <v>
</v>
      </c>
      <c r="W52" s="17" t="str">
        <f>IFERROR(__xludf.DUMMYFUNCTION("""COMPUTED_VALUE"""),"
")</f>
        <v>
</v>
      </c>
      <c r="X52" s="17" t="str">
        <f>IFERROR(__xludf.DUMMYFUNCTION("""COMPUTED_VALUE"""),"
")</f>
        <v>
</v>
      </c>
      <c r="Y52" s="17" t="str">
        <f>IFERROR(__xludf.DUMMYFUNCTION("""COMPUTED_VALUE"""),"
")</f>
        <v>
</v>
      </c>
      <c r="Z52" s="17" t="str">
        <f>IFERROR(__xludf.DUMMYFUNCTION("""COMPUTED_VALUE"""),"
")</f>
        <v>
</v>
      </c>
      <c r="AA52" s="17" t="str">
        <f>IFERROR(__xludf.DUMMYFUNCTION("""COMPUTED_VALUE"""),"
")</f>
        <v>
</v>
      </c>
      <c r="AB52" s="17" t="str">
        <f>IFERROR(__xludf.DUMMYFUNCTION("""COMPUTED_VALUE"""),"
")</f>
        <v>
</v>
      </c>
      <c r="AC52" s="17" t="str">
        <f>IFERROR(__xludf.DUMMYFUNCTION("""COMPUTED_VALUE"""),"
")</f>
        <v>
</v>
      </c>
    </row>
    <row r="53">
      <c r="A53" s="17" t="str">
        <f>IFERROR(__xludf.DUMMYFUNCTION("""COMPUTED_VALUE"""),"")</f>
        <v/>
      </c>
      <c r="B53" s="17" t="str">
        <f>IFERROR(__xludf.DUMMYFUNCTION("""COMPUTED_VALUE"""),"")</f>
        <v/>
      </c>
      <c r="C53" s="17" t="str">
        <f>IFERROR(__xludf.DUMMYFUNCTION("""COMPUTED_VALUE"""),"")</f>
        <v/>
      </c>
      <c r="D53" s="17" t="str">
        <f>IFERROR(__xludf.DUMMYFUNCTION("""COMPUTED_VALUE"""),"")</f>
        <v/>
      </c>
      <c r="E53" s="17" t="str">
        <f>IFERROR(__xludf.DUMMYFUNCTION("""COMPUTED_VALUE"""),"")</f>
        <v/>
      </c>
      <c r="F53" s="17" t="str">
        <f>IFERROR(__xludf.DUMMYFUNCTION("""COMPUTED_VALUE"""),"")</f>
        <v/>
      </c>
      <c r="G53" s="17" t="str">
        <f>IFERROR(__xludf.DUMMYFUNCTION("""COMPUTED_VALUE"""),"")</f>
        <v/>
      </c>
      <c r="H53" s="17" t="str">
        <f>IFERROR(__xludf.DUMMYFUNCTION("""COMPUTED_VALUE"""),"")</f>
        <v/>
      </c>
      <c r="I53" s="17" t="str">
        <f>IFERROR(__xludf.DUMMYFUNCTION("""COMPUTED_VALUE"""),"")</f>
        <v/>
      </c>
      <c r="J53" s="17" t="str">
        <f>IFERROR(__xludf.DUMMYFUNCTION("""COMPUTED_VALUE"""),"")</f>
        <v/>
      </c>
      <c r="K53" s="17" t="str">
        <f>IFERROR(__xludf.DUMMYFUNCTION("""COMPUTED_VALUE"""),"")</f>
        <v/>
      </c>
      <c r="L53" s="17" t="str">
        <f>IFERROR(__xludf.DUMMYFUNCTION("""COMPUTED_VALUE"""),"")</f>
        <v/>
      </c>
      <c r="M53" s="17" t="str">
        <f>IFERROR(__xludf.DUMMYFUNCTION("""COMPUTED_VALUE"""),"")</f>
        <v/>
      </c>
      <c r="N53" s="17" t="str">
        <f>IFERROR(__xludf.DUMMYFUNCTION("""COMPUTED_VALUE"""),"")</f>
        <v/>
      </c>
      <c r="O53" s="17" t="str">
        <f>IFERROR(__xludf.DUMMYFUNCTION("""COMPUTED_VALUE"""),"")</f>
        <v/>
      </c>
      <c r="P53" s="17" t="str">
        <f>IFERROR(__xludf.DUMMYFUNCTION("""COMPUTED_VALUE"""),"")</f>
        <v/>
      </c>
      <c r="Q53" s="17" t="str">
        <f>IFERROR(__xludf.DUMMYFUNCTION("""COMPUTED_VALUE"""),"")</f>
        <v/>
      </c>
      <c r="R53" s="17" t="str">
        <f>IFERROR(__xludf.DUMMYFUNCTION("""COMPUTED_VALUE"""),"")</f>
        <v/>
      </c>
      <c r="S53" s="17" t="str">
        <f>IFERROR(__xludf.DUMMYFUNCTION("""COMPUTED_VALUE"""),"")</f>
        <v/>
      </c>
      <c r="T53" s="17" t="str">
        <f>IFERROR(__xludf.DUMMYFUNCTION("""COMPUTED_VALUE"""),"")</f>
        <v/>
      </c>
      <c r="U53" s="17" t="str">
        <f>IFERROR(__xludf.DUMMYFUNCTION("""COMPUTED_VALUE"""),"")</f>
        <v/>
      </c>
      <c r="V53" s="17" t="str">
        <f>IFERROR(__xludf.DUMMYFUNCTION("""COMPUTED_VALUE"""),"")</f>
        <v/>
      </c>
      <c r="W53" s="17" t="str">
        <f>IFERROR(__xludf.DUMMYFUNCTION("""COMPUTED_VALUE"""),"")</f>
        <v/>
      </c>
      <c r="X53" s="17" t="str">
        <f>IFERROR(__xludf.DUMMYFUNCTION("""COMPUTED_VALUE"""),"")</f>
        <v/>
      </c>
      <c r="Y53" s="17" t="str">
        <f>IFERROR(__xludf.DUMMYFUNCTION("""COMPUTED_VALUE"""),"")</f>
        <v/>
      </c>
      <c r="Z53" s="17" t="str">
        <f>IFERROR(__xludf.DUMMYFUNCTION("""COMPUTED_VALUE"""),"")</f>
        <v/>
      </c>
      <c r="AA53" s="17" t="str">
        <f>IFERROR(__xludf.DUMMYFUNCTION("""COMPUTED_VALUE"""),"")</f>
        <v/>
      </c>
      <c r="AB53" s="17" t="str">
        <f>IFERROR(__xludf.DUMMYFUNCTION("""COMPUTED_VALUE"""),"")</f>
        <v/>
      </c>
      <c r="AC53" s="17" t="str">
        <f>IFERROR(__xludf.DUMMYFUNCTION("""COMPUTED_VALUE"""),"")</f>
        <v/>
      </c>
    </row>
    <row r="54">
      <c r="A54" s="17" t="str">
        <f>IFERROR(__xludf.DUMMYFUNCTION("""COMPUTED_VALUE"""),"Chapter 02: 2 Preparation
Fashion (Highschool of the Dead) 200:
Your clothing and entire body acquire defensive properties equal to the most superior protective items you have currently equipped. Emphasis on protective item- an iron or steel ring won’t gi"&amp;"ve you metal-tough skin- the minimum is things like knee pads from extreme sports, helmets- even an apron would count, though all that’d do is protect you from the dangers of a kitchen...
Personal")</f>
        <v>Chapter 02: 2 Preparation
Fashion (Highschool of the Dead) 200:
Your clothing and entire body acquire defensive properties equal to the most superior protective items you have currently equipped. Emphasis on protective item- an iron or steel ring won’t give you metal-tough skin- the minimum is things like knee pads from extreme sports, helmets- even an apron would count, though all that’d do is protect you from the dangers of a kitchen...
Personal</v>
      </c>
      <c r="B54" s="17" t="str">
        <f>IFERROR(__xludf.DUMMYFUNCTION("""COMPUTED_VALUE"""),"
")</f>
        <v>
</v>
      </c>
      <c r="C54" s="17" t="str">
        <f>IFERROR(__xludf.DUMMYFUNCTION("""COMPUTED_VALUE"""),"
")</f>
        <v>
</v>
      </c>
      <c r="D54" s="17" t="str">
        <f>IFERROR(__xludf.DUMMYFUNCTION("""COMPUTED_VALUE"""),"
")</f>
        <v>
</v>
      </c>
      <c r="E54" s="17" t="str">
        <f>IFERROR(__xludf.DUMMYFUNCTION("""COMPUTED_VALUE"""),"
")</f>
        <v>
</v>
      </c>
      <c r="F54" s="17" t="str">
        <f>IFERROR(__xludf.DUMMYFUNCTION("""COMPUTED_VALUE"""),"
")</f>
        <v>
</v>
      </c>
      <c r="G54" s="17" t="str">
        <f>IFERROR(__xludf.DUMMYFUNCTION("""COMPUTED_VALUE"""),"
")</f>
        <v>
</v>
      </c>
      <c r="H54" s="17" t="str">
        <f>IFERROR(__xludf.DUMMYFUNCTION("""COMPUTED_VALUE"""),"
")</f>
        <v>
</v>
      </c>
      <c r="I54" s="17" t="str">
        <f>IFERROR(__xludf.DUMMYFUNCTION("""COMPUTED_VALUE"""),"
")</f>
        <v>
</v>
      </c>
      <c r="J54" s="17" t="str">
        <f>IFERROR(__xludf.DUMMYFUNCTION("""COMPUTED_VALUE"""),"
")</f>
        <v>
</v>
      </c>
      <c r="K54" s="17" t="str">
        <f>IFERROR(__xludf.DUMMYFUNCTION("""COMPUTED_VALUE"""),"
")</f>
        <v>
</v>
      </c>
      <c r="L54" s="17" t="str">
        <f>IFERROR(__xludf.DUMMYFUNCTION("""COMPUTED_VALUE"""),"
")</f>
        <v>
</v>
      </c>
      <c r="M54" s="17" t="str">
        <f>IFERROR(__xludf.DUMMYFUNCTION("""COMPUTED_VALUE"""),"
")</f>
        <v>
</v>
      </c>
      <c r="N54" s="17" t="str">
        <f>IFERROR(__xludf.DUMMYFUNCTION("""COMPUTED_VALUE"""),"
")</f>
        <v>
</v>
      </c>
      <c r="O54" s="17" t="str">
        <f>IFERROR(__xludf.DUMMYFUNCTION("""COMPUTED_VALUE"""),"
")</f>
        <v>
</v>
      </c>
      <c r="P54" s="17" t="str">
        <f>IFERROR(__xludf.DUMMYFUNCTION("""COMPUTED_VALUE"""),"
")</f>
        <v>
</v>
      </c>
      <c r="Q54" s="17" t="str">
        <f>IFERROR(__xludf.DUMMYFUNCTION("""COMPUTED_VALUE"""),"
")</f>
        <v>
</v>
      </c>
      <c r="R54" s="17" t="str">
        <f>IFERROR(__xludf.DUMMYFUNCTION("""COMPUTED_VALUE"""),"
")</f>
        <v>
</v>
      </c>
      <c r="S54" s="17" t="str">
        <f>IFERROR(__xludf.DUMMYFUNCTION("""COMPUTED_VALUE"""),"
")</f>
        <v>
</v>
      </c>
      <c r="T54" s="17" t="str">
        <f>IFERROR(__xludf.DUMMYFUNCTION("""COMPUTED_VALUE"""),"
")</f>
        <v>
</v>
      </c>
      <c r="U54" s="17" t="str">
        <f>IFERROR(__xludf.DUMMYFUNCTION("""COMPUTED_VALUE"""),"
")</f>
        <v>
</v>
      </c>
      <c r="V54" s="17" t="str">
        <f>IFERROR(__xludf.DUMMYFUNCTION("""COMPUTED_VALUE"""),"
")</f>
        <v>
</v>
      </c>
      <c r="W54" s="17" t="str">
        <f>IFERROR(__xludf.DUMMYFUNCTION("""COMPUTED_VALUE"""),"
")</f>
        <v>
</v>
      </c>
      <c r="X54" s="17" t="str">
        <f>IFERROR(__xludf.DUMMYFUNCTION("""COMPUTED_VALUE"""),"
")</f>
        <v>
</v>
      </c>
      <c r="Y54" s="17" t="str">
        <f>IFERROR(__xludf.DUMMYFUNCTION("""COMPUTED_VALUE"""),"
")</f>
        <v>
</v>
      </c>
      <c r="Z54" s="17" t="str">
        <f>IFERROR(__xludf.DUMMYFUNCTION("""COMPUTED_VALUE"""),"
")</f>
        <v>
</v>
      </c>
      <c r="AA54" s="17" t="str">
        <f>IFERROR(__xludf.DUMMYFUNCTION("""COMPUTED_VALUE"""),"
")</f>
        <v>
</v>
      </c>
      <c r="AB54" s="17" t="str">
        <f>IFERROR(__xludf.DUMMYFUNCTION("""COMPUTED_VALUE"""),"
")</f>
        <v>
</v>
      </c>
      <c r="AC54" s="17" t="str">
        <f>IFERROR(__xludf.DUMMYFUNCTION("""COMPUTED_VALUE"""),"
")</f>
        <v>
</v>
      </c>
    </row>
    <row r="55">
      <c r="A55" s="17" t="str">
        <f>IFERROR(__xludf.DUMMYFUNCTION("""COMPUTED_VALUE"""),"Chapter 45: 38 Build Up - Preamble Leet - Addendum Rey
Putting On The Reich (Indiana Jones) 200:
They may fear your tenacity. They may hate your cause. They may even oppose your beliefs. But one thing remains constant: A begrudging respect for the aura of"&amp;" organization and sharpness you give off. You have an excellent sense of how to design uniforms that not only are intimidating and show the power of your group, but are also fashionable and make your group look organized, official in a way. It's time to s"&amp;"how them who's Boss.
Skill")</f>
        <v>Chapter 45: 38 Build Up - Preamble Leet - Addendum Rey
Putting On The Reich (Indiana Jones) 200:
They may fear your tenacity. They may hate your cause. They may even oppose your beliefs. But one thing remains constant: A begrudging respect for the aura of organization and sharpness you give off. You have an excellent sense of how to design uniforms that not only are intimidating and show the power of your group, but are also fashionable and make your group look organized, official in a way. It's time to show them who's Boss.
Skill</v>
      </c>
      <c r="B55" s="17" t="str">
        <f>IFERROR(__xludf.DUMMYFUNCTION("""COMPUTED_VALUE"""),"
")</f>
        <v>
</v>
      </c>
      <c r="C55" s="17" t="str">
        <f>IFERROR(__xludf.DUMMYFUNCTION("""COMPUTED_VALUE"""),"
")</f>
        <v>
</v>
      </c>
      <c r="D55" s="17" t="str">
        <f>IFERROR(__xludf.DUMMYFUNCTION("""COMPUTED_VALUE"""),"
")</f>
        <v>
</v>
      </c>
      <c r="E55" s="17" t="str">
        <f>IFERROR(__xludf.DUMMYFUNCTION("""COMPUTED_VALUE"""),"
")</f>
        <v>
</v>
      </c>
      <c r="F55" s="17" t="str">
        <f>IFERROR(__xludf.DUMMYFUNCTION("""COMPUTED_VALUE"""),"
")</f>
        <v>
</v>
      </c>
      <c r="G55" s="17" t="str">
        <f>IFERROR(__xludf.DUMMYFUNCTION("""COMPUTED_VALUE"""),"
")</f>
        <v>
</v>
      </c>
      <c r="H55" s="17" t="str">
        <f>IFERROR(__xludf.DUMMYFUNCTION("""COMPUTED_VALUE"""),"
")</f>
        <v>
</v>
      </c>
      <c r="I55" s="17" t="str">
        <f>IFERROR(__xludf.DUMMYFUNCTION("""COMPUTED_VALUE"""),"
")</f>
        <v>
</v>
      </c>
      <c r="J55" s="17" t="str">
        <f>IFERROR(__xludf.DUMMYFUNCTION("""COMPUTED_VALUE"""),"
")</f>
        <v>
</v>
      </c>
      <c r="K55" s="17" t="str">
        <f>IFERROR(__xludf.DUMMYFUNCTION("""COMPUTED_VALUE"""),"
")</f>
        <v>
</v>
      </c>
      <c r="L55" s="17" t="str">
        <f>IFERROR(__xludf.DUMMYFUNCTION("""COMPUTED_VALUE"""),"
")</f>
        <v>
</v>
      </c>
      <c r="M55" s="17" t="str">
        <f>IFERROR(__xludf.DUMMYFUNCTION("""COMPUTED_VALUE"""),"
")</f>
        <v>
</v>
      </c>
      <c r="N55" s="17" t="str">
        <f>IFERROR(__xludf.DUMMYFUNCTION("""COMPUTED_VALUE"""),"
")</f>
        <v>
</v>
      </c>
      <c r="O55" s="17" t="str">
        <f>IFERROR(__xludf.DUMMYFUNCTION("""COMPUTED_VALUE"""),"
")</f>
        <v>
</v>
      </c>
      <c r="P55" s="17" t="str">
        <f>IFERROR(__xludf.DUMMYFUNCTION("""COMPUTED_VALUE"""),"
")</f>
        <v>
</v>
      </c>
      <c r="Q55" s="17" t="str">
        <f>IFERROR(__xludf.DUMMYFUNCTION("""COMPUTED_VALUE"""),"
")</f>
        <v>
</v>
      </c>
      <c r="R55" s="17" t="str">
        <f>IFERROR(__xludf.DUMMYFUNCTION("""COMPUTED_VALUE"""),"
")</f>
        <v>
</v>
      </c>
      <c r="S55" s="17" t="str">
        <f>IFERROR(__xludf.DUMMYFUNCTION("""COMPUTED_VALUE"""),"
")</f>
        <v>
</v>
      </c>
      <c r="T55" s="17" t="str">
        <f>IFERROR(__xludf.DUMMYFUNCTION("""COMPUTED_VALUE"""),"
")</f>
        <v>
</v>
      </c>
      <c r="U55" s="17" t="str">
        <f>IFERROR(__xludf.DUMMYFUNCTION("""COMPUTED_VALUE"""),"
")</f>
        <v>
</v>
      </c>
      <c r="V55" s="17" t="str">
        <f>IFERROR(__xludf.DUMMYFUNCTION("""COMPUTED_VALUE"""),"
")</f>
        <v>
</v>
      </c>
      <c r="W55" s="17" t="str">
        <f>IFERROR(__xludf.DUMMYFUNCTION("""COMPUTED_VALUE"""),"
")</f>
        <v>
</v>
      </c>
      <c r="X55" s="17" t="str">
        <f>IFERROR(__xludf.DUMMYFUNCTION("""COMPUTED_VALUE"""),"
")</f>
        <v>
</v>
      </c>
      <c r="Y55" s="17" t="str">
        <f>IFERROR(__xludf.DUMMYFUNCTION("""COMPUTED_VALUE"""),"
")</f>
        <v>
</v>
      </c>
      <c r="Z55" s="17" t="str">
        <f>IFERROR(__xludf.DUMMYFUNCTION("""COMPUTED_VALUE"""),"
")</f>
        <v>
</v>
      </c>
      <c r="AA55" s="17" t="str">
        <f>IFERROR(__xludf.DUMMYFUNCTION("""COMPUTED_VALUE"""),"
")</f>
        <v>
</v>
      </c>
      <c r="AB55" s="17" t="str">
        <f>IFERROR(__xludf.DUMMYFUNCTION("""COMPUTED_VALUE"""),"
")</f>
        <v>
</v>
      </c>
      <c r="AC55" s="17" t="str">
        <f>IFERROR(__xludf.DUMMYFUNCTION("""COMPUTED_VALUE"""),"
")</f>
        <v>
</v>
      </c>
    </row>
    <row r="56">
      <c r="A56" s="17" t="str">
        <f>IFERROR(__xludf.DUMMYFUNCTION("""COMPUTED_VALUE"""),"Chapter 47: 40 Knock Down - Preamble Gully - Addendum Emergency Alert
Talented: Tailoring (Inukami) 100:
You are an expert at any non-combat related skill. Cooking? You can make a five star meal with low rate ingredients
Skill")</f>
        <v>Chapter 47: 40 Knock Down - Preamble Gully - Addendum Emergency Alert
Talented: Tailoring (Inukami) 100:
You are an expert at any non-combat related skill. Cooking? You can make a five star meal with low rate ingredients
Skill</v>
      </c>
      <c r="B56" s="17" t="str">
        <f>IFERROR(__xludf.DUMMYFUNCTION("""COMPUTED_VALUE"""),"
")</f>
        <v>
</v>
      </c>
      <c r="C56" s="17" t="str">
        <f>IFERROR(__xludf.DUMMYFUNCTION("""COMPUTED_VALUE"""),"
")</f>
        <v>
</v>
      </c>
      <c r="D56" s="17" t="str">
        <f>IFERROR(__xludf.DUMMYFUNCTION("""COMPUTED_VALUE"""),"
")</f>
        <v>
</v>
      </c>
      <c r="E56" s="17" t="str">
        <f>IFERROR(__xludf.DUMMYFUNCTION("""COMPUTED_VALUE"""),"
")</f>
        <v>
</v>
      </c>
      <c r="F56" s="17" t="str">
        <f>IFERROR(__xludf.DUMMYFUNCTION("""COMPUTED_VALUE"""),"
")</f>
        <v>
</v>
      </c>
      <c r="G56" s="17" t="str">
        <f>IFERROR(__xludf.DUMMYFUNCTION("""COMPUTED_VALUE"""),"
")</f>
        <v>
</v>
      </c>
      <c r="H56" s="17" t="str">
        <f>IFERROR(__xludf.DUMMYFUNCTION("""COMPUTED_VALUE"""),"
")</f>
        <v>
</v>
      </c>
      <c r="I56" s="17" t="str">
        <f>IFERROR(__xludf.DUMMYFUNCTION("""COMPUTED_VALUE"""),"
")</f>
        <v>
</v>
      </c>
      <c r="J56" s="17" t="str">
        <f>IFERROR(__xludf.DUMMYFUNCTION("""COMPUTED_VALUE"""),"
")</f>
        <v>
</v>
      </c>
      <c r="K56" s="17" t="str">
        <f>IFERROR(__xludf.DUMMYFUNCTION("""COMPUTED_VALUE"""),"
")</f>
        <v>
</v>
      </c>
      <c r="L56" s="17" t="str">
        <f>IFERROR(__xludf.DUMMYFUNCTION("""COMPUTED_VALUE"""),"
")</f>
        <v>
</v>
      </c>
      <c r="M56" s="17" t="str">
        <f>IFERROR(__xludf.DUMMYFUNCTION("""COMPUTED_VALUE"""),"
")</f>
        <v>
</v>
      </c>
      <c r="N56" s="17" t="str">
        <f>IFERROR(__xludf.DUMMYFUNCTION("""COMPUTED_VALUE"""),"
")</f>
        <v>
</v>
      </c>
      <c r="O56" s="17" t="str">
        <f>IFERROR(__xludf.DUMMYFUNCTION("""COMPUTED_VALUE"""),"
")</f>
        <v>
</v>
      </c>
      <c r="P56" s="17" t="str">
        <f>IFERROR(__xludf.DUMMYFUNCTION("""COMPUTED_VALUE"""),"
")</f>
        <v>
</v>
      </c>
      <c r="Q56" s="17" t="str">
        <f>IFERROR(__xludf.DUMMYFUNCTION("""COMPUTED_VALUE"""),"
")</f>
        <v>
</v>
      </c>
      <c r="R56" s="17" t="str">
        <f>IFERROR(__xludf.DUMMYFUNCTION("""COMPUTED_VALUE"""),"
")</f>
        <v>
</v>
      </c>
      <c r="S56" s="17" t="str">
        <f>IFERROR(__xludf.DUMMYFUNCTION("""COMPUTED_VALUE"""),"
")</f>
        <v>
</v>
      </c>
      <c r="T56" s="17" t="str">
        <f>IFERROR(__xludf.DUMMYFUNCTION("""COMPUTED_VALUE"""),"
")</f>
        <v>
</v>
      </c>
      <c r="U56" s="17" t="str">
        <f>IFERROR(__xludf.DUMMYFUNCTION("""COMPUTED_VALUE"""),"
")</f>
        <v>
</v>
      </c>
      <c r="V56" s="17" t="str">
        <f>IFERROR(__xludf.DUMMYFUNCTION("""COMPUTED_VALUE"""),"
")</f>
        <v>
</v>
      </c>
      <c r="W56" s="17" t="str">
        <f>IFERROR(__xludf.DUMMYFUNCTION("""COMPUTED_VALUE"""),"
")</f>
        <v>
</v>
      </c>
      <c r="X56" s="17" t="str">
        <f>IFERROR(__xludf.DUMMYFUNCTION("""COMPUTED_VALUE"""),"
")</f>
        <v>
</v>
      </c>
      <c r="Y56" s="17" t="str">
        <f>IFERROR(__xludf.DUMMYFUNCTION("""COMPUTED_VALUE"""),"
")</f>
        <v>
</v>
      </c>
      <c r="Z56" s="17" t="str">
        <f>IFERROR(__xludf.DUMMYFUNCTION("""COMPUTED_VALUE"""),"
")</f>
        <v>
</v>
      </c>
      <c r="AA56" s="17" t="str">
        <f>IFERROR(__xludf.DUMMYFUNCTION("""COMPUTED_VALUE"""),"
")</f>
        <v>
</v>
      </c>
      <c r="AB56" s="17" t="str">
        <f>IFERROR(__xludf.DUMMYFUNCTION("""COMPUTED_VALUE"""),"
")</f>
        <v>
</v>
      </c>
      <c r="AC56" s="17" t="str">
        <f>IFERROR(__xludf.DUMMYFUNCTION("""COMPUTED_VALUE"""),"
")</f>
        <v>
</v>
      </c>
    </row>
    <row r="57">
      <c r="A57" s="17" t="str">
        <f>IFERROR(__xludf.DUMMYFUNCTION("""COMPUTED_VALUE"""),"")</f>
        <v/>
      </c>
      <c r="B57" s="17" t="str">
        <f>IFERROR(__xludf.DUMMYFUNCTION("""COMPUTED_VALUE"""),"")</f>
        <v/>
      </c>
      <c r="C57" s="17" t="str">
        <f>IFERROR(__xludf.DUMMYFUNCTION("""COMPUTED_VALUE"""),"")</f>
        <v/>
      </c>
      <c r="D57" s="17" t="str">
        <f>IFERROR(__xludf.DUMMYFUNCTION("""COMPUTED_VALUE"""),"")</f>
        <v/>
      </c>
      <c r="E57" s="17" t="str">
        <f>IFERROR(__xludf.DUMMYFUNCTION("""COMPUTED_VALUE"""),"")</f>
        <v/>
      </c>
      <c r="F57" s="17" t="str">
        <f>IFERROR(__xludf.DUMMYFUNCTION("""COMPUTED_VALUE"""),"")</f>
        <v/>
      </c>
      <c r="G57" s="17" t="str">
        <f>IFERROR(__xludf.DUMMYFUNCTION("""COMPUTED_VALUE"""),"")</f>
        <v/>
      </c>
      <c r="H57" s="17" t="str">
        <f>IFERROR(__xludf.DUMMYFUNCTION("""COMPUTED_VALUE"""),"")</f>
        <v/>
      </c>
      <c r="I57" s="17" t="str">
        <f>IFERROR(__xludf.DUMMYFUNCTION("""COMPUTED_VALUE"""),"")</f>
        <v/>
      </c>
      <c r="J57" s="17" t="str">
        <f>IFERROR(__xludf.DUMMYFUNCTION("""COMPUTED_VALUE"""),"")</f>
        <v/>
      </c>
      <c r="K57" s="17" t="str">
        <f>IFERROR(__xludf.DUMMYFUNCTION("""COMPUTED_VALUE"""),"")</f>
        <v/>
      </c>
      <c r="L57" s="17" t="str">
        <f>IFERROR(__xludf.DUMMYFUNCTION("""COMPUTED_VALUE"""),"")</f>
        <v/>
      </c>
      <c r="M57" s="17" t="str">
        <f>IFERROR(__xludf.DUMMYFUNCTION("""COMPUTED_VALUE"""),"")</f>
        <v/>
      </c>
      <c r="N57" s="17" t="str">
        <f>IFERROR(__xludf.DUMMYFUNCTION("""COMPUTED_VALUE"""),"")</f>
        <v/>
      </c>
      <c r="O57" s="17" t="str">
        <f>IFERROR(__xludf.DUMMYFUNCTION("""COMPUTED_VALUE"""),"")</f>
        <v/>
      </c>
      <c r="P57" s="17" t="str">
        <f>IFERROR(__xludf.DUMMYFUNCTION("""COMPUTED_VALUE"""),"")</f>
        <v/>
      </c>
      <c r="Q57" s="17" t="str">
        <f>IFERROR(__xludf.DUMMYFUNCTION("""COMPUTED_VALUE"""),"")</f>
        <v/>
      </c>
      <c r="R57" s="17" t="str">
        <f>IFERROR(__xludf.DUMMYFUNCTION("""COMPUTED_VALUE"""),"")</f>
        <v/>
      </c>
      <c r="S57" s="17" t="str">
        <f>IFERROR(__xludf.DUMMYFUNCTION("""COMPUTED_VALUE"""),"")</f>
        <v/>
      </c>
      <c r="T57" s="17" t="str">
        <f>IFERROR(__xludf.DUMMYFUNCTION("""COMPUTED_VALUE"""),"")</f>
        <v/>
      </c>
      <c r="U57" s="17" t="str">
        <f>IFERROR(__xludf.DUMMYFUNCTION("""COMPUTED_VALUE"""),"")</f>
        <v/>
      </c>
      <c r="V57" s="17" t="str">
        <f>IFERROR(__xludf.DUMMYFUNCTION("""COMPUTED_VALUE"""),"")</f>
        <v/>
      </c>
      <c r="W57" s="17" t="str">
        <f>IFERROR(__xludf.DUMMYFUNCTION("""COMPUTED_VALUE"""),"")</f>
        <v/>
      </c>
      <c r="X57" s="17" t="str">
        <f>IFERROR(__xludf.DUMMYFUNCTION("""COMPUTED_VALUE"""),"")</f>
        <v/>
      </c>
      <c r="Y57" s="17" t="str">
        <f>IFERROR(__xludf.DUMMYFUNCTION("""COMPUTED_VALUE"""),"")</f>
        <v/>
      </c>
      <c r="Z57" s="17" t="str">
        <f>IFERROR(__xludf.DUMMYFUNCTION("""COMPUTED_VALUE"""),"")</f>
        <v/>
      </c>
      <c r="AA57" s="17" t="str">
        <f>IFERROR(__xludf.DUMMYFUNCTION("""COMPUTED_VALUE"""),"")</f>
        <v/>
      </c>
      <c r="AB57" s="17" t="str">
        <f>IFERROR(__xludf.DUMMYFUNCTION("""COMPUTED_VALUE"""),"")</f>
        <v/>
      </c>
      <c r="AC57" s="17" t="str">
        <f>IFERROR(__xludf.DUMMYFUNCTION("""COMPUTED_VALUE"""),"")</f>
        <v/>
      </c>
    </row>
    <row r="58">
      <c r="A58" s="17" t="str">
        <f>IFERROR(__xludf.DUMMYFUNCTION("""COMPUTED_VALUE"""),"Chapter 12: 9 Acquisitions
Life Fiber Spool (Kill la Kill) 400:
A medium-sized spool of Life Fiber. It's only enough to maybe make a pair of gloves out of, but with the proper knowledge, one could create Goku Uniforms- Or enhance existing articles of clot"&amp;"hing to be like Goku Uniforms. One spool of thread is enough to make several one-star outfits, three two-star outfits, or a single three-star outfit, assuming you have the knowledge of how to work with Life Fibers
Entity")</f>
        <v>Chapter 12: 9 Acquisitions
Life Fiber Spool (Kill la Kill) 400:
A medium-sized spool of Life Fiber. It's only enough to maybe make a pair of gloves out of, but with the proper knowledge, one could create Goku Uniforms- Or enhance existing articles of clothing to be like Goku Uniforms. One spool of thread is enough to make several one-star outfits, three two-star outfits, or a single three-star outfit, assuming you have the knowledge of how to work with Life Fibers
Entity</v>
      </c>
      <c r="B58" s="17" t="str">
        <f>IFERROR(__xludf.DUMMYFUNCTION("""COMPUTED_VALUE"""),"Chapter 46: 39 Set Up - Addendum Kenta
Tailor (Kill la Kill) 300:
You have the knowledge of how to safely work with life fibers, and how to make them into clothing that empowers (or inhibits) the wearer. In addition, because you know how Life Fiber unifor"&amp;"ms work, you know their weak spots better than anyone.
System")</f>
        <v>Chapter 46: 39 Set Up - Addendum Kenta
Tailor (Kill la Kill) 300:
You have the knowledge of how to safely work with life fibers, and how to make them into clothing that empowers (or inhibits) the wearer. In addition, because you know how Life Fiber uniforms work, you know their weak spots better than anyone.
System</v>
      </c>
      <c r="C58" s="17" t="str">
        <f>IFERROR(__xludf.DUMMYFUNCTION("""COMPUTED_VALUE"""),"
")</f>
        <v>
</v>
      </c>
      <c r="D58" s="17" t="str">
        <f>IFERROR(__xludf.DUMMYFUNCTION("""COMPUTED_VALUE"""),"
")</f>
        <v>
</v>
      </c>
      <c r="E58" s="17" t="str">
        <f>IFERROR(__xludf.DUMMYFUNCTION("""COMPUTED_VALUE"""),"
")</f>
        <v>
</v>
      </c>
      <c r="F58" s="17" t="str">
        <f>IFERROR(__xludf.DUMMYFUNCTION("""COMPUTED_VALUE"""),"
")</f>
        <v>
</v>
      </c>
      <c r="G58" s="17" t="str">
        <f>IFERROR(__xludf.DUMMYFUNCTION("""COMPUTED_VALUE"""),"
")</f>
        <v>
</v>
      </c>
      <c r="H58" s="17" t="str">
        <f>IFERROR(__xludf.DUMMYFUNCTION("""COMPUTED_VALUE"""),"
")</f>
        <v>
</v>
      </c>
      <c r="I58" s="17" t="str">
        <f>IFERROR(__xludf.DUMMYFUNCTION("""COMPUTED_VALUE"""),"
")</f>
        <v>
</v>
      </c>
      <c r="J58" s="17" t="str">
        <f>IFERROR(__xludf.DUMMYFUNCTION("""COMPUTED_VALUE"""),"
")</f>
        <v>
</v>
      </c>
      <c r="K58" s="17" t="str">
        <f>IFERROR(__xludf.DUMMYFUNCTION("""COMPUTED_VALUE"""),"
")</f>
        <v>
</v>
      </c>
      <c r="L58" s="17" t="str">
        <f>IFERROR(__xludf.DUMMYFUNCTION("""COMPUTED_VALUE"""),"
")</f>
        <v>
</v>
      </c>
      <c r="M58" s="17" t="str">
        <f>IFERROR(__xludf.DUMMYFUNCTION("""COMPUTED_VALUE"""),"
")</f>
        <v>
</v>
      </c>
      <c r="N58" s="17" t="str">
        <f>IFERROR(__xludf.DUMMYFUNCTION("""COMPUTED_VALUE"""),"
")</f>
        <v>
</v>
      </c>
      <c r="O58" s="17" t="str">
        <f>IFERROR(__xludf.DUMMYFUNCTION("""COMPUTED_VALUE"""),"
")</f>
        <v>
</v>
      </c>
      <c r="P58" s="17" t="str">
        <f>IFERROR(__xludf.DUMMYFUNCTION("""COMPUTED_VALUE"""),"
")</f>
        <v>
</v>
      </c>
      <c r="Q58" s="17" t="str">
        <f>IFERROR(__xludf.DUMMYFUNCTION("""COMPUTED_VALUE"""),"
")</f>
        <v>
</v>
      </c>
      <c r="R58" s="17" t="str">
        <f>IFERROR(__xludf.DUMMYFUNCTION("""COMPUTED_VALUE"""),"
")</f>
        <v>
</v>
      </c>
      <c r="S58" s="17" t="str">
        <f>IFERROR(__xludf.DUMMYFUNCTION("""COMPUTED_VALUE"""),"
")</f>
        <v>
</v>
      </c>
      <c r="T58" s="17" t="str">
        <f>IFERROR(__xludf.DUMMYFUNCTION("""COMPUTED_VALUE"""),"
")</f>
        <v>
</v>
      </c>
      <c r="U58" s="17" t="str">
        <f>IFERROR(__xludf.DUMMYFUNCTION("""COMPUTED_VALUE"""),"
")</f>
        <v>
</v>
      </c>
      <c r="V58" s="17" t="str">
        <f>IFERROR(__xludf.DUMMYFUNCTION("""COMPUTED_VALUE"""),"
")</f>
        <v>
</v>
      </c>
      <c r="W58" s="17" t="str">
        <f>IFERROR(__xludf.DUMMYFUNCTION("""COMPUTED_VALUE"""),"
")</f>
        <v>
</v>
      </c>
      <c r="X58" s="17" t="str">
        <f>IFERROR(__xludf.DUMMYFUNCTION("""COMPUTED_VALUE"""),"
")</f>
        <v>
</v>
      </c>
      <c r="Y58" s="17" t="str">
        <f>IFERROR(__xludf.DUMMYFUNCTION("""COMPUTED_VALUE"""),"
")</f>
        <v>
</v>
      </c>
      <c r="Z58" s="17" t="str">
        <f>IFERROR(__xludf.DUMMYFUNCTION("""COMPUTED_VALUE"""),"
")</f>
        <v>
</v>
      </c>
      <c r="AA58" s="17" t="str">
        <f>IFERROR(__xludf.DUMMYFUNCTION("""COMPUTED_VALUE"""),"
")</f>
        <v>
</v>
      </c>
      <c r="AB58" s="17" t="str">
        <f>IFERROR(__xludf.DUMMYFUNCTION("""COMPUTED_VALUE"""),"
")</f>
        <v>
</v>
      </c>
      <c r="AC58" s="17" t="str">
        <f>IFERROR(__xludf.DUMMYFUNCTION("""COMPUTED_VALUE"""),"
")</f>
        <v>
</v>
      </c>
    </row>
    <row r="59">
      <c r="A59" s="17" t="str">
        <f>IFERROR(__xludf.DUMMYFUNCTION("""COMPUTED_VALUE"""),"")</f>
        <v/>
      </c>
      <c r="B59" s="17" t="str">
        <f>IFERROR(__xludf.DUMMYFUNCTION("""COMPUTED_VALUE"""),"")</f>
        <v/>
      </c>
      <c r="C59" s="17" t="str">
        <f>IFERROR(__xludf.DUMMYFUNCTION("""COMPUTED_VALUE"""),"")</f>
        <v/>
      </c>
      <c r="D59" s="17" t="str">
        <f>IFERROR(__xludf.DUMMYFUNCTION("""COMPUTED_VALUE"""),"")</f>
        <v/>
      </c>
      <c r="E59" s="17" t="str">
        <f>IFERROR(__xludf.DUMMYFUNCTION("""COMPUTED_VALUE"""),"")</f>
        <v/>
      </c>
      <c r="F59" s="17" t="str">
        <f>IFERROR(__xludf.DUMMYFUNCTION("""COMPUTED_VALUE"""),"")</f>
        <v/>
      </c>
      <c r="G59" s="17" t="str">
        <f>IFERROR(__xludf.DUMMYFUNCTION("""COMPUTED_VALUE"""),"")</f>
        <v/>
      </c>
      <c r="H59" s="17" t="str">
        <f>IFERROR(__xludf.DUMMYFUNCTION("""COMPUTED_VALUE"""),"")</f>
        <v/>
      </c>
      <c r="I59" s="17" t="str">
        <f>IFERROR(__xludf.DUMMYFUNCTION("""COMPUTED_VALUE"""),"")</f>
        <v/>
      </c>
      <c r="J59" s="17" t="str">
        <f>IFERROR(__xludf.DUMMYFUNCTION("""COMPUTED_VALUE"""),"")</f>
        <v/>
      </c>
      <c r="K59" s="17" t="str">
        <f>IFERROR(__xludf.DUMMYFUNCTION("""COMPUTED_VALUE"""),"")</f>
        <v/>
      </c>
      <c r="L59" s="17" t="str">
        <f>IFERROR(__xludf.DUMMYFUNCTION("""COMPUTED_VALUE"""),"")</f>
        <v/>
      </c>
      <c r="M59" s="17" t="str">
        <f>IFERROR(__xludf.DUMMYFUNCTION("""COMPUTED_VALUE"""),"")</f>
        <v/>
      </c>
      <c r="N59" s="17" t="str">
        <f>IFERROR(__xludf.DUMMYFUNCTION("""COMPUTED_VALUE"""),"")</f>
        <v/>
      </c>
      <c r="O59" s="17" t="str">
        <f>IFERROR(__xludf.DUMMYFUNCTION("""COMPUTED_VALUE"""),"")</f>
        <v/>
      </c>
      <c r="P59" s="17" t="str">
        <f>IFERROR(__xludf.DUMMYFUNCTION("""COMPUTED_VALUE"""),"")</f>
        <v/>
      </c>
      <c r="Q59" s="17" t="str">
        <f>IFERROR(__xludf.DUMMYFUNCTION("""COMPUTED_VALUE"""),"")</f>
        <v/>
      </c>
      <c r="R59" s="17" t="str">
        <f>IFERROR(__xludf.DUMMYFUNCTION("""COMPUTED_VALUE"""),"")</f>
        <v/>
      </c>
      <c r="S59" s="17" t="str">
        <f>IFERROR(__xludf.DUMMYFUNCTION("""COMPUTED_VALUE"""),"")</f>
        <v/>
      </c>
      <c r="T59" s="17" t="str">
        <f>IFERROR(__xludf.DUMMYFUNCTION("""COMPUTED_VALUE"""),"")</f>
        <v/>
      </c>
      <c r="U59" s="17" t="str">
        <f>IFERROR(__xludf.DUMMYFUNCTION("""COMPUTED_VALUE"""),"")</f>
        <v/>
      </c>
      <c r="V59" s="17" t="str">
        <f>IFERROR(__xludf.DUMMYFUNCTION("""COMPUTED_VALUE"""),"")</f>
        <v/>
      </c>
      <c r="W59" s="17" t="str">
        <f>IFERROR(__xludf.DUMMYFUNCTION("""COMPUTED_VALUE"""),"")</f>
        <v/>
      </c>
      <c r="X59" s="17" t="str">
        <f>IFERROR(__xludf.DUMMYFUNCTION("""COMPUTED_VALUE"""),"")</f>
        <v/>
      </c>
      <c r="Y59" s="17" t="str">
        <f>IFERROR(__xludf.DUMMYFUNCTION("""COMPUTED_VALUE"""),"")</f>
        <v/>
      </c>
      <c r="Z59" s="17" t="str">
        <f>IFERROR(__xludf.DUMMYFUNCTION("""COMPUTED_VALUE"""),"")</f>
        <v/>
      </c>
      <c r="AA59" s="17" t="str">
        <f>IFERROR(__xludf.DUMMYFUNCTION("""COMPUTED_VALUE"""),"")</f>
        <v/>
      </c>
      <c r="AB59" s="17" t="str">
        <f>IFERROR(__xludf.DUMMYFUNCTION("""COMPUTED_VALUE"""),"")</f>
        <v/>
      </c>
      <c r="AC59" s="17" t="str">
        <f>IFERROR(__xludf.DUMMYFUNCTION("""COMPUTED_VALUE"""),"")</f>
        <v/>
      </c>
    </row>
    <row r="60">
      <c r="A60" s="17" t="str">
        <f>IFERROR(__xludf.DUMMYFUNCTION("""COMPUTED_VALUE"""),"Chapter 18: 14 Debut
Micromanipulators (A Certain Scientific Railgun) 50:
These rather delicate gloves were meant for scientific purposes. They’re reinforced with small motors and electrically contracting artificial muscles to allow you to perform delicat"&amp;"e work on the scale of one millionth of a meter. While they’re definitely more suited to scientific experiments, they can be put to use in any situation that requires steady hands like aiming a rifle, conducting brain surgery, cooking, defusing a bomb, or"&amp;" even bypassing some redirection and shielding abilities.
Item")</f>
        <v>Chapter 18: 14 Debut
Micromanipulators (A Certain Scientific Railgun) 50:
These rather delicate gloves were meant for scientific purposes. They’re reinforced with small motors and electrically contracting artificial muscles to allow you to perform delicate work on the scale of one millionth of a meter. While they’re definitely more suited to scientific experiments, they can be put to use in any situation that requires steady hands like aiming a rifle, conducting brain surgery, cooking, defusing a bomb, or even bypassing some redirection and shielding abilities.
Item</v>
      </c>
      <c r="B60" s="17" t="str">
        <f>IFERROR(__xludf.DUMMYFUNCTION("""COMPUTED_VALUE"""),"
")</f>
        <v>
</v>
      </c>
      <c r="C60" s="17" t="str">
        <f>IFERROR(__xludf.DUMMYFUNCTION("""COMPUTED_VALUE"""),"
")</f>
        <v>
</v>
      </c>
      <c r="D60" s="17" t="str">
        <f>IFERROR(__xludf.DUMMYFUNCTION("""COMPUTED_VALUE"""),"
")</f>
        <v>
</v>
      </c>
      <c r="E60" s="17" t="str">
        <f>IFERROR(__xludf.DUMMYFUNCTION("""COMPUTED_VALUE"""),"
")</f>
        <v>
</v>
      </c>
      <c r="F60" s="17" t="str">
        <f>IFERROR(__xludf.DUMMYFUNCTION("""COMPUTED_VALUE"""),"
")</f>
        <v>
</v>
      </c>
      <c r="G60" s="17" t="str">
        <f>IFERROR(__xludf.DUMMYFUNCTION("""COMPUTED_VALUE"""),"
")</f>
        <v>
</v>
      </c>
      <c r="H60" s="17" t="str">
        <f>IFERROR(__xludf.DUMMYFUNCTION("""COMPUTED_VALUE"""),"
")</f>
        <v>
</v>
      </c>
      <c r="I60" s="17" t="str">
        <f>IFERROR(__xludf.DUMMYFUNCTION("""COMPUTED_VALUE"""),"
")</f>
        <v>
</v>
      </c>
      <c r="J60" s="17" t="str">
        <f>IFERROR(__xludf.DUMMYFUNCTION("""COMPUTED_VALUE"""),"
")</f>
        <v>
</v>
      </c>
      <c r="K60" s="17" t="str">
        <f>IFERROR(__xludf.DUMMYFUNCTION("""COMPUTED_VALUE"""),"
")</f>
        <v>
</v>
      </c>
      <c r="L60" s="17" t="str">
        <f>IFERROR(__xludf.DUMMYFUNCTION("""COMPUTED_VALUE"""),"
")</f>
        <v>
</v>
      </c>
      <c r="M60" s="17" t="str">
        <f>IFERROR(__xludf.DUMMYFUNCTION("""COMPUTED_VALUE"""),"
")</f>
        <v>
</v>
      </c>
      <c r="N60" s="17" t="str">
        <f>IFERROR(__xludf.DUMMYFUNCTION("""COMPUTED_VALUE"""),"
")</f>
        <v>
</v>
      </c>
      <c r="O60" s="17" t="str">
        <f>IFERROR(__xludf.DUMMYFUNCTION("""COMPUTED_VALUE"""),"
")</f>
        <v>
</v>
      </c>
      <c r="P60" s="17" t="str">
        <f>IFERROR(__xludf.DUMMYFUNCTION("""COMPUTED_VALUE"""),"
")</f>
        <v>
</v>
      </c>
      <c r="Q60" s="17" t="str">
        <f>IFERROR(__xludf.DUMMYFUNCTION("""COMPUTED_VALUE"""),"
")</f>
        <v>
</v>
      </c>
      <c r="R60" s="17" t="str">
        <f>IFERROR(__xludf.DUMMYFUNCTION("""COMPUTED_VALUE"""),"
")</f>
        <v>
</v>
      </c>
      <c r="S60" s="17" t="str">
        <f>IFERROR(__xludf.DUMMYFUNCTION("""COMPUTED_VALUE"""),"
")</f>
        <v>
</v>
      </c>
      <c r="T60" s="17" t="str">
        <f>IFERROR(__xludf.DUMMYFUNCTION("""COMPUTED_VALUE"""),"
")</f>
        <v>
</v>
      </c>
      <c r="U60" s="17" t="str">
        <f>IFERROR(__xludf.DUMMYFUNCTION("""COMPUTED_VALUE"""),"
")</f>
        <v>
</v>
      </c>
      <c r="V60" s="17" t="str">
        <f>IFERROR(__xludf.DUMMYFUNCTION("""COMPUTED_VALUE"""),"
")</f>
        <v>
</v>
      </c>
      <c r="W60" s="17" t="str">
        <f>IFERROR(__xludf.DUMMYFUNCTION("""COMPUTED_VALUE"""),"
")</f>
        <v>
</v>
      </c>
      <c r="X60" s="17" t="str">
        <f>IFERROR(__xludf.DUMMYFUNCTION("""COMPUTED_VALUE"""),"
")</f>
        <v>
</v>
      </c>
      <c r="Y60" s="17" t="str">
        <f>IFERROR(__xludf.DUMMYFUNCTION("""COMPUTED_VALUE"""),"
")</f>
        <v>
</v>
      </c>
      <c r="Z60" s="17" t="str">
        <f>IFERROR(__xludf.DUMMYFUNCTION("""COMPUTED_VALUE"""),"
")</f>
        <v>
</v>
      </c>
      <c r="AA60" s="17" t="str">
        <f>IFERROR(__xludf.DUMMYFUNCTION("""COMPUTED_VALUE"""),"
")</f>
        <v>
</v>
      </c>
      <c r="AB60" s="17" t="str">
        <f>IFERROR(__xludf.DUMMYFUNCTION("""COMPUTED_VALUE"""),"
")</f>
        <v>
</v>
      </c>
      <c r="AC60" s="17" t="str">
        <f>IFERROR(__xludf.DUMMYFUNCTION("""COMPUTED_VALUE"""),"
")</f>
        <v>
</v>
      </c>
    </row>
    <row r="61">
      <c r="A61" s="17" t="str">
        <f>IFERROR(__xludf.DUMMYFUNCTION("""COMPUTED_VALUE"""),"Chapter 41: 35 Closing Words - Addendum Chris
Secular Skills (Red Dwarf) 200:
Through growing up in a society in which religion tried to stem the natural instincts of the cat people towards vanity and good looks, you learned to craft amazing clothes and o"&amp;"utfits from the most base materials and tools, and don’t worry they all will look fantastic.
Skill")</f>
        <v>Chapter 41: 35 Closing Words - Addendum Chris
Secular Skills (Red Dwarf) 200:
Through growing up in a society in which religion tried to stem the natural instincts of the cat people towards vanity and good looks, you learned to craft amazing clothes and outfits from the most base materials and tools, and don’t worry they all will look fantastic.
Skill</v>
      </c>
      <c r="B61" s="17" t="str">
        <f>IFERROR(__xludf.DUMMYFUNCTION("""COMPUTED_VALUE"""),"
")</f>
        <v>
</v>
      </c>
      <c r="C61" s="17" t="str">
        <f>IFERROR(__xludf.DUMMYFUNCTION("""COMPUTED_VALUE"""),"
")</f>
        <v>
</v>
      </c>
      <c r="D61" s="17" t="str">
        <f>IFERROR(__xludf.DUMMYFUNCTION("""COMPUTED_VALUE"""),"
")</f>
        <v>
</v>
      </c>
      <c r="E61" s="17" t="str">
        <f>IFERROR(__xludf.DUMMYFUNCTION("""COMPUTED_VALUE"""),"
")</f>
        <v>
</v>
      </c>
      <c r="F61" s="17" t="str">
        <f>IFERROR(__xludf.DUMMYFUNCTION("""COMPUTED_VALUE"""),"
")</f>
        <v>
</v>
      </c>
      <c r="G61" s="17" t="str">
        <f>IFERROR(__xludf.DUMMYFUNCTION("""COMPUTED_VALUE"""),"
")</f>
        <v>
</v>
      </c>
      <c r="H61" s="17" t="str">
        <f>IFERROR(__xludf.DUMMYFUNCTION("""COMPUTED_VALUE"""),"
")</f>
        <v>
</v>
      </c>
      <c r="I61" s="17" t="str">
        <f>IFERROR(__xludf.DUMMYFUNCTION("""COMPUTED_VALUE"""),"
")</f>
        <v>
</v>
      </c>
      <c r="J61" s="17" t="str">
        <f>IFERROR(__xludf.DUMMYFUNCTION("""COMPUTED_VALUE"""),"
")</f>
        <v>
</v>
      </c>
      <c r="K61" s="17" t="str">
        <f>IFERROR(__xludf.DUMMYFUNCTION("""COMPUTED_VALUE"""),"
")</f>
        <v>
</v>
      </c>
      <c r="L61" s="17" t="str">
        <f>IFERROR(__xludf.DUMMYFUNCTION("""COMPUTED_VALUE"""),"
")</f>
        <v>
</v>
      </c>
      <c r="M61" s="17" t="str">
        <f>IFERROR(__xludf.DUMMYFUNCTION("""COMPUTED_VALUE"""),"
")</f>
        <v>
</v>
      </c>
      <c r="N61" s="17" t="str">
        <f>IFERROR(__xludf.DUMMYFUNCTION("""COMPUTED_VALUE"""),"
")</f>
        <v>
</v>
      </c>
      <c r="O61" s="17" t="str">
        <f>IFERROR(__xludf.DUMMYFUNCTION("""COMPUTED_VALUE"""),"
")</f>
        <v>
</v>
      </c>
      <c r="P61" s="17" t="str">
        <f>IFERROR(__xludf.DUMMYFUNCTION("""COMPUTED_VALUE"""),"
")</f>
        <v>
</v>
      </c>
      <c r="Q61" s="17" t="str">
        <f>IFERROR(__xludf.DUMMYFUNCTION("""COMPUTED_VALUE"""),"
")</f>
        <v>
</v>
      </c>
      <c r="R61" s="17" t="str">
        <f>IFERROR(__xludf.DUMMYFUNCTION("""COMPUTED_VALUE"""),"
")</f>
        <v>
</v>
      </c>
      <c r="S61" s="17" t="str">
        <f>IFERROR(__xludf.DUMMYFUNCTION("""COMPUTED_VALUE"""),"
")</f>
        <v>
</v>
      </c>
      <c r="T61" s="17" t="str">
        <f>IFERROR(__xludf.DUMMYFUNCTION("""COMPUTED_VALUE"""),"
")</f>
        <v>
</v>
      </c>
      <c r="U61" s="17" t="str">
        <f>IFERROR(__xludf.DUMMYFUNCTION("""COMPUTED_VALUE"""),"
")</f>
        <v>
</v>
      </c>
      <c r="V61" s="17" t="str">
        <f>IFERROR(__xludf.DUMMYFUNCTION("""COMPUTED_VALUE"""),"
")</f>
        <v>
</v>
      </c>
      <c r="W61" s="17" t="str">
        <f>IFERROR(__xludf.DUMMYFUNCTION("""COMPUTED_VALUE"""),"
")</f>
        <v>
</v>
      </c>
      <c r="X61" s="17" t="str">
        <f>IFERROR(__xludf.DUMMYFUNCTION("""COMPUTED_VALUE"""),"
")</f>
        <v>
</v>
      </c>
      <c r="Y61" s="17" t="str">
        <f>IFERROR(__xludf.DUMMYFUNCTION("""COMPUTED_VALUE"""),"
")</f>
        <v>
</v>
      </c>
      <c r="Z61" s="17" t="str">
        <f>IFERROR(__xludf.DUMMYFUNCTION("""COMPUTED_VALUE"""),"
")</f>
        <v>
</v>
      </c>
      <c r="AA61" s="17" t="str">
        <f>IFERROR(__xludf.DUMMYFUNCTION("""COMPUTED_VALUE"""),"
")</f>
        <v>
</v>
      </c>
      <c r="AB61" s="17" t="str">
        <f>IFERROR(__xludf.DUMMYFUNCTION("""COMPUTED_VALUE"""),"
")</f>
        <v>
</v>
      </c>
      <c r="AC61" s="17" t="str">
        <f>IFERROR(__xludf.DUMMYFUNCTION("""COMPUTED_VALUE"""),"
")</f>
        <v>
</v>
      </c>
    </row>
    <row r="62">
      <c r="A62" s="17" t="str">
        <f>IFERROR(__xludf.DUMMYFUNCTION("""COMPUTED_VALUE"""),"")</f>
        <v/>
      </c>
      <c r="B62" s="17" t="str">
        <f>IFERROR(__xludf.DUMMYFUNCTION("""COMPUTED_VALUE"""),"")</f>
        <v/>
      </c>
      <c r="C62" s="17" t="str">
        <f>IFERROR(__xludf.DUMMYFUNCTION("""COMPUTED_VALUE"""),"")</f>
        <v/>
      </c>
      <c r="D62" s="17" t="str">
        <f>IFERROR(__xludf.DUMMYFUNCTION("""COMPUTED_VALUE"""),"")</f>
        <v/>
      </c>
      <c r="E62" s="17" t="str">
        <f>IFERROR(__xludf.DUMMYFUNCTION("""COMPUTED_VALUE"""),"")</f>
        <v/>
      </c>
      <c r="F62" s="17" t="str">
        <f>IFERROR(__xludf.DUMMYFUNCTION("""COMPUTED_VALUE"""),"")</f>
        <v/>
      </c>
      <c r="G62" s="17" t="str">
        <f>IFERROR(__xludf.DUMMYFUNCTION("""COMPUTED_VALUE"""),"")</f>
        <v/>
      </c>
      <c r="H62" s="17" t="str">
        <f>IFERROR(__xludf.DUMMYFUNCTION("""COMPUTED_VALUE"""),"")</f>
        <v/>
      </c>
      <c r="I62" s="17" t="str">
        <f>IFERROR(__xludf.DUMMYFUNCTION("""COMPUTED_VALUE"""),"")</f>
        <v/>
      </c>
      <c r="J62" s="17" t="str">
        <f>IFERROR(__xludf.DUMMYFUNCTION("""COMPUTED_VALUE"""),"")</f>
        <v/>
      </c>
      <c r="K62" s="17" t="str">
        <f>IFERROR(__xludf.DUMMYFUNCTION("""COMPUTED_VALUE"""),"")</f>
        <v/>
      </c>
      <c r="L62" s="17" t="str">
        <f>IFERROR(__xludf.DUMMYFUNCTION("""COMPUTED_VALUE"""),"")</f>
        <v/>
      </c>
      <c r="M62" s="17" t="str">
        <f>IFERROR(__xludf.DUMMYFUNCTION("""COMPUTED_VALUE"""),"")</f>
        <v/>
      </c>
      <c r="N62" s="17" t="str">
        <f>IFERROR(__xludf.DUMMYFUNCTION("""COMPUTED_VALUE"""),"")</f>
        <v/>
      </c>
      <c r="O62" s="17" t="str">
        <f>IFERROR(__xludf.DUMMYFUNCTION("""COMPUTED_VALUE"""),"")</f>
        <v/>
      </c>
      <c r="P62" s="17" t="str">
        <f>IFERROR(__xludf.DUMMYFUNCTION("""COMPUTED_VALUE"""),"")</f>
        <v/>
      </c>
      <c r="Q62" s="17" t="str">
        <f>IFERROR(__xludf.DUMMYFUNCTION("""COMPUTED_VALUE"""),"")</f>
        <v/>
      </c>
      <c r="R62" s="17" t="str">
        <f>IFERROR(__xludf.DUMMYFUNCTION("""COMPUTED_VALUE"""),"")</f>
        <v/>
      </c>
      <c r="S62" s="17" t="str">
        <f>IFERROR(__xludf.DUMMYFUNCTION("""COMPUTED_VALUE"""),"")</f>
        <v/>
      </c>
      <c r="T62" s="17" t="str">
        <f>IFERROR(__xludf.DUMMYFUNCTION("""COMPUTED_VALUE"""),"")</f>
        <v/>
      </c>
      <c r="U62" s="17" t="str">
        <f>IFERROR(__xludf.DUMMYFUNCTION("""COMPUTED_VALUE"""),"")</f>
        <v/>
      </c>
      <c r="V62" s="17" t="str">
        <f>IFERROR(__xludf.DUMMYFUNCTION("""COMPUTED_VALUE"""),"")</f>
        <v/>
      </c>
      <c r="W62" s="17" t="str">
        <f>IFERROR(__xludf.DUMMYFUNCTION("""COMPUTED_VALUE"""),"")</f>
        <v/>
      </c>
      <c r="X62" s="17" t="str">
        <f>IFERROR(__xludf.DUMMYFUNCTION("""COMPUTED_VALUE"""),"")</f>
        <v/>
      </c>
      <c r="Y62" s="17" t="str">
        <f>IFERROR(__xludf.DUMMYFUNCTION("""COMPUTED_VALUE"""),"")</f>
        <v/>
      </c>
      <c r="Z62" s="17" t="str">
        <f>IFERROR(__xludf.DUMMYFUNCTION("""COMPUTED_VALUE"""),"")</f>
        <v/>
      </c>
      <c r="AA62" s="17" t="str">
        <f>IFERROR(__xludf.DUMMYFUNCTION("""COMPUTED_VALUE"""),"")</f>
        <v/>
      </c>
      <c r="AB62" s="17" t="str">
        <f>IFERROR(__xludf.DUMMYFUNCTION("""COMPUTED_VALUE"""),"")</f>
        <v/>
      </c>
      <c r="AC62" s="17" t="str">
        <f>IFERROR(__xludf.DUMMYFUNCTION("""COMPUTED_VALUE"""),"")</f>
        <v/>
      </c>
    </row>
    <row r="63">
      <c r="A63" s="17" t="str">
        <f>IFERROR(__xludf.DUMMYFUNCTION("""COMPUTED_VALUE"""),"Chapter 48: 41 Drag Out - Preamble Chen
Sea Snail Shells (Splatoon) 300:
You have a small breeding population of around 10 Super Sea Snails, large snails with crystalline, conical shells. The snails are hermaphroditic but and they live for around 15 years"&amp;". They're more than they seem, though they provide an invaluable service- Their shells can be used to imbue hats, shirts, and pairs of shoes with extra Ability Slots, or reroll the abilities of a clothing item with 3 full slots. This kills the Sea Snail, "&amp;"but if you're careful to keep up the population then eventually you might have an entire wardrobe of 3-slot clothing. Also, they're delicious when cooked right.
Entity")</f>
        <v>Chapter 48: 41 Drag Out - Preamble Chen
Sea Snail Shells (Splatoon) 300:
You have a small breeding population of around 10 Super Sea Snails, large snails with crystalline, conical shells. The snails are hermaphroditic but and they live for around 15 years. They're more than they seem, though they provide an invaluable service- Their shells can be used to imbue hats, shirts, and pairs of shoes with extra Ability Slots, or reroll the abilities of a clothing item with 3 full slots. This kills the Sea Snail, but if you're careful to keep up the population then eventually you might have an entire wardrobe of 3-slot clothing. Also, they're delicious when cooked right.
Entity</v>
      </c>
      <c r="B63" s="17" t="str">
        <f>IFERROR(__xludf.DUMMYFUNCTION("""COMPUTED_VALUE"""),"
")</f>
        <v>
</v>
      </c>
      <c r="C63" s="17" t="str">
        <f>IFERROR(__xludf.DUMMYFUNCTION("""COMPUTED_VALUE"""),"
")</f>
        <v>
</v>
      </c>
      <c r="D63" s="17" t="str">
        <f>IFERROR(__xludf.DUMMYFUNCTION("""COMPUTED_VALUE"""),"
")</f>
        <v>
</v>
      </c>
      <c r="E63" s="17" t="str">
        <f>IFERROR(__xludf.DUMMYFUNCTION("""COMPUTED_VALUE"""),"
")</f>
        <v>
</v>
      </c>
      <c r="F63" s="17" t="str">
        <f>IFERROR(__xludf.DUMMYFUNCTION("""COMPUTED_VALUE"""),"
")</f>
        <v>
</v>
      </c>
      <c r="G63" s="17" t="str">
        <f>IFERROR(__xludf.DUMMYFUNCTION("""COMPUTED_VALUE"""),"
")</f>
        <v>
</v>
      </c>
      <c r="H63" s="17" t="str">
        <f>IFERROR(__xludf.DUMMYFUNCTION("""COMPUTED_VALUE"""),"
")</f>
        <v>
</v>
      </c>
      <c r="I63" s="17" t="str">
        <f>IFERROR(__xludf.DUMMYFUNCTION("""COMPUTED_VALUE"""),"
")</f>
        <v>
</v>
      </c>
      <c r="J63" s="17" t="str">
        <f>IFERROR(__xludf.DUMMYFUNCTION("""COMPUTED_VALUE"""),"
")</f>
        <v>
</v>
      </c>
      <c r="K63" s="17" t="str">
        <f>IFERROR(__xludf.DUMMYFUNCTION("""COMPUTED_VALUE"""),"
")</f>
        <v>
</v>
      </c>
      <c r="L63" s="17" t="str">
        <f>IFERROR(__xludf.DUMMYFUNCTION("""COMPUTED_VALUE"""),"
")</f>
        <v>
</v>
      </c>
      <c r="M63" s="17" t="str">
        <f>IFERROR(__xludf.DUMMYFUNCTION("""COMPUTED_VALUE"""),"
")</f>
        <v>
</v>
      </c>
      <c r="N63" s="17" t="str">
        <f>IFERROR(__xludf.DUMMYFUNCTION("""COMPUTED_VALUE"""),"
")</f>
        <v>
</v>
      </c>
      <c r="O63" s="17" t="str">
        <f>IFERROR(__xludf.DUMMYFUNCTION("""COMPUTED_VALUE"""),"
")</f>
        <v>
</v>
      </c>
      <c r="P63" s="17" t="str">
        <f>IFERROR(__xludf.DUMMYFUNCTION("""COMPUTED_VALUE"""),"
")</f>
        <v>
</v>
      </c>
      <c r="Q63" s="17" t="str">
        <f>IFERROR(__xludf.DUMMYFUNCTION("""COMPUTED_VALUE"""),"
")</f>
        <v>
</v>
      </c>
      <c r="R63" s="17" t="str">
        <f>IFERROR(__xludf.DUMMYFUNCTION("""COMPUTED_VALUE"""),"
")</f>
        <v>
</v>
      </c>
      <c r="S63" s="17" t="str">
        <f>IFERROR(__xludf.DUMMYFUNCTION("""COMPUTED_VALUE"""),"
")</f>
        <v>
</v>
      </c>
      <c r="T63" s="17" t="str">
        <f>IFERROR(__xludf.DUMMYFUNCTION("""COMPUTED_VALUE"""),"
")</f>
        <v>
</v>
      </c>
      <c r="U63" s="17" t="str">
        <f>IFERROR(__xludf.DUMMYFUNCTION("""COMPUTED_VALUE"""),"
")</f>
        <v>
</v>
      </c>
      <c r="V63" s="17" t="str">
        <f>IFERROR(__xludf.DUMMYFUNCTION("""COMPUTED_VALUE"""),"
")</f>
        <v>
</v>
      </c>
      <c r="W63" s="17" t="str">
        <f>IFERROR(__xludf.DUMMYFUNCTION("""COMPUTED_VALUE"""),"
")</f>
        <v>
</v>
      </c>
      <c r="X63" s="17" t="str">
        <f>IFERROR(__xludf.DUMMYFUNCTION("""COMPUTED_VALUE"""),"
")</f>
        <v>
</v>
      </c>
      <c r="Y63" s="17" t="str">
        <f>IFERROR(__xludf.DUMMYFUNCTION("""COMPUTED_VALUE"""),"
")</f>
        <v>
</v>
      </c>
      <c r="Z63" s="17" t="str">
        <f>IFERROR(__xludf.DUMMYFUNCTION("""COMPUTED_VALUE"""),"
")</f>
        <v>
</v>
      </c>
      <c r="AA63" s="17" t="str">
        <f>IFERROR(__xludf.DUMMYFUNCTION("""COMPUTED_VALUE"""),"
")</f>
        <v>
</v>
      </c>
      <c r="AB63" s="17" t="str">
        <f>IFERROR(__xludf.DUMMYFUNCTION("""COMPUTED_VALUE"""),"
")</f>
        <v>
</v>
      </c>
      <c r="AC63" s="17" t="str">
        <f>IFERROR(__xludf.DUMMYFUNCTION("""COMPUTED_VALUE"""),"
")</f>
        <v>
</v>
      </c>
    </row>
    <row r="64">
      <c r="A64" s="17" t="str">
        <f>IFERROR(__xludf.DUMMYFUNCTION("""COMPUTED_VALUE"""),"Chapter 36: 30 Crescendo - Addendum Missy
Juggernaut (Terraria) 200:
Your armor is a lot more effective at doing what it does just by the sheer virtue of it being latched onto and wrapped around your fleshy bits. Not to get too far into the math of it, yo"&amp;"ur armor is about half-again more effective than it would be otherwise.
Personal")</f>
        <v>Chapter 36: 30 Crescendo - Addendum Missy
Juggernaut (Terraria) 200:
Your armor is a lot more effective at doing what it does just by the sheer virtue of it being latched onto and wrapped around your fleshy bits. Not to get too far into the math of it, your armor is about half-again more effective than it would be otherwise.
Personal</v>
      </c>
      <c r="B64" s="17" t="str">
        <f>IFERROR(__xludf.DUMMYFUNCTION("""COMPUTED_VALUE"""),"
")</f>
        <v>
</v>
      </c>
      <c r="C64" s="17" t="str">
        <f>IFERROR(__xludf.DUMMYFUNCTION("""COMPUTED_VALUE"""),"
")</f>
        <v>
</v>
      </c>
      <c r="D64" s="17" t="str">
        <f>IFERROR(__xludf.DUMMYFUNCTION("""COMPUTED_VALUE"""),"
")</f>
        <v>
</v>
      </c>
      <c r="E64" s="17" t="str">
        <f>IFERROR(__xludf.DUMMYFUNCTION("""COMPUTED_VALUE"""),"
")</f>
        <v>
</v>
      </c>
      <c r="F64" s="17" t="str">
        <f>IFERROR(__xludf.DUMMYFUNCTION("""COMPUTED_VALUE"""),"
")</f>
        <v>
</v>
      </c>
      <c r="G64" s="17" t="str">
        <f>IFERROR(__xludf.DUMMYFUNCTION("""COMPUTED_VALUE"""),"
")</f>
        <v>
</v>
      </c>
      <c r="H64" s="17" t="str">
        <f>IFERROR(__xludf.DUMMYFUNCTION("""COMPUTED_VALUE"""),"
")</f>
        <v>
</v>
      </c>
      <c r="I64" s="17" t="str">
        <f>IFERROR(__xludf.DUMMYFUNCTION("""COMPUTED_VALUE"""),"
")</f>
        <v>
</v>
      </c>
      <c r="J64" s="17" t="str">
        <f>IFERROR(__xludf.DUMMYFUNCTION("""COMPUTED_VALUE"""),"
")</f>
        <v>
</v>
      </c>
      <c r="K64" s="17" t="str">
        <f>IFERROR(__xludf.DUMMYFUNCTION("""COMPUTED_VALUE"""),"
")</f>
        <v>
</v>
      </c>
      <c r="L64" s="17" t="str">
        <f>IFERROR(__xludf.DUMMYFUNCTION("""COMPUTED_VALUE"""),"
")</f>
        <v>
</v>
      </c>
      <c r="M64" s="17" t="str">
        <f>IFERROR(__xludf.DUMMYFUNCTION("""COMPUTED_VALUE"""),"
")</f>
        <v>
</v>
      </c>
      <c r="N64" s="17" t="str">
        <f>IFERROR(__xludf.DUMMYFUNCTION("""COMPUTED_VALUE"""),"
")</f>
        <v>
</v>
      </c>
      <c r="O64" s="17" t="str">
        <f>IFERROR(__xludf.DUMMYFUNCTION("""COMPUTED_VALUE"""),"
")</f>
        <v>
</v>
      </c>
      <c r="P64" s="17" t="str">
        <f>IFERROR(__xludf.DUMMYFUNCTION("""COMPUTED_VALUE"""),"
")</f>
        <v>
</v>
      </c>
      <c r="Q64" s="17" t="str">
        <f>IFERROR(__xludf.DUMMYFUNCTION("""COMPUTED_VALUE"""),"
")</f>
        <v>
</v>
      </c>
      <c r="R64" s="17" t="str">
        <f>IFERROR(__xludf.DUMMYFUNCTION("""COMPUTED_VALUE"""),"
")</f>
        <v>
</v>
      </c>
      <c r="S64" s="17" t="str">
        <f>IFERROR(__xludf.DUMMYFUNCTION("""COMPUTED_VALUE"""),"
")</f>
        <v>
</v>
      </c>
      <c r="T64" s="17" t="str">
        <f>IFERROR(__xludf.DUMMYFUNCTION("""COMPUTED_VALUE"""),"
")</f>
        <v>
</v>
      </c>
      <c r="U64" s="17" t="str">
        <f>IFERROR(__xludf.DUMMYFUNCTION("""COMPUTED_VALUE"""),"
")</f>
        <v>
</v>
      </c>
      <c r="V64" s="17" t="str">
        <f>IFERROR(__xludf.DUMMYFUNCTION("""COMPUTED_VALUE"""),"
")</f>
        <v>
</v>
      </c>
      <c r="W64" s="17" t="str">
        <f>IFERROR(__xludf.DUMMYFUNCTION("""COMPUTED_VALUE"""),"
")</f>
        <v>
</v>
      </c>
      <c r="X64" s="17" t="str">
        <f>IFERROR(__xludf.DUMMYFUNCTION("""COMPUTED_VALUE"""),"
")</f>
        <v>
</v>
      </c>
      <c r="Y64" s="17" t="str">
        <f>IFERROR(__xludf.DUMMYFUNCTION("""COMPUTED_VALUE"""),"
")</f>
        <v>
</v>
      </c>
      <c r="Z64" s="17" t="str">
        <f>IFERROR(__xludf.DUMMYFUNCTION("""COMPUTED_VALUE"""),"
")</f>
        <v>
</v>
      </c>
      <c r="AA64" s="17" t="str">
        <f>IFERROR(__xludf.DUMMYFUNCTION("""COMPUTED_VALUE"""),"
")</f>
        <v>
</v>
      </c>
      <c r="AB64" s="17" t="str">
        <f>IFERROR(__xludf.DUMMYFUNCTION("""COMPUTED_VALUE"""),"
")</f>
        <v>
</v>
      </c>
      <c r="AC64" s="17" t="str">
        <f>IFERROR(__xludf.DUMMYFUNCTION("""COMPUTED_VALUE"""),"
")</f>
        <v>
</v>
      </c>
    </row>
    <row r="65">
      <c r="A65" s="17" t="str">
        <f>IFERROR(__xludf.DUMMYFUNCTION("""COMPUTED_VALUE"""),"Chapter 80: 61 Summit Confrontations
Fashion Nonvictim (The World Ends With You) 200:
For you, there is no such thing as suffering for the sake of fashion. As long as you wear fashionable clothing, you will always be perfectly comfortable no matter the we"&amp;"ather. You can make ill-fitting clothing look good on you with a couple subtle pins in the right places, and it'll always be comfortable no matter how big or small it is. Even in the thick of battle, you will be no worse off for your lack of armor- So lon"&amp;"g as you wear a single peice of armor, like a shoulderpad or gauntlet, your clothes will protect you as if they were a suit of armor made of the same material.
Fiat")</f>
        <v>Chapter 80: 61 Summit Confrontations
Fashion Nonvictim (The World Ends With You) 200:
For you, there is no such thing as suffering for the sake of fashion. As long as you wear fashionable clothing, you will always be perfectly comfortable no matter the weather. You can make ill-fitting clothing look good on you with a couple subtle pins in the right places, and it'll always be comfortable no matter how big or small it is. Even in the thick of battle, you will be no worse off for your lack of armor- So long as you wear a single peice of armor, like a shoulderpad or gauntlet, your clothes will protect you as if they were a suit of armor made of the same material.
Fiat</v>
      </c>
      <c r="B65" s="17" t="str">
        <f>IFERROR(__xludf.DUMMYFUNCTION("""COMPUTED_VALUE"""),"Chapter 80: 61 Summit Confrontations
Flaw - Doormat (The World Ends With You) Free?:
The Reaper's Game, above all else, is about personal growth. Only those who grow as a person and improve themselves are capable of freeing themselves from the game foreve"&amp;"r. Of course, in order to improve yourself, you have to have something to improve on. Here's a little help.
Doormat - Put simply, you're unassertive. You speak quietly, and it's easy to push you around - You generally go with whatever someone tells you to"&amp;" do, even if it's not really in your best interests, and you rarely come up with ideas on your own. Your partner will probably get tired real fast of having to tell you to do everything.
Revival OR Reaperdom
Revival:
Depending on what personality flaw you"&amp;" took, if you elect to press through and defeat it instead of becoming a Reaper you will earn an exclusive perk based upon your personality flaw.
Reaperdom:
Or, instead, you can take the easy way out and make a bargain for power. Reaperdom comes with a nu"&amp;"mber of benefits: First, you can now attune yourself to the UG or the RG as you see fit. When you're attuned to the UG, black skeletal wings manifest from your back. Attuning yourself to the UG makes you invisible and intangible. Attuning yourself to the "&amp;"UG also amplifies the power of your Psychs. Secondly, you can now fight Noise (or Players) on your own using a shadowy projection. You will be able to operate both bodies independently without confusion. However, it comes with a big caveat: Your continued"&amp;" existence depends upon the erasure of Players. If you don't erase any Players, then you will fade from existence after a week - So you must kill at least one Player in order to keep yourself alive. Considering that Reaper's Games might take place weeks o"&amp;"r even months apart, it's generally a good idea to erase mulitple players to ""bank up"" your timer. If you leave this world to go to another, then you will not need to kill people to sustain yourself, but you will need to kill people to access your Reape"&amp;"r powers. One kill will give you access to your powers for a week. These kills can be acheived directly or indirectly - So long as people died because of your actions, then it counts.
You also get access to exclusive Reaper perk Pin Creation
You have unlo"&amp;"cked the secret of creating pins. You can make custom pins with your own art on them, with the psych of your choice attached to them. You can still only use psychs you have purchased, but the pins you make will invariably be more powerful than anything yo"&amp;"u can buy.
Personal")</f>
        <v>Chapter 80: 61 Summit Confrontations
Flaw - Doormat (The World Ends With You) Free?:
The Reaper's Game, above all else, is about personal growth. Only those who grow as a person and improve themselves are capable of freeing themselves from the game forever. Of course, in order to improve yourself, you have to have something to improve on. Here's a little help.
Doormat - Put simply, you're unassertive. You speak quietly, and it's easy to push you around - You generally go with whatever someone tells you to do, even if it's not really in your best interests, and you rarely come up with ideas on your own. Your partner will probably get tired real fast of having to tell you to do everything.
Revival OR Reaperdom
Revival:
Depending on what personality flaw you took, if you elect to press through and defeat it instead of becoming a Reaper you will earn an exclusive perk based upon your personality flaw.
Reaperdom:
Or, instead, you can take the easy way out and make a bargain for power. Reaperdom comes with a number of benefits: First, you can now attune yourself to the UG or the RG as you see fit. When you're attuned to the UG, black skeletal wings manifest from your back. Attuning yourself to the UG makes you invisible and intangible. Attuning yourself to the UG also amplifies the power of your Psychs. Secondly, you can now fight Noise (or Players) on your own using a shadowy projection. You will be able to operate both bodies independently without confusion. However, it comes with a big caveat: Your continued existence depends upon the erasure of Players. If you don't erase any Players, then you will fade from existence after a week - So you must kill at least one Player in order to keep yourself alive. Considering that Reaper's Games might take place weeks or even months apart, it's generally a good idea to erase mulitple players to "bank up" your timer. If you leave this world to go to another, then you will not need to kill people to sustain yourself, but you will need to kill people to access your Reaper powers. One kill will give you access to your powers for a week. These kills can be acheived directly or indirectly - So long as people died because of your actions, then it counts.
You also get access to exclusive Reaper perk Pin Creation
You have unlocked the secret of creating pins. You can make custom pins with your own art on them, with the psych of your choice attached to them. You can still only use psychs you have purchased, but the pins you make will invariably be more powerful than anything you can buy.
Personal</v>
      </c>
      <c r="C65" s="17" t="str">
        <f>IFERROR(__xludf.DUMMYFUNCTION("""COMPUTED_VALUE"""),"Chapter 101: 74 Hard Talk
Mental Fortress (The World Ends With You) Free!:
Your sense of individuality and self is so strong that invasive influences find your mind impenetrable. Whether it's Mind Control, Emotion Manipulation, Thought Reading, or any oth"&amp;"er kind of mind-messing mojo - You are the sole master of your own psyche. You can also see through outside manipulation and illusion more easily. Your art becomes famous for its originality and unique style, whatever you decide to apply this to.
Fiat, Sk"&amp;"ill")</f>
        <v>Chapter 101: 74 Hard Talk
Mental Fortress (The World Ends With You) Free!:
Your sense of individuality and self is so strong that invasive influences find your mind impenetrable. Whether it's Mind Control, Emotion Manipulation, Thought Reading, or any other kind of mind-messing mojo - You are the sole master of your own psyche. You can also see through outside manipulation and illusion more easily. Your art becomes famous for its originality and unique style, whatever you decide to apply this to.
Fiat, Skill</v>
      </c>
      <c r="D65" s="17" t="str">
        <f>IFERROR(__xludf.DUMMYFUNCTION("""COMPUTED_VALUE"""),"
")</f>
        <v>
</v>
      </c>
      <c r="E65" s="17" t="str">
        <f>IFERROR(__xludf.DUMMYFUNCTION("""COMPUTED_VALUE"""),"
")</f>
        <v>
</v>
      </c>
      <c r="F65" s="17" t="str">
        <f>IFERROR(__xludf.DUMMYFUNCTION("""COMPUTED_VALUE"""),"
")</f>
        <v>
</v>
      </c>
      <c r="G65" s="17" t="str">
        <f>IFERROR(__xludf.DUMMYFUNCTION("""COMPUTED_VALUE"""),"
")</f>
        <v>
</v>
      </c>
      <c r="H65" s="17" t="str">
        <f>IFERROR(__xludf.DUMMYFUNCTION("""COMPUTED_VALUE"""),"
")</f>
        <v>
</v>
      </c>
      <c r="I65" s="17" t="str">
        <f>IFERROR(__xludf.DUMMYFUNCTION("""COMPUTED_VALUE"""),"
")</f>
        <v>
</v>
      </c>
      <c r="J65" s="17" t="str">
        <f>IFERROR(__xludf.DUMMYFUNCTION("""COMPUTED_VALUE"""),"
")</f>
        <v>
</v>
      </c>
      <c r="K65" s="17" t="str">
        <f>IFERROR(__xludf.DUMMYFUNCTION("""COMPUTED_VALUE"""),"
")</f>
        <v>
</v>
      </c>
      <c r="L65" s="17" t="str">
        <f>IFERROR(__xludf.DUMMYFUNCTION("""COMPUTED_VALUE"""),"
")</f>
        <v>
</v>
      </c>
      <c r="M65" s="17" t="str">
        <f>IFERROR(__xludf.DUMMYFUNCTION("""COMPUTED_VALUE"""),"
")</f>
        <v>
</v>
      </c>
      <c r="N65" s="17" t="str">
        <f>IFERROR(__xludf.DUMMYFUNCTION("""COMPUTED_VALUE"""),"
")</f>
        <v>
</v>
      </c>
      <c r="O65" s="17" t="str">
        <f>IFERROR(__xludf.DUMMYFUNCTION("""COMPUTED_VALUE"""),"
")</f>
        <v>
</v>
      </c>
      <c r="P65" s="17" t="str">
        <f>IFERROR(__xludf.DUMMYFUNCTION("""COMPUTED_VALUE"""),"
")</f>
        <v>
</v>
      </c>
      <c r="Q65" s="17" t="str">
        <f>IFERROR(__xludf.DUMMYFUNCTION("""COMPUTED_VALUE"""),"
")</f>
        <v>
</v>
      </c>
      <c r="R65" s="17" t="str">
        <f>IFERROR(__xludf.DUMMYFUNCTION("""COMPUTED_VALUE"""),"
")</f>
        <v>
</v>
      </c>
      <c r="S65" s="17" t="str">
        <f>IFERROR(__xludf.DUMMYFUNCTION("""COMPUTED_VALUE"""),"
")</f>
        <v>
</v>
      </c>
      <c r="T65" s="17" t="str">
        <f>IFERROR(__xludf.DUMMYFUNCTION("""COMPUTED_VALUE"""),"
")</f>
        <v>
</v>
      </c>
      <c r="U65" s="17" t="str">
        <f>IFERROR(__xludf.DUMMYFUNCTION("""COMPUTED_VALUE"""),"
")</f>
        <v>
</v>
      </c>
      <c r="V65" s="17" t="str">
        <f>IFERROR(__xludf.DUMMYFUNCTION("""COMPUTED_VALUE"""),"
")</f>
        <v>
</v>
      </c>
      <c r="W65" s="17" t="str">
        <f>IFERROR(__xludf.DUMMYFUNCTION("""COMPUTED_VALUE"""),"
")</f>
        <v>
</v>
      </c>
      <c r="X65" s="17" t="str">
        <f>IFERROR(__xludf.DUMMYFUNCTION("""COMPUTED_VALUE"""),"
")</f>
        <v>
</v>
      </c>
      <c r="Y65" s="17" t="str">
        <f>IFERROR(__xludf.DUMMYFUNCTION("""COMPUTED_VALUE"""),"
")</f>
        <v>
</v>
      </c>
      <c r="Z65" s="17" t="str">
        <f>IFERROR(__xludf.DUMMYFUNCTION("""COMPUTED_VALUE"""),"
")</f>
        <v>
</v>
      </c>
      <c r="AA65" s="17" t="str">
        <f>IFERROR(__xludf.DUMMYFUNCTION("""COMPUTED_VALUE"""),"
")</f>
        <v>
</v>
      </c>
      <c r="AB65" s="17" t="str">
        <f>IFERROR(__xludf.DUMMYFUNCTION("""COMPUTED_VALUE"""),"
")</f>
        <v>
</v>
      </c>
      <c r="AC65" s="17" t="str">
        <f>IFERROR(__xludf.DUMMYFUNCTION("""COMPUTED_VALUE"""),"
")</f>
        <v>
</v>
      </c>
    </row>
    <row r="66">
      <c r="A66" s="17" t="str">
        <f>IFERROR(__xludf.DUMMYFUNCTION("""COMPUTED_VALUE"""),"")</f>
        <v/>
      </c>
      <c r="B66" s="17" t="str">
        <f>IFERROR(__xludf.DUMMYFUNCTION("""COMPUTED_VALUE"""),"")</f>
        <v/>
      </c>
      <c r="C66" s="17" t="str">
        <f>IFERROR(__xludf.DUMMYFUNCTION("""COMPUTED_VALUE"""),"")</f>
        <v/>
      </c>
      <c r="D66" s="17" t="str">
        <f>IFERROR(__xludf.DUMMYFUNCTION("""COMPUTED_VALUE"""),"")</f>
        <v/>
      </c>
      <c r="E66" s="17" t="str">
        <f>IFERROR(__xludf.DUMMYFUNCTION("""COMPUTED_VALUE"""),"")</f>
        <v/>
      </c>
      <c r="F66" s="17" t="str">
        <f>IFERROR(__xludf.DUMMYFUNCTION("""COMPUTED_VALUE"""),"")</f>
        <v/>
      </c>
      <c r="G66" s="17" t="str">
        <f>IFERROR(__xludf.DUMMYFUNCTION("""COMPUTED_VALUE"""),"")</f>
        <v/>
      </c>
      <c r="H66" s="17" t="str">
        <f>IFERROR(__xludf.DUMMYFUNCTION("""COMPUTED_VALUE"""),"")</f>
        <v/>
      </c>
      <c r="I66" s="17" t="str">
        <f>IFERROR(__xludf.DUMMYFUNCTION("""COMPUTED_VALUE"""),"")</f>
        <v/>
      </c>
      <c r="J66" s="17" t="str">
        <f>IFERROR(__xludf.DUMMYFUNCTION("""COMPUTED_VALUE"""),"")</f>
        <v/>
      </c>
      <c r="K66" s="17" t="str">
        <f>IFERROR(__xludf.DUMMYFUNCTION("""COMPUTED_VALUE"""),"")</f>
        <v/>
      </c>
      <c r="L66" s="17" t="str">
        <f>IFERROR(__xludf.DUMMYFUNCTION("""COMPUTED_VALUE"""),"")</f>
        <v/>
      </c>
      <c r="M66" s="17" t="str">
        <f>IFERROR(__xludf.DUMMYFUNCTION("""COMPUTED_VALUE"""),"")</f>
        <v/>
      </c>
      <c r="N66" s="17" t="str">
        <f>IFERROR(__xludf.DUMMYFUNCTION("""COMPUTED_VALUE"""),"")</f>
        <v/>
      </c>
      <c r="O66" s="17" t="str">
        <f>IFERROR(__xludf.DUMMYFUNCTION("""COMPUTED_VALUE"""),"")</f>
        <v/>
      </c>
      <c r="P66" s="17" t="str">
        <f>IFERROR(__xludf.DUMMYFUNCTION("""COMPUTED_VALUE"""),"")</f>
        <v/>
      </c>
      <c r="Q66" s="17" t="str">
        <f>IFERROR(__xludf.DUMMYFUNCTION("""COMPUTED_VALUE"""),"")</f>
        <v/>
      </c>
      <c r="R66" s="17" t="str">
        <f>IFERROR(__xludf.DUMMYFUNCTION("""COMPUTED_VALUE"""),"")</f>
        <v/>
      </c>
      <c r="S66" s="17" t="str">
        <f>IFERROR(__xludf.DUMMYFUNCTION("""COMPUTED_VALUE"""),"")</f>
        <v/>
      </c>
      <c r="T66" s="17" t="str">
        <f>IFERROR(__xludf.DUMMYFUNCTION("""COMPUTED_VALUE"""),"")</f>
        <v/>
      </c>
      <c r="U66" s="17" t="str">
        <f>IFERROR(__xludf.DUMMYFUNCTION("""COMPUTED_VALUE"""),"")</f>
        <v/>
      </c>
      <c r="V66" s="17" t="str">
        <f>IFERROR(__xludf.DUMMYFUNCTION("""COMPUTED_VALUE"""),"")</f>
        <v/>
      </c>
      <c r="W66" s="17" t="str">
        <f>IFERROR(__xludf.DUMMYFUNCTION("""COMPUTED_VALUE"""),"")</f>
        <v/>
      </c>
      <c r="X66" s="17" t="str">
        <f>IFERROR(__xludf.DUMMYFUNCTION("""COMPUTED_VALUE"""),"")</f>
        <v/>
      </c>
      <c r="Y66" s="17" t="str">
        <f>IFERROR(__xludf.DUMMYFUNCTION("""COMPUTED_VALUE"""),"")</f>
        <v/>
      </c>
      <c r="Z66" s="17" t="str">
        <f>IFERROR(__xludf.DUMMYFUNCTION("""COMPUTED_VALUE"""),"")</f>
        <v/>
      </c>
      <c r="AA66" s="17" t="str">
        <f>IFERROR(__xludf.DUMMYFUNCTION("""COMPUTED_VALUE"""),"")</f>
        <v/>
      </c>
      <c r="AB66" s="17" t="str">
        <f>IFERROR(__xludf.DUMMYFUNCTION("""COMPUTED_VALUE"""),"")</f>
        <v/>
      </c>
      <c r="AC66" s="17" t="str">
        <f>IFERROR(__xludf.DUMMYFUNCTION("""COMPUTED_VALUE"""),"")</f>
        <v/>
      </c>
    </row>
    <row r="67">
      <c r="A67" s="17" t="str">
        <f>IFERROR(__xludf.DUMMYFUNCTION("""COMPUTED_VALUE"""),"")</f>
        <v/>
      </c>
      <c r="B67" s="17" t="str">
        <f>IFERROR(__xludf.DUMMYFUNCTION("""COMPUTED_VALUE"""),"")</f>
        <v/>
      </c>
      <c r="C67" s="17" t="str">
        <f>IFERROR(__xludf.DUMMYFUNCTION("""COMPUTED_VALUE"""),"")</f>
        <v/>
      </c>
      <c r="D67" s="17" t="str">
        <f>IFERROR(__xludf.DUMMYFUNCTION("""COMPUTED_VALUE"""),"")</f>
        <v/>
      </c>
      <c r="E67" s="17" t="str">
        <f>IFERROR(__xludf.DUMMYFUNCTION("""COMPUTED_VALUE"""),"")</f>
        <v/>
      </c>
      <c r="F67" s="17" t="str">
        <f>IFERROR(__xludf.DUMMYFUNCTION("""COMPUTED_VALUE"""),"")</f>
        <v/>
      </c>
      <c r="G67" s="17" t="str">
        <f>IFERROR(__xludf.DUMMYFUNCTION("""COMPUTED_VALUE"""),"")</f>
        <v/>
      </c>
      <c r="H67" s="17" t="str">
        <f>IFERROR(__xludf.DUMMYFUNCTION("""COMPUTED_VALUE"""),"")</f>
        <v/>
      </c>
      <c r="I67" s="17" t="str">
        <f>IFERROR(__xludf.DUMMYFUNCTION("""COMPUTED_VALUE"""),"")</f>
        <v/>
      </c>
      <c r="J67" s="17" t="str">
        <f>IFERROR(__xludf.DUMMYFUNCTION("""COMPUTED_VALUE"""),"")</f>
        <v/>
      </c>
      <c r="K67" s="17" t="str">
        <f>IFERROR(__xludf.DUMMYFUNCTION("""COMPUTED_VALUE"""),"")</f>
        <v/>
      </c>
      <c r="L67" s="17" t="str">
        <f>IFERROR(__xludf.DUMMYFUNCTION("""COMPUTED_VALUE"""),"")</f>
        <v/>
      </c>
      <c r="M67" s="17" t="str">
        <f>IFERROR(__xludf.DUMMYFUNCTION("""COMPUTED_VALUE"""),"")</f>
        <v/>
      </c>
      <c r="N67" s="17" t="str">
        <f>IFERROR(__xludf.DUMMYFUNCTION("""COMPUTED_VALUE"""),"")</f>
        <v/>
      </c>
      <c r="O67" s="17" t="str">
        <f>IFERROR(__xludf.DUMMYFUNCTION("""COMPUTED_VALUE"""),"")</f>
        <v/>
      </c>
      <c r="P67" s="17" t="str">
        <f>IFERROR(__xludf.DUMMYFUNCTION("""COMPUTED_VALUE"""),"")</f>
        <v/>
      </c>
      <c r="Q67" s="17" t="str">
        <f>IFERROR(__xludf.DUMMYFUNCTION("""COMPUTED_VALUE"""),"")</f>
        <v/>
      </c>
      <c r="R67" s="17" t="str">
        <f>IFERROR(__xludf.DUMMYFUNCTION("""COMPUTED_VALUE"""),"")</f>
        <v/>
      </c>
      <c r="S67" s="17" t="str">
        <f>IFERROR(__xludf.DUMMYFUNCTION("""COMPUTED_VALUE"""),"")</f>
        <v/>
      </c>
      <c r="T67" s="17" t="str">
        <f>IFERROR(__xludf.DUMMYFUNCTION("""COMPUTED_VALUE"""),"")</f>
        <v/>
      </c>
      <c r="U67" s="17" t="str">
        <f>IFERROR(__xludf.DUMMYFUNCTION("""COMPUTED_VALUE"""),"")</f>
        <v/>
      </c>
      <c r="V67" s="17" t="str">
        <f>IFERROR(__xludf.DUMMYFUNCTION("""COMPUTED_VALUE"""),"")</f>
        <v/>
      </c>
      <c r="W67" s="17" t="str">
        <f>IFERROR(__xludf.DUMMYFUNCTION("""COMPUTED_VALUE"""),"")</f>
        <v/>
      </c>
      <c r="X67" s="17" t="str">
        <f>IFERROR(__xludf.DUMMYFUNCTION("""COMPUTED_VALUE"""),"")</f>
        <v/>
      </c>
      <c r="Y67" s="17" t="str">
        <f>IFERROR(__xludf.DUMMYFUNCTION("""COMPUTED_VALUE"""),"")</f>
        <v/>
      </c>
      <c r="Z67" s="17" t="str">
        <f>IFERROR(__xludf.DUMMYFUNCTION("""COMPUTED_VALUE"""),"")</f>
        <v/>
      </c>
      <c r="AA67" s="17" t="str">
        <f>IFERROR(__xludf.DUMMYFUNCTION("""COMPUTED_VALUE"""),"")</f>
        <v/>
      </c>
      <c r="AB67" s="17" t="str">
        <f>IFERROR(__xludf.DUMMYFUNCTION("""COMPUTED_VALUE"""),"")</f>
        <v/>
      </c>
      <c r="AC67" s="17" t="str">
        <f>IFERROR(__xludf.DUMMYFUNCTION("""COMPUTED_VALUE"""),"")</f>
        <v/>
      </c>
    </row>
    <row r="68">
      <c r="A68" s="17" t="str">
        <f>IFERROR(__xludf.DUMMYFUNCTION("""COMPUTED_VALUE"""),"Chapter 22: 17 Confrontation
Weapon Modifications (Archer) 100:
You design and modify weapons with flair, creativity, and skill.
Skill")</f>
        <v>Chapter 22: 17 Confrontation
Weapon Modifications (Archer) 100:
You design and modify weapons with flair, creativity, and skill.
Skill</v>
      </c>
      <c r="B68" s="17" t="str">
        <f>IFERROR(__xludf.DUMMYFUNCTION("""COMPUTED_VALUE"""),"
")</f>
        <v>
</v>
      </c>
      <c r="C68" s="17" t="str">
        <f>IFERROR(__xludf.DUMMYFUNCTION("""COMPUTED_VALUE"""),"
")</f>
        <v>
</v>
      </c>
      <c r="D68" s="17" t="str">
        <f>IFERROR(__xludf.DUMMYFUNCTION("""COMPUTED_VALUE"""),"
")</f>
        <v>
</v>
      </c>
      <c r="E68" s="17" t="str">
        <f>IFERROR(__xludf.DUMMYFUNCTION("""COMPUTED_VALUE"""),"
")</f>
        <v>
</v>
      </c>
      <c r="F68" s="17" t="str">
        <f>IFERROR(__xludf.DUMMYFUNCTION("""COMPUTED_VALUE"""),"
")</f>
        <v>
</v>
      </c>
      <c r="G68" s="17" t="str">
        <f>IFERROR(__xludf.DUMMYFUNCTION("""COMPUTED_VALUE"""),"
")</f>
        <v>
</v>
      </c>
      <c r="H68" s="17" t="str">
        <f>IFERROR(__xludf.DUMMYFUNCTION("""COMPUTED_VALUE"""),"
")</f>
        <v>
</v>
      </c>
      <c r="I68" s="17" t="str">
        <f>IFERROR(__xludf.DUMMYFUNCTION("""COMPUTED_VALUE"""),"
")</f>
        <v>
</v>
      </c>
      <c r="J68" s="17" t="str">
        <f>IFERROR(__xludf.DUMMYFUNCTION("""COMPUTED_VALUE"""),"
")</f>
        <v>
</v>
      </c>
      <c r="K68" s="17" t="str">
        <f>IFERROR(__xludf.DUMMYFUNCTION("""COMPUTED_VALUE"""),"
")</f>
        <v>
</v>
      </c>
      <c r="L68" s="17" t="str">
        <f>IFERROR(__xludf.DUMMYFUNCTION("""COMPUTED_VALUE"""),"
")</f>
        <v>
</v>
      </c>
      <c r="M68" s="17" t="str">
        <f>IFERROR(__xludf.DUMMYFUNCTION("""COMPUTED_VALUE"""),"
")</f>
        <v>
</v>
      </c>
      <c r="N68" s="17" t="str">
        <f>IFERROR(__xludf.DUMMYFUNCTION("""COMPUTED_VALUE"""),"
")</f>
        <v>
</v>
      </c>
      <c r="O68" s="17" t="str">
        <f>IFERROR(__xludf.DUMMYFUNCTION("""COMPUTED_VALUE"""),"
")</f>
        <v>
</v>
      </c>
      <c r="P68" s="17" t="str">
        <f>IFERROR(__xludf.DUMMYFUNCTION("""COMPUTED_VALUE"""),"
")</f>
        <v>
</v>
      </c>
      <c r="Q68" s="17" t="str">
        <f>IFERROR(__xludf.DUMMYFUNCTION("""COMPUTED_VALUE"""),"
")</f>
        <v>
</v>
      </c>
      <c r="R68" s="17" t="str">
        <f>IFERROR(__xludf.DUMMYFUNCTION("""COMPUTED_VALUE"""),"
")</f>
        <v>
</v>
      </c>
      <c r="S68" s="17" t="str">
        <f>IFERROR(__xludf.DUMMYFUNCTION("""COMPUTED_VALUE"""),"
")</f>
        <v>
</v>
      </c>
      <c r="T68" s="17" t="str">
        <f>IFERROR(__xludf.DUMMYFUNCTION("""COMPUTED_VALUE"""),"
")</f>
        <v>
</v>
      </c>
      <c r="U68" s="17" t="str">
        <f>IFERROR(__xludf.DUMMYFUNCTION("""COMPUTED_VALUE"""),"
")</f>
        <v>
</v>
      </c>
      <c r="V68" s="17" t="str">
        <f>IFERROR(__xludf.DUMMYFUNCTION("""COMPUTED_VALUE"""),"
")</f>
        <v>
</v>
      </c>
      <c r="W68" s="17" t="str">
        <f>IFERROR(__xludf.DUMMYFUNCTION("""COMPUTED_VALUE"""),"
")</f>
        <v>
</v>
      </c>
      <c r="X68" s="17" t="str">
        <f>IFERROR(__xludf.DUMMYFUNCTION("""COMPUTED_VALUE"""),"
")</f>
        <v>
</v>
      </c>
      <c r="Y68" s="17" t="str">
        <f>IFERROR(__xludf.DUMMYFUNCTION("""COMPUTED_VALUE"""),"
")</f>
        <v>
</v>
      </c>
      <c r="Z68" s="17" t="str">
        <f>IFERROR(__xludf.DUMMYFUNCTION("""COMPUTED_VALUE"""),"
")</f>
        <v>
</v>
      </c>
      <c r="AA68" s="17" t="str">
        <f>IFERROR(__xludf.DUMMYFUNCTION("""COMPUTED_VALUE"""),"
")</f>
        <v>
</v>
      </c>
      <c r="AB68" s="17" t="str">
        <f>IFERROR(__xludf.DUMMYFUNCTION("""COMPUTED_VALUE"""),"
")</f>
        <v>
</v>
      </c>
      <c r="AC68" s="17" t="str">
        <f>IFERROR(__xludf.DUMMYFUNCTION("""COMPUTED_VALUE"""),"
")</f>
        <v>
</v>
      </c>
    </row>
    <row r="69">
      <c r="A69" s="17" t="str">
        <f>IFERROR(__xludf.DUMMYFUNCTION("""COMPUTED_VALUE"""),"Chapter 141: 96.1 Interlude Uppercrust
Workshop Artisan (Bloodborne) 300:
As if taught at the long gone workshop, you seem to possess knowledge and skill with many of their crafting techniques. You have been granted the knowledge and skills needed to both"&amp;" repair and even create your own Trick Weapons and Hunter's Tools. Trick Weapons are weapons with a variety of special abilities relating to their form. The most common type of Trick Weapons are those that can transform in some manner. An example being sw"&amp;"ords that can lock into specialized sheaths in order to become different weapons, sometimes radically so. Not to say transformation is the only ability, there are also melee weapons with guns attached, and maces that can be charged with unnatural blue ele"&amp;"ctricity to deal massive damage. Hunter's Tools are pieces of equipment with special abilities activated by using Blood Bullets or Quicksilver Bullets as a medium. Hunter's Tools are usually supernatural items that have been made to work using a Blood/Qui"&amp;"cksilver Bullet medium, such as the Beast Roar, a beast's claw that when activated, allows the wielder to roar like a beast. Some Hunter's Tools are completely manmade as well, though this is a relative minority. Basically, you now know how to convert thi"&amp;"ngs into being activated and powered by Blood Bullets and Quicksilver Bullets. Doing so allows anyone to use them, even if they are completely mundane beings, so long as they have the bullets mentioned above on their person. When making Hunter's Tools, re"&amp;"member that the more power something requires, the bullets the wielder will need. These skills granted to you may be honed over time, just as any other skill can.
System")</f>
        <v>Chapter 141: 96.1 Interlude Uppercrust
Workshop Artisan (Bloodborne) 300:
As if taught at the long gone workshop, you seem to possess knowledge and skill with many of their crafting techniques. You have been granted the knowledge and skills needed to both repair and even create your own Trick Weapons and Hunter's Tools. Trick Weapons are weapons with a variety of special abilities relating to their form. The most common type of Trick Weapons are those that can transform in some manner. An example being swords that can lock into specialized sheaths in order to become different weapons, sometimes radically so. Not to say transformation is the only ability, there are also melee weapons with guns attached, and maces that can be charged with unnatural blue electricity to deal massive damage. Hunter's Tools are pieces of equipment with special abilities activated by using Blood Bullets or Quicksilver Bullets as a medium. Hunter's Tools are usually supernatural items that have been made to work using a Blood/Quicksilver Bullet medium, such as the Beast Roar, a beast's claw that when activated, allows the wielder to roar like a beast. Some Hunter's Tools are completely manmade as well, though this is a relative minority. Basically, you now know how to convert things into being activated and powered by Blood Bullets and Quicksilver Bullets. Doing so allows anyone to use them, even if they are completely mundane beings, so long as they have the bullets mentioned above on their person. When making Hunter's Tools, remember that the more power something requires, the bullets the wielder will need. These skills granted to you may be honed over time, just as any other skill can.
System</v>
      </c>
      <c r="B69" s="17" t="str">
        <f>IFERROR(__xludf.DUMMYFUNCTION("""COMPUTED_VALUE"""),"Chapter 141: 96.1 Interlude Uppercrust
Rally (Bloodborne) Free:
After being hurt or damaged in some way, you have a short window of time where bathing yourself in the blood of your enemies will trigger a small bit of rapid recovery. It's never very much h"&amp;"ealing, meaning you're very unlikely to make a full recovery from anything too serious, but every little bit helps. You don't necessarily have to be drenched in blood, but the amount required to trigger Rally will be quite noticeable.
Personal")</f>
        <v>Chapter 141: 96.1 Interlude Uppercrust
Rally (Bloodborne) Free:
After being hurt or damaged in some way, you have a short window of time where bathing yourself in the blood of your enemies will trigger a small bit of rapid recovery. It's never very much healing, meaning you're very unlikely to make a full recovery from anything too serious, but every little bit helps. You don't necessarily have to be drenched in blood, but the amount required to trigger Rally will be quite noticeable.
Personal</v>
      </c>
      <c r="C69" s="17" t="str">
        <f>IFERROR(__xludf.DUMMYFUNCTION("""COMPUTED_VALUE"""),"Chapter 141: 96.1 Interlude Uppercrust
Blood Bullets (Bloodborne) Free:
At any time, you may sacrifice a significant percentage of your blood to create a small supply of five blood bullets. When loaded into a weapon, they will change shape to match the ne"&amp;"cessary ammo type. A blood bullet loaded into a pistol will match the caliber, while a blood bullet loaded into a shotgun will become a shell filled with blood buck shot. You may not make any more than five at one time, additional attempts will just point"&amp;"lessly drain you of blood as the bullets fail to keep shape. A single blood bullet is unable to take the shape of significantly larger projectiles, such as cannon balls, but if multiple bullets with a combined mass equal or at least close to the desired p"&amp;"rojectile are placed together, they will fuse and assume the proper shape. Blood Bullets are able to become liquid fuel for certain weapons, such as flamethrowers. Blood Bullets are unable to assume the shape of projectiles that are too complex.
Ability")</f>
        <v>Chapter 141: 96.1 Interlude Uppercrust
Blood Bullets (Bloodborne) Free:
At any time, you may sacrifice a significant percentage of your blood to create a small supply of five blood bullets. When loaded into a weapon, they will change shape to match the necessary ammo type. A blood bullet loaded into a pistol will match the caliber, while a blood bullet loaded into a shotgun will become a shell filled with blood buck shot. You may not make any more than five at one time, additional attempts will just pointlessly drain you of blood as the bullets fail to keep shape. A single blood bullet is unable to take the shape of significantly larger projectiles, such as cannon balls, but if multiple bullets with a combined mass equal or at least close to the desired projectile are placed together, they will fuse and assume the proper shape. Blood Bullets are able to become liquid fuel for certain weapons, such as flamethrowers. Blood Bullets are unable to assume the shape of projectiles that are too complex.
Ability</v>
      </c>
      <c r="D69" s="17" t="str">
        <f>IFERROR(__xludf.DUMMYFUNCTION("""COMPUTED_VALUE"""),"Chapter 141: 96.1 Interlude Uppercrust
Gifts from the Little Ones (Bloodborne) Free:
You are given a choice of one of three trick melee weapons, and one of two projectile weapons. you will receive the two weapons of your choosing one day after beginning y"&amp;"our journey. The first trick weapon you may choose is the Saw Cleaver, a saw with large teeth that can flip open to be wielded similarly to a sword. The second is the Hunter's Axe, a large hand axe with a handle that can be extended so it may be wielded w"&amp;"ith two hands. The third trick weapon is the threaded cane, a sturdy metal cane that can transform into a bladed chain whip. The first projectile weapon is the Hunter Pistol, a quick, simple, high damage weapon that's handy at short to medium range. Your "&amp;"other option is the Blunderbuss, a heavier weapon that fires a wide spread, effective at close ranges, against small groups of enemies.
Item")</f>
        <v>Chapter 141: 96.1 Interlude Uppercrust
Gifts from the Little Ones (Bloodborne) Free:
You are given a choice of one of three trick melee weapons, and one of two projectile weapons. you will receive the two weapons of your choosing one day after beginning your journey. The first trick weapon you may choose is the Saw Cleaver, a saw with large teeth that can flip open to be wielded similarly to a sword. The second is the Hunter's Axe, a large hand axe with a handle that can be extended so it may be wielded with two hands. The third trick weapon is the threaded cane, a sturdy metal cane that can transform into a bladed chain whip. The first projectile weapon is the Hunter Pistol, a quick, simple, high damage weapon that's handy at short to medium range. Your other option is the Blunderbuss, a heavier weapon that fires a wide spread, effective at close ranges, against small groups of enemies.
Item</v>
      </c>
      <c r="E69" s="17" t="str">
        <f>IFERROR(__xludf.DUMMYFUNCTION("""COMPUTED_VALUE"""),"Chapter 141: 96.1 Interlude Uppercrust
Bag of Quicksilver Bullets (Bloodborne) Free:
A curious bag full of quicksilver bullets. These bullets are fused with the wielders blood and will prove quite useful during the hunt while facing beasts of various sort"&amp;"s. These bullets, much like Blood Bullets, can assume the shape of larger projectiles by loading them together. The bag is small and easy to carry, but has the odd ability to hold 20 quicksilver bullets at a time.
Item")</f>
        <v>Chapter 141: 96.1 Interlude Uppercrust
Bag of Quicksilver Bullets (Bloodborne) Free:
A curious bag full of quicksilver bullets. These bullets are fused with the wielders blood and will prove quite useful during the hunt while facing beasts of various sorts. These bullets, much like Blood Bullets, can assume the shape of larger projectiles by loading them together. The bag is small and easy to carry, but has the odd ability to hold 20 quicksilver bullets at a time.
Item</v>
      </c>
      <c r="F69" s="17" t="str">
        <f>IFERROR(__xludf.DUMMYFUNCTION("""COMPUTED_VALUE"""),"Chapter 141: 96.1 Interlude Uppercrust
Bag of Blood Vials (Bloodborne) Free:
Special blood used in ministration. When injected, the user will rapidly recover from minor and middling injuries such as scratches, bruises, gashes, fractures and blood loss. A "&amp;"single vial's worth of this special blood is unable to regenerate lost limbs, large broken bones or other more severe injuries, but more blood injected equals more healing. The bag is given to you full, somehow containing 20 Blood Vials despite its small "&amp;"size.
Item")</f>
        <v>Chapter 141: 96.1 Interlude Uppercrust
Bag of Blood Vials (Bloodborne) Free:
Special blood used in ministration. When injected, the user will rapidly recover from minor and middling injuries such as scratches, bruises, gashes, fractures and blood loss. A single vial's worth of this special blood is unable to regenerate lost limbs, large broken bones or other more severe injuries, but more blood injected equals more healing. The bag is given to you full, somehow containing 20 Blood Vials despite its small size.
Item</v>
      </c>
      <c r="G69" s="17" t="str">
        <f>IFERROR(__xludf.DUMMYFUNCTION("""COMPUTED_VALUE"""),"Chapter 141: 96.1 Interlude Uppercrust
Hunter (Bloodborne) Free:
Apparently, from what you can gather, you are now a Hunter. This means a number of things, including access to the Hunter's Dream. What that means is that instead of dying, you will wake up "&amp;"in the Hunter's Dream and be able to travel to and from it using Lanterns found around the world. That sounds nice at first, until you realize one of your fellow hunters is a bit too good at this, the mysterious foreign one that is. This Hunter will end t"&amp;"he nightmare soon, within a day or two, severing your connection to the dream. There isn't much you can do about it, so enjoy it while it lasts. Another boon of being a Hunter besides being able to visit the dream is the admiration of Messengers, small in"&amp;"fantile creatures that can prove useful in some scenarios. I'll explain about them later. Lastly, it seems your new body has some. . .hidden assets. You have an affliction, though one you can control on some level. There's a beast inside you, trying to ge"&amp;"t out, trying to take you over. Though it takes a bit of concentration, you may temporarily unleash some of this beast's strength in the form of a ""Visceral Attack"". This attack temporarily transforms your hand into a beastly claw which will slide throu"&amp;"gh the flesh of a prone enemy like a hot knife through butter. Careful not to draw on this power too often though. . . This perk also comes with the Mandatory ""Inner Beast"" drawback, detailed in the drawback section. (""Inner Beast"" - There's a problem"&amp;" with your new body and mind. As previously mentioned, there's now a bestial side to your mind trying to claw its way out and take over, somewhat literally. Drinking or covering yourself in too much blood, consuming items like Beast Blood Pellets, or usin"&amp;"g/taking various other items or drawbacks like the Beast Claw or ""Ignorance is Bliss"" will all empower it. If it gets too powerful and manages to take over, transforming you from Hunter into Beast, you lose. There are ways to fight it though. Avoiding o"&amp;"r pacing yourself on blood push it down a bit. Becoming more worldly and insightful will weaken it as well. Willpower can slow its power grab, but can't stop it on its own. - Your Inner Beast has been pacified, giving you access to their powers without po"&amp;"ssibility of losing yourself to them allowing you to more easily use visceral attacks)
Personal")</f>
        <v>Chapter 141: 96.1 Interlude Uppercrust
Hunter (Bloodborne) Free:
Apparently, from what you can gather, you are now a Hunter. This means a number of things, including access to the Hunter's Dream. What that means is that instead of dying, you will wake up in the Hunter's Dream and be able to travel to and from it using Lanterns found around the world. That sounds nice at first, until you realize one of your fellow hunters is a bit too good at this, the mysterious foreign one that is. This Hunter will end the nightmare soon, within a day or two, severing your connection to the dream. There isn't much you can do about it, so enjoy it while it lasts. Another boon of being a Hunter besides being able to visit the dream is the admiration of Messengers, small infantile creatures that can prove useful in some scenarios. I'll explain about them later. Lastly, it seems your new body has some. . .hidden assets. You have an affliction, though one you can control on some level. There's a beast inside you, trying to get out, trying to take you over. Though it takes a bit of concentration, you may temporarily unleash some of this beast's strength in the form of a "Visceral Attack". This attack temporarily transforms your hand into a beastly claw which will slide through the flesh of a prone enemy like a hot knife through butter. Careful not to draw on this power too often though. . . This perk also comes with the Mandatory "Inner Beast" drawback, detailed in the drawback section. ("Inner Beast" - There's a problem with your new body and mind. As previously mentioned, there's now a bestial side to your mind trying to claw its way out and take over, somewhat literally. Drinking or covering yourself in too much blood, consuming items like Beast Blood Pellets, or using/taking various other items or drawbacks like the Beast Claw or "Ignorance is Bliss" will all empower it. If it gets too powerful and manages to take over, transforming you from Hunter into Beast, you lose. There are ways to fight it though. Avoiding or pacing yourself on blood push it down a bit. Becoming more worldly and insightful will weaken it as well. Willpower can slow its power grab, but can't stop it on its own. - Your Inner Beast has been pacified, giving you access to their powers without possibility of losing yourself to them allowing you to more easily use visceral attacks)
Personal</v>
      </c>
      <c r="H69" s="17" t="str">
        <f>IFERROR(__xludf.DUMMYFUNCTION("""COMPUTED_VALUE"""),"
")</f>
        <v>
</v>
      </c>
      <c r="I69" s="17" t="str">
        <f>IFERROR(__xludf.DUMMYFUNCTION("""COMPUTED_VALUE"""),"
")</f>
        <v>
</v>
      </c>
      <c r="J69" s="17" t="str">
        <f>IFERROR(__xludf.DUMMYFUNCTION("""COMPUTED_VALUE"""),"
")</f>
        <v>
</v>
      </c>
      <c r="K69" s="17" t="str">
        <f>IFERROR(__xludf.DUMMYFUNCTION("""COMPUTED_VALUE"""),"
")</f>
        <v>
</v>
      </c>
      <c r="L69" s="17" t="str">
        <f>IFERROR(__xludf.DUMMYFUNCTION("""COMPUTED_VALUE"""),"
")</f>
        <v>
</v>
      </c>
      <c r="M69" s="17" t="str">
        <f>IFERROR(__xludf.DUMMYFUNCTION("""COMPUTED_VALUE"""),"
")</f>
        <v>
</v>
      </c>
      <c r="N69" s="17" t="str">
        <f>IFERROR(__xludf.DUMMYFUNCTION("""COMPUTED_VALUE"""),"
")</f>
        <v>
</v>
      </c>
      <c r="O69" s="17" t="str">
        <f>IFERROR(__xludf.DUMMYFUNCTION("""COMPUTED_VALUE"""),"
")</f>
        <v>
</v>
      </c>
      <c r="P69" s="17" t="str">
        <f>IFERROR(__xludf.DUMMYFUNCTION("""COMPUTED_VALUE"""),"
")</f>
        <v>
</v>
      </c>
      <c r="Q69" s="17" t="str">
        <f>IFERROR(__xludf.DUMMYFUNCTION("""COMPUTED_VALUE"""),"
")</f>
        <v>
</v>
      </c>
      <c r="R69" s="17" t="str">
        <f>IFERROR(__xludf.DUMMYFUNCTION("""COMPUTED_VALUE"""),"
")</f>
        <v>
</v>
      </c>
      <c r="S69" s="17" t="str">
        <f>IFERROR(__xludf.DUMMYFUNCTION("""COMPUTED_VALUE"""),"
")</f>
        <v>
</v>
      </c>
      <c r="T69" s="17" t="str">
        <f>IFERROR(__xludf.DUMMYFUNCTION("""COMPUTED_VALUE"""),"
")</f>
        <v>
</v>
      </c>
      <c r="U69" s="17" t="str">
        <f>IFERROR(__xludf.DUMMYFUNCTION("""COMPUTED_VALUE"""),"
")</f>
        <v>
</v>
      </c>
      <c r="V69" s="17" t="str">
        <f>IFERROR(__xludf.DUMMYFUNCTION("""COMPUTED_VALUE"""),"
")</f>
        <v>
</v>
      </c>
      <c r="W69" s="17" t="str">
        <f>IFERROR(__xludf.DUMMYFUNCTION("""COMPUTED_VALUE"""),"
")</f>
        <v>
</v>
      </c>
      <c r="X69" s="17" t="str">
        <f>IFERROR(__xludf.DUMMYFUNCTION("""COMPUTED_VALUE"""),"
")</f>
        <v>
</v>
      </c>
      <c r="Y69" s="17" t="str">
        <f>IFERROR(__xludf.DUMMYFUNCTION("""COMPUTED_VALUE"""),"
")</f>
        <v>
</v>
      </c>
      <c r="Z69" s="17" t="str">
        <f>IFERROR(__xludf.DUMMYFUNCTION("""COMPUTED_VALUE"""),"
")</f>
        <v>
</v>
      </c>
      <c r="AA69" s="17" t="str">
        <f>IFERROR(__xludf.DUMMYFUNCTION("""COMPUTED_VALUE"""),"
")</f>
        <v>
</v>
      </c>
      <c r="AB69" s="17" t="str">
        <f>IFERROR(__xludf.DUMMYFUNCTION("""COMPUTED_VALUE"""),"
")</f>
        <v>
</v>
      </c>
      <c r="AC69" s="17" t="str">
        <f>IFERROR(__xludf.DUMMYFUNCTION("""COMPUTED_VALUE"""),"
")</f>
        <v>
</v>
      </c>
    </row>
    <row r="70">
      <c r="A70" s="17" t="str">
        <f>IFERROR(__xludf.DUMMYFUNCTION("""COMPUTED_VALUE"""),"Chapter 36: 30 Crescendo - Addendum Missy
Bandit Gunsmith (Borderlands) 100:
You have amazing technical insight and when shown to a pile of broken weapons or energy shields you can use parts from some to reassemble others into decent condition. Don't expe"&amp;"ct it to be pretty, but you can nail 15 repeater pistols together to make a functional shotgun, or use bits of five shields to make one that works.
Fiat")</f>
        <v>Chapter 36: 30 Crescendo - Addendum Missy
Bandit Gunsmith (Borderlands) 100:
You have amazing technical insight and when shown to a pile of broken weapons or energy shields you can use parts from some to reassemble others into decent condition. Don't expect it to be pretty, but you can nail 15 repeater pistols together to make a functional shotgun, or use bits of five shields to make one that works.
Fiat</v>
      </c>
      <c r="B70" s="17" t="str">
        <f>IFERROR(__xludf.DUMMYFUNCTION("""COMPUTED_VALUE"""),"
")</f>
        <v>
</v>
      </c>
      <c r="C70" s="17" t="str">
        <f>IFERROR(__xludf.DUMMYFUNCTION("""COMPUTED_VALUE"""),"
")</f>
        <v>
</v>
      </c>
      <c r="D70" s="17" t="str">
        <f>IFERROR(__xludf.DUMMYFUNCTION("""COMPUTED_VALUE"""),"
")</f>
        <v>
</v>
      </c>
      <c r="E70" s="17" t="str">
        <f>IFERROR(__xludf.DUMMYFUNCTION("""COMPUTED_VALUE"""),"
")</f>
        <v>
</v>
      </c>
      <c r="F70" s="17" t="str">
        <f>IFERROR(__xludf.DUMMYFUNCTION("""COMPUTED_VALUE"""),"
")</f>
        <v>
</v>
      </c>
      <c r="G70" s="17" t="str">
        <f>IFERROR(__xludf.DUMMYFUNCTION("""COMPUTED_VALUE"""),"
")</f>
        <v>
</v>
      </c>
      <c r="H70" s="17" t="str">
        <f>IFERROR(__xludf.DUMMYFUNCTION("""COMPUTED_VALUE"""),"
")</f>
        <v>
</v>
      </c>
      <c r="I70" s="17" t="str">
        <f>IFERROR(__xludf.DUMMYFUNCTION("""COMPUTED_VALUE"""),"
")</f>
        <v>
</v>
      </c>
      <c r="J70" s="17" t="str">
        <f>IFERROR(__xludf.DUMMYFUNCTION("""COMPUTED_VALUE"""),"
")</f>
        <v>
</v>
      </c>
      <c r="K70" s="17" t="str">
        <f>IFERROR(__xludf.DUMMYFUNCTION("""COMPUTED_VALUE"""),"
")</f>
        <v>
</v>
      </c>
      <c r="L70" s="17" t="str">
        <f>IFERROR(__xludf.DUMMYFUNCTION("""COMPUTED_VALUE"""),"
")</f>
        <v>
</v>
      </c>
      <c r="M70" s="17" t="str">
        <f>IFERROR(__xludf.DUMMYFUNCTION("""COMPUTED_VALUE"""),"
")</f>
        <v>
</v>
      </c>
      <c r="N70" s="17" t="str">
        <f>IFERROR(__xludf.DUMMYFUNCTION("""COMPUTED_VALUE"""),"
")</f>
        <v>
</v>
      </c>
      <c r="O70" s="17" t="str">
        <f>IFERROR(__xludf.DUMMYFUNCTION("""COMPUTED_VALUE"""),"
")</f>
        <v>
</v>
      </c>
      <c r="P70" s="17" t="str">
        <f>IFERROR(__xludf.DUMMYFUNCTION("""COMPUTED_VALUE"""),"
")</f>
        <v>
</v>
      </c>
      <c r="Q70" s="17" t="str">
        <f>IFERROR(__xludf.DUMMYFUNCTION("""COMPUTED_VALUE"""),"
")</f>
        <v>
</v>
      </c>
      <c r="R70" s="17" t="str">
        <f>IFERROR(__xludf.DUMMYFUNCTION("""COMPUTED_VALUE"""),"
")</f>
        <v>
</v>
      </c>
      <c r="S70" s="17" t="str">
        <f>IFERROR(__xludf.DUMMYFUNCTION("""COMPUTED_VALUE"""),"
")</f>
        <v>
</v>
      </c>
      <c r="T70" s="17" t="str">
        <f>IFERROR(__xludf.DUMMYFUNCTION("""COMPUTED_VALUE"""),"
")</f>
        <v>
</v>
      </c>
      <c r="U70" s="17" t="str">
        <f>IFERROR(__xludf.DUMMYFUNCTION("""COMPUTED_VALUE"""),"
")</f>
        <v>
</v>
      </c>
      <c r="V70" s="17" t="str">
        <f>IFERROR(__xludf.DUMMYFUNCTION("""COMPUTED_VALUE"""),"
")</f>
        <v>
</v>
      </c>
      <c r="W70" s="17" t="str">
        <f>IFERROR(__xludf.DUMMYFUNCTION("""COMPUTED_VALUE"""),"
")</f>
        <v>
</v>
      </c>
      <c r="X70" s="17" t="str">
        <f>IFERROR(__xludf.DUMMYFUNCTION("""COMPUTED_VALUE"""),"
")</f>
        <v>
</v>
      </c>
      <c r="Y70" s="17" t="str">
        <f>IFERROR(__xludf.DUMMYFUNCTION("""COMPUTED_VALUE"""),"
")</f>
        <v>
</v>
      </c>
      <c r="Z70" s="17" t="str">
        <f>IFERROR(__xludf.DUMMYFUNCTION("""COMPUTED_VALUE"""),"
")</f>
        <v>
</v>
      </c>
      <c r="AA70" s="17" t="str">
        <f>IFERROR(__xludf.DUMMYFUNCTION("""COMPUTED_VALUE"""),"
")</f>
        <v>
</v>
      </c>
      <c r="AB70" s="17" t="str">
        <f>IFERROR(__xludf.DUMMYFUNCTION("""COMPUTED_VALUE"""),"
")</f>
        <v>
</v>
      </c>
      <c r="AC70" s="17" t="str">
        <f>IFERROR(__xludf.DUMMYFUNCTION("""COMPUTED_VALUE"""),"
")</f>
        <v>
</v>
      </c>
    </row>
    <row r="71">
      <c r="A71" s="17" t="str">
        <f>IFERROR(__xludf.DUMMYFUNCTION("""COMPUTED_VALUE"""),"Chapter 24: 19 Restoration
Fingers of the North Star (Cave Story) 200:
You have a natural talent with machinery, and this extends to firearms creation. You can disassemble, analyze, and reassemble any projectile weapon you come across, and you have the ab"&amp;"ility to create unique, one of a kind guns that utilizes odd and esoteric technology. You also gain a free 'stamp' you can apply to any weapon you create, to show it's your work. Upgrading existing weapons is a breeze as well.
System, Item")</f>
        <v>Chapter 24: 19 Restoration
Fingers of the North Star (Cave Story) 200:
You have a natural talent with machinery, and this extends to firearms creation. You can disassemble, analyze, and reassemble any projectile weapon you come across, and you have the ability to create unique, one of a kind guns that utilizes odd and esoteric technology. You also gain a free 'stamp' you can apply to any weapon you create, to show it's your work. Upgrading existing weapons is a breeze as well.
System, Item</v>
      </c>
      <c r="B71" s="17" t="str">
        <f>IFERROR(__xludf.DUMMYFUNCTION("""COMPUTED_VALUE"""),"
")</f>
        <v>
</v>
      </c>
      <c r="C71" s="17" t="str">
        <f>IFERROR(__xludf.DUMMYFUNCTION("""COMPUTED_VALUE"""),"
")</f>
        <v>
</v>
      </c>
      <c r="D71" s="17" t="str">
        <f>IFERROR(__xludf.DUMMYFUNCTION("""COMPUTED_VALUE"""),"
")</f>
        <v>
</v>
      </c>
      <c r="E71" s="17" t="str">
        <f>IFERROR(__xludf.DUMMYFUNCTION("""COMPUTED_VALUE"""),"
")</f>
        <v>
</v>
      </c>
      <c r="F71" s="17" t="str">
        <f>IFERROR(__xludf.DUMMYFUNCTION("""COMPUTED_VALUE"""),"
")</f>
        <v>
</v>
      </c>
      <c r="G71" s="17" t="str">
        <f>IFERROR(__xludf.DUMMYFUNCTION("""COMPUTED_VALUE"""),"
")</f>
        <v>
</v>
      </c>
      <c r="H71" s="17" t="str">
        <f>IFERROR(__xludf.DUMMYFUNCTION("""COMPUTED_VALUE"""),"
")</f>
        <v>
</v>
      </c>
      <c r="I71" s="17" t="str">
        <f>IFERROR(__xludf.DUMMYFUNCTION("""COMPUTED_VALUE"""),"
")</f>
        <v>
</v>
      </c>
      <c r="J71" s="17" t="str">
        <f>IFERROR(__xludf.DUMMYFUNCTION("""COMPUTED_VALUE"""),"
")</f>
        <v>
</v>
      </c>
      <c r="K71" s="17" t="str">
        <f>IFERROR(__xludf.DUMMYFUNCTION("""COMPUTED_VALUE"""),"
")</f>
        <v>
</v>
      </c>
      <c r="L71" s="17" t="str">
        <f>IFERROR(__xludf.DUMMYFUNCTION("""COMPUTED_VALUE"""),"
")</f>
        <v>
</v>
      </c>
      <c r="M71" s="17" t="str">
        <f>IFERROR(__xludf.DUMMYFUNCTION("""COMPUTED_VALUE"""),"
")</f>
        <v>
</v>
      </c>
      <c r="N71" s="17" t="str">
        <f>IFERROR(__xludf.DUMMYFUNCTION("""COMPUTED_VALUE"""),"
")</f>
        <v>
</v>
      </c>
      <c r="O71" s="17" t="str">
        <f>IFERROR(__xludf.DUMMYFUNCTION("""COMPUTED_VALUE"""),"
")</f>
        <v>
</v>
      </c>
      <c r="P71" s="17" t="str">
        <f>IFERROR(__xludf.DUMMYFUNCTION("""COMPUTED_VALUE"""),"
")</f>
        <v>
</v>
      </c>
      <c r="Q71" s="17" t="str">
        <f>IFERROR(__xludf.DUMMYFUNCTION("""COMPUTED_VALUE"""),"
")</f>
        <v>
</v>
      </c>
      <c r="R71" s="17" t="str">
        <f>IFERROR(__xludf.DUMMYFUNCTION("""COMPUTED_VALUE"""),"
")</f>
        <v>
</v>
      </c>
      <c r="S71" s="17" t="str">
        <f>IFERROR(__xludf.DUMMYFUNCTION("""COMPUTED_VALUE"""),"
")</f>
        <v>
</v>
      </c>
      <c r="T71" s="17" t="str">
        <f>IFERROR(__xludf.DUMMYFUNCTION("""COMPUTED_VALUE"""),"
")</f>
        <v>
</v>
      </c>
      <c r="U71" s="17" t="str">
        <f>IFERROR(__xludf.DUMMYFUNCTION("""COMPUTED_VALUE"""),"
")</f>
        <v>
</v>
      </c>
      <c r="V71" s="17" t="str">
        <f>IFERROR(__xludf.DUMMYFUNCTION("""COMPUTED_VALUE"""),"
")</f>
        <v>
</v>
      </c>
      <c r="W71" s="17" t="str">
        <f>IFERROR(__xludf.DUMMYFUNCTION("""COMPUTED_VALUE"""),"
")</f>
        <v>
</v>
      </c>
      <c r="X71" s="17" t="str">
        <f>IFERROR(__xludf.DUMMYFUNCTION("""COMPUTED_VALUE"""),"
")</f>
        <v>
</v>
      </c>
      <c r="Y71" s="17" t="str">
        <f>IFERROR(__xludf.DUMMYFUNCTION("""COMPUTED_VALUE"""),"
")</f>
        <v>
</v>
      </c>
      <c r="Z71" s="17" t="str">
        <f>IFERROR(__xludf.DUMMYFUNCTION("""COMPUTED_VALUE"""),"
")</f>
        <v>
</v>
      </c>
      <c r="AA71" s="17" t="str">
        <f>IFERROR(__xludf.DUMMYFUNCTION("""COMPUTED_VALUE"""),"
")</f>
        <v>
</v>
      </c>
      <c r="AB71" s="17" t="str">
        <f>IFERROR(__xludf.DUMMYFUNCTION("""COMPUTED_VALUE"""),"
")</f>
        <v>
</v>
      </c>
      <c r="AC71" s="17" t="str">
        <f>IFERROR(__xludf.DUMMYFUNCTION("""COMPUTED_VALUE"""),"
")</f>
        <v>
</v>
      </c>
    </row>
    <row r="72">
      <c r="A72" s="17" t="str">
        <f>IFERROR(__xludf.DUMMYFUNCTION("""COMPUTED_VALUE"""),"")</f>
        <v/>
      </c>
      <c r="B72" s="17" t="str">
        <f>IFERROR(__xludf.DUMMYFUNCTION("""COMPUTED_VALUE"""),"")</f>
        <v/>
      </c>
      <c r="C72" s="17" t="str">
        <f>IFERROR(__xludf.DUMMYFUNCTION("""COMPUTED_VALUE"""),"")</f>
        <v/>
      </c>
      <c r="D72" s="17" t="str">
        <f>IFERROR(__xludf.DUMMYFUNCTION("""COMPUTED_VALUE"""),"")</f>
        <v/>
      </c>
      <c r="E72" s="17" t="str">
        <f>IFERROR(__xludf.DUMMYFUNCTION("""COMPUTED_VALUE"""),"")</f>
        <v/>
      </c>
      <c r="F72" s="17" t="str">
        <f>IFERROR(__xludf.DUMMYFUNCTION("""COMPUTED_VALUE"""),"")</f>
        <v/>
      </c>
      <c r="G72" s="17" t="str">
        <f>IFERROR(__xludf.DUMMYFUNCTION("""COMPUTED_VALUE"""),"")</f>
        <v/>
      </c>
      <c r="H72" s="17" t="str">
        <f>IFERROR(__xludf.DUMMYFUNCTION("""COMPUTED_VALUE"""),"")</f>
        <v/>
      </c>
      <c r="I72" s="17" t="str">
        <f>IFERROR(__xludf.DUMMYFUNCTION("""COMPUTED_VALUE"""),"")</f>
        <v/>
      </c>
      <c r="J72" s="17" t="str">
        <f>IFERROR(__xludf.DUMMYFUNCTION("""COMPUTED_VALUE"""),"")</f>
        <v/>
      </c>
      <c r="K72" s="17" t="str">
        <f>IFERROR(__xludf.DUMMYFUNCTION("""COMPUTED_VALUE"""),"")</f>
        <v/>
      </c>
      <c r="L72" s="17" t="str">
        <f>IFERROR(__xludf.DUMMYFUNCTION("""COMPUTED_VALUE"""),"")</f>
        <v/>
      </c>
      <c r="M72" s="17" t="str">
        <f>IFERROR(__xludf.DUMMYFUNCTION("""COMPUTED_VALUE"""),"")</f>
        <v/>
      </c>
      <c r="N72" s="17" t="str">
        <f>IFERROR(__xludf.DUMMYFUNCTION("""COMPUTED_VALUE"""),"")</f>
        <v/>
      </c>
      <c r="O72" s="17" t="str">
        <f>IFERROR(__xludf.DUMMYFUNCTION("""COMPUTED_VALUE"""),"")</f>
        <v/>
      </c>
      <c r="P72" s="17" t="str">
        <f>IFERROR(__xludf.DUMMYFUNCTION("""COMPUTED_VALUE"""),"")</f>
        <v/>
      </c>
      <c r="Q72" s="17" t="str">
        <f>IFERROR(__xludf.DUMMYFUNCTION("""COMPUTED_VALUE"""),"")</f>
        <v/>
      </c>
      <c r="R72" s="17" t="str">
        <f>IFERROR(__xludf.DUMMYFUNCTION("""COMPUTED_VALUE"""),"")</f>
        <v/>
      </c>
      <c r="S72" s="17" t="str">
        <f>IFERROR(__xludf.DUMMYFUNCTION("""COMPUTED_VALUE"""),"")</f>
        <v/>
      </c>
      <c r="T72" s="17" t="str">
        <f>IFERROR(__xludf.DUMMYFUNCTION("""COMPUTED_VALUE"""),"")</f>
        <v/>
      </c>
      <c r="U72" s="17" t="str">
        <f>IFERROR(__xludf.DUMMYFUNCTION("""COMPUTED_VALUE"""),"")</f>
        <v/>
      </c>
      <c r="V72" s="17" t="str">
        <f>IFERROR(__xludf.DUMMYFUNCTION("""COMPUTED_VALUE"""),"")</f>
        <v/>
      </c>
      <c r="W72" s="17" t="str">
        <f>IFERROR(__xludf.DUMMYFUNCTION("""COMPUTED_VALUE"""),"")</f>
        <v/>
      </c>
      <c r="X72" s="17" t="str">
        <f>IFERROR(__xludf.DUMMYFUNCTION("""COMPUTED_VALUE"""),"")</f>
        <v/>
      </c>
      <c r="Y72" s="17" t="str">
        <f>IFERROR(__xludf.DUMMYFUNCTION("""COMPUTED_VALUE"""),"")</f>
        <v/>
      </c>
      <c r="Z72" s="17" t="str">
        <f>IFERROR(__xludf.DUMMYFUNCTION("""COMPUTED_VALUE"""),"")</f>
        <v/>
      </c>
      <c r="AA72" s="17" t="str">
        <f>IFERROR(__xludf.DUMMYFUNCTION("""COMPUTED_VALUE"""),"")</f>
        <v/>
      </c>
      <c r="AB72" s="17" t="str">
        <f>IFERROR(__xludf.DUMMYFUNCTION("""COMPUTED_VALUE"""),"")</f>
        <v/>
      </c>
      <c r="AC72" s="17" t="str">
        <f>IFERROR(__xludf.DUMMYFUNCTION("""COMPUTED_VALUE"""),"")</f>
        <v/>
      </c>
    </row>
    <row r="73">
      <c r="A73" s="17" t="str">
        <f>IFERROR(__xludf.DUMMYFUNCTION("""COMPUTED_VALUE"""),"Chapter 72: 56 Arrival Time
Weapon Crafting (Devil May Cry) 200:
Alright, so you fancy yourself a weapons dealer, huh? Well now you know the ins and outs of every single tool made for killing that you get your crafty little hands on. Swords, handguns, axe"&amp;"s, sniper rifles, spears, rocket launchers, it'll all come naturally to you, and you will be able to create these weapons or even improve them with your own custom designs. And to make it even a better deal, you know how to modify a weapon to have unlimit"&amp;"ed ammunition capability. So go nuts, buddy. You've earned it.
System")</f>
        <v>Chapter 72: 56 Arrival Time
Weapon Crafting (Devil May Cry) 200:
Alright, so you fancy yourself a weapons dealer, huh? Well now you know the ins and outs of every single tool made for killing that you get your crafty little hands on. Swords, handguns, axes, sniper rifles, spears, rocket launchers, it'll all come naturally to you, and you will be able to create these weapons or even improve them with your own custom designs. And to make it even a better deal, you know how to modify a weapon to have unlimited ammunition capability. So go nuts, buddy. You've earned it.
System</v>
      </c>
      <c r="B73" s="17" t="str">
        <f>IFERROR(__xludf.DUMMYFUNCTION("""COMPUTED_VALUE"""),"Chapter 72: 56 Arrival Time
Cuh-Ray-Zee! (Devil May Cry) Free:
The moment you step into the world of Devil May Cry, you, and anyone you brought with you, will have the innate potential to do incredibly amazing stuff all day long, pal. However, it will tak"&amp;"e great skill and effort to pull off anything like blocking attacks with the back of your hand, or playing an air guitar that actually produces audible sound for others to hear. But never fear, if you train hard enough, and git gud enough, you too will be"&amp;" able to deflect bullets with other bullets, destroy buildings by spouting out innuendos, and become a worthy disciple of my ways. And yes, you totally get to see your rank whenever you're doing anything.
System")</f>
        <v>Chapter 72: 56 Arrival Time
Cuh-Ray-Zee! (Devil May Cry) Free:
The moment you step into the world of Devil May Cry, you, and anyone you brought with you, will have the innate potential to do incredibly amazing stuff all day long, pal. However, it will take great skill and effort to pull off anything like blocking attacks with the back of your hand, or playing an air guitar that actually produces audible sound for others to hear. But never fear, if you train hard enough, and git gud enough, you too will be able to deflect bullets with other bullets, destroy buildings by spouting out innuendos, and become a worthy disciple of my ways. And yes, you totally get to see your rank whenever you're doing anything.
System</v>
      </c>
      <c r="C73" s="17" t="str">
        <f>IFERROR(__xludf.DUMMYFUNCTION("""COMPUTED_VALUE"""),"Chapter 72: 56 Arrival Time
Taunts (Devil May Cry) Free:
Your mother was a hamster, and your father smelled of elderberries! You are able to come up with witty dialogue, insults, jokes, and one-liners on the fly. Now, taunting does three very useful thing"&amp;"s. First, it will boost your Style rating. I know, I know, that's amazing, and awesome, and all that. Second, taunting pisses off your enemies. A lot. So much that they'll try to stomp your pretty little face in. While this may seem like a bad thing, it c"&amp;"an also be good for you, as the dumbass you're fighting will make a mistake in their rage. And thirdly, a successful taunt will help you get your game on and replenish your stamina. You won't be able to run entirely on smack-talking suckers while you rip "&amp;"them a new rectal cavity, but it will definitely ensure that you'll be able to fight for hours, sustained only by the power of your quips.
Ability")</f>
        <v>Chapter 72: 56 Arrival Time
Taunts (Devil May Cry) Free:
Your mother was a hamster, and your father smelled of elderberries! You are able to come up with witty dialogue, insults, jokes, and one-liners on the fly. Now, taunting does three very useful things. First, it will boost your Style rating. I know, I know, that's amazing, and awesome, and all that. Second, taunting pisses off your enemies. A lot. So much that they'll try to stomp your pretty little face in. While this may seem like a bad thing, it can also be good for you, as the dumbass you're fighting will make a mistake in their rage. And thirdly, a successful taunt will help you get your game on and replenish your stamina. You won't be able to run entirely on smack-talking suckers while you rip them a new rectal cavity, but it will definitely ensure that you'll be able to fight for hours, sustained only by the power of your quips.
Ability</v>
      </c>
      <c r="D73" s="17" t="str">
        <f>IFERROR(__xludf.DUMMYFUNCTION("""COMPUTED_VALUE"""),"Chapter 72: 56 Arrival Time
Weapon Swapping (Devil May Cry) Free:
The ability to swap between your weapons in the middle of battle. These weapons are stored in a pocket dimension known only to you, and can be switched instantly with but a thought.
Ability")</f>
        <v>Chapter 72: 56 Arrival Time
Weapon Swapping (Devil May Cry) Free:
The ability to swap between your weapons in the middle of battle. These weapons are stored in a pocket dimension known only to you, and can be switched instantly with but a thought.
Ability</v>
      </c>
      <c r="E73" s="17" t="str">
        <f>IFERROR(__xludf.DUMMYFUNCTION("""COMPUTED_VALUE"""),"Chapter 72: 56 Arrival Time
Dark Slayer (Devil May Cry) Free:
Dark Slayer Style is essentially an evolved form of Trickster, in that it's based around movement, but rather than simply dashing, Dark Slayer is all about teleporting in quick short-ranger bur"&amp;"sts. However, the biggest change from Trickster is the ability to summon swords outta nowhere. Got your attention now, didn't I? Yep, you can effectively create copies of any weapon that you've seen before, from swords, to axes, to giant homing two-sided "&amp;"Shuriken. I will never understand where Nero got that idea from. You can wield them or shoot 'em at your enemies in countless different ways. Make it rain pointy swordy death from above, surround your opponent with them, shoot them all out in rapid succes"&amp;"sion faster than even a minigun, and much, much more. However, these weapons are often pretty subpar compared to the original, unless you're very familiar with the weapon, or have trained extensively in the replication of weapons. Now, I know this Style's"&amp;" name might sound a bit dark and edgy, but it was my brother's own personal Style, rest his soul, and he was kinda going through a phase at the time. A dickish, emo, power hungry phase. So just cut him some slack and bear with it. Besides, it actually doe"&amp;"s sound pretty cool. Comes with free Get Set!
System")</f>
        <v>Chapter 72: 56 Arrival Time
Dark Slayer (Devil May Cry) Free:
Dark Slayer Style is essentially an evolved form of Trickster, in that it's based around movement, but rather than simply dashing, Dark Slayer is all about teleporting in quick short-ranger bursts. However, the biggest change from Trickster is the ability to summon swords outta nowhere. Got your attention now, didn't I? Yep, you can effectively create copies of any weapon that you've seen before, from swords, to axes, to giant homing two-sided Shuriken. I will never understand where Nero got that idea from. You can wield them or shoot 'em at your enemies in countless different ways. Make it rain pointy swordy death from above, surround your opponent with them, shoot them all out in rapid succession faster than even a minigun, and much, much more. However, these weapons are often pretty subpar compared to the original, unless you're very familiar with the weapon, or have trained extensively in the replication of weapons. Now, I know this Style's name might sound a bit dark and edgy, but it was my brother's own personal Style, rest his soul, and he was kinda going through a phase at the time. A dickish, emo, power hungry phase. So just cut him some slack and bear with it. Besides, it actually does sound pretty cool. Comes with free Get Set!
System</v>
      </c>
      <c r="F73" s="17" t="str">
        <f>IFERROR(__xludf.DUMMYFUNCTION("""COMPUTED_VALUE"""),"Chapter 72: 56 Arrival Time
Get Set! (Devil May Cry) Free:
You now have the ability to style your hair in whatever form you wish, whenever you wish, with just your bare hands. Is your hair not long enough or too short for the style you want? No problem, j"&amp;"ust run your hands through it a couple times, and it'll adjust. Don't ask me how it works. It just does.
Ability")</f>
        <v>Chapter 72: 56 Arrival Time
Get Set! (Devil May Cry) Free:
You now have the ability to style your hair in whatever form you wish, whenever you wish, with just your bare hands. Is your hair not long enough or too short for the style you want? No problem, just run your hands through it a couple times, and it'll adjust. Don't ask me how it works. It just does.
Ability</v>
      </c>
      <c r="G73" s="17" t="str">
        <f>IFERROR(__xludf.DUMMYFUNCTION("""COMPUTED_VALUE"""),"
")</f>
        <v>
</v>
      </c>
      <c r="H73" s="17" t="str">
        <f>IFERROR(__xludf.DUMMYFUNCTION("""COMPUTED_VALUE"""),"
")</f>
        <v>
</v>
      </c>
      <c r="I73" s="17" t="str">
        <f>IFERROR(__xludf.DUMMYFUNCTION("""COMPUTED_VALUE"""),"
")</f>
        <v>
</v>
      </c>
      <c r="J73" s="17" t="str">
        <f>IFERROR(__xludf.DUMMYFUNCTION("""COMPUTED_VALUE"""),"
")</f>
        <v>
</v>
      </c>
      <c r="K73" s="17" t="str">
        <f>IFERROR(__xludf.DUMMYFUNCTION("""COMPUTED_VALUE"""),"
")</f>
        <v>
</v>
      </c>
      <c r="L73" s="17" t="str">
        <f>IFERROR(__xludf.DUMMYFUNCTION("""COMPUTED_VALUE"""),"
")</f>
        <v>
</v>
      </c>
      <c r="M73" s="17" t="str">
        <f>IFERROR(__xludf.DUMMYFUNCTION("""COMPUTED_VALUE"""),"
")</f>
        <v>
</v>
      </c>
      <c r="N73" s="17" t="str">
        <f>IFERROR(__xludf.DUMMYFUNCTION("""COMPUTED_VALUE"""),"
")</f>
        <v>
</v>
      </c>
      <c r="O73" s="17" t="str">
        <f>IFERROR(__xludf.DUMMYFUNCTION("""COMPUTED_VALUE"""),"
")</f>
        <v>
</v>
      </c>
      <c r="P73" s="17" t="str">
        <f>IFERROR(__xludf.DUMMYFUNCTION("""COMPUTED_VALUE"""),"
")</f>
        <v>
</v>
      </c>
      <c r="Q73" s="17" t="str">
        <f>IFERROR(__xludf.DUMMYFUNCTION("""COMPUTED_VALUE"""),"
")</f>
        <v>
</v>
      </c>
      <c r="R73" s="17" t="str">
        <f>IFERROR(__xludf.DUMMYFUNCTION("""COMPUTED_VALUE"""),"
")</f>
        <v>
</v>
      </c>
      <c r="S73" s="17" t="str">
        <f>IFERROR(__xludf.DUMMYFUNCTION("""COMPUTED_VALUE"""),"
")</f>
        <v>
</v>
      </c>
      <c r="T73" s="17" t="str">
        <f>IFERROR(__xludf.DUMMYFUNCTION("""COMPUTED_VALUE"""),"
")</f>
        <v>
</v>
      </c>
      <c r="U73" s="17" t="str">
        <f>IFERROR(__xludf.DUMMYFUNCTION("""COMPUTED_VALUE"""),"
")</f>
        <v>
</v>
      </c>
      <c r="V73" s="17" t="str">
        <f>IFERROR(__xludf.DUMMYFUNCTION("""COMPUTED_VALUE"""),"
")</f>
        <v>
</v>
      </c>
      <c r="W73" s="17" t="str">
        <f>IFERROR(__xludf.DUMMYFUNCTION("""COMPUTED_VALUE"""),"
")</f>
        <v>
</v>
      </c>
      <c r="X73" s="17" t="str">
        <f>IFERROR(__xludf.DUMMYFUNCTION("""COMPUTED_VALUE"""),"
")</f>
        <v>
</v>
      </c>
      <c r="Y73" s="17" t="str">
        <f>IFERROR(__xludf.DUMMYFUNCTION("""COMPUTED_VALUE"""),"
")</f>
        <v>
</v>
      </c>
      <c r="Z73" s="17" t="str">
        <f>IFERROR(__xludf.DUMMYFUNCTION("""COMPUTED_VALUE"""),"
")</f>
        <v>
</v>
      </c>
      <c r="AA73" s="17" t="str">
        <f>IFERROR(__xludf.DUMMYFUNCTION("""COMPUTED_VALUE"""),"
")</f>
        <v>
</v>
      </c>
      <c r="AB73" s="17" t="str">
        <f>IFERROR(__xludf.DUMMYFUNCTION("""COMPUTED_VALUE"""),"
")</f>
        <v>
</v>
      </c>
      <c r="AC73" s="17" t="str">
        <f>IFERROR(__xludf.DUMMYFUNCTION("""COMPUTED_VALUE"""),"
")</f>
        <v>
</v>
      </c>
    </row>
    <row r="74">
      <c r="A74" s="17" t="str">
        <f>IFERROR(__xludf.DUMMYFUNCTION("""COMPUTED_VALUE"""),"")</f>
        <v/>
      </c>
      <c r="B74" s="17" t="str">
        <f>IFERROR(__xludf.DUMMYFUNCTION("""COMPUTED_VALUE"""),"")</f>
        <v/>
      </c>
      <c r="C74" s="17" t="str">
        <f>IFERROR(__xludf.DUMMYFUNCTION("""COMPUTED_VALUE"""),"")</f>
        <v/>
      </c>
      <c r="D74" s="17" t="str">
        <f>IFERROR(__xludf.DUMMYFUNCTION("""COMPUTED_VALUE"""),"")</f>
        <v/>
      </c>
      <c r="E74" s="17" t="str">
        <f>IFERROR(__xludf.DUMMYFUNCTION("""COMPUTED_VALUE"""),"")</f>
        <v/>
      </c>
      <c r="F74" s="17" t="str">
        <f>IFERROR(__xludf.DUMMYFUNCTION("""COMPUTED_VALUE"""),"")</f>
        <v/>
      </c>
      <c r="G74" s="17" t="str">
        <f>IFERROR(__xludf.DUMMYFUNCTION("""COMPUTED_VALUE"""),"")</f>
        <v/>
      </c>
      <c r="H74" s="17" t="str">
        <f>IFERROR(__xludf.DUMMYFUNCTION("""COMPUTED_VALUE"""),"")</f>
        <v/>
      </c>
      <c r="I74" s="17" t="str">
        <f>IFERROR(__xludf.DUMMYFUNCTION("""COMPUTED_VALUE"""),"")</f>
        <v/>
      </c>
      <c r="J74" s="17" t="str">
        <f>IFERROR(__xludf.DUMMYFUNCTION("""COMPUTED_VALUE"""),"")</f>
        <v/>
      </c>
      <c r="K74" s="17" t="str">
        <f>IFERROR(__xludf.DUMMYFUNCTION("""COMPUTED_VALUE"""),"")</f>
        <v/>
      </c>
      <c r="L74" s="17" t="str">
        <f>IFERROR(__xludf.DUMMYFUNCTION("""COMPUTED_VALUE"""),"")</f>
        <v/>
      </c>
      <c r="M74" s="17" t="str">
        <f>IFERROR(__xludf.DUMMYFUNCTION("""COMPUTED_VALUE"""),"")</f>
        <v/>
      </c>
      <c r="N74" s="17" t="str">
        <f>IFERROR(__xludf.DUMMYFUNCTION("""COMPUTED_VALUE"""),"")</f>
        <v/>
      </c>
      <c r="O74" s="17" t="str">
        <f>IFERROR(__xludf.DUMMYFUNCTION("""COMPUTED_VALUE"""),"")</f>
        <v/>
      </c>
      <c r="P74" s="17" t="str">
        <f>IFERROR(__xludf.DUMMYFUNCTION("""COMPUTED_VALUE"""),"")</f>
        <v/>
      </c>
      <c r="Q74" s="17" t="str">
        <f>IFERROR(__xludf.DUMMYFUNCTION("""COMPUTED_VALUE"""),"")</f>
        <v/>
      </c>
      <c r="R74" s="17" t="str">
        <f>IFERROR(__xludf.DUMMYFUNCTION("""COMPUTED_VALUE"""),"")</f>
        <v/>
      </c>
      <c r="S74" s="17" t="str">
        <f>IFERROR(__xludf.DUMMYFUNCTION("""COMPUTED_VALUE"""),"")</f>
        <v/>
      </c>
      <c r="T74" s="17" t="str">
        <f>IFERROR(__xludf.DUMMYFUNCTION("""COMPUTED_VALUE"""),"")</f>
        <v/>
      </c>
      <c r="U74" s="17" t="str">
        <f>IFERROR(__xludf.DUMMYFUNCTION("""COMPUTED_VALUE"""),"")</f>
        <v/>
      </c>
      <c r="V74" s="17" t="str">
        <f>IFERROR(__xludf.DUMMYFUNCTION("""COMPUTED_VALUE"""),"")</f>
        <v/>
      </c>
      <c r="W74" s="17" t="str">
        <f>IFERROR(__xludf.DUMMYFUNCTION("""COMPUTED_VALUE"""),"")</f>
        <v/>
      </c>
      <c r="X74" s="17" t="str">
        <f>IFERROR(__xludf.DUMMYFUNCTION("""COMPUTED_VALUE"""),"")</f>
        <v/>
      </c>
      <c r="Y74" s="17" t="str">
        <f>IFERROR(__xludf.DUMMYFUNCTION("""COMPUTED_VALUE"""),"")</f>
        <v/>
      </c>
      <c r="Z74" s="17" t="str">
        <f>IFERROR(__xludf.DUMMYFUNCTION("""COMPUTED_VALUE"""),"")</f>
        <v/>
      </c>
      <c r="AA74" s="17" t="str">
        <f>IFERROR(__xludf.DUMMYFUNCTION("""COMPUTED_VALUE"""),"")</f>
        <v/>
      </c>
      <c r="AB74" s="17" t="str">
        <f>IFERROR(__xludf.DUMMYFUNCTION("""COMPUTED_VALUE"""),"")</f>
        <v/>
      </c>
      <c r="AC74" s="17" t="str">
        <f>IFERROR(__xludf.DUMMYFUNCTION("""COMPUTED_VALUE"""),"")</f>
        <v/>
      </c>
    </row>
    <row r="75">
      <c r="A75" s="17" t="str">
        <f>IFERROR(__xludf.DUMMYFUNCTION("""COMPUTED_VALUE"""),"Chapter 70: 55 Processing Time
Class Jumper (Fate Servant Supplement) 50:
The Anomalous class. Possibly a hero of another world or many worlds. There is no common denominator to this class. It is the most unpredictable of the classes. They gain no base st"&amp;"ats (Strength, Endurance, Agility, Mana, and Luck) above the E Rank base level (E x10 the human peak.). They gain a discount on one stat of their choice. They gain one Skill of their choice as their Class Skill (Territory Creation). Jumper also can pick P"&amp;"ersonalised Class Name for free. You get one C rank Skill (Magecraft) free and receive an E rank for free in any Class Skill you have according to your bought Class. You receive one C rank Noble Phantasm for free.
Personal")</f>
        <v>Chapter 70: 55 Processing Time
Class Jumper (Fate Servant Supplement) 50:
The Anomalous class. Possibly a hero of another world or many worlds. There is no common denominator to this class. It is the most unpredictable of the classes. They gain no base stats (Strength, Endurance, Agility, Mana, and Luck) above the E Rank base level (E x10 the human peak.). They gain a discount on one stat of their choice. They gain one Skill of their choice as their Class Skill (Territory Creation). Jumper also can pick Personalised Class Name for free. You get one C rank Skill (Magecraft) free and receive an E rank for free in any Class Skill you have according to your bought Class. You receive one C rank Noble Phantasm for free.
Personal</v>
      </c>
      <c r="B75" s="17" t="str">
        <f>IFERROR(__xludf.DUMMYFUNCTION("""COMPUTED_VALUE"""),"Chapter 70: 55 Processing Time
Territory Creation E (Fate Servant Supplement) Free:
This skill allows the servant to build a special terrain that is advantageous to oneself as a magus. A Territory allows the creator to cast stronger spells at a reduced co"&amp;"st, with the effects increasing as the rank does
Skill")</f>
        <v>Chapter 70: 55 Processing Time
Territory Creation E (Fate Servant Supplement) Free:
This skill allows the servant to build a special terrain that is advantageous to oneself as a magus. A Territory allows the creator to cast stronger spells at a reduced cost, with the effects increasing as the rank does
Skill</v>
      </c>
      <c r="C75" s="17" t="str">
        <f>IFERROR(__xludf.DUMMYFUNCTION("""COMPUTED_VALUE"""),"Chapter 70: 55 Processing Time
Magecraft C (Fate Servant Supplement) Free:
Knowledge about modern Thaumaturgy
System")</f>
        <v>Chapter 70: 55 Processing Time
Magecraft C (Fate Servant Supplement) Free:
Knowledge about modern Thaumaturgy
System</v>
      </c>
      <c r="D75" s="17" t="str">
        <f>IFERROR(__xludf.DUMMYFUNCTION("""COMPUTED_VALUE"""),"Chapter 70: 55 Processing Time
Noble Phantasm C (Fate Servant Supplement) Free:
Works of Timeless Eternity: Mystic Forge, Anti-Unit (self)
Ability")</f>
        <v>Chapter 70: 55 Processing Time
Noble Phantasm C (Fate Servant Supplement) Free:
Works of Timeless Eternity: Mystic Forge, Anti-Unit (self)
Ability</v>
      </c>
      <c r="E75" s="17" t="str">
        <f>IFERROR(__xludf.DUMMYFUNCTION("""COMPUTED_VALUE"""),"Chapter 70: 55 Processing Time
Item Construction A+++ (Fate Servant Supplement) 550:
Item Construction is a Caster-class Skill. It is the Skill to manufacture magical items, from implements of war to items for daily use. Also, this Skill requires time to "&amp;"gather components and manufacture items.
System")</f>
        <v>Chapter 70: 55 Processing Time
Item Construction A+++ (Fate Servant Supplement) 550:
Item Construction is a Caster-class Skill. It is the Skill to manufacture magical items, from implements of war to items for daily use. Also, this Skill requires time to gather components and manufacture items.
System</v>
      </c>
      <c r="F75" s="17" t="str">
        <f>IFERROR(__xludf.DUMMYFUNCTION("""COMPUTED_VALUE"""),"
")</f>
        <v>
</v>
      </c>
      <c r="G75" s="17" t="str">
        <f>IFERROR(__xludf.DUMMYFUNCTION("""COMPUTED_VALUE"""),"
")</f>
        <v>
</v>
      </c>
      <c r="H75" s="17" t="str">
        <f>IFERROR(__xludf.DUMMYFUNCTION("""COMPUTED_VALUE"""),"
")</f>
        <v>
</v>
      </c>
      <c r="I75" s="17" t="str">
        <f>IFERROR(__xludf.DUMMYFUNCTION("""COMPUTED_VALUE"""),"
")</f>
        <v>
</v>
      </c>
      <c r="J75" s="17" t="str">
        <f>IFERROR(__xludf.DUMMYFUNCTION("""COMPUTED_VALUE"""),"
")</f>
        <v>
</v>
      </c>
      <c r="K75" s="17" t="str">
        <f>IFERROR(__xludf.DUMMYFUNCTION("""COMPUTED_VALUE"""),"
")</f>
        <v>
</v>
      </c>
      <c r="L75" s="17" t="str">
        <f>IFERROR(__xludf.DUMMYFUNCTION("""COMPUTED_VALUE"""),"
")</f>
        <v>
</v>
      </c>
      <c r="M75" s="17" t="str">
        <f>IFERROR(__xludf.DUMMYFUNCTION("""COMPUTED_VALUE"""),"
")</f>
        <v>
</v>
      </c>
      <c r="N75" s="17" t="str">
        <f>IFERROR(__xludf.DUMMYFUNCTION("""COMPUTED_VALUE"""),"
")</f>
        <v>
</v>
      </c>
      <c r="O75" s="17" t="str">
        <f>IFERROR(__xludf.DUMMYFUNCTION("""COMPUTED_VALUE"""),"
")</f>
        <v>
</v>
      </c>
      <c r="P75" s="17" t="str">
        <f>IFERROR(__xludf.DUMMYFUNCTION("""COMPUTED_VALUE"""),"
")</f>
        <v>
</v>
      </c>
      <c r="Q75" s="17" t="str">
        <f>IFERROR(__xludf.DUMMYFUNCTION("""COMPUTED_VALUE"""),"
")</f>
        <v>
</v>
      </c>
      <c r="R75" s="17" t="str">
        <f>IFERROR(__xludf.DUMMYFUNCTION("""COMPUTED_VALUE"""),"
")</f>
        <v>
</v>
      </c>
      <c r="S75" s="17" t="str">
        <f>IFERROR(__xludf.DUMMYFUNCTION("""COMPUTED_VALUE"""),"
")</f>
        <v>
</v>
      </c>
      <c r="T75" s="17" t="str">
        <f>IFERROR(__xludf.DUMMYFUNCTION("""COMPUTED_VALUE"""),"
")</f>
        <v>
</v>
      </c>
      <c r="U75" s="17" t="str">
        <f>IFERROR(__xludf.DUMMYFUNCTION("""COMPUTED_VALUE"""),"
")</f>
        <v>
</v>
      </c>
      <c r="V75" s="17" t="str">
        <f>IFERROR(__xludf.DUMMYFUNCTION("""COMPUTED_VALUE"""),"
")</f>
        <v>
</v>
      </c>
      <c r="W75" s="17" t="str">
        <f>IFERROR(__xludf.DUMMYFUNCTION("""COMPUTED_VALUE"""),"
")</f>
        <v>
</v>
      </c>
      <c r="X75" s="17" t="str">
        <f>IFERROR(__xludf.DUMMYFUNCTION("""COMPUTED_VALUE"""),"
")</f>
        <v>
</v>
      </c>
      <c r="Y75" s="17" t="str">
        <f>IFERROR(__xludf.DUMMYFUNCTION("""COMPUTED_VALUE"""),"
")</f>
        <v>
</v>
      </c>
      <c r="Z75" s="17" t="str">
        <f>IFERROR(__xludf.DUMMYFUNCTION("""COMPUTED_VALUE"""),"
")</f>
        <v>
</v>
      </c>
      <c r="AA75" s="17" t="str">
        <f>IFERROR(__xludf.DUMMYFUNCTION("""COMPUTED_VALUE"""),"
")</f>
        <v>
</v>
      </c>
      <c r="AB75" s="17" t="str">
        <f>IFERROR(__xludf.DUMMYFUNCTION("""COMPUTED_VALUE"""),"
")</f>
        <v>
</v>
      </c>
      <c r="AC75" s="17" t="str">
        <f>IFERROR(__xludf.DUMMYFUNCTION("""COMPUTED_VALUE"""),"
")</f>
        <v>
</v>
      </c>
    </row>
    <row r="76">
      <c r="A76" s="17" t="str">
        <f>IFERROR(__xludf.DUMMYFUNCTION("""COMPUTED_VALUE"""),"")</f>
        <v/>
      </c>
      <c r="B76" s="17" t="str">
        <f>IFERROR(__xludf.DUMMYFUNCTION("""COMPUTED_VALUE"""),"")</f>
        <v/>
      </c>
      <c r="C76" s="17" t="str">
        <f>IFERROR(__xludf.DUMMYFUNCTION("""COMPUTED_VALUE"""),"")</f>
        <v/>
      </c>
      <c r="D76" s="17" t="str">
        <f>IFERROR(__xludf.DUMMYFUNCTION("""COMPUTED_VALUE"""),"")</f>
        <v/>
      </c>
      <c r="E76" s="17" t="str">
        <f>IFERROR(__xludf.DUMMYFUNCTION("""COMPUTED_VALUE"""),"")</f>
        <v/>
      </c>
      <c r="F76" s="17" t="str">
        <f>IFERROR(__xludf.DUMMYFUNCTION("""COMPUTED_VALUE"""),"")</f>
        <v/>
      </c>
      <c r="G76" s="17" t="str">
        <f>IFERROR(__xludf.DUMMYFUNCTION("""COMPUTED_VALUE"""),"")</f>
        <v/>
      </c>
      <c r="H76" s="17" t="str">
        <f>IFERROR(__xludf.DUMMYFUNCTION("""COMPUTED_VALUE"""),"")</f>
        <v/>
      </c>
      <c r="I76" s="17" t="str">
        <f>IFERROR(__xludf.DUMMYFUNCTION("""COMPUTED_VALUE"""),"")</f>
        <v/>
      </c>
      <c r="J76" s="17" t="str">
        <f>IFERROR(__xludf.DUMMYFUNCTION("""COMPUTED_VALUE"""),"")</f>
        <v/>
      </c>
      <c r="K76" s="17" t="str">
        <f>IFERROR(__xludf.DUMMYFUNCTION("""COMPUTED_VALUE"""),"")</f>
        <v/>
      </c>
      <c r="L76" s="17" t="str">
        <f>IFERROR(__xludf.DUMMYFUNCTION("""COMPUTED_VALUE"""),"")</f>
        <v/>
      </c>
      <c r="M76" s="17" t="str">
        <f>IFERROR(__xludf.DUMMYFUNCTION("""COMPUTED_VALUE"""),"")</f>
        <v/>
      </c>
      <c r="N76" s="17" t="str">
        <f>IFERROR(__xludf.DUMMYFUNCTION("""COMPUTED_VALUE"""),"")</f>
        <v/>
      </c>
      <c r="O76" s="17" t="str">
        <f>IFERROR(__xludf.DUMMYFUNCTION("""COMPUTED_VALUE"""),"")</f>
        <v/>
      </c>
      <c r="P76" s="17" t="str">
        <f>IFERROR(__xludf.DUMMYFUNCTION("""COMPUTED_VALUE"""),"")</f>
        <v/>
      </c>
      <c r="Q76" s="17" t="str">
        <f>IFERROR(__xludf.DUMMYFUNCTION("""COMPUTED_VALUE"""),"")</f>
        <v/>
      </c>
      <c r="R76" s="17" t="str">
        <f>IFERROR(__xludf.DUMMYFUNCTION("""COMPUTED_VALUE"""),"")</f>
        <v/>
      </c>
      <c r="S76" s="17" t="str">
        <f>IFERROR(__xludf.DUMMYFUNCTION("""COMPUTED_VALUE"""),"")</f>
        <v/>
      </c>
      <c r="T76" s="17" t="str">
        <f>IFERROR(__xludf.DUMMYFUNCTION("""COMPUTED_VALUE"""),"")</f>
        <v/>
      </c>
      <c r="U76" s="17" t="str">
        <f>IFERROR(__xludf.DUMMYFUNCTION("""COMPUTED_VALUE"""),"")</f>
        <v/>
      </c>
      <c r="V76" s="17" t="str">
        <f>IFERROR(__xludf.DUMMYFUNCTION("""COMPUTED_VALUE"""),"")</f>
        <v/>
      </c>
      <c r="W76" s="17" t="str">
        <f>IFERROR(__xludf.DUMMYFUNCTION("""COMPUTED_VALUE"""),"")</f>
        <v/>
      </c>
      <c r="X76" s="17" t="str">
        <f>IFERROR(__xludf.DUMMYFUNCTION("""COMPUTED_VALUE"""),"")</f>
        <v/>
      </c>
      <c r="Y76" s="17" t="str">
        <f>IFERROR(__xludf.DUMMYFUNCTION("""COMPUTED_VALUE"""),"")</f>
        <v/>
      </c>
      <c r="Z76" s="17" t="str">
        <f>IFERROR(__xludf.DUMMYFUNCTION("""COMPUTED_VALUE"""),"")</f>
        <v/>
      </c>
      <c r="AA76" s="17" t="str">
        <f>IFERROR(__xludf.DUMMYFUNCTION("""COMPUTED_VALUE"""),"")</f>
        <v/>
      </c>
      <c r="AB76" s="17" t="str">
        <f>IFERROR(__xludf.DUMMYFUNCTION("""COMPUTED_VALUE"""),"")</f>
        <v/>
      </c>
      <c r="AC76" s="17" t="str">
        <f>IFERROR(__xludf.DUMMYFUNCTION("""COMPUTED_VALUE"""),"")</f>
        <v/>
      </c>
    </row>
    <row r="77">
      <c r="A77" s="17" t="str">
        <f>IFERROR(__xludf.DUMMYFUNCTION("""COMPUTED_VALUE"""),"")</f>
        <v/>
      </c>
      <c r="B77" s="17" t="str">
        <f>IFERROR(__xludf.DUMMYFUNCTION("""COMPUTED_VALUE"""),"")</f>
        <v/>
      </c>
      <c r="C77" s="17" t="str">
        <f>IFERROR(__xludf.DUMMYFUNCTION("""COMPUTED_VALUE"""),"")</f>
        <v/>
      </c>
      <c r="D77" s="17" t="str">
        <f>IFERROR(__xludf.DUMMYFUNCTION("""COMPUTED_VALUE"""),"")</f>
        <v/>
      </c>
      <c r="E77" s="17" t="str">
        <f>IFERROR(__xludf.DUMMYFUNCTION("""COMPUTED_VALUE"""),"")</f>
        <v/>
      </c>
      <c r="F77" s="17" t="str">
        <f>IFERROR(__xludf.DUMMYFUNCTION("""COMPUTED_VALUE"""),"")</f>
        <v/>
      </c>
      <c r="G77" s="17" t="str">
        <f>IFERROR(__xludf.DUMMYFUNCTION("""COMPUTED_VALUE"""),"")</f>
        <v/>
      </c>
      <c r="H77" s="17" t="str">
        <f>IFERROR(__xludf.DUMMYFUNCTION("""COMPUTED_VALUE"""),"")</f>
        <v/>
      </c>
      <c r="I77" s="17" t="str">
        <f>IFERROR(__xludf.DUMMYFUNCTION("""COMPUTED_VALUE"""),"")</f>
        <v/>
      </c>
      <c r="J77" s="17" t="str">
        <f>IFERROR(__xludf.DUMMYFUNCTION("""COMPUTED_VALUE"""),"")</f>
        <v/>
      </c>
      <c r="K77" s="17" t="str">
        <f>IFERROR(__xludf.DUMMYFUNCTION("""COMPUTED_VALUE"""),"")</f>
        <v/>
      </c>
      <c r="L77" s="17" t="str">
        <f>IFERROR(__xludf.DUMMYFUNCTION("""COMPUTED_VALUE"""),"")</f>
        <v/>
      </c>
      <c r="M77" s="17" t="str">
        <f>IFERROR(__xludf.DUMMYFUNCTION("""COMPUTED_VALUE"""),"")</f>
        <v/>
      </c>
      <c r="N77" s="17" t="str">
        <f>IFERROR(__xludf.DUMMYFUNCTION("""COMPUTED_VALUE"""),"")</f>
        <v/>
      </c>
      <c r="O77" s="17" t="str">
        <f>IFERROR(__xludf.DUMMYFUNCTION("""COMPUTED_VALUE"""),"")</f>
        <v/>
      </c>
      <c r="P77" s="17" t="str">
        <f>IFERROR(__xludf.DUMMYFUNCTION("""COMPUTED_VALUE"""),"")</f>
        <v/>
      </c>
      <c r="Q77" s="17" t="str">
        <f>IFERROR(__xludf.DUMMYFUNCTION("""COMPUTED_VALUE"""),"")</f>
        <v/>
      </c>
      <c r="R77" s="17" t="str">
        <f>IFERROR(__xludf.DUMMYFUNCTION("""COMPUTED_VALUE"""),"")</f>
        <v/>
      </c>
      <c r="S77" s="17" t="str">
        <f>IFERROR(__xludf.DUMMYFUNCTION("""COMPUTED_VALUE"""),"")</f>
        <v/>
      </c>
      <c r="T77" s="17" t="str">
        <f>IFERROR(__xludf.DUMMYFUNCTION("""COMPUTED_VALUE"""),"")</f>
        <v/>
      </c>
      <c r="U77" s="17" t="str">
        <f>IFERROR(__xludf.DUMMYFUNCTION("""COMPUTED_VALUE"""),"")</f>
        <v/>
      </c>
      <c r="V77" s="17" t="str">
        <f>IFERROR(__xludf.DUMMYFUNCTION("""COMPUTED_VALUE"""),"")</f>
        <v/>
      </c>
      <c r="W77" s="17" t="str">
        <f>IFERROR(__xludf.DUMMYFUNCTION("""COMPUTED_VALUE"""),"")</f>
        <v/>
      </c>
      <c r="X77" s="17" t="str">
        <f>IFERROR(__xludf.DUMMYFUNCTION("""COMPUTED_VALUE"""),"")</f>
        <v/>
      </c>
      <c r="Y77" s="17" t="str">
        <f>IFERROR(__xludf.DUMMYFUNCTION("""COMPUTED_VALUE"""),"")</f>
        <v/>
      </c>
      <c r="Z77" s="17" t="str">
        <f>IFERROR(__xludf.DUMMYFUNCTION("""COMPUTED_VALUE"""),"")</f>
        <v/>
      </c>
      <c r="AA77" s="17" t="str">
        <f>IFERROR(__xludf.DUMMYFUNCTION("""COMPUTED_VALUE"""),"")</f>
        <v/>
      </c>
      <c r="AB77" s="17" t="str">
        <f>IFERROR(__xludf.DUMMYFUNCTION("""COMPUTED_VALUE"""),"")</f>
        <v/>
      </c>
      <c r="AC77" s="17" t="str">
        <f>IFERROR(__xludf.DUMMYFUNCTION("""COMPUTED_VALUE"""),"")</f>
        <v/>
      </c>
    </row>
    <row r="78">
      <c r="A78" s="17" t="str">
        <f>IFERROR(__xludf.DUMMYFUNCTION("""COMPUTED_VALUE"""),"Chapter 25: 20 Offensive
Master Craftsman (Forgotten Realms) 300:
You are exceptionally skilled at crafting things. At your worst, your results are masterwork.
Fiat")</f>
        <v>Chapter 25: 20 Offensive
Master Craftsman (Forgotten Realms) 300:
You are exceptionally skilled at crafting things. At your worst, your results are masterwork.
Fiat</v>
      </c>
      <c r="B78" s="17" t="str">
        <f>IFERROR(__xludf.DUMMYFUNCTION("""COMPUTED_VALUE"""),"
")</f>
        <v>
</v>
      </c>
      <c r="C78" s="17" t="str">
        <f>IFERROR(__xludf.DUMMYFUNCTION("""COMPUTED_VALUE"""),"
")</f>
        <v>
</v>
      </c>
      <c r="D78" s="17" t="str">
        <f>IFERROR(__xludf.DUMMYFUNCTION("""COMPUTED_VALUE"""),"
")</f>
        <v>
</v>
      </c>
      <c r="E78" s="17" t="str">
        <f>IFERROR(__xludf.DUMMYFUNCTION("""COMPUTED_VALUE"""),"
")</f>
        <v>
</v>
      </c>
      <c r="F78" s="17" t="str">
        <f>IFERROR(__xludf.DUMMYFUNCTION("""COMPUTED_VALUE"""),"
")</f>
        <v>
</v>
      </c>
      <c r="G78" s="17" t="str">
        <f>IFERROR(__xludf.DUMMYFUNCTION("""COMPUTED_VALUE"""),"
")</f>
        <v>
</v>
      </c>
      <c r="H78" s="17" t="str">
        <f>IFERROR(__xludf.DUMMYFUNCTION("""COMPUTED_VALUE"""),"
")</f>
        <v>
</v>
      </c>
      <c r="I78" s="17" t="str">
        <f>IFERROR(__xludf.DUMMYFUNCTION("""COMPUTED_VALUE"""),"
")</f>
        <v>
</v>
      </c>
      <c r="J78" s="17" t="str">
        <f>IFERROR(__xludf.DUMMYFUNCTION("""COMPUTED_VALUE"""),"
")</f>
        <v>
</v>
      </c>
      <c r="K78" s="17" t="str">
        <f>IFERROR(__xludf.DUMMYFUNCTION("""COMPUTED_VALUE"""),"
")</f>
        <v>
</v>
      </c>
      <c r="L78" s="17" t="str">
        <f>IFERROR(__xludf.DUMMYFUNCTION("""COMPUTED_VALUE"""),"
")</f>
        <v>
</v>
      </c>
      <c r="M78" s="17" t="str">
        <f>IFERROR(__xludf.DUMMYFUNCTION("""COMPUTED_VALUE"""),"
")</f>
        <v>
</v>
      </c>
      <c r="N78" s="17" t="str">
        <f>IFERROR(__xludf.DUMMYFUNCTION("""COMPUTED_VALUE"""),"
")</f>
        <v>
</v>
      </c>
      <c r="O78" s="17" t="str">
        <f>IFERROR(__xludf.DUMMYFUNCTION("""COMPUTED_VALUE"""),"
")</f>
        <v>
</v>
      </c>
      <c r="P78" s="17" t="str">
        <f>IFERROR(__xludf.DUMMYFUNCTION("""COMPUTED_VALUE"""),"
")</f>
        <v>
</v>
      </c>
      <c r="Q78" s="17" t="str">
        <f>IFERROR(__xludf.DUMMYFUNCTION("""COMPUTED_VALUE"""),"
")</f>
        <v>
</v>
      </c>
      <c r="R78" s="17" t="str">
        <f>IFERROR(__xludf.DUMMYFUNCTION("""COMPUTED_VALUE"""),"
")</f>
        <v>
</v>
      </c>
      <c r="S78" s="17" t="str">
        <f>IFERROR(__xludf.DUMMYFUNCTION("""COMPUTED_VALUE"""),"
")</f>
        <v>
</v>
      </c>
      <c r="T78" s="17" t="str">
        <f>IFERROR(__xludf.DUMMYFUNCTION("""COMPUTED_VALUE"""),"
")</f>
        <v>
</v>
      </c>
      <c r="U78" s="17" t="str">
        <f>IFERROR(__xludf.DUMMYFUNCTION("""COMPUTED_VALUE"""),"
")</f>
        <v>
</v>
      </c>
      <c r="V78" s="17" t="str">
        <f>IFERROR(__xludf.DUMMYFUNCTION("""COMPUTED_VALUE"""),"
")</f>
        <v>
</v>
      </c>
      <c r="W78" s="17" t="str">
        <f>IFERROR(__xludf.DUMMYFUNCTION("""COMPUTED_VALUE"""),"
")</f>
        <v>
</v>
      </c>
      <c r="X78" s="17" t="str">
        <f>IFERROR(__xludf.DUMMYFUNCTION("""COMPUTED_VALUE"""),"
")</f>
        <v>
</v>
      </c>
      <c r="Y78" s="17" t="str">
        <f>IFERROR(__xludf.DUMMYFUNCTION("""COMPUTED_VALUE"""),"
")</f>
        <v>
</v>
      </c>
      <c r="Z78" s="17" t="str">
        <f>IFERROR(__xludf.DUMMYFUNCTION("""COMPUTED_VALUE"""),"
")</f>
        <v>
</v>
      </c>
      <c r="AA78" s="17" t="str">
        <f>IFERROR(__xludf.DUMMYFUNCTION("""COMPUTED_VALUE"""),"
")</f>
        <v>
</v>
      </c>
      <c r="AB78" s="17" t="str">
        <f>IFERROR(__xludf.DUMMYFUNCTION("""COMPUTED_VALUE"""),"
")</f>
        <v>
</v>
      </c>
      <c r="AC78" s="17" t="str">
        <f>IFERROR(__xludf.DUMMYFUNCTION("""COMPUTED_VALUE"""),"
")</f>
        <v>
</v>
      </c>
    </row>
    <row r="79">
      <c r="A79" s="17" t="str">
        <f>IFERROR(__xludf.DUMMYFUNCTION("""COMPUTED_VALUE"""),"")</f>
        <v/>
      </c>
      <c r="B79" s="17" t="str">
        <f>IFERROR(__xludf.DUMMYFUNCTION("""COMPUTED_VALUE"""),"")</f>
        <v/>
      </c>
      <c r="C79" s="17" t="str">
        <f>IFERROR(__xludf.DUMMYFUNCTION("""COMPUTED_VALUE"""),"")</f>
        <v/>
      </c>
      <c r="D79" s="17" t="str">
        <f>IFERROR(__xludf.DUMMYFUNCTION("""COMPUTED_VALUE"""),"")</f>
        <v/>
      </c>
      <c r="E79" s="17" t="str">
        <f>IFERROR(__xludf.DUMMYFUNCTION("""COMPUTED_VALUE"""),"")</f>
        <v/>
      </c>
      <c r="F79" s="17" t="str">
        <f>IFERROR(__xludf.DUMMYFUNCTION("""COMPUTED_VALUE"""),"")</f>
        <v/>
      </c>
      <c r="G79" s="17" t="str">
        <f>IFERROR(__xludf.DUMMYFUNCTION("""COMPUTED_VALUE"""),"")</f>
        <v/>
      </c>
      <c r="H79" s="17" t="str">
        <f>IFERROR(__xludf.DUMMYFUNCTION("""COMPUTED_VALUE"""),"")</f>
        <v/>
      </c>
      <c r="I79" s="17" t="str">
        <f>IFERROR(__xludf.DUMMYFUNCTION("""COMPUTED_VALUE"""),"")</f>
        <v/>
      </c>
      <c r="J79" s="17" t="str">
        <f>IFERROR(__xludf.DUMMYFUNCTION("""COMPUTED_VALUE"""),"")</f>
        <v/>
      </c>
      <c r="K79" s="17" t="str">
        <f>IFERROR(__xludf.DUMMYFUNCTION("""COMPUTED_VALUE"""),"")</f>
        <v/>
      </c>
      <c r="L79" s="17" t="str">
        <f>IFERROR(__xludf.DUMMYFUNCTION("""COMPUTED_VALUE"""),"")</f>
        <v/>
      </c>
      <c r="M79" s="17" t="str">
        <f>IFERROR(__xludf.DUMMYFUNCTION("""COMPUTED_VALUE"""),"")</f>
        <v/>
      </c>
      <c r="N79" s="17" t="str">
        <f>IFERROR(__xludf.DUMMYFUNCTION("""COMPUTED_VALUE"""),"")</f>
        <v/>
      </c>
      <c r="O79" s="17" t="str">
        <f>IFERROR(__xludf.DUMMYFUNCTION("""COMPUTED_VALUE"""),"")</f>
        <v/>
      </c>
      <c r="P79" s="17" t="str">
        <f>IFERROR(__xludf.DUMMYFUNCTION("""COMPUTED_VALUE"""),"")</f>
        <v/>
      </c>
      <c r="Q79" s="17" t="str">
        <f>IFERROR(__xludf.DUMMYFUNCTION("""COMPUTED_VALUE"""),"")</f>
        <v/>
      </c>
      <c r="R79" s="17" t="str">
        <f>IFERROR(__xludf.DUMMYFUNCTION("""COMPUTED_VALUE"""),"")</f>
        <v/>
      </c>
      <c r="S79" s="17" t="str">
        <f>IFERROR(__xludf.DUMMYFUNCTION("""COMPUTED_VALUE"""),"")</f>
        <v/>
      </c>
      <c r="T79" s="17" t="str">
        <f>IFERROR(__xludf.DUMMYFUNCTION("""COMPUTED_VALUE"""),"")</f>
        <v/>
      </c>
      <c r="U79" s="17" t="str">
        <f>IFERROR(__xludf.DUMMYFUNCTION("""COMPUTED_VALUE"""),"")</f>
        <v/>
      </c>
      <c r="V79" s="17" t="str">
        <f>IFERROR(__xludf.DUMMYFUNCTION("""COMPUTED_VALUE"""),"")</f>
        <v/>
      </c>
      <c r="W79" s="17" t="str">
        <f>IFERROR(__xludf.DUMMYFUNCTION("""COMPUTED_VALUE"""),"")</f>
        <v/>
      </c>
      <c r="X79" s="17" t="str">
        <f>IFERROR(__xludf.DUMMYFUNCTION("""COMPUTED_VALUE"""),"")</f>
        <v/>
      </c>
      <c r="Y79" s="17" t="str">
        <f>IFERROR(__xludf.DUMMYFUNCTION("""COMPUTED_VALUE"""),"")</f>
        <v/>
      </c>
      <c r="Z79" s="17" t="str">
        <f>IFERROR(__xludf.DUMMYFUNCTION("""COMPUTED_VALUE"""),"")</f>
        <v/>
      </c>
      <c r="AA79" s="17" t="str">
        <f>IFERROR(__xludf.DUMMYFUNCTION("""COMPUTED_VALUE"""),"")</f>
        <v/>
      </c>
      <c r="AB79" s="17" t="str">
        <f>IFERROR(__xludf.DUMMYFUNCTION("""COMPUTED_VALUE"""),"")</f>
        <v/>
      </c>
      <c r="AC79" s="17" t="str">
        <f>IFERROR(__xludf.DUMMYFUNCTION("""COMPUTED_VALUE"""),"")</f>
        <v/>
      </c>
    </row>
    <row r="80">
      <c r="A80" s="17" t="str">
        <f>IFERROR(__xludf.DUMMYFUNCTION("""COMPUTED_VALUE"""),"")</f>
        <v/>
      </c>
      <c r="B80" s="17" t="str">
        <f>IFERROR(__xludf.DUMMYFUNCTION("""COMPUTED_VALUE"""),"")</f>
        <v/>
      </c>
      <c r="C80" s="17" t="str">
        <f>IFERROR(__xludf.DUMMYFUNCTION("""COMPUTED_VALUE"""),"")</f>
        <v/>
      </c>
      <c r="D80" s="17" t="str">
        <f>IFERROR(__xludf.DUMMYFUNCTION("""COMPUTED_VALUE"""),"")</f>
        <v/>
      </c>
      <c r="E80" s="17" t="str">
        <f>IFERROR(__xludf.DUMMYFUNCTION("""COMPUTED_VALUE"""),"")</f>
        <v/>
      </c>
      <c r="F80" s="17" t="str">
        <f>IFERROR(__xludf.DUMMYFUNCTION("""COMPUTED_VALUE"""),"")</f>
        <v/>
      </c>
      <c r="G80" s="17" t="str">
        <f>IFERROR(__xludf.DUMMYFUNCTION("""COMPUTED_VALUE"""),"")</f>
        <v/>
      </c>
      <c r="H80" s="17" t="str">
        <f>IFERROR(__xludf.DUMMYFUNCTION("""COMPUTED_VALUE"""),"")</f>
        <v/>
      </c>
      <c r="I80" s="17" t="str">
        <f>IFERROR(__xludf.DUMMYFUNCTION("""COMPUTED_VALUE"""),"")</f>
        <v/>
      </c>
      <c r="J80" s="17" t="str">
        <f>IFERROR(__xludf.DUMMYFUNCTION("""COMPUTED_VALUE"""),"")</f>
        <v/>
      </c>
      <c r="K80" s="17" t="str">
        <f>IFERROR(__xludf.DUMMYFUNCTION("""COMPUTED_VALUE"""),"")</f>
        <v/>
      </c>
      <c r="L80" s="17" t="str">
        <f>IFERROR(__xludf.DUMMYFUNCTION("""COMPUTED_VALUE"""),"")</f>
        <v/>
      </c>
      <c r="M80" s="17" t="str">
        <f>IFERROR(__xludf.DUMMYFUNCTION("""COMPUTED_VALUE"""),"")</f>
        <v/>
      </c>
      <c r="N80" s="17" t="str">
        <f>IFERROR(__xludf.DUMMYFUNCTION("""COMPUTED_VALUE"""),"")</f>
        <v/>
      </c>
      <c r="O80" s="17" t="str">
        <f>IFERROR(__xludf.DUMMYFUNCTION("""COMPUTED_VALUE"""),"")</f>
        <v/>
      </c>
      <c r="P80" s="17" t="str">
        <f>IFERROR(__xludf.DUMMYFUNCTION("""COMPUTED_VALUE"""),"")</f>
        <v/>
      </c>
      <c r="Q80" s="17" t="str">
        <f>IFERROR(__xludf.DUMMYFUNCTION("""COMPUTED_VALUE"""),"")</f>
        <v/>
      </c>
      <c r="R80" s="17" t="str">
        <f>IFERROR(__xludf.DUMMYFUNCTION("""COMPUTED_VALUE"""),"")</f>
        <v/>
      </c>
      <c r="S80" s="17" t="str">
        <f>IFERROR(__xludf.DUMMYFUNCTION("""COMPUTED_VALUE"""),"")</f>
        <v/>
      </c>
      <c r="T80" s="17" t="str">
        <f>IFERROR(__xludf.DUMMYFUNCTION("""COMPUTED_VALUE"""),"")</f>
        <v/>
      </c>
      <c r="U80" s="17" t="str">
        <f>IFERROR(__xludf.DUMMYFUNCTION("""COMPUTED_VALUE"""),"")</f>
        <v/>
      </c>
      <c r="V80" s="17" t="str">
        <f>IFERROR(__xludf.DUMMYFUNCTION("""COMPUTED_VALUE"""),"")</f>
        <v/>
      </c>
      <c r="W80" s="17" t="str">
        <f>IFERROR(__xludf.DUMMYFUNCTION("""COMPUTED_VALUE"""),"")</f>
        <v/>
      </c>
      <c r="X80" s="17" t="str">
        <f>IFERROR(__xludf.DUMMYFUNCTION("""COMPUTED_VALUE"""),"")</f>
        <v/>
      </c>
      <c r="Y80" s="17" t="str">
        <f>IFERROR(__xludf.DUMMYFUNCTION("""COMPUTED_VALUE"""),"")</f>
        <v/>
      </c>
      <c r="Z80" s="17" t="str">
        <f>IFERROR(__xludf.DUMMYFUNCTION("""COMPUTED_VALUE"""),"")</f>
        <v/>
      </c>
      <c r="AA80" s="17" t="str">
        <f>IFERROR(__xludf.DUMMYFUNCTION("""COMPUTED_VALUE"""),"")</f>
        <v/>
      </c>
      <c r="AB80" s="17" t="str">
        <f>IFERROR(__xludf.DUMMYFUNCTION("""COMPUTED_VALUE"""),"")</f>
        <v/>
      </c>
      <c r="AC80" s="17" t="str">
        <f>IFERROR(__xludf.DUMMYFUNCTION("""COMPUTED_VALUE"""),"")</f>
        <v/>
      </c>
    </row>
    <row r="81">
      <c r="A81" s="17" t="str">
        <f>IFERROR(__xludf.DUMMYFUNCTION("""COMPUTED_VALUE"""),"Chapter 33: 27 Intrusion - Addendum Hannah
Dwarven Craft (Lord of the Rings) 400:
You are a master smith, able to singlehandedly run even a large forge. You can make weapons and armor that stand up to hundreds of years of continuous use, and even know how"&amp;" to mine and forge mystical metals such as Mithril.
System, Speed")</f>
        <v>Chapter 33: 27 Intrusion - Addendum Hannah
Dwarven Craft (Lord of the Rings) 400:
You are a master smith, able to singlehandedly run even a large forge. You can make weapons and armor that stand up to hundreds of years of continuous use, and even know how to mine and forge mystical metals such as Mithril.
System, Speed</v>
      </c>
      <c r="B81" s="17" t="str">
        <f>IFERROR(__xludf.DUMMYFUNCTION("""COMPUTED_VALUE"""),"
")</f>
        <v>
</v>
      </c>
      <c r="C81" s="17" t="str">
        <f>IFERROR(__xludf.DUMMYFUNCTION("""COMPUTED_VALUE"""),"
")</f>
        <v>
</v>
      </c>
      <c r="D81" s="17" t="str">
        <f>IFERROR(__xludf.DUMMYFUNCTION("""COMPUTED_VALUE"""),"
")</f>
        <v>
</v>
      </c>
      <c r="E81" s="17" t="str">
        <f>IFERROR(__xludf.DUMMYFUNCTION("""COMPUTED_VALUE"""),"
")</f>
        <v>
</v>
      </c>
      <c r="F81" s="17" t="str">
        <f>IFERROR(__xludf.DUMMYFUNCTION("""COMPUTED_VALUE"""),"
")</f>
        <v>
</v>
      </c>
      <c r="G81" s="17" t="str">
        <f>IFERROR(__xludf.DUMMYFUNCTION("""COMPUTED_VALUE"""),"
")</f>
        <v>
</v>
      </c>
      <c r="H81" s="17" t="str">
        <f>IFERROR(__xludf.DUMMYFUNCTION("""COMPUTED_VALUE"""),"
")</f>
        <v>
</v>
      </c>
      <c r="I81" s="17" t="str">
        <f>IFERROR(__xludf.DUMMYFUNCTION("""COMPUTED_VALUE"""),"
")</f>
        <v>
</v>
      </c>
      <c r="J81" s="17" t="str">
        <f>IFERROR(__xludf.DUMMYFUNCTION("""COMPUTED_VALUE"""),"
")</f>
        <v>
</v>
      </c>
      <c r="K81" s="17" t="str">
        <f>IFERROR(__xludf.DUMMYFUNCTION("""COMPUTED_VALUE"""),"
")</f>
        <v>
</v>
      </c>
      <c r="L81" s="17" t="str">
        <f>IFERROR(__xludf.DUMMYFUNCTION("""COMPUTED_VALUE"""),"
")</f>
        <v>
</v>
      </c>
      <c r="M81" s="17" t="str">
        <f>IFERROR(__xludf.DUMMYFUNCTION("""COMPUTED_VALUE"""),"
")</f>
        <v>
</v>
      </c>
      <c r="N81" s="17" t="str">
        <f>IFERROR(__xludf.DUMMYFUNCTION("""COMPUTED_VALUE"""),"
")</f>
        <v>
</v>
      </c>
      <c r="O81" s="17" t="str">
        <f>IFERROR(__xludf.DUMMYFUNCTION("""COMPUTED_VALUE"""),"
")</f>
        <v>
</v>
      </c>
      <c r="P81" s="17" t="str">
        <f>IFERROR(__xludf.DUMMYFUNCTION("""COMPUTED_VALUE"""),"
")</f>
        <v>
</v>
      </c>
      <c r="Q81" s="17" t="str">
        <f>IFERROR(__xludf.DUMMYFUNCTION("""COMPUTED_VALUE"""),"
")</f>
        <v>
</v>
      </c>
      <c r="R81" s="17" t="str">
        <f>IFERROR(__xludf.DUMMYFUNCTION("""COMPUTED_VALUE"""),"
")</f>
        <v>
</v>
      </c>
      <c r="S81" s="17" t="str">
        <f>IFERROR(__xludf.DUMMYFUNCTION("""COMPUTED_VALUE"""),"
")</f>
        <v>
</v>
      </c>
      <c r="T81" s="17" t="str">
        <f>IFERROR(__xludf.DUMMYFUNCTION("""COMPUTED_VALUE"""),"
")</f>
        <v>
</v>
      </c>
      <c r="U81" s="17" t="str">
        <f>IFERROR(__xludf.DUMMYFUNCTION("""COMPUTED_VALUE"""),"
")</f>
        <v>
</v>
      </c>
      <c r="V81" s="17" t="str">
        <f>IFERROR(__xludf.DUMMYFUNCTION("""COMPUTED_VALUE"""),"
")</f>
        <v>
</v>
      </c>
      <c r="W81" s="17" t="str">
        <f>IFERROR(__xludf.DUMMYFUNCTION("""COMPUTED_VALUE"""),"
")</f>
        <v>
</v>
      </c>
      <c r="X81" s="17" t="str">
        <f>IFERROR(__xludf.DUMMYFUNCTION("""COMPUTED_VALUE"""),"
")</f>
        <v>
</v>
      </c>
      <c r="Y81" s="17" t="str">
        <f>IFERROR(__xludf.DUMMYFUNCTION("""COMPUTED_VALUE"""),"
")</f>
        <v>
</v>
      </c>
      <c r="Z81" s="17" t="str">
        <f>IFERROR(__xludf.DUMMYFUNCTION("""COMPUTED_VALUE"""),"
")</f>
        <v>
</v>
      </c>
      <c r="AA81" s="17" t="str">
        <f>IFERROR(__xludf.DUMMYFUNCTION("""COMPUTED_VALUE"""),"
")</f>
        <v>
</v>
      </c>
      <c r="AB81" s="17" t="str">
        <f>IFERROR(__xludf.DUMMYFUNCTION("""COMPUTED_VALUE"""),"
")</f>
        <v>
</v>
      </c>
      <c r="AC81" s="17" t="str">
        <f>IFERROR(__xludf.DUMMYFUNCTION("""COMPUTED_VALUE"""),"
")</f>
        <v>
</v>
      </c>
    </row>
    <row r="82">
      <c r="A82" s="17" t="str">
        <f>IFERROR(__xludf.DUMMYFUNCTION("""COMPUTED_VALUE"""),"Chapter 22: 17 Confrontation
High-Frequency Manufacturer (Metal Gear Rising) 300:
A blade launderer, huh? Anyway, you can now make a HF blade out of anything you want. Depending on the original craftsmanship of the weapon, it could be good or shit. But if"&amp;" you picked this, you probably have something in mind.
Must be a physical object. No lightsabers and the like.
Yes, blunt objects can become HF weapons. No, they can't cut. They only get stronger, and can resist other HF weapons.
System")</f>
        <v>Chapter 22: 17 Confrontation
High-Frequency Manufacturer (Metal Gear Rising) 300:
A blade launderer, huh? Anyway, you can now make a HF blade out of anything you want. Depending on the original craftsmanship of the weapon, it could be good or shit. But if you picked this, you probably have something in mind.
Must be a physical object. No lightsabers and the like.
Yes, blunt objects can become HF weapons. No, they can't cut. They only get stronger, and can resist other HF weapons.
System</v>
      </c>
      <c r="B82" s="17" t="str">
        <f>IFERROR(__xludf.DUMMYFUNCTION("""COMPUTED_VALUE"""),"
")</f>
        <v>
</v>
      </c>
      <c r="C82" s="17" t="str">
        <f>IFERROR(__xludf.DUMMYFUNCTION("""COMPUTED_VALUE"""),"
")</f>
        <v>
</v>
      </c>
      <c r="D82" s="17" t="str">
        <f>IFERROR(__xludf.DUMMYFUNCTION("""COMPUTED_VALUE"""),"
")</f>
        <v>
</v>
      </c>
      <c r="E82" s="17" t="str">
        <f>IFERROR(__xludf.DUMMYFUNCTION("""COMPUTED_VALUE"""),"
")</f>
        <v>
</v>
      </c>
      <c r="F82" s="17" t="str">
        <f>IFERROR(__xludf.DUMMYFUNCTION("""COMPUTED_VALUE"""),"
")</f>
        <v>
</v>
      </c>
      <c r="G82" s="17" t="str">
        <f>IFERROR(__xludf.DUMMYFUNCTION("""COMPUTED_VALUE"""),"
")</f>
        <v>
</v>
      </c>
      <c r="H82" s="17" t="str">
        <f>IFERROR(__xludf.DUMMYFUNCTION("""COMPUTED_VALUE"""),"
")</f>
        <v>
</v>
      </c>
      <c r="I82" s="17" t="str">
        <f>IFERROR(__xludf.DUMMYFUNCTION("""COMPUTED_VALUE"""),"
")</f>
        <v>
</v>
      </c>
      <c r="J82" s="17" t="str">
        <f>IFERROR(__xludf.DUMMYFUNCTION("""COMPUTED_VALUE"""),"
")</f>
        <v>
</v>
      </c>
      <c r="K82" s="17" t="str">
        <f>IFERROR(__xludf.DUMMYFUNCTION("""COMPUTED_VALUE"""),"
")</f>
        <v>
</v>
      </c>
      <c r="L82" s="17" t="str">
        <f>IFERROR(__xludf.DUMMYFUNCTION("""COMPUTED_VALUE"""),"
")</f>
        <v>
</v>
      </c>
      <c r="M82" s="17" t="str">
        <f>IFERROR(__xludf.DUMMYFUNCTION("""COMPUTED_VALUE"""),"
")</f>
        <v>
</v>
      </c>
      <c r="N82" s="17" t="str">
        <f>IFERROR(__xludf.DUMMYFUNCTION("""COMPUTED_VALUE"""),"
")</f>
        <v>
</v>
      </c>
      <c r="O82" s="17" t="str">
        <f>IFERROR(__xludf.DUMMYFUNCTION("""COMPUTED_VALUE"""),"
")</f>
        <v>
</v>
      </c>
      <c r="P82" s="17" t="str">
        <f>IFERROR(__xludf.DUMMYFUNCTION("""COMPUTED_VALUE"""),"
")</f>
        <v>
</v>
      </c>
      <c r="Q82" s="17" t="str">
        <f>IFERROR(__xludf.DUMMYFUNCTION("""COMPUTED_VALUE"""),"
")</f>
        <v>
</v>
      </c>
      <c r="R82" s="17" t="str">
        <f>IFERROR(__xludf.DUMMYFUNCTION("""COMPUTED_VALUE"""),"
")</f>
        <v>
</v>
      </c>
      <c r="S82" s="17" t="str">
        <f>IFERROR(__xludf.DUMMYFUNCTION("""COMPUTED_VALUE"""),"
")</f>
        <v>
</v>
      </c>
      <c r="T82" s="17" t="str">
        <f>IFERROR(__xludf.DUMMYFUNCTION("""COMPUTED_VALUE"""),"
")</f>
        <v>
</v>
      </c>
      <c r="U82" s="17" t="str">
        <f>IFERROR(__xludf.DUMMYFUNCTION("""COMPUTED_VALUE"""),"
")</f>
        <v>
</v>
      </c>
      <c r="V82" s="17" t="str">
        <f>IFERROR(__xludf.DUMMYFUNCTION("""COMPUTED_VALUE"""),"
")</f>
        <v>
</v>
      </c>
      <c r="W82" s="17" t="str">
        <f>IFERROR(__xludf.DUMMYFUNCTION("""COMPUTED_VALUE"""),"
")</f>
        <v>
</v>
      </c>
      <c r="X82" s="17" t="str">
        <f>IFERROR(__xludf.DUMMYFUNCTION("""COMPUTED_VALUE"""),"
")</f>
        <v>
</v>
      </c>
      <c r="Y82" s="17" t="str">
        <f>IFERROR(__xludf.DUMMYFUNCTION("""COMPUTED_VALUE"""),"
")</f>
        <v>
</v>
      </c>
      <c r="Z82" s="17" t="str">
        <f>IFERROR(__xludf.DUMMYFUNCTION("""COMPUTED_VALUE"""),"
")</f>
        <v>
</v>
      </c>
      <c r="AA82" s="17" t="str">
        <f>IFERROR(__xludf.DUMMYFUNCTION("""COMPUTED_VALUE"""),"
")</f>
        <v>
</v>
      </c>
      <c r="AB82" s="17" t="str">
        <f>IFERROR(__xludf.DUMMYFUNCTION("""COMPUTED_VALUE"""),"
")</f>
        <v>
</v>
      </c>
      <c r="AC82" s="17" t="str">
        <f>IFERROR(__xludf.DUMMYFUNCTION("""COMPUTED_VALUE"""),"
")</f>
        <v>
</v>
      </c>
    </row>
    <row r="83">
      <c r="A83" s="17" t="str">
        <f>IFERROR(__xludf.DUMMYFUNCTION("""COMPUTED_VALUE"""),"")</f>
        <v/>
      </c>
      <c r="B83" s="17" t="str">
        <f>IFERROR(__xludf.DUMMYFUNCTION("""COMPUTED_VALUE"""),"")</f>
        <v/>
      </c>
      <c r="C83" s="17" t="str">
        <f>IFERROR(__xludf.DUMMYFUNCTION("""COMPUTED_VALUE"""),"")</f>
        <v/>
      </c>
      <c r="D83" s="17" t="str">
        <f>IFERROR(__xludf.DUMMYFUNCTION("""COMPUTED_VALUE"""),"")</f>
        <v/>
      </c>
      <c r="E83" s="17" t="str">
        <f>IFERROR(__xludf.DUMMYFUNCTION("""COMPUTED_VALUE"""),"")</f>
        <v/>
      </c>
      <c r="F83" s="17" t="str">
        <f>IFERROR(__xludf.DUMMYFUNCTION("""COMPUTED_VALUE"""),"")</f>
        <v/>
      </c>
      <c r="G83" s="17" t="str">
        <f>IFERROR(__xludf.DUMMYFUNCTION("""COMPUTED_VALUE"""),"")</f>
        <v/>
      </c>
      <c r="H83" s="17" t="str">
        <f>IFERROR(__xludf.DUMMYFUNCTION("""COMPUTED_VALUE"""),"")</f>
        <v/>
      </c>
      <c r="I83" s="17" t="str">
        <f>IFERROR(__xludf.DUMMYFUNCTION("""COMPUTED_VALUE"""),"")</f>
        <v/>
      </c>
      <c r="J83" s="17" t="str">
        <f>IFERROR(__xludf.DUMMYFUNCTION("""COMPUTED_VALUE"""),"")</f>
        <v/>
      </c>
      <c r="K83" s="17" t="str">
        <f>IFERROR(__xludf.DUMMYFUNCTION("""COMPUTED_VALUE"""),"")</f>
        <v/>
      </c>
      <c r="L83" s="17" t="str">
        <f>IFERROR(__xludf.DUMMYFUNCTION("""COMPUTED_VALUE"""),"")</f>
        <v/>
      </c>
      <c r="M83" s="17" t="str">
        <f>IFERROR(__xludf.DUMMYFUNCTION("""COMPUTED_VALUE"""),"")</f>
        <v/>
      </c>
      <c r="N83" s="17" t="str">
        <f>IFERROR(__xludf.DUMMYFUNCTION("""COMPUTED_VALUE"""),"")</f>
        <v/>
      </c>
      <c r="O83" s="17" t="str">
        <f>IFERROR(__xludf.DUMMYFUNCTION("""COMPUTED_VALUE"""),"")</f>
        <v/>
      </c>
      <c r="P83" s="17" t="str">
        <f>IFERROR(__xludf.DUMMYFUNCTION("""COMPUTED_VALUE"""),"")</f>
        <v/>
      </c>
      <c r="Q83" s="17" t="str">
        <f>IFERROR(__xludf.DUMMYFUNCTION("""COMPUTED_VALUE"""),"")</f>
        <v/>
      </c>
      <c r="R83" s="17" t="str">
        <f>IFERROR(__xludf.DUMMYFUNCTION("""COMPUTED_VALUE"""),"")</f>
        <v/>
      </c>
      <c r="S83" s="17" t="str">
        <f>IFERROR(__xludf.DUMMYFUNCTION("""COMPUTED_VALUE"""),"")</f>
        <v/>
      </c>
      <c r="T83" s="17" t="str">
        <f>IFERROR(__xludf.DUMMYFUNCTION("""COMPUTED_VALUE"""),"")</f>
        <v/>
      </c>
      <c r="U83" s="17" t="str">
        <f>IFERROR(__xludf.DUMMYFUNCTION("""COMPUTED_VALUE"""),"")</f>
        <v/>
      </c>
      <c r="V83" s="17" t="str">
        <f>IFERROR(__xludf.DUMMYFUNCTION("""COMPUTED_VALUE"""),"")</f>
        <v/>
      </c>
      <c r="W83" s="17" t="str">
        <f>IFERROR(__xludf.DUMMYFUNCTION("""COMPUTED_VALUE"""),"")</f>
        <v/>
      </c>
      <c r="X83" s="17" t="str">
        <f>IFERROR(__xludf.DUMMYFUNCTION("""COMPUTED_VALUE"""),"")</f>
        <v/>
      </c>
      <c r="Y83" s="17" t="str">
        <f>IFERROR(__xludf.DUMMYFUNCTION("""COMPUTED_VALUE"""),"")</f>
        <v/>
      </c>
      <c r="Z83" s="17" t="str">
        <f>IFERROR(__xludf.DUMMYFUNCTION("""COMPUTED_VALUE"""),"")</f>
        <v/>
      </c>
      <c r="AA83" s="17" t="str">
        <f>IFERROR(__xludf.DUMMYFUNCTION("""COMPUTED_VALUE"""),"")</f>
        <v/>
      </c>
      <c r="AB83" s="17" t="str">
        <f>IFERROR(__xludf.DUMMYFUNCTION("""COMPUTED_VALUE"""),"")</f>
        <v/>
      </c>
      <c r="AC83" s="17" t="str">
        <f>IFERROR(__xludf.DUMMYFUNCTION("""COMPUTED_VALUE"""),"")</f>
        <v/>
      </c>
    </row>
    <row r="84">
      <c r="A84" s="17" t="str">
        <f>IFERROR(__xludf.DUMMYFUNCTION("""COMPUTED_VALUE"""),"")</f>
        <v/>
      </c>
      <c r="B84" s="17" t="str">
        <f>IFERROR(__xludf.DUMMYFUNCTION("""COMPUTED_VALUE"""),"")</f>
        <v/>
      </c>
      <c r="C84" s="17" t="str">
        <f>IFERROR(__xludf.DUMMYFUNCTION("""COMPUTED_VALUE"""),"")</f>
        <v/>
      </c>
      <c r="D84" s="17" t="str">
        <f>IFERROR(__xludf.DUMMYFUNCTION("""COMPUTED_VALUE"""),"")</f>
        <v/>
      </c>
      <c r="E84" s="17" t="str">
        <f>IFERROR(__xludf.DUMMYFUNCTION("""COMPUTED_VALUE"""),"")</f>
        <v/>
      </c>
      <c r="F84" s="17" t="str">
        <f>IFERROR(__xludf.DUMMYFUNCTION("""COMPUTED_VALUE"""),"")</f>
        <v/>
      </c>
      <c r="G84" s="17" t="str">
        <f>IFERROR(__xludf.DUMMYFUNCTION("""COMPUTED_VALUE"""),"")</f>
        <v/>
      </c>
      <c r="H84" s="17" t="str">
        <f>IFERROR(__xludf.DUMMYFUNCTION("""COMPUTED_VALUE"""),"")</f>
        <v/>
      </c>
      <c r="I84" s="17" t="str">
        <f>IFERROR(__xludf.DUMMYFUNCTION("""COMPUTED_VALUE"""),"")</f>
        <v/>
      </c>
      <c r="J84" s="17" t="str">
        <f>IFERROR(__xludf.DUMMYFUNCTION("""COMPUTED_VALUE"""),"")</f>
        <v/>
      </c>
      <c r="K84" s="17" t="str">
        <f>IFERROR(__xludf.DUMMYFUNCTION("""COMPUTED_VALUE"""),"")</f>
        <v/>
      </c>
      <c r="L84" s="17" t="str">
        <f>IFERROR(__xludf.DUMMYFUNCTION("""COMPUTED_VALUE"""),"")</f>
        <v/>
      </c>
      <c r="M84" s="17" t="str">
        <f>IFERROR(__xludf.DUMMYFUNCTION("""COMPUTED_VALUE"""),"")</f>
        <v/>
      </c>
      <c r="N84" s="17" t="str">
        <f>IFERROR(__xludf.DUMMYFUNCTION("""COMPUTED_VALUE"""),"")</f>
        <v/>
      </c>
      <c r="O84" s="17" t="str">
        <f>IFERROR(__xludf.DUMMYFUNCTION("""COMPUTED_VALUE"""),"")</f>
        <v/>
      </c>
      <c r="P84" s="17" t="str">
        <f>IFERROR(__xludf.DUMMYFUNCTION("""COMPUTED_VALUE"""),"")</f>
        <v/>
      </c>
      <c r="Q84" s="17" t="str">
        <f>IFERROR(__xludf.DUMMYFUNCTION("""COMPUTED_VALUE"""),"")</f>
        <v/>
      </c>
      <c r="R84" s="17" t="str">
        <f>IFERROR(__xludf.DUMMYFUNCTION("""COMPUTED_VALUE"""),"")</f>
        <v/>
      </c>
      <c r="S84" s="17" t="str">
        <f>IFERROR(__xludf.DUMMYFUNCTION("""COMPUTED_VALUE"""),"")</f>
        <v/>
      </c>
      <c r="T84" s="17" t="str">
        <f>IFERROR(__xludf.DUMMYFUNCTION("""COMPUTED_VALUE"""),"")</f>
        <v/>
      </c>
      <c r="U84" s="17" t="str">
        <f>IFERROR(__xludf.DUMMYFUNCTION("""COMPUTED_VALUE"""),"")</f>
        <v/>
      </c>
      <c r="V84" s="17" t="str">
        <f>IFERROR(__xludf.DUMMYFUNCTION("""COMPUTED_VALUE"""),"")</f>
        <v/>
      </c>
      <c r="W84" s="17" t="str">
        <f>IFERROR(__xludf.DUMMYFUNCTION("""COMPUTED_VALUE"""),"")</f>
        <v/>
      </c>
      <c r="X84" s="17" t="str">
        <f>IFERROR(__xludf.DUMMYFUNCTION("""COMPUTED_VALUE"""),"")</f>
        <v/>
      </c>
      <c r="Y84" s="17" t="str">
        <f>IFERROR(__xludf.DUMMYFUNCTION("""COMPUTED_VALUE"""),"")</f>
        <v/>
      </c>
      <c r="Z84" s="17" t="str">
        <f>IFERROR(__xludf.DUMMYFUNCTION("""COMPUTED_VALUE"""),"")</f>
        <v/>
      </c>
      <c r="AA84" s="17" t="str">
        <f>IFERROR(__xludf.DUMMYFUNCTION("""COMPUTED_VALUE"""),"")</f>
        <v/>
      </c>
      <c r="AB84" s="17" t="str">
        <f>IFERROR(__xludf.DUMMYFUNCTION("""COMPUTED_VALUE"""),"")</f>
        <v/>
      </c>
      <c r="AC84" s="17" t="str">
        <f>IFERROR(__xludf.DUMMYFUNCTION("""COMPUTED_VALUE"""),"")</f>
        <v/>
      </c>
    </row>
    <row r="85">
      <c r="A85" s="17" t="str">
        <f>IFERROR(__xludf.DUMMYFUNCTION("""COMPUTED_VALUE"""),"Chapter 71: 55.1 Interlude Fleet Preamble Roy Addendum Margaret
You Became A Star (Robot Unicorn Attack) 400:
You've gained insight into the process of using rainbows to harness Unicornium without having it explode in your face. With it, you can build yo"&amp;"ur own robot unicorns or other rainbow creatures. Once your initial adventure here concludes successfully you will be taught by an expert wishsmith on everything you might need to know to construct Wishes and design your own upgrades for them.
System")</f>
        <v>Chapter 71: 55.1 Interlude Fleet Preamble Roy Addendum Margaret
You Became A Star (Robot Unicorn Attack) 400:
You've gained insight into the process of using rainbows to harness Unicornium without having it explode in your face. With it, you can build your own robot unicorns or other rainbow creatures. Once your initial adventure here concludes successfully you will be taught by an expert wishsmith on everything you might need to know to construct Wishes and design your own upgrades for them.
System</v>
      </c>
      <c r="B85" s="17" t="str">
        <f>IFERROR(__xludf.DUMMYFUNCTION("""COMPUTED_VALUE"""),"Chapter 71: 55.1 Interlude Fleet Preamble Roy Addendum Margaret
Shoot For The Moon (Robot Unicorn Attack) Free:
You gain a bonus to jump height, and can even manage to make a second jump off of nothing but air at half the height of your first leap. When "&amp;"you jump through the air, your tail causes a trail of rainbows to form behind you. If you decide to alter the style of your mane and tail through customization, the trail you leave behind will be cosmetically altered to match.
Ability")</f>
        <v>Chapter 71: 55.1 Interlude Fleet Preamble Roy Addendum Margaret
Shoot For The Moon (Robot Unicorn Attack) Free:
You gain a bonus to jump height, and can even manage to make a second jump off of nothing but air at half the height of your first leap. When you jump through the air, your tail causes a trail of rainbows to form behind you. If you decide to alter the style of your mane and tail through customization, the trail you leave behind will be cosmetically altered to match.
Ability</v>
      </c>
      <c r="C85" s="17" t="str">
        <f>IFERROR(__xludf.DUMMYFUNCTION("""COMPUTED_VALUE"""),"Chapter 71: 55.1 Interlude Fleet Preamble Roy Addendum Margaret
Rainbow Savior (Robot Unicorn Attack) Free:
We won't leave you defenseless in this world. At will you can make use of a rainbow dash attack that will easily explode any fallen stars or enemi"&amp;"es between you and your goal. You are still vulnerable from above, below, to the sides, and from the rear. This only can be used to attack whatever is directly in front of you.
Ability")</f>
        <v>Chapter 71: 55.1 Interlude Fleet Preamble Roy Addendum Margaret
Rainbow Savior (Robot Unicorn Attack) Free:
We won't leave you defenseless in this world. At will you can make use of a rainbow dash attack that will easily explode any fallen stars or enemies between you and your goal. You are still vulnerable from above, below, to the sides, and from the rear. This only can be used to attack whatever is directly in front of you.
Ability</v>
      </c>
      <c r="D85" s="17" t="str">
        <f>IFERROR(__xludf.DUMMYFUNCTION("""COMPUTED_VALUE"""),"Chapter 71: 55.1 Interlude Fleet Preamble Roy Addendum Margaret
Unicornium Horn (Robot Unicorn Attack) Free:
The first comes free, but additional purchases can grant you more horns. All Wishes come with a built-in horn of the finest craftsmanship. Additi"&amp;"onal purchases can provide you with an extra horn, or increase the size and destructive capabilities of your initial horn.
Item")</f>
        <v>Chapter 71: 55.1 Interlude Fleet Preamble Roy Addendum Margaret
Unicornium Horn (Robot Unicorn Attack) Free:
The first comes free, but additional purchases can grant you more horns. All Wishes come with a built-in horn of the finest craftsmanship. Additional purchases can provide you with an extra horn, or increase the size and destructive capabilities of your initial horn.
Item</v>
      </c>
      <c r="E85" s="17" t="str">
        <f>IFERROR(__xludf.DUMMYFUNCTION("""COMPUTED_VALUE"""),"Chapter 71: 55.1 Interlude Fleet Preamble Roy Addendum Margaret
Make A Wish (Robot Unicorn Attack) Free:
You can take whichever three Wishes you'd like to use. All Wishes are equally effective at defeating obstacles and traversing the realm.
Unicorn: The "&amp;"classic wish! Though mostly horse-like in appearance it has some key differences such as rainbows, being a robot, and a horn.
Mother-flipping Sabretooth Tiger: So cool it's awesome. Plain stripes? How about rainbow stripes? Great shiny metal teeth too, wh"&amp;"ich like all Unicornium resists rusting.
Dragon: Large and stylish wings set this Wish apart from the competition. Unfortunately, they are just for show and not actually flight capable.
Entity")</f>
        <v>Chapter 71: 55.1 Interlude Fleet Preamble Roy Addendum Margaret
Make A Wish (Robot Unicorn Attack) Free:
You can take whichever three Wishes you'd like to use. All Wishes are equally effective at defeating obstacles and traversing the realm.
Unicorn: The classic wish! Though mostly horse-like in appearance it has some key differences such as rainbows, being a robot, and a horn.
Mother-flipping Sabretooth Tiger: So cool it's awesome. Plain stripes? How about rainbow stripes? Great shiny metal teeth too, which like all Unicornium resists rusting.
Dragon: Large and stylish wings set this Wish apart from the competition. Unfortunately, they are just for show and not actually flight capable.
Entity</v>
      </c>
      <c r="F85" s="17" t="str">
        <f>IFERROR(__xludf.DUMMYFUNCTION("""COMPUTED_VALUE"""),"
")</f>
        <v>
</v>
      </c>
      <c r="G85" s="17" t="str">
        <f>IFERROR(__xludf.DUMMYFUNCTION("""COMPUTED_VALUE"""),"
")</f>
        <v>
</v>
      </c>
      <c r="H85" s="17" t="str">
        <f>IFERROR(__xludf.DUMMYFUNCTION("""COMPUTED_VALUE"""),"
")</f>
        <v>
</v>
      </c>
      <c r="I85" s="17" t="str">
        <f>IFERROR(__xludf.DUMMYFUNCTION("""COMPUTED_VALUE"""),"
")</f>
        <v>
</v>
      </c>
      <c r="J85" s="17" t="str">
        <f>IFERROR(__xludf.DUMMYFUNCTION("""COMPUTED_VALUE"""),"
")</f>
        <v>
</v>
      </c>
      <c r="K85" s="17" t="str">
        <f>IFERROR(__xludf.DUMMYFUNCTION("""COMPUTED_VALUE"""),"
")</f>
        <v>
</v>
      </c>
      <c r="L85" s="17" t="str">
        <f>IFERROR(__xludf.DUMMYFUNCTION("""COMPUTED_VALUE"""),"
")</f>
        <v>
</v>
      </c>
      <c r="M85" s="17" t="str">
        <f>IFERROR(__xludf.DUMMYFUNCTION("""COMPUTED_VALUE"""),"
")</f>
        <v>
</v>
      </c>
      <c r="N85" s="17" t="str">
        <f>IFERROR(__xludf.DUMMYFUNCTION("""COMPUTED_VALUE"""),"
")</f>
        <v>
</v>
      </c>
      <c r="O85" s="17" t="str">
        <f>IFERROR(__xludf.DUMMYFUNCTION("""COMPUTED_VALUE"""),"
")</f>
        <v>
</v>
      </c>
      <c r="P85" s="17" t="str">
        <f>IFERROR(__xludf.DUMMYFUNCTION("""COMPUTED_VALUE"""),"
")</f>
        <v>
</v>
      </c>
      <c r="Q85" s="17" t="str">
        <f>IFERROR(__xludf.DUMMYFUNCTION("""COMPUTED_VALUE"""),"
")</f>
        <v>
</v>
      </c>
      <c r="R85" s="17" t="str">
        <f>IFERROR(__xludf.DUMMYFUNCTION("""COMPUTED_VALUE"""),"
")</f>
        <v>
</v>
      </c>
      <c r="S85" s="17" t="str">
        <f>IFERROR(__xludf.DUMMYFUNCTION("""COMPUTED_VALUE"""),"
")</f>
        <v>
</v>
      </c>
      <c r="T85" s="17" t="str">
        <f>IFERROR(__xludf.DUMMYFUNCTION("""COMPUTED_VALUE"""),"
")</f>
        <v>
</v>
      </c>
      <c r="U85" s="17" t="str">
        <f>IFERROR(__xludf.DUMMYFUNCTION("""COMPUTED_VALUE"""),"
")</f>
        <v>
</v>
      </c>
      <c r="V85" s="17" t="str">
        <f>IFERROR(__xludf.DUMMYFUNCTION("""COMPUTED_VALUE"""),"
")</f>
        <v>
</v>
      </c>
      <c r="W85" s="17" t="str">
        <f>IFERROR(__xludf.DUMMYFUNCTION("""COMPUTED_VALUE"""),"
")</f>
        <v>
</v>
      </c>
      <c r="X85" s="17" t="str">
        <f>IFERROR(__xludf.DUMMYFUNCTION("""COMPUTED_VALUE"""),"
")</f>
        <v>
</v>
      </c>
      <c r="Y85" s="17" t="str">
        <f>IFERROR(__xludf.DUMMYFUNCTION("""COMPUTED_VALUE"""),"
")</f>
        <v>
</v>
      </c>
      <c r="Z85" s="17" t="str">
        <f>IFERROR(__xludf.DUMMYFUNCTION("""COMPUTED_VALUE"""),"
")</f>
        <v>
</v>
      </c>
      <c r="AA85" s="17" t="str">
        <f>IFERROR(__xludf.DUMMYFUNCTION("""COMPUTED_VALUE"""),"
")</f>
        <v>
</v>
      </c>
      <c r="AB85" s="17" t="str">
        <f>IFERROR(__xludf.DUMMYFUNCTION("""COMPUTED_VALUE"""),"
")</f>
        <v>
</v>
      </c>
      <c r="AC85" s="17" t="str">
        <f>IFERROR(__xludf.DUMMYFUNCTION("""COMPUTED_VALUE"""),"
")</f>
        <v>
</v>
      </c>
    </row>
    <row r="86">
      <c r="A86" s="17" t="str">
        <f>IFERROR(__xludf.DUMMYFUNCTION("""COMPUTED_VALUE"""),"Chapter 59: 46 Review
Tempered Soul (Soul Calibur) 300:
You gain an innate gift for forging high-quality weaponry. The weapons you create do not appear crude in any sense of the word, and in time your skill might cause your functional weaponry to be confu"&amp;"sed for elaborate display items.
System")</f>
        <v>Chapter 59: 46 Review
Tempered Soul (Soul Calibur) 300:
You gain an innate gift for forging high-quality weaponry. The weapons you create do not appear crude in any sense of the word, and in time your skill might cause your functional weaponry to be confused for elaborate display items.
System</v>
      </c>
      <c r="B86" s="17" t="str">
        <f>IFERROR(__xludf.DUMMYFUNCTION("""COMPUTED_VALUE"""),"
")</f>
        <v>
</v>
      </c>
      <c r="C86" s="17" t="str">
        <f>IFERROR(__xludf.DUMMYFUNCTION("""COMPUTED_VALUE"""),"
")</f>
        <v>
</v>
      </c>
      <c r="D86" s="17" t="str">
        <f>IFERROR(__xludf.DUMMYFUNCTION("""COMPUTED_VALUE"""),"
")</f>
        <v>
</v>
      </c>
      <c r="E86" s="17" t="str">
        <f>IFERROR(__xludf.DUMMYFUNCTION("""COMPUTED_VALUE"""),"
")</f>
        <v>
</v>
      </c>
      <c r="F86" s="17" t="str">
        <f>IFERROR(__xludf.DUMMYFUNCTION("""COMPUTED_VALUE"""),"
")</f>
        <v>
</v>
      </c>
      <c r="G86" s="17" t="str">
        <f>IFERROR(__xludf.DUMMYFUNCTION("""COMPUTED_VALUE"""),"
")</f>
        <v>
</v>
      </c>
      <c r="H86" s="17" t="str">
        <f>IFERROR(__xludf.DUMMYFUNCTION("""COMPUTED_VALUE"""),"
")</f>
        <v>
</v>
      </c>
      <c r="I86" s="17" t="str">
        <f>IFERROR(__xludf.DUMMYFUNCTION("""COMPUTED_VALUE"""),"
")</f>
        <v>
</v>
      </c>
      <c r="J86" s="17" t="str">
        <f>IFERROR(__xludf.DUMMYFUNCTION("""COMPUTED_VALUE"""),"
")</f>
        <v>
</v>
      </c>
      <c r="K86" s="17" t="str">
        <f>IFERROR(__xludf.DUMMYFUNCTION("""COMPUTED_VALUE"""),"
")</f>
        <v>
</v>
      </c>
      <c r="L86" s="17" t="str">
        <f>IFERROR(__xludf.DUMMYFUNCTION("""COMPUTED_VALUE"""),"
")</f>
        <v>
</v>
      </c>
      <c r="M86" s="17" t="str">
        <f>IFERROR(__xludf.DUMMYFUNCTION("""COMPUTED_VALUE"""),"
")</f>
        <v>
</v>
      </c>
      <c r="N86" s="17" t="str">
        <f>IFERROR(__xludf.DUMMYFUNCTION("""COMPUTED_VALUE"""),"
")</f>
        <v>
</v>
      </c>
      <c r="O86" s="17" t="str">
        <f>IFERROR(__xludf.DUMMYFUNCTION("""COMPUTED_VALUE"""),"
")</f>
        <v>
</v>
      </c>
      <c r="P86" s="17" t="str">
        <f>IFERROR(__xludf.DUMMYFUNCTION("""COMPUTED_VALUE"""),"
")</f>
        <v>
</v>
      </c>
      <c r="Q86" s="17" t="str">
        <f>IFERROR(__xludf.DUMMYFUNCTION("""COMPUTED_VALUE"""),"
")</f>
        <v>
</v>
      </c>
      <c r="R86" s="17" t="str">
        <f>IFERROR(__xludf.DUMMYFUNCTION("""COMPUTED_VALUE"""),"
")</f>
        <v>
</v>
      </c>
      <c r="S86" s="17" t="str">
        <f>IFERROR(__xludf.DUMMYFUNCTION("""COMPUTED_VALUE"""),"
")</f>
        <v>
</v>
      </c>
      <c r="T86" s="17" t="str">
        <f>IFERROR(__xludf.DUMMYFUNCTION("""COMPUTED_VALUE"""),"
")</f>
        <v>
</v>
      </c>
      <c r="U86" s="17" t="str">
        <f>IFERROR(__xludf.DUMMYFUNCTION("""COMPUTED_VALUE"""),"
")</f>
        <v>
</v>
      </c>
      <c r="V86" s="17" t="str">
        <f>IFERROR(__xludf.DUMMYFUNCTION("""COMPUTED_VALUE"""),"
")</f>
        <v>
</v>
      </c>
      <c r="W86" s="17" t="str">
        <f>IFERROR(__xludf.DUMMYFUNCTION("""COMPUTED_VALUE"""),"
")</f>
        <v>
</v>
      </c>
      <c r="X86" s="17" t="str">
        <f>IFERROR(__xludf.DUMMYFUNCTION("""COMPUTED_VALUE"""),"
")</f>
        <v>
</v>
      </c>
      <c r="Y86" s="17" t="str">
        <f>IFERROR(__xludf.DUMMYFUNCTION("""COMPUTED_VALUE"""),"
")</f>
        <v>
</v>
      </c>
      <c r="Z86" s="17" t="str">
        <f>IFERROR(__xludf.DUMMYFUNCTION("""COMPUTED_VALUE"""),"
")</f>
        <v>
</v>
      </c>
      <c r="AA86" s="17" t="str">
        <f>IFERROR(__xludf.DUMMYFUNCTION("""COMPUTED_VALUE"""),"
")</f>
        <v>
</v>
      </c>
      <c r="AB86" s="17" t="str">
        <f>IFERROR(__xludf.DUMMYFUNCTION("""COMPUTED_VALUE"""),"
")</f>
        <v>
</v>
      </c>
      <c r="AC86" s="17" t="str">
        <f>IFERROR(__xludf.DUMMYFUNCTION("""COMPUTED_VALUE"""),"
")</f>
        <v>
</v>
      </c>
    </row>
    <row r="87">
      <c r="A87" s="17" t="str">
        <f>IFERROR(__xludf.DUMMYFUNCTION("""COMPUTED_VALUE"""),"Chapter 25: 20 Offensive
Engineer (Super Mario RPG) 300:
You're more adept at coming up with novel and creative objects. Any blueprint can be held perfectly in your mind without needing to draw it on paper.
Ability, Skill")</f>
        <v>Chapter 25: 20 Offensive
Engineer (Super Mario RPG) 300:
You're more adept at coming up with novel and creative objects. Any blueprint can be held perfectly in your mind without needing to draw it on paper.
Ability, Skill</v>
      </c>
      <c r="B87" s="17" t="str">
        <f>IFERROR(__xludf.DUMMYFUNCTION("""COMPUTED_VALUE"""),"
")</f>
        <v>
</v>
      </c>
      <c r="C87" s="17" t="str">
        <f>IFERROR(__xludf.DUMMYFUNCTION("""COMPUTED_VALUE"""),"
")</f>
        <v>
</v>
      </c>
      <c r="D87" s="17" t="str">
        <f>IFERROR(__xludf.DUMMYFUNCTION("""COMPUTED_VALUE"""),"
")</f>
        <v>
</v>
      </c>
      <c r="E87" s="17" t="str">
        <f>IFERROR(__xludf.DUMMYFUNCTION("""COMPUTED_VALUE"""),"
")</f>
        <v>
</v>
      </c>
      <c r="F87" s="17" t="str">
        <f>IFERROR(__xludf.DUMMYFUNCTION("""COMPUTED_VALUE"""),"
")</f>
        <v>
</v>
      </c>
      <c r="G87" s="17" t="str">
        <f>IFERROR(__xludf.DUMMYFUNCTION("""COMPUTED_VALUE"""),"
")</f>
        <v>
</v>
      </c>
      <c r="H87" s="17" t="str">
        <f>IFERROR(__xludf.DUMMYFUNCTION("""COMPUTED_VALUE"""),"
")</f>
        <v>
</v>
      </c>
      <c r="I87" s="17" t="str">
        <f>IFERROR(__xludf.DUMMYFUNCTION("""COMPUTED_VALUE"""),"
")</f>
        <v>
</v>
      </c>
      <c r="J87" s="17" t="str">
        <f>IFERROR(__xludf.DUMMYFUNCTION("""COMPUTED_VALUE"""),"
")</f>
        <v>
</v>
      </c>
      <c r="K87" s="17" t="str">
        <f>IFERROR(__xludf.DUMMYFUNCTION("""COMPUTED_VALUE"""),"
")</f>
        <v>
</v>
      </c>
      <c r="L87" s="17" t="str">
        <f>IFERROR(__xludf.DUMMYFUNCTION("""COMPUTED_VALUE"""),"
")</f>
        <v>
</v>
      </c>
      <c r="M87" s="17" t="str">
        <f>IFERROR(__xludf.DUMMYFUNCTION("""COMPUTED_VALUE"""),"
")</f>
        <v>
</v>
      </c>
      <c r="N87" s="17" t="str">
        <f>IFERROR(__xludf.DUMMYFUNCTION("""COMPUTED_VALUE"""),"
")</f>
        <v>
</v>
      </c>
      <c r="O87" s="17" t="str">
        <f>IFERROR(__xludf.DUMMYFUNCTION("""COMPUTED_VALUE"""),"
")</f>
        <v>
</v>
      </c>
      <c r="P87" s="17" t="str">
        <f>IFERROR(__xludf.DUMMYFUNCTION("""COMPUTED_VALUE"""),"
")</f>
        <v>
</v>
      </c>
      <c r="Q87" s="17" t="str">
        <f>IFERROR(__xludf.DUMMYFUNCTION("""COMPUTED_VALUE"""),"
")</f>
        <v>
</v>
      </c>
      <c r="R87" s="17" t="str">
        <f>IFERROR(__xludf.DUMMYFUNCTION("""COMPUTED_VALUE"""),"
")</f>
        <v>
</v>
      </c>
      <c r="S87" s="17" t="str">
        <f>IFERROR(__xludf.DUMMYFUNCTION("""COMPUTED_VALUE"""),"
")</f>
        <v>
</v>
      </c>
      <c r="T87" s="17" t="str">
        <f>IFERROR(__xludf.DUMMYFUNCTION("""COMPUTED_VALUE"""),"
")</f>
        <v>
</v>
      </c>
      <c r="U87" s="17" t="str">
        <f>IFERROR(__xludf.DUMMYFUNCTION("""COMPUTED_VALUE"""),"
")</f>
        <v>
</v>
      </c>
      <c r="V87" s="17" t="str">
        <f>IFERROR(__xludf.DUMMYFUNCTION("""COMPUTED_VALUE"""),"
")</f>
        <v>
</v>
      </c>
      <c r="W87" s="17" t="str">
        <f>IFERROR(__xludf.DUMMYFUNCTION("""COMPUTED_VALUE"""),"
")</f>
        <v>
</v>
      </c>
      <c r="X87" s="17" t="str">
        <f>IFERROR(__xludf.DUMMYFUNCTION("""COMPUTED_VALUE"""),"
")</f>
        <v>
</v>
      </c>
      <c r="Y87" s="17" t="str">
        <f>IFERROR(__xludf.DUMMYFUNCTION("""COMPUTED_VALUE"""),"
")</f>
        <v>
</v>
      </c>
      <c r="Z87" s="17" t="str">
        <f>IFERROR(__xludf.DUMMYFUNCTION("""COMPUTED_VALUE"""),"
")</f>
        <v>
</v>
      </c>
      <c r="AA87" s="17" t="str">
        <f>IFERROR(__xludf.DUMMYFUNCTION("""COMPUTED_VALUE"""),"
")</f>
        <v>
</v>
      </c>
      <c r="AB87" s="17" t="str">
        <f>IFERROR(__xludf.DUMMYFUNCTION("""COMPUTED_VALUE"""),"
")</f>
        <v>
</v>
      </c>
      <c r="AC87" s="17" t="str">
        <f>IFERROR(__xludf.DUMMYFUNCTION("""COMPUTED_VALUE"""),"
")</f>
        <v>
</v>
      </c>
    </row>
    <row r="88">
      <c r="A88" s="17" t="str">
        <f>IFERROR(__xludf.DUMMYFUNCTION("""COMPUTED_VALUE"""),"Chapter 35: 29 Presentation - Addendum Emily
The Arcane Craft (Sword and Sorcery) 300:
As much as you might look down upon brutes and barbarians who know only how to break bone and spill blood, you and the warriors of this land have one thing in common. "&amp;"You require the tools of your trade. You know all the methods and ways to bind arcane and mysterious forces into physical vessels. Rings, staves, talismans, warded stone towers, and even more. These items allow the channeling of such forces to work your w"&amp;"ill, capturing, bending, and shaping the worlds invisible tides to enable works of sorcery and occult splendor. The strength of these items and their effects rely on your skill, knowledge, and power. Of course should you yourself be a font of such forces "&amp;"from your varied lives then you would be surely capable of building the focuses and talismans to augment and amplify your power. The world rewards men for diligent labor. It would behoove you to refine this art to get everything you can out of it. This al"&amp;"so includes the skill to use such items, even those not made by your hand should you have the ability to reveal their secrets.
System")</f>
        <v>Chapter 35: 29 Presentation - Addendum Emily
The Arcane Craft (Sword and Sorcery) 300:
As much as you might look down upon brutes and barbarians who know only how to break bone and spill blood, you and the warriors of this land have one thing in common. You require the tools of your trade. You know all the methods and ways to bind arcane and mysterious forces into physical vessels. Rings, staves, talismans, warded stone towers, and even more. These items allow the channeling of such forces to work your will, capturing, bending, and shaping the worlds invisible tides to enable works of sorcery and occult splendor. The strength of these items and their effects rely on your skill, knowledge, and power. Of course should you yourself be a font of such forces from your varied lives then you would be surely capable of building the focuses and talismans to augment and amplify your power. The world rewards men for diligent labor. It would behoove you to refine this art to get everything you can out of it. This also includes the skill to use such items, even those not made by your hand should you have the ability to reveal their secrets.
System</v>
      </c>
      <c r="B88" s="17" t="str">
        <f>IFERROR(__xludf.DUMMYFUNCTION("""COMPUTED_VALUE"""),"
")</f>
        <v>
</v>
      </c>
      <c r="C88" s="17" t="str">
        <f>IFERROR(__xludf.DUMMYFUNCTION("""COMPUTED_VALUE"""),"
")</f>
        <v>
</v>
      </c>
      <c r="D88" s="17" t="str">
        <f>IFERROR(__xludf.DUMMYFUNCTION("""COMPUTED_VALUE"""),"
")</f>
        <v>
</v>
      </c>
      <c r="E88" s="17" t="str">
        <f>IFERROR(__xludf.DUMMYFUNCTION("""COMPUTED_VALUE"""),"
")</f>
        <v>
</v>
      </c>
      <c r="F88" s="17" t="str">
        <f>IFERROR(__xludf.DUMMYFUNCTION("""COMPUTED_VALUE"""),"
")</f>
        <v>
</v>
      </c>
      <c r="G88" s="17" t="str">
        <f>IFERROR(__xludf.DUMMYFUNCTION("""COMPUTED_VALUE"""),"
")</f>
        <v>
</v>
      </c>
      <c r="H88" s="17" t="str">
        <f>IFERROR(__xludf.DUMMYFUNCTION("""COMPUTED_VALUE"""),"
")</f>
        <v>
</v>
      </c>
      <c r="I88" s="17" t="str">
        <f>IFERROR(__xludf.DUMMYFUNCTION("""COMPUTED_VALUE"""),"
")</f>
        <v>
</v>
      </c>
      <c r="J88" s="17" t="str">
        <f>IFERROR(__xludf.DUMMYFUNCTION("""COMPUTED_VALUE"""),"
")</f>
        <v>
</v>
      </c>
      <c r="K88" s="17" t="str">
        <f>IFERROR(__xludf.DUMMYFUNCTION("""COMPUTED_VALUE"""),"
")</f>
        <v>
</v>
      </c>
      <c r="L88" s="17" t="str">
        <f>IFERROR(__xludf.DUMMYFUNCTION("""COMPUTED_VALUE"""),"
")</f>
        <v>
</v>
      </c>
      <c r="M88" s="17" t="str">
        <f>IFERROR(__xludf.DUMMYFUNCTION("""COMPUTED_VALUE"""),"
")</f>
        <v>
</v>
      </c>
      <c r="N88" s="17" t="str">
        <f>IFERROR(__xludf.DUMMYFUNCTION("""COMPUTED_VALUE"""),"
")</f>
        <v>
</v>
      </c>
      <c r="O88" s="17" t="str">
        <f>IFERROR(__xludf.DUMMYFUNCTION("""COMPUTED_VALUE"""),"
")</f>
        <v>
</v>
      </c>
      <c r="P88" s="17" t="str">
        <f>IFERROR(__xludf.DUMMYFUNCTION("""COMPUTED_VALUE"""),"
")</f>
        <v>
</v>
      </c>
      <c r="Q88" s="17" t="str">
        <f>IFERROR(__xludf.DUMMYFUNCTION("""COMPUTED_VALUE"""),"
")</f>
        <v>
</v>
      </c>
      <c r="R88" s="17" t="str">
        <f>IFERROR(__xludf.DUMMYFUNCTION("""COMPUTED_VALUE"""),"
")</f>
        <v>
</v>
      </c>
      <c r="S88" s="17" t="str">
        <f>IFERROR(__xludf.DUMMYFUNCTION("""COMPUTED_VALUE"""),"
")</f>
        <v>
</v>
      </c>
      <c r="T88" s="17" t="str">
        <f>IFERROR(__xludf.DUMMYFUNCTION("""COMPUTED_VALUE"""),"
")</f>
        <v>
</v>
      </c>
      <c r="U88" s="17" t="str">
        <f>IFERROR(__xludf.DUMMYFUNCTION("""COMPUTED_VALUE"""),"
")</f>
        <v>
</v>
      </c>
      <c r="V88" s="17" t="str">
        <f>IFERROR(__xludf.DUMMYFUNCTION("""COMPUTED_VALUE"""),"
")</f>
        <v>
</v>
      </c>
      <c r="W88" s="17" t="str">
        <f>IFERROR(__xludf.DUMMYFUNCTION("""COMPUTED_VALUE"""),"
")</f>
        <v>
</v>
      </c>
      <c r="X88" s="17" t="str">
        <f>IFERROR(__xludf.DUMMYFUNCTION("""COMPUTED_VALUE"""),"
")</f>
        <v>
</v>
      </c>
      <c r="Y88" s="17" t="str">
        <f>IFERROR(__xludf.DUMMYFUNCTION("""COMPUTED_VALUE"""),"
")</f>
        <v>
</v>
      </c>
      <c r="Z88" s="17" t="str">
        <f>IFERROR(__xludf.DUMMYFUNCTION("""COMPUTED_VALUE"""),"
")</f>
        <v>
</v>
      </c>
      <c r="AA88" s="17" t="str">
        <f>IFERROR(__xludf.DUMMYFUNCTION("""COMPUTED_VALUE"""),"
")</f>
        <v>
</v>
      </c>
      <c r="AB88" s="17" t="str">
        <f>IFERROR(__xludf.DUMMYFUNCTION("""COMPUTED_VALUE"""),"
")</f>
        <v>
</v>
      </c>
      <c r="AC88" s="17" t="str">
        <f>IFERROR(__xludf.DUMMYFUNCTION("""COMPUTED_VALUE"""),"
")</f>
        <v>
</v>
      </c>
    </row>
    <row r="89">
      <c r="A89" s="17" t="str">
        <f>IFERROR(__xludf.DUMMYFUNCTION("""COMPUTED_VALUE"""),"")</f>
        <v/>
      </c>
      <c r="B89" s="17" t="str">
        <f>IFERROR(__xludf.DUMMYFUNCTION("""COMPUTED_VALUE"""),"")</f>
        <v/>
      </c>
      <c r="C89" s="17" t="str">
        <f>IFERROR(__xludf.DUMMYFUNCTION("""COMPUTED_VALUE"""),"")</f>
        <v/>
      </c>
      <c r="D89" s="17" t="str">
        <f>IFERROR(__xludf.DUMMYFUNCTION("""COMPUTED_VALUE"""),"")</f>
        <v/>
      </c>
      <c r="E89" s="17" t="str">
        <f>IFERROR(__xludf.DUMMYFUNCTION("""COMPUTED_VALUE"""),"")</f>
        <v/>
      </c>
      <c r="F89" s="17" t="str">
        <f>IFERROR(__xludf.DUMMYFUNCTION("""COMPUTED_VALUE"""),"")</f>
        <v/>
      </c>
      <c r="G89" s="17" t="str">
        <f>IFERROR(__xludf.DUMMYFUNCTION("""COMPUTED_VALUE"""),"")</f>
        <v/>
      </c>
      <c r="H89" s="17" t="str">
        <f>IFERROR(__xludf.DUMMYFUNCTION("""COMPUTED_VALUE"""),"")</f>
        <v/>
      </c>
      <c r="I89" s="17" t="str">
        <f>IFERROR(__xludf.DUMMYFUNCTION("""COMPUTED_VALUE"""),"")</f>
        <v/>
      </c>
      <c r="J89" s="17" t="str">
        <f>IFERROR(__xludf.DUMMYFUNCTION("""COMPUTED_VALUE"""),"")</f>
        <v/>
      </c>
      <c r="K89" s="17" t="str">
        <f>IFERROR(__xludf.DUMMYFUNCTION("""COMPUTED_VALUE"""),"")</f>
        <v/>
      </c>
      <c r="L89" s="17" t="str">
        <f>IFERROR(__xludf.DUMMYFUNCTION("""COMPUTED_VALUE"""),"")</f>
        <v/>
      </c>
      <c r="M89" s="17" t="str">
        <f>IFERROR(__xludf.DUMMYFUNCTION("""COMPUTED_VALUE"""),"")</f>
        <v/>
      </c>
      <c r="N89" s="17" t="str">
        <f>IFERROR(__xludf.DUMMYFUNCTION("""COMPUTED_VALUE"""),"")</f>
        <v/>
      </c>
      <c r="O89" s="17" t="str">
        <f>IFERROR(__xludf.DUMMYFUNCTION("""COMPUTED_VALUE"""),"")</f>
        <v/>
      </c>
      <c r="P89" s="17" t="str">
        <f>IFERROR(__xludf.DUMMYFUNCTION("""COMPUTED_VALUE"""),"")</f>
        <v/>
      </c>
      <c r="Q89" s="17" t="str">
        <f>IFERROR(__xludf.DUMMYFUNCTION("""COMPUTED_VALUE"""),"")</f>
        <v/>
      </c>
      <c r="R89" s="17" t="str">
        <f>IFERROR(__xludf.DUMMYFUNCTION("""COMPUTED_VALUE"""),"")</f>
        <v/>
      </c>
      <c r="S89" s="17" t="str">
        <f>IFERROR(__xludf.DUMMYFUNCTION("""COMPUTED_VALUE"""),"")</f>
        <v/>
      </c>
      <c r="T89" s="17" t="str">
        <f>IFERROR(__xludf.DUMMYFUNCTION("""COMPUTED_VALUE"""),"")</f>
        <v/>
      </c>
      <c r="U89" s="17" t="str">
        <f>IFERROR(__xludf.DUMMYFUNCTION("""COMPUTED_VALUE"""),"")</f>
        <v/>
      </c>
      <c r="V89" s="17" t="str">
        <f>IFERROR(__xludf.DUMMYFUNCTION("""COMPUTED_VALUE"""),"")</f>
        <v/>
      </c>
      <c r="W89" s="17" t="str">
        <f>IFERROR(__xludf.DUMMYFUNCTION("""COMPUTED_VALUE"""),"")</f>
        <v/>
      </c>
      <c r="X89" s="17" t="str">
        <f>IFERROR(__xludf.DUMMYFUNCTION("""COMPUTED_VALUE"""),"")</f>
        <v/>
      </c>
      <c r="Y89" s="17" t="str">
        <f>IFERROR(__xludf.DUMMYFUNCTION("""COMPUTED_VALUE"""),"")</f>
        <v/>
      </c>
      <c r="Z89" s="17" t="str">
        <f>IFERROR(__xludf.DUMMYFUNCTION("""COMPUTED_VALUE"""),"")</f>
        <v/>
      </c>
      <c r="AA89" s="17" t="str">
        <f>IFERROR(__xludf.DUMMYFUNCTION("""COMPUTED_VALUE"""),"")</f>
        <v/>
      </c>
      <c r="AB89" s="17" t="str">
        <f>IFERROR(__xludf.DUMMYFUNCTION("""COMPUTED_VALUE"""),"")</f>
        <v/>
      </c>
      <c r="AC89" s="17" t="str">
        <f>IFERROR(__xludf.DUMMYFUNCTION("""COMPUTED_VALUE"""),"")</f>
        <v/>
      </c>
    </row>
    <row r="90">
      <c r="A90" s="17" t="str">
        <f>IFERROR(__xludf.DUMMYFUNCTION("""COMPUTED_VALUE"""),"Chapter 06: 5 Negotiation
Smithing (Thundercats 2011) 200:
The ancient art of working with metal to forge weapons and armor. You know how to make beautiful equipment that can survive countless battles and you could even forge a legendary weapon if you ded"&amp;"icated enough time to it, although it'd probably take at least several years to complete.
System")</f>
        <v>Chapter 06: 5 Negotiation
Smithing (Thundercats 2011) 200:
The ancient art of working with metal to forge weapons and armor. You know how to make beautiful equipment that can survive countless battles and you could even forge a legendary weapon if you dedicated enough time to it, although it'd probably take at least several years to complete.
System</v>
      </c>
      <c r="B90" s="17" t="str">
        <f>IFERROR(__xludf.DUMMYFUNCTION("""COMPUTED_VALUE"""),"
")</f>
        <v>
</v>
      </c>
      <c r="C90" s="17" t="str">
        <f>IFERROR(__xludf.DUMMYFUNCTION("""COMPUTED_VALUE"""),"
")</f>
        <v>
</v>
      </c>
      <c r="D90" s="17" t="str">
        <f>IFERROR(__xludf.DUMMYFUNCTION("""COMPUTED_VALUE"""),"
")</f>
        <v>
</v>
      </c>
      <c r="E90" s="17" t="str">
        <f>IFERROR(__xludf.DUMMYFUNCTION("""COMPUTED_VALUE"""),"
")</f>
        <v>
</v>
      </c>
      <c r="F90" s="17" t="str">
        <f>IFERROR(__xludf.DUMMYFUNCTION("""COMPUTED_VALUE"""),"
")</f>
        <v>
</v>
      </c>
      <c r="G90" s="17" t="str">
        <f>IFERROR(__xludf.DUMMYFUNCTION("""COMPUTED_VALUE"""),"
")</f>
        <v>
</v>
      </c>
      <c r="H90" s="17" t="str">
        <f>IFERROR(__xludf.DUMMYFUNCTION("""COMPUTED_VALUE"""),"
")</f>
        <v>
</v>
      </c>
      <c r="I90" s="17" t="str">
        <f>IFERROR(__xludf.DUMMYFUNCTION("""COMPUTED_VALUE"""),"
")</f>
        <v>
</v>
      </c>
      <c r="J90" s="17" t="str">
        <f>IFERROR(__xludf.DUMMYFUNCTION("""COMPUTED_VALUE"""),"
")</f>
        <v>
</v>
      </c>
      <c r="K90" s="17" t="str">
        <f>IFERROR(__xludf.DUMMYFUNCTION("""COMPUTED_VALUE"""),"
")</f>
        <v>
</v>
      </c>
      <c r="L90" s="17" t="str">
        <f>IFERROR(__xludf.DUMMYFUNCTION("""COMPUTED_VALUE"""),"
")</f>
        <v>
</v>
      </c>
      <c r="M90" s="17" t="str">
        <f>IFERROR(__xludf.DUMMYFUNCTION("""COMPUTED_VALUE"""),"
")</f>
        <v>
</v>
      </c>
      <c r="N90" s="17" t="str">
        <f>IFERROR(__xludf.DUMMYFUNCTION("""COMPUTED_VALUE"""),"
")</f>
        <v>
</v>
      </c>
      <c r="O90" s="17" t="str">
        <f>IFERROR(__xludf.DUMMYFUNCTION("""COMPUTED_VALUE"""),"
")</f>
        <v>
</v>
      </c>
      <c r="P90" s="17" t="str">
        <f>IFERROR(__xludf.DUMMYFUNCTION("""COMPUTED_VALUE"""),"
")</f>
        <v>
</v>
      </c>
      <c r="Q90" s="17" t="str">
        <f>IFERROR(__xludf.DUMMYFUNCTION("""COMPUTED_VALUE"""),"
")</f>
        <v>
</v>
      </c>
      <c r="R90" s="17" t="str">
        <f>IFERROR(__xludf.DUMMYFUNCTION("""COMPUTED_VALUE"""),"
")</f>
        <v>
</v>
      </c>
      <c r="S90" s="17" t="str">
        <f>IFERROR(__xludf.DUMMYFUNCTION("""COMPUTED_VALUE"""),"
")</f>
        <v>
</v>
      </c>
      <c r="T90" s="17" t="str">
        <f>IFERROR(__xludf.DUMMYFUNCTION("""COMPUTED_VALUE"""),"
")</f>
        <v>
</v>
      </c>
      <c r="U90" s="17" t="str">
        <f>IFERROR(__xludf.DUMMYFUNCTION("""COMPUTED_VALUE"""),"
")</f>
        <v>
</v>
      </c>
      <c r="V90" s="17" t="str">
        <f>IFERROR(__xludf.DUMMYFUNCTION("""COMPUTED_VALUE"""),"
")</f>
        <v>
</v>
      </c>
      <c r="W90" s="17" t="str">
        <f>IFERROR(__xludf.DUMMYFUNCTION("""COMPUTED_VALUE"""),"
")</f>
        <v>
</v>
      </c>
      <c r="X90" s="17" t="str">
        <f>IFERROR(__xludf.DUMMYFUNCTION("""COMPUTED_VALUE"""),"
")</f>
        <v>
</v>
      </c>
      <c r="Y90" s="17" t="str">
        <f>IFERROR(__xludf.DUMMYFUNCTION("""COMPUTED_VALUE"""),"
")</f>
        <v>
</v>
      </c>
      <c r="Z90" s="17" t="str">
        <f>IFERROR(__xludf.DUMMYFUNCTION("""COMPUTED_VALUE"""),"
")</f>
        <v>
</v>
      </c>
      <c r="AA90" s="17" t="str">
        <f>IFERROR(__xludf.DUMMYFUNCTION("""COMPUTED_VALUE"""),"
")</f>
        <v>
</v>
      </c>
      <c r="AB90" s="17" t="str">
        <f>IFERROR(__xludf.DUMMYFUNCTION("""COMPUTED_VALUE"""),"
")</f>
        <v>
</v>
      </c>
      <c r="AC90" s="17" t="str">
        <f>IFERROR(__xludf.DUMMYFUNCTION("""COMPUTED_VALUE"""),"
")</f>
        <v>
</v>
      </c>
    </row>
    <row r="91">
      <c r="A91" s="17" t="str">
        <f>IFERROR(__xludf.DUMMYFUNCTION("""COMPUTED_VALUE"""),"")</f>
        <v/>
      </c>
      <c r="B91" s="17" t="str">
        <f>IFERROR(__xludf.DUMMYFUNCTION("""COMPUTED_VALUE"""),"")</f>
        <v/>
      </c>
      <c r="C91" s="17" t="str">
        <f>IFERROR(__xludf.DUMMYFUNCTION("""COMPUTED_VALUE"""),"")</f>
        <v/>
      </c>
      <c r="D91" s="17" t="str">
        <f>IFERROR(__xludf.DUMMYFUNCTION("""COMPUTED_VALUE"""),"")</f>
        <v/>
      </c>
      <c r="E91" s="17" t="str">
        <f>IFERROR(__xludf.DUMMYFUNCTION("""COMPUTED_VALUE"""),"")</f>
        <v/>
      </c>
      <c r="F91" s="17" t="str">
        <f>IFERROR(__xludf.DUMMYFUNCTION("""COMPUTED_VALUE"""),"")</f>
        <v/>
      </c>
      <c r="G91" s="17" t="str">
        <f>IFERROR(__xludf.DUMMYFUNCTION("""COMPUTED_VALUE"""),"")</f>
        <v/>
      </c>
      <c r="H91" s="17" t="str">
        <f>IFERROR(__xludf.DUMMYFUNCTION("""COMPUTED_VALUE"""),"")</f>
        <v/>
      </c>
      <c r="I91" s="17" t="str">
        <f>IFERROR(__xludf.DUMMYFUNCTION("""COMPUTED_VALUE"""),"")</f>
        <v/>
      </c>
      <c r="J91" s="17" t="str">
        <f>IFERROR(__xludf.DUMMYFUNCTION("""COMPUTED_VALUE"""),"")</f>
        <v/>
      </c>
      <c r="K91" s="17" t="str">
        <f>IFERROR(__xludf.DUMMYFUNCTION("""COMPUTED_VALUE"""),"")</f>
        <v/>
      </c>
      <c r="L91" s="17" t="str">
        <f>IFERROR(__xludf.DUMMYFUNCTION("""COMPUTED_VALUE"""),"")</f>
        <v/>
      </c>
      <c r="M91" s="17" t="str">
        <f>IFERROR(__xludf.DUMMYFUNCTION("""COMPUTED_VALUE"""),"")</f>
        <v/>
      </c>
      <c r="N91" s="17" t="str">
        <f>IFERROR(__xludf.DUMMYFUNCTION("""COMPUTED_VALUE"""),"")</f>
        <v/>
      </c>
      <c r="O91" s="17" t="str">
        <f>IFERROR(__xludf.DUMMYFUNCTION("""COMPUTED_VALUE"""),"")</f>
        <v/>
      </c>
      <c r="P91" s="17" t="str">
        <f>IFERROR(__xludf.DUMMYFUNCTION("""COMPUTED_VALUE"""),"")</f>
        <v/>
      </c>
      <c r="Q91" s="17" t="str">
        <f>IFERROR(__xludf.DUMMYFUNCTION("""COMPUTED_VALUE"""),"")</f>
        <v/>
      </c>
      <c r="R91" s="17" t="str">
        <f>IFERROR(__xludf.DUMMYFUNCTION("""COMPUTED_VALUE"""),"")</f>
        <v/>
      </c>
      <c r="S91" s="17" t="str">
        <f>IFERROR(__xludf.DUMMYFUNCTION("""COMPUTED_VALUE"""),"")</f>
        <v/>
      </c>
      <c r="T91" s="17" t="str">
        <f>IFERROR(__xludf.DUMMYFUNCTION("""COMPUTED_VALUE"""),"")</f>
        <v/>
      </c>
      <c r="U91" s="17" t="str">
        <f>IFERROR(__xludf.DUMMYFUNCTION("""COMPUTED_VALUE"""),"")</f>
        <v/>
      </c>
      <c r="V91" s="17" t="str">
        <f>IFERROR(__xludf.DUMMYFUNCTION("""COMPUTED_VALUE"""),"")</f>
        <v/>
      </c>
      <c r="W91" s="17" t="str">
        <f>IFERROR(__xludf.DUMMYFUNCTION("""COMPUTED_VALUE"""),"")</f>
        <v/>
      </c>
      <c r="X91" s="17" t="str">
        <f>IFERROR(__xludf.DUMMYFUNCTION("""COMPUTED_VALUE"""),"")</f>
        <v/>
      </c>
      <c r="Y91" s="17" t="str">
        <f>IFERROR(__xludf.DUMMYFUNCTION("""COMPUTED_VALUE"""),"")</f>
        <v/>
      </c>
      <c r="Z91" s="17" t="str">
        <f>IFERROR(__xludf.DUMMYFUNCTION("""COMPUTED_VALUE"""),"")</f>
        <v/>
      </c>
      <c r="AA91" s="17" t="str">
        <f>IFERROR(__xludf.DUMMYFUNCTION("""COMPUTED_VALUE"""),"")</f>
        <v/>
      </c>
      <c r="AB91" s="17" t="str">
        <f>IFERROR(__xludf.DUMMYFUNCTION("""COMPUTED_VALUE"""),"")</f>
        <v/>
      </c>
      <c r="AC91" s="17" t="str">
        <f>IFERROR(__xludf.DUMMYFUNCTION("""COMPUTED_VALUE"""),"")</f>
        <v/>
      </c>
    </row>
    <row r="92">
      <c r="A92" s="17" t="str">
        <f>IFERROR(__xludf.DUMMYFUNCTION("""COMPUTED_VALUE"""),"Chapter 24: 19 Restoration
Armourer (Light of Terra DLC 5 A Sky Filled With Steel - Warhammer 40,000) 300:
A mental database containing information on the most common types of armour found in the Necromunda Hive and how to build, repair and maintain them."&amp;" While this doesn't sound impressive, it is worth pointing out there are countless billions of people dwelling within the hive, and they have been here for millenia - the list of things counted as common at one time or another ranges from Power Armour in "&amp;"the distant past to the more common hammered metal plates made by local Gangers to the standard Imperial Guard Carapace Armour. Don't expect to start churning out Adetus Astartes Power Armour the second you get this though - the infrastructure to build th"&amp;"e infrastructure to build the infrastructure to build the armour was lost to ruin a long time ago. There's a reason the Space Marines use suits thousands of years old.
Set")</f>
        <v>Chapter 24: 19 Restoration
Armourer (Light of Terra DLC 5 A Sky Filled With Steel - Warhammer 40,000) 300:
A mental database containing information on the most common types of armour found in the Necromunda Hive and how to build, repair and maintain them. While this doesn't sound impressive, it is worth pointing out there are countless billions of people dwelling within the hive, and they have been here for millenia - the list of things counted as common at one time or another ranges from Power Armour in the distant past to the more common hammered metal plates made by local Gangers to the standard Imperial Guard Carapace Armour. Don't expect to start churning out Adetus Astartes Power Armour the second you get this though - the infrastructure to build the infrastructure to build the infrastructure to build the armour was lost to ruin a long time ago. There's a reason the Space Marines use suits thousands of years old.
Set</v>
      </c>
      <c r="B92" s="17" t="str">
        <f>IFERROR(__xludf.DUMMYFUNCTION("""COMPUTED_VALUE"""),"Chapter 42: 35.1 Interlude Dragon - Addendum Margaret
Weaponsmith (Light of Terra DLC 5 A Sky Filled With Steel - Warhammer 40,000) 300:
To weaponry what Armourer is to protective gear, this is a massive database of the various tools of mayhem the denizen"&amp;"s of the Necromunda hive have wielded against each other. While the high tech equipment possible may seem nice, do not underestimate the value of low tech weaponry. Crafting a plasma pistol and crafting a bayonet require wildly different sets of skills, a"&amp;"nd all too often people who have one assume they have the other, to their chagrin.
Set")</f>
        <v>Chapter 42: 35.1 Interlude Dragon - Addendum Margaret
Weaponsmith (Light of Terra DLC 5 A Sky Filled With Steel - Warhammer 40,000) 300:
To weaponry what Armourer is to protective gear, this is a massive database of the various tools of mayhem the denizens of the Necromunda hive have wielded against each other. While the high tech equipment possible may seem nice, do not underestimate the value of low tech weaponry. Crafting a plasma pistol and crafting a bayonet require wildly different sets of skills, and all too often people who have one assume they have the other, to their chagrin.
Set</v>
      </c>
      <c r="C92" s="17" t="str">
        <f>IFERROR(__xludf.DUMMYFUNCTION("""COMPUTED_VALUE"""),"Chapter 56: 44 Awakening
Fixer (Light of Terra DLC 5 A Sky Filled With Steel - Warhammer 40,000) 300:
This Schema contains a massive database filled with the countless bits of equipment the denizens of Necromunda Hive Primus have bought, found, built, sto"&amp;"len or obtained by other means over the centuries since the Hive was founded. Inexplicably it also seems to contain an extremely rare, extremely valuable and extremely heretical to own database detailing how to build and maintain Admech servitors and cybe"&amp;"rnetic parts.
Set")</f>
        <v>Chapter 56: 44 Awakening
Fixer (Light of Terra DLC 5 A Sky Filled With Steel - Warhammer 40,000) 300:
This Schema contains a massive database filled with the countless bits of equipment the denizens of Necromunda Hive Primus have bought, found, built, stolen or obtained by other means over the centuries since the Hive was founded. Inexplicably it also seems to contain an extremely rare, extremely valuable and extremely heretical to own database detailing how to build and maintain Admech servitors and cybernetic parts.
Set</v>
      </c>
      <c r="D92" s="17" t="str">
        <f>IFERROR(__xludf.DUMMYFUNCTION("""COMPUTED_VALUE"""),"
")</f>
        <v>
</v>
      </c>
      <c r="E92" s="17" t="str">
        <f>IFERROR(__xludf.DUMMYFUNCTION("""COMPUTED_VALUE"""),"
")</f>
        <v>
</v>
      </c>
      <c r="F92" s="17" t="str">
        <f>IFERROR(__xludf.DUMMYFUNCTION("""COMPUTED_VALUE"""),"
")</f>
        <v>
</v>
      </c>
      <c r="G92" s="17" t="str">
        <f>IFERROR(__xludf.DUMMYFUNCTION("""COMPUTED_VALUE"""),"
")</f>
        <v>
</v>
      </c>
      <c r="H92" s="17" t="str">
        <f>IFERROR(__xludf.DUMMYFUNCTION("""COMPUTED_VALUE"""),"
")</f>
        <v>
</v>
      </c>
      <c r="I92" s="17" t="str">
        <f>IFERROR(__xludf.DUMMYFUNCTION("""COMPUTED_VALUE"""),"
")</f>
        <v>
</v>
      </c>
      <c r="J92" s="17" t="str">
        <f>IFERROR(__xludf.DUMMYFUNCTION("""COMPUTED_VALUE"""),"
")</f>
        <v>
</v>
      </c>
      <c r="K92" s="17" t="str">
        <f>IFERROR(__xludf.DUMMYFUNCTION("""COMPUTED_VALUE"""),"
")</f>
        <v>
</v>
      </c>
      <c r="L92" s="17" t="str">
        <f>IFERROR(__xludf.DUMMYFUNCTION("""COMPUTED_VALUE"""),"
")</f>
        <v>
</v>
      </c>
      <c r="M92" s="17" t="str">
        <f>IFERROR(__xludf.DUMMYFUNCTION("""COMPUTED_VALUE"""),"
")</f>
        <v>
</v>
      </c>
      <c r="N92" s="17" t="str">
        <f>IFERROR(__xludf.DUMMYFUNCTION("""COMPUTED_VALUE"""),"
")</f>
        <v>
</v>
      </c>
      <c r="O92" s="17" t="str">
        <f>IFERROR(__xludf.DUMMYFUNCTION("""COMPUTED_VALUE"""),"
")</f>
        <v>
</v>
      </c>
      <c r="P92" s="17" t="str">
        <f>IFERROR(__xludf.DUMMYFUNCTION("""COMPUTED_VALUE"""),"
")</f>
        <v>
</v>
      </c>
      <c r="Q92" s="17" t="str">
        <f>IFERROR(__xludf.DUMMYFUNCTION("""COMPUTED_VALUE"""),"
")</f>
        <v>
</v>
      </c>
      <c r="R92" s="17" t="str">
        <f>IFERROR(__xludf.DUMMYFUNCTION("""COMPUTED_VALUE"""),"
")</f>
        <v>
</v>
      </c>
      <c r="S92" s="17" t="str">
        <f>IFERROR(__xludf.DUMMYFUNCTION("""COMPUTED_VALUE"""),"
")</f>
        <v>
</v>
      </c>
      <c r="T92" s="17" t="str">
        <f>IFERROR(__xludf.DUMMYFUNCTION("""COMPUTED_VALUE"""),"
")</f>
        <v>
</v>
      </c>
      <c r="U92" s="17" t="str">
        <f>IFERROR(__xludf.DUMMYFUNCTION("""COMPUTED_VALUE"""),"
")</f>
        <v>
</v>
      </c>
      <c r="V92" s="17" t="str">
        <f>IFERROR(__xludf.DUMMYFUNCTION("""COMPUTED_VALUE"""),"
")</f>
        <v>
</v>
      </c>
      <c r="W92" s="17" t="str">
        <f>IFERROR(__xludf.DUMMYFUNCTION("""COMPUTED_VALUE"""),"
")</f>
        <v>
</v>
      </c>
      <c r="X92" s="17" t="str">
        <f>IFERROR(__xludf.DUMMYFUNCTION("""COMPUTED_VALUE"""),"
")</f>
        <v>
</v>
      </c>
      <c r="Y92" s="17" t="str">
        <f>IFERROR(__xludf.DUMMYFUNCTION("""COMPUTED_VALUE"""),"
")</f>
        <v>
</v>
      </c>
      <c r="Z92" s="17" t="str">
        <f>IFERROR(__xludf.DUMMYFUNCTION("""COMPUTED_VALUE"""),"
")</f>
        <v>
</v>
      </c>
      <c r="AA92" s="17" t="str">
        <f>IFERROR(__xludf.DUMMYFUNCTION("""COMPUTED_VALUE"""),"
")</f>
        <v>
</v>
      </c>
      <c r="AB92" s="17" t="str">
        <f>IFERROR(__xludf.DUMMYFUNCTION("""COMPUTED_VALUE"""),"
")</f>
        <v>
</v>
      </c>
      <c r="AC92" s="17" t="str">
        <f>IFERROR(__xludf.DUMMYFUNCTION("""COMPUTED_VALUE"""),"
")</f>
        <v>
</v>
      </c>
    </row>
    <row r="93">
      <c r="A93" s="17" t="str">
        <f>IFERROR(__xludf.DUMMYFUNCTION("""COMPUTED_VALUE"""),"")</f>
        <v/>
      </c>
      <c r="B93" s="17" t="str">
        <f>IFERROR(__xludf.DUMMYFUNCTION("""COMPUTED_VALUE"""),"")</f>
        <v/>
      </c>
      <c r="C93" s="17" t="str">
        <f>IFERROR(__xludf.DUMMYFUNCTION("""COMPUTED_VALUE"""),"")</f>
        <v/>
      </c>
      <c r="D93" s="17" t="str">
        <f>IFERROR(__xludf.DUMMYFUNCTION("""COMPUTED_VALUE"""),"")</f>
        <v/>
      </c>
      <c r="E93" s="17" t="str">
        <f>IFERROR(__xludf.DUMMYFUNCTION("""COMPUTED_VALUE"""),"")</f>
        <v/>
      </c>
      <c r="F93" s="17" t="str">
        <f>IFERROR(__xludf.DUMMYFUNCTION("""COMPUTED_VALUE"""),"")</f>
        <v/>
      </c>
      <c r="G93" s="17" t="str">
        <f>IFERROR(__xludf.DUMMYFUNCTION("""COMPUTED_VALUE"""),"")</f>
        <v/>
      </c>
      <c r="H93" s="17" t="str">
        <f>IFERROR(__xludf.DUMMYFUNCTION("""COMPUTED_VALUE"""),"")</f>
        <v/>
      </c>
      <c r="I93" s="17" t="str">
        <f>IFERROR(__xludf.DUMMYFUNCTION("""COMPUTED_VALUE"""),"")</f>
        <v/>
      </c>
      <c r="J93" s="17" t="str">
        <f>IFERROR(__xludf.DUMMYFUNCTION("""COMPUTED_VALUE"""),"")</f>
        <v/>
      </c>
      <c r="K93" s="17" t="str">
        <f>IFERROR(__xludf.DUMMYFUNCTION("""COMPUTED_VALUE"""),"")</f>
        <v/>
      </c>
      <c r="L93" s="17" t="str">
        <f>IFERROR(__xludf.DUMMYFUNCTION("""COMPUTED_VALUE"""),"")</f>
        <v/>
      </c>
      <c r="M93" s="17" t="str">
        <f>IFERROR(__xludf.DUMMYFUNCTION("""COMPUTED_VALUE"""),"")</f>
        <v/>
      </c>
      <c r="N93" s="17" t="str">
        <f>IFERROR(__xludf.DUMMYFUNCTION("""COMPUTED_VALUE"""),"")</f>
        <v/>
      </c>
      <c r="O93" s="17" t="str">
        <f>IFERROR(__xludf.DUMMYFUNCTION("""COMPUTED_VALUE"""),"")</f>
        <v/>
      </c>
      <c r="P93" s="17" t="str">
        <f>IFERROR(__xludf.DUMMYFUNCTION("""COMPUTED_VALUE"""),"")</f>
        <v/>
      </c>
      <c r="Q93" s="17" t="str">
        <f>IFERROR(__xludf.DUMMYFUNCTION("""COMPUTED_VALUE"""),"")</f>
        <v/>
      </c>
      <c r="R93" s="17" t="str">
        <f>IFERROR(__xludf.DUMMYFUNCTION("""COMPUTED_VALUE"""),"")</f>
        <v/>
      </c>
      <c r="S93" s="17" t="str">
        <f>IFERROR(__xludf.DUMMYFUNCTION("""COMPUTED_VALUE"""),"")</f>
        <v/>
      </c>
      <c r="T93" s="17" t="str">
        <f>IFERROR(__xludf.DUMMYFUNCTION("""COMPUTED_VALUE"""),"")</f>
        <v/>
      </c>
      <c r="U93" s="17" t="str">
        <f>IFERROR(__xludf.DUMMYFUNCTION("""COMPUTED_VALUE"""),"")</f>
        <v/>
      </c>
      <c r="V93" s="17" t="str">
        <f>IFERROR(__xludf.DUMMYFUNCTION("""COMPUTED_VALUE"""),"")</f>
        <v/>
      </c>
      <c r="W93" s="17" t="str">
        <f>IFERROR(__xludf.DUMMYFUNCTION("""COMPUTED_VALUE"""),"")</f>
        <v/>
      </c>
      <c r="X93" s="17" t="str">
        <f>IFERROR(__xludf.DUMMYFUNCTION("""COMPUTED_VALUE"""),"")</f>
        <v/>
      </c>
      <c r="Y93" s="17" t="str">
        <f>IFERROR(__xludf.DUMMYFUNCTION("""COMPUTED_VALUE"""),"")</f>
        <v/>
      </c>
      <c r="Z93" s="17" t="str">
        <f>IFERROR(__xludf.DUMMYFUNCTION("""COMPUTED_VALUE"""),"")</f>
        <v/>
      </c>
      <c r="AA93" s="17" t="str">
        <f>IFERROR(__xludf.DUMMYFUNCTION("""COMPUTED_VALUE"""),"")</f>
        <v/>
      </c>
      <c r="AB93" s="17" t="str">
        <f>IFERROR(__xludf.DUMMYFUNCTION("""COMPUTED_VALUE"""),"")</f>
        <v/>
      </c>
      <c r="AC93" s="17" t="str">
        <f>IFERROR(__xludf.DUMMYFUNCTION("""COMPUTED_VALUE"""),"")</f>
        <v/>
      </c>
    </row>
    <row r="94">
      <c r="A94" s="17" t="str">
        <f>IFERROR(__xludf.DUMMYFUNCTION("""COMPUTED_VALUE"""),"Chapter 33: 27 Intrusion - Addendum Hannah
Customized Weapons (XCOM) 100:
You know that efficiency is number one, because waste is a thief. You know how to make the best designs better, and will ensure that the equipment in use is ergonomic, streamlined,"&amp;" and efficient.
System")</f>
        <v>Chapter 33: 27 Intrusion - Addendum Hannah
Customized Weapons (XCOM) 100:
You know that efficiency is number one, because waste is a thief. You know how to make the best designs better, and will ensure that the equipment in use is ergonomic, streamlined, and efficient.
System</v>
      </c>
      <c r="B94" s="17" t="str">
        <f>IFERROR(__xludf.DUMMYFUNCTION("""COMPUTED_VALUE"""),"
")</f>
        <v>
</v>
      </c>
      <c r="C94" s="17" t="str">
        <f>IFERROR(__xludf.DUMMYFUNCTION("""COMPUTED_VALUE"""),"
")</f>
        <v>
</v>
      </c>
      <c r="D94" s="17" t="str">
        <f>IFERROR(__xludf.DUMMYFUNCTION("""COMPUTED_VALUE"""),"
")</f>
        <v>
</v>
      </c>
      <c r="E94" s="17" t="str">
        <f>IFERROR(__xludf.DUMMYFUNCTION("""COMPUTED_VALUE"""),"
")</f>
        <v>
</v>
      </c>
      <c r="F94" s="17" t="str">
        <f>IFERROR(__xludf.DUMMYFUNCTION("""COMPUTED_VALUE"""),"
")</f>
        <v>
</v>
      </c>
      <c r="G94" s="17" t="str">
        <f>IFERROR(__xludf.DUMMYFUNCTION("""COMPUTED_VALUE"""),"
")</f>
        <v>
</v>
      </c>
      <c r="H94" s="17" t="str">
        <f>IFERROR(__xludf.DUMMYFUNCTION("""COMPUTED_VALUE"""),"
")</f>
        <v>
</v>
      </c>
      <c r="I94" s="17" t="str">
        <f>IFERROR(__xludf.DUMMYFUNCTION("""COMPUTED_VALUE"""),"
")</f>
        <v>
</v>
      </c>
      <c r="J94" s="17" t="str">
        <f>IFERROR(__xludf.DUMMYFUNCTION("""COMPUTED_VALUE"""),"
")</f>
        <v>
</v>
      </c>
      <c r="K94" s="17" t="str">
        <f>IFERROR(__xludf.DUMMYFUNCTION("""COMPUTED_VALUE"""),"
")</f>
        <v>
</v>
      </c>
      <c r="L94" s="17" t="str">
        <f>IFERROR(__xludf.DUMMYFUNCTION("""COMPUTED_VALUE"""),"
")</f>
        <v>
</v>
      </c>
      <c r="M94" s="17" t="str">
        <f>IFERROR(__xludf.DUMMYFUNCTION("""COMPUTED_VALUE"""),"
")</f>
        <v>
</v>
      </c>
      <c r="N94" s="17" t="str">
        <f>IFERROR(__xludf.DUMMYFUNCTION("""COMPUTED_VALUE"""),"
")</f>
        <v>
</v>
      </c>
      <c r="O94" s="17" t="str">
        <f>IFERROR(__xludf.DUMMYFUNCTION("""COMPUTED_VALUE"""),"
")</f>
        <v>
</v>
      </c>
      <c r="P94" s="17" t="str">
        <f>IFERROR(__xludf.DUMMYFUNCTION("""COMPUTED_VALUE"""),"
")</f>
        <v>
</v>
      </c>
      <c r="Q94" s="17" t="str">
        <f>IFERROR(__xludf.DUMMYFUNCTION("""COMPUTED_VALUE"""),"
")</f>
        <v>
</v>
      </c>
      <c r="R94" s="17" t="str">
        <f>IFERROR(__xludf.DUMMYFUNCTION("""COMPUTED_VALUE"""),"
")</f>
        <v>
</v>
      </c>
      <c r="S94" s="17" t="str">
        <f>IFERROR(__xludf.DUMMYFUNCTION("""COMPUTED_VALUE"""),"
")</f>
        <v>
</v>
      </c>
      <c r="T94" s="17" t="str">
        <f>IFERROR(__xludf.DUMMYFUNCTION("""COMPUTED_VALUE"""),"
")</f>
        <v>
</v>
      </c>
      <c r="U94" s="17" t="str">
        <f>IFERROR(__xludf.DUMMYFUNCTION("""COMPUTED_VALUE"""),"
")</f>
        <v>
</v>
      </c>
      <c r="V94" s="17" t="str">
        <f>IFERROR(__xludf.DUMMYFUNCTION("""COMPUTED_VALUE"""),"
")</f>
        <v>
</v>
      </c>
      <c r="W94" s="17" t="str">
        <f>IFERROR(__xludf.DUMMYFUNCTION("""COMPUTED_VALUE"""),"
")</f>
        <v>
</v>
      </c>
      <c r="X94" s="17" t="str">
        <f>IFERROR(__xludf.DUMMYFUNCTION("""COMPUTED_VALUE"""),"
")</f>
        <v>
</v>
      </c>
      <c r="Y94" s="17" t="str">
        <f>IFERROR(__xludf.DUMMYFUNCTION("""COMPUTED_VALUE"""),"
")</f>
        <v>
</v>
      </c>
      <c r="Z94" s="17" t="str">
        <f>IFERROR(__xludf.DUMMYFUNCTION("""COMPUTED_VALUE"""),"
")</f>
        <v>
</v>
      </c>
      <c r="AA94" s="17" t="str">
        <f>IFERROR(__xludf.DUMMYFUNCTION("""COMPUTED_VALUE"""),"
")</f>
        <v>
</v>
      </c>
      <c r="AB94" s="17" t="str">
        <f>IFERROR(__xludf.DUMMYFUNCTION("""COMPUTED_VALUE"""),"
")</f>
        <v>
</v>
      </c>
      <c r="AC94" s="17" t="str">
        <f>IFERROR(__xludf.DUMMYFUNCTION("""COMPUTED_VALUE"""),"
")</f>
        <v>
</v>
      </c>
    </row>
    <row r="95">
      <c r="A95" s="17" t="str">
        <f>IFERROR(__xludf.DUMMYFUNCTION("""COMPUTED_VALUE"""),"")</f>
        <v/>
      </c>
      <c r="B95" s="17" t="str">
        <f>IFERROR(__xludf.DUMMYFUNCTION("""COMPUTED_VALUE"""),"")</f>
        <v/>
      </c>
      <c r="C95" s="17" t="str">
        <f>IFERROR(__xludf.DUMMYFUNCTION("""COMPUTED_VALUE"""),"")</f>
        <v/>
      </c>
      <c r="D95" s="17" t="str">
        <f>IFERROR(__xludf.DUMMYFUNCTION("""COMPUTED_VALUE"""),"")</f>
        <v/>
      </c>
      <c r="E95" s="17" t="str">
        <f>IFERROR(__xludf.DUMMYFUNCTION("""COMPUTED_VALUE"""),"")</f>
        <v/>
      </c>
      <c r="F95" s="17" t="str">
        <f>IFERROR(__xludf.DUMMYFUNCTION("""COMPUTED_VALUE"""),"")</f>
        <v/>
      </c>
      <c r="G95" s="17" t="str">
        <f>IFERROR(__xludf.DUMMYFUNCTION("""COMPUTED_VALUE"""),"")</f>
        <v/>
      </c>
      <c r="H95" s="17" t="str">
        <f>IFERROR(__xludf.DUMMYFUNCTION("""COMPUTED_VALUE"""),"")</f>
        <v/>
      </c>
      <c r="I95" s="17" t="str">
        <f>IFERROR(__xludf.DUMMYFUNCTION("""COMPUTED_VALUE"""),"")</f>
        <v/>
      </c>
      <c r="J95" s="17" t="str">
        <f>IFERROR(__xludf.DUMMYFUNCTION("""COMPUTED_VALUE"""),"")</f>
        <v/>
      </c>
      <c r="K95" s="17" t="str">
        <f>IFERROR(__xludf.DUMMYFUNCTION("""COMPUTED_VALUE"""),"")</f>
        <v/>
      </c>
      <c r="L95" s="17" t="str">
        <f>IFERROR(__xludf.DUMMYFUNCTION("""COMPUTED_VALUE"""),"")</f>
        <v/>
      </c>
      <c r="M95" s="17" t="str">
        <f>IFERROR(__xludf.DUMMYFUNCTION("""COMPUTED_VALUE"""),"")</f>
        <v/>
      </c>
      <c r="N95" s="17" t="str">
        <f>IFERROR(__xludf.DUMMYFUNCTION("""COMPUTED_VALUE"""),"")</f>
        <v/>
      </c>
      <c r="O95" s="17" t="str">
        <f>IFERROR(__xludf.DUMMYFUNCTION("""COMPUTED_VALUE"""),"")</f>
        <v/>
      </c>
      <c r="P95" s="17" t="str">
        <f>IFERROR(__xludf.DUMMYFUNCTION("""COMPUTED_VALUE"""),"")</f>
        <v/>
      </c>
      <c r="Q95" s="17" t="str">
        <f>IFERROR(__xludf.DUMMYFUNCTION("""COMPUTED_VALUE"""),"")</f>
        <v/>
      </c>
      <c r="R95" s="17" t="str">
        <f>IFERROR(__xludf.DUMMYFUNCTION("""COMPUTED_VALUE"""),"")</f>
        <v/>
      </c>
      <c r="S95" s="17" t="str">
        <f>IFERROR(__xludf.DUMMYFUNCTION("""COMPUTED_VALUE"""),"")</f>
        <v/>
      </c>
      <c r="T95" s="17" t="str">
        <f>IFERROR(__xludf.DUMMYFUNCTION("""COMPUTED_VALUE"""),"")</f>
        <v/>
      </c>
      <c r="U95" s="17" t="str">
        <f>IFERROR(__xludf.DUMMYFUNCTION("""COMPUTED_VALUE"""),"")</f>
        <v/>
      </c>
      <c r="V95" s="17" t="str">
        <f>IFERROR(__xludf.DUMMYFUNCTION("""COMPUTED_VALUE"""),"")</f>
        <v/>
      </c>
      <c r="W95" s="17" t="str">
        <f>IFERROR(__xludf.DUMMYFUNCTION("""COMPUTED_VALUE"""),"")</f>
        <v/>
      </c>
      <c r="X95" s="17" t="str">
        <f>IFERROR(__xludf.DUMMYFUNCTION("""COMPUTED_VALUE"""),"")</f>
        <v/>
      </c>
      <c r="Y95" s="17" t="str">
        <f>IFERROR(__xludf.DUMMYFUNCTION("""COMPUTED_VALUE"""),"")</f>
        <v/>
      </c>
      <c r="Z95" s="17" t="str">
        <f>IFERROR(__xludf.DUMMYFUNCTION("""COMPUTED_VALUE"""),"")</f>
        <v/>
      </c>
      <c r="AA95" s="17" t="str">
        <f>IFERROR(__xludf.DUMMYFUNCTION("""COMPUTED_VALUE"""),"")</f>
        <v/>
      </c>
      <c r="AB95" s="17" t="str">
        <f>IFERROR(__xludf.DUMMYFUNCTION("""COMPUTED_VALUE"""),"")</f>
        <v/>
      </c>
      <c r="AC95" s="17" t="str">
        <f>IFERROR(__xludf.DUMMYFUNCTION("""COMPUTED_VALUE"""),"")</f>
        <v/>
      </c>
    </row>
    <row r="96">
      <c r="A96" s="17" t="str">
        <f>IFERROR(__xludf.DUMMYFUNCTION("""COMPUTED_VALUE"""),"")</f>
        <v/>
      </c>
      <c r="B96" s="17" t="str">
        <f>IFERROR(__xludf.DUMMYFUNCTION("""COMPUTED_VALUE"""),"")</f>
        <v/>
      </c>
      <c r="C96" s="17" t="str">
        <f>IFERROR(__xludf.DUMMYFUNCTION("""COMPUTED_VALUE"""),"")</f>
        <v/>
      </c>
      <c r="D96" s="17" t="str">
        <f>IFERROR(__xludf.DUMMYFUNCTION("""COMPUTED_VALUE"""),"")</f>
        <v/>
      </c>
      <c r="E96" s="17" t="str">
        <f>IFERROR(__xludf.DUMMYFUNCTION("""COMPUTED_VALUE"""),"")</f>
        <v/>
      </c>
      <c r="F96" s="17" t="str">
        <f>IFERROR(__xludf.DUMMYFUNCTION("""COMPUTED_VALUE"""),"")</f>
        <v/>
      </c>
      <c r="G96" s="17" t="str">
        <f>IFERROR(__xludf.DUMMYFUNCTION("""COMPUTED_VALUE"""),"")</f>
        <v/>
      </c>
      <c r="H96" s="17" t="str">
        <f>IFERROR(__xludf.DUMMYFUNCTION("""COMPUTED_VALUE"""),"")</f>
        <v/>
      </c>
      <c r="I96" s="17" t="str">
        <f>IFERROR(__xludf.DUMMYFUNCTION("""COMPUTED_VALUE"""),"")</f>
        <v/>
      </c>
      <c r="J96" s="17" t="str">
        <f>IFERROR(__xludf.DUMMYFUNCTION("""COMPUTED_VALUE"""),"")</f>
        <v/>
      </c>
      <c r="K96" s="17" t="str">
        <f>IFERROR(__xludf.DUMMYFUNCTION("""COMPUTED_VALUE"""),"")</f>
        <v/>
      </c>
      <c r="L96" s="17" t="str">
        <f>IFERROR(__xludf.DUMMYFUNCTION("""COMPUTED_VALUE"""),"")</f>
        <v/>
      </c>
      <c r="M96" s="17" t="str">
        <f>IFERROR(__xludf.DUMMYFUNCTION("""COMPUTED_VALUE"""),"")</f>
        <v/>
      </c>
      <c r="N96" s="17" t="str">
        <f>IFERROR(__xludf.DUMMYFUNCTION("""COMPUTED_VALUE"""),"")</f>
        <v/>
      </c>
      <c r="O96" s="17" t="str">
        <f>IFERROR(__xludf.DUMMYFUNCTION("""COMPUTED_VALUE"""),"")</f>
        <v/>
      </c>
      <c r="P96" s="17" t="str">
        <f>IFERROR(__xludf.DUMMYFUNCTION("""COMPUTED_VALUE"""),"")</f>
        <v/>
      </c>
      <c r="Q96" s="17" t="str">
        <f>IFERROR(__xludf.DUMMYFUNCTION("""COMPUTED_VALUE"""),"")</f>
        <v/>
      </c>
      <c r="R96" s="17" t="str">
        <f>IFERROR(__xludf.DUMMYFUNCTION("""COMPUTED_VALUE"""),"")</f>
        <v/>
      </c>
      <c r="S96" s="17" t="str">
        <f>IFERROR(__xludf.DUMMYFUNCTION("""COMPUTED_VALUE"""),"")</f>
        <v/>
      </c>
      <c r="T96" s="17" t="str">
        <f>IFERROR(__xludf.DUMMYFUNCTION("""COMPUTED_VALUE"""),"")</f>
        <v/>
      </c>
      <c r="U96" s="17" t="str">
        <f>IFERROR(__xludf.DUMMYFUNCTION("""COMPUTED_VALUE"""),"")</f>
        <v/>
      </c>
      <c r="V96" s="17" t="str">
        <f>IFERROR(__xludf.DUMMYFUNCTION("""COMPUTED_VALUE"""),"")</f>
        <v/>
      </c>
      <c r="W96" s="17" t="str">
        <f>IFERROR(__xludf.DUMMYFUNCTION("""COMPUTED_VALUE"""),"")</f>
        <v/>
      </c>
      <c r="X96" s="17" t="str">
        <f>IFERROR(__xludf.DUMMYFUNCTION("""COMPUTED_VALUE"""),"")</f>
        <v/>
      </c>
      <c r="Y96" s="17" t="str">
        <f>IFERROR(__xludf.DUMMYFUNCTION("""COMPUTED_VALUE"""),"")</f>
        <v/>
      </c>
      <c r="Z96" s="17" t="str">
        <f>IFERROR(__xludf.DUMMYFUNCTION("""COMPUTED_VALUE"""),"")</f>
        <v/>
      </c>
      <c r="AA96" s="17" t="str">
        <f>IFERROR(__xludf.DUMMYFUNCTION("""COMPUTED_VALUE"""),"")</f>
        <v/>
      </c>
      <c r="AB96" s="17" t="str">
        <f>IFERROR(__xludf.DUMMYFUNCTION("""COMPUTED_VALUE"""),"")</f>
        <v/>
      </c>
      <c r="AC96" s="17" t="str">
        <f>IFERROR(__xludf.DUMMYFUNCTION("""COMPUTED_VALUE"""),"")</f>
        <v/>
      </c>
    </row>
    <row r="97">
      <c r="A97" s="17" t="str">
        <f>IFERROR(__xludf.DUMMYFUNCTION("""COMPUTED_VALUE"""),"")</f>
        <v/>
      </c>
      <c r="B97" s="17" t="str">
        <f>IFERROR(__xludf.DUMMYFUNCTION("""COMPUTED_VALUE"""),"")</f>
        <v/>
      </c>
      <c r="C97" s="17" t="str">
        <f>IFERROR(__xludf.DUMMYFUNCTION("""COMPUTED_VALUE"""),"")</f>
        <v/>
      </c>
      <c r="D97" s="17" t="str">
        <f>IFERROR(__xludf.DUMMYFUNCTION("""COMPUTED_VALUE"""),"")</f>
        <v/>
      </c>
      <c r="E97" s="17" t="str">
        <f>IFERROR(__xludf.DUMMYFUNCTION("""COMPUTED_VALUE"""),"")</f>
        <v/>
      </c>
      <c r="F97" s="17" t="str">
        <f>IFERROR(__xludf.DUMMYFUNCTION("""COMPUTED_VALUE"""),"")</f>
        <v/>
      </c>
      <c r="G97" s="17" t="str">
        <f>IFERROR(__xludf.DUMMYFUNCTION("""COMPUTED_VALUE"""),"")</f>
        <v/>
      </c>
      <c r="H97" s="17" t="str">
        <f>IFERROR(__xludf.DUMMYFUNCTION("""COMPUTED_VALUE"""),"")</f>
        <v/>
      </c>
      <c r="I97" s="17" t="str">
        <f>IFERROR(__xludf.DUMMYFUNCTION("""COMPUTED_VALUE"""),"")</f>
        <v/>
      </c>
      <c r="J97" s="17" t="str">
        <f>IFERROR(__xludf.DUMMYFUNCTION("""COMPUTED_VALUE"""),"")</f>
        <v/>
      </c>
      <c r="K97" s="17" t="str">
        <f>IFERROR(__xludf.DUMMYFUNCTION("""COMPUTED_VALUE"""),"")</f>
        <v/>
      </c>
      <c r="L97" s="17" t="str">
        <f>IFERROR(__xludf.DUMMYFUNCTION("""COMPUTED_VALUE"""),"")</f>
        <v/>
      </c>
      <c r="M97" s="17" t="str">
        <f>IFERROR(__xludf.DUMMYFUNCTION("""COMPUTED_VALUE"""),"")</f>
        <v/>
      </c>
      <c r="N97" s="17" t="str">
        <f>IFERROR(__xludf.DUMMYFUNCTION("""COMPUTED_VALUE"""),"")</f>
        <v/>
      </c>
      <c r="O97" s="17" t="str">
        <f>IFERROR(__xludf.DUMMYFUNCTION("""COMPUTED_VALUE"""),"")</f>
        <v/>
      </c>
      <c r="P97" s="17" t="str">
        <f>IFERROR(__xludf.DUMMYFUNCTION("""COMPUTED_VALUE"""),"")</f>
        <v/>
      </c>
      <c r="Q97" s="17" t="str">
        <f>IFERROR(__xludf.DUMMYFUNCTION("""COMPUTED_VALUE"""),"")</f>
        <v/>
      </c>
      <c r="R97" s="17" t="str">
        <f>IFERROR(__xludf.DUMMYFUNCTION("""COMPUTED_VALUE"""),"")</f>
        <v/>
      </c>
      <c r="S97" s="17" t="str">
        <f>IFERROR(__xludf.DUMMYFUNCTION("""COMPUTED_VALUE"""),"")</f>
        <v/>
      </c>
      <c r="T97" s="17" t="str">
        <f>IFERROR(__xludf.DUMMYFUNCTION("""COMPUTED_VALUE"""),"")</f>
        <v/>
      </c>
      <c r="U97" s="17" t="str">
        <f>IFERROR(__xludf.DUMMYFUNCTION("""COMPUTED_VALUE"""),"")</f>
        <v/>
      </c>
      <c r="V97" s="17" t="str">
        <f>IFERROR(__xludf.DUMMYFUNCTION("""COMPUTED_VALUE"""),"")</f>
        <v/>
      </c>
      <c r="W97" s="17" t="str">
        <f>IFERROR(__xludf.DUMMYFUNCTION("""COMPUTED_VALUE"""),"")</f>
        <v/>
      </c>
      <c r="X97" s="17" t="str">
        <f>IFERROR(__xludf.DUMMYFUNCTION("""COMPUTED_VALUE"""),"")</f>
        <v/>
      </c>
      <c r="Y97" s="17" t="str">
        <f>IFERROR(__xludf.DUMMYFUNCTION("""COMPUTED_VALUE"""),"")</f>
        <v/>
      </c>
      <c r="Z97" s="17" t="str">
        <f>IFERROR(__xludf.DUMMYFUNCTION("""COMPUTED_VALUE"""),"")</f>
        <v/>
      </c>
      <c r="AA97" s="17" t="str">
        <f>IFERROR(__xludf.DUMMYFUNCTION("""COMPUTED_VALUE"""),"")</f>
        <v/>
      </c>
      <c r="AB97" s="17" t="str">
        <f>IFERROR(__xludf.DUMMYFUNCTION("""COMPUTED_VALUE"""),"")</f>
        <v/>
      </c>
      <c r="AC97" s="17" t="str">
        <f>IFERROR(__xludf.DUMMYFUNCTION("""COMPUTED_VALUE"""),"")</f>
        <v/>
      </c>
    </row>
    <row r="98">
      <c r="A98" s="17" t="str">
        <f>IFERROR(__xludf.DUMMYFUNCTION("""COMPUTED_VALUE"""),"")</f>
        <v/>
      </c>
      <c r="B98" s="17" t="str">
        <f>IFERROR(__xludf.DUMMYFUNCTION("""COMPUTED_VALUE"""),"")</f>
        <v/>
      </c>
      <c r="C98" s="17" t="str">
        <f>IFERROR(__xludf.DUMMYFUNCTION("""COMPUTED_VALUE"""),"")</f>
        <v/>
      </c>
      <c r="D98" s="17" t="str">
        <f>IFERROR(__xludf.DUMMYFUNCTION("""COMPUTED_VALUE"""),"")</f>
        <v/>
      </c>
      <c r="E98" s="17" t="str">
        <f>IFERROR(__xludf.DUMMYFUNCTION("""COMPUTED_VALUE"""),"")</f>
        <v/>
      </c>
      <c r="F98" s="17" t="str">
        <f>IFERROR(__xludf.DUMMYFUNCTION("""COMPUTED_VALUE"""),"")</f>
        <v/>
      </c>
      <c r="G98" s="17" t="str">
        <f>IFERROR(__xludf.DUMMYFUNCTION("""COMPUTED_VALUE"""),"")</f>
        <v/>
      </c>
      <c r="H98" s="17" t="str">
        <f>IFERROR(__xludf.DUMMYFUNCTION("""COMPUTED_VALUE"""),"")</f>
        <v/>
      </c>
      <c r="I98" s="17" t="str">
        <f>IFERROR(__xludf.DUMMYFUNCTION("""COMPUTED_VALUE"""),"")</f>
        <v/>
      </c>
      <c r="J98" s="17" t="str">
        <f>IFERROR(__xludf.DUMMYFUNCTION("""COMPUTED_VALUE"""),"")</f>
        <v/>
      </c>
      <c r="K98" s="17" t="str">
        <f>IFERROR(__xludf.DUMMYFUNCTION("""COMPUTED_VALUE"""),"")</f>
        <v/>
      </c>
      <c r="L98" s="17" t="str">
        <f>IFERROR(__xludf.DUMMYFUNCTION("""COMPUTED_VALUE"""),"")</f>
        <v/>
      </c>
      <c r="M98" s="17" t="str">
        <f>IFERROR(__xludf.DUMMYFUNCTION("""COMPUTED_VALUE"""),"")</f>
        <v/>
      </c>
      <c r="N98" s="17" t="str">
        <f>IFERROR(__xludf.DUMMYFUNCTION("""COMPUTED_VALUE"""),"")</f>
        <v/>
      </c>
      <c r="O98" s="17" t="str">
        <f>IFERROR(__xludf.DUMMYFUNCTION("""COMPUTED_VALUE"""),"")</f>
        <v/>
      </c>
      <c r="P98" s="17" t="str">
        <f>IFERROR(__xludf.DUMMYFUNCTION("""COMPUTED_VALUE"""),"")</f>
        <v/>
      </c>
      <c r="Q98" s="17" t="str">
        <f>IFERROR(__xludf.DUMMYFUNCTION("""COMPUTED_VALUE"""),"")</f>
        <v/>
      </c>
      <c r="R98" s="17" t="str">
        <f>IFERROR(__xludf.DUMMYFUNCTION("""COMPUTED_VALUE"""),"")</f>
        <v/>
      </c>
      <c r="S98" s="17" t="str">
        <f>IFERROR(__xludf.DUMMYFUNCTION("""COMPUTED_VALUE"""),"")</f>
        <v/>
      </c>
      <c r="T98" s="17" t="str">
        <f>IFERROR(__xludf.DUMMYFUNCTION("""COMPUTED_VALUE"""),"")</f>
        <v/>
      </c>
      <c r="U98" s="17" t="str">
        <f>IFERROR(__xludf.DUMMYFUNCTION("""COMPUTED_VALUE"""),"")</f>
        <v/>
      </c>
      <c r="V98" s="17" t="str">
        <f>IFERROR(__xludf.DUMMYFUNCTION("""COMPUTED_VALUE"""),"")</f>
        <v/>
      </c>
      <c r="W98" s="17" t="str">
        <f>IFERROR(__xludf.DUMMYFUNCTION("""COMPUTED_VALUE"""),"")</f>
        <v/>
      </c>
      <c r="X98" s="17" t="str">
        <f>IFERROR(__xludf.DUMMYFUNCTION("""COMPUTED_VALUE"""),"")</f>
        <v/>
      </c>
      <c r="Y98" s="17" t="str">
        <f>IFERROR(__xludf.DUMMYFUNCTION("""COMPUTED_VALUE"""),"")</f>
        <v/>
      </c>
      <c r="Z98" s="17" t="str">
        <f>IFERROR(__xludf.DUMMYFUNCTION("""COMPUTED_VALUE"""),"")</f>
        <v/>
      </c>
      <c r="AA98" s="17" t="str">
        <f>IFERROR(__xludf.DUMMYFUNCTION("""COMPUTED_VALUE"""),"")</f>
        <v/>
      </c>
      <c r="AB98" s="17" t="str">
        <f>IFERROR(__xludf.DUMMYFUNCTION("""COMPUTED_VALUE"""),"")</f>
        <v/>
      </c>
      <c r="AC98" s="17" t="str">
        <f>IFERROR(__xludf.DUMMYFUNCTION("""COMPUTED_VALUE"""),"")</f>
        <v/>
      </c>
    </row>
    <row r="99">
      <c r="A99" s="17" t="str">
        <f>IFERROR(__xludf.DUMMYFUNCTION("""COMPUTED_VALUE"""),"")</f>
        <v/>
      </c>
      <c r="B99" s="17" t="str">
        <f>IFERROR(__xludf.DUMMYFUNCTION("""COMPUTED_VALUE"""),"")</f>
        <v/>
      </c>
      <c r="C99" s="17" t="str">
        <f>IFERROR(__xludf.DUMMYFUNCTION("""COMPUTED_VALUE"""),"")</f>
        <v/>
      </c>
      <c r="D99" s="17" t="str">
        <f>IFERROR(__xludf.DUMMYFUNCTION("""COMPUTED_VALUE"""),"")</f>
        <v/>
      </c>
      <c r="E99" s="17" t="str">
        <f>IFERROR(__xludf.DUMMYFUNCTION("""COMPUTED_VALUE"""),"")</f>
        <v/>
      </c>
      <c r="F99" s="17" t="str">
        <f>IFERROR(__xludf.DUMMYFUNCTION("""COMPUTED_VALUE"""),"")</f>
        <v/>
      </c>
      <c r="G99" s="17" t="str">
        <f>IFERROR(__xludf.DUMMYFUNCTION("""COMPUTED_VALUE"""),"")</f>
        <v/>
      </c>
      <c r="H99" s="17" t="str">
        <f>IFERROR(__xludf.DUMMYFUNCTION("""COMPUTED_VALUE"""),"")</f>
        <v/>
      </c>
      <c r="I99" s="17" t="str">
        <f>IFERROR(__xludf.DUMMYFUNCTION("""COMPUTED_VALUE"""),"")</f>
        <v/>
      </c>
      <c r="J99" s="17" t="str">
        <f>IFERROR(__xludf.DUMMYFUNCTION("""COMPUTED_VALUE"""),"")</f>
        <v/>
      </c>
      <c r="K99" s="17" t="str">
        <f>IFERROR(__xludf.DUMMYFUNCTION("""COMPUTED_VALUE"""),"")</f>
        <v/>
      </c>
      <c r="L99" s="17" t="str">
        <f>IFERROR(__xludf.DUMMYFUNCTION("""COMPUTED_VALUE"""),"")</f>
        <v/>
      </c>
      <c r="M99" s="17" t="str">
        <f>IFERROR(__xludf.DUMMYFUNCTION("""COMPUTED_VALUE"""),"")</f>
        <v/>
      </c>
      <c r="N99" s="17" t="str">
        <f>IFERROR(__xludf.DUMMYFUNCTION("""COMPUTED_VALUE"""),"")</f>
        <v/>
      </c>
      <c r="O99" s="17" t="str">
        <f>IFERROR(__xludf.DUMMYFUNCTION("""COMPUTED_VALUE"""),"")</f>
        <v/>
      </c>
      <c r="P99" s="17" t="str">
        <f>IFERROR(__xludf.DUMMYFUNCTION("""COMPUTED_VALUE"""),"")</f>
        <v/>
      </c>
      <c r="Q99" s="17" t="str">
        <f>IFERROR(__xludf.DUMMYFUNCTION("""COMPUTED_VALUE"""),"")</f>
        <v/>
      </c>
      <c r="R99" s="17" t="str">
        <f>IFERROR(__xludf.DUMMYFUNCTION("""COMPUTED_VALUE"""),"")</f>
        <v/>
      </c>
      <c r="S99" s="17" t="str">
        <f>IFERROR(__xludf.DUMMYFUNCTION("""COMPUTED_VALUE"""),"")</f>
        <v/>
      </c>
      <c r="T99" s="17" t="str">
        <f>IFERROR(__xludf.DUMMYFUNCTION("""COMPUTED_VALUE"""),"")</f>
        <v/>
      </c>
      <c r="U99" s="17" t="str">
        <f>IFERROR(__xludf.DUMMYFUNCTION("""COMPUTED_VALUE"""),"")</f>
        <v/>
      </c>
      <c r="V99" s="17" t="str">
        <f>IFERROR(__xludf.DUMMYFUNCTION("""COMPUTED_VALUE"""),"")</f>
        <v/>
      </c>
      <c r="W99" s="17" t="str">
        <f>IFERROR(__xludf.DUMMYFUNCTION("""COMPUTED_VALUE"""),"")</f>
        <v/>
      </c>
      <c r="X99" s="17" t="str">
        <f>IFERROR(__xludf.DUMMYFUNCTION("""COMPUTED_VALUE"""),"")</f>
        <v/>
      </c>
      <c r="Y99" s="17" t="str">
        <f>IFERROR(__xludf.DUMMYFUNCTION("""COMPUTED_VALUE"""),"")</f>
        <v/>
      </c>
      <c r="Z99" s="17" t="str">
        <f>IFERROR(__xludf.DUMMYFUNCTION("""COMPUTED_VALUE"""),"")</f>
        <v/>
      </c>
      <c r="AA99" s="17" t="str">
        <f>IFERROR(__xludf.DUMMYFUNCTION("""COMPUTED_VALUE"""),"")</f>
        <v/>
      </c>
      <c r="AB99" s="17" t="str">
        <f>IFERROR(__xludf.DUMMYFUNCTION("""COMPUTED_VALUE"""),"")</f>
        <v/>
      </c>
      <c r="AC99" s="17" t="str">
        <f>IFERROR(__xludf.DUMMYFUNCTION("""COMPUTED_VALUE"""),"")</f>
        <v/>
      </c>
    </row>
    <row r="100">
      <c r="A100" s="17" t="str">
        <f>IFERROR(__xludf.DUMMYFUNCTION("""COMPUTED_VALUE"""),"")</f>
        <v/>
      </c>
      <c r="B100" s="17" t="str">
        <f>IFERROR(__xludf.DUMMYFUNCTION("""COMPUTED_VALUE"""),"")</f>
        <v/>
      </c>
      <c r="C100" s="17" t="str">
        <f>IFERROR(__xludf.DUMMYFUNCTION("""COMPUTED_VALUE"""),"")</f>
        <v/>
      </c>
      <c r="D100" s="17" t="str">
        <f>IFERROR(__xludf.DUMMYFUNCTION("""COMPUTED_VALUE"""),"")</f>
        <v/>
      </c>
      <c r="E100" s="17" t="str">
        <f>IFERROR(__xludf.DUMMYFUNCTION("""COMPUTED_VALUE"""),"")</f>
        <v/>
      </c>
      <c r="F100" s="17" t="str">
        <f>IFERROR(__xludf.DUMMYFUNCTION("""COMPUTED_VALUE"""),"")</f>
        <v/>
      </c>
      <c r="G100" s="17" t="str">
        <f>IFERROR(__xludf.DUMMYFUNCTION("""COMPUTED_VALUE"""),"")</f>
        <v/>
      </c>
      <c r="H100" s="17" t="str">
        <f>IFERROR(__xludf.DUMMYFUNCTION("""COMPUTED_VALUE"""),"")</f>
        <v/>
      </c>
      <c r="I100" s="17" t="str">
        <f>IFERROR(__xludf.DUMMYFUNCTION("""COMPUTED_VALUE"""),"")</f>
        <v/>
      </c>
      <c r="J100" s="17" t="str">
        <f>IFERROR(__xludf.DUMMYFUNCTION("""COMPUTED_VALUE"""),"")</f>
        <v/>
      </c>
      <c r="K100" s="17" t="str">
        <f>IFERROR(__xludf.DUMMYFUNCTION("""COMPUTED_VALUE"""),"")</f>
        <v/>
      </c>
      <c r="L100" s="17" t="str">
        <f>IFERROR(__xludf.DUMMYFUNCTION("""COMPUTED_VALUE"""),"")</f>
        <v/>
      </c>
      <c r="M100" s="17" t="str">
        <f>IFERROR(__xludf.DUMMYFUNCTION("""COMPUTED_VALUE"""),"")</f>
        <v/>
      </c>
      <c r="N100" s="17" t="str">
        <f>IFERROR(__xludf.DUMMYFUNCTION("""COMPUTED_VALUE"""),"")</f>
        <v/>
      </c>
      <c r="O100" s="17" t="str">
        <f>IFERROR(__xludf.DUMMYFUNCTION("""COMPUTED_VALUE"""),"")</f>
        <v/>
      </c>
      <c r="P100" s="17" t="str">
        <f>IFERROR(__xludf.DUMMYFUNCTION("""COMPUTED_VALUE"""),"")</f>
        <v/>
      </c>
      <c r="Q100" s="17" t="str">
        <f>IFERROR(__xludf.DUMMYFUNCTION("""COMPUTED_VALUE"""),"")</f>
        <v/>
      </c>
      <c r="R100" s="17" t="str">
        <f>IFERROR(__xludf.DUMMYFUNCTION("""COMPUTED_VALUE"""),"")</f>
        <v/>
      </c>
      <c r="S100" s="17" t="str">
        <f>IFERROR(__xludf.DUMMYFUNCTION("""COMPUTED_VALUE"""),"")</f>
        <v/>
      </c>
      <c r="T100" s="17" t="str">
        <f>IFERROR(__xludf.DUMMYFUNCTION("""COMPUTED_VALUE"""),"")</f>
        <v/>
      </c>
      <c r="U100" s="17" t="str">
        <f>IFERROR(__xludf.DUMMYFUNCTION("""COMPUTED_VALUE"""),"")</f>
        <v/>
      </c>
      <c r="V100" s="17" t="str">
        <f>IFERROR(__xludf.DUMMYFUNCTION("""COMPUTED_VALUE"""),"")</f>
        <v/>
      </c>
      <c r="W100" s="17" t="str">
        <f>IFERROR(__xludf.DUMMYFUNCTION("""COMPUTED_VALUE"""),"")</f>
        <v/>
      </c>
      <c r="X100" s="17" t="str">
        <f>IFERROR(__xludf.DUMMYFUNCTION("""COMPUTED_VALUE"""),"")</f>
        <v/>
      </c>
      <c r="Y100" s="17" t="str">
        <f>IFERROR(__xludf.DUMMYFUNCTION("""COMPUTED_VALUE"""),"")</f>
        <v/>
      </c>
      <c r="Z100" s="17" t="str">
        <f>IFERROR(__xludf.DUMMYFUNCTION("""COMPUTED_VALUE"""),"")</f>
        <v/>
      </c>
      <c r="AA100" s="17" t="str">
        <f>IFERROR(__xludf.DUMMYFUNCTION("""COMPUTED_VALUE"""),"")</f>
        <v/>
      </c>
      <c r="AB100" s="17" t="str">
        <f>IFERROR(__xludf.DUMMYFUNCTION("""COMPUTED_VALUE"""),"")</f>
        <v/>
      </c>
      <c r="AC100" s="17" t="str">
        <f>IFERROR(__xludf.DUMMYFUNCTION("""COMPUTED_VALUE"""),"")</f>
        <v/>
      </c>
    </row>
    <row r="101">
      <c r="A101" s="17" t="str">
        <f>IFERROR(__xludf.DUMMYFUNCTION("""COMPUTED_VALUE"""),"")</f>
        <v/>
      </c>
      <c r="B101" s="17" t="str">
        <f>IFERROR(__xludf.DUMMYFUNCTION("""COMPUTED_VALUE"""),"")</f>
        <v/>
      </c>
      <c r="C101" s="17" t="str">
        <f>IFERROR(__xludf.DUMMYFUNCTION("""COMPUTED_VALUE"""),"")</f>
        <v/>
      </c>
      <c r="D101" s="17" t="str">
        <f>IFERROR(__xludf.DUMMYFUNCTION("""COMPUTED_VALUE"""),"")</f>
        <v/>
      </c>
      <c r="E101" s="17" t="str">
        <f>IFERROR(__xludf.DUMMYFUNCTION("""COMPUTED_VALUE"""),"")</f>
        <v/>
      </c>
      <c r="F101" s="17" t="str">
        <f>IFERROR(__xludf.DUMMYFUNCTION("""COMPUTED_VALUE"""),"")</f>
        <v/>
      </c>
      <c r="G101" s="17" t="str">
        <f>IFERROR(__xludf.DUMMYFUNCTION("""COMPUTED_VALUE"""),"")</f>
        <v/>
      </c>
      <c r="H101" s="17" t="str">
        <f>IFERROR(__xludf.DUMMYFUNCTION("""COMPUTED_VALUE"""),"")</f>
        <v/>
      </c>
      <c r="I101" s="17" t="str">
        <f>IFERROR(__xludf.DUMMYFUNCTION("""COMPUTED_VALUE"""),"")</f>
        <v/>
      </c>
      <c r="J101" s="17" t="str">
        <f>IFERROR(__xludf.DUMMYFUNCTION("""COMPUTED_VALUE"""),"")</f>
        <v/>
      </c>
      <c r="K101" s="17" t="str">
        <f>IFERROR(__xludf.DUMMYFUNCTION("""COMPUTED_VALUE"""),"")</f>
        <v/>
      </c>
      <c r="L101" s="17" t="str">
        <f>IFERROR(__xludf.DUMMYFUNCTION("""COMPUTED_VALUE"""),"")</f>
        <v/>
      </c>
      <c r="M101" s="17" t="str">
        <f>IFERROR(__xludf.DUMMYFUNCTION("""COMPUTED_VALUE"""),"")</f>
        <v/>
      </c>
      <c r="N101" s="17" t="str">
        <f>IFERROR(__xludf.DUMMYFUNCTION("""COMPUTED_VALUE"""),"")</f>
        <v/>
      </c>
      <c r="O101" s="17" t="str">
        <f>IFERROR(__xludf.DUMMYFUNCTION("""COMPUTED_VALUE"""),"")</f>
        <v/>
      </c>
      <c r="P101" s="17" t="str">
        <f>IFERROR(__xludf.DUMMYFUNCTION("""COMPUTED_VALUE"""),"")</f>
        <v/>
      </c>
      <c r="Q101" s="17" t="str">
        <f>IFERROR(__xludf.DUMMYFUNCTION("""COMPUTED_VALUE"""),"")</f>
        <v/>
      </c>
      <c r="R101" s="17" t="str">
        <f>IFERROR(__xludf.DUMMYFUNCTION("""COMPUTED_VALUE"""),"")</f>
        <v/>
      </c>
      <c r="S101" s="17" t="str">
        <f>IFERROR(__xludf.DUMMYFUNCTION("""COMPUTED_VALUE"""),"")</f>
        <v/>
      </c>
      <c r="T101" s="17" t="str">
        <f>IFERROR(__xludf.DUMMYFUNCTION("""COMPUTED_VALUE"""),"")</f>
        <v/>
      </c>
      <c r="U101" s="17" t="str">
        <f>IFERROR(__xludf.DUMMYFUNCTION("""COMPUTED_VALUE"""),"")</f>
        <v/>
      </c>
      <c r="V101" s="17" t="str">
        <f>IFERROR(__xludf.DUMMYFUNCTION("""COMPUTED_VALUE"""),"")</f>
        <v/>
      </c>
      <c r="W101" s="17" t="str">
        <f>IFERROR(__xludf.DUMMYFUNCTION("""COMPUTED_VALUE"""),"")</f>
        <v/>
      </c>
      <c r="X101" s="17" t="str">
        <f>IFERROR(__xludf.DUMMYFUNCTION("""COMPUTED_VALUE"""),"")</f>
        <v/>
      </c>
      <c r="Y101" s="17" t="str">
        <f>IFERROR(__xludf.DUMMYFUNCTION("""COMPUTED_VALUE"""),"")</f>
        <v/>
      </c>
      <c r="Z101" s="17" t="str">
        <f>IFERROR(__xludf.DUMMYFUNCTION("""COMPUTED_VALUE"""),"")</f>
        <v/>
      </c>
      <c r="AA101" s="17" t="str">
        <f>IFERROR(__xludf.DUMMYFUNCTION("""COMPUTED_VALUE"""),"")</f>
        <v/>
      </c>
      <c r="AB101" s="17" t="str">
        <f>IFERROR(__xludf.DUMMYFUNCTION("""COMPUTED_VALUE"""),"")</f>
        <v/>
      </c>
      <c r="AC101" s="17" t="str">
        <f>IFERROR(__xludf.DUMMYFUNCTION("""COMPUTED_VALUE"""),"")</f>
        <v/>
      </c>
    </row>
    <row r="102">
      <c r="A102" s="17" t="str">
        <f>IFERROR(__xludf.DUMMYFUNCTION("""COMPUTED_VALUE"""),"")</f>
        <v/>
      </c>
      <c r="B102" s="17" t="str">
        <f>IFERROR(__xludf.DUMMYFUNCTION("""COMPUTED_VALUE"""),"")</f>
        <v/>
      </c>
      <c r="C102" s="17" t="str">
        <f>IFERROR(__xludf.DUMMYFUNCTION("""COMPUTED_VALUE"""),"")</f>
        <v/>
      </c>
      <c r="D102" s="17" t="str">
        <f>IFERROR(__xludf.DUMMYFUNCTION("""COMPUTED_VALUE"""),"")</f>
        <v/>
      </c>
      <c r="E102" s="17" t="str">
        <f>IFERROR(__xludf.DUMMYFUNCTION("""COMPUTED_VALUE"""),"")</f>
        <v/>
      </c>
      <c r="F102" s="17" t="str">
        <f>IFERROR(__xludf.DUMMYFUNCTION("""COMPUTED_VALUE"""),"")</f>
        <v/>
      </c>
      <c r="G102" s="17" t="str">
        <f>IFERROR(__xludf.DUMMYFUNCTION("""COMPUTED_VALUE"""),"")</f>
        <v/>
      </c>
      <c r="H102" s="17" t="str">
        <f>IFERROR(__xludf.DUMMYFUNCTION("""COMPUTED_VALUE"""),"")</f>
        <v/>
      </c>
      <c r="I102" s="17" t="str">
        <f>IFERROR(__xludf.DUMMYFUNCTION("""COMPUTED_VALUE"""),"")</f>
        <v/>
      </c>
      <c r="J102" s="17" t="str">
        <f>IFERROR(__xludf.DUMMYFUNCTION("""COMPUTED_VALUE"""),"")</f>
        <v/>
      </c>
      <c r="K102" s="17" t="str">
        <f>IFERROR(__xludf.DUMMYFUNCTION("""COMPUTED_VALUE"""),"")</f>
        <v/>
      </c>
      <c r="L102" s="17" t="str">
        <f>IFERROR(__xludf.DUMMYFUNCTION("""COMPUTED_VALUE"""),"")</f>
        <v/>
      </c>
      <c r="M102" s="17" t="str">
        <f>IFERROR(__xludf.DUMMYFUNCTION("""COMPUTED_VALUE"""),"")</f>
        <v/>
      </c>
      <c r="N102" s="17" t="str">
        <f>IFERROR(__xludf.DUMMYFUNCTION("""COMPUTED_VALUE"""),"")</f>
        <v/>
      </c>
      <c r="O102" s="17" t="str">
        <f>IFERROR(__xludf.DUMMYFUNCTION("""COMPUTED_VALUE"""),"")</f>
        <v/>
      </c>
      <c r="P102" s="17" t="str">
        <f>IFERROR(__xludf.DUMMYFUNCTION("""COMPUTED_VALUE"""),"")</f>
        <v/>
      </c>
      <c r="Q102" s="17" t="str">
        <f>IFERROR(__xludf.DUMMYFUNCTION("""COMPUTED_VALUE"""),"")</f>
        <v/>
      </c>
      <c r="R102" s="17" t="str">
        <f>IFERROR(__xludf.DUMMYFUNCTION("""COMPUTED_VALUE"""),"")</f>
        <v/>
      </c>
      <c r="S102" s="17" t="str">
        <f>IFERROR(__xludf.DUMMYFUNCTION("""COMPUTED_VALUE"""),"")</f>
        <v/>
      </c>
      <c r="T102" s="17" t="str">
        <f>IFERROR(__xludf.DUMMYFUNCTION("""COMPUTED_VALUE"""),"")</f>
        <v/>
      </c>
      <c r="U102" s="17" t="str">
        <f>IFERROR(__xludf.DUMMYFUNCTION("""COMPUTED_VALUE"""),"")</f>
        <v/>
      </c>
      <c r="V102" s="17" t="str">
        <f>IFERROR(__xludf.DUMMYFUNCTION("""COMPUTED_VALUE"""),"")</f>
        <v/>
      </c>
      <c r="W102" s="17" t="str">
        <f>IFERROR(__xludf.DUMMYFUNCTION("""COMPUTED_VALUE"""),"")</f>
        <v/>
      </c>
      <c r="X102" s="17" t="str">
        <f>IFERROR(__xludf.DUMMYFUNCTION("""COMPUTED_VALUE"""),"")</f>
        <v/>
      </c>
      <c r="Y102" s="17" t="str">
        <f>IFERROR(__xludf.DUMMYFUNCTION("""COMPUTED_VALUE"""),"")</f>
        <v/>
      </c>
      <c r="Z102" s="17" t="str">
        <f>IFERROR(__xludf.DUMMYFUNCTION("""COMPUTED_VALUE"""),"")</f>
        <v/>
      </c>
      <c r="AA102" s="17" t="str">
        <f>IFERROR(__xludf.DUMMYFUNCTION("""COMPUTED_VALUE"""),"")</f>
        <v/>
      </c>
      <c r="AB102" s="17" t="str">
        <f>IFERROR(__xludf.DUMMYFUNCTION("""COMPUTED_VALUE"""),"")</f>
        <v/>
      </c>
      <c r="AC102" s="17" t="str">
        <f>IFERROR(__xludf.DUMMYFUNCTION("""COMPUTED_VALUE"""),"")</f>
        <v/>
      </c>
    </row>
    <row r="103">
      <c r="A103" s="17" t="str">
        <f>IFERROR(__xludf.DUMMYFUNCTION("""COMPUTED_VALUE"""),"")</f>
        <v/>
      </c>
      <c r="B103" s="17" t="str">
        <f>IFERROR(__xludf.DUMMYFUNCTION("""COMPUTED_VALUE"""),"")</f>
        <v/>
      </c>
      <c r="C103" s="17" t="str">
        <f>IFERROR(__xludf.DUMMYFUNCTION("""COMPUTED_VALUE"""),"")</f>
        <v/>
      </c>
      <c r="D103" s="17" t="str">
        <f>IFERROR(__xludf.DUMMYFUNCTION("""COMPUTED_VALUE"""),"")</f>
        <v/>
      </c>
      <c r="E103" s="17" t="str">
        <f>IFERROR(__xludf.DUMMYFUNCTION("""COMPUTED_VALUE"""),"")</f>
        <v/>
      </c>
      <c r="F103" s="17" t="str">
        <f>IFERROR(__xludf.DUMMYFUNCTION("""COMPUTED_VALUE"""),"")</f>
        <v/>
      </c>
      <c r="G103" s="17" t="str">
        <f>IFERROR(__xludf.DUMMYFUNCTION("""COMPUTED_VALUE"""),"")</f>
        <v/>
      </c>
      <c r="H103" s="17" t="str">
        <f>IFERROR(__xludf.DUMMYFUNCTION("""COMPUTED_VALUE"""),"")</f>
        <v/>
      </c>
      <c r="I103" s="17" t="str">
        <f>IFERROR(__xludf.DUMMYFUNCTION("""COMPUTED_VALUE"""),"")</f>
        <v/>
      </c>
      <c r="J103" s="17" t="str">
        <f>IFERROR(__xludf.DUMMYFUNCTION("""COMPUTED_VALUE"""),"")</f>
        <v/>
      </c>
      <c r="K103" s="17" t="str">
        <f>IFERROR(__xludf.DUMMYFUNCTION("""COMPUTED_VALUE"""),"")</f>
        <v/>
      </c>
      <c r="L103" s="17" t="str">
        <f>IFERROR(__xludf.DUMMYFUNCTION("""COMPUTED_VALUE"""),"")</f>
        <v/>
      </c>
      <c r="M103" s="17" t="str">
        <f>IFERROR(__xludf.DUMMYFUNCTION("""COMPUTED_VALUE"""),"")</f>
        <v/>
      </c>
      <c r="N103" s="17" t="str">
        <f>IFERROR(__xludf.DUMMYFUNCTION("""COMPUTED_VALUE"""),"")</f>
        <v/>
      </c>
      <c r="O103" s="17" t="str">
        <f>IFERROR(__xludf.DUMMYFUNCTION("""COMPUTED_VALUE"""),"")</f>
        <v/>
      </c>
      <c r="P103" s="17" t="str">
        <f>IFERROR(__xludf.DUMMYFUNCTION("""COMPUTED_VALUE"""),"")</f>
        <v/>
      </c>
      <c r="Q103" s="17" t="str">
        <f>IFERROR(__xludf.DUMMYFUNCTION("""COMPUTED_VALUE"""),"")</f>
        <v/>
      </c>
      <c r="R103" s="17" t="str">
        <f>IFERROR(__xludf.DUMMYFUNCTION("""COMPUTED_VALUE"""),"")</f>
        <v/>
      </c>
      <c r="S103" s="17" t="str">
        <f>IFERROR(__xludf.DUMMYFUNCTION("""COMPUTED_VALUE"""),"")</f>
        <v/>
      </c>
      <c r="T103" s="17" t="str">
        <f>IFERROR(__xludf.DUMMYFUNCTION("""COMPUTED_VALUE"""),"")</f>
        <v/>
      </c>
      <c r="U103" s="17" t="str">
        <f>IFERROR(__xludf.DUMMYFUNCTION("""COMPUTED_VALUE"""),"")</f>
        <v/>
      </c>
      <c r="V103" s="17" t="str">
        <f>IFERROR(__xludf.DUMMYFUNCTION("""COMPUTED_VALUE"""),"")</f>
        <v/>
      </c>
      <c r="W103" s="17" t="str">
        <f>IFERROR(__xludf.DUMMYFUNCTION("""COMPUTED_VALUE"""),"")</f>
        <v/>
      </c>
      <c r="X103" s="17" t="str">
        <f>IFERROR(__xludf.DUMMYFUNCTION("""COMPUTED_VALUE"""),"")</f>
        <v/>
      </c>
      <c r="Y103" s="17" t="str">
        <f>IFERROR(__xludf.DUMMYFUNCTION("""COMPUTED_VALUE"""),"")</f>
        <v/>
      </c>
      <c r="Z103" s="17" t="str">
        <f>IFERROR(__xludf.DUMMYFUNCTION("""COMPUTED_VALUE"""),"")</f>
        <v/>
      </c>
      <c r="AA103" s="17" t="str">
        <f>IFERROR(__xludf.DUMMYFUNCTION("""COMPUTED_VALUE"""),"")</f>
        <v/>
      </c>
      <c r="AB103" s="17" t="str">
        <f>IFERROR(__xludf.DUMMYFUNCTION("""COMPUTED_VALUE"""),"")</f>
        <v/>
      </c>
      <c r="AC103" s="17" t="str">
        <f>IFERROR(__xludf.DUMMYFUNCTION("""COMPUTED_VALUE"""),"")</f>
        <v/>
      </c>
    </row>
    <row r="104">
      <c r="A104" s="17" t="str">
        <f>IFERROR(__xludf.DUMMYFUNCTION("""COMPUTED_VALUE"""),"")</f>
        <v/>
      </c>
      <c r="B104" s="17" t="str">
        <f>IFERROR(__xludf.DUMMYFUNCTION("""COMPUTED_VALUE"""),"")</f>
        <v/>
      </c>
      <c r="C104" s="17" t="str">
        <f>IFERROR(__xludf.DUMMYFUNCTION("""COMPUTED_VALUE"""),"")</f>
        <v/>
      </c>
      <c r="D104" s="17" t="str">
        <f>IFERROR(__xludf.DUMMYFUNCTION("""COMPUTED_VALUE"""),"")</f>
        <v/>
      </c>
      <c r="E104" s="17" t="str">
        <f>IFERROR(__xludf.DUMMYFUNCTION("""COMPUTED_VALUE"""),"")</f>
        <v/>
      </c>
      <c r="F104" s="17" t="str">
        <f>IFERROR(__xludf.DUMMYFUNCTION("""COMPUTED_VALUE"""),"")</f>
        <v/>
      </c>
      <c r="G104" s="17" t="str">
        <f>IFERROR(__xludf.DUMMYFUNCTION("""COMPUTED_VALUE"""),"")</f>
        <v/>
      </c>
      <c r="H104" s="17" t="str">
        <f>IFERROR(__xludf.DUMMYFUNCTION("""COMPUTED_VALUE"""),"")</f>
        <v/>
      </c>
      <c r="I104" s="17" t="str">
        <f>IFERROR(__xludf.DUMMYFUNCTION("""COMPUTED_VALUE"""),"")</f>
        <v/>
      </c>
      <c r="J104" s="17" t="str">
        <f>IFERROR(__xludf.DUMMYFUNCTION("""COMPUTED_VALUE"""),"")</f>
        <v/>
      </c>
      <c r="K104" s="17" t="str">
        <f>IFERROR(__xludf.DUMMYFUNCTION("""COMPUTED_VALUE"""),"")</f>
        <v/>
      </c>
      <c r="L104" s="17" t="str">
        <f>IFERROR(__xludf.DUMMYFUNCTION("""COMPUTED_VALUE"""),"")</f>
        <v/>
      </c>
      <c r="M104" s="17" t="str">
        <f>IFERROR(__xludf.DUMMYFUNCTION("""COMPUTED_VALUE"""),"")</f>
        <v/>
      </c>
      <c r="N104" s="17" t="str">
        <f>IFERROR(__xludf.DUMMYFUNCTION("""COMPUTED_VALUE"""),"")</f>
        <v/>
      </c>
      <c r="O104" s="17" t="str">
        <f>IFERROR(__xludf.DUMMYFUNCTION("""COMPUTED_VALUE"""),"")</f>
        <v/>
      </c>
      <c r="P104" s="17" t="str">
        <f>IFERROR(__xludf.DUMMYFUNCTION("""COMPUTED_VALUE"""),"")</f>
        <v/>
      </c>
      <c r="Q104" s="17" t="str">
        <f>IFERROR(__xludf.DUMMYFUNCTION("""COMPUTED_VALUE"""),"")</f>
        <v/>
      </c>
      <c r="R104" s="17" t="str">
        <f>IFERROR(__xludf.DUMMYFUNCTION("""COMPUTED_VALUE"""),"")</f>
        <v/>
      </c>
      <c r="S104" s="17" t="str">
        <f>IFERROR(__xludf.DUMMYFUNCTION("""COMPUTED_VALUE"""),"")</f>
        <v/>
      </c>
      <c r="T104" s="17" t="str">
        <f>IFERROR(__xludf.DUMMYFUNCTION("""COMPUTED_VALUE"""),"")</f>
        <v/>
      </c>
      <c r="U104" s="17" t="str">
        <f>IFERROR(__xludf.DUMMYFUNCTION("""COMPUTED_VALUE"""),"")</f>
        <v/>
      </c>
      <c r="V104" s="17" t="str">
        <f>IFERROR(__xludf.DUMMYFUNCTION("""COMPUTED_VALUE"""),"")</f>
        <v/>
      </c>
      <c r="W104" s="17" t="str">
        <f>IFERROR(__xludf.DUMMYFUNCTION("""COMPUTED_VALUE"""),"")</f>
        <v/>
      </c>
      <c r="X104" s="17" t="str">
        <f>IFERROR(__xludf.DUMMYFUNCTION("""COMPUTED_VALUE"""),"")</f>
        <v/>
      </c>
      <c r="Y104" s="17" t="str">
        <f>IFERROR(__xludf.DUMMYFUNCTION("""COMPUTED_VALUE"""),"")</f>
        <v/>
      </c>
      <c r="Z104" s="17" t="str">
        <f>IFERROR(__xludf.DUMMYFUNCTION("""COMPUTED_VALUE"""),"")</f>
        <v/>
      </c>
      <c r="AA104" s="17" t="str">
        <f>IFERROR(__xludf.DUMMYFUNCTION("""COMPUTED_VALUE"""),"")</f>
        <v/>
      </c>
      <c r="AB104" s="17" t="str">
        <f>IFERROR(__xludf.DUMMYFUNCTION("""COMPUTED_VALUE"""),"")</f>
        <v/>
      </c>
      <c r="AC104" s="17" t="str">
        <f>IFERROR(__xludf.DUMMYFUNCTION("""COMPUTED_VALUE"""),"")</f>
        <v/>
      </c>
    </row>
    <row r="105">
      <c r="A105" s="17" t="str">
        <f>IFERROR(__xludf.DUMMYFUNCTION("""COMPUTED_VALUE"""),"")</f>
        <v/>
      </c>
      <c r="B105" s="17" t="str">
        <f>IFERROR(__xludf.DUMMYFUNCTION("""COMPUTED_VALUE"""),"")</f>
        <v/>
      </c>
      <c r="C105" s="17" t="str">
        <f>IFERROR(__xludf.DUMMYFUNCTION("""COMPUTED_VALUE"""),"")</f>
        <v/>
      </c>
      <c r="D105" s="17" t="str">
        <f>IFERROR(__xludf.DUMMYFUNCTION("""COMPUTED_VALUE"""),"")</f>
        <v/>
      </c>
      <c r="E105" s="17" t="str">
        <f>IFERROR(__xludf.DUMMYFUNCTION("""COMPUTED_VALUE"""),"")</f>
        <v/>
      </c>
      <c r="F105" s="17" t="str">
        <f>IFERROR(__xludf.DUMMYFUNCTION("""COMPUTED_VALUE"""),"")</f>
        <v/>
      </c>
      <c r="G105" s="17" t="str">
        <f>IFERROR(__xludf.DUMMYFUNCTION("""COMPUTED_VALUE"""),"")</f>
        <v/>
      </c>
      <c r="H105" s="17" t="str">
        <f>IFERROR(__xludf.DUMMYFUNCTION("""COMPUTED_VALUE"""),"")</f>
        <v/>
      </c>
      <c r="I105" s="17" t="str">
        <f>IFERROR(__xludf.DUMMYFUNCTION("""COMPUTED_VALUE"""),"")</f>
        <v/>
      </c>
      <c r="J105" s="17" t="str">
        <f>IFERROR(__xludf.DUMMYFUNCTION("""COMPUTED_VALUE"""),"")</f>
        <v/>
      </c>
      <c r="K105" s="17" t="str">
        <f>IFERROR(__xludf.DUMMYFUNCTION("""COMPUTED_VALUE"""),"")</f>
        <v/>
      </c>
      <c r="L105" s="17" t="str">
        <f>IFERROR(__xludf.DUMMYFUNCTION("""COMPUTED_VALUE"""),"")</f>
        <v/>
      </c>
      <c r="M105" s="17" t="str">
        <f>IFERROR(__xludf.DUMMYFUNCTION("""COMPUTED_VALUE"""),"")</f>
        <v/>
      </c>
      <c r="N105" s="17" t="str">
        <f>IFERROR(__xludf.DUMMYFUNCTION("""COMPUTED_VALUE"""),"")</f>
        <v/>
      </c>
      <c r="O105" s="17" t="str">
        <f>IFERROR(__xludf.DUMMYFUNCTION("""COMPUTED_VALUE"""),"")</f>
        <v/>
      </c>
      <c r="P105" s="17" t="str">
        <f>IFERROR(__xludf.DUMMYFUNCTION("""COMPUTED_VALUE"""),"")</f>
        <v/>
      </c>
      <c r="Q105" s="17" t="str">
        <f>IFERROR(__xludf.DUMMYFUNCTION("""COMPUTED_VALUE"""),"")</f>
        <v/>
      </c>
      <c r="R105" s="17" t="str">
        <f>IFERROR(__xludf.DUMMYFUNCTION("""COMPUTED_VALUE"""),"")</f>
        <v/>
      </c>
      <c r="S105" s="17" t="str">
        <f>IFERROR(__xludf.DUMMYFUNCTION("""COMPUTED_VALUE"""),"")</f>
        <v/>
      </c>
      <c r="T105" s="17" t="str">
        <f>IFERROR(__xludf.DUMMYFUNCTION("""COMPUTED_VALUE"""),"")</f>
        <v/>
      </c>
      <c r="U105" s="17" t="str">
        <f>IFERROR(__xludf.DUMMYFUNCTION("""COMPUTED_VALUE"""),"")</f>
        <v/>
      </c>
      <c r="V105" s="17" t="str">
        <f>IFERROR(__xludf.DUMMYFUNCTION("""COMPUTED_VALUE"""),"")</f>
        <v/>
      </c>
      <c r="W105" s="17" t="str">
        <f>IFERROR(__xludf.DUMMYFUNCTION("""COMPUTED_VALUE"""),"")</f>
        <v/>
      </c>
      <c r="X105" s="17" t="str">
        <f>IFERROR(__xludf.DUMMYFUNCTION("""COMPUTED_VALUE"""),"")</f>
        <v/>
      </c>
      <c r="Y105" s="17" t="str">
        <f>IFERROR(__xludf.DUMMYFUNCTION("""COMPUTED_VALUE"""),"")</f>
        <v/>
      </c>
      <c r="Z105" s="17" t="str">
        <f>IFERROR(__xludf.DUMMYFUNCTION("""COMPUTED_VALUE"""),"")</f>
        <v/>
      </c>
      <c r="AA105" s="17" t="str">
        <f>IFERROR(__xludf.DUMMYFUNCTION("""COMPUTED_VALUE"""),"")</f>
        <v/>
      </c>
      <c r="AB105" s="17" t="str">
        <f>IFERROR(__xludf.DUMMYFUNCTION("""COMPUTED_VALUE"""),"")</f>
        <v/>
      </c>
      <c r="AC105" s="17" t="str">
        <f>IFERROR(__xludf.DUMMYFUNCTION("""COMPUTED_VALUE"""),"")</f>
        <v/>
      </c>
    </row>
    <row r="106">
      <c r="A106" s="17" t="str">
        <f>IFERROR(__xludf.DUMMYFUNCTION("""COMPUTED_VALUE"""),"")</f>
        <v/>
      </c>
      <c r="B106" s="17" t="str">
        <f>IFERROR(__xludf.DUMMYFUNCTION("""COMPUTED_VALUE"""),"")</f>
        <v/>
      </c>
      <c r="C106" s="17" t="str">
        <f>IFERROR(__xludf.DUMMYFUNCTION("""COMPUTED_VALUE"""),"")</f>
        <v/>
      </c>
      <c r="D106" s="17" t="str">
        <f>IFERROR(__xludf.DUMMYFUNCTION("""COMPUTED_VALUE"""),"")</f>
        <v/>
      </c>
      <c r="E106" s="17" t="str">
        <f>IFERROR(__xludf.DUMMYFUNCTION("""COMPUTED_VALUE"""),"")</f>
        <v/>
      </c>
      <c r="F106" s="17" t="str">
        <f>IFERROR(__xludf.DUMMYFUNCTION("""COMPUTED_VALUE"""),"")</f>
        <v/>
      </c>
      <c r="G106" s="17" t="str">
        <f>IFERROR(__xludf.DUMMYFUNCTION("""COMPUTED_VALUE"""),"")</f>
        <v/>
      </c>
      <c r="H106" s="17" t="str">
        <f>IFERROR(__xludf.DUMMYFUNCTION("""COMPUTED_VALUE"""),"")</f>
        <v/>
      </c>
      <c r="I106" s="17" t="str">
        <f>IFERROR(__xludf.DUMMYFUNCTION("""COMPUTED_VALUE"""),"")</f>
        <v/>
      </c>
      <c r="J106" s="17" t="str">
        <f>IFERROR(__xludf.DUMMYFUNCTION("""COMPUTED_VALUE"""),"")</f>
        <v/>
      </c>
      <c r="K106" s="17" t="str">
        <f>IFERROR(__xludf.DUMMYFUNCTION("""COMPUTED_VALUE"""),"")</f>
        <v/>
      </c>
      <c r="L106" s="17" t="str">
        <f>IFERROR(__xludf.DUMMYFUNCTION("""COMPUTED_VALUE"""),"")</f>
        <v/>
      </c>
      <c r="M106" s="17" t="str">
        <f>IFERROR(__xludf.DUMMYFUNCTION("""COMPUTED_VALUE"""),"")</f>
        <v/>
      </c>
      <c r="N106" s="17" t="str">
        <f>IFERROR(__xludf.DUMMYFUNCTION("""COMPUTED_VALUE"""),"")</f>
        <v/>
      </c>
      <c r="O106" s="17" t="str">
        <f>IFERROR(__xludf.DUMMYFUNCTION("""COMPUTED_VALUE"""),"")</f>
        <v/>
      </c>
      <c r="P106" s="17" t="str">
        <f>IFERROR(__xludf.DUMMYFUNCTION("""COMPUTED_VALUE"""),"")</f>
        <v/>
      </c>
      <c r="Q106" s="17" t="str">
        <f>IFERROR(__xludf.DUMMYFUNCTION("""COMPUTED_VALUE"""),"")</f>
        <v/>
      </c>
      <c r="R106" s="17" t="str">
        <f>IFERROR(__xludf.DUMMYFUNCTION("""COMPUTED_VALUE"""),"")</f>
        <v/>
      </c>
      <c r="S106" s="17" t="str">
        <f>IFERROR(__xludf.DUMMYFUNCTION("""COMPUTED_VALUE"""),"")</f>
        <v/>
      </c>
      <c r="T106" s="17" t="str">
        <f>IFERROR(__xludf.DUMMYFUNCTION("""COMPUTED_VALUE"""),"")</f>
        <v/>
      </c>
      <c r="U106" s="17" t="str">
        <f>IFERROR(__xludf.DUMMYFUNCTION("""COMPUTED_VALUE"""),"")</f>
        <v/>
      </c>
      <c r="V106" s="17" t="str">
        <f>IFERROR(__xludf.DUMMYFUNCTION("""COMPUTED_VALUE"""),"")</f>
        <v/>
      </c>
      <c r="W106" s="17" t="str">
        <f>IFERROR(__xludf.DUMMYFUNCTION("""COMPUTED_VALUE"""),"")</f>
        <v/>
      </c>
      <c r="X106" s="17" t="str">
        <f>IFERROR(__xludf.DUMMYFUNCTION("""COMPUTED_VALUE"""),"")</f>
        <v/>
      </c>
      <c r="Y106" s="17" t="str">
        <f>IFERROR(__xludf.DUMMYFUNCTION("""COMPUTED_VALUE"""),"")</f>
        <v/>
      </c>
      <c r="Z106" s="17" t="str">
        <f>IFERROR(__xludf.DUMMYFUNCTION("""COMPUTED_VALUE"""),"")</f>
        <v/>
      </c>
      <c r="AA106" s="17" t="str">
        <f>IFERROR(__xludf.DUMMYFUNCTION("""COMPUTED_VALUE"""),"")</f>
        <v/>
      </c>
      <c r="AB106" s="17" t="str">
        <f>IFERROR(__xludf.DUMMYFUNCTION("""COMPUTED_VALUE"""),"")</f>
        <v/>
      </c>
      <c r="AC106" s="17" t="str">
        <f>IFERROR(__xludf.DUMMYFUNCTION("""COMPUTED_VALUE"""),"")</f>
        <v/>
      </c>
    </row>
    <row r="107">
      <c r="A107" s="17" t="str">
        <f>IFERROR(__xludf.DUMMYFUNCTION("""COMPUTED_VALUE"""),"")</f>
        <v/>
      </c>
      <c r="B107" s="17" t="str">
        <f>IFERROR(__xludf.DUMMYFUNCTION("""COMPUTED_VALUE"""),"")</f>
        <v/>
      </c>
      <c r="C107" s="17" t="str">
        <f>IFERROR(__xludf.DUMMYFUNCTION("""COMPUTED_VALUE"""),"")</f>
        <v/>
      </c>
      <c r="D107" s="17" t="str">
        <f>IFERROR(__xludf.DUMMYFUNCTION("""COMPUTED_VALUE"""),"")</f>
        <v/>
      </c>
      <c r="E107" s="17" t="str">
        <f>IFERROR(__xludf.DUMMYFUNCTION("""COMPUTED_VALUE"""),"")</f>
        <v/>
      </c>
      <c r="F107" s="17" t="str">
        <f>IFERROR(__xludf.DUMMYFUNCTION("""COMPUTED_VALUE"""),"")</f>
        <v/>
      </c>
      <c r="G107" s="17" t="str">
        <f>IFERROR(__xludf.DUMMYFUNCTION("""COMPUTED_VALUE"""),"")</f>
        <v/>
      </c>
      <c r="H107" s="17" t="str">
        <f>IFERROR(__xludf.DUMMYFUNCTION("""COMPUTED_VALUE"""),"")</f>
        <v/>
      </c>
      <c r="I107" s="17" t="str">
        <f>IFERROR(__xludf.DUMMYFUNCTION("""COMPUTED_VALUE"""),"")</f>
        <v/>
      </c>
      <c r="J107" s="17" t="str">
        <f>IFERROR(__xludf.DUMMYFUNCTION("""COMPUTED_VALUE"""),"")</f>
        <v/>
      </c>
      <c r="K107" s="17" t="str">
        <f>IFERROR(__xludf.DUMMYFUNCTION("""COMPUTED_VALUE"""),"")</f>
        <v/>
      </c>
      <c r="L107" s="17" t="str">
        <f>IFERROR(__xludf.DUMMYFUNCTION("""COMPUTED_VALUE"""),"")</f>
        <v/>
      </c>
      <c r="M107" s="17" t="str">
        <f>IFERROR(__xludf.DUMMYFUNCTION("""COMPUTED_VALUE"""),"")</f>
        <v/>
      </c>
      <c r="N107" s="17" t="str">
        <f>IFERROR(__xludf.DUMMYFUNCTION("""COMPUTED_VALUE"""),"")</f>
        <v/>
      </c>
      <c r="O107" s="17" t="str">
        <f>IFERROR(__xludf.DUMMYFUNCTION("""COMPUTED_VALUE"""),"")</f>
        <v/>
      </c>
      <c r="P107" s="17" t="str">
        <f>IFERROR(__xludf.DUMMYFUNCTION("""COMPUTED_VALUE"""),"")</f>
        <v/>
      </c>
      <c r="Q107" s="17" t="str">
        <f>IFERROR(__xludf.DUMMYFUNCTION("""COMPUTED_VALUE"""),"")</f>
        <v/>
      </c>
      <c r="R107" s="17" t="str">
        <f>IFERROR(__xludf.DUMMYFUNCTION("""COMPUTED_VALUE"""),"")</f>
        <v/>
      </c>
      <c r="S107" s="17" t="str">
        <f>IFERROR(__xludf.DUMMYFUNCTION("""COMPUTED_VALUE"""),"")</f>
        <v/>
      </c>
      <c r="T107" s="17" t="str">
        <f>IFERROR(__xludf.DUMMYFUNCTION("""COMPUTED_VALUE"""),"")</f>
        <v/>
      </c>
      <c r="U107" s="17" t="str">
        <f>IFERROR(__xludf.DUMMYFUNCTION("""COMPUTED_VALUE"""),"")</f>
        <v/>
      </c>
      <c r="V107" s="17" t="str">
        <f>IFERROR(__xludf.DUMMYFUNCTION("""COMPUTED_VALUE"""),"")</f>
        <v/>
      </c>
      <c r="W107" s="17" t="str">
        <f>IFERROR(__xludf.DUMMYFUNCTION("""COMPUTED_VALUE"""),"")</f>
        <v/>
      </c>
      <c r="X107" s="17" t="str">
        <f>IFERROR(__xludf.DUMMYFUNCTION("""COMPUTED_VALUE"""),"")</f>
        <v/>
      </c>
      <c r="Y107" s="17" t="str">
        <f>IFERROR(__xludf.DUMMYFUNCTION("""COMPUTED_VALUE"""),"")</f>
        <v/>
      </c>
      <c r="Z107" s="17" t="str">
        <f>IFERROR(__xludf.DUMMYFUNCTION("""COMPUTED_VALUE"""),"")</f>
        <v/>
      </c>
      <c r="AA107" s="17" t="str">
        <f>IFERROR(__xludf.DUMMYFUNCTION("""COMPUTED_VALUE"""),"")</f>
        <v/>
      </c>
      <c r="AB107" s="17" t="str">
        <f>IFERROR(__xludf.DUMMYFUNCTION("""COMPUTED_VALUE"""),"")</f>
        <v/>
      </c>
      <c r="AC107" s="17" t="str">
        <f>IFERROR(__xludf.DUMMYFUNCTION("""COMPUTED_VALUE"""),"")</f>
        <v/>
      </c>
    </row>
    <row r="108">
      <c r="A108" s="17" t="str">
        <f>IFERROR(__xludf.DUMMYFUNCTION("""COMPUTED_VALUE"""),"")</f>
        <v/>
      </c>
      <c r="B108" s="17" t="str">
        <f>IFERROR(__xludf.DUMMYFUNCTION("""COMPUTED_VALUE"""),"")</f>
        <v/>
      </c>
      <c r="C108" s="17" t="str">
        <f>IFERROR(__xludf.DUMMYFUNCTION("""COMPUTED_VALUE"""),"")</f>
        <v/>
      </c>
      <c r="D108" s="17" t="str">
        <f>IFERROR(__xludf.DUMMYFUNCTION("""COMPUTED_VALUE"""),"")</f>
        <v/>
      </c>
      <c r="E108" s="17" t="str">
        <f>IFERROR(__xludf.DUMMYFUNCTION("""COMPUTED_VALUE"""),"")</f>
        <v/>
      </c>
      <c r="F108" s="17" t="str">
        <f>IFERROR(__xludf.DUMMYFUNCTION("""COMPUTED_VALUE"""),"")</f>
        <v/>
      </c>
      <c r="G108" s="17" t="str">
        <f>IFERROR(__xludf.DUMMYFUNCTION("""COMPUTED_VALUE"""),"")</f>
        <v/>
      </c>
      <c r="H108" s="17" t="str">
        <f>IFERROR(__xludf.DUMMYFUNCTION("""COMPUTED_VALUE"""),"")</f>
        <v/>
      </c>
      <c r="I108" s="17" t="str">
        <f>IFERROR(__xludf.DUMMYFUNCTION("""COMPUTED_VALUE"""),"")</f>
        <v/>
      </c>
      <c r="J108" s="17" t="str">
        <f>IFERROR(__xludf.DUMMYFUNCTION("""COMPUTED_VALUE"""),"")</f>
        <v/>
      </c>
      <c r="K108" s="17" t="str">
        <f>IFERROR(__xludf.DUMMYFUNCTION("""COMPUTED_VALUE"""),"")</f>
        <v/>
      </c>
      <c r="L108" s="17" t="str">
        <f>IFERROR(__xludf.DUMMYFUNCTION("""COMPUTED_VALUE"""),"")</f>
        <v/>
      </c>
      <c r="M108" s="17" t="str">
        <f>IFERROR(__xludf.DUMMYFUNCTION("""COMPUTED_VALUE"""),"")</f>
        <v/>
      </c>
      <c r="N108" s="17" t="str">
        <f>IFERROR(__xludf.DUMMYFUNCTION("""COMPUTED_VALUE"""),"")</f>
        <v/>
      </c>
      <c r="O108" s="17" t="str">
        <f>IFERROR(__xludf.DUMMYFUNCTION("""COMPUTED_VALUE"""),"")</f>
        <v/>
      </c>
      <c r="P108" s="17" t="str">
        <f>IFERROR(__xludf.DUMMYFUNCTION("""COMPUTED_VALUE"""),"")</f>
        <v/>
      </c>
      <c r="Q108" s="17" t="str">
        <f>IFERROR(__xludf.DUMMYFUNCTION("""COMPUTED_VALUE"""),"")</f>
        <v/>
      </c>
      <c r="R108" s="17" t="str">
        <f>IFERROR(__xludf.DUMMYFUNCTION("""COMPUTED_VALUE"""),"")</f>
        <v/>
      </c>
      <c r="S108" s="17" t="str">
        <f>IFERROR(__xludf.DUMMYFUNCTION("""COMPUTED_VALUE"""),"")</f>
        <v/>
      </c>
      <c r="T108" s="17" t="str">
        <f>IFERROR(__xludf.DUMMYFUNCTION("""COMPUTED_VALUE"""),"")</f>
        <v/>
      </c>
      <c r="U108" s="17" t="str">
        <f>IFERROR(__xludf.DUMMYFUNCTION("""COMPUTED_VALUE"""),"")</f>
        <v/>
      </c>
      <c r="V108" s="17" t="str">
        <f>IFERROR(__xludf.DUMMYFUNCTION("""COMPUTED_VALUE"""),"")</f>
        <v/>
      </c>
      <c r="W108" s="17" t="str">
        <f>IFERROR(__xludf.DUMMYFUNCTION("""COMPUTED_VALUE"""),"")</f>
        <v/>
      </c>
      <c r="X108" s="17" t="str">
        <f>IFERROR(__xludf.DUMMYFUNCTION("""COMPUTED_VALUE"""),"")</f>
        <v/>
      </c>
      <c r="Y108" s="17" t="str">
        <f>IFERROR(__xludf.DUMMYFUNCTION("""COMPUTED_VALUE"""),"")</f>
        <v/>
      </c>
      <c r="Z108" s="17" t="str">
        <f>IFERROR(__xludf.DUMMYFUNCTION("""COMPUTED_VALUE"""),"")</f>
        <v/>
      </c>
      <c r="AA108" s="17" t="str">
        <f>IFERROR(__xludf.DUMMYFUNCTION("""COMPUTED_VALUE"""),"")</f>
        <v/>
      </c>
      <c r="AB108" s="17" t="str">
        <f>IFERROR(__xludf.DUMMYFUNCTION("""COMPUTED_VALUE"""),"")</f>
        <v/>
      </c>
      <c r="AC108" s="17" t="str">
        <f>IFERROR(__xludf.DUMMYFUNCTION("""COMPUTED_VALUE"""),"")</f>
        <v/>
      </c>
    </row>
    <row r="109">
      <c r="A109" s="17" t="str">
        <f>IFERROR(__xludf.DUMMYFUNCTION("""COMPUTED_VALUE"""),"")</f>
        <v/>
      </c>
      <c r="B109" s="17" t="str">
        <f>IFERROR(__xludf.DUMMYFUNCTION("""COMPUTED_VALUE"""),"")</f>
        <v/>
      </c>
      <c r="C109" s="17" t="str">
        <f>IFERROR(__xludf.DUMMYFUNCTION("""COMPUTED_VALUE"""),"")</f>
        <v/>
      </c>
      <c r="D109" s="17" t="str">
        <f>IFERROR(__xludf.DUMMYFUNCTION("""COMPUTED_VALUE"""),"")</f>
        <v/>
      </c>
      <c r="E109" s="17" t="str">
        <f>IFERROR(__xludf.DUMMYFUNCTION("""COMPUTED_VALUE"""),"")</f>
        <v/>
      </c>
      <c r="F109" s="17" t="str">
        <f>IFERROR(__xludf.DUMMYFUNCTION("""COMPUTED_VALUE"""),"")</f>
        <v/>
      </c>
      <c r="G109" s="17" t="str">
        <f>IFERROR(__xludf.DUMMYFUNCTION("""COMPUTED_VALUE"""),"")</f>
        <v/>
      </c>
      <c r="H109" s="17" t="str">
        <f>IFERROR(__xludf.DUMMYFUNCTION("""COMPUTED_VALUE"""),"")</f>
        <v/>
      </c>
      <c r="I109" s="17" t="str">
        <f>IFERROR(__xludf.DUMMYFUNCTION("""COMPUTED_VALUE"""),"")</f>
        <v/>
      </c>
      <c r="J109" s="17" t="str">
        <f>IFERROR(__xludf.DUMMYFUNCTION("""COMPUTED_VALUE"""),"")</f>
        <v/>
      </c>
      <c r="K109" s="17" t="str">
        <f>IFERROR(__xludf.DUMMYFUNCTION("""COMPUTED_VALUE"""),"")</f>
        <v/>
      </c>
      <c r="L109" s="17" t="str">
        <f>IFERROR(__xludf.DUMMYFUNCTION("""COMPUTED_VALUE"""),"")</f>
        <v/>
      </c>
      <c r="M109" s="17" t="str">
        <f>IFERROR(__xludf.DUMMYFUNCTION("""COMPUTED_VALUE"""),"")</f>
        <v/>
      </c>
      <c r="N109" s="17" t="str">
        <f>IFERROR(__xludf.DUMMYFUNCTION("""COMPUTED_VALUE"""),"")</f>
        <v/>
      </c>
      <c r="O109" s="17" t="str">
        <f>IFERROR(__xludf.DUMMYFUNCTION("""COMPUTED_VALUE"""),"")</f>
        <v/>
      </c>
      <c r="P109" s="17" t="str">
        <f>IFERROR(__xludf.DUMMYFUNCTION("""COMPUTED_VALUE"""),"")</f>
        <v/>
      </c>
      <c r="Q109" s="17" t="str">
        <f>IFERROR(__xludf.DUMMYFUNCTION("""COMPUTED_VALUE"""),"")</f>
        <v/>
      </c>
      <c r="R109" s="17" t="str">
        <f>IFERROR(__xludf.DUMMYFUNCTION("""COMPUTED_VALUE"""),"")</f>
        <v/>
      </c>
      <c r="S109" s="17" t="str">
        <f>IFERROR(__xludf.DUMMYFUNCTION("""COMPUTED_VALUE"""),"")</f>
        <v/>
      </c>
      <c r="T109" s="17" t="str">
        <f>IFERROR(__xludf.DUMMYFUNCTION("""COMPUTED_VALUE"""),"")</f>
        <v/>
      </c>
      <c r="U109" s="17" t="str">
        <f>IFERROR(__xludf.DUMMYFUNCTION("""COMPUTED_VALUE"""),"")</f>
        <v/>
      </c>
      <c r="V109" s="17" t="str">
        <f>IFERROR(__xludf.DUMMYFUNCTION("""COMPUTED_VALUE"""),"")</f>
        <v/>
      </c>
      <c r="W109" s="17" t="str">
        <f>IFERROR(__xludf.DUMMYFUNCTION("""COMPUTED_VALUE"""),"")</f>
        <v/>
      </c>
      <c r="X109" s="17" t="str">
        <f>IFERROR(__xludf.DUMMYFUNCTION("""COMPUTED_VALUE"""),"")</f>
        <v/>
      </c>
      <c r="Y109" s="17" t="str">
        <f>IFERROR(__xludf.DUMMYFUNCTION("""COMPUTED_VALUE"""),"")</f>
        <v/>
      </c>
      <c r="Z109" s="17" t="str">
        <f>IFERROR(__xludf.DUMMYFUNCTION("""COMPUTED_VALUE"""),"")</f>
        <v/>
      </c>
      <c r="AA109" s="17" t="str">
        <f>IFERROR(__xludf.DUMMYFUNCTION("""COMPUTED_VALUE"""),"")</f>
        <v/>
      </c>
      <c r="AB109" s="17" t="str">
        <f>IFERROR(__xludf.DUMMYFUNCTION("""COMPUTED_VALUE"""),"")</f>
        <v/>
      </c>
      <c r="AC109" s="17" t="str">
        <f>IFERROR(__xludf.DUMMYFUNCTION("""COMPUTED_VALUE"""),"")</f>
        <v/>
      </c>
    </row>
    <row r="110">
      <c r="A110" s="17" t="str">
        <f>IFERROR(__xludf.DUMMYFUNCTION("""COMPUTED_VALUE"""),"Chapter 98: 71 Good Faith - Preamble PHO
Technical Training (40k Redux) 100:
Skill in using and maintaining 40k tech, does not apply to Ancient or Alien technology.
System")</f>
        <v>Chapter 98: 71 Good Faith - Preamble PHO
Technical Training (40k Redux) 100:
Skill in using and maintaining 40k tech, does not apply to Ancient or Alien technology.
System</v>
      </c>
      <c r="B110" s="17" t="str">
        <f>IFERROR(__xludf.DUMMYFUNCTION("""COMPUTED_VALUE"""),"
")</f>
        <v>
</v>
      </c>
      <c r="C110" s="17" t="str">
        <f>IFERROR(__xludf.DUMMYFUNCTION("""COMPUTED_VALUE"""),"
")</f>
        <v>
</v>
      </c>
      <c r="D110" s="17" t="str">
        <f>IFERROR(__xludf.DUMMYFUNCTION("""COMPUTED_VALUE"""),"
")</f>
        <v>
</v>
      </c>
      <c r="E110" s="17" t="str">
        <f>IFERROR(__xludf.DUMMYFUNCTION("""COMPUTED_VALUE"""),"
")</f>
        <v>
</v>
      </c>
      <c r="F110" s="17" t="str">
        <f>IFERROR(__xludf.DUMMYFUNCTION("""COMPUTED_VALUE"""),"
")</f>
        <v>
</v>
      </c>
      <c r="G110" s="17" t="str">
        <f>IFERROR(__xludf.DUMMYFUNCTION("""COMPUTED_VALUE"""),"
")</f>
        <v>
</v>
      </c>
      <c r="H110" s="17" t="str">
        <f>IFERROR(__xludf.DUMMYFUNCTION("""COMPUTED_VALUE"""),"
")</f>
        <v>
</v>
      </c>
      <c r="I110" s="17" t="str">
        <f>IFERROR(__xludf.DUMMYFUNCTION("""COMPUTED_VALUE"""),"
")</f>
        <v>
</v>
      </c>
      <c r="J110" s="17" t="str">
        <f>IFERROR(__xludf.DUMMYFUNCTION("""COMPUTED_VALUE"""),"
")</f>
        <v>
</v>
      </c>
      <c r="K110" s="17" t="str">
        <f>IFERROR(__xludf.DUMMYFUNCTION("""COMPUTED_VALUE"""),"
")</f>
        <v>
</v>
      </c>
      <c r="L110" s="17" t="str">
        <f>IFERROR(__xludf.DUMMYFUNCTION("""COMPUTED_VALUE"""),"
")</f>
        <v>
</v>
      </c>
      <c r="M110" s="17" t="str">
        <f>IFERROR(__xludf.DUMMYFUNCTION("""COMPUTED_VALUE"""),"
")</f>
        <v>
</v>
      </c>
      <c r="N110" s="17" t="str">
        <f>IFERROR(__xludf.DUMMYFUNCTION("""COMPUTED_VALUE"""),"
")</f>
        <v>
</v>
      </c>
      <c r="O110" s="17" t="str">
        <f>IFERROR(__xludf.DUMMYFUNCTION("""COMPUTED_VALUE"""),"
")</f>
        <v>
</v>
      </c>
      <c r="P110" s="17" t="str">
        <f>IFERROR(__xludf.DUMMYFUNCTION("""COMPUTED_VALUE"""),"
")</f>
        <v>
</v>
      </c>
      <c r="Q110" s="17" t="str">
        <f>IFERROR(__xludf.DUMMYFUNCTION("""COMPUTED_VALUE"""),"
")</f>
        <v>
</v>
      </c>
      <c r="R110" s="17" t="str">
        <f>IFERROR(__xludf.DUMMYFUNCTION("""COMPUTED_VALUE"""),"
")</f>
        <v>
</v>
      </c>
      <c r="S110" s="17" t="str">
        <f>IFERROR(__xludf.DUMMYFUNCTION("""COMPUTED_VALUE"""),"
")</f>
        <v>
</v>
      </c>
      <c r="T110" s="17" t="str">
        <f>IFERROR(__xludf.DUMMYFUNCTION("""COMPUTED_VALUE"""),"
")</f>
        <v>
</v>
      </c>
      <c r="U110" s="17" t="str">
        <f>IFERROR(__xludf.DUMMYFUNCTION("""COMPUTED_VALUE"""),"
")</f>
        <v>
</v>
      </c>
      <c r="V110" s="17" t="str">
        <f>IFERROR(__xludf.DUMMYFUNCTION("""COMPUTED_VALUE"""),"
")</f>
        <v>
</v>
      </c>
      <c r="W110" s="17" t="str">
        <f>IFERROR(__xludf.DUMMYFUNCTION("""COMPUTED_VALUE"""),"
")</f>
        <v>
</v>
      </c>
      <c r="X110" s="17" t="str">
        <f>IFERROR(__xludf.DUMMYFUNCTION("""COMPUTED_VALUE"""),"
")</f>
        <v>
</v>
      </c>
      <c r="Y110" s="17" t="str">
        <f>IFERROR(__xludf.DUMMYFUNCTION("""COMPUTED_VALUE"""),"
")</f>
        <v>
</v>
      </c>
      <c r="Z110" s="17" t="str">
        <f>IFERROR(__xludf.DUMMYFUNCTION("""COMPUTED_VALUE"""),"
")</f>
        <v>
</v>
      </c>
      <c r="AA110" s="17" t="str">
        <f>IFERROR(__xludf.DUMMYFUNCTION("""COMPUTED_VALUE"""),"
")</f>
        <v>
</v>
      </c>
      <c r="AB110" s="17" t="str">
        <f>IFERROR(__xludf.DUMMYFUNCTION("""COMPUTED_VALUE"""),"
")</f>
        <v>
</v>
      </c>
      <c r="AC110" s="17" t="str">
        <f>IFERROR(__xludf.DUMMYFUNCTION("""COMPUTED_VALUE"""),"
")</f>
        <v>
</v>
      </c>
    </row>
    <row r="111">
      <c r="A111" s="17" t="str">
        <f>IFERROR(__xludf.DUMMYFUNCTION("""COMPUTED_VALUE"""),"Chapter 38: 32 Family Fugue - Preamble Taylor - Addendum Mike
Analysis (Adventure Time) 300:
You have the skill and insight to make powerful analytical tools. Such tools are capable of showing you the physical makeup of the things you come across, detect "&amp;"magic and alert you to hidden doorways.
Set")</f>
        <v>Chapter 38: 32 Family Fugue - Preamble Taylor - Addendum Mike
Analysis (Adventure Time) 300:
You have the skill and insight to make powerful analytical tools. Such tools are capable of showing you the physical makeup of the things you come across, detect magic and alert you to hidden doorways.
Set</v>
      </c>
      <c r="B111" s="17" t="str">
        <f>IFERROR(__xludf.DUMMYFUNCTION("""COMPUTED_VALUE"""),"
")</f>
        <v>
</v>
      </c>
      <c r="C111" s="17" t="str">
        <f>IFERROR(__xludf.DUMMYFUNCTION("""COMPUTED_VALUE"""),"
")</f>
        <v>
</v>
      </c>
      <c r="D111" s="17" t="str">
        <f>IFERROR(__xludf.DUMMYFUNCTION("""COMPUTED_VALUE"""),"
")</f>
        <v>
</v>
      </c>
      <c r="E111" s="17" t="str">
        <f>IFERROR(__xludf.DUMMYFUNCTION("""COMPUTED_VALUE"""),"
")</f>
        <v>
</v>
      </c>
      <c r="F111" s="17" t="str">
        <f>IFERROR(__xludf.DUMMYFUNCTION("""COMPUTED_VALUE"""),"
")</f>
        <v>
</v>
      </c>
      <c r="G111" s="17" t="str">
        <f>IFERROR(__xludf.DUMMYFUNCTION("""COMPUTED_VALUE"""),"
")</f>
        <v>
</v>
      </c>
      <c r="H111" s="17" t="str">
        <f>IFERROR(__xludf.DUMMYFUNCTION("""COMPUTED_VALUE"""),"
")</f>
        <v>
</v>
      </c>
      <c r="I111" s="17" t="str">
        <f>IFERROR(__xludf.DUMMYFUNCTION("""COMPUTED_VALUE"""),"
")</f>
        <v>
</v>
      </c>
      <c r="J111" s="17" t="str">
        <f>IFERROR(__xludf.DUMMYFUNCTION("""COMPUTED_VALUE"""),"
")</f>
        <v>
</v>
      </c>
      <c r="K111" s="17" t="str">
        <f>IFERROR(__xludf.DUMMYFUNCTION("""COMPUTED_VALUE"""),"
")</f>
        <v>
</v>
      </c>
      <c r="L111" s="17" t="str">
        <f>IFERROR(__xludf.DUMMYFUNCTION("""COMPUTED_VALUE"""),"
")</f>
        <v>
</v>
      </c>
      <c r="M111" s="17" t="str">
        <f>IFERROR(__xludf.DUMMYFUNCTION("""COMPUTED_VALUE"""),"
")</f>
        <v>
</v>
      </c>
      <c r="N111" s="17" t="str">
        <f>IFERROR(__xludf.DUMMYFUNCTION("""COMPUTED_VALUE"""),"
")</f>
        <v>
</v>
      </c>
      <c r="O111" s="17" t="str">
        <f>IFERROR(__xludf.DUMMYFUNCTION("""COMPUTED_VALUE"""),"
")</f>
        <v>
</v>
      </c>
      <c r="P111" s="17" t="str">
        <f>IFERROR(__xludf.DUMMYFUNCTION("""COMPUTED_VALUE"""),"
")</f>
        <v>
</v>
      </c>
      <c r="Q111" s="17" t="str">
        <f>IFERROR(__xludf.DUMMYFUNCTION("""COMPUTED_VALUE"""),"
")</f>
        <v>
</v>
      </c>
      <c r="R111" s="17" t="str">
        <f>IFERROR(__xludf.DUMMYFUNCTION("""COMPUTED_VALUE"""),"
")</f>
        <v>
</v>
      </c>
      <c r="S111" s="17" t="str">
        <f>IFERROR(__xludf.DUMMYFUNCTION("""COMPUTED_VALUE"""),"
")</f>
        <v>
</v>
      </c>
      <c r="T111" s="17" t="str">
        <f>IFERROR(__xludf.DUMMYFUNCTION("""COMPUTED_VALUE"""),"
")</f>
        <v>
</v>
      </c>
      <c r="U111" s="17" t="str">
        <f>IFERROR(__xludf.DUMMYFUNCTION("""COMPUTED_VALUE"""),"
")</f>
        <v>
</v>
      </c>
      <c r="V111" s="17" t="str">
        <f>IFERROR(__xludf.DUMMYFUNCTION("""COMPUTED_VALUE"""),"
")</f>
        <v>
</v>
      </c>
      <c r="W111" s="17" t="str">
        <f>IFERROR(__xludf.DUMMYFUNCTION("""COMPUTED_VALUE"""),"
")</f>
        <v>
</v>
      </c>
      <c r="X111" s="17" t="str">
        <f>IFERROR(__xludf.DUMMYFUNCTION("""COMPUTED_VALUE"""),"
")</f>
        <v>
</v>
      </c>
      <c r="Y111" s="17" t="str">
        <f>IFERROR(__xludf.DUMMYFUNCTION("""COMPUTED_VALUE"""),"
")</f>
        <v>
</v>
      </c>
      <c r="Z111" s="17" t="str">
        <f>IFERROR(__xludf.DUMMYFUNCTION("""COMPUTED_VALUE"""),"
")</f>
        <v>
</v>
      </c>
      <c r="AA111" s="17" t="str">
        <f>IFERROR(__xludf.DUMMYFUNCTION("""COMPUTED_VALUE"""),"
")</f>
        <v>
</v>
      </c>
      <c r="AB111" s="17" t="str">
        <f>IFERROR(__xludf.DUMMYFUNCTION("""COMPUTED_VALUE"""),"
")</f>
        <v>
</v>
      </c>
      <c r="AC111" s="17" t="str">
        <f>IFERROR(__xludf.DUMMYFUNCTION("""COMPUTED_VALUE"""),"
")</f>
        <v>
</v>
      </c>
    </row>
    <row r="112">
      <c r="A112" s="17" t="str">
        <f>IFERROR(__xludf.DUMMYFUNCTION("""COMPUTED_VALUE"""),"Chapter 90: 66 Review and Preparation
Technician (Alpha Centauri) 400:
Learning has become easier for you now, especially in the field of natural science and engineering, you absorb and retain information like a sponge and can mix and match theory and exp"&amp;"erience with much greater skill.
Personal")</f>
        <v>Chapter 90: 66 Review and Preparation
Technician (Alpha Centauri) 400:
Learning has become easier for you now, especially in the field of natural science and engineering, you absorb and retain information like a sponge and can mix and match theory and experience with much greater skill.
Personal</v>
      </c>
      <c r="B112" s="17" t="str">
        <f>IFERROR(__xludf.DUMMYFUNCTION("""COMPUTED_VALUE"""),"
")</f>
        <v>
</v>
      </c>
      <c r="C112" s="17" t="str">
        <f>IFERROR(__xludf.DUMMYFUNCTION("""COMPUTED_VALUE"""),"
")</f>
        <v>
</v>
      </c>
      <c r="D112" s="17" t="str">
        <f>IFERROR(__xludf.DUMMYFUNCTION("""COMPUTED_VALUE"""),"
")</f>
        <v>
</v>
      </c>
      <c r="E112" s="17" t="str">
        <f>IFERROR(__xludf.DUMMYFUNCTION("""COMPUTED_VALUE"""),"
")</f>
        <v>
</v>
      </c>
      <c r="F112" s="17" t="str">
        <f>IFERROR(__xludf.DUMMYFUNCTION("""COMPUTED_VALUE"""),"
")</f>
        <v>
</v>
      </c>
      <c r="G112" s="17" t="str">
        <f>IFERROR(__xludf.DUMMYFUNCTION("""COMPUTED_VALUE"""),"
")</f>
        <v>
</v>
      </c>
      <c r="H112" s="17" t="str">
        <f>IFERROR(__xludf.DUMMYFUNCTION("""COMPUTED_VALUE"""),"
")</f>
        <v>
</v>
      </c>
      <c r="I112" s="17" t="str">
        <f>IFERROR(__xludf.DUMMYFUNCTION("""COMPUTED_VALUE"""),"
")</f>
        <v>
</v>
      </c>
      <c r="J112" s="17" t="str">
        <f>IFERROR(__xludf.DUMMYFUNCTION("""COMPUTED_VALUE"""),"
")</f>
        <v>
</v>
      </c>
      <c r="K112" s="17" t="str">
        <f>IFERROR(__xludf.DUMMYFUNCTION("""COMPUTED_VALUE"""),"
")</f>
        <v>
</v>
      </c>
      <c r="L112" s="17" t="str">
        <f>IFERROR(__xludf.DUMMYFUNCTION("""COMPUTED_VALUE"""),"
")</f>
        <v>
</v>
      </c>
      <c r="M112" s="17" t="str">
        <f>IFERROR(__xludf.DUMMYFUNCTION("""COMPUTED_VALUE"""),"
")</f>
        <v>
</v>
      </c>
      <c r="N112" s="17" t="str">
        <f>IFERROR(__xludf.DUMMYFUNCTION("""COMPUTED_VALUE"""),"
")</f>
        <v>
</v>
      </c>
      <c r="O112" s="17" t="str">
        <f>IFERROR(__xludf.DUMMYFUNCTION("""COMPUTED_VALUE"""),"
")</f>
        <v>
</v>
      </c>
      <c r="P112" s="17" t="str">
        <f>IFERROR(__xludf.DUMMYFUNCTION("""COMPUTED_VALUE"""),"
")</f>
        <v>
</v>
      </c>
      <c r="Q112" s="17" t="str">
        <f>IFERROR(__xludf.DUMMYFUNCTION("""COMPUTED_VALUE"""),"
")</f>
        <v>
</v>
      </c>
      <c r="R112" s="17" t="str">
        <f>IFERROR(__xludf.DUMMYFUNCTION("""COMPUTED_VALUE"""),"
")</f>
        <v>
</v>
      </c>
      <c r="S112" s="17" t="str">
        <f>IFERROR(__xludf.DUMMYFUNCTION("""COMPUTED_VALUE"""),"
")</f>
        <v>
</v>
      </c>
      <c r="T112" s="17" t="str">
        <f>IFERROR(__xludf.DUMMYFUNCTION("""COMPUTED_VALUE"""),"
")</f>
        <v>
</v>
      </c>
      <c r="U112" s="17" t="str">
        <f>IFERROR(__xludf.DUMMYFUNCTION("""COMPUTED_VALUE"""),"
")</f>
        <v>
</v>
      </c>
      <c r="V112" s="17" t="str">
        <f>IFERROR(__xludf.DUMMYFUNCTION("""COMPUTED_VALUE"""),"
")</f>
        <v>
</v>
      </c>
      <c r="W112" s="17" t="str">
        <f>IFERROR(__xludf.DUMMYFUNCTION("""COMPUTED_VALUE"""),"
")</f>
        <v>
</v>
      </c>
      <c r="X112" s="17" t="str">
        <f>IFERROR(__xludf.DUMMYFUNCTION("""COMPUTED_VALUE"""),"
")</f>
        <v>
</v>
      </c>
      <c r="Y112" s="17" t="str">
        <f>IFERROR(__xludf.DUMMYFUNCTION("""COMPUTED_VALUE"""),"
")</f>
        <v>
</v>
      </c>
      <c r="Z112" s="17" t="str">
        <f>IFERROR(__xludf.DUMMYFUNCTION("""COMPUTED_VALUE"""),"
")</f>
        <v>
</v>
      </c>
      <c r="AA112" s="17" t="str">
        <f>IFERROR(__xludf.DUMMYFUNCTION("""COMPUTED_VALUE"""),"
")</f>
        <v>
</v>
      </c>
      <c r="AB112" s="17" t="str">
        <f>IFERROR(__xludf.DUMMYFUNCTION("""COMPUTED_VALUE"""),"
")</f>
        <v>
</v>
      </c>
      <c r="AC112" s="17" t="str">
        <f>IFERROR(__xludf.DUMMYFUNCTION("""COMPUTED_VALUE"""),"
")</f>
        <v>
</v>
      </c>
    </row>
    <row r="113">
      <c r="A113" s="17" t="str">
        <f>IFERROR(__xludf.DUMMYFUNCTION("""COMPUTED_VALUE"""),"Chapter 78: 59 Summit Openings Addendum Uppercrust
Demigod Atelier (Asura’s Wrath) 400:
You know the secret science of Mantra technology, and can build custom devices that are powered by prayer or emotion. Further, you can enhance or upgrade items from ot"&amp;"her jumps to use this same power source. If you take Cyborg Hindu Godbody, you may construct Demigod cybernetics for other people. After the jump concludes, you may also build Mantra Reactors. Demigod Atelier allows you to create any mantrapowered or inte"&amp;"grated device, up to and including the vast fleets of Shinkoku Tratstrium, the heavenly vessels of the divine armies, and even the antiGohma platform Brahmastra. The latter however would require millennia of effort, and was never completed even in the sco"&amp;"pe of the original setting.
System")</f>
        <v>Chapter 78: 59 Summit Openings Addendum Uppercrust
Demigod Atelier (Asura’s Wrath) 400:
You know the secret science of Mantra technology, and can build custom devices that are powered by prayer or emotion. Further, you can enhance or upgrade items from other jumps to use this same power source. If you take Cyborg Hindu Godbody, you may construct Demigod cybernetics for other people. After the jump concludes, you may also build Mantra Reactors. Demigod Atelier allows you to create any mantrapowered or integrated device, up to and including the vast fleets of Shinkoku Tratstrium, the heavenly vessels of the divine armies, and even the antiGohma platform Brahmastra. The latter however would require millennia of effort, and was never completed even in the scope of the original setting.
System</v>
      </c>
      <c r="B113" s="17" t="str">
        <f>IFERROR(__xludf.DUMMYFUNCTION("""COMPUTED_VALUE"""),"Chapter 78: 59 Summit Openings Addendum Uppercrust
Mantra Generation (Asura’s Wrath) Free:
A being with a soul (you do have a soul, right?) can generate Mantra by prayer or feeling emotion. This mantra can be utilized by devices powered by Mantra Technolo"&amp;"gy, or the Demigods of Shinkoku Trastrium.
System")</f>
        <v>Chapter 78: 59 Summit Openings Addendum Uppercrust
Mantra Generation (Asura’s Wrath) Free:
A being with a soul (you do have a soul, right?) can generate Mantra by prayer or feeling emotion. This mantra can be utilized by devices powered by Mantra Technology, or the Demigods of Shinkoku Trastrium.
System</v>
      </c>
      <c r="C113" s="17" t="str">
        <f>IFERROR(__xludf.DUMMYFUNCTION("""COMPUTED_VALUE"""),"Chapter 78: 59 Summit Openings Addendum Uppercrust
Imposing Declaration of Title (Asura’s Wrath) Free:
Whenever you do something dramatic or just something really badass, perception of you changes for a splitsecond. Observers see the title or highconcept "&amp;"description of your current state or action as awesome block characters superimposed on their vision. This applies to named attacks/combat maneuvers, legendary weapons, companions and so on.
Personal")</f>
        <v>Chapter 78: 59 Summit Openings Addendum Uppercrust
Imposing Declaration of Title (Asura’s Wrath) Free:
Whenever you do something dramatic or just something really badass, perception of you changes for a splitsecond. Observers see the title or highconcept description of your current state or action as awesome block characters superimposed on their vision. This applies to named attacks/combat maneuvers, legendary weapons, companions and so on.
Personal</v>
      </c>
      <c r="D113" s="17" t="str">
        <f>IFERROR(__xludf.DUMMYFUNCTION("""COMPUTED_VALUE"""),"
")</f>
        <v>
</v>
      </c>
      <c r="E113" s="17" t="str">
        <f>IFERROR(__xludf.DUMMYFUNCTION("""COMPUTED_VALUE"""),"
")</f>
        <v>
</v>
      </c>
      <c r="F113" s="17" t="str">
        <f>IFERROR(__xludf.DUMMYFUNCTION("""COMPUTED_VALUE"""),"
")</f>
        <v>
</v>
      </c>
      <c r="G113" s="17" t="str">
        <f>IFERROR(__xludf.DUMMYFUNCTION("""COMPUTED_VALUE"""),"
")</f>
        <v>
</v>
      </c>
      <c r="H113" s="17" t="str">
        <f>IFERROR(__xludf.DUMMYFUNCTION("""COMPUTED_VALUE"""),"
")</f>
        <v>
</v>
      </c>
      <c r="I113" s="17" t="str">
        <f>IFERROR(__xludf.DUMMYFUNCTION("""COMPUTED_VALUE"""),"
")</f>
        <v>
</v>
      </c>
      <c r="J113" s="17" t="str">
        <f>IFERROR(__xludf.DUMMYFUNCTION("""COMPUTED_VALUE"""),"
")</f>
        <v>
</v>
      </c>
      <c r="K113" s="17" t="str">
        <f>IFERROR(__xludf.DUMMYFUNCTION("""COMPUTED_VALUE"""),"
")</f>
        <v>
</v>
      </c>
      <c r="L113" s="17" t="str">
        <f>IFERROR(__xludf.DUMMYFUNCTION("""COMPUTED_VALUE"""),"
")</f>
        <v>
</v>
      </c>
      <c r="M113" s="17" t="str">
        <f>IFERROR(__xludf.DUMMYFUNCTION("""COMPUTED_VALUE"""),"
")</f>
        <v>
</v>
      </c>
      <c r="N113" s="17" t="str">
        <f>IFERROR(__xludf.DUMMYFUNCTION("""COMPUTED_VALUE"""),"
")</f>
        <v>
</v>
      </c>
      <c r="O113" s="17" t="str">
        <f>IFERROR(__xludf.DUMMYFUNCTION("""COMPUTED_VALUE"""),"
")</f>
        <v>
</v>
      </c>
      <c r="P113" s="17" t="str">
        <f>IFERROR(__xludf.DUMMYFUNCTION("""COMPUTED_VALUE"""),"
")</f>
        <v>
</v>
      </c>
      <c r="Q113" s="17" t="str">
        <f>IFERROR(__xludf.DUMMYFUNCTION("""COMPUTED_VALUE"""),"
")</f>
        <v>
</v>
      </c>
      <c r="R113" s="17" t="str">
        <f>IFERROR(__xludf.DUMMYFUNCTION("""COMPUTED_VALUE"""),"
")</f>
        <v>
</v>
      </c>
      <c r="S113" s="17" t="str">
        <f>IFERROR(__xludf.DUMMYFUNCTION("""COMPUTED_VALUE"""),"
")</f>
        <v>
</v>
      </c>
      <c r="T113" s="17" t="str">
        <f>IFERROR(__xludf.DUMMYFUNCTION("""COMPUTED_VALUE"""),"
")</f>
        <v>
</v>
      </c>
      <c r="U113" s="17" t="str">
        <f>IFERROR(__xludf.DUMMYFUNCTION("""COMPUTED_VALUE"""),"
")</f>
        <v>
</v>
      </c>
      <c r="V113" s="17" t="str">
        <f>IFERROR(__xludf.DUMMYFUNCTION("""COMPUTED_VALUE"""),"
")</f>
        <v>
</v>
      </c>
      <c r="W113" s="17" t="str">
        <f>IFERROR(__xludf.DUMMYFUNCTION("""COMPUTED_VALUE"""),"
")</f>
        <v>
</v>
      </c>
      <c r="X113" s="17" t="str">
        <f>IFERROR(__xludf.DUMMYFUNCTION("""COMPUTED_VALUE"""),"
")</f>
        <v>
</v>
      </c>
      <c r="Y113" s="17" t="str">
        <f>IFERROR(__xludf.DUMMYFUNCTION("""COMPUTED_VALUE"""),"
")</f>
        <v>
</v>
      </c>
      <c r="Z113" s="17" t="str">
        <f>IFERROR(__xludf.DUMMYFUNCTION("""COMPUTED_VALUE"""),"
")</f>
        <v>
</v>
      </c>
      <c r="AA113" s="17" t="str">
        <f>IFERROR(__xludf.DUMMYFUNCTION("""COMPUTED_VALUE"""),"
")</f>
        <v>
</v>
      </c>
      <c r="AB113" s="17" t="str">
        <f>IFERROR(__xludf.DUMMYFUNCTION("""COMPUTED_VALUE"""),"
")</f>
        <v>
</v>
      </c>
      <c r="AC113" s="17" t="str">
        <f>IFERROR(__xludf.DUMMYFUNCTION("""COMPUTED_VALUE"""),"
")</f>
        <v>
</v>
      </c>
    </row>
    <row r="114">
      <c r="A114" s="17" t="str">
        <f>IFERROR(__xludf.DUMMYFUNCTION("""COMPUTED_VALUE"""),"Chapter 36: 30 Crescendo - Addendum Missy
Build That Wall (Bastion) 100:
You know the basics of Caelondian technology. You understand how to harness the semimystical power of Cores and turn it into usable Mantic energy, to power basic machinery, shortrang"&amp;"e flying machines, computers, and a variety of other uses. More interestingly, you can use Core power to reinforce existing structures, running a Matic current through it to enhance whatever physical properties it possesses usually durability, though othe"&amp;"r uses are possible. This is what allowed structures like the Rippling Wall and the Bastion to survive the Calamity as well as they did. You also gain basic skill for mundane construction.
System")</f>
        <v>Chapter 36: 30 Crescendo - Addendum Missy
Build That Wall (Bastion) 100:
You know the basics of Caelondian technology. You understand how to harness the semimystical power of Cores and turn it into usable Mantic energy, to power basic machinery, shortrange flying machines, computers, and a variety of other uses. More interestingly, you can use Core power to reinforce existing structures, running a Matic current through it to enhance whatever physical properties it possesses usually durability, though other uses are possible. This is what allowed structures like the Rippling Wall and the Bastion to survive the Calamity as well as they did. You also gain basic skill for mundane construction.
System</v>
      </c>
      <c r="B114" s="17" t="str">
        <f>IFERROR(__xludf.DUMMYFUNCTION("""COMPUTED_VALUE"""),"Chapter 36: 30 Crescendo - Addendum Missy
Phonograph (Bastion) Free:
An old-fashioned hand-cranked phonograph. Very sturdy, gives much higher-quality sound than you’d expect. Has a single record with the full OST for the Bastion game, as well as several a"&amp;"dditional Caelondian and Ura folk songs.
Item")</f>
        <v>Chapter 36: 30 Crescendo - Addendum Missy
Phonograph (Bastion) Free:
An old-fashioned hand-cranked phonograph. Very sturdy, gives much higher-quality sound than you’d expect. Has a single record with the full OST for the Bastion game, as well as several additional Caelondian and Ura folk songs.
Item</v>
      </c>
      <c r="C114" s="17" t="str">
        <f>IFERROR(__xludf.DUMMYFUNCTION("""COMPUTED_VALUE"""),"
")</f>
        <v>
</v>
      </c>
      <c r="D114" s="17" t="str">
        <f>IFERROR(__xludf.DUMMYFUNCTION("""COMPUTED_VALUE"""),"
")</f>
        <v>
</v>
      </c>
      <c r="E114" s="17" t="str">
        <f>IFERROR(__xludf.DUMMYFUNCTION("""COMPUTED_VALUE"""),"
")</f>
        <v>
</v>
      </c>
      <c r="F114" s="17" t="str">
        <f>IFERROR(__xludf.DUMMYFUNCTION("""COMPUTED_VALUE"""),"
")</f>
        <v>
</v>
      </c>
      <c r="G114" s="17" t="str">
        <f>IFERROR(__xludf.DUMMYFUNCTION("""COMPUTED_VALUE"""),"
")</f>
        <v>
</v>
      </c>
      <c r="H114" s="17" t="str">
        <f>IFERROR(__xludf.DUMMYFUNCTION("""COMPUTED_VALUE"""),"
")</f>
        <v>
</v>
      </c>
      <c r="I114" s="17" t="str">
        <f>IFERROR(__xludf.DUMMYFUNCTION("""COMPUTED_VALUE"""),"
")</f>
        <v>
</v>
      </c>
      <c r="J114" s="17" t="str">
        <f>IFERROR(__xludf.DUMMYFUNCTION("""COMPUTED_VALUE"""),"
")</f>
        <v>
</v>
      </c>
      <c r="K114" s="17" t="str">
        <f>IFERROR(__xludf.DUMMYFUNCTION("""COMPUTED_VALUE"""),"
")</f>
        <v>
</v>
      </c>
      <c r="L114" s="17" t="str">
        <f>IFERROR(__xludf.DUMMYFUNCTION("""COMPUTED_VALUE"""),"
")</f>
        <v>
</v>
      </c>
      <c r="M114" s="17" t="str">
        <f>IFERROR(__xludf.DUMMYFUNCTION("""COMPUTED_VALUE"""),"
")</f>
        <v>
</v>
      </c>
      <c r="N114" s="17" t="str">
        <f>IFERROR(__xludf.DUMMYFUNCTION("""COMPUTED_VALUE"""),"
")</f>
        <v>
</v>
      </c>
      <c r="O114" s="17" t="str">
        <f>IFERROR(__xludf.DUMMYFUNCTION("""COMPUTED_VALUE"""),"
")</f>
        <v>
</v>
      </c>
      <c r="P114" s="17" t="str">
        <f>IFERROR(__xludf.DUMMYFUNCTION("""COMPUTED_VALUE"""),"
")</f>
        <v>
</v>
      </c>
      <c r="Q114" s="17" t="str">
        <f>IFERROR(__xludf.DUMMYFUNCTION("""COMPUTED_VALUE"""),"
")</f>
        <v>
</v>
      </c>
      <c r="R114" s="17" t="str">
        <f>IFERROR(__xludf.DUMMYFUNCTION("""COMPUTED_VALUE"""),"
")</f>
        <v>
</v>
      </c>
      <c r="S114" s="17" t="str">
        <f>IFERROR(__xludf.DUMMYFUNCTION("""COMPUTED_VALUE"""),"
")</f>
        <v>
</v>
      </c>
      <c r="T114" s="17" t="str">
        <f>IFERROR(__xludf.DUMMYFUNCTION("""COMPUTED_VALUE"""),"
")</f>
        <v>
</v>
      </c>
      <c r="U114" s="17" t="str">
        <f>IFERROR(__xludf.DUMMYFUNCTION("""COMPUTED_VALUE"""),"
")</f>
        <v>
</v>
      </c>
      <c r="V114" s="17" t="str">
        <f>IFERROR(__xludf.DUMMYFUNCTION("""COMPUTED_VALUE"""),"
")</f>
        <v>
</v>
      </c>
      <c r="W114" s="17" t="str">
        <f>IFERROR(__xludf.DUMMYFUNCTION("""COMPUTED_VALUE"""),"
")</f>
        <v>
</v>
      </c>
      <c r="X114" s="17" t="str">
        <f>IFERROR(__xludf.DUMMYFUNCTION("""COMPUTED_VALUE"""),"
")</f>
        <v>
</v>
      </c>
      <c r="Y114" s="17" t="str">
        <f>IFERROR(__xludf.DUMMYFUNCTION("""COMPUTED_VALUE"""),"
")</f>
        <v>
</v>
      </c>
      <c r="Z114" s="17" t="str">
        <f>IFERROR(__xludf.DUMMYFUNCTION("""COMPUTED_VALUE"""),"
")</f>
        <v>
</v>
      </c>
      <c r="AA114" s="17" t="str">
        <f>IFERROR(__xludf.DUMMYFUNCTION("""COMPUTED_VALUE"""),"
")</f>
        <v>
</v>
      </c>
      <c r="AB114" s="17" t="str">
        <f>IFERROR(__xludf.DUMMYFUNCTION("""COMPUTED_VALUE"""),"
")</f>
        <v>
</v>
      </c>
      <c r="AC114" s="17" t="str">
        <f>IFERROR(__xludf.DUMMYFUNCTION("""COMPUTED_VALUE"""),"
")</f>
        <v>
</v>
      </c>
    </row>
    <row r="115">
      <c r="A115" s="17" t="str">
        <f>IFERROR(__xludf.DUMMYFUNCTION("""COMPUTED_VALUE"""),"")</f>
        <v/>
      </c>
      <c r="B115" s="17" t="str">
        <f>IFERROR(__xludf.DUMMYFUNCTION("""COMPUTED_VALUE"""),"")</f>
        <v/>
      </c>
      <c r="C115" s="17" t="str">
        <f>IFERROR(__xludf.DUMMYFUNCTION("""COMPUTED_VALUE"""),"")</f>
        <v/>
      </c>
      <c r="D115" s="17" t="str">
        <f>IFERROR(__xludf.DUMMYFUNCTION("""COMPUTED_VALUE"""),"")</f>
        <v/>
      </c>
      <c r="E115" s="17" t="str">
        <f>IFERROR(__xludf.DUMMYFUNCTION("""COMPUTED_VALUE"""),"")</f>
        <v/>
      </c>
      <c r="F115" s="17" t="str">
        <f>IFERROR(__xludf.DUMMYFUNCTION("""COMPUTED_VALUE"""),"")</f>
        <v/>
      </c>
      <c r="G115" s="17" t="str">
        <f>IFERROR(__xludf.DUMMYFUNCTION("""COMPUTED_VALUE"""),"")</f>
        <v/>
      </c>
      <c r="H115" s="17" t="str">
        <f>IFERROR(__xludf.DUMMYFUNCTION("""COMPUTED_VALUE"""),"")</f>
        <v/>
      </c>
      <c r="I115" s="17" t="str">
        <f>IFERROR(__xludf.DUMMYFUNCTION("""COMPUTED_VALUE"""),"")</f>
        <v/>
      </c>
      <c r="J115" s="17" t="str">
        <f>IFERROR(__xludf.DUMMYFUNCTION("""COMPUTED_VALUE"""),"")</f>
        <v/>
      </c>
      <c r="K115" s="17" t="str">
        <f>IFERROR(__xludf.DUMMYFUNCTION("""COMPUTED_VALUE"""),"")</f>
        <v/>
      </c>
      <c r="L115" s="17" t="str">
        <f>IFERROR(__xludf.DUMMYFUNCTION("""COMPUTED_VALUE"""),"")</f>
        <v/>
      </c>
      <c r="M115" s="17" t="str">
        <f>IFERROR(__xludf.DUMMYFUNCTION("""COMPUTED_VALUE"""),"")</f>
        <v/>
      </c>
      <c r="N115" s="17" t="str">
        <f>IFERROR(__xludf.DUMMYFUNCTION("""COMPUTED_VALUE"""),"")</f>
        <v/>
      </c>
      <c r="O115" s="17" t="str">
        <f>IFERROR(__xludf.DUMMYFUNCTION("""COMPUTED_VALUE"""),"")</f>
        <v/>
      </c>
      <c r="P115" s="17" t="str">
        <f>IFERROR(__xludf.DUMMYFUNCTION("""COMPUTED_VALUE"""),"")</f>
        <v/>
      </c>
      <c r="Q115" s="17" t="str">
        <f>IFERROR(__xludf.DUMMYFUNCTION("""COMPUTED_VALUE"""),"")</f>
        <v/>
      </c>
      <c r="R115" s="17" t="str">
        <f>IFERROR(__xludf.DUMMYFUNCTION("""COMPUTED_VALUE"""),"")</f>
        <v/>
      </c>
      <c r="S115" s="17" t="str">
        <f>IFERROR(__xludf.DUMMYFUNCTION("""COMPUTED_VALUE"""),"")</f>
        <v/>
      </c>
      <c r="T115" s="17" t="str">
        <f>IFERROR(__xludf.DUMMYFUNCTION("""COMPUTED_VALUE"""),"")</f>
        <v/>
      </c>
      <c r="U115" s="17" t="str">
        <f>IFERROR(__xludf.DUMMYFUNCTION("""COMPUTED_VALUE"""),"")</f>
        <v/>
      </c>
      <c r="V115" s="17" t="str">
        <f>IFERROR(__xludf.DUMMYFUNCTION("""COMPUTED_VALUE"""),"")</f>
        <v/>
      </c>
      <c r="W115" s="17" t="str">
        <f>IFERROR(__xludf.DUMMYFUNCTION("""COMPUTED_VALUE"""),"")</f>
        <v/>
      </c>
      <c r="X115" s="17" t="str">
        <f>IFERROR(__xludf.DUMMYFUNCTION("""COMPUTED_VALUE"""),"")</f>
        <v/>
      </c>
      <c r="Y115" s="17" t="str">
        <f>IFERROR(__xludf.DUMMYFUNCTION("""COMPUTED_VALUE"""),"")</f>
        <v/>
      </c>
      <c r="Z115" s="17" t="str">
        <f>IFERROR(__xludf.DUMMYFUNCTION("""COMPUTED_VALUE"""),"")</f>
        <v/>
      </c>
      <c r="AA115" s="17" t="str">
        <f>IFERROR(__xludf.DUMMYFUNCTION("""COMPUTED_VALUE"""),"")</f>
        <v/>
      </c>
      <c r="AB115" s="17" t="str">
        <f>IFERROR(__xludf.DUMMYFUNCTION("""COMPUTED_VALUE"""),"")</f>
        <v/>
      </c>
      <c r="AC115" s="17" t="str">
        <f>IFERROR(__xludf.DUMMYFUNCTION("""COMPUTED_VALUE"""),"")</f>
        <v/>
      </c>
    </row>
    <row r="116">
      <c r="A116" s="17" t="str">
        <f>IFERROR(__xludf.DUMMYFUNCTION("""COMPUTED_VALUE"""),"Chapter 05: 4 Recovery
Grease Monkey (Bubblegum Crisis 2032) 300:
What can you fix or build? What CAN'T you fix or build? Nothing, that's what. From hyper-cars to Buma, computers to Hardsuits, with the right tools and enough time and experiments, you can "&amp;"build it all, weaponry included
System")</f>
        <v>Chapter 05: 4 Recovery
Grease Monkey (Bubblegum Crisis 2032) 300:
What can you fix or build? What CAN'T you fix or build? Nothing, that's what. From hyper-cars to Buma, computers to Hardsuits, with the right tools and enough time and experiments, you can build it all, weaponry included
System</v>
      </c>
      <c r="B116" s="17" t="str">
        <f>IFERROR(__xludf.DUMMYFUNCTION("""COMPUTED_VALUE"""),"
")</f>
        <v>
</v>
      </c>
      <c r="C116" s="17" t="str">
        <f>IFERROR(__xludf.DUMMYFUNCTION("""COMPUTED_VALUE"""),"
")</f>
        <v>
</v>
      </c>
      <c r="D116" s="17" t="str">
        <f>IFERROR(__xludf.DUMMYFUNCTION("""COMPUTED_VALUE"""),"
")</f>
        <v>
</v>
      </c>
      <c r="E116" s="17" t="str">
        <f>IFERROR(__xludf.DUMMYFUNCTION("""COMPUTED_VALUE"""),"
")</f>
        <v>
</v>
      </c>
      <c r="F116" s="17" t="str">
        <f>IFERROR(__xludf.DUMMYFUNCTION("""COMPUTED_VALUE"""),"
")</f>
        <v>
</v>
      </c>
      <c r="G116" s="17" t="str">
        <f>IFERROR(__xludf.DUMMYFUNCTION("""COMPUTED_VALUE"""),"
")</f>
        <v>
</v>
      </c>
      <c r="H116" s="17" t="str">
        <f>IFERROR(__xludf.DUMMYFUNCTION("""COMPUTED_VALUE"""),"
")</f>
        <v>
</v>
      </c>
      <c r="I116" s="17" t="str">
        <f>IFERROR(__xludf.DUMMYFUNCTION("""COMPUTED_VALUE"""),"
")</f>
        <v>
</v>
      </c>
      <c r="J116" s="17" t="str">
        <f>IFERROR(__xludf.DUMMYFUNCTION("""COMPUTED_VALUE"""),"
")</f>
        <v>
</v>
      </c>
      <c r="K116" s="17" t="str">
        <f>IFERROR(__xludf.DUMMYFUNCTION("""COMPUTED_VALUE"""),"
")</f>
        <v>
</v>
      </c>
      <c r="L116" s="17" t="str">
        <f>IFERROR(__xludf.DUMMYFUNCTION("""COMPUTED_VALUE"""),"
")</f>
        <v>
</v>
      </c>
      <c r="M116" s="17" t="str">
        <f>IFERROR(__xludf.DUMMYFUNCTION("""COMPUTED_VALUE"""),"
")</f>
        <v>
</v>
      </c>
      <c r="N116" s="17" t="str">
        <f>IFERROR(__xludf.DUMMYFUNCTION("""COMPUTED_VALUE"""),"
")</f>
        <v>
</v>
      </c>
      <c r="O116" s="17" t="str">
        <f>IFERROR(__xludf.DUMMYFUNCTION("""COMPUTED_VALUE"""),"
")</f>
        <v>
</v>
      </c>
      <c r="P116" s="17" t="str">
        <f>IFERROR(__xludf.DUMMYFUNCTION("""COMPUTED_VALUE"""),"
")</f>
        <v>
</v>
      </c>
      <c r="Q116" s="17" t="str">
        <f>IFERROR(__xludf.DUMMYFUNCTION("""COMPUTED_VALUE"""),"
")</f>
        <v>
</v>
      </c>
      <c r="R116" s="17" t="str">
        <f>IFERROR(__xludf.DUMMYFUNCTION("""COMPUTED_VALUE"""),"
")</f>
        <v>
</v>
      </c>
      <c r="S116" s="17" t="str">
        <f>IFERROR(__xludf.DUMMYFUNCTION("""COMPUTED_VALUE"""),"
")</f>
        <v>
</v>
      </c>
      <c r="T116" s="17" t="str">
        <f>IFERROR(__xludf.DUMMYFUNCTION("""COMPUTED_VALUE"""),"
")</f>
        <v>
</v>
      </c>
      <c r="U116" s="17" t="str">
        <f>IFERROR(__xludf.DUMMYFUNCTION("""COMPUTED_VALUE"""),"
")</f>
        <v>
</v>
      </c>
      <c r="V116" s="17" t="str">
        <f>IFERROR(__xludf.DUMMYFUNCTION("""COMPUTED_VALUE"""),"
")</f>
        <v>
</v>
      </c>
      <c r="W116" s="17" t="str">
        <f>IFERROR(__xludf.DUMMYFUNCTION("""COMPUTED_VALUE"""),"
")</f>
        <v>
</v>
      </c>
      <c r="X116" s="17" t="str">
        <f>IFERROR(__xludf.DUMMYFUNCTION("""COMPUTED_VALUE"""),"
")</f>
        <v>
</v>
      </c>
      <c r="Y116" s="17" t="str">
        <f>IFERROR(__xludf.DUMMYFUNCTION("""COMPUTED_VALUE"""),"
")</f>
        <v>
</v>
      </c>
      <c r="Z116" s="17" t="str">
        <f>IFERROR(__xludf.DUMMYFUNCTION("""COMPUTED_VALUE"""),"
")</f>
        <v>
</v>
      </c>
      <c r="AA116" s="17" t="str">
        <f>IFERROR(__xludf.DUMMYFUNCTION("""COMPUTED_VALUE"""),"
")</f>
        <v>
</v>
      </c>
      <c r="AB116" s="17" t="str">
        <f>IFERROR(__xludf.DUMMYFUNCTION("""COMPUTED_VALUE"""),"
")</f>
        <v>
</v>
      </c>
      <c r="AC116" s="17" t="str">
        <f>IFERROR(__xludf.DUMMYFUNCTION("""COMPUTED_VALUE"""),"
")</f>
        <v>
</v>
      </c>
    </row>
    <row r="117">
      <c r="A117" s="17" t="str">
        <f>IFERROR(__xludf.DUMMYFUNCTION("""COMPUTED_VALUE"""),"")</f>
        <v/>
      </c>
      <c r="B117" s="17" t="str">
        <f>IFERROR(__xludf.DUMMYFUNCTION("""COMPUTED_VALUE"""),"")</f>
        <v/>
      </c>
      <c r="C117" s="17" t="str">
        <f>IFERROR(__xludf.DUMMYFUNCTION("""COMPUTED_VALUE"""),"")</f>
        <v/>
      </c>
      <c r="D117" s="17" t="str">
        <f>IFERROR(__xludf.DUMMYFUNCTION("""COMPUTED_VALUE"""),"")</f>
        <v/>
      </c>
      <c r="E117" s="17" t="str">
        <f>IFERROR(__xludf.DUMMYFUNCTION("""COMPUTED_VALUE"""),"")</f>
        <v/>
      </c>
      <c r="F117" s="17" t="str">
        <f>IFERROR(__xludf.DUMMYFUNCTION("""COMPUTED_VALUE"""),"")</f>
        <v/>
      </c>
      <c r="G117" s="17" t="str">
        <f>IFERROR(__xludf.DUMMYFUNCTION("""COMPUTED_VALUE"""),"")</f>
        <v/>
      </c>
      <c r="H117" s="17" t="str">
        <f>IFERROR(__xludf.DUMMYFUNCTION("""COMPUTED_VALUE"""),"")</f>
        <v/>
      </c>
      <c r="I117" s="17" t="str">
        <f>IFERROR(__xludf.DUMMYFUNCTION("""COMPUTED_VALUE"""),"")</f>
        <v/>
      </c>
      <c r="J117" s="17" t="str">
        <f>IFERROR(__xludf.DUMMYFUNCTION("""COMPUTED_VALUE"""),"")</f>
        <v/>
      </c>
      <c r="K117" s="17" t="str">
        <f>IFERROR(__xludf.DUMMYFUNCTION("""COMPUTED_VALUE"""),"")</f>
        <v/>
      </c>
      <c r="L117" s="17" t="str">
        <f>IFERROR(__xludf.DUMMYFUNCTION("""COMPUTED_VALUE"""),"")</f>
        <v/>
      </c>
      <c r="M117" s="17" t="str">
        <f>IFERROR(__xludf.DUMMYFUNCTION("""COMPUTED_VALUE"""),"")</f>
        <v/>
      </c>
      <c r="N117" s="17" t="str">
        <f>IFERROR(__xludf.DUMMYFUNCTION("""COMPUTED_VALUE"""),"")</f>
        <v/>
      </c>
      <c r="O117" s="17" t="str">
        <f>IFERROR(__xludf.DUMMYFUNCTION("""COMPUTED_VALUE"""),"")</f>
        <v/>
      </c>
      <c r="P117" s="17" t="str">
        <f>IFERROR(__xludf.DUMMYFUNCTION("""COMPUTED_VALUE"""),"")</f>
        <v/>
      </c>
      <c r="Q117" s="17" t="str">
        <f>IFERROR(__xludf.DUMMYFUNCTION("""COMPUTED_VALUE"""),"")</f>
        <v/>
      </c>
      <c r="R117" s="17" t="str">
        <f>IFERROR(__xludf.DUMMYFUNCTION("""COMPUTED_VALUE"""),"")</f>
        <v/>
      </c>
      <c r="S117" s="17" t="str">
        <f>IFERROR(__xludf.DUMMYFUNCTION("""COMPUTED_VALUE"""),"")</f>
        <v/>
      </c>
      <c r="T117" s="17" t="str">
        <f>IFERROR(__xludf.DUMMYFUNCTION("""COMPUTED_VALUE"""),"")</f>
        <v/>
      </c>
      <c r="U117" s="17" t="str">
        <f>IFERROR(__xludf.DUMMYFUNCTION("""COMPUTED_VALUE"""),"")</f>
        <v/>
      </c>
      <c r="V117" s="17" t="str">
        <f>IFERROR(__xludf.DUMMYFUNCTION("""COMPUTED_VALUE"""),"")</f>
        <v/>
      </c>
      <c r="W117" s="17" t="str">
        <f>IFERROR(__xludf.DUMMYFUNCTION("""COMPUTED_VALUE"""),"")</f>
        <v/>
      </c>
      <c r="X117" s="17" t="str">
        <f>IFERROR(__xludf.DUMMYFUNCTION("""COMPUTED_VALUE"""),"")</f>
        <v/>
      </c>
      <c r="Y117" s="17" t="str">
        <f>IFERROR(__xludf.DUMMYFUNCTION("""COMPUTED_VALUE"""),"")</f>
        <v/>
      </c>
      <c r="Z117" s="17" t="str">
        <f>IFERROR(__xludf.DUMMYFUNCTION("""COMPUTED_VALUE"""),"")</f>
        <v/>
      </c>
      <c r="AA117" s="17" t="str">
        <f>IFERROR(__xludf.DUMMYFUNCTION("""COMPUTED_VALUE"""),"")</f>
        <v/>
      </c>
      <c r="AB117" s="17" t="str">
        <f>IFERROR(__xludf.DUMMYFUNCTION("""COMPUTED_VALUE"""),"")</f>
        <v/>
      </c>
      <c r="AC117" s="17" t="str">
        <f>IFERROR(__xludf.DUMMYFUNCTION("""COMPUTED_VALUE"""),"")</f>
        <v/>
      </c>
    </row>
    <row r="118">
      <c r="A118" s="17" t="str">
        <f>IFERROR(__xludf.DUMMYFUNCTION("""COMPUTED_VALUE"""),"Chapter 73: 57 Crunch Time
Feel It Out (F.E.A.R.) 600:
Your ability to understand machines and designs are more than just knowledge, and anyone who follows your work would know this well. You have a subtle psionic ability to 'understand' the machines and "&amp;"items that you physically touch, to the point where you can understand how it might work. More importantly, what you could do to also make it better. Naturally the more complex or esoteric the item is, the more drastically the time needed increases. But t"&amp;"he more information you collect the more ideas and methods you can formulate to begin working. All psychic powers can be improved via training.
Analysis")</f>
        <v>Chapter 73: 57 Crunch Time
Feel It Out (F.E.A.R.) 600:
Your ability to understand machines and designs are more than just knowledge, and anyone who follows your work would know this well. You have a subtle psionic ability to 'understand' the machines and items that you physically touch, to the point where you can understand how it might work. More importantly, what you could do to also make it better. Naturally the more complex or esoteric the item is, the more drastically the time needed increases. But the more information you collect the more ideas and methods you can formulate to begin working. All psychic powers can be improved via training.
Analysis</v>
      </c>
      <c r="B118" s="17" t="str">
        <f>IFERROR(__xludf.DUMMYFUNCTION("""COMPUTED_VALUE"""),"Chapter 73: 57 Crunch Time
Paxton Fettel(F.E.A.R.) Free:
There can be some pretty odd names people take up in places, and if you have an improper name it could lead to getting teased or ill-thought of. Not anymore! With this little bonus you could have an"&amp;"y strange-sounding name and people would treat you as seriously as they would anyone else. That's the key part, 'as serious as anyone else'.
Personal")</f>
        <v>Chapter 73: 57 Crunch Time
Paxton Fettel(F.E.A.R.) Free:
There can be some pretty odd names people take up in places, and if you have an improper name it could lead to getting teased or ill-thought of. Not anymore! With this little bonus you could have any strange-sounding name and people would treat you as seriously as they would anyone else. That's the key part, 'as serious as anyone else'.
Personal</v>
      </c>
      <c r="C118" s="17" t="str">
        <f>IFERROR(__xludf.DUMMYFUNCTION("""COMPUTED_VALUE"""),"
")</f>
        <v>
</v>
      </c>
      <c r="D118" s="17" t="str">
        <f>IFERROR(__xludf.DUMMYFUNCTION("""COMPUTED_VALUE"""),"
")</f>
        <v>
</v>
      </c>
      <c r="E118" s="17" t="str">
        <f>IFERROR(__xludf.DUMMYFUNCTION("""COMPUTED_VALUE"""),"
")</f>
        <v>
</v>
      </c>
      <c r="F118" s="17" t="str">
        <f>IFERROR(__xludf.DUMMYFUNCTION("""COMPUTED_VALUE"""),"
")</f>
        <v>
</v>
      </c>
      <c r="G118" s="17" t="str">
        <f>IFERROR(__xludf.DUMMYFUNCTION("""COMPUTED_VALUE"""),"
")</f>
        <v>
</v>
      </c>
      <c r="H118" s="17" t="str">
        <f>IFERROR(__xludf.DUMMYFUNCTION("""COMPUTED_VALUE"""),"
")</f>
        <v>
</v>
      </c>
      <c r="I118" s="17" t="str">
        <f>IFERROR(__xludf.DUMMYFUNCTION("""COMPUTED_VALUE"""),"
")</f>
        <v>
</v>
      </c>
      <c r="J118" s="17" t="str">
        <f>IFERROR(__xludf.DUMMYFUNCTION("""COMPUTED_VALUE"""),"
")</f>
        <v>
</v>
      </c>
      <c r="K118" s="17" t="str">
        <f>IFERROR(__xludf.DUMMYFUNCTION("""COMPUTED_VALUE"""),"
")</f>
        <v>
</v>
      </c>
      <c r="L118" s="17" t="str">
        <f>IFERROR(__xludf.DUMMYFUNCTION("""COMPUTED_VALUE"""),"
")</f>
        <v>
</v>
      </c>
      <c r="M118" s="17" t="str">
        <f>IFERROR(__xludf.DUMMYFUNCTION("""COMPUTED_VALUE"""),"
")</f>
        <v>
</v>
      </c>
      <c r="N118" s="17" t="str">
        <f>IFERROR(__xludf.DUMMYFUNCTION("""COMPUTED_VALUE"""),"
")</f>
        <v>
</v>
      </c>
      <c r="O118" s="17" t="str">
        <f>IFERROR(__xludf.DUMMYFUNCTION("""COMPUTED_VALUE"""),"
")</f>
        <v>
</v>
      </c>
      <c r="P118" s="17" t="str">
        <f>IFERROR(__xludf.DUMMYFUNCTION("""COMPUTED_VALUE"""),"
")</f>
        <v>
</v>
      </c>
      <c r="Q118" s="17" t="str">
        <f>IFERROR(__xludf.DUMMYFUNCTION("""COMPUTED_VALUE"""),"
")</f>
        <v>
</v>
      </c>
      <c r="R118" s="17" t="str">
        <f>IFERROR(__xludf.DUMMYFUNCTION("""COMPUTED_VALUE"""),"
")</f>
        <v>
</v>
      </c>
      <c r="S118" s="17" t="str">
        <f>IFERROR(__xludf.DUMMYFUNCTION("""COMPUTED_VALUE"""),"
")</f>
        <v>
</v>
      </c>
      <c r="T118" s="17" t="str">
        <f>IFERROR(__xludf.DUMMYFUNCTION("""COMPUTED_VALUE"""),"
")</f>
        <v>
</v>
      </c>
      <c r="U118" s="17" t="str">
        <f>IFERROR(__xludf.DUMMYFUNCTION("""COMPUTED_VALUE"""),"
")</f>
        <v>
</v>
      </c>
      <c r="V118" s="17" t="str">
        <f>IFERROR(__xludf.DUMMYFUNCTION("""COMPUTED_VALUE"""),"
")</f>
        <v>
</v>
      </c>
      <c r="W118" s="17" t="str">
        <f>IFERROR(__xludf.DUMMYFUNCTION("""COMPUTED_VALUE"""),"
")</f>
        <v>
</v>
      </c>
      <c r="X118" s="17" t="str">
        <f>IFERROR(__xludf.DUMMYFUNCTION("""COMPUTED_VALUE"""),"
")</f>
        <v>
</v>
      </c>
      <c r="Y118" s="17" t="str">
        <f>IFERROR(__xludf.DUMMYFUNCTION("""COMPUTED_VALUE"""),"
")</f>
        <v>
</v>
      </c>
      <c r="Z118" s="17" t="str">
        <f>IFERROR(__xludf.DUMMYFUNCTION("""COMPUTED_VALUE"""),"
")</f>
        <v>
</v>
      </c>
      <c r="AA118" s="17" t="str">
        <f>IFERROR(__xludf.DUMMYFUNCTION("""COMPUTED_VALUE"""),"
")</f>
        <v>
</v>
      </c>
      <c r="AB118" s="17" t="str">
        <f>IFERROR(__xludf.DUMMYFUNCTION("""COMPUTED_VALUE"""),"
")</f>
        <v>
</v>
      </c>
      <c r="AC118" s="17" t="str">
        <f>IFERROR(__xludf.DUMMYFUNCTION("""COMPUTED_VALUE"""),"
")</f>
        <v>
</v>
      </c>
    </row>
    <row r="119">
      <c r="A119" s="17" t="str">
        <f>IFERROR(__xludf.DUMMYFUNCTION("""COMPUTED_VALUE"""),"Chapter 162: 108.2 Interlude Armstrong
Certified Tech (Fallout) 600:
You are one of the brightest minds of the 23rd Century! You now understand Pre-War science, and can even reverse-engineer existing technology to learn how it works, and how to recreate i"&amp;"t. Plus, if you can learn the basics of truly alien science, this perk helps you master it the same way.
System")</f>
        <v>Chapter 162: 108.2 Interlude Armstrong
Certified Tech (Fallout) 600:
You are one of the brightest minds of the 23rd Century! You now understand Pre-War science, and can even reverse-engineer existing technology to learn how it works, and how to recreate it. Plus, if you can learn the basics of truly alien science, this perk helps you master it the same way.
System</v>
      </c>
      <c r="B119" s="17" t="str">
        <f>IFERROR(__xludf.DUMMYFUNCTION("""COMPUTED_VALUE"""),"Chapter 162: 108.2 Interlude Armstrong
Skill Tag (Fallout) Free:
Just three skills to Tag, and you’ll get an immediate boost to your competence in them. Not enough to be an expert, mind. Just enough to go from novice to decent, or decent to downright comp"&amp;"etent. You’ll also learn that skill faster too, so with enough practice, you really will get perfect. Most also come with tools of the trade, just to make your life easier.
Medicine: Putting people back together – includes first aid and surgery, as well a"&amp;"s treating diseases, radiation poisoning, and other conditions. Start with a first aid kit.
Repair: Practical use of science – building things, fixing them when they break. Start with a toolkit.
Science: Various high technical skills, including computers,"&amp;" biology, physics, and geology. Start with a nifty lab coat and gloves.
Personal")</f>
        <v>Chapter 162: 108.2 Interlude Armstrong
Skill Tag (Fallout) Free:
Just three skills to Tag, and you’ll get an immediate boost to your competence in them. Not enough to be an expert, mind. Just enough to go from novice to decent, or decent to downright competent. You’ll also learn that skill faster too, so with enough practice, you really will get perfect. Most also come with tools of the trade, just to make your life easier.
Medicine: Putting people back together – includes first aid and surgery, as well as treating diseases, radiation poisoning, and other conditions. Start with a first aid kit.
Repair: Practical use of science – building things, fixing them when they break. Start with a toolkit.
Science: Various high technical skills, including computers, biology, physics, and geology. Start with a nifty lab coat and gloves.
Personal</v>
      </c>
      <c r="C119" s="17" t="str">
        <f>IFERROR(__xludf.DUMMYFUNCTION("""COMPUTED_VALUE"""),"
")</f>
        <v>
</v>
      </c>
      <c r="D119" s="17" t="str">
        <f>IFERROR(__xludf.DUMMYFUNCTION("""COMPUTED_VALUE"""),"
")</f>
        <v>
</v>
      </c>
      <c r="E119" s="17" t="str">
        <f>IFERROR(__xludf.DUMMYFUNCTION("""COMPUTED_VALUE"""),"
")</f>
        <v>
</v>
      </c>
      <c r="F119" s="17" t="str">
        <f>IFERROR(__xludf.DUMMYFUNCTION("""COMPUTED_VALUE"""),"
")</f>
        <v>
</v>
      </c>
      <c r="G119" s="17" t="str">
        <f>IFERROR(__xludf.DUMMYFUNCTION("""COMPUTED_VALUE"""),"
")</f>
        <v>
</v>
      </c>
      <c r="H119" s="17" t="str">
        <f>IFERROR(__xludf.DUMMYFUNCTION("""COMPUTED_VALUE"""),"
")</f>
        <v>
</v>
      </c>
      <c r="I119" s="17" t="str">
        <f>IFERROR(__xludf.DUMMYFUNCTION("""COMPUTED_VALUE"""),"
")</f>
        <v>
</v>
      </c>
      <c r="J119" s="17" t="str">
        <f>IFERROR(__xludf.DUMMYFUNCTION("""COMPUTED_VALUE"""),"
")</f>
        <v>
</v>
      </c>
      <c r="K119" s="17" t="str">
        <f>IFERROR(__xludf.DUMMYFUNCTION("""COMPUTED_VALUE"""),"
")</f>
        <v>
</v>
      </c>
      <c r="L119" s="17" t="str">
        <f>IFERROR(__xludf.DUMMYFUNCTION("""COMPUTED_VALUE"""),"
")</f>
        <v>
</v>
      </c>
      <c r="M119" s="17" t="str">
        <f>IFERROR(__xludf.DUMMYFUNCTION("""COMPUTED_VALUE"""),"
")</f>
        <v>
</v>
      </c>
      <c r="N119" s="17" t="str">
        <f>IFERROR(__xludf.DUMMYFUNCTION("""COMPUTED_VALUE"""),"
")</f>
        <v>
</v>
      </c>
      <c r="O119" s="17" t="str">
        <f>IFERROR(__xludf.DUMMYFUNCTION("""COMPUTED_VALUE"""),"
")</f>
        <v>
</v>
      </c>
      <c r="P119" s="17" t="str">
        <f>IFERROR(__xludf.DUMMYFUNCTION("""COMPUTED_VALUE"""),"
")</f>
        <v>
</v>
      </c>
      <c r="Q119" s="17" t="str">
        <f>IFERROR(__xludf.DUMMYFUNCTION("""COMPUTED_VALUE"""),"
")</f>
        <v>
</v>
      </c>
      <c r="R119" s="17" t="str">
        <f>IFERROR(__xludf.DUMMYFUNCTION("""COMPUTED_VALUE"""),"
")</f>
        <v>
</v>
      </c>
      <c r="S119" s="17" t="str">
        <f>IFERROR(__xludf.DUMMYFUNCTION("""COMPUTED_VALUE"""),"
")</f>
        <v>
</v>
      </c>
      <c r="T119" s="17" t="str">
        <f>IFERROR(__xludf.DUMMYFUNCTION("""COMPUTED_VALUE"""),"
")</f>
        <v>
</v>
      </c>
      <c r="U119" s="17" t="str">
        <f>IFERROR(__xludf.DUMMYFUNCTION("""COMPUTED_VALUE"""),"
")</f>
        <v>
</v>
      </c>
      <c r="V119" s="17" t="str">
        <f>IFERROR(__xludf.DUMMYFUNCTION("""COMPUTED_VALUE"""),"
")</f>
        <v>
</v>
      </c>
      <c r="W119" s="17" t="str">
        <f>IFERROR(__xludf.DUMMYFUNCTION("""COMPUTED_VALUE"""),"
")</f>
        <v>
</v>
      </c>
      <c r="X119" s="17" t="str">
        <f>IFERROR(__xludf.DUMMYFUNCTION("""COMPUTED_VALUE"""),"
")</f>
        <v>
</v>
      </c>
      <c r="Y119" s="17" t="str">
        <f>IFERROR(__xludf.DUMMYFUNCTION("""COMPUTED_VALUE"""),"
")</f>
        <v>
</v>
      </c>
      <c r="Z119" s="17" t="str">
        <f>IFERROR(__xludf.DUMMYFUNCTION("""COMPUTED_VALUE"""),"
")</f>
        <v>
</v>
      </c>
      <c r="AA119" s="17" t="str">
        <f>IFERROR(__xludf.DUMMYFUNCTION("""COMPUTED_VALUE"""),"
")</f>
        <v>
</v>
      </c>
      <c r="AB119" s="17" t="str">
        <f>IFERROR(__xludf.DUMMYFUNCTION("""COMPUTED_VALUE"""),"
")</f>
        <v>
</v>
      </c>
      <c r="AC119" s="17" t="str">
        <f>IFERROR(__xludf.DUMMYFUNCTION("""COMPUTED_VALUE"""),"
")</f>
        <v>
</v>
      </c>
    </row>
    <row r="120">
      <c r="A120" s="17" t="str">
        <f>IFERROR(__xludf.DUMMYFUNCTION("""COMPUTED_VALUE"""),"")</f>
        <v/>
      </c>
      <c r="B120" s="17" t="str">
        <f>IFERROR(__xludf.DUMMYFUNCTION("""COMPUTED_VALUE"""),"")</f>
        <v/>
      </c>
      <c r="C120" s="17" t="str">
        <f>IFERROR(__xludf.DUMMYFUNCTION("""COMPUTED_VALUE"""),"")</f>
        <v/>
      </c>
      <c r="D120" s="17" t="str">
        <f>IFERROR(__xludf.DUMMYFUNCTION("""COMPUTED_VALUE"""),"")</f>
        <v/>
      </c>
      <c r="E120" s="17" t="str">
        <f>IFERROR(__xludf.DUMMYFUNCTION("""COMPUTED_VALUE"""),"")</f>
        <v/>
      </c>
      <c r="F120" s="17" t="str">
        <f>IFERROR(__xludf.DUMMYFUNCTION("""COMPUTED_VALUE"""),"")</f>
        <v/>
      </c>
      <c r="G120" s="17" t="str">
        <f>IFERROR(__xludf.DUMMYFUNCTION("""COMPUTED_VALUE"""),"")</f>
        <v/>
      </c>
      <c r="H120" s="17" t="str">
        <f>IFERROR(__xludf.DUMMYFUNCTION("""COMPUTED_VALUE"""),"")</f>
        <v/>
      </c>
      <c r="I120" s="17" t="str">
        <f>IFERROR(__xludf.DUMMYFUNCTION("""COMPUTED_VALUE"""),"")</f>
        <v/>
      </c>
      <c r="J120" s="17" t="str">
        <f>IFERROR(__xludf.DUMMYFUNCTION("""COMPUTED_VALUE"""),"")</f>
        <v/>
      </c>
      <c r="K120" s="17" t="str">
        <f>IFERROR(__xludf.DUMMYFUNCTION("""COMPUTED_VALUE"""),"")</f>
        <v/>
      </c>
      <c r="L120" s="17" t="str">
        <f>IFERROR(__xludf.DUMMYFUNCTION("""COMPUTED_VALUE"""),"")</f>
        <v/>
      </c>
      <c r="M120" s="17" t="str">
        <f>IFERROR(__xludf.DUMMYFUNCTION("""COMPUTED_VALUE"""),"")</f>
        <v/>
      </c>
      <c r="N120" s="17" t="str">
        <f>IFERROR(__xludf.DUMMYFUNCTION("""COMPUTED_VALUE"""),"")</f>
        <v/>
      </c>
      <c r="O120" s="17" t="str">
        <f>IFERROR(__xludf.DUMMYFUNCTION("""COMPUTED_VALUE"""),"")</f>
        <v/>
      </c>
      <c r="P120" s="17" t="str">
        <f>IFERROR(__xludf.DUMMYFUNCTION("""COMPUTED_VALUE"""),"")</f>
        <v/>
      </c>
      <c r="Q120" s="17" t="str">
        <f>IFERROR(__xludf.DUMMYFUNCTION("""COMPUTED_VALUE"""),"")</f>
        <v/>
      </c>
      <c r="R120" s="17" t="str">
        <f>IFERROR(__xludf.DUMMYFUNCTION("""COMPUTED_VALUE"""),"")</f>
        <v/>
      </c>
      <c r="S120" s="17" t="str">
        <f>IFERROR(__xludf.DUMMYFUNCTION("""COMPUTED_VALUE"""),"")</f>
        <v/>
      </c>
      <c r="T120" s="17" t="str">
        <f>IFERROR(__xludf.DUMMYFUNCTION("""COMPUTED_VALUE"""),"")</f>
        <v/>
      </c>
      <c r="U120" s="17" t="str">
        <f>IFERROR(__xludf.DUMMYFUNCTION("""COMPUTED_VALUE"""),"")</f>
        <v/>
      </c>
      <c r="V120" s="17" t="str">
        <f>IFERROR(__xludf.DUMMYFUNCTION("""COMPUTED_VALUE"""),"")</f>
        <v/>
      </c>
      <c r="W120" s="17" t="str">
        <f>IFERROR(__xludf.DUMMYFUNCTION("""COMPUTED_VALUE"""),"")</f>
        <v/>
      </c>
      <c r="X120" s="17" t="str">
        <f>IFERROR(__xludf.DUMMYFUNCTION("""COMPUTED_VALUE"""),"")</f>
        <v/>
      </c>
      <c r="Y120" s="17" t="str">
        <f>IFERROR(__xludf.DUMMYFUNCTION("""COMPUTED_VALUE"""),"")</f>
        <v/>
      </c>
      <c r="Z120" s="17" t="str">
        <f>IFERROR(__xludf.DUMMYFUNCTION("""COMPUTED_VALUE"""),"")</f>
        <v/>
      </c>
      <c r="AA120" s="17" t="str">
        <f>IFERROR(__xludf.DUMMYFUNCTION("""COMPUTED_VALUE"""),"")</f>
        <v/>
      </c>
      <c r="AB120" s="17" t="str">
        <f>IFERROR(__xludf.DUMMYFUNCTION("""COMPUTED_VALUE"""),"")</f>
        <v/>
      </c>
      <c r="AC120" s="17" t="str">
        <f>IFERROR(__xludf.DUMMYFUNCTION("""COMPUTED_VALUE"""),"")</f>
        <v/>
      </c>
    </row>
    <row r="121">
      <c r="A121" s="17" t="str">
        <f>IFERROR(__xludf.DUMMYFUNCTION("""COMPUTED_VALUE"""),"Chapter 30: 24 Tech Work - Addendum Alec
Machines, They Just Speak To Me (Firefly) 200:
You have no formal schooling, but can fine-tune and repair engines with nothing but shoe polish. You don’t know what the parts are SUPPOSED to do, but you know how to "&amp;"make them work the way you want. You can diagnose a faulty part in the power core just by listening to the AC cycle, and can fix pretty much anything with naught but a wrench and some duct tape. It may not be pretty, and it may not last long, but it’ll wo"&amp;"rk.
Analysis")</f>
        <v>Chapter 30: 24 Tech Work - Addendum Alec
Machines, They Just Speak To Me (Firefly) 200:
You have no formal schooling, but can fine-tune and repair engines with nothing but shoe polish. You don’t know what the parts are SUPPOSED to do, but you know how to make them work the way you want. You can diagnose a faulty part in the power core just by listening to the AC cycle, and can fix pretty much anything with naught but a wrench and some duct tape. It may not be pretty, and it may not last long, but it’ll work.
Analysis</v>
      </c>
      <c r="B121" s="17" t="str">
        <f>IFERROR(__xludf.DUMMYFUNCTION("""COMPUTED_VALUE"""),"
")</f>
        <v>
</v>
      </c>
      <c r="C121" s="17" t="str">
        <f>IFERROR(__xludf.DUMMYFUNCTION("""COMPUTED_VALUE"""),"
")</f>
        <v>
</v>
      </c>
      <c r="D121" s="17" t="str">
        <f>IFERROR(__xludf.DUMMYFUNCTION("""COMPUTED_VALUE"""),"
")</f>
        <v>
</v>
      </c>
      <c r="E121" s="17" t="str">
        <f>IFERROR(__xludf.DUMMYFUNCTION("""COMPUTED_VALUE"""),"
")</f>
        <v>
</v>
      </c>
      <c r="F121" s="17" t="str">
        <f>IFERROR(__xludf.DUMMYFUNCTION("""COMPUTED_VALUE"""),"
")</f>
        <v>
</v>
      </c>
      <c r="G121" s="17" t="str">
        <f>IFERROR(__xludf.DUMMYFUNCTION("""COMPUTED_VALUE"""),"
")</f>
        <v>
</v>
      </c>
      <c r="H121" s="17" t="str">
        <f>IFERROR(__xludf.DUMMYFUNCTION("""COMPUTED_VALUE"""),"
")</f>
        <v>
</v>
      </c>
      <c r="I121" s="17" t="str">
        <f>IFERROR(__xludf.DUMMYFUNCTION("""COMPUTED_VALUE"""),"
")</f>
        <v>
</v>
      </c>
      <c r="J121" s="17" t="str">
        <f>IFERROR(__xludf.DUMMYFUNCTION("""COMPUTED_VALUE"""),"
")</f>
        <v>
</v>
      </c>
      <c r="K121" s="17" t="str">
        <f>IFERROR(__xludf.DUMMYFUNCTION("""COMPUTED_VALUE"""),"
")</f>
        <v>
</v>
      </c>
      <c r="L121" s="17" t="str">
        <f>IFERROR(__xludf.DUMMYFUNCTION("""COMPUTED_VALUE"""),"
")</f>
        <v>
</v>
      </c>
      <c r="M121" s="17" t="str">
        <f>IFERROR(__xludf.DUMMYFUNCTION("""COMPUTED_VALUE"""),"
")</f>
        <v>
</v>
      </c>
      <c r="N121" s="17" t="str">
        <f>IFERROR(__xludf.DUMMYFUNCTION("""COMPUTED_VALUE"""),"
")</f>
        <v>
</v>
      </c>
      <c r="O121" s="17" t="str">
        <f>IFERROR(__xludf.DUMMYFUNCTION("""COMPUTED_VALUE"""),"
")</f>
        <v>
</v>
      </c>
      <c r="P121" s="17" t="str">
        <f>IFERROR(__xludf.DUMMYFUNCTION("""COMPUTED_VALUE"""),"
")</f>
        <v>
</v>
      </c>
      <c r="Q121" s="17" t="str">
        <f>IFERROR(__xludf.DUMMYFUNCTION("""COMPUTED_VALUE"""),"
")</f>
        <v>
</v>
      </c>
      <c r="R121" s="17" t="str">
        <f>IFERROR(__xludf.DUMMYFUNCTION("""COMPUTED_VALUE"""),"
")</f>
        <v>
</v>
      </c>
      <c r="S121" s="17" t="str">
        <f>IFERROR(__xludf.DUMMYFUNCTION("""COMPUTED_VALUE"""),"
")</f>
        <v>
</v>
      </c>
      <c r="T121" s="17" t="str">
        <f>IFERROR(__xludf.DUMMYFUNCTION("""COMPUTED_VALUE"""),"
")</f>
        <v>
</v>
      </c>
      <c r="U121" s="17" t="str">
        <f>IFERROR(__xludf.DUMMYFUNCTION("""COMPUTED_VALUE"""),"
")</f>
        <v>
</v>
      </c>
      <c r="V121" s="17" t="str">
        <f>IFERROR(__xludf.DUMMYFUNCTION("""COMPUTED_VALUE"""),"
")</f>
        <v>
</v>
      </c>
      <c r="W121" s="17" t="str">
        <f>IFERROR(__xludf.DUMMYFUNCTION("""COMPUTED_VALUE"""),"
")</f>
        <v>
</v>
      </c>
      <c r="X121" s="17" t="str">
        <f>IFERROR(__xludf.DUMMYFUNCTION("""COMPUTED_VALUE"""),"
")</f>
        <v>
</v>
      </c>
      <c r="Y121" s="17" t="str">
        <f>IFERROR(__xludf.DUMMYFUNCTION("""COMPUTED_VALUE"""),"
")</f>
        <v>
</v>
      </c>
      <c r="Z121" s="17" t="str">
        <f>IFERROR(__xludf.DUMMYFUNCTION("""COMPUTED_VALUE"""),"
")</f>
        <v>
</v>
      </c>
      <c r="AA121" s="17" t="str">
        <f>IFERROR(__xludf.DUMMYFUNCTION("""COMPUTED_VALUE"""),"
")</f>
        <v>
</v>
      </c>
      <c r="AB121" s="17" t="str">
        <f>IFERROR(__xludf.DUMMYFUNCTION("""COMPUTED_VALUE"""),"
")</f>
        <v>
</v>
      </c>
      <c r="AC121" s="17" t="str">
        <f>IFERROR(__xludf.DUMMYFUNCTION("""COMPUTED_VALUE"""),"
")</f>
        <v>
</v>
      </c>
    </row>
    <row r="122">
      <c r="A122" s="17" t="str">
        <f>IFERROR(__xludf.DUMMYFUNCTION("""COMPUTED_VALUE"""),"Chapter 113: 82 Bargaining - Addendum Uppercrust
Whispered (Full Metal Panic) 600:
Due to a Soviet experiment a while ago, you're one of the exceptionally rare people known as the Whispered. they have an incredibly advanced knowledge of math, science, eng"&amp;"ineering, etc though each Whispered only specializes in a single area. If they take the time to learn or supplement this with other technical skills, it's possible to potentially create Black Technology of their own. -The 'Whispered' trait alone is not en"&amp;"ough to create Black Technology, but additional tech perks will make this a very real possibility.
System")</f>
        <v>Chapter 113: 82 Bargaining - Addendum Uppercrust
Whispered (Full Metal Panic) 600:
Due to a Soviet experiment a while ago, you're one of the exceptionally rare people known as the Whispered. they have an incredibly advanced knowledge of math, science, engineering, etc though each Whispered only specializes in a single area. If they take the time to learn or supplement this with other technical skills, it's possible to potentially create Black Technology of their own. -The 'Whispered' trait alone is not enough to create Black Technology, but additional tech perks will make this a very real possibility.
System</v>
      </c>
      <c r="B122" s="17" t="str">
        <f>IFERROR(__xludf.DUMMYFUNCTION("""COMPUTED_VALUE"""),"Chapter 113: 82 Bargaining - Addendum Uppercrust
ARM SLAVE M6 Bushnell (Full Metal Panic) Free:
A bulky Arm Slave constructed by the United States. This is a Generation 2 mech that requires less rigorous piloting, but its loud noise makes it a problem wit"&amp;"h stealth. To make up for its slowness it has thicker armor.
Vehicle")</f>
        <v>Chapter 113: 82 Bargaining - Addendum Uppercrust
ARM SLAVE M6 Bushnell (Full Metal Panic) Free:
A bulky Arm Slave constructed by the United States. This is a Generation 2 mech that requires less rigorous piloting, but its loud noise makes it a problem with stealth. To make up for its slowness it has thicker armor.
Vehicle</v>
      </c>
      <c r="C122" s="17" t="str">
        <f>IFERROR(__xludf.DUMMYFUNCTION("""COMPUTED_VALUE"""),"
")</f>
        <v>
</v>
      </c>
      <c r="D122" s="17" t="str">
        <f>IFERROR(__xludf.DUMMYFUNCTION("""COMPUTED_VALUE"""),"
")</f>
        <v>
</v>
      </c>
      <c r="E122" s="17" t="str">
        <f>IFERROR(__xludf.DUMMYFUNCTION("""COMPUTED_VALUE"""),"
")</f>
        <v>
</v>
      </c>
      <c r="F122" s="17" t="str">
        <f>IFERROR(__xludf.DUMMYFUNCTION("""COMPUTED_VALUE"""),"
")</f>
        <v>
</v>
      </c>
      <c r="G122" s="17" t="str">
        <f>IFERROR(__xludf.DUMMYFUNCTION("""COMPUTED_VALUE"""),"
")</f>
        <v>
</v>
      </c>
      <c r="H122" s="17" t="str">
        <f>IFERROR(__xludf.DUMMYFUNCTION("""COMPUTED_VALUE"""),"
")</f>
        <v>
</v>
      </c>
      <c r="I122" s="17" t="str">
        <f>IFERROR(__xludf.DUMMYFUNCTION("""COMPUTED_VALUE"""),"
")</f>
        <v>
</v>
      </c>
      <c r="J122" s="17" t="str">
        <f>IFERROR(__xludf.DUMMYFUNCTION("""COMPUTED_VALUE"""),"
")</f>
        <v>
</v>
      </c>
      <c r="K122" s="17" t="str">
        <f>IFERROR(__xludf.DUMMYFUNCTION("""COMPUTED_VALUE"""),"
")</f>
        <v>
</v>
      </c>
      <c r="L122" s="17" t="str">
        <f>IFERROR(__xludf.DUMMYFUNCTION("""COMPUTED_VALUE"""),"
")</f>
        <v>
</v>
      </c>
      <c r="M122" s="17" t="str">
        <f>IFERROR(__xludf.DUMMYFUNCTION("""COMPUTED_VALUE"""),"
")</f>
        <v>
</v>
      </c>
      <c r="N122" s="17" t="str">
        <f>IFERROR(__xludf.DUMMYFUNCTION("""COMPUTED_VALUE"""),"
")</f>
        <v>
</v>
      </c>
      <c r="O122" s="17" t="str">
        <f>IFERROR(__xludf.DUMMYFUNCTION("""COMPUTED_VALUE"""),"
")</f>
        <v>
</v>
      </c>
      <c r="P122" s="17" t="str">
        <f>IFERROR(__xludf.DUMMYFUNCTION("""COMPUTED_VALUE"""),"
")</f>
        <v>
</v>
      </c>
      <c r="Q122" s="17" t="str">
        <f>IFERROR(__xludf.DUMMYFUNCTION("""COMPUTED_VALUE"""),"
")</f>
        <v>
</v>
      </c>
      <c r="R122" s="17" t="str">
        <f>IFERROR(__xludf.DUMMYFUNCTION("""COMPUTED_VALUE"""),"
")</f>
        <v>
</v>
      </c>
      <c r="S122" s="17" t="str">
        <f>IFERROR(__xludf.DUMMYFUNCTION("""COMPUTED_VALUE"""),"
")</f>
        <v>
</v>
      </c>
      <c r="T122" s="17" t="str">
        <f>IFERROR(__xludf.DUMMYFUNCTION("""COMPUTED_VALUE"""),"
")</f>
        <v>
</v>
      </c>
      <c r="U122" s="17" t="str">
        <f>IFERROR(__xludf.DUMMYFUNCTION("""COMPUTED_VALUE"""),"
")</f>
        <v>
</v>
      </c>
      <c r="V122" s="17" t="str">
        <f>IFERROR(__xludf.DUMMYFUNCTION("""COMPUTED_VALUE"""),"
")</f>
        <v>
</v>
      </c>
      <c r="W122" s="17" t="str">
        <f>IFERROR(__xludf.DUMMYFUNCTION("""COMPUTED_VALUE"""),"
")</f>
        <v>
</v>
      </c>
      <c r="X122" s="17" t="str">
        <f>IFERROR(__xludf.DUMMYFUNCTION("""COMPUTED_VALUE"""),"
")</f>
        <v>
</v>
      </c>
      <c r="Y122" s="17" t="str">
        <f>IFERROR(__xludf.DUMMYFUNCTION("""COMPUTED_VALUE"""),"
")</f>
        <v>
</v>
      </c>
      <c r="Z122" s="17" t="str">
        <f>IFERROR(__xludf.DUMMYFUNCTION("""COMPUTED_VALUE"""),"
")</f>
        <v>
</v>
      </c>
      <c r="AA122" s="17" t="str">
        <f>IFERROR(__xludf.DUMMYFUNCTION("""COMPUTED_VALUE"""),"
")</f>
        <v>
</v>
      </c>
      <c r="AB122" s="17" t="str">
        <f>IFERROR(__xludf.DUMMYFUNCTION("""COMPUTED_VALUE"""),"
")</f>
        <v>
</v>
      </c>
      <c r="AC122" s="17" t="str">
        <f>IFERROR(__xludf.DUMMYFUNCTION("""COMPUTED_VALUE"""),"
")</f>
        <v>
</v>
      </c>
    </row>
    <row r="123">
      <c r="A123" s="17" t="str">
        <f>IFERROR(__xludf.DUMMYFUNCTION("""COMPUTED_VALUE"""),"")</f>
        <v/>
      </c>
      <c r="B123" s="17" t="str">
        <f>IFERROR(__xludf.DUMMYFUNCTION("""COMPUTED_VALUE"""),"")</f>
        <v/>
      </c>
      <c r="C123" s="17" t="str">
        <f>IFERROR(__xludf.DUMMYFUNCTION("""COMPUTED_VALUE"""),"")</f>
        <v/>
      </c>
      <c r="D123" s="17" t="str">
        <f>IFERROR(__xludf.DUMMYFUNCTION("""COMPUTED_VALUE"""),"")</f>
        <v/>
      </c>
      <c r="E123" s="17" t="str">
        <f>IFERROR(__xludf.DUMMYFUNCTION("""COMPUTED_VALUE"""),"")</f>
        <v/>
      </c>
      <c r="F123" s="17" t="str">
        <f>IFERROR(__xludf.DUMMYFUNCTION("""COMPUTED_VALUE"""),"")</f>
        <v/>
      </c>
      <c r="G123" s="17" t="str">
        <f>IFERROR(__xludf.DUMMYFUNCTION("""COMPUTED_VALUE"""),"")</f>
        <v/>
      </c>
      <c r="H123" s="17" t="str">
        <f>IFERROR(__xludf.DUMMYFUNCTION("""COMPUTED_VALUE"""),"")</f>
        <v/>
      </c>
      <c r="I123" s="17" t="str">
        <f>IFERROR(__xludf.DUMMYFUNCTION("""COMPUTED_VALUE"""),"")</f>
        <v/>
      </c>
      <c r="J123" s="17" t="str">
        <f>IFERROR(__xludf.DUMMYFUNCTION("""COMPUTED_VALUE"""),"")</f>
        <v/>
      </c>
      <c r="K123" s="17" t="str">
        <f>IFERROR(__xludf.DUMMYFUNCTION("""COMPUTED_VALUE"""),"")</f>
        <v/>
      </c>
      <c r="L123" s="17" t="str">
        <f>IFERROR(__xludf.DUMMYFUNCTION("""COMPUTED_VALUE"""),"")</f>
        <v/>
      </c>
      <c r="M123" s="17" t="str">
        <f>IFERROR(__xludf.DUMMYFUNCTION("""COMPUTED_VALUE"""),"")</f>
        <v/>
      </c>
      <c r="N123" s="17" t="str">
        <f>IFERROR(__xludf.DUMMYFUNCTION("""COMPUTED_VALUE"""),"")</f>
        <v/>
      </c>
      <c r="O123" s="17" t="str">
        <f>IFERROR(__xludf.DUMMYFUNCTION("""COMPUTED_VALUE"""),"")</f>
        <v/>
      </c>
      <c r="P123" s="17" t="str">
        <f>IFERROR(__xludf.DUMMYFUNCTION("""COMPUTED_VALUE"""),"")</f>
        <v/>
      </c>
      <c r="Q123" s="17" t="str">
        <f>IFERROR(__xludf.DUMMYFUNCTION("""COMPUTED_VALUE"""),"")</f>
        <v/>
      </c>
      <c r="R123" s="17" t="str">
        <f>IFERROR(__xludf.DUMMYFUNCTION("""COMPUTED_VALUE"""),"")</f>
        <v/>
      </c>
      <c r="S123" s="17" t="str">
        <f>IFERROR(__xludf.DUMMYFUNCTION("""COMPUTED_VALUE"""),"")</f>
        <v/>
      </c>
      <c r="T123" s="17" t="str">
        <f>IFERROR(__xludf.DUMMYFUNCTION("""COMPUTED_VALUE"""),"")</f>
        <v/>
      </c>
      <c r="U123" s="17" t="str">
        <f>IFERROR(__xludf.DUMMYFUNCTION("""COMPUTED_VALUE"""),"")</f>
        <v/>
      </c>
      <c r="V123" s="17" t="str">
        <f>IFERROR(__xludf.DUMMYFUNCTION("""COMPUTED_VALUE"""),"")</f>
        <v/>
      </c>
      <c r="W123" s="17" t="str">
        <f>IFERROR(__xludf.DUMMYFUNCTION("""COMPUTED_VALUE"""),"")</f>
        <v/>
      </c>
      <c r="X123" s="17" t="str">
        <f>IFERROR(__xludf.DUMMYFUNCTION("""COMPUTED_VALUE"""),"")</f>
        <v/>
      </c>
      <c r="Y123" s="17" t="str">
        <f>IFERROR(__xludf.DUMMYFUNCTION("""COMPUTED_VALUE"""),"")</f>
        <v/>
      </c>
      <c r="Z123" s="17" t="str">
        <f>IFERROR(__xludf.DUMMYFUNCTION("""COMPUTED_VALUE"""),"")</f>
        <v/>
      </c>
      <c r="AA123" s="17" t="str">
        <f>IFERROR(__xludf.DUMMYFUNCTION("""COMPUTED_VALUE"""),"")</f>
        <v/>
      </c>
      <c r="AB123" s="17" t="str">
        <f>IFERROR(__xludf.DUMMYFUNCTION("""COMPUTED_VALUE"""),"")</f>
        <v/>
      </c>
      <c r="AC123" s="17" t="str">
        <f>IFERROR(__xludf.DUMMYFUNCTION("""COMPUTED_VALUE"""),"")</f>
        <v/>
      </c>
    </row>
    <row r="124">
      <c r="A124" s="17" t="str">
        <f>IFERROR(__xludf.DUMMYFUNCTION("""COMPUTED_VALUE"""),"Chapter 33: 27 Intrusion - Addendum Hannah
Xenospecialist (Gears of War) 200:
The problem with fighting and violence is that it's no place for an egghead, and as a result valuable information could be lost to a wayward grenade before study. You've taken i"&amp;"t upon yourself to bring that knowledge back, and as such you have an easier time understanding alien language and technology. It won't give you instant knowledge, but as you study further you will find it becomes easier to comprehend.
Analysis")</f>
        <v>Chapter 33: 27 Intrusion - Addendum Hannah
Xenospecialist (Gears of War) 200:
The problem with fighting and violence is that it's no place for an egghead, and as a result valuable information could be lost to a wayward grenade before study. You've taken it upon yourself to bring that knowledge back, and as such you have an easier time understanding alien language and technology. It won't give you instant knowledge, but as you study further you will find it becomes easier to comprehend.
Analysis</v>
      </c>
      <c r="B124" s="17" t="str">
        <f>IFERROR(__xludf.DUMMYFUNCTION("""COMPUTED_VALUE"""),"Chapter 33: 27 Intrusion - Addendum Hannah
COG Armor (Gears of War) Free:
Standard issue armor that's made of multiple metal plates. On the back of the suit is a magnetic 'holster', that resembles a general infantry backpack, allowing people to carry two "&amp;"weapons on their backs. The armor provides medium protection against damage (multiple assault rifle shots only bruise the wearer), but will not withstand concentrated or sustained gunfire. Helmet optional.
Item")</f>
        <v>Chapter 33: 27 Intrusion - Addendum Hannah
COG Armor (Gears of War) Free:
Standard issue armor that's made of multiple metal plates. On the back of the suit is a magnetic 'holster', that resembles a general infantry backpack, allowing people to carry two weapons on their backs. The armor provides medium protection against damage (multiple assault rifle shots only bruise the wearer), but will not withstand concentrated or sustained gunfire. Helmet optional.
Item</v>
      </c>
      <c r="C124" s="17" t="str">
        <f>IFERROR(__xludf.DUMMYFUNCTION("""COMPUTED_VALUE"""),"Chapter 33: 27 Intrusion - Addendum Hannah
Combat Boots (Gears of War) Free:
They're thick, they're heavy, and they'll serve you well. Along with giving excellent comfort and protection from the myriad of terrains you'll find here, they're also very handy"&amp;" for stomping the heads of enemies like watermelons at a comedian show.
Item")</f>
        <v>Chapter 33: 27 Intrusion - Addendum Hannah
Combat Boots (Gears of War) Free:
They're thick, they're heavy, and they'll serve you well. Along with giving excellent comfort and protection from the myriad of terrains you'll find here, they're also very handy for stomping the heads of enemies like watermelons at a comedian show.
Item</v>
      </c>
      <c r="D124" s="17" t="str">
        <f>IFERROR(__xludf.DUMMYFUNCTION("""COMPUTED_VALUE"""),"Chapter 33: 27 Intrusion - Addendum Hannah
MX8 Snub Pistol (Gears of War) Free:
The standard sidearm for all COG soldiers, this weapon makes up for its low damage and small 12-round magazine through a high rate of fire and its impressive accuracy. Expect "&amp;"to find ammo for it everywhere. Weapon purchases will grant a small stockpile of them inside your warehouse to equip your allies with.
Item")</f>
        <v>Chapter 33: 27 Intrusion - Addendum Hannah
MX8 Snub Pistol (Gears of War) Free:
The standard sidearm for all COG soldiers, this weapon makes up for its low damage and small 12-round magazine through a high rate of fire and its impressive accuracy. Expect to find ammo for it everywhere. Weapon purchases will grant a small stockpile of them inside your warehouse to equip your allies with.
Item</v>
      </c>
      <c r="E124" s="17" t="str">
        <f>IFERROR(__xludf.DUMMYFUNCTION("""COMPUTED_VALUE"""),"Chapter 33: 27 Intrusion - Addendum Hannah
COG Tags (Gears of War) Free:
A form of identification that takes the form of a necklace with small gear-shaped tags. They will have whatever identification you desire upon them.
Item")</f>
        <v>Chapter 33: 27 Intrusion - Addendum Hannah
COG Tags (Gears of War) Free:
A form of identification that takes the form of a necklace with small gear-shaped tags. They will have whatever identification you desire upon them.
Item</v>
      </c>
      <c r="F124" s="17" t="str">
        <f>IFERROR(__xludf.DUMMYFUNCTION("""COMPUTED_VALUE"""),"Chapter 33: 27 Intrusion - Addendum Hannah
Personal Digital Assistant (Gears of War) Free:
There is still a reliance on technology, even if the war with the Locust make things... problematic. With this, you'll have an easier time with Command and keeping "&amp;"track of your data.
Item")</f>
        <v>Chapter 33: 27 Intrusion - Addendum Hannah
Personal Digital Assistant (Gears of War) Free:
There is still a reliance on technology, even if the war with the Locust make things... problematic. With this, you'll have an easier time with Command and keeping track of your data.
Item</v>
      </c>
      <c r="G124" s="17" t="str">
        <f>IFERROR(__xludf.DUMMYFUNCTION("""COMPUTED_VALUE"""),"Chapter 33: 27 Intrusion - Addendum Hannah
Weapon Reload System (Gears of War) Free:
You will also gain a weapon reload system inside the warehouse for the unique weapons you may have purchased from this jump.
Facility")</f>
        <v>Chapter 33: 27 Intrusion - Addendum Hannah
Weapon Reload System (Gears of War) Free:
You will also gain a weapon reload system inside the warehouse for the unique weapons you may have purchased from this jump.
Facility</v>
      </c>
      <c r="H124" s="17" t="str">
        <f>IFERROR(__xludf.DUMMYFUNCTION("""COMPUTED_VALUE"""),"Chapter 33: 27 Intrusion - Addendum Hannah
Imulsion (Gears of War) Free:
Upon completion of this jump, you gain a small pump in your Warehouse that can supply you with fifty gallons worth of Imulsion per month. Do be careful when handling this, especially"&amp;" around other biological organisms.
Facility")</f>
        <v>Chapter 33: 27 Intrusion - Addendum Hannah
Imulsion (Gears of War) Free:
Upon completion of this jump, you gain a small pump in your Warehouse that can supply you with fifty gallons worth of Imulsion per month. Do be careful when handling this, especially around other biological organisms.
Facility</v>
      </c>
      <c r="I124" s="17" t="str">
        <f>IFERROR(__xludf.DUMMYFUNCTION("""COMPUTED_VALUE"""),"
")</f>
        <v>
</v>
      </c>
      <c r="J124" s="17" t="str">
        <f>IFERROR(__xludf.DUMMYFUNCTION("""COMPUTED_VALUE"""),"
")</f>
        <v>
</v>
      </c>
      <c r="K124" s="17" t="str">
        <f>IFERROR(__xludf.DUMMYFUNCTION("""COMPUTED_VALUE"""),"
")</f>
        <v>
</v>
      </c>
      <c r="L124" s="17" t="str">
        <f>IFERROR(__xludf.DUMMYFUNCTION("""COMPUTED_VALUE"""),"
")</f>
        <v>
</v>
      </c>
      <c r="M124" s="17" t="str">
        <f>IFERROR(__xludf.DUMMYFUNCTION("""COMPUTED_VALUE"""),"
")</f>
        <v>
</v>
      </c>
      <c r="N124" s="17" t="str">
        <f>IFERROR(__xludf.DUMMYFUNCTION("""COMPUTED_VALUE"""),"
")</f>
        <v>
</v>
      </c>
      <c r="O124" s="17" t="str">
        <f>IFERROR(__xludf.DUMMYFUNCTION("""COMPUTED_VALUE"""),"
")</f>
        <v>
</v>
      </c>
      <c r="P124" s="17" t="str">
        <f>IFERROR(__xludf.DUMMYFUNCTION("""COMPUTED_VALUE"""),"
")</f>
        <v>
</v>
      </c>
      <c r="Q124" s="17" t="str">
        <f>IFERROR(__xludf.DUMMYFUNCTION("""COMPUTED_VALUE"""),"
")</f>
        <v>
</v>
      </c>
      <c r="R124" s="17" t="str">
        <f>IFERROR(__xludf.DUMMYFUNCTION("""COMPUTED_VALUE"""),"
")</f>
        <v>
</v>
      </c>
      <c r="S124" s="17" t="str">
        <f>IFERROR(__xludf.DUMMYFUNCTION("""COMPUTED_VALUE"""),"
")</f>
        <v>
</v>
      </c>
      <c r="T124" s="17" t="str">
        <f>IFERROR(__xludf.DUMMYFUNCTION("""COMPUTED_VALUE"""),"
")</f>
        <v>
</v>
      </c>
      <c r="U124" s="17" t="str">
        <f>IFERROR(__xludf.DUMMYFUNCTION("""COMPUTED_VALUE"""),"
")</f>
        <v>
</v>
      </c>
      <c r="V124" s="17" t="str">
        <f>IFERROR(__xludf.DUMMYFUNCTION("""COMPUTED_VALUE"""),"
")</f>
        <v>
</v>
      </c>
      <c r="W124" s="17" t="str">
        <f>IFERROR(__xludf.DUMMYFUNCTION("""COMPUTED_VALUE"""),"
")</f>
        <v>
</v>
      </c>
      <c r="X124" s="17" t="str">
        <f>IFERROR(__xludf.DUMMYFUNCTION("""COMPUTED_VALUE"""),"
")</f>
        <v>
</v>
      </c>
      <c r="Y124" s="17" t="str">
        <f>IFERROR(__xludf.DUMMYFUNCTION("""COMPUTED_VALUE"""),"
")</f>
        <v>
</v>
      </c>
      <c r="Z124" s="17" t="str">
        <f>IFERROR(__xludf.DUMMYFUNCTION("""COMPUTED_VALUE"""),"
")</f>
        <v>
</v>
      </c>
      <c r="AA124" s="17" t="str">
        <f>IFERROR(__xludf.DUMMYFUNCTION("""COMPUTED_VALUE"""),"
")</f>
        <v>
</v>
      </c>
      <c r="AB124" s="17" t="str">
        <f>IFERROR(__xludf.DUMMYFUNCTION("""COMPUTED_VALUE"""),"
")</f>
        <v>
</v>
      </c>
      <c r="AC124" s="17" t="str">
        <f>IFERROR(__xludf.DUMMYFUNCTION("""COMPUTED_VALUE"""),"
")</f>
        <v>
</v>
      </c>
    </row>
    <row r="125">
      <c r="A125" s="17" t="str">
        <f>IFERROR(__xludf.DUMMYFUNCTION("""COMPUTED_VALUE"""),"")</f>
        <v/>
      </c>
      <c r="B125" s="17" t="str">
        <f>IFERROR(__xludf.DUMMYFUNCTION("""COMPUTED_VALUE"""),"")</f>
        <v/>
      </c>
      <c r="C125" s="17" t="str">
        <f>IFERROR(__xludf.DUMMYFUNCTION("""COMPUTED_VALUE"""),"")</f>
        <v/>
      </c>
      <c r="D125" s="17" t="str">
        <f>IFERROR(__xludf.DUMMYFUNCTION("""COMPUTED_VALUE"""),"")</f>
        <v/>
      </c>
      <c r="E125" s="17" t="str">
        <f>IFERROR(__xludf.DUMMYFUNCTION("""COMPUTED_VALUE"""),"")</f>
        <v/>
      </c>
      <c r="F125" s="17" t="str">
        <f>IFERROR(__xludf.DUMMYFUNCTION("""COMPUTED_VALUE"""),"")</f>
        <v/>
      </c>
      <c r="G125" s="17" t="str">
        <f>IFERROR(__xludf.DUMMYFUNCTION("""COMPUTED_VALUE"""),"")</f>
        <v/>
      </c>
      <c r="H125" s="17" t="str">
        <f>IFERROR(__xludf.DUMMYFUNCTION("""COMPUTED_VALUE"""),"")</f>
        <v/>
      </c>
      <c r="I125" s="17" t="str">
        <f>IFERROR(__xludf.DUMMYFUNCTION("""COMPUTED_VALUE"""),"")</f>
        <v/>
      </c>
      <c r="J125" s="17" t="str">
        <f>IFERROR(__xludf.DUMMYFUNCTION("""COMPUTED_VALUE"""),"")</f>
        <v/>
      </c>
      <c r="K125" s="17" t="str">
        <f>IFERROR(__xludf.DUMMYFUNCTION("""COMPUTED_VALUE"""),"")</f>
        <v/>
      </c>
      <c r="L125" s="17" t="str">
        <f>IFERROR(__xludf.DUMMYFUNCTION("""COMPUTED_VALUE"""),"")</f>
        <v/>
      </c>
      <c r="M125" s="17" t="str">
        <f>IFERROR(__xludf.DUMMYFUNCTION("""COMPUTED_VALUE"""),"")</f>
        <v/>
      </c>
      <c r="N125" s="17" t="str">
        <f>IFERROR(__xludf.DUMMYFUNCTION("""COMPUTED_VALUE"""),"")</f>
        <v/>
      </c>
      <c r="O125" s="17" t="str">
        <f>IFERROR(__xludf.DUMMYFUNCTION("""COMPUTED_VALUE"""),"")</f>
        <v/>
      </c>
      <c r="P125" s="17" t="str">
        <f>IFERROR(__xludf.DUMMYFUNCTION("""COMPUTED_VALUE"""),"")</f>
        <v/>
      </c>
      <c r="Q125" s="17" t="str">
        <f>IFERROR(__xludf.DUMMYFUNCTION("""COMPUTED_VALUE"""),"")</f>
        <v/>
      </c>
      <c r="R125" s="17" t="str">
        <f>IFERROR(__xludf.DUMMYFUNCTION("""COMPUTED_VALUE"""),"")</f>
        <v/>
      </c>
      <c r="S125" s="17" t="str">
        <f>IFERROR(__xludf.DUMMYFUNCTION("""COMPUTED_VALUE"""),"")</f>
        <v/>
      </c>
      <c r="T125" s="17" t="str">
        <f>IFERROR(__xludf.DUMMYFUNCTION("""COMPUTED_VALUE"""),"")</f>
        <v/>
      </c>
      <c r="U125" s="17" t="str">
        <f>IFERROR(__xludf.DUMMYFUNCTION("""COMPUTED_VALUE"""),"")</f>
        <v/>
      </c>
      <c r="V125" s="17" t="str">
        <f>IFERROR(__xludf.DUMMYFUNCTION("""COMPUTED_VALUE"""),"")</f>
        <v/>
      </c>
      <c r="W125" s="17" t="str">
        <f>IFERROR(__xludf.DUMMYFUNCTION("""COMPUTED_VALUE"""),"")</f>
        <v/>
      </c>
      <c r="X125" s="17" t="str">
        <f>IFERROR(__xludf.DUMMYFUNCTION("""COMPUTED_VALUE"""),"")</f>
        <v/>
      </c>
      <c r="Y125" s="17" t="str">
        <f>IFERROR(__xludf.DUMMYFUNCTION("""COMPUTED_VALUE"""),"")</f>
        <v/>
      </c>
      <c r="Z125" s="17" t="str">
        <f>IFERROR(__xludf.DUMMYFUNCTION("""COMPUTED_VALUE"""),"")</f>
        <v/>
      </c>
      <c r="AA125" s="17" t="str">
        <f>IFERROR(__xludf.DUMMYFUNCTION("""COMPUTED_VALUE"""),"")</f>
        <v/>
      </c>
      <c r="AB125" s="17" t="str">
        <f>IFERROR(__xludf.DUMMYFUNCTION("""COMPUTED_VALUE"""),"")</f>
        <v/>
      </c>
      <c r="AC125" s="17" t="str">
        <f>IFERROR(__xludf.DUMMYFUNCTION("""COMPUTED_VALUE"""),"")</f>
        <v/>
      </c>
    </row>
    <row r="126">
      <c r="A126" s="17" t="str">
        <f>IFERROR(__xludf.DUMMYFUNCTION("""COMPUTED_VALUE"""),"")</f>
        <v/>
      </c>
      <c r="B126" s="17" t="str">
        <f>IFERROR(__xludf.DUMMYFUNCTION("""COMPUTED_VALUE"""),"")</f>
        <v/>
      </c>
      <c r="C126" s="17" t="str">
        <f>IFERROR(__xludf.DUMMYFUNCTION("""COMPUTED_VALUE"""),"")</f>
        <v/>
      </c>
      <c r="D126" s="17" t="str">
        <f>IFERROR(__xludf.DUMMYFUNCTION("""COMPUTED_VALUE"""),"")</f>
        <v/>
      </c>
      <c r="E126" s="17" t="str">
        <f>IFERROR(__xludf.DUMMYFUNCTION("""COMPUTED_VALUE"""),"")</f>
        <v/>
      </c>
      <c r="F126" s="17" t="str">
        <f>IFERROR(__xludf.DUMMYFUNCTION("""COMPUTED_VALUE"""),"")</f>
        <v/>
      </c>
      <c r="G126" s="17" t="str">
        <f>IFERROR(__xludf.DUMMYFUNCTION("""COMPUTED_VALUE"""),"")</f>
        <v/>
      </c>
      <c r="H126" s="17" t="str">
        <f>IFERROR(__xludf.DUMMYFUNCTION("""COMPUTED_VALUE"""),"")</f>
        <v/>
      </c>
      <c r="I126" s="17" t="str">
        <f>IFERROR(__xludf.DUMMYFUNCTION("""COMPUTED_VALUE"""),"")</f>
        <v/>
      </c>
      <c r="J126" s="17" t="str">
        <f>IFERROR(__xludf.DUMMYFUNCTION("""COMPUTED_VALUE"""),"")</f>
        <v/>
      </c>
      <c r="K126" s="17" t="str">
        <f>IFERROR(__xludf.DUMMYFUNCTION("""COMPUTED_VALUE"""),"")</f>
        <v/>
      </c>
      <c r="L126" s="17" t="str">
        <f>IFERROR(__xludf.DUMMYFUNCTION("""COMPUTED_VALUE"""),"")</f>
        <v/>
      </c>
      <c r="M126" s="17" t="str">
        <f>IFERROR(__xludf.DUMMYFUNCTION("""COMPUTED_VALUE"""),"")</f>
        <v/>
      </c>
      <c r="N126" s="17" t="str">
        <f>IFERROR(__xludf.DUMMYFUNCTION("""COMPUTED_VALUE"""),"")</f>
        <v/>
      </c>
      <c r="O126" s="17" t="str">
        <f>IFERROR(__xludf.DUMMYFUNCTION("""COMPUTED_VALUE"""),"")</f>
        <v/>
      </c>
      <c r="P126" s="17" t="str">
        <f>IFERROR(__xludf.DUMMYFUNCTION("""COMPUTED_VALUE"""),"")</f>
        <v/>
      </c>
      <c r="Q126" s="17" t="str">
        <f>IFERROR(__xludf.DUMMYFUNCTION("""COMPUTED_VALUE"""),"")</f>
        <v/>
      </c>
      <c r="R126" s="17" t="str">
        <f>IFERROR(__xludf.DUMMYFUNCTION("""COMPUTED_VALUE"""),"")</f>
        <v/>
      </c>
      <c r="S126" s="17" t="str">
        <f>IFERROR(__xludf.DUMMYFUNCTION("""COMPUTED_VALUE"""),"")</f>
        <v/>
      </c>
      <c r="T126" s="17" t="str">
        <f>IFERROR(__xludf.DUMMYFUNCTION("""COMPUTED_VALUE"""),"")</f>
        <v/>
      </c>
      <c r="U126" s="17" t="str">
        <f>IFERROR(__xludf.DUMMYFUNCTION("""COMPUTED_VALUE"""),"")</f>
        <v/>
      </c>
      <c r="V126" s="17" t="str">
        <f>IFERROR(__xludf.DUMMYFUNCTION("""COMPUTED_VALUE"""),"")</f>
        <v/>
      </c>
      <c r="W126" s="17" t="str">
        <f>IFERROR(__xludf.DUMMYFUNCTION("""COMPUTED_VALUE"""),"")</f>
        <v/>
      </c>
      <c r="X126" s="17" t="str">
        <f>IFERROR(__xludf.DUMMYFUNCTION("""COMPUTED_VALUE"""),"")</f>
        <v/>
      </c>
      <c r="Y126" s="17" t="str">
        <f>IFERROR(__xludf.DUMMYFUNCTION("""COMPUTED_VALUE"""),"")</f>
        <v/>
      </c>
      <c r="Z126" s="17" t="str">
        <f>IFERROR(__xludf.DUMMYFUNCTION("""COMPUTED_VALUE"""),"")</f>
        <v/>
      </c>
      <c r="AA126" s="17" t="str">
        <f>IFERROR(__xludf.DUMMYFUNCTION("""COMPUTED_VALUE"""),"")</f>
        <v/>
      </c>
      <c r="AB126" s="17" t="str">
        <f>IFERROR(__xludf.DUMMYFUNCTION("""COMPUTED_VALUE"""),"")</f>
        <v/>
      </c>
      <c r="AC126" s="17" t="str">
        <f>IFERROR(__xludf.DUMMYFUNCTION("""COMPUTED_VALUE"""),"")</f>
        <v/>
      </c>
    </row>
    <row r="127">
      <c r="A127" s="17" t="str">
        <f>IFERROR(__xludf.DUMMYFUNCTION("""COMPUTED_VALUE"""),"")</f>
        <v/>
      </c>
      <c r="B127" s="17" t="str">
        <f>IFERROR(__xludf.DUMMYFUNCTION("""COMPUTED_VALUE"""),"")</f>
        <v/>
      </c>
      <c r="C127" s="17" t="str">
        <f>IFERROR(__xludf.DUMMYFUNCTION("""COMPUTED_VALUE"""),"")</f>
        <v/>
      </c>
      <c r="D127" s="17" t="str">
        <f>IFERROR(__xludf.DUMMYFUNCTION("""COMPUTED_VALUE"""),"")</f>
        <v/>
      </c>
      <c r="E127" s="17" t="str">
        <f>IFERROR(__xludf.DUMMYFUNCTION("""COMPUTED_VALUE"""),"")</f>
        <v/>
      </c>
      <c r="F127" s="17" t="str">
        <f>IFERROR(__xludf.DUMMYFUNCTION("""COMPUTED_VALUE"""),"")</f>
        <v/>
      </c>
      <c r="G127" s="17" t="str">
        <f>IFERROR(__xludf.DUMMYFUNCTION("""COMPUTED_VALUE"""),"")</f>
        <v/>
      </c>
      <c r="H127" s="17" t="str">
        <f>IFERROR(__xludf.DUMMYFUNCTION("""COMPUTED_VALUE"""),"")</f>
        <v/>
      </c>
      <c r="I127" s="17" t="str">
        <f>IFERROR(__xludf.DUMMYFUNCTION("""COMPUTED_VALUE"""),"")</f>
        <v/>
      </c>
      <c r="J127" s="17" t="str">
        <f>IFERROR(__xludf.DUMMYFUNCTION("""COMPUTED_VALUE"""),"")</f>
        <v/>
      </c>
      <c r="K127" s="17" t="str">
        <f>IFERROR(__xludf.DUMMYFUNCTION("""COMPUTED_VALUE"""),"")</f>
        <v/>
      </c>
      <c r="L127" s="17" t="str">
        <f>IFERROR(__xludf.DUMMYFUNCTION("""COMPUTED_VALUE"""),"")</f>
        <v/>
      </c>
      <c r="M127" s="17" t="str">
        <f>IFERROR(__xludf.DUMMYFUNCTION("""COMPUTED_VALUE"""),"")</f>
        <v/>
      </c>
      <c r="N127" s="17" t="str">
        <f>IFERROR(__xludf.DUMMYFUNCTION("""COMPUTED_VALUE"""),"")</f>
        <v/>
      </c>
      <c r="O127" s="17" t="str">
        <f>IFERROR(__xludf.DUMMYFUNCTION("""COMPUTED_VALUE"""),"")</f>
        <v/>
      </c>
      <c r="P127" s="17" t="str">
        <f>IFERROR(__xludf.DUMMYFUNCTION("""COMPUTED_VALUE"""),"")</f>
        <v/>
      </c>
      <c r="Q127" s="17" t="str">
        <f>IFERROR(__xludf.DUMMYFUNCTION("""COMPUTED_VALUE"""),"")</f>
        <v/>
      </c>
      <c r="R127" s="17" t="str">
        <f>IFERROR(__xludf.DUMMYFUNCTION("""COMPUTED_VALUE"""),"")</f>
        <v/>
      </c>
      <c r="S127" s="17" t="str">
        <f>IFERROR(__xludf.DUMMYFUNCTION("""COMPUTED_VALUE"""),"")</f>
        <v/>
      </c>
      <c r="T127" s="17" t="str">
        <f>IFERROR(__xludf.DUMMYFUNCTION("""COMPUTED_VALUE"""),"")</f>
        <v/>
      </c>
      <c r="U127" s="17" t="str">
        <f>IFERROR(__xludf.DUMMYFUNCTION("""COMPUTED_VALUE"""),"")</f>
        <v/>
      </c>
      <c r="V127" s="17" t="str">
        <f>IFERROR(__xludf.DUMMYFUNCTION("""COMPUTED_VALUE"""),"")</f>
        <v/>
      </c>
      <c r="W127" s="17" t="str">
        <f>IFERROR(__xludf.DUMMYFUNCTION("""COMPUTED_VALUE"""),"")</f>
        <v/>
      </c>
      <c r="X127" s="17" t="str">
        <f>IFERROR(__xludf.DUMMYFUNCTION("""COMPUTED_VALUE"""),"")</f>
        <v/>
      </c>
      <c r="Y127" s="17" t="str">
        <f>IFERROR(__xludf.DUMMYFUNCTION("""COMPUTED_VALUE"""),"")</f>
        <v/>
      </c>
      <c r="Z127" s="17" t="str">
        <f>IFERROR(__xludf.DUMMYFUNCTION("""COMPUTED_VALUE"""),"")</f>
        <v/>
      </c>
      <c r="AA127" s="17" t="str">
        <f>IFERROR(__xludf.DUMMYFUNCTION("""COMPUTED_VALUE"""),"")</f>
        <v/>
      </c>
      <c r="AB127" s="17" t="str">
        <f>IFERROR(__xludf.DUMMYFUNCTION("""COMPUTED_VALUE"""),"")</f>
        <v/>
      </c>
      <c r="AC127" s="17" t="str">
        <f>IFERROR(__xludf.DUMMYFUNCTION("""COMPUTED_VALUE"""),"")</f>
        <v/>
      </c>
    </row>
    <row r="128">
      <c r="A128" s="17" t="str">
        <f>IFERROR(__xludf.DUMMYFUNCTION("""COMPUTED_VALUE"""),"Chapter 34: 28 Preamble - Addendum Sophia
Engineer (Halo UNSC) 200:
Yet by understanding the nature of computer systems, wouldn’t it be prudent to understand the technology those systems command? After all, what if you found yourself needing to recalibrat"&amp;"e a Magnetic Accelerator Cannon or repair one of the dangerous Shaw-Fujikawa Translight Engines that makes faster-than-light travel possible? What if you found a cache of human weaponry that could be used if someone managed to repair it? While you don’t h"&amp;"ave the skill to create something as complex as a Shaw-Fujikawa Translight Engine, you’ll know your way around it just like much of Humanity’s 26th century technology. You might even figure out how to make small improvements to the technology if you had t"&amp;"he time to sit down and look it over. Hopefully the Covenant give you that time.
System")</f>
        <v>Chapter 34: 28 Preamble - Addendum Sophia
Engineer (Halo UNSC) 200:
Yet by understanding the nature of computer systems, wouldn’t it be prudent to understand the technology those systems command? After all, what if you found yourself needing to recalibrate a Magnetic Accelerator Cannon or repair one of the dangerous Shaw-Fujikawa Translight Engines that makes faster-than-light travel possible? What if you found a cache of human weaponry that could be used if someone managed to repair it? While you don’t have the skill to create something as complex as a Shaw-Fujikawa Translight Engine, you’ll know your way around it just like much of Humanity’s 26th century technology. You might even figure out how to make small improvements to the technology if you had the time to sit down and look it over. Hopefully the Covenant give you that time.
System</v>
      </c>
      <c r="B128" s="17" t="str">
        <f>IFERROR(__xludf.DUMMYFUNCTION("""COMPUTED_VALUE"""),"Chapter 34: 28 Preamble - Addendum Sophia
Standard Neural Interface (Halo UNSC) Free:
As the requirements of war and militarized technology moved forward, the requirements it puts upon its soldiers was likewise changed. This is one such example, being a b"&amp;"rain implant that all members of the UNSC obtain upon entering service. It carries a multitude of functions, integrating with armor worn to provide a heads-up display directly into one’s optic nerve instead of on the helmet screen while providing an IFF t"&amp;"ag for allied soldiers. Such implants are small enough that there is no visible signs outside the body, and sometimes people have forgotten they even had it until its functions come up.
Personal")</f>
        <v>Chapter 34: 28 Preamble - Addendum Sophia
Standard Neural Interface (Halo UNSC) Free:
As the requirements of war and militarized technology moved forward, the requirements it puts upon its soldiers was likewise changed. This is one such example, being a brain implant that all members of the UNSC obtain upon entering service. It carries a multitude of functions, integrating with armor worn to provide a heads-up display directly into one’s optic nerve instead of on the helmet screen while providing an IFF tag for allied soldiers. Such implants are small enough that there is no visible signs outside the body, and sometimes people have forgotten they even had it until its functions come up.
Personal</v>
      </c>
      <c r="C128" s="17" t="str">
        <f>IFERROR(__xludf.DUMMYFUNCTION("""COMPUTED_VALUE"""),"Chapter 34: 28 Preamble - Addendum Sophia
M274 Mongoose (Halo UNSC) Free:
Some vehicles just weren’t designed for combat in mind… at least that’s what one would think upon seeing an all-terrain vehicle like this. Being designed to go over nearly any terra"&amp;"in without much difficulty and able to carry an additional passenger on the back in a pinch, the Mongoose is one of the fastest land vehicles in the UNSC. It’s highly effective in regards to rapid transportation, reconnaissance and swift tactical versatil"&amp;"ity. The downsides? Its light mass and lack of armor means it can be unwieldy at times and can be taken out rather easily.
Vehicle")</f>
        <v>Chapter 34: 28 Preamble - Addendum Sophia
M274 Mongoose (Halo UNSC) Free:
Some vehicles just weren’t designed for combat in mind… at least that’s what one would think upon seeing an all-terrain vehicle like this. Being designed to go over nearly any terrain without much difficulty and able to carry an additional passenger on the back in a pinch, the Mongoose is one of the fastest land vehicles in the UNSC. It’s highly effective in regards to rapid transportation, reconnaissance and swift tactical versatility. The downsides? Its light mass and lack of armor means it can be unwieldy at times and can be taken out rather easily.
Vehicle</v>
      </c>
      <c r="D128" s="17" t="str">
        <f>IFERROR(__xludf.DUMMYFUNCTION("""COMPUTED_VALUE"""),"Chapter 34: 28 Preamble - Addendum Sophia
M6C Magnum (Halo UNSC) Free:
Something of a standard issue to the UNSC Marine forces, the M6C is a semiautomatic, recoil-operated, magazine-fed handgun that fires 12.7×40mm (.50 caliber) Semi-ArmorPiercing, High-P"&amp;"enetration rounds. While it does considerable amounts of damage towards flesh-based infantry, Covenant energy shielding might pose a problem and so this weapon is often relegated to a defensive role.
Item")</f>
        <v>Chapter 34: 28 Preamble - Addendum Sophia
M6C Magnum (Halo UNSC) Free:
Something of a standard issue to the UNSC Marine forces, the M6C is a semiautomatic, recoil-operated, magazine-fed handgun that fires 12.7×40mm (.50 caliber) Semi-ArmorPiercing, High-Penetration rounds. While it does considerable amounts of damage towards flesh-based infantry, Covenant energy shielding might pose a problem and so this weapon is often relegated to a defensive role.
Item</v>
      </c>
      <c r="E128" s="17" t="str">
        <f>IFERROR(__xludf.DUMMYFUNCTION("""COMPUTED_VALUE"""),"Chapter 34: 28 Preamble - Addendum Sophia
M9 Fragmentation Grenade (Halo UNSC) Free:
When you can’t shoot them, blow them up. Coming with a hard metal casing that’s meant to break apart upon the explosion, this grenade has a safety feature in that it must"&amp;" hit a hard surface after it has been primed before it can detonate, ensuring that it does not explode in the user’s hand. It can also come with a ‘spoon’ so that it must leave the user’s hand before it explodes as well. Either way, a small button on the "&amp;"‘handle’ is the method of priming these grenades.
Item")</f>
        <v>Chapter 34: 28 Preamble - Addendum Sophia
M9 Fragmentation Grenade (Halo UNSC) Free:
When you can’t shoot them, blow them up. Coming with a hard metal casing that’s meant to break apart upon the explosion, this grenade has a safety feature in that it must hit a hard surface after it has been primed before it can detonate, ensuring that it does not explode in the user’s hand. It can also come with a ‘spoon’ so that it must leave the user’s hand before it explodes as well. Either way, a small button on the ‘handle’ is the method of priming these grenades.
Item</v>
      </c>
      <c r="F128" s="17" t="str">
        <f>IFERROR(__xludf.DUMMYFUNCTION("""COMPUTED_VALUE"""),"Chapter 34: 28 Preamble - Addendum Sophia
UNSC Marine Corp Battle Dress Uniform (Halo UNSC) Free:
The kind of armor you will generally see on the rank-and file troopers, this model has seen a great deal of use and has been spotted since the early days of "&amp;"the Insurrection. It comes with a CH252 Helmet that has a basic heads-up display to keep track of ammunition and your targeting reticle along with a flashlight and radio system, strong boots and fatigues to keep one protected from the elements while havin"&amp;"g quite a few pockets to keep things in, and ballistics armor over the torso, shoulder and shin. Ballistic armor may optionally include thighs, groin, and forearms as well for the cautious types. This armor provides good resistance against ballistic ammun"&amp;"ition but does little against Covenant plasma rounds. Perhaps you could become skilled at dodging oncoming fire. This armor comes in any camouflage color scheme of your choice.
Item")</f>
        <v>Chapter 34: 28 Preamble - Addendum Sophia
UNSC Marine Corp Battle Dress Uniform (Halo UNSC) Free:
The kind of armor you will generally see on the rank-and file troopers, this model has seen a great deal of use and has been spotted since the early days of the Insurrection. It comes with a CH252 Helmet that has a basic heads-up display to keep track of ammunition and your targeting reticle along with a flashlight and radio system, strong boots and fatigues to keep one protected from the elements while having quite a few pockets to keep things in, and ballistics armor over the torso, shoulder and shin. Ballistic armor may optionally include thighs, groin, and forearms as well for the cautious types. This armor provides good resistance against ballistic ammunition but does little against Covenant plasma rounds. Perhaps you could become skilled at dodging oncoming fire. This armor comes in any camouflage color scheme of your choice.
Item</v>
      </c>
      <c r="G128" s="17" t="str">
        <f>IFERROR(__xludf.DUMMYFUNCTION("""COMPUTED_VALUE"""),"Chapter 133: 95 Instant Replay
Erudition (Halo) 600:
Ever since the rise of Dr. Catherine Halsey, many were on the lookout for who might become the next intellectual prodigy. Someone who was able to perform as well as she could, someone who could help tu"&amp;"rn the tide of the war. With this, that someone is now you. Your cognitive capabilities are on par with the good doctor now, making you exceptionally well-versed in nearly all modern human sciences while holding specialties in at least a few fields. Of co"&amp;"urse, thanks to that you are also rather exceptional at reverse-engineering technology, which allows you to do such things like obtain working knowledge of the mechanics behind Covenant technology and even begin to understand the 'hows' behind some of the"&amp;" mundane pieces of Forerunner technology currently littering the galaxy. Perhaps you could eventually reclaim them. 'Erudition' allows you to make Smart A.I.s
System")</f>
        <v>Chapter 133: 95 Instant Replay
Erudition (Halo) 600:
Ever since the rise of Dr. Catherine Halsey, many were on the lookout for who might become the next intellectual prodigy. Someone who was able to perform as well as she could, someone who could help turn the tide of the war. With this, that someone is now you. Your cognitive capabilities are on par with the good doctor now, making you exceptionally well-versed in nearly all modern human sciences while holding specialties in at least a few fields. Of course, thanks to that you are also rather exceptional at reverse-engineering technology, which allows you to do such things like obtain working knowledge of the mechanics behind Covenant technology and even begin to understand the 'hows' behind some of the mundane pieces of Forerunner technology currently littering the galaxy. Perhaps you could eventually reclaim them. 'Erudition' allows you to make Smart A.I.s
System</v>
      </c>
      <c r="H128" s="17" t="str">
        <f>IFERROR(__xludf.DUMMYFUNCTION("""COMPUTED_VALUE"""),"Chapter 133: 95 Instant Replay
Gladius-class Heavy Corvette (Halo) Free:
While this ship is more meant for patrols and security roles rather than an actual ship of war, the Gladius-class serves its function well. Its armaments are somewhat smaller than m"&amp;"ost ships as a result, carrying only one small Magnetic Accelerator Cannon and two Archer missile pods with six Rampart point-defense cannons, but it does come with an extensive sensor suite to scan for anomalies and actively track targets for other ships"&amp;" to find and utterly obliterate. Seeing as it’s two hundred and forty-three meters in length however, it would be wise to simply retreat from any Covenant space presence.
-Slipspace Drive: The Shaw-Fujikawa Translight Engine finally allowed Humanity acce"&amp;"ss to fasterthan-light travel in the form of Slipstream Space, and thus opened their path to the stars themselves. This device works by creating ruptures in between normal space and Slipspace while surrounding the ship in a quantum field to protect them f"&amp;"rom the dangers of the alternate dimension. The engine itself does not propel the vessel through Slipspace however; it relies on the engines to do so. The more powerful the traditional propulsion of the ship, the faster it goes. However, normal models ten"&amp;"d to be erratic and jumps can take from several weeks to months of travel time depending on the distance, with exit destinations becoming off by a matter of hundreds of thousands of kilometers. A dangerous gambit, but it’s better than nothing.
-Self-Dest"&amp;"ruct Function: When it was clear that the Covenant were engaging in a war of extermination rather than one of conquest, the Cole Protocol was initiated. One of those requirements was that in the event of capture, a UNSC ship is to self-destruct to prevent"&amp;" the alien menace from collecting vital data such as navigation coordinates. It’s a drastic measure, but ultimately necessary to prevent them from finding the most important of Human worlds like Reach or Earth.
-Escape Pods/Life Boats: While going down w"&amp;"ith the ship is often seen as an honorable act so that the Covenant do not gleam anything useful from your mind, that doesn’t always have to be the case with everyone else. What if you’re transporting some VIPs or you want the rest of your crew to survive"&amp;"? Don’t make the same mistake as the ships of old. This gives your ship a slew of escape pods and lifeboats dotted all along the vessel, allowing the whole crew to evacuate on a moment’s notice if something goes wrong. It could be a lifesaver.
-Life Supp"&amp;"ort System: People need air to breathe. There’s just no way of getting around this, as even the mighty SPARTAN soldiers have an air requirement. That’s why every ship has air scrubbers and environmental control so that not only can you keep a stable atmos"&amp;"phere going but also to stay comfortable while on these long journeys as well.
Vehicle")</f>
        <v>Chapter 133: 95 Instant Replay
Gladius-class Heavy Corvette (Halo) Free:
While this ship is more meant for patrols and security roles rather than an actual ship of war, the Gladius-class serves its function well. Its armaments are somewhat smaller than most ships as a result, carrying only one small Magnetic Accelerator Cannon and two Archer missile pods with six Rampart point-defense cannons, but it does come with an extensive sensor suite to scan for anomalies and actively track targets for other ships to find and utterly obliterate. Seeing as it’s two hundred and forty-three meters in length however, it would be wise to simply retreat from any Covenant space presence.
-Slipspace Drive: The Shaw-Fujikawa Translight Engine finally allowed Humanity access to fasterthan-light travel in the form of Slipstream Space, and thus opened their path to the stars themselves. This device works by creating ruptures in between normal space and Slipspace while surrounding the ship in a quantum field to protect them from the dangers of the alternate dimension. The engine itself does not propel the vessel through Slipspace however; it relies on the engines to do so. The more powerful the traditional propulsion of the ship, the faster it goes. However, normal models tend to be erratic and jumps can take from several weeks to months of travel time depending on the distance, with exit destinations becoming off by a matter of hundreds of thousands of kilometers. A dangerous gambit, but it’s better than nothing.
-Self-Destruct Function: When it was clear that the Covenant were engaging in a war of extermination rather than one of conquest, the Cole Protocol was initiated. One of those requirements was that in the event of capture, a UNSC ship is to self-destruct to prevent the alien menace from collecting vital data such as navigation coordinates. It’s a drastic measure, but ultimately necessary to prevent them from finding the most important of Human worlds like Reach or Earth.
-Escape Pods/Life Boats: While going down with the ship is often seen as an honorable act so that the Covenant do not gleam anything useful from your mind, that doesn’t always have to be the case with everyone else. What if you’re transporting some VIPs or you want the rest of your crew to survive? Don’t make the same mistake as the ships of old. This gives your ship a slew of escape pods and lifeboats dotted all along the vessel, allowing the whole crew to evacuate on a moment’s notice if something goes wrong. It could be a lifesaver.
-Life Support System: People need air to breathe. There’s just no way of getting around this, as even the mighty SPARTAN soldiers have an air requirement. That’s why every ship has air scrubbers and environmental control so that not only can you keep a stable atmosphere going but also to stay comfortable while on these long journeys as well.
Vehicle</v>
      </c>
      <c r="I128" s="17" t="str">
        <f>IFERROR(__xludf.DUMMYFUNCTION("""COMPUTED_VALUE"""),"
")</f>
        <v>
</v>
      </c>
      <c r="J128" s="17" t="str">
        <f>IFERROR(__xludf.DUMMYFUNCTION("""COMPUTED_VALUE"""),"
")</f>
        <v>
</v>
      </c>
      <c r="K128" s="17" t="str">
        <f>IFERROR(__xludf.DUMMYFUNCTION("""COMPUTED_VALUE"""),"
")</f>
        <v>
</v>
      </c>
      <c r="L128" s="17" t="str">
        <f>IFERROR(__xludf.DUMMYFUNCTION("""COMPUTED_VALUE"""),"
")</f>
        <v>
</v>
      </c>
      <c r="M128" s="17" t="str">
        <f>IFERROR(__xludf.DUMMYFUNCTION("""COMPUTED_VALUE"""),"
")</f>
        <v>
</v>
      </c>
      <c r="N128" s="17" t="str">
        <f>IFERROR(__xludf.DUMMYFUNCTION("""COMPUTED_VALUE"""),"
")</f>
        <v>
</v>
      </c>
      <c r="O128" s="17" t="str">
        <f>IFERROR(__xludf.DUMMYFUNCTION("""COMPUTED_VALUE"""),"
")</f>
        <v>
</v>
      </c>
      <c r="P128" s="17" t="str">
        <f>IFERROR(__xludf.DUMMYFUNCTION("""COMPUTED_VALUE"""),"
")</f>
        <v>
</v>
      </c>
      <c r="Q128" s="17" t="str">
        <f>IFERROR(__xludf.DUMMYFUNCTION("""COMPUTED_VALUE"""),"
")</f>
        <v>
</v>
      </c>
      <c r="R128" s="17" t="str">
        <f>IFERROR(__xludf.DUMMYFUNCTION("""COMPUTED_VALUE"""),"
")</f>
        <v>
</v>
      </c>
      <c r="S128" s="17" t="str">
        <f>IFERROR(__xludf.DUMMYFUNCTION("""COMPUTED_VALUE"""),"
")</f>
        <v>
</v>
      </c>
      <c r="T128" s="17" t="str">
        <f>IFERROR(__xludf.DUMMYFUNCTION("""COMPUTED_VALUE"""),"
")</f>
        <v>
</v>
      </c>
      <c r="U128" s="17" t="str">
        <f>IFERROR(__xludf.DUMMYFUNCTION("""COMPUTED_VALUE"""),"
")</f>
        <v>
</v>
      </c>
      <c r="V128" s="17" t="str">
        <f>IFERROR(__xludf.DUMMYFUNCTION("""COMPUTED_VALUE"""),"
")</f>
        <v>
</v>
      </c>
      <c r="W128" s="17" t="str">
        <f>IFERROR(__xludf.DUMMYFUNCTION("""COMPUTED_VALUE"""),"
")</f>
        <v>
</v>
      </c>
      <c r="X128" s="17" t="str">
        <f>IFERROR(__xludf.DUMMYFUNCTION("""COMPUTED_VALUE"""),"
")</f>
        <v>
</v>
      </c>
      <c r="Y128" s="17" t="str">
        <f>IFERROR(__xludf.DUMMYFUNCTION("""COMPUTED_VALUE"""),"
")</f>
        <v>
</v>
      </c>
      <c r="Z128" s="17" t="str">
        <f>IFERROR(__xludf.DUMMYFUNCTION("""COMPUTED_VALUE"""),"
")</f>
        <v>
</v>
      </c>
      <c r="AA128" s="17" t="str">
        <f>IFERROR(__xludf.DUMMYFUNCTION("""COMPUTED_VALUE"""),"
")</f>
        <v>
</v>
      </c>
      <c r="AB128" s="17" t="str">
        <f>IFERROR(__xludf.DUMMYFUNCTION("""COMPUTED_VALUE"""),"
")</f>
        <v>
</v>
      </c>
      <c r="AC128" s="17" t="str">
        <f>IFERROR(__xludf.DUMMYFUNCTION("""COMPUTED_VALUE"""),"
")</f>
        <v>
</v>
      </c>
    </row>
    <row r="129">
      <c r="A129" s="17" t="str">
        <f>IFERROR(__xludf.DUMMYFUNCTION("""COMPUTED_VALUE"""),"")</f>
        <v/>
      </c>
      <c r="B129" s="17" t="str">
        <f>IFERROR(__xludf.DUMMYFUNCTION("""COMPUTED_VALUE"""),"")</f>
        <v/>
      </c>
      <c r="C129" s="17" t="str">
        <f>IFERROR(__xludf.DUMMYFUNCTION("""COMPUTED_VALUE"""),"")</f>
        <v/>
      </c>
      <c r="D129" s="17" t="str">
        <f>IFERROR(__xludf.DUMMYFUNCTION("""COMPUTED_VALUE"""),"")</f>
        <v/>
      </c>
      <c r="E129" s="17" t="str">
        <f>IFERROR(__xludf.DUMMYFUNCTION("""COMPUTED_VALUE"""),"")</f>
        <v/>
      </c>
      <c r="F129" s="17" t="str">
        <f>IFERROR(__xludf.DUMMYFUNCTION("""COMPUTED_VALUE"""),"")</f>
        <v/>
      </c>
      <c r="G129" s="17" t="str">
        <f>IFERROR(__xludf.DUMMYFUNCTION("""COMPUTED_VALUE"""),"")</f>
        <v/>
      </c>
      <c r="H129" s="17" t="str">
        <f>IFERROR(__xludf.DUMMYFUNCTION("""COMPUTED_VALUE"""),"")</f>
        <v/>
      </c>
      <c r="I129" s="17" t="str">
        <f>IFERROR(__xludf.DUMMYFUNCTION("""COMPUTED_VALUE"""),"")</f>
        <v/>
      </c>
      <c r="J129" s="17" t="str">
        <f>IFERROR(__xludf.DUMMYFUNCTION("""COMPUTED_VALUE"""),"")</f>
        <v/>
      </c>
      <c r="K129" s="17" t="str">
        <f>IFERROR(__xludf.DUMMYFUNCTION("""COMPUTED_VALUE"""),"")</f>
        <v/>
      </c>
      <c r="L129" s="17" t="str">
        <f>IFERROR(__xludf.DUMMYFUNCTION("""COMPUTED_VALUE"""),"")</f>
        <v/>
      </c>
      <c r="M129" s="17" t="str">
        <f>IFERROR(__xludf.DUMMYFUNCTION("""COMPUTED_VALUE"""),"")</f>
        <v/>
      </c>
      <c r="N129" s="17" t="str">
        <f>IFERROR(__xludf.DUMMYFUNCTION("""COMPUTED_VALUE"""),"")</f>
        <v/>
      </c>
      <c r="O129" s="17" t="str">
        <f>IFERROR(__xludf.DUMMYFUNCTION("""COMPUTED_VALUE"""),"")</f>
        <v/>
      </c>
      <c r="P129" s="17" t="str">
        <f>IFERROR(__xludf.DUMMYFUNCTION("""COMPUTED_VALUE"""),"")</f>
        <v/>
      </c>
      <c r="Q129" s="17" t="str">
        <f>IFERROR(__xludf.DUMMYFUNCTION("""COMPUTED_VALUE"""),"")</f>
        <v/>
      </c>
      <c r="R129" s="17" t="str">
        <f>IFERROR(__xludf.DUMMYFUNCTION("""COMPUTED_VALUE"""),"")</f>
        <v/>
      </c>
      <c r="S129" s="17" t="str">
        <f>IFERROR(__xludf.DUMMYFUNCTION("""COMPUTED_VALUE"""),"")</f>
        <v/>
      </c>
      <c r="T129" s="17" t="str">
        <f>IFERROR(__xludf.DUMMYFUNCTION("""COMPUTED_VALUE"""),"")</f>
        <v/>
      </c>
      <c r="U129" s="17" t="str">
        <f>IFERROR(__xludf.DUMMYFUNCTION("""COMPUTED_VALUE"""),"")</f>
        <v/>
      </c>
      <c r="V129" s="17" t="str">
        <f>IFERROR(__xludf.DUMMYFUNCTION("""COMPUTED_VALUE"""),"")</f>
        <v/>
      </c>
      <c r="W129" s="17" t="str">
        <f>IFERROR(__xludf.DUMMYFUNCTION("""COMPUTED_VALUE"""),"")</f>
        <v/>
      </c>
      <c r="X129" s="17" t="str">
        <f>IFERROR(__xludf.DUMMYFUNCTION("""COMPUTED_VALUE"""),"")</f>
        <v/>
      </c>
      <c r="Y129" s="17" t="str">
        <f>IFERROR(__xludf.DUMMYFUNCTION("""COMPUTED_VALUE"""),"")</f>
        <v/>
      </c>
      <c r="Z129" s="17" t="str">
        <f>IFERROR(__xludf.DUMMYFUNCTION("""COMPUTED_VALUE"""),"")</f>
        <v/>
      </c>
      <c r="AA129" s="17" t="str">
        <f>IFERROR(__xludf.DUMMYFUNCTION("""COMPUTED_VALUE"""),"")</f>
        <v/>
      </c>
      <c r="AB129" s="17" t="str">
        <f>IFERROR(__xludf.DUMMYFUNCTION("""COMPUTED_VALUE"""),"")</f>
        <v/>
      </c>
      <c r="AC129" s="17" t="str">
        <f>IFERROR(__xludf.DUMMYFUNCTION("""COMPUTED_VALUE"""),"")</f>
        <v/>
      </c>
    </row>
    <row r="130">
      <c r="A130" s="17" t="str">
        <f>IFERROR(__xludf.DUMMYFUNCTION("""COMPUTED_VALUE"""),"")</f>
        <v/>
      </c>
      <c r="B130" s="17" t="str">
        <f>IFERROR(__xludf.DUMMYFUNCTION("""COMPUTED_VALUE"""),"")</f>
        <v/>
      </c>
      <c r="C130" s="17" t="str">
        <f>IFERROR(__xludf.DUMMYFUNCTION("""COMPUTED_VALUE"""),"")</f>
        <v/>
      </c>
      <c r="D130" s="17" t="str">
        <f>IFERROR(__xludf.DUMMYFUNCTION("""COMPUTED_VALUE"""),"")</f>
        <v/>
      </c>
      <c r="E130" s="17" t="str">
        <f>IFERROR(__xludf.DUMMYFUNCTION("""COMPUTED_VALUE"""),"")</f>
        <v/>
      </c>
      <c r="F130" s="17" t="str">
        <f>IFERROR(__xludf.DUMMYFUNCTION("""COMPUTED_VALUE"""),"")</f>
        <v/>
      </c>
      <c r="G130" s="17" t="str">
        <f>IFERROR(__xludf.DUMMYFUNCTION("""COMPUTED_VALUE"""),"")</f>
        <v/>
      </c>
      <c r="H130" s="17" t="str">
        <f>IFERROR(__xludf.DUMMYFUNCTION("""COMPUTED_VALUE"""),"")</f>
        <v/>
      </c>
      <c r="I130" s="17" t="str">
        <f>IFERROR(__xludf.DUMMYFUNCTION("""COMPUTED_VALUE"""),"")</f>
        <v/>
      </c>
      <c r="J130" s="17" t="str">
        <f>IFERROR(__xludf.DUMMYFUNCTION("""COMPUTED_VALUE"""),"")</f>
        <v/>
      </c>
      <c r="K130" s="17" t="str">
        <f>IFERROR(__xludf.DUMMYFUNCTION("""COMPUTED_VALUE"""),"")</f>
        <v/>
      </c>
      <c r="L130" s="17" t="str">
        <f>IFERROR(__xludf.DUMMYFUNCTION("""COMPUTED_VALUE"""),"")</f>
        <v/>
      </c>
      <c r="M130" s="17" t="str">
        <f>IFERROR(__xludf.DUMMYFUNCTION("""COMPUTED_VALUE"""),"")</f>
        <v/>
      </c>
      <c r="N130" s="17" t="str">
        <f>IFERROR(__xludf.DUMMYFUNCTION("""COMPUTED_VALUE"""),"")</f>
        <v/>
      </c>
      <c r="O130" s="17" t="str">
        <f>IFERROR(__xludf.DUMMYFUNCTION("""COMPUTED_VALUE"""),"")</f>
        <v/>
      </c>
      <c r="P130" s="17" t="str">
        <f>IFERROR(__xludf.DUMMYFUNCTION("""COMPUTED_VALUE"""),"")</f>
        <v/>
      </c>
      <c r="Q130" s="17" t="str">
        <f>IFERROR(__xludf.DUMMYFUNCTION("""COMPUTED_VALUE"""),"")</f>
        <v/>
      </c>
      <c r="R130" s="17" t="str">
        <f>IFERROR(__xludf.DUMMYFUNCTION("""COMPUTED_VALUE"""),"")</f>
        <v/>
      </c>
      <c r="S130" s="17" t="str">
        <f>IFERROR(__xludf.DUMMYFUNCTION("""COMPUTED_VALUE"""),"")</f>
        <v/>
      </c>
      <c r="T130" s="17" t="str">
        <f>IFERROR(__xludf.DUMMYFUNCTION("""COMPUTED_VALUE"""),"")</f>
        <v/>
      </c>
      <c r="U130" s="17" t="str">
        <f>IFERROR(__xludf.DUMMYFUNCTION("""COMPUTED_VALUE"""),"")</f>
        <v/>
      </c>
      <c r="V130" s="17" t="str">
        <f>IFERROR(__xludf.DUMMYFUNCTION("""COMPUTED_VALUE"""),"")</f>
        <v/>
      </c>
      <c r="W130" s="17" t="str">
        <f>IFERROR(__xludf.DUMMYFUNCTION("""COMPUTED_VALUE"""),"")</f>
        <v/>
      </c>
      <c r="X130" s="17" t="str">
        <f>IFERROR(__xludf.DUMMYFUNCTION("""COMPUTED_VALUE"""),"")</f>
        <v/>
      </c>
      <c r="Y130" s="17" t="str">
        <f>IFERROR(__xludf.DUMMYFUNCTION("""COMPUTED_VALUE"""),"")</f>
        <v/>
      </c>
      <c r="Z130" s="17" t="str">
        <f>IFERROR(__xludf.DUMMYFUNCTION("""COMPUTED_VALUE"""),"")</f>
        <v/>
      </c>
      <c r="AA130" s="17" t="str">
        <f>IFERROR(__xludf.DUMMYFUNCTION("""COMPUTED_VALUE"""),"")</f>
        <v/>
      </c>
      <c r="AB130" s="17" t="str">
        <f>IFERROR(__xludf.DUMMYFUNCTION("""COMPUTED_VALUE"""),"")</f>
        <v/>
      </c>
      <c r="AC130" s="17" t="str">
        <f>IFERROR(__xludf.DUMMYFUNCTION("""COMPUTED_VALUE"""),"")</f>
        <v/>
      </c>
    </row>
    <row r="131">
      <c r="A131" s="17" t="str">
        <f>IFERROR(__xludf.DUMMYFUNCTION("""COMPUTED_VALUE"""),"Chapter 64: 49 Game Time
The Divine Machines (Lord of Light) 300:
Many and varied are the wonders of the Gods. From the Vasty Hall of Death, Yama brings forth Thunder Chariot and Bright Spear, Trident of Destruction and Wand of Universal Fire. In Heaven, "&amp;"there is an elegant statue with eight arms that plays the lute when addressed, and endless machines that keep all in perfect stasis. The elementary forms of these great sciences and artefacts are laid bare to you, and you may service and understand the te"&amp;"chnology of this world. While great innovations and the wonders forged by Yama might escape you, you have a solid basis that escapes the vast majority of men and gods in the world - sufficient to greatly impress those who understand the value of such thin"&amp;"gs. With this you also gain one artefact costing 200CP or less for free.
System")</f>
        <v>Chapter 64: 49 Game Time
The Divine Machines (Lord of Light) 300:
Many and varied are the wonders of the Gods. From the Vasty Hall of Death, Yama brings forth Thunder Chariot and Bright Spear, Trident of Destruction and Wand of Universal Fire. In Heaven, there is an elegant statue with eight arms that plays the lute when addressed, and endless machines that keep all in perfect stasis. The elementary forms of these great sciences and artefacts are laid bare to you, and you may service and understand the technology of this world. While great innovations and the wonders forged by Yama might escape you, you have a solid basis that escapes the vast majority of men and gods in the world - sufficient to greatly impress those who understand the value of such things. With this you also gain one artefact costing 200CP or less for free.
System</v>
      </c>
      <c r="B131" s="17" t="str">
        <f>IFERROR(__xludf.DUMMYFUNCTION("""COMPUTED_VALUE"""),"Chapter 64: 49 Game Time
Bright Spear (Lord of Light) Free:
One and one-half span of silver is this spear, attuned to your brainwaves and taking flight at your will. It strikes faster than any arrow, and vibrates through any shield - shaking clean of gore"&amp;" before its return to your hand. It may also move to intercept arrows and blows, as well as carry you aloft at speeds to outpace the finest horse.
Item")</f>
        <v>Chapter 64: 49 Game Time
Bright Spear (Lord of Light) Free:
One and one-half span of silver is this spear, attuned to your brainwaves and taking flight at your will. It strikes faster than any arrow, and vibrates through any shield - shaking clean of gore before its return to your hand. It may also move to intercept arrows and blows, as well as carry you aloft at speeds to outpace the finest horse.
Item</v>
      </c>
      <c r="C131" s="17" t="str">
        <f>IFERROR(__xludf.DUMMYFUNCTION("""COMPUTED_VALUE"""),"
")</f>
        <v>
</v>
      </c>
      <c r="D131" s="17" t="str">
        <f>IFERROR(__xludf.DUMMYFUNCTION("""COMPUTED_VALUE"""),"
")</f>
        <v>
</v>
      </c>
      <c r="E131" s="17" t="str">
        <f>IFERROR(__xludf.DUMMYFUNCTION("""COMPUTED_VALUE"""),"
")</f>
        <v>
</v>
      </c>
      <c r="F131" s="17" t="str">
        <f>IFERROR(__xludf.DUMMYFUNCTION("""COMPUTED_VALUE"""),"
")</f>
        <v>
</v>
      </c>
      <c r="G131" s="17" t="str">
        <f>IFERROR(__xludf.DUMMYFUNCTION("""COMPUTED_VALUE"""),"
")</f>
        <v>
</v>
      </c>
      <c r="H131" s="17" t="str">
        <f>IFERROR(__xludf.DUMMYFUNCTION("""COMPUTED_VALUE"""),"
")</f>
        <v>
</v>
      </c>
      <c r="I131" s="17" t="str">
        <f>IFERROR(__xludf.DUMMYFUNCTION("""COMPUTED_VALUE"""),"
")</f>
        <v>
</v>
      </c>
      <c r="J131" s="17" t="str">
        <f>IFERROR(__xludf.DUMMYFUNCTION("""COMPUTED_VALUE"""),"
")</f>
        <v>
</v>
      </c>
      <c r="K131" s="17" t="str">
        <f>IFERROR(__xludf.DUMMYFUNCTION("""COMPUTED_VALUE"""),"
")</f>
        <v>
</v>
      </c>
      <c r="L131" s="17" t="str">
        <f>IFERROR(__xludf.DUMMYFUNCTION("""COMPUTED_VALUE"""),"
")</f>
        <v>
</v>
      </c>
      <c r="M131" s="17" t="str">
        <f>IFERROR(__xludf.DUMMYFUNCTION("""COMPUTED_VALUE"""),"
")</f>
        <v>
</v>
      </c>
      <c r="N131" s="17" t="str">
        <f>IFERROR(__xludf.DUMMYFUNCTION("""COMPUTED_VALUE"""),"
")</f>
        <v>
</v>
      </c>
      <c r="O131" s="17" t="str">
        <f>IFERROR(__xludf.DUMMYFUNCTION("""COMPUTED_VALUE"""),"
")</f>
        <v>
</v>
      </c>
      <c r="P131" s="17" t="str">
        <f>IFERROR(__xludf.DUMMYFUNCTION("""COMPUTED_VALUE"""),"
")</f>
        <v>
</v>
      </c>
      <c r="Q131" s="17" t="str">
        <f>IFERROR(__xludf.DUMMYFUNCTION("""COMPUTED_VALUE"""),"
")</f>
        <v>
</v>
      </c>
      <c r="R131" s="17" t="str">
        <f>IFERROR(__xludf.DUMMYFUNCTION("""COMPUTED_VALUE"""),"
")</f>
        <v>
</v>
      </c>
      <c r="S131" s="17" t="str">
        <f>IFERROR(__xludf.DUMMYFUNCTION("""COMPUTED_VALUE"""),"
")</f>
        <v>
</v>
      </c>
      <c r="T131" s="17" t="str">
        <f>IFERROR(__xludf.DUMMYFUNCTION("""COMPUTED_VALUE"""),"
")</f>
        <v>
</v>
      </c>
      <c r="U131" s="17" t="str">
        <f>IFERROR(__xludf.DUMMYFUNCTION("""COMPUTED_VALUE"""),"
")</f>
        <v>
</v>
      </c>
      <c r="V131" s="17" t="str">
        <f>IFERROR(__xludf.DUMMYFUNCTION("""COMPUTED_VALUE"""),"
")</f>
        <v>
</v>
      </c>
      <c r="W131" s="17" t="str">
        <f>IFERROR(__xludf.DUMMYFUNCTION("""COMPUTED_VALUE"""),"
")</f>
        <v>
</v>
      </c>
      <c r="X131" s="17" t="str">
        <f>IFERROR(__xludf.DUMMYFUNCTION("""COMPUTED_VALUE"""),"
")</f>
        <v>
</v>
      </c>
      <c r="Y131" s="17" t="str">
        <f>IFERROR(__xludf.DUMMYFUNCTION("""COMPUTED_VALUE"""),"
")</f>
        <v>
</v>
      </c>
      <c r="Z131" s="17" t="str">
        <f>IFERROR(__xludf.DUMMYFUNCTION("""COMPUTED_VALUE"""),"
")</f>
        <v>
</v>
      </c>
      <c r="AA131" s="17" t="str">
        <f>IFERROR(__xludf.DUMMYFUNCTION("""COMPUTED_VALUE"""),"
")</f>
        <v>
</v>
      </c>
      <c r="AB131" s="17" t="str">
        <f>IFERROR(__xludf.DUMMYFUNCTION("""COMPUTED_VALUE"""),"
")</f>
        <v>
</v>
      </c>
      <c r="AC131" s="17" t="str">
        <f>IFERROR(__xludf.DUMMYFUNCTION("""COMPUTED_VALUE"""),"
")</f>
        <v>
</v>
      </c>
    </row>
    <row r="132">
      <c r="A132" s="17" t="str">
        <f>IFERROR(__xludf.DUMMYFUNCTION("""COMPUTED_VALUE"""),"Chapter 42: 35.1 Interlude Dragon - Addendum Margaret
I Am Iron Man (Marvel Cinematic Universe) 400:
You're not the ACTUAL Iron Man, but you could make a fairly decent knock-off. Power armors, sonic cannons, holographic interface, laser weapons, repulsor "&amp;"technology, you have the knowledge to build these things and more. Furthermore, you can think of different upgrades and modifications to adapt to different situations much easier than normal when presented with a problem that's hampered your technological"&amp;" progress.
System")</f>
        <v>Chapter 42: 35.1 Interlude Dragon - Addendum Margaret
I Am Iron Man (Marvel Cinematic Universe) 400:
You're not the ACTUAL Iron Man, but you could make a fairly decent knock-off. Power armors, sonic cannons, holographic interface, laser weapons, repulsor technology, you have the knowledge to build these things and more. Furthermore, you can think of different upgrades and modifications to adapt to different situations much easier than normal when presented with a problem that's hampered your technological progress.
System</v>
      </c>
      <c r="B132" s="17" t="str">
        <f>IFERROR(__xludf.DUMMYFUNCTION("""COMPUTED_VALUE"""),"
")</f>
        <v>
</v>
      </c>
      <c r="C132" s="17" t="str">
        <f>IFERROR(__xludf.DUMMYFUNCTION("""COMPUTED_VALUE"""),"
")</f>
        <v>
</v>
      </c>
      <c r="D132" s="17" t="str">
        <f>IFERROR(__xludf.DUMMYFUNCTION("""COMPUTED_VALUE"""),"
")</f>
        <v>
</v>
      </c>
      <c r="E132" s="17" t="str">
        <f>IFERROR(__xludf.DUMMYFUNCTION("""COMPUTED_VALUE"""),"
")</f>
        <v>
</v>
      </c>
      <c r="F132" s="17" t="str">
        <f>IFERROR(__xludf.DUMMYFUNCTION("""COMPUTED_VALUE"""),"
")</f>
        <v>
</v>
      </c>
      <c r="G132" s="17" t="str">
        <f>IFERROR(__xludf.DUMMYFUNCTION("""COMPUTED_VALUE"""),"
")</f>
        <v>
</v>
      </c>
      <c r="H132" s="17" t="str">
        <f>IFERROR(__xludf.DUMMYFUNCTION("""COMPUTED_VALUE"""),"
")</f>
        <v>
</v>
      </c>
      <c r="I132" s="17" t="str">
        <f>IFERROR(__xludf.DUMMYFUNCTION("""COMPUTED_VALUE"""),"
")</f>
        <v>
</v>
      </c>
      <c r="J132" s="17" t="str">
        <f>IFERROR(__xludf.DUMMYFUNCTION("""COMPUTED_VALUE"""),"
")</f>
        <v>
</v>
      </c>
      <c r="K132" s="17" t="str">
        <f>IFERROR(__xludf.DUMMYFUNCTION("""COMPUTED_VALUE"""),"
")</f>
        <v>
</v>
      </c>
      <c r="L132" s="17" t="str">
        <f>IFERROR(__xludf.DUMMYFUNCTION("""COMPUTED_VALUE"""),"
")</f>
        <v>
</v>
      </c>
      <c r="M132" s="17" t="str">
        <f>IFERROR(__xludf.DUMMYFUNCTION("""COMPUTED_VALUE"""),"
")</f>
        <v>
</v>
      </c>
      <c r="N132" s="17" t="str">
        <f>IFERROR(__xludf.DUMMYFUNCTION("""COMPUTED_VALUE"""),"
")</f>
        <v>
</v>
      </c>
      <c r="O132" s="17" t="str">
        <f>IFERROR(__xludf.DUMMYFUNCTION("""COMPUTED_VALUE"""),"
")</f>
        <v>
</v>
      </c>
      <c r="P132" s="17" t="str">
        <f>IFERROR(__xludf.DUMMYFUNCTION("""COMPUTED_VALUE"""),"
")</f>
        <v>
</v>
      </c>
      <c r="Q132" s="17" t="str">
        <f>IFERROR(__xludf.DUMMYFUNCTION("""COMPUTED_VALUE"""),"
")</f>
        <v>
</v>
      </c>
      <c r="R132" s="17" t="str">
        <f>IFERROR(__xludf.DUMMYFUNCTION("""COMPUTED_VALUE"""),"
")</f>
        <v>
</v>
      </c>
      <c r="S132" s="17" t="str">
        <f>IFERROR(__xludf.DUMMYFUNCTION("""COMPUTED_VALUE"""),"
")</f>
        <v>
</v>
      </c>
      <c r="T132" s="17" t="str">
        <f>IFERROR(__xludf.DUMMYFUNCTION("""COMPUTED_VALUE"""),"
")</f>
        <v>
</v>
      </c>
      <c r="U132" s="17" t="str">
        <f>IFERROR(__xludf.DUMMYFUNCTION("""COMPUTED_VALUE"""),"
")</f>
        <v>
</v>
      </c>
      <c r="V132" s="17" t="str">
        <f>IFERROR(__xludf.DUMMYFUNCTION("""COMPUTED_VALUE"""),"
")</f>
        <v>
</v>
      </c>
      <c r="W132" s="17" t="str">
        <f>IFERROR(__xludf.DUMMYFUNCTION("""COMPUTED_VALUE"""),"
")</f>
        <v>
</v>
      </c>
      <c r="X132" s="17" t="str">
        <f>IFERROR(__xludf.DUMMYFUNCTION("""COMPUTED_VALUE"""),"
")</f>
        <v>
</v>
      </c>
      <c r="Y132" s="17" t="str">
        <f>IFERROR(__xludf.DUMMYFUNCTION("""COMPUTED_VALUE"""),"
")</f>
        <v>
</v>
      </c>
      <c r="Z132" s="17" t="str">
        <f>IFERROR(__xludf.DUMMYFUNCTION("""COMPUTED_VALUE"""),"
")</f>
        <v>
</v>
      </c>
      <c r="AA132" s="17" t="str">
        <f>IFERROR(__xludf.DUMMYFUNCTION("""COMPUTED_VALUE"""),"
")</f>
        <v>
</v>
      </c>
      <c r="AB132" s="17" t="str">
        <f>IFERROR(__xludf.DUMMYFUNCTION("""COMPUTED_VALUE"""),"
")</f>
        <v>
</v>
      </c>
      <c r="AC132" s="17" t="str">
        <f>IFERROR(__xludf.DUMMYFUNCTION("""COMPUTED_VALUE"""),"
")</f>
        <v>
</v>
      </c>
    </row>
    <row r="133">
      <c r="A133" s="17" t="str">
        <f>IFERROR(__xludf.DUMMYFUNCTION("""COMPUTED_VALUE"""),"Chapter 05: 4 Recovery
Not A Stupid Grunt (Mass Effect) 100:
That you are not. You are smart enough to be the foremost scientist in your field. This doesn't make you so, but you could get there on your own with not a terrible amount of effort. Still not a"&amp;"s smart as a drell, but hey, who is?
Personal")</f>
        <v>Chapter 05: 4 Recovery
Not A Stupid Grunt (Mass Effect) 100:
That you are not. You are smart enough to be the foremost scientist in your field. This doesn't make you so, but you could get there on your own with not a terrible amount of effort. Still not as smart as a drell, but hey, who is?
Personal</v>
      </c>
      <c r="B133" s="17" t="str">
        <f>IFERROR(__xludf.DUMMYFUNCTION("""COMPUTED_VALUE"""),"
")</f>
        <v>
</v>
      </c>
      <c r="C133" s="17" t="str">
        <f>IFERROR(__xludf.DUMMYFUNCTION("""COMPUTED_VALUE"""),"
")</f>
        <v>
</v>
      </c>
      <c r="D133" s="17" t="str">
        <f>IFERROR(__xludf.DUMMYFUNCTION("""COMPUTED_VALUE"""),"
")</f>
        <v>
</v>
      </c>
      <c r="E133" s="17" t="str">
        <f>IFERROR(__xludf.DUMMYFUNCTION("""COMPUTED_VALUE"""),"
")</f>
        <v>
</v>
      </c>
      <c r="F133" s="17" t="str">
        <f>IFERROR(__xludf.DUMMYFUNCTION("""COMPUTED_VALUE"""),"
")</f>
        <v>
</v>
      </c>
      <c r="G133" s="17" t="str">
        <f>IFERROR(__xludf.DUMMYFUNCTION("""COMPUTED_VALUE"""),"
")</f>
        <v>
</v>
      </c>
      <c r="H133" s="17" t="str">
        <f>IFERROR(__xludf.DUMMYFUNCTION("""COMPUTED_VALUE"""),"
")</f>
        <v>
</v>
      </c>
      <c r="I133" s="17" t="str">
        <f>IFERROR(__xludf.DUMMYFUNCTION("""COMPUTED_VALUE"""),"
")</f>
        <v>
</v>
      </c>
      <c r="J133" s="17" t="str">
        <f>IFERROR(__xludf.DUMMYFUNCTION("""COMPUTED_VALUE"""),"
")</f>
        <v>
</v>
      </c>
      <c r="K133" s="17" t="str">
        <f>IFERROR(__xludf.DUMMYFUNCTION("""COMPUTED_VALUE"""),"
")</f>
        <v>
</v>
      </c>
      <c r="L133" s="17" t="str">
        <f>IFERROR(__xludf.DUMMYFUNCTION("""COMPUTED_VALUE"""),"
")</f>
        <v>
</v>
      </c>
      <c r="M133" s="17" t="str">
        <f>IFERROR(__xludf.DUMMYFUNCTION("""COMPUTED_VALUE"""),"
")</f>
        <v>
</v>
      </c>
      <c r="N133" s="17" t="str">
        <f>IFERROR(__xludf.DUMMYFUNCTION("""COMPUTED_VALUE"""),"
")</f>
        <v>
</v>
      </c>
      <c r="O133" s="17" t="str">
        <f>IFERROR(__xludf.DUMMYFUNCTION("""COMPUTED_VALUE"""),"
")</f>
        <v>
</v>
      </c>
      <c r="P133" s="17" t="str">
        <f>IFERROR(__xludf.DUMMYFUNCTION("""COMPUTED_VALUE"""),"
")</f>
        <v>
</v>
      </c>
      <c r="Q133" s="17" t="str">
        <f>IFERROR(__xludf.DUMMYFUNCTION("""COMPUTED_VALUE"""),"
")</f>
        <v>
</v>
      </c>
      <c r="R133" s="17" t="str">
        <f>IFERROR(__xludf.DUMMYFUNCTION("""COMPUTED_VALUE"""),"
")</f>
        <v>
</v>
      </c>
      <c r="S133" s="17" t="str">
        <f>IFERROR(__xludf.DUMMYFUNCTION("""COMPUTED_VALUE"""),"
")</f>
        <v>
</v>
      </c>
      <c r="T133" s="17" t="str">
        <f>IFERROR(__xludf.DUMMYFUNCTION("""COMPUTED_VALUE"""),"
")</f>
        <v>
</v>
      </c>
      <c r="U133" s="17" t="str">
        <f>IFERROR(__xludf.DUMMYFUNCTION("""COMPUTED_VALUE"""),"
")</f>
        <v>
</v>
      </c>
      <c r="V133" s="17" t="str">
        <f>IFERROR(__xludf.DUMMYFUNCTION("""COMPUTED_VALUE"""),"
")</f>
        <v>
</v>
      </c>
      <c r="W133" s="17" t="str">
        <f>IFERROR(__xludf.DUMMYFUNCTION("""COMPUTED_VALUE"""),"
")</f>
        <v>
</v>
      </c>
      <c r="X133" s="17" t="str">
        <f>IFERROR(__xludf.DUMMYFUNCTION("""COMPUTED_VALUE"""),"
")</f>
        <v>
</v>
      </c>
      <c r="Y133" s="17" t="str">
        <f>IFERROR(__xludf.DUMMYFUNCTION("""COMPUTED_VALUE"""),"
")</f>
        <v>
</v>
      </c>
      <c r="Z133" s="17" t="str">
        <f>IFERROR(__xludf.DUMMYFUNCTION("""COMPUTED_VALUE"""),"
")</f>
        <v>
</v>
      </c>
      <c r="AA133" s="17" t="str">
        <f>IFERROR(__xludf.DUMMYFUNCTION("""COMPUTED_VALUE"""),"
")</f>
        <v>
</v>
      </c>
      <c r="AB133" s="17" t="str">
        <f>IFERROR(__xludf.DUMMYFUNCTION("""COMPUTED_VALUE"""),"
")</f>
        <v>
</v>
      </c>
      <c r="AC133" s="17" t="str">
        <f>IFERROR(__xludf.DUMMYFUNCTION("""COMPUTED_VALUE"""),"
")</f>
        <v>
</v>
      </c>
    </row>
    <row r="134">
      <c r="A134" s="17" t="str">
        <f>IFERROR(__xludf.DUMMYFUNCTION("""COMPUTED_VALUE"""),"")</f>
        <v/>
      </c>
      <c r="B134" s="17" t="str">
        <f>IFERROR(__xludf.DUMMYFUNCTION("""COMPUTED_VALUE"""),"")</f>
        <v/>
      </c>
      <c r="C134" s="17" t="str">
        <f>IFERROR(__xludf.DUMMYFUNCTION("""COMPUTED_VALUE"""),"")</f>
        <v/>
      </c>
      <c r="D134" s="17" t="str">
        <f>IFERROR(__xludf.DUMMYFUNCTION("""COMPUTED_VALUE"""),"")</f>
        <v/>
      </c>
      <c r="E134" s="17" t="str">
        <f>IFERROR(__xludf.DUMMYFUNCTION("""COMPUTED_VALUE"""),"")</f>
        <v/>
      </c>
      <c r="F134" s="17" t="str">
        <f>IFERROR(__xludf.DUMMYFUNCTION("""COMPUTED_VALUE"""),"")</f>
        <v/>
      </c>
      <c r="G134" s="17" t="str">
        <f>IFERROR(__xludf.DUMMYFUNCTION("""COMPUTED_VALUE"""),"")</f>
        <v/>
      </c>
      <c r="H134" s="17" t="str">
        <f>IFERROR(__xludf.DUMMYFUNCTION("""COMPUTED_VALUE"""),"")</f>
        <v/>
      </c>
      <c r="I134" s="17" t="str">
        <f>IFERROR(__xludf.DUMMYFUNCTION("""COMPUTED_VALUE"""),"")</f>
        <v/>
      </c>
      <c r="J134" s="17" t="str">
        <f>IFERROR(__xludf.DUMMYFUNCTION("""COMPUTED_VALUE"""),"")</f>
        <v/>
      </c>
      <c r="K134" s="17" t="str">
        <f>IFERROR(__xludf.DUMMYFUNCTION("""COMPUTED_VALUE"""),"")</f>
        <v/>
      </c>
      <c r="L134" s="17" t="str">
        <f>IFERROR(__xludf.DUMMYFUNCTION("""COMPUTED_VALUE"""),"")</f>
        <v/>
      </c>
      <c r="M134" s="17" t="str">
        <f>IFERROR(__xludf.DUMMYFUNCTION("""COMPUTED_VALUE"""),"")</f>
        <v/>
      </c>
      <c r="N134" s="17" t="str">
        <f>IFERROR(__xludf.DUMMYFUNCTION("""COMPUTED_VALUE"""),"")</f>
        <v/>
      </c>
      <c r="O134" s="17" t="str">
        <f>IFERROR(__xludf.DUMMYFUNCTION("""COMPUTED_VALUE"""),"")</f>
        <v/>
      </c>
      <c r="P134" s="17" t="str">
        <f>IFERROR(__xludf.DUMMYFUNCTION("""COMPUTED_VALUE"""),"")</f>
        <v/>
      </c>
      <c r="Q134" s="17" t="str">
        <f>IFERROR(__xludf.DUMMYFUNCTION("""COMPUTED_VALUE"""),"")</f>
        <v/>
      </c>
      <c r="R134" s="17" t="str">
        <f>IFERROR(__xludf.DUMMYFUNCTION("""COMPUTED_VALUE"""),"")</f>
        <v/>
      </c>
      <c r="S134" s="17" t="str">
        <f>IFERROR(__xludf.DUMMYFUNCTION("""COMPUTED_VALUE"""),"")</f>
        <v/>
      </c>
      <c r="T134" s="17" t="str">
        <f>IFERROR(__xludf.DUMMYFUNCTION("""COMPUTED_VALUE"""),"")</f>
        <v/>
      </c>
      <c r="U134" s="17" t="str">
        <f>IFERROR(__xludf.DUMMYFUNCTION("""COMPUTED_VALUE"""),"")</f>
        <v/>
      </c>
      <c r="V134" s="17" t="str">
        <f>IFERROR(__xludf.DUMMYFUNCTION("""COMPUTED_VALUE"""),"")</f>
        <v/>
      </c>
      <c r="W134" s="17" t="str">
        <f>IFERROR(__xludf.DUMMYFUNCTION("""COMPUTED_VALUE"""),"")</f>
        <v/>
      </c>
      <c r="X134" s="17" t="str">
        <f>IFERROR(__xludf.DUMMYFUNCTION("""COMPUTED_VALUE"""),"")</f>
        <v/>
      </c>
      <c r="Y134" s="17" t="str">
        <f>IFERROR(__xludf.DUMMYFUNCTION("""COMPUTED_VALUE"""),"")</f>
        <v/>
      </c>
      <c r="Z134" s="17" t="str">
        <f>IFERROR(__xludf.DUMMYFUNCTION("""COMPUTED_VALUE"""),"")</f>
        <v/>
      </c>
      <c r="AA134" s="17" t="str">
        <f>IFERROR(__xludf.DUMMYFUNCTION("""COMPUTED_VALUE"""),"")</f>
        <v/>
      </c>
      <c r="AB134" s="17" t="str">
        <f>IFERROR(__xludf.DUMMYFUNCTION("""COMPUTED_VALUE"""),"")</f>
        <v/>
      </c>
      <c r="AC134" s="17" t="str">
        <f>IFERROR(__xludf.DUMMYFUNCTION("""COMPUTED_VALUE"""),"")</f>
        <v/>
      </c>
    </row>
    <row r="135">
      <c r="A135" s="17" t="str">
        <f>IFERROR(__xludf.DUMMYFUNCTION("""COMPUTED_VALUE"""),"")</f>
        <v/>
      </c>
      <c r="B135" s="17" t="str">
        <f>IFERROR(__xludf.DUMMYFUNCTION("""COMPUTED_VALUE"""),"")</f>
        <v/>
      </c>
      <c r="C135" s="17" t="str">
        <f>IFERROR(__xludf.DUMMYFUNCTION("""COMPUTED_VALUE"""),"")</f>
        <v/>
      </c>
      <c r="D135" s="17" t="str">
        <f>IFERROR(__xludf.DUMMYFUNCTION("""COMPUTED_VALUE"""),"")</f>
        <v/>
      </c>
      <c r="E135" s="17" t="str">
        <f>IFERROR(__xludf.DUMMYFUNCTION("""COMPUTED_VALUE"""),"")</f>
        <v/>
      </c>
      <c r="F135" s="17" t="str">
        <f>IFERROR(__xludf.DUMMYFUNCTION("""COMPUTED_VALUE"""),"")</f>
        <v/>
      </c>
      <c r="G135" s="17" t="str">
        <f>IFERROR(__xludf.DUMMYFUNCTION("""COMPUTED_VALUE"""),"")</f>
        <v/>
      </c>
      <c r="H135" s="17" t="str">
        <f>IFERROR(__xludf.DUMMYFUNCTION("""COMPUTED_VALUE"""),"")</f>
        <v/>
      </c>
      <c r="I135" s="17" t="str">
        <f>IFERROR(__xludf.DUMMYFUNCTION("""COMPUTED_VALUE"""),"")</f>
        <v/>
      </c>
      <c r="J135" s="17" t="str">
        <f>IFERROR(__xludf.DUMMYFUNCTION("""COMPUTED_VALUE"""),"")</f>
        <v/>
      </c>
      <c r="K135" s="17" t="str">
        <f>IFERROR(__xludf.DUMMYFUNCTION("""COMPUTED_VALUE"""),"")</f>
        <v/>
      </c>
      <c r="L135" s="17" t="str">
        <f>IFERROR(__xludf.DUMMYFUNCTION("""COMPUTED_VALUE"""),"")</f>
        <v/>
      </c>
      <c r="M135" s="17" t="str">
        <f>IFERROR(__xludf.DUMMYFUNCTION("""COMPUTED_VALUE"""),"")</f>
        <v/>
      </c>
      <c r="N135" s="17" t="str">
        <f>IFERROR(__xludf.DUMMYFUNCTION("""COMPUTED_VALUE"""),"")</f>
        <v/>
      </c>
      <c r="O135" s="17" t="str">
        <f>IFERROR(__xludf.DUMMYFUNCTION("""COMPUTED_VALUE"""),"")</f>
        <v/>
      </c>
      <c r="P135" s="17" t="str">
        <f>IFERROR(__xludf.DUMMYFUNCTION("""COMPUTED_VALUE"""),"")</f>
        <v/>
      </c>
      <c r="Q135" s="17" t="str">
        <f>IFERROR(__xludf.DUMMYFUNCTION("""COMPUTED_VALUE"""),"")</f>
        <v/>
      </c>
      <c r="R135" s="17" t="str">
        <f>IFERROR(__xludf.DUMMYFUNCTION("""COMPUTED_VALUE"""),"")</f>
        <v/>
      </c>
      <c r="S135" s="17" t="str">
        <f>IFERROR(__xludf.DUMMYFUNCTION("""COMPUTED_VALUE"""),"")</f>
        <v/>
      </c>
      <c r="T135" s="17" t="str">
        <f>IFERROR(__xludf.DUMMYFUNCTION("""COMPUTED_VALUE"""),"")</f>
        <v/>
      </c>
      <c r="U135" s="17" t="str">
        <f>IFERROR(__xludf.DUMMYFUNCTION("""COMPUTED_VALUE"""),"")</f>
        <v/>
      </c>
      <c r="V135" s="17" t="str">
        <f>IFERROR(__xludf.DUMMYFUNCTION("""COMPUTED_VALUE"""),"")</f>
        <v/>
      </c>
      <c r="W135" s="17" t="str">
        <f>IFERROR(__xludf.DUMMYFUNCTION("""COMPUTED_VALUE"""),"")</f>
        <v/>
      </c>
      <c r="X135" s="17" t="str">
        <f>IFERROR(__xludf.DUMMYFUNCTION("""COMPUTED_VALUE"""),"")</f>
        <v/>
      </c>
      <c r="Y135" s="17" t="str">
        <f>IFERROR(__xludf.DUMMYFUNCTION("""COMPUTED_VALUE"""),"")</f>
        <v/>
      </c>
      <c r="Z135" s="17" t="str">
        <f>IFERROR(__xludf.DUMMYFUNCTION("""COMPUTED_VALUE"""),"")</f>
        <v/>
      </c>
      <c r="AA135" s="17" t="str">
        <f>IFERROR(__xludf.DUMMYFUNCTION("""COMPUTED_VALUE"""),"")</f>
        <v/>
      </c>
      <c r="AB135" s="17" t="str">
        <f>IFERROR(__xludf.DUMMYFUNCTION("""COMPUTED_VALUE"""),"")</f>
        <v/>
      </c>
      <c r="AC135" s="17" t="str">
        <f>IFERROR(__xludf.DUMMYFUNCTION("""COMPUTED_VALUE"""),"")</f>
        <v/>
      </c>
    </row>
    <row r="136">
      <c r="A136" s="17" t="str">
        <f>IFERROR(__xludf.DUMMYFUNCTION("""COMPUTED_VALUE"""),"Chapter 37: 31 Consensus - Preamble PHO - Addendum Accord
Analysis (Red Alert 3) 100:
You can immediately identify any defects in hardware upon casual observation. This is effective on devices, Vehicles, and buildings.
Analysis")</f>
        <v>Chapter 37: 31 Consensus - Preamble PHO - Addendum Accord
Analysis (Red Alert 3) 100:
You can immediately identify any defects in hardware upon casual observation. This is effective on devices, Vehicles, and buildings.
Analysis</v>
      </c>
      <c r="B136" s="17" t="str">
        <f>IFERROR(__xludf.DUMMYFUNCTION("""COMPUTED_VALUE"""),"
")</f>
        <v>
</v>
      </c>
      <c r="C136" s="17" t="str">
        <f>IFERROR(__xludf.DUMMYFUNCTION("""COMPUTED_VALUE"""),"
")</f>
        <v>
</v>
      </c>
      <c r="D136" s="17" t="str">
        <f>IFERROR(__xludf.DUMMYFUNCTION("""COMPUTED_VALUE"""),"
")</f>
        <v>
</v>
      </c>
      <c r="E136" s="17" t="str">
        <f>IFERROR(__xludf.DUMMYFUNCTION("""COMPUTED_VALUE"""),"
")</f>
        <v>
</v>
      </c>
      <c r="F136" s="17" t="str">
        <f>IFERROR(__xludf.DUMMYFUNCTION("""COMPUTED_VALUE"""),"
")</f>
        <v>
</v>
      </c>
      <c r="G136" s="17" t="str">
        <f>IFERROR(__xludf.DUMMYFUNCTION("""COMPUTED_VALUE"""),"
")</f>
        <v>
</v>
      </c>
      <c r="H136" s="17" t="str">
        <f>IFERROR(__xludf.DUMMYFUNCTION("""COMPUTED_VALUE"""),"
")</f>
        <v>
</v>
      </c>
      <c r="I136" s="17" t="str">
        <f>IFERROR(__xludf.DUMMYFUNCTION("""COMPUTED_VALUE"""),"
")</f>
        <v>
</v>
      </c>
      <c r="J136" s="17" t="str">
        <f>IFERROR(__xludf.DUMMYFUNCTION("""COMPUTED_VALUE"""),"
")</f>
        <v>
</v>
      </c>
      <c r="K136" s="17" t="str">
        <f>IFERROR(__xludf.DUMMYFUNCTION("""COMPUTED_VALUE"""),"
")</f>
        <v>
</v>
      </c>
      <c r="L136" s="17" t="str">
        <f>IFERROR(__xludf.DUMMYFUNCTION("""COMPUTED_VALUE"""),"
")</f>
        <v>
</v>
      </c>
      <c r="M136" s="17" t="str">
        <f>IFERROR(__xludf.DUMMYFUNCTION("""COMPUTED_VALUE"""),"
")</f>
        <v>
</v>
      </c>
      <c r="N136" s="17" t="str">
        <f>IFERROR(__xludf.DUMMYFUNCTION("""COMPUTED_VALUE"""),"
")</f>
        <v>
</v>
      </c>
      <c r="O136" s="17" t="str">
        <f>IFERROR(__xludf.DUMMYFUNCTION("""COMPUTED_VALUE"""),"
")</f>
        <v>
</v>
      </c>
      <c r="P136" s="17" t="str">
        <f>IFERROR(__xludf.DUMMYFUNCTION("""COMPUTED_VALUE"""),"
")</f>
        <v>
</v>
      </c>
      <c r="Q136" s="17" t="str">
        <f>IFERROR(__xludf.DUMMYFUNCTION("""COMPUTED_VALUE"""),"
")</f>
        <v>
</v>
      </c>
      <c r="R136" s="17" t="str">
        <f>IFERROR(__xludf.DUMMYFUNCTION("""COMPUTED_VALUE"""),"
")</f>
        <v>
</v>
      </c>
      <c r="S136" s="17" t="str">
        <f>IFERROR(__xludf.DUMMYFUNCTION("""COMPUTED_VALUE"""),"
")</f>
        <v>
</v>
      </c>
      <c r="T136" s="17" t="str">
        <f>IFERROR(__xludf.DUMMYFUNCTION("""COMPUTED_VALUE"""),"
")</f>
        <v>
</v>
      </c>
      <c r="U136" s="17" t="str">
        <f>IFERROR(__xludf.DUMMYFUNCTION("""COMPUTED_VALUE"""),"
")</f>
        <v>
</v>
      </c>
      <c r="V136" s="17" t="str">
        <f>IFERROR(__xludf.DUMMYFUNCTION("""COMPUTED_VALUE"""),"
")</f>
        <v>
</v>
      </c>
      <c r="W136" s="17" t="str">
        <f>IFERROR(__xludf.DUMMYFUNCTION("""COMPUTED_VALUE"""),"
")</f>
        <v>
</v>
      </c>
      <c r="X136" s="17" t="str">
        <f>IFERROR(__xludf.DUMMYFUNCTION("""COMPUTED_VALUE"""),"
")</f>
        <v>
</v>
      </c>
      <c r="Y136" s="17" t="str">
        <f>IFERROR(__xludf.DUMMYFUNCTION("""COMPUTED_VALUE"""),"
")</f>
        <v>
</v>
      </c>
      <c r="Z136" s="17" t="str">
        <f>IFERROR(__xludf.DUMMYFUNCTION("""COMPUTED_VALUE"""),"
")</f>
        <v>
</v>
      </c>
      <c r="AA136" s="17" t="str">
        <f>IFERROR(__xludf.DUMMYFUNCTION("""COMPUTED_VALUE"""),"
")</f>
        <v>
</v>
      </c>
      <c r="AB136" s="17" t="str">
        <f>IFERROR(__xludf.DUMMYFUNCTION("""COMPUTED_VALUE"""),"
")</f>
        <v>
</v>
      </c>
      <c r="AC136" s="17" t="str">
        <f>IFERROR(__xludf.DUMMYFUNCTION("""COMPUTED_VALUE"""),"
")</f>
        <v>
</v>
      </c>
    </row>
    <row r="137">
      <c r="A137" s="17" t="str">
        <f>IFERROR(__xludf.DUMMYFUNCTION("""COMPUTED_VALUE"""),"Chapter 82: 63 Summit Conclusion
upgrades! Upgrades!! UPGRADES!!! (Red Faction) 400:
You can make it all better. By studying a piece of technology for a short while, you can come up with ways to improve its functions or fix design flaws, though you’ll sti"&amp;"ll need the related technical skills to figure out details. In addition, you can use salvaged materials in lieu of fresh parts for this task.
Analysis")</f>
        <v>Chapter 82: 63 Summit Conclusion
upgrades! Upgrades!! UPGRADES!!! (Red Faction) 400:
You can make it all better. By studying a piece of technology for a short while, you can come up with ways to improve its functions or fix design flaws, though you’ll still need the related technical skills to figure out details. In addition, you can use salvaged materials in lieu of fresh parts for this task.
Analysis</v>
      </c>
      <c r="B137" s="17" t="str">
        <f>IFERROR(__xludf.DUMMYFUNCTION("""COMPUTED_VALUE"""),"
")</f>
        <v>
</v>
      </c>
      <c r="C137" s="17" t="str">
        <f>IFERROR(__xludf.DUMMYFUNCTION("""COMPUTED_VALUE"""),"
")</f>
        <v>
</v>
      </c>
      <c r="D137" s="17" t="str">
        <f>IFERROR(__xludf.DUMMYFUNCTION("""COMPUTED_VALUE"""),"
")</f>
        <v>
</v>
      </c>
      <c r="E137" s="17" t="str">
        <f>IFERROR(__xludf.DUMMYFUNCTION("""COMPUTED_VALUE"""),"
")</f>
        <v>
</v>
      </c>
      <c r="F137" s="17" t="str">
        <f>IFERROR(__xludf.DUMMYFUNCTION("""COMPUTED_VALUE"""),"
")</f>
        <v>
</v>
      </c>
      <c r="G137" s="17" t="str">
        <f>IFERROR(__xludf.DUMMYFUNCTION("""COMPUTED_VALUE"""),"
")</f>
        <v>
</v>
      </c>
      <c r="H137" s="17" t="str">
        <f>IFERROR(__xludf.DUMMYFUNCTION("""COMPUTED_VALUE"""),"
")</f>
        <v>
</v>
      </c>
      <c r="I137" s="17" t="str">
        <f>IFERROR(__xludf.DUMMYFUNCTION("""COMPUTED_VALUE"""),"
")</f>
        <v>
</v>
      </c>
      <c r="J137" s="17" t="str">
        <f>IFERROR(__xludf.DUMMYFUNCTION("""COMPUTED_VALUE"""),"
")</f>
        <v>
</v>
      </c>
      <c r="K137" s="17" t="str">
        <f>IFERROR(__xludf.DUMMYFUNCTION("""COMPUTED_VALUE"""),"
")</f>
        <v>
</v>
      </c>
      <c r="L137" s="17" t="str">
        <f>IFERROR(__xludf.DUMMYFUNCTION("""COMPUTED_VALUE"""),"
")</f>
        <v>
</v>
      </c>
      <c r="M137" s="17" t="str">
        <f>IFERROR(__xludf.DUMMYFUNCTION("""COMPUTED_VALUE"""),"
")</f>
        <v>
</v>
      </c>
      <c r="N137" s="17" t="str">
        <f>IFERROR(__xludf.DUMMYFUNCTION("""COMPUTED_VALUE"""),"
")</f>
        <v>
</v>
      </c>
      <c r="O137" s="17" t="str">
        <f>IFERROR(__xludf.DUMMYFUNCTION("""COMPUTED_VALUE"""),"
")</f>
        <v>
</v>
      </c>
      <c r="P137" s="17" t="str">
        <f>IFERROR(__xludf.DUMMYFUNCTION("""COMPUTED_VALUE"""),"
")</f>
        <v>
</v>
      </c>
      <c r="Q137" s="17" t="str">
        <f>IFERROR(__xludf.DUMMYFUNCTION("""COMPUTED_VALUE"""),"
")</f>
        <v>
</v>
      </c>
      <c r="R137" s="17" t="str">
        <f>IFERROR(__xludf.DUMMYFUNCTION("""COMPUTED_VALUE"""),"
")</f>
        <v>
</v>
      </c>
      <c r="S137" s="17" t="str">
        <f>IFERROR(__xludf.DUMMYFUNCTION("""COMPUTED_VALUE"""),"
")</f>
        <v>
</v>
      </c>
      <c r="T137" s="17" t="str">
        <f>IFERROR(__xludf.DUMMYFUNCTION("""COMPUTED_VALUE"""),"
")</f>
        <v>
</v>
      </c>
      <c r="U137" s="17" t="str">
        <f>IFERROR(__xludf.DUMMYFUNCTION("""COMPUTED_VALUE"""),"
")</f>
        <v>
</v>
      </c>
      <c r="V137" s="17" t="str">
        <f>IFERROR(__xludf.DUMMYFUNCTION("""COMPUTED_VALUE"""),"
")</f>
        <v>
</v>
      </c>
      <c r="W137" s="17" t="str">
        <f>IFERROR(__xludf.DUMMYFUNCTION("""COMPUTED_VALUE"""),"
")</f>
        <v>
</v>
      </c>
      <c r="X137" s="17" t="str">
        <f>IFERROR(__xludf.DUMMYFUNCTION("""COMPUTED_VALUE"""),"
")</f>
        <v>
</v>
      </c>
      <c r="Y137" s="17" t="str">
        <f>IFERROR(__xludf.DUMMYFUNCTION("""COMPUTED_VALUE"""),"
")</f>
        <v>
</v>
      </c>
      <c r="Z137" s="17" t="str">
        <f>IFERROR(__xludf.DUMMYFUNCTION("""COMPUTED_VALUE"""),"
")</f>
        <v>
</v>
      </c>
      <c r="AA137" s="17" t="str">
        <f>IFERROR(__xludf.DUMMYFUNCTION("""COMPUTED_VALUE"""),"
")</f>
        <v>
</v>
      </c>
      <c r="AB137" s="17" t="str">
        <f>IFERROR(__xludf.DUMMYFUNCTION("""COMPUTED_VALUE"""),"
")</f>
        <v>
</v>
      </c>
      <c r="AC137" s="17" t="str">
        <f>IFERROR(__xludf.DUMMYFUNCTION("""COMPUTED_VALUE"""),"
")</f>
        <v>
</v>
      </c>
    </row>
    <row r="138">
      <c r="A138" s="17" t="str">
        <f>IFERROR(__xludf.DUMMYFUNCTION("""COMPUTED_VALUE"""),"")</f>
        <v/>
      </c>
      <c r="B138" s="17" t="str">
        <f>IFERROR(__xludf.DUMMYFUNCTION("""COMPUTED_VALUE"""),"")</f>
        <v/>
      </c>
      <c r="C138" s="17" t="str">
        <f>IFERROR(__xludf.DUMMYFUNCTION("""COMPUTED_VALUE"""),"")</f>
        <v/>
      </c>
      <c r="D138" s="17" t="str">
        <f>IFERROR(__xludf.DUMMYFUNCTION("""COMPUTED_VALUE"""),"")</f>
        <v/>
      </c>
      <c r="E138" s="17" t="str">
        <f>IFERROR(__xludf.DUMMYFUNCTION("""COMPUTED_VALUE"""),"")</f>
        <v/>
      </c>
      <c r="F138" s="17" t="str">
        <f>IFERROR(__xludf.DUMMYFUNCTION("""COMPUTED_VALUE"""),"")</f>
        <v/>
      </c>
      <c r="G138" s="17" t="str">
        <f>IFERROR(__xludf.DUMMYFUNCTION("""COMPUTED_VALUE"""),"")</f>
        <v/>
      </c>
      <c r="H138" s="17" t="str">
        <f>IFERROR(__xludf.DUMMYFUNCTION("""COMPUTED_VALUE"""),"")</f>
        <v/>
      </c>
      <c r="I138" s="17" t="str">
        <f>IFERROR(__xludf.DUMMYFUNCTION("""COMPUTED_VALUE"""),"")</f>
        <v/>
      </c>
      <c r="J138" s="17" t="str">
        <f>IFERROR(__xludf.DUMMYFUNCTION("""COMPUTED_VALUE"""),"")</f>
        <v/>
      </c>
      <c r="K138" s="17" t="str">
        <f>IFERROR(__xludf.DUMMYFUNCTION("""COMPUTED_VALUE"""),"")</f>
        <v/>
      </c>
      <c r="L138" s="17" t="str">
        <f>IFERROR(__xludf.DUMMYFUNCTION("""COMPUTED_VALUE"""),"")</f>
        <v/>
      </c>
      <c r="M138" s="17" t="str">
        <f>IFERROR(__xludf.DUMMYFUNCTION("""COMPUTED_VALUE"""),"")</f>
        <v/>
      </c>
      <c r="N138" s="17" t="str">
        <f>IFERROR(__xludf.DUMMYFUNCTION("""COMPUTED_VALUE"""),"")</f>
        <v/>
      </c>
      <c r="O138" s="17" t="str">
        <f>IFERROR(__xludf.DUMMYFUNCTION("""COMPUTED_VALUE"""),"")</f>
        <v/>
      </c>
      <c r="P138" s="17" t="str">
        <f>IFERROR(__xludf.DUMMYFUNCTION("""COMPUTED_VALUE"""),"")</f>
        <v/>
      </c>
      <c r="Q138" s="17" t="str">
        <f>IFERROR(__xludf.DUMMYFUNCTION("""COMPUTED_VALUE"""),"")</f>
        <v/>
      </c>
      <c r="R138" s="17" t="str">
        <f>IFERROR(__xludf.DUMMYFUNCTION("""COMPUTED_VALUE"""),"")</f>
        <v/>
      </c>
      <c r="S138" s="17" t="str">
        <f>IFERROR(__xludf.DUMMYFUNCTION("""COMPUTED_VALUE"""),"")</f>
        <v/>
      </c>
      <c r="T138" s="17" t="str">
        <f>IFERROR(__xludf.DUMMYFUNCTION("""COMPUTED_VALUE"""),"")</f>
        <v/>
      </c>
      <c r="U138" s="17" t="str">
        <f>IFERROR(__xludf.DUMMYFUNCTION("""COMPUTED_VALUE"""),"")</f>
        <v/>
      </c>
      <c r="V138" s="17" t="str">
        <f>IFERROR(__xludf.DUMMYFUNCTION("""COMPUTED_VALUE"""),"")</f>
        <v/>
      </c>
      <c r="W138" s="17" t="str">
        <f>IFERROR(__xludf.DUMMYFUNCTION("""COMPUTED_VALUE"""),"")</f>
        <v/>
      </c>
      <c r="X138" s="17" t="str">
        <f>IFERROR(__xludf.DUMMYFUNCTION("""COMPUTED_VALUE"""),"")</f>
        <v/>
      </c>
      <c r="Y138" s="17" t="str">
        <f>IFERROR(__xludf.DUMMYFUNCTION("""COMPUTED_VALUE"""),"")</f>
        <v/>
      </c>
      <c r="Z138" s="17" t="str">
        <f>IFERROR(__xludf.DUMMYFUNCTION("""COMPUTED_VALUE"""),"")</f>
        <v/>
      </c>
      <c r="AA138" s="17" t="str">
        <f>IFERROR(__xludf.DUMMYFUNCTION("""COMPUTED_VALUE"""),"")</f>
        <v/>
      </c>
      <c r="AB138" s="17" t="str">
        <f>IFERROR(__xludf.DUMMYFUNCTION("""COMPUTED_VALUE"""),"")</f>
        <v/>
      </c>
      <c r="AC138" s="17" t="str">
        <f>IFERROR(__xludf.DUMMYFUNCTION("""COMPUTED_VALUE"""),"")</f>
        <v/>
      </c>
    </row>
    <row r="139">
      <c r="A139" s="17" t="str">
        <f>IFERROR(__xludf.DUMMYFUNCTION("""COMPUTED_VALUE"""),"")</f>
        <v/>
      </c>
      <c r="B139" s="17" t="str">
        <f>IFERROR(__xludf.DUMMYFUNCTION("""COMPUTED_VALUE"""),"")</f>
        <v/>
      </c>
      <c r="C139" s="17" t="str">
        <f>IFERROR(__xludf.DUMMYFUNCTION("""COMPUTED_VALUE"""),"")</f>
        <v/>
      </c>
      <c r="D139" s="17" t="str">
        <f>IFERROR(__xludf.DUMMYFUNCTION("""COMPUTED_VALUE"""),"")</f>
        <v/>
      </c>
      <c r="E139" s="17" t="str">
        <f>IFERROR(__xludf.DUMMYFUNCTION("""COMPUTED_VALUE"""),"")</f>
        <v/>
      </c>
      <c r="F139" s="17" t="str">
        <f>IFERROR(__xludf.DUMMYFUNCTION("""COMPUTED_VALUE"""),"")</f>
        <v/>
      </c>
      <c r="G139" s="17" t="str">
        <f>IFERROR(__xludf.DUMMYFUNCTION("""COMPUTED_VALUE"""),"")</f>
        <v/>
      </c>
      <c r="H139" s="17" t="str">
        <f>IFERROR(__xludf.DUMMYFUNCTION("""COMPUTED_VALUE"""),"")</f>
        <v/>
      </c>
      <c r="I139" s="17" t="str">
        <f>IFERROR(__xludf.DUMMYFUNCTION("""COMPUTED_VALUE"""),"")</f>
        <v/>
      </c>
      <c r="J139" s="17" t="str">
        <f>IFERROR(__xludf.DUMMYFUNCTION("""COMPUTED_VALUE"""),"")</f>
        <v/>
      </c>
      <c r="K139" s="17" t="str">
        <f>IFERROR(__xludf.DUMMYFUNCTION("""COMPUTED_VALUE"""),"")</f>
        <v/>
      </c>
      <c r="L139" s="17" t="str">
        <f>IFERROR(__xludf.DUMMYFUNCTION("""COMPUTED_VALUE"""),"")</f>
        <v/>
      </c>
      <c r="M139" s="17" t="str">
        <f>IFERROR(__xludf.DUMMYFUNCTION("""COMPUTED_VALUE"""),"")</f>
        <v/>
      </c>
      <c r="N139" s="17" t="str">
        <f>IFERROR(__xludf.DUMMYFUNCTION("""COMPUTED_VALUE"""),"")</f>
        <v/>
      </c>
      <c r="O139" s="17" t="str">
        <f>IFERROR(__xludf.DUMMYFUNCTION("""COMPUTED_VALUE"""),"")</f>
        <v/>
      </c>
      <c r="P139" s="17" t="str">
        <f>IFERROR(__xludf.DUMMYFUNCTION("""COMPUTED_VALUE"""),"")</f>
        <v/>
      </c>
      <c r="Q139" s="17" t="str">
        <f>IFERROR(__xludf.DUMMYFUNCTION("""COMPUTED_VALUE"""),"")</f>
        <v/>
      </c>
      <c r="R139" s="17" t="str">
        <f>IFERROR(__xludf.DUMMYFUNCTION("""COMPUTED_VALUE"""),"")</f>
        <v/>
      </c>
      <c r="S139" s="17" t="str">
        <f>IFERROR(__xludf.DUMMYFUNCTION("""COMPUTED_VALUE"""),"")</f>
        <v/>
      </c>
      <c r="T139" s="17" t="str">
        <f>IFERROR(__xludf.DUMMYFUNCTION("""COMPUTED_VALUE"""),"")</f>
        <v/>
      </c>
      <c r="U139" s="17" t="str">
        <f>IFERROR(__xludf.DUMMYFUNCTION("""COMPUTED_VALUE"""),"")</f>
        <v/>
      </c>
      <c r="V139" s="17" t="str">
        <f>IFERROR(__xludf.DUMMYFUNCTION("""COMPUTED_VALUE"""),"")</f>
        <v/>
      </c>
      <c r="W139" s="17" t="str">
        <f>IFERROR(__xludf.DUMMYFUNCTION("""COMPUTED_VALUE"""),"")</f>
        <v/>
      </c>
      <c r="X139" s="17" t="str">
        <f>IFERROR(__xludf.DUMMYFUNCTION("""COMPUTED_VALUE"""),"")</f>
        <v/>
      </c>
      <c r="Y139" s="17" t="str">
        <f>IFERROR(__xludf.DUMMYFUNCTION("""COMPUTED_VALUE"""),"")</f>
        <v/>
      </c>
      <c r="Z139" s="17" t="str">
        <f>IFERROR(__xludf.DUMMYFUNCTION("""COMPUTED_VALUE"""),"")</f>
        <v/>
      </c>
      <c r="AA139" s="17" t="str">
        <f>IFERROR(__xludf.DUMMYFUNCTION("""COMPUTED_VALUE"""),"")</f>
        <v/>
      </c>
      <c r="AB139" s="17" t="str">
        <f>IFERROR(__xludf.DUMMYFUNCTION("""COMPUTED_VALUE"""),"")</f>
        <v/>
      </c>
      <c r="AC139" s="17" t="str">
        <f>IFERROR(__xludf.DUMMYFUNCTION("""COMPUTED_VALUE"""),"")</f>
        <v/>
      </c>
    </row>
    <row r="140">
      <c r="A140" s="17" t="str">
        <f>IFERROR(__xludf.DUMMYFUNCTION("""COMPUTED_VALUE"""),"Chapter 71: 55.1 Interlude Fleet Preamble Roy Addendum Margaret
Sky Machinist (Skies of Arcadia) 200:
Like the famous air pirate Centime, you know your way around machinery. You can repair or build almost anything, given time and resources.
System")</f>
        <v>Chapter 71: 55.1 Interlude Fleet Preamble Roy Addendum Margaret
Sky Machinist (Skies of Arcadia) 200:
Like the famous air pirate Centime, you know your way around machinery. You can repair or build almost anything, given time and resources.
System</v>
      </c>
      <c r="B140" s="17" t="str">
        <f>IFERROR(__xludf.DUMMYFUNCTION("""COMPUTED_VALUE"""),"Chapter 71: 55.1 Interlude Fleet Preamble Roy Addendum Margaret
Cool Flag With Logo (Skies of Arcadia) Free:
Everyone needs a flag. Something to define and symbolize them, and so all in the sky will remember their legacy. It can look like anything, it's y"&amp;"our flag.
Item")</f>
        <v>Chapter 71: 55.1 Interlude Fleet Preamble Roy Addendum Margaret
Cool Flag With Logo (Skies of Arcadia) Free:
Everyone needs a flag. Something to define and symbolize them, and so all in the sky will remember their legacy. It can look like anything, it's your flag.
Item</v>
      </c>
      <c r="C140" s="17" t="str">
        <f>IFERROR(__xludf.DUMMYFUNCTION("""COMPUTED_VALUE"""),"Chapter 71: 55.1 Interlude Fleet Preamble Roy Addendum Margaret
Secret Handshake (Skies of Arcadia) Free:
Got any friends? With this, you can perform a secret handshake with them, as intricate as you'd like. It doesn't do anything, but damn if it isn't co"&amp;"ol.
Ability")</f>
        <v>Chapter 71: 55.1 Interlude Fleet Preamble Roy Addendum Margaret
Secret Handshake (Skies of Arcadia) Free:
Got any friends? With this, you can perform a secret handshake with them, as intricate as you'd like. It doesn't do anything, but damn if it isn't cool.
Ability</v>
      </c>
      <c r="D140" s="17" t="str">
        <f>IFERROR(__xludf.DUMMYFUNCTION("""COMPUTED_VALUE"""),"
")</f>
        <v>
</v>
      </c>
      <c r="E140" s="17" t="str">
        <f>IFERROR(__xludf.DUMMYFUNCTION("""COMPUTED_VALUE"""),"
")</f>
        <v>
</v>
      </c>
      <c r="F140" s="17" t="str">
        <f>IFERROR(__xludf.DUMMYFUNCTION("""COMPUTED_VALUE"""),"
")</f>
        <v>
</v>
      </c>
      <c r="G140" s="17" t="str">
        <f>IFERROR(__xludf.DUMMYFUNCTION("""COMPUTED_VALUE"""),"
")</f>
        <v>
</v>
      </c>
      <c r="H140" s="17" t="str">
        <f>IFERROR(__xludf.DUMMYFUNCTION("""COMPUTED_VALUE"""),"
")</f>
        <v>
</v>
      </c>
      <c r="I140" s="17" t="str">
        <f>IFERROR(__xludf.DUMMYFUNCTION("""COMPUTED_VALUE"""),"
")</f>
        <v>
</v>
      </c>
      <c r="J140" s="17" t="str">
        <f>IFERROR(__xludf.DUMMYFUNCTION("""COMPUTED_VALUE"""),"
")</f>
        <v>
</v>
      </c>
      <c r="K140" s="17" t="str">
        <f>IFERROR(__xludf.DUMMYFUNCTION("""COMPUTED_VALUE"""),"
")</f>
        <v>
</v>
      </c>
      <c r="L140" s="17" t="str">
        <f>IFERROR(__xludf.DUMMYFUNCTION("""COMPUTED_VALUE"""),"
")</f>
        <v>
</v>
      </c>
      <c r="M140" s="17" t="str">
        <f>IFERROR(__xludf.DUMMYFUNCTION("""COMPUTED_VALUE"""),"
")</f>
        <v>
</v>
      </c>
      <c r="N140" s="17" t="str">
        <f>IFERROR(__xludf.DUMMYFUNCTION("""COMPUTED_VALUE"""),"
")</f>
        <v>
</v>
      </c>
      <c r="O140" s="17" t="str">
        <f>IFERROR(__xludf.DUMMYFUNCTION("""COMPUTED_VALUE"""),"
")</f>
        <v>
</v>
      </c>
      <c r="P140" s="17" t="str">
        <f>IFERROR(__xludf.DUMMYFUNCTION("""COMPUTED_VALUE"""),"
")</f>
        <v>
</v>
      </c>
      <c r="Q140" s="17" t="str">
        <f>IFERROR(__xludf.DUMMYFUNCTION("""COMPUTED_VALUE"""),"
")</f>
        <v>
</v>
      </c>
      <c r="R140" s="17" t="str">
        <f>IFERROR(__xludf.DUMMYFUNCTION("""COMPUTED_VALUE"""),"
")</f>
        <v>
</v>
      </c>
      <c r="S140" s="17" t="str">
        <f>IFERROR(__xludf.DUMMYFUNCTION("""COMPUTED_VALUE"""),"
")</f>
        <v>
</v>
      </c>
      <c r="T140" s="17" t="str">
        <f>IFERROR(__xludf.DUMMYFUNCTION("""COMPUTED_VALUE"""),"
")</f>
        <v>
</v>
      </c>
      <c r="U140" s="17" t="str">
        <f>IFERROR(__xludf.DUMMYFUNCTION("""COMPUTED_VALUE"""),"
")</f>
        <v>
</v>
      </c>
      <c r="V140" s="17" t="str">
        <f>IFERROR(__xludf.DUMMYFUNCTION("""COMPUTED_VALUE"""),"
")</f>
        <v>
</v>
      </c>
      <c r="W140" s="17" t="str">
        <f>IFERROR(__xludf.DUMMYFUNCTION("""COMPUTED_VALUE"""),"
")</f>
        <v>
</v>
      </c>
      <c r="X140" s="17" t="str">
        <f>IFERROR(__xludf.DUMMYFUNCTION("""COMPUTED_VALUE"""),"
")</f>
        <v>
</v>
      </c>
      <c r="Y140" s="17" t="str">
        <f>IFERROR(__xludf.DUMMYFUNCTION("""COMPUTED_VALUE"""),"
")</f>
        <v>
</v>
      </c>
      <c r="Z140" s="17" t="str">
        <f>IFERROR(__xludf.DUMMYFUNCTION("""COMPUTED_VALUE"""),"
")</f>
        <v>
</v>
      </c>
      <c r="AA140" s="17" t="str">
        <f>IFERROR(__xludf.DUMMYFUNCTION("""COMPUTED_VALUE"""),"
")</f>
        <v>
</v>
      </c>
      <c r="AB140" s="17" t="str">
        <f>IFERROR(__xludf.DUMMYFUNCTION("""COMPUTED_VALUE"""),"
")</f>
        <v>
</v>
      </c>
      <c r="AC140" s="17" t="str">
        <f>IFERROR(__xludf.DUMMYFUNCTION("""COMPUTED_VALUE"""),"
")</f>
        <v>
</v>
      </c>
    </row>
    <row r="141">
      <c r="A141" s="17" t="str">
        <f>IFERROR(__xludf.DUMMYFUNCTION("""COMPUTED_VALUE"""),"")</f>
        <v/>
      </c>
      <c r="B141" s="17" t="str">
        <f>IFERROR(__xludf.DUMMYFUNCTION("""COMPUTED_VALUE"""),"")</f>
        <v/>
      </c>
      <c r="C141" s="17" t="str">
        <f>IFERROR(__xludf.DUMMYFUNCTION("""COMPUTED_VALUE"""),"")</f>
        <v/>
      </c>
      <c r="D141" s="17" t="str">
        <f>IFERROR(__xludf.DUMMYFUNCTION("""COMPUTED_VALUE"""),"")</f>
        <v/>
      </c>
      <c r="E141" s="17" t="str">
        <f>IFERROR(__xludf.DUMMYFUNCTION("""COMPUTED_VALUE"""),"")</f>
        <v/>
      </c>
      <c r="F141" s="17" t="str">
        <f>IFERROR(__xludf.DUMMYFUNCTION("""COMPUTED_VALUE"""),"")</f>
        <v/>
      </c>
      <c r="G141" s="17" t="str">
        <f>IFERROR(__xludf.DUMMYFUNCTION("""COMPUTED_VALUE"""),"")</f>
        <v/>
      </c>
      <c r="H141" s="17" t="str">
        <f>IFERROR(__xludf.DUMMYFUNCTION("""COMPUTED_VALUE"""),"")</f>
        <v/>
      </c>
      <c r="I141" s="17" t="str">
        <f>IFERROR(__xludf.DUMMYFUNCTION("""COMPUTED_VALUE"""),"")</f>
        <v/>
      </c>
      <c r="J141" s="17" t="str">
        <f>IFERROR(__xludf.DUMMYFUNCTION("""COMPUTED_VALUE"""),"")</f>
        <v/>
      </c>
      <c r="K141" s="17" t="str">
        <f>IFERROR(__xludf.DUMMYFUNCTION("""COMPUTED_VALUE"""),"")</f>
        <v/>
      </c>
      <c r="L141" s="17" t="str">
        <f>IFERROR(__xludf.DUMMYFUNCTION("""COMPUTED_VALUE"""),"")</f>
        <v/>
      </c>
      <c r="M141" s="17" t="str">
        <f>IFERROR(__xludf.DUMMYFUNCTION("""COMPUTED_VALUE"""),"")</f>
        <v/>
      </c>
      <c r="N141" s="17" t="str">
        <f>IFERROR(__xludf.DUMMYFUNCTION("""COMPUTED_VALUE"""),"")</f>
        <v/>
      </c>
      <c r="O141" s="17" t="str">
        <f>IFERROR(__xludf.DUMMYFUNCTION("""COMPUTED_VALUE"""),"")</f>
        <v/>
      </c>
      <c r="P141" s="17" t="str">
        <f>IFERROR(__xludf.DUMMYFUNCTION("""COMPUTED_VALUE"""),"")</f>
        <v/>
      </c>
      <c r="Q141" s="17" t="str">
        <f>IFERROR(__xludf.DUMMYFUNCTION("""COMPUTED_VALUE"""),"")</f>
        <v/>
      </c>
      <c r="R141" s="17" t="str">
        <f>IFERROR(__xludf.DUMMYFUNCTION("""COMPUTED_VALUE"""),"")</f>
        <v/>
      </c>
      <c r="S141" s="17" t="str">
        <f>IFERROR(__xludf.DUMMYFUNCTION("""COMPUTED_VALUE"""),"")</f>
        <v/>
      </c>
      <c r="T141" s="17" t="str">
        <f>IFERROR(__xludf.DUMMYFUNCTION("""COMPUTED_VALUE"""),"")</f>
        <v/>
      </c>
      <c r="U141" s="17" t="str">
        <f>IFERROR(__xludf.DUMMYFUNCTION("""COMPUTED_VALUE"""),"")</f>
        <v/>
      </c>
      <c r="V141" s="17" t="str">
        <f>IFERROR(__xludf.DUMMYFUNCTION("""COMPUTED_VALUE"""),"")</f>
        <v/>
      </c>
      <c r="W141" s="17" t="str">
        <f>IFERROR(__xludf.DUMMYFUNCTION("""COMPUTED_VALUE"""),"")</f>
        <v/>
      </c>
      <c r="X141" s="17" t="str">
        <f>IFERROR(__xludf.DUMMYFUNCTION("""COMPUTED_VALUE"""),"")</f>
        <v/>
      </c>
      <c r="Y141" s="17" t="str">
        <f>IFERROR(__xludf.DUMMYFUNCTION("""COMPUTED_VALUE"""),"")</f>
        <v/>
      </c>
      <c r="Z141" s="17" t="str">
        <f>IFERROR(__xludf.DUMMYFUNCTION("""COMPUTED_VALUE"""),"")</f>
        <v/>
      </c>
      <c r="AA141" s="17" t="str">
        <f>IFERROR(__xludf.DUMMYFUNCTION("""COMPUTED_VALUE"""),"")</f>
        <v/>
      </c>
      <c r="AB141" s="17" t="str">
        <f>IFERROR(__xludf.DUMMYFUNCTION("""COMPUTED_VALUE"""),"")</f>
        <v/>
      </c>
      <c r="AC141" s="17" t="str">
        <f>IFERROR(__xludf.DUMMYFUNCTION("""COMPUTED_VALUE"""),"")</f>
        <v/>
      </c>
    </row>
    <row r="142">
      <c r="A142" s="17" t="str">
        <f>IFERROR(__xludf.DUMMYFUNCTION("""COMPUTED_VALUE"""),"")</f>
        <v/>
      </c>
      <c r="B142" s="17" t="str">
        <f>IFERROR(__xludf.DUMMYFUNCTION("""COMPUTED_VALUE"""),"")</f>
        <v/>
      </c>
      <c r="C142" s="17" t="str">
        <f>IFERROR(__xludf.DUMMYFUNCTION("""COMPUTED_VALUE"""),"")</f>
        <v/>
      </c>
      <c r="D142" s="17" t="str">
        <f>IFERROR(__xludf.DUMMYFUNCTION("""COMPUTED_VALUE"""),"")</f>
        <v/>
      </c>
      <c r="E142" s="17" t="str">
        <f>IFERROR(__xludf.DUMMYFUNCTION("""COMPUTED_VALUE"""),"")</f>
        <v/>
      </c>
      <c r="F142" s="17" t="str">
        <f>IFERROR(__xludf.DUMMYFUNCTION("""COMPUTED_VALUE"""),"")</f>
        <v/>
      </c>
      <c r="G142" s="17" t="str">
        <f>IFERROR(__xludf.DUMMYFUNCTION("""COMPUTED_VALUE"""),"")</f>
        <v/>
      </c>
      <c r="H142" s="17" t="str">
        <f>IFERROR(__xludf.DUMMYFUNCTION("""COMPUTED_VALUE"""),"")</f>
        <v/>
      </c>
      <c r="I142" s="17" t="str">
        <f>IFERROR(__xludf.DUMMYFUNCTION("""COMPUTED_VALUE"""),"")</f>
        <v/>
      </c>
      <c r="J142" s="17" t="str">
        <f>IFERROR(__xludf.DUMMYFUNCTION("""COMPUTED_VALUE"""),"")</f>
        <v/>
      </c>
      <c r="K142" s="17" t="str">
        <f>IFERROR(__xludf.DUMMYFUNCTION("""COMPUTED_VALUE"""),"")</f>
        <v/>
      </c>
      <c r="L142" s="17" t="str">
        <f>IFERROR(__xludf.DUMMYFUNCTION("""COMPUTED_VALUE"""),"")</f>
        <v/>
      </c>
      <c r="M142" s="17" t="str">
        <f>IFERROR(__xludf.DUMMYFUNCTION("""COMPUTED_VALUE"""),"")</f>
        <v/>
      </c>
      <c r="N142" s="17" t="str">
        <f>IFERROR(__xludf.DUMMYFUNCTION("""COMPUTED_VALUE"""),"")</f>
        <v/>
      </c>
      <c r="O142" s="17" t="str">
        <f>IFERROR(__xludf.DUMMYFUNCTION("""COMPUTED_VALUE"""),"")</f>
        <v/>
      </c>
      <c r="P142" s="17" t="str">
        <f>IFERROR(__xludf.DUMMYFUNCTION("""COMPUTED_VALUE"""),"")</f>
        <v/>
      </c>
      <c r="Q142" s="17" t="str">
        <f>IFERROR(__xludf.DUMMYFUNCTION("""COMPUTED_VALUE"""),"")</f>
        <v/>
      </c>
      <c r="R142" s="17" t="str">
        <f>IFERROR(__xludf.DUMMYFUNCTION("""COMPUTED_VALUE"""),"")</f>
        <v/>
      </c>
      <c r="S142" s="17" t="str">
        <f>IFERROR(__xludf.DUMMYFUNCTION("""COMPUTED_VALUE"""),"")</f>
        <v/>
      </c>
      <c r="T142" s="17" t="str">
        <f>IFERROR(__xludf.DUMMYFUNCTION("""COMPUTED_VALUE"""),"")</f>
        <v/>
      </c>
      <c r="U142" s="17" t="str">
        <f>IFERROR(__xludf.DUMMYFUNCTION("""COMPUTED_VALUE"""),"")</f>
        <v/>
      </c>
      <c r="V142" s="17" t="str">
        <f>IFERROR(__xludf.DUMMYFUNCTION("""COMPUTED_VALUE"""),"")</f>
        <v/>
      </c>
      <c r="W142" s="17" t="str">
        <f>IFERROR(__xludf.DUMMYFUNCTION("""COMPUTED_VALUE"""),"")</f>
        <v/>
      </c>
      <c r="X142" s="17" t="str">
        <f>IFERROR(__xludf.DUMMYFUNCTION("""COMPUTED_VALUE"""),"")</f>
        <v/>
      </c>
      <c r="Y142" s="17" t="str">
        <f>IFERROR(__xludf.DUMMYFUNCTION("""COMPUTED_VALUE"""),"")</f>
        <v/>
      </c>
      <c r="Z142" s="17" t="str">
        <f>IFERROR(__xludf.DUMMYFUNCTION("""COMPUTED_VALUE"""),"")</f>
        <v/>
      </c>
      <c r="AA142" s="17" t="str">
        <f>IFERROR(__xludf.DUMMYFUNCTION("""COMPUTED_VALUE"""),"")</f>
        <v/>
      </c>
      <c r="AB142" s="17" t="str">
        <f>IFERROR(__xludf.DUMMYFUNCTION("""COMPUTED_VALUE"""),"")</f>
        <v/>
      </c>
      <c r="AC142" s="17" t="str">
        <f>IFERROR(__xludf.DUMMYFUNCTION("""COMPUTED_VALUE"""),"")</f>
        <v/>
      </c>
    </row>
    <row r="143">
      <c r="A143" s="17" t="str">
        <f>IFERROR(__xludf.DUMMYFUNCTION("""COMPUTED_VALUE"""),"Chapter 18: 14 Debut
Skills: Physics (Star Trek - TNG+DS9) 100:
How the universe works. The law of gravity, the conservation of matter &amp; energy, quantum physics, etc. Remember though, there are dozens of creatures in this universe that defy the laws of hu"&amp;"man physics, so you may want to try and rewrite a few of these books while your here.
System")</f>
        <v>Chapter 18: 14 Debut
Skills: Physics (Star Trek - TNG+DS9) 100:
How the universe works. The law of gravity, the conservation of matter &amp; energy, quantum physics, etc. Remember though, there are dozens of creatures in this universe that defy the laws of human physics, so you may want to try and rewrite a few of these books while your here.
System</v>
      </c>
      <c r="B143" s="17" t="str">
        <f>IFERROR(__xludf.DUMMYFUNCTION("""COMPUTED_VALUE"""),"Chapter 38: 32 Family Fugue - Preamble Taylor - Addendum Mike
Skills: Physical Sciences (Star Trek - TNG+DS9) 100:
Understanding of the natural laws which govern the physical world. Biology, chemistry, geology and ecology. Again, you may want to rewrite a"&amp;" few of these books while you're here.
Skill")</f>
        <v>Chapter 38: 32 Family Fugue - Preamble Taylor - Addendum Mike
Skills: Physical Sciences (Star Trek - TNG+DS9) 100:
Understanding of the natural laws which govern the physical world. Biology, chemistry, geology and ecology. Again, you may want to rewrite a few of these books while you're here.
Skill</v>
      </c>
      <c r="C143" s="17" t="str">
        <f>IFERROR(__xludf.DUMMYFUNCTION("""COMPUTED_VALUE"""),"Chapter 38: 32 Family Fugue - Preamble Taylor - Addendum Mike
Skills: Combat (Star Trek - TNG+DS9) 100:
Hand to hand fighting is an ancient and quintessential skill for every soldier no matter what time period.
Skill")</f>
        <v>Chapter 38: 32 Family Fugue - Preamble Taylor - Addendum Mike
Skills: Combat (Star Trek - TNG+DS9) 100:
Hand to hand fighting is an ancient and quintessential skill for every soldier no matter what time period.
Skill</v>
      </c>
      <c r="D143" s="17" t="str">
        <f>IFERROR(__xludf.DUMMYFUNCTION("""COMPUTED_VALUE"""),"Chapter 62: 47 Downtime
Skills: Stealth (Star Trek - TNG+DS9) 100:
Your ability to sneak around unnoticed. This will help you take down enemies unnoticed, infiltrate secure facilities, and steal thing without being detected.
Skill")</f>
        <v>Chapter 62: 47 Downtime
Skills: Stealth (Star Trek - TNG+DS9) 100:
Your ability to sneak around unnoticed. This will help you take down enemies unnoticed, infiltrate secure facilities, and steal thing without being detected.
Skill</v>
      </c>
      <c r="E143" s="17" t="str">
        <f>IFERROR(__xludf.DUMMYFUNCTION("""COMPUTED_VALUE"""),"Chapter 62: 47 Downtime
Skills: Medicine (Star Trek - TNG+DS9) 100:
Training and knowledge in First-aid, diseases, surgery, anatomy, health and nutrition. You're a fully qualified doctor of the 24th century.
Skill")</f>
        <v>Chapter 62: 47 Downtime
Skills: Medicine (Star Trek - TNG+DS9) 100:
Training and knowledge in First-aid, diseases, surgery, anatomy, health and nutrition. You're a fully qualified doctor of the 24th century.
Skill</v>
      </c>
      <c r="F143" s="17" t="str">
        <f>IFERROR(__xludf.DUMMYFUNCTION("""COMPUTED_VALUE"""),"Chapter 62: 47 Downtime
Skills: Navigation (Star Trek - TNG+DS9) 100:
Training in how to locate your position and plot courses. You can navigate both with a computer, and without one using astronomy.
Skill")</f>
        <v>Chapter 62: 47 Downtime
Skills: Navigation (Star Trek - TNG+DS9) 100:
Training in how to locate your position and plot courses. You can navigate both with a computer, and without one using astronomy.
Skill</v>
      </c>
      <c r="G143" s="17" t="str">
        <f>IFERROR(__xludf.DUMMYFUNCTION("""COMPUTED_VALUE"""),"Chapter 101: 74 Hard Talk
Skills: Robotics (Star Trek - TNG+DS9) 100:
A combined study of mechanical engineering, and computer science. You learn how to make a wide array of machines, and you could even figure out Android or Borg technology if you studied"&amp;" it enough.
System")</f>
        <v>Chapter 101: 74 Hard Talk
Skills: Robotics (Star Trek - TNG+DS9) 100:
A combined study of mechanical engineering, and computer science. You learn how to make a wide array of machines, and you could even figure out Android or Borg technology if you studied it enough.
System</v>
      </c>
      <c r="H143" s="17" t="str">
        <f>IFERROR(__xludf.DUMMYFUNCTION("""COMPUTED_VALUE"""),"Chapter 101: 74 Hard Talk
Skills: Engineering (Star Trek - TNG+DS9) 100:
You've been trained in the maintenance and repair of Starships. Not only do you have a significant amount of mechanical and computer knowledge, but you also know a great deal about p"&amp;"hysics.
System")</f>
        <v>Chapter 101: 74 Hard Talk
Skills: Engineering (Star Trek - TNG+DS9) 100:
You've been trained in the maintenance and repair of Starships. Not only do you have a significant amount of mechanical and computer knowledge, but you also know a great deal about physics.
System</v>
      </c>
      <c r="I143" s="17" t="str">
        <f>IFERROR(__xludf.DUMMYFUNCTION("""COMPUTED_VALUE"""),"Chapter 149: 100 Revelations
Skills: Weapons (Star Trek - TNG+DS9) 100:
Knowledge in the operation and repair of personal and mounted weaponry
Skill")</f>
        <v>Chapter 149: 100 Revelations
Skills: Weapons (Star Trek - TNG+DS9) 100:
Knowledge in the operation and repair of personal and mounted weaponry
Skill</v>
      </c>
      <c r="J143" s="17" t="str">
        <f>IFERROR(__xludf.DUMMYFUNCTION("""COMPUTED_VALUE"""),"Chapter 149: 100 Revelations
Skills: Espionage (Star Trek - TNG+DS9) 100:
Manipulation, subterfuge and information gathering skills that are essential for every good spy.
Skill")</f>
        <v>Chapter 149: 100 Revelations
Skills: Espionage (Star Trek - TNG+DS9) 100:
Manipulation, subterfuge and information gathering skills that are essential for every good spy.
Skill</v>
      </c>
      <c r="K143" s="17" t="str">
        <f>IFERROR(__xludf.DUMMYFUNCTION("""COMPUTED_VALUE"""),"Chapter 149: 100 Revelations
Skills: Communications (Star Trek - TNG+DS9) 100:
You're fully versed in reading and operating digital transmissions and sensors. You also have training in linguistics in and diplomacy.
Skill")</f>
        <v>Chapter 149: 100 Revelations
Skills: Communications (Star Trek - TNG+DS9) 100:
You're fully versed in reading and operating digital transmissions and sensors. You also have training in linguistics in and diplomacy.
Skill</v>
      </c>
      <c r="L143" s="17" t="str">
        <f>IFERROR(__xludf.DUMMYFUNCTION("""COMPUTED_VALUE"""),"Chapter 149: 100 Revelations
Skills: Piloting (Star Trek - TNG+DS9) 100:
How to operate starships and other space worthy vessels like shuttles and Runabouts.
Skill")</f>
        <v>Chapter 149: 100 Revelations
Skills: Piloting (Star Trek - TNG+DS9) 100:
How to operate starships and other space worthy vessels like shuttles and Runabouts.
Skill</v>
      </c>
      <c r="M143" s="17" t="str">
        <f>IFERROR(__xludf.DUMMYFUNCTION("""COMPUTED_VALUE"""),"
")</f>
        <v>
</v>
      </c>
      <c r="N143" s="17" t="str">
        <f>IFERROR(__xludf.DUMMYFUNCTION("""COMPUTED_VALUE"""),"
")</f>
        <v>
</v>
      </c>
      <c r="O143" s="17" t="str">
        <f>IFERROR(__xludf.DUMMYFUNCTION("""COMPUTED_VALUE"""),"
")</f>
        <v>
</v>
      </c>
      <c r="P143" s="17" t="str">
        <f>IFERROR(__xludf.DUMMYFUNCTION("""COMPUTED_VALUE"""),"
")</f>
        <v>
</v>
      </c>
      <c r="Q143" s="17" t="str">
        <f>IFERROR(__xludf.DUMMYFUNCTION("""COMPUTED_VALUE"""),"
")</f>
        <v>
</v>
      </c>
      <c r="R143" s="17" t="str">
        <f>IFERROR(__xludf.DUMMYFUNCTION("""COMPUTED_VALUE"""),"
")</f>
        <v>
</v>
      </c>
      <c r="S143" s="17" t="str">
        <f>IFERROR(__xludf.DUMMYFUNCTION("""COMPUTED_VALUE"""),"
")</f>
        <v>
</v>
      </c>
      <c r="T143" s="17" t="str">
        <f>IFERROR(__xludf.DUMMYFUNCTION("""COMPUTED_VALUE"""),"
")</f>
        <v>
</v>
      </c>
      <c r="U143" s="17" t="str">
        <f>IFERROR(__xludf.DUMMYFUNCTION("""COMPUTED_VALUE"""),"
")</f>
        <v>
</v>
      </c>
      <c r="V143" s="17" t="str">
        <f>IFERROR(__xludf.DUMMYFUNCTION("""COMPUTED_VALUE"""),"
")</f>
        <v>
</v>
      </c>
      <c r="W143" s="17" t="str">
        <f>IFERROR(__xludf.DUMMYFUNCTION("""COMPUTED_VALUE"""),"
")</f>
        <v>
</v>
      </c>
      <c r="X143" s="17" t="str">
        <f>IFERROR(__xludf.DUMMYFUNCTION("""COMPUTED_VALUE"""),"
")</f>
        <v>
</v>
      </c>
      <c r="Y143" s="17" t="str">
        <f>IFERROR(__xludf.DUMMYFUNCTION("""COMPUTED_VALUE"""),"
")</f>
        <v>
</v>
      </c>
      <c r="Z143" s="17" t="str">
        <f>IFERROR(__xludf.DUMMYFUNCTION("""COMPUTED_VALUE"""),"
")</f>
        <v>
</v>
      </c>
      <c r="AA143" s="17" t="str">
        <f>IFERROR(__xludf.DUMMYFUNCTION("""COMPUTED_VALUE"""),"
")</f>
        <v>
</v>
      </c>
      <c r="AB143" s="17" t="str">
        <f>IFERROR(__xludf.DUMMYFUNCTION("""COMPUTED_VALUE"""),"
")</f>
        <v>
</v>
      </c>
      <c r="AC143" s="17" t="str">
        <f>IFERROR(__xludf.DUMMYFUNCTION("""COMPUTED_VALUE"""),"
")</f>
        <v>
</v>
      </c>
    </row>
    <row r="144">
      <c r="A144" s="17" t="str">
        <f>IFERROR(__xludf.DUMMYFUNCTION("""COMPUTED_VALUE"""),"")</f>
        <v/>
      </c>
      <c r="B144" s="17" t="str">
        <f>IFERROR(__xludf.DUMMYFUNCTION("""COMPUTED_VALUE"""),"")</f>
        <v/>
      </c>
      <c r="C144" s="17" t="str">
        <f>IFERROR(__xludf.DUMMYFUNCTION("""COMPUTED_VALUE"""),"")</f>
        <v/>
      </c>
      <c r="D144" s="17" t="str">
        <f>IFERROR(__xludf.DUMMYFUNCTION("""COMPUTED_VALUE"""),"")</f>
        <v/>
      </c>
      <c r="E144" s="17" t="str">
        <f>IFERROR(__xludf.DUMMYFUNCTION("""COMPUTED_VALUE"""),"")</f>
        <v/>
      </c>
      <c r="F144" s="17" t="str">
        <f>IFERROR(__xludf.DUMMYFUNCTION("""COMPUTED_VALUE"""),"")</f>
        <v/>
      </c>
      <c r="G144" s="17" t="str">
        <f>IFERROR(__xludf.DUMMYFUNCTION("""COMPUTED_VALUE"""),"")</f>
        <v/>
      </c>
      <c r="H144" s="17" t="str">
        <f>IFERROR(__xludf.DUMMYFUNCTION("""COMPUTED_VALUE"""),"")</f>
        <v/>
      </c>
      <c r="I144" s="17" t="str">
        <f>IFERROR(__xludf.DUMMYFUNCTION("""COMPUTED_VALUE"""),"")</f>
        <v/>
      </c>
      <c r="J144" s="17" t="str">
        <f>IFERROR(__xludf.DUMMYFUNCTION("""COMPUTED_VALUE"""),"")</f>
        <v/>
      </c>
      <c r="K144" s="17" t="str">
        <f>IFERROR(__xludf.DUMMYFUNCTION("""COMPUTED_VALUE"""),"")</f>
        <v/>
      </c>
      <c r="L144" s="17" t="str">
        <f>IFERROR(__xludf.DUMMYFUNCTION("""COMPUTED_VALUE"""),"")</f>
        <v/>
      </c>
      <c r="M144" s="17" t="str">
        <f>IFERROR(__xludf.DUMMYFUNCTION("""COMPUTED_VALUE"""),"")</f>
        <v/>
      </c>
      <c r="N144" s="17" t="str">
        <f>IFERROR(__xludf.DUMMYFUNCTION("""COMPUTED_VALUE"""),"")</f>
        <v/>
      </c>
      <c r="O144" s="17" t="str">
        <f>IFERROR(__xludf.DUMMYFUNCTION("""COMPUTED_VALUE"""),"")</f>
        <v/>
      </c>
      <c r="P144" s="17" t="str">
        <f>IFERROR(__xludf.DUMMYFUNCTION("""COMPUTED_VALUE"""),"")</f>
        <v/>
      </c>
      <c r="Q144" s="17" t="str">
        <f>IFERROR(__xludf.DUMMYFUNCTION("""COMPUTED_VALUE"""),"")</f>
        <v/>
      </c>
      <c r="R144" s="17" t="str">
        <f>IFERROR(__xludf.DUMMYFUNCTION("""COMPUTED_VALUE"""),"")</f>
        <v/>
      </c>
      <c r="S144" s="17" t="str">
        <f>IFERROR(__xludf.DUMMYFUNCTION("""COMPUTED_VALUE"""),"")</f>
        <v/>
      </c>
      <c r="T144" s="17" t="str">
        <f>IFERROR(__xludf.DUMMYFUNCTION("""COMPUTED_VALUE"""),"")</f>
        <v/>
      </c>
      <c r="U144" s="17" t="str">
        <f>IFERROR(__xludf.DUMMYFUNCTION("""COMPUTED_VALUE"""),"")</f>
        <v/>
      </c>
      <c r="V144" s="17" t="str">
        <f>IFERROR(__xludf.DUMMYFUNCTION("""COMPUTED_VALUE"""),"")</f>
        <v/>
      </c>
      <c r="W144" s="17" t="str">
        <f>IFERROR(__xludf.DUMMYFUNCTION("""COMPUTED_VALUE"""),"")</f>
        <v/>
      </c>
      <c r="X144" s="17" t="str">
        <f>IFERROR(__xludf.DUMMYFUNCTION("""COMPUTED_VALUE"""),"")</f>
        <v/>
      </c>
      <c r="Y144" s="17" t="str">
        <f>IFERROR(__xludf.DUMMYFUNCTION("""COMPUTED_VALUE"""),"")</f>
        <v/>
      </c>
      <c r="Z144" s="17" t="str">
        <f>IFERROR(__xludf.DUMMYFUNCTION("""COMPUTED_VALUE"""),"")</f>
        <v/>
      </c>
      <c r="AA144" s="17" t="str">
        <f>IFERROR(__xludf.DUMMYFUNCTION("""COMPUTED_VALUE"""),"")</f>
        <v/>
      </c>
      <c r="AB144" s="17" t="str">
        <f>IFERROR(__xludf.DUMMYFUNCTION("""COMPUTED_VALUE"""),"")</f>
        <v/>
      </c>
      <c r="AC144" s="17" t="str">
        <f>IFERROR(__xludf.DUMMYFUNCTION("""COMPUTED_VALUE"""),"")</f>
        <v/>
      </c>
    </row>
    <row r="145">
      <c r="A145" s="17" t="str">
        <f>IFERROR(__xludf.DUMMYFUNCTION("""COMPUTED_VALUE"""),"Chapter 166: 110 Tangential Concerns
Xenoarcheaologist (Stargate SG-1) 600:
For whatever reason, understanding the civilizations of old means you're able to understand alien technology a lot better. You may not know everything off the bat, but upon first "&amp;"sight you have an idea of what it was meant for... and the longer you look at it, the more information you can glean. Fiddling with it will let you familiarize yourself with it more quickly.
System")</f>
        <v>Chapter 166: 110 Tangential Concerns
Xenoarcheaologist (Stargate SG-1) 600:
For whatever reason, understanding the civilizations of old means you're able to understand alien technology a lot better. You may not know everything off the bat, but upon first sight you have an idea of what it was meant for... and the longer you look at it, the more information you can glean. Fiddling with it will let you familiarize yourself with it more quickly.
System</v>
      </c>
      <c r="B145" s="17" t="str">
        <f>IFERROR(__xludf.DUMMYFUNCTION("""COMPUTED_VALUE"""),"Chapter 166: 110 Tangential Concerns
Round Telephone (Stargate SG-1) Free:
The Stargate is a pretty important piece of technology, that much is certain. It's the name of the series, of COURSE it's important. You have knowledge on how to decipher its inter"&amp;"face, and as such can use it to go from world to world.
Skill")</f>
        <v>Chapter 166: 110 Tangential Concerns
Round Telephone (Stargate SG-1) Free:
The Stargate is a pretty important piece of technology, that much is certain. It's the name of the series, of COURSE it's important. You have knowledge on how to decipher its interface, and as such can use it to go from world to world.
Skill</v>
      </c>
      <c r="C145" s="17" t="str">
        <f>IFERROR(__xludf.DUMMYFUNCTION("""COMPUTED_VALUE"""),"Chapter 166: 110 Tangential Concerns
Unleash the Snark (Stargate SG-1) Free:
All these aliens acting all hoity-toity... someone needs to take them down a peg. You always know what to say to be snarky at others, whether it be at a superior or a terrorist o"&amp;"r an alien menace. They may have weapons and lasers, but the battle of wits belongs to you.
Skill")</f>
        <v>Chapter 166: 110 Tangential Concerns
Unleash the Snark (Stargate SG-1) Free:
All these aliens acting all hoity-toity... someone needs to take them down a peg. You always know what to say to be snarky at others, whether it be at a superior or a terrorist or an alien menace. They may have weapons and lasers, but the battle of wits belongs to you.
Skill</v>
      </c>
      <c r="D145" s="17" t="str">
        <f>IFERROR(__xludf.DUMMYFUNCTION("""COMPUTED_VALUE"""),"Chapter 166: 110 Tangential Concerns
Toxicology Reports (Stargate SG-1) Free:
That wasn't there before. For whatever reason your blood contains just a bit of Naquadah now. Not enough to drain yourself and siphon it, but enough to utilize and work the tech"&amp;"nology of the Goa'uld. As a bonus, this allows you to sense when other Goa'uld symbiotes are nearby.
Personal")</f>
        <v>Chapter 166: 110 Tangential Concerns
Toxicology Reports (Stargate SG-1) Free:
That wasn't there before. For whatever reason your blood contains just a bit of Naquadah now. Not enough to drain yourself and siphon it, but enough to utilize and work the technology of the Goa'uld. As a bonus, this allows you to sense when other Goa'uld symbiotes are nearby.
Personal</v>
      </c>
      <c r="E145" s="17" t="str">
        <f>IFERROR(__xludf.DUMMYFUNCTION("""COMPUTED_VALUE"""),"
")</f>
        <v>
</v>
      </c>
      <c r="F145" s="17" t="str">
        <f>IFERROR(__xludf.DUMMYFUNCTION("""COMPUTED_VALUE"""),"
")</f>
        <v>
</v>
      </c>
      <c r="G145" s="17" t="str">
        <f>IFERROR(__xludf.DUMMYFUNCTION("""COMPUTED_VALUE"""),"
")</f>
        <v>
</v>
      </c>
      <c r="H145" s="17" t="str">
        <f>IFERROR(__xludf.DUMMYFUNCTION("""COMPUTED_VALUE"""),"
")</f>
        <v>
</v>
      </c>
      <c r="I145" s="17" t="str">
        <f>IFERROR(__xludf.DUMMYFUNCTION("""COMPUTED_VALUE"""),"
")</f>
        <v>
</v>
      </c>
      <c r="J145" s="17" t="str">
        <f>IFERROR(__xludf.DUMMYFUNCTION("""COMPUTED_VALUE"""),"
")</f>
        <v>
</v>
      </c>
      <c r="K145" s="17" t="str">
        <f>IFERROR(__xludf.DUMMYFUNCTION("""COMPUTED_VALUE"""),"
")</f>
        <v>
</v>
      </c>
      <c r="L145" s="17" t="str">
        <f>IFERROR(__xludf.DUMMYFUNCTION("""COMPUTED_VALUE"""),"
")</f>
        <v>
</v>
      </c>
      <c r="M145" s="17" t="str">
        <f>IFERROR(__xludf.DUMMYFUNCTION("""COMPUTED_VALUE"""),"
")</f>
        <v>
</v>
      </c>
      <c r="N145" s="17" t="str">
        <f>IFERROR(__xludf.DUMMYFUNCTION("""COMPUTED_VALUE"""),"
")</f>
        <v>
</v>
      </c>
      <c r="O145" s="17" t="str">
        <f>IFERROR(__xludf.DUMMYFUNCTION("""COMPUTED_VALUE"""),"
")</f>
        <v>
</v>
      </c>
      <c r="P145" s="17" t="str">
        <f>IFERROR(__xludf.DUMMYFUNCTION("""COMPUTED_VALUE"""),"
")</f>
        <v>
</v>
      </c>
      <c r="Q145" s="17" t="str">
        <f>IFERROR(__xludf.DUMMYFUNCTION("""COMPUTED_VALUE"""),"
")</f>
        <v>
</v>
      </c>
      <c r="R145" s="17" t="str">
        <f>IFERROR(__xludf.DUMMYFUNCTION("""COMPUTED_VALUE"""),"
")</f>
        <v>
</v>
      </c>
      <c r="S145" s="17" t="str">
        <f>IFERROR(__xludf.DUMMYFUNCTION("""COMPUTED_VALUE"""),"
")</f>
        <v>
</v>
      </c>
      <c r="T145" s="17" t="str">
        <f>IFERROR(__xludf.DUMMYFUNCTION("""COMPUTED_VALUE"""),"
")</f>
        <v>
</v>
      </c>
      <c r="U145" s="17" t="str">
        <f>IFERROR(__xludf.DUMMYFUNCTION("""COMPUTED_VALUE"""),"
")</f>
        <v>
</v>
      </c>
      <c r="V145" s="17" t="str">
        <f>IFERROR(__xludf.DUMMYFUNCTION("""COMPUTED_VALUE"""),"
")</f>
        <v>
</v>
      </c>
      <c r="W145" s="17" t="str">
        <f>IFERROR(__xludf.DUMMYFUNCTION("""COMPUTED_VALUE"""),"
")</f>
        <v>
</v>
      </c>
      <c r="X145" s="17" t="str">
        <f>IFERROR(__xludf.DUMMYFUNCTION("""COMPUTED_VALUE"""),"
")</f>
        <v>
</v>
      </c>
      <c r="Y145" s="17" t="str">
        <f>IFERROR(__xludf.DUMMYFUNCTION("""COMPUTED_VALUE"""),"
")</f>
        <v>
</v>
      </c>
      <c r="Z145" s="17" t="str">
        <f>IFERROR(__xludf.DUMMYFUNCTION("""COMPUTED_VALUE"""),"
")</f>
        <v>
</v>
      </c>
      <c r="AA145" s="17" t="str">
        <f>IFERROR(__xludf.DUMMYFUNCTION("""COMPUTED_VALUE"""),"
")</f>
        <v>
</v>
      </c>
      <c r="AB145" s="17" t="str">
        <f>IFERROR(__xludf.DUMMYFUNCTION("""COMPUTED_VALUE"""),"
")</f>
        <v>
</v>
      </c>
      <c r="AC145" s="17" t="str">
        <f>IFERROR(__xludf.DUMMYFUNCTION("""COMPUTED_VALUE"""),"
")</f>
        <v>
</v>
      </c>
    </row>
    <row r="146">
      <c r="A146" s="17" t="str">
        <f>IFERROR(__xludf.DUMMYFUNCTION("""COMPUTED_VALUE"""),"Chapter 62: 47 Downtime
Technomage (Strike Witches) 200:
Strike Witches generally rely on service crews to tune and repair their striker, but not you. You'll be able to do the job much better and be able to modify your Striker to aid you focus your speed,"&amp;" defence or attack if you have offensive magical abilities. If you have technology from other jumps you'll be able to incorporate them into your striker and with enough time make one from scratch.
System")</f>
        <v>Chapter 62: 47 Downtime
Technomage (Strike Witches) 200:
Strike Witches generally rely on service crews to tune and repair their striker, but not you. You'll be able to do the job much better and be able to modify your Striker to aid you focus your speed, defence or attack if you have offensive magical abilities. If you have technology from other jumps you'll be able to incorporate them into your striker and with enough time make one from scratch.
System</v>
      </c>
      <c r="B146" s="17" t="str">
        <f>IFERROR(__xludf.DUMMYFUNCTION("""COMPUTED_VALUE"""),"Chapter 62: 47 Downtime
Bomber Jacket (Strike Witches) Free:
Discount Army Surplus offering customised bomber jacket for free to any and all of our STRIKE WITCH HEROS. Call through and give your Regiment, Call-sign and Address and will mail out in a day w"&amp;"ith Regiment patch and Call-sign embodied. Go get „em girls! Ph: 123-456-7890
Item")</f>
        <v>Chapter 62: 47 Downtime
Bomber Jacket (Strike Witches) Free:
Discount Army Surplus offering customised bomber jacket for free to any and all of our STRIKE WITCH HEROS. Call through and give your Regiment, Call-sign and Address and will mail out in a day with Regiment patch and Call-sign embodied. Go get „em girls! Ph: 123-456-7890
Item</v>
      </c>
      <c r="C146" s="17" t="str">
        <f>IFERROR(__xludf.DUMMYFUNCTION("""COMPUTED_VALUE"""),"Chapter 62: 47 Downtime
Call sign (Strike Witches) Free:
Attention all military personnel, due to the recent alliances several documents of low importance have gone missing. It is important that you announce your call sign to your direct superior as soon "&amp;"as possible. All your comrades will know you by it, and if you don‟t tell us one will simply be appointed to you during your next Sortie.
Personal")</f>
        <v>Chapter 62: 47 Downtime
Call sign (Strike Witches) Free:
Attention all military personnel, due to the recent alliances several documents of low importance have gone missing. It is important that you announce your call sign to your direct superior as soon as possible. All your comrades will know you by it, and if you don‟t tell us one will simply be appointed to you during your next Sortie.
Personal</v>
      </c>
      <c r="D146" s="17" t="str">
        <f>IFERROR(__xludf.DUMMYFUNCTION("""COMPUTED_VALUE"""),"
")</f>
        <v>
</v>
      </c>
      <c r="E146" s="17" t="str">
        <f>IFERROR(__xludf.DUMMYFUNCTION("""COMPUTED_VALUE"""),"
")</f>
        <v>
</v>
      </c>
      <c r="F146" s="17" t="str">
        <f>IFERROR(__xludf.DUMMYFUNCTION("""COMPUTED_VALUE"""),"
")</f>
        <v>
</v>
      </c>
      <c r="G146" s="17" t="str">
        <f>IFERROR(__xludf.DUMMYFUNCTION("""COMPUTED_VALUE"""),"
")</f>
        <v>
</v>
      </c>
      <c r="H146" s="17" t="str">
        <f>IFERROR(__xludf.DUMMYFUNCTION("""COMPUTED_VALUE"""),"
")</f>
        <v>
</v>
      </c>
      <c r="I146" s="17" t="str">
        <f>IFERROR(__xludf.DUMMYFUNCTION("""COMPUTED_VALUE"""),"
")</f>
        <v>
</v>
      </c>
      <c r="J146" s="17" t="str">
        <f>IFERROR(__xludf.DUMMYFUNCTION("""COMPUTED_VALUE"""),"
")</f>
        <v>
</v>
      </c>
      <c r="K146" s="17" t="str">
        <f>IFERROR(__xludf.DUMMYFUNCTION("""COMPUTED_VALUE"""),"
")</f>
        <v>
</v>
      </c>
      <c r="L146" s="17" t="str">
        <f>IFERROR(__xludf.DUMMYFUNCTION("""COMPUTED_VALUE"""),"
")</f>
        <v>
</v>
      </c>
      <c r="M146" s="17" t="str">
        <f>IFERROR(__xludf.DUMMYFUNCTION("""COMPUTED_VALUE"""),"
")</f>
        <v>
</v>
      </c>
      <c r="N146" s="17" t="str">
        <f>IFERROR(__xludf.DUMMYFUNCTION("""COMPUTED_VALUE"""),"
")</f>
        <v>
</v>
      </c>
      <c r="O146" s="17" t="str">
        <f>IFERROR(__xludf.DUMMYFUNCTION("""COMPUTED_VALUE"""),"
")</f>
        <v>
</v>
      </c>
      <c r="P146" s="17" t="str">
        <f>IFERROR(__xludf.DUMMYFUNCTION("""COMPUTED_VALUE"""),"
")</f>
        <v>
</v>
      </c>
      <c r="Q146" s="17" t="str">
        <f>IFERROR(__xludf.DUMMYFUNCTION("""COMPUTED_VALUE"""),"
")</f>
        <v>
</v>
      </c>
      <c r="R146" s="17" t="str">
        <f>IFERROR(__xludf.DUMMYFUNCTION("""COMPUTED_VALUE"""),"
")</f>
        <v>
</v>
      </c>
      <c r="S146" s="17" t="str">
        <f>IFERROR(__xludf.DUMMYFUNCTION("""COMPUTED_VALUE"""),"
")</f>
        <v>
</v>
      </c>
      <c r="T146" s="17" t="str">
        <f>IFERROR(__xludf.DUMMYFUNCTION("""COMPUTED_VALUE"""),"
")</f>
        <v>
</v>
      </c>
      <c r="U146" s="17" t="str">
        <f>IFERROR(__xludf.DUMMYFUNCTION("""COMPUTED_VALUE"""),"
")</f>
        <v>
</v>
      </c>
      <c r="V146" s="17" t="str">
        <f>IFERROR(__xludf.DUMMYFUNCTION("""COMPUTED_VALUE"""),"
")</f>
        <v>
</v>
      </c>
      <c r="W146" s="17" t="str">
        <f>IFERROR(__xludf.DUMMYFUNCTION("""COMPUTED_VALUE"""),"
")</f>
        <v>
</v>
      </c>
      <c r="X146" s="17" t="str">
        <f>IFERROR(__xludf.DUMMYFUNCTION("""COMPUTED_VALUE"""),"
")</f>
        <v>
</v>
      </c>
      <c r="Y146" s="17" t="str">
        <f>IFERROR(__xludf.DUMMYFUNCTION("""COMPUTED_VALUE"""),"
")</f>
        <v>
</v>
      </c>
      <c r="Z146" s="17" t="str">
        <f>IFERROR(__xludf.DUMMYFUNCTION("""COMPUTED_VALUE"""),"
")</f>
        <v>
</v>
      </c>
      <c r="AA146" s="17" t="str">
        <f>IFERROR(__xludf.DUMMYFUNCTION("""COMPUTED_VALUE"""),"
")</f>
        <v>
</v>
      </c>
      <c r="AB146" s="17" t="str">
        <f>IFERROR(__xludf.DUMMYFUNCTION("""COMPUTED_VALUE"""),"
")</f>
        <v>
</v>
      </c>
      <c r="AC146" s="17" t="str">
        <f>IFERROR(__xludf.DUMMYFUNCTION("""COMPUTED_VALUE"""),"
")</f>
        <v>
</v>
      </c>
    </row>
    <row r="147">
      <c r="A147" s="17" t="str">
        <f>IFERROR(__xludf.DUMMYFUNCTION("""COMPUTED_VALUE"""),"Chapter 24: 19 Restoration
Engineering (Teen Titans) 100:
You're a master mechanic and an expert at building robots and other technological devices. You also have a fair bit of knowledge about hacking into computers.
System, Skill")</f>
        <v>Chapter 24: 19 Restoration
Engineering (Teen Titans) 100:
You're a master mechanic and an expert at building robots and other technological devices. You also have a fair bit of knowledge about hacking into computers.
System, Skill</v>
      </c>
      <c r="B147" s="17" t="str">
        <f>IFERROR(__xludf.DUMMYFUNCTION("""COMPUTED_VALUE"""),"
")</f>
        <v>
</v>
      </c>
      <c r="C147" s="17" t="str">
        <f>IFERROR(__xludf.DUMMYFUNCTION("""COMPUTED_VALUE"""),"
")</f>
        <v>
</v>
      </c>
      <c r="D147" s="17" t="str">
        <f>IFERROR(__xludf.DUMMYFUNCTION("""COMPUTED_VALUE"""),"
")</f>
        <v>
</v>
      </c>
      <c r="E147" s="17" t="str">
        <f>IFERROR(__xludf.DUMMYFUNCTION("""COMPUTED_VALUE"""),"
")</f>
        <v>
</v>
      </c>
      <c r="F147" s="17" t="str">
        <f>IFERROR(__xludf.DUMMYFUNCTION("""COMPUTED_VALUE"""),"
")</f>
        <v>
</v>
      </c>
      <c r="G147" s="17" t="str">
        <f>IFERROR(__xludf.DUMMYFUNCTION("""COMPUTED_VALUE"""),"
")</f>
        <v>
</v>
      </c>
      <c r="H147" s="17" t="str">
        <f>IFERROR(__xludf.DUMMYFUNCTION("""COMPUTED_VALUE"""),"
")</f>
        <v>
</v>
      </c>
      <c r="I147" s="17" t="str">
        <f>IFERROR(__xludf.DUMMYFUNCTION("""COMPUTED_VALUE"""),"
")</f>
        <v>
</v>
      </c>
      <c r="J147" s="17" t="str">
        <f>IFERROR(__xludf.DUMMYFUNCTION("""COMPUTED_VALUE"""),"
")</f>
        <v>
</v>
      </c>
      <c r="K147" s="17" t="str">
        <f>IFERROR(__xludf.DUMMYFUNCTION("""COMPUTED_VALUE"""),"
")</f>
        <v>
</v>
      </c>
      <c r="L147" s="17" t="str">
        <f>IFERROR(__xludf.DUMMYFUNCTION("""COMPUTED_VALUE"""),"
")</f>
        <v>
</v>
      </c>
      <c r="M147" s="17" t="str">
        <f>IFERROR(__xludf.DUMMYFUNCTION("""COMPUTED_VALUE"""),"
")</f>
        <v>
</v>
      </c>
      <c r="N147" s="17" t="str">
        <f>IFERROR(__xludf.DUMMYFUNCTION("""COMPUTED_VALUE"""),"
")</f>
        <v>
</v>
      </c>
      <c r="O147" s="17" t="str">
        <f>IFERROR(__xludf.DUMMYFUNCTION("""COMPUTED_VALUE"""),"
")</f>
        <v>
</v>
      </c>
      <c r="P147" s="17" t="str">
        <f>IFERROR(__xludf.DUMMYFUNCTION("""COMPUTED_VALUE"""),"
")</f>
        <v>
</v>
      </c>
      <c r="Q147" s="17" t="str">
        <f>IFERROR(__xludf.DUMMYFUNCTION("""COMPUTED_VALUE"""),"
")</f>
        <v>
</v>
      </c>
      <c r="R147" s="17" t="str">
        <f>IFERROR(__xludf.DUMMYFUNCTION("""COMPUTED_VALUE"""),"
")</f>
        <v>
</v>
      </c>
      <c r="S147" s="17" t="str">
        <f>IFERROR(__xludf.DUMMYFUNCTION("""COMPUTED_VALUE"""),"
")</f>
        <v>
</v>
      </c>
      <c r="T147" s="17" t="str">
        <f>IFERROR(__xludf.DUMMYFUNCTION("""COMPUTED_VALUE"""),"
")</f>
        <v>
</v>
      </c>
      <c r="U147" s="17" t="str">
        <f>IFERROR(__xludf.DUMMYFUNCTION("""COMPUTED_VALUE"""),"
")</f>
        <v>
</v>
      </c>
      <c r="V147" s="17" t="str">
        <f>IFERROR(__xludf.DUMMYFUNCTION("""COMPUTED_VALUE"""),"
")</f>
        <v>
</v>
      </c>
      <c r="W147" s="17" t="str">
        <f>IFERROR(__xludf.DUMMYFUNCTION("""COMPUTED_VALUE"""),"
")</f>
        <v>
</v>
      </c>
      <c r="X147" s="17" t="str">
        <f>IFERROR(__xludf.DUMMYFUNCTION("""COMPUTED_VALUE"""),"
")</f>
        <v>
</v>
      </c>
      <c r="Y147" s="17" t="str">
        <f>IFERROR(__xludf.DUMMYFUNCTION("""COMPUTED_VALUE"""),"
")</f>
        <v>
</v>
      </c>
      <c r="Z147" s="17" t="str">
        <f>IFERROR(__xludf.DUMMYFUNCTION("""COMPUTED_VALUE"""),"
")</f>
        <v>
</v>
      </c>
      <c r="AA147" s="17" t="str">
        <f>IFERROR(__xludf.DUMMYFUNCTION("""COMPUTED_VALUE"""),"
")</f>
        <v>
</v>
      </c>
      <c r="AB147" s="17" t="str">
        <f>IFERROR(__xludf.DUMMYFUNCTION("""COMPUTED_VALUE"""),"
")</f>
        <v>
</v>
      </c>
      <c r="AC147" s="17" t="str">
        <f>IFERROR(__xludf.DUMMYFUNCTION("""COMPUTED_VALUE"""),"
")</f>
        <v>
</v>
      </c>
    </row>
    <row r="148">
      <c r="A148" s="17" t="str">
        <f>IFERROR(__xludf.DUMMYFUNCTION("""COMPUTED_VALUE"""),"")</f>
        <v/>
      </c>
      <c r="B148" s="17" t="str">
        <f>IFERROR(__xludf.DUMMYFUNCTION("""COMPUTED_VALUE"""),"")</f>
        <v/>
      </c>
      <c r="C148" s="17" t="str">
        <f>IFERROR(__xludf.DUMMYFUNCTION("""COMPUTED_VALUE"""),"")</f>
        <v/>
      </c>
      <c r="D148" s="17" t="str">
        <f>IFERROR(__xludf.DUMMYFUNCTION("""COMPUTED_VALUE"""),"")</f>
        <v/>
      </c>
      <c r="E148" s="17" t="str">
        <f>IFERROR(__xludf.DUMMYFUNCTION("""COMPUTED_VALUE"""),"")</f>
        <v/>
      </c>
      <c r="F148" s="17" t="str">
        <f>IFERROR(__xludf.DUMMYFUNCTION("""COMPUTED_VALUE"""),"")</f>
        <v/>
      </c>
      <c r="G148" s="17" t="str">
        <f>IFERROR(__xludf.DUMMYFUNCTION("""COMPUTED_VALUE"""),"")</f>
        <v/>
      </c>
      <c r="H148" s="17" t="str">
        <f>IFERROR(__xludf.DUMMYFUNCTION("""COMPUTED_VALUE"""),"")</f>
        <v/>
      </c>
      <c r="I148" s="17" t="str">
        <f>IFERROR(__xludf.DUMMYFUNCTION("""COMPUTED_VALUE"""),"")</f>
        <v/>
      </c>
      <c r="J148" s="17" t="str">
        <f>IFERROR(__xludf.DUMMYFUNCTION("""COMPUTED_VALUE"""),"")</f>
        <v/>
      </c>
      <c r="K148" s="17" t="str">
        <f>IFERROR(__xludf.DUMMYFUNCTION("""COMPUTED_VALUE"""),"")</f>
        <v/>
      </c>
      <c r="L148" s="17" t="str">
        <f>IFERROR(__xludf.DUMMYFUNCTION("""COMPUTED_VALUE"""),"")</f>
        <v/>
      </c>
      <c r="M148" s="17" t="str">
        <f>IFERROR(__xludf.DUMMYFUNCTION("""COMPUTED_VALUE"""),"")</f>
        <v/>
      </c>
      <c r="N148" s="17" t="str">
        <f>IFERROR(__xludf.DUMMYFUNCTION("""COMPUTED_VALUE"""),"")</f>
        <v/>
      </c>
      <c r="O148" s="17" t="str">
        <f>IFERROR(__xludf.DUMMYFUNCTION("""COMPUTED_VALUE"""),"")</f>
        <v/>
      </c>
      <c r="P148" s="17" t="str">
        <f>IFERROR(__xludf.DUMMYFUNCTION("""COMPUTED_VALUE"""),"")</f>
        <v/>
      </c>
      <c r="Q148" s="17" t="str">
        <f>IFERROR(__xludf.DUMMYFUNCTION("""COMPUTED_VALUE"""),"")</f>
        <v/>
      </c>
      <c r="R148" s="17" t="str">
        <f>IFERROR(__xludf.DUMMYFUNCTION("""COMPUTED_VALUE"""),"")</f>
        <v/>
      </c>
      <c r="S148" s="17" t="str">
        <f>IFERROR(__xludf.DUMMYFUNCTION("""COMPUTED_VALUE"""),"")</f>
        <v/>
      </c>
      <c r="T148" s="17" t="str">
        <f>IFERROR(__xludf.DUMMYFUNCTION("""COMPUTED_VALUE"""),"")</f>
        <v/>
      </c>
      <c r="U148" s="17" t="str">
        <f>IFERROR(__xludf.DUMMYFUNCTION("""COMPUTED_VALUE"""),"")</f>
        <v/>
      </c>
      <c r="V148" s="17" t="str">
        <f>IFERROR(__xludf.DUMMYFUNCTION("""COMPUTED_VALUE"""),"")</f>
        <v/>
      </c>
      <c r="W148" s="17" t="str">
        <f>IFERROR(__xludf.DUMMYFUNCTION("""COMPUTED_VALUE"""),"")</f>
        <v/>
      </c>
      <c r="X148" s="17" t="str">
        <f>IFERROR(__xludf.DUMMYFUNCTION("""COMPUTED_VALUE"""),"")</f>
        <v/>
      </c>
      <c r="Y148" s="17" t="str">
        <f>IFERROR(__xludf.DUMMYFUNCTION("""COMPUTED_VALUE"""),"")</f>
        <v/>
      </c>
      <c r="Z148" s="17" t="str">
        <f>IFERROR(__xludf.DUMMYFUNCTION("""COMPUTED_VALUE"""),"")</f>
        <v/>
      </c>
      <c r="AA148" s="17" t="str">
        <f>IFERROR(__xludf.DUMMYFUNCTION("""COMPUTED_VALUE"""),"")</f>
        <v/>
      </c>
      <c r="AB148" s="17" t="str">
        <f>IFERROR(__xludf.DUMMYFUNCTION("""COMPUTED_VALUE"""),"")</f>
        <v/>
      </c>
      <c r="AC148" s="17" t="str">
        <f>IFERROR(__xludf.DUMMYFUNCTION("""COMPUTED_VALUE"""),"")</f>
        <v/>
      </c>
    </row>
    <row r="149">
      <c r="A149" s="17" t="str">
        <f>IFERROR(__xludf.DUMMYFUNCTION("""COMPUTED_VALUE"""),"")</f>
        <v/>
      </c>
      <c r="B149" s="17" t="str">
        <f>IFERROR(__xludf.DUMMYFUNCTION("""COMPUTED_VALUE"""),"")</f>
        <v/>
      </c>
      <c r="C149" s="17" t="str">
        <f>IFERROR(__xludf.DUMMYFUNCTION("""COMPUTED_VALUE"""),"")</f>
        <v/>
      </c>
      <c r="D149" s="17" t="str">
        <f>IFERROR(__xludf.DUMMYFUNCTION("""COMPUTED_VALUE"""),"")</f>
        <v/>
      </c>
      <c r="E149" s="17" t="str">
        <f>IFERROR(__xludf.DUMMYFUNCTION("""COMPUTED_VALUE"""),"")</f>
        <v/>
      </c>
      <c r="F149" s="17" t="str">
        <f>IFERROR(__xludf.DUMMYFUNCTION("""COMPUTED_VALUE"""),"")</f>
        <v/>
      </c>
      <c r="G149" s="17" t="str">
        <f>IFERROR(__xludf.DUMMYFUNCTION("""COMPUTED_VALUE"""),"")</f>
        <v/>
      </c>
      <c r="H149" s="17" t="str">
        <f>IFERROR(__xludf.DUMMYFUNCTION("""COMPUTED_VALUE"""),"")</f>
        <v/>
      </c>
      <c r="I149" s="17" t="str">
        <f>IFERROR(__xludf.DUMMYFUNCTION("""COMPUTED_VALUE"""),"")</f>
        <v/>
      </c>
      <c r="J149" s="17" t="str">
        <f>IFERROR(__xludf.DUMMYFUNCTION("""COMPUTED_VALUE"""),"")</f>
        <v/>
      </c>
      <c r="K149" s="17" t="str">
        <f>IFERROR(__xludf.DUMMYFUNCTION("""COMPUTED_VALUE"""),"")</f>
        <v/>
      </c>
      <c r="L149" s="17" t="str">
        <f>IFERROR(__xludf.DUMMYFUNCTION("""COMPUTED_VALUE"""),"")</f>
        <v/>
      </c>
      <c r="M149" s="17" t="str">
        <f>IFERROR(__xludf.DUMMYFUNCTION("""COMPUTED_VALUE"""),"")</f>
        <v/>
      </c>
      <c r="N149" s="17" t="str">
        <f>IFERROR(__xludf.DUMMYFUNCTION("""COMPUTED_VALUE"""),"")</f>
        <v/>
      </c>
      <c r="O149" s="17" t="str">
        <f>IFERROR(__xludf.DUMMYFUNCTION("""COMPUTED_VALUE"""),"")</f>
        <v/>
      </c>
      <c r="P149" s="17" t="str">
        <f>IFERROR(__xludf.DUMMYFUNCTION("""COMPUTED_VALUE"""),"")</f>
        <v/>
      </c>
      <c r="Q149" s="17" t="str">
        <f>IFERROR(__xludf.DUMMYFUNCTION("""COMPUTED_VALUE"""),"")</f>
        <v/>
      </c>
      <c r="R149" s="17" t="str">
        <f>IFERROR(__xludf.DUMMYFUNCTION("""COMPUTED_VALUE"""),"")</f>
        <v/>
      </c>
      <c r="S149" s="17" t="str">
        <f>IFERROR(__xludf.DUMMYFUNCTION("""COMPUTED_VALUE"""),"")</f>
        <v/>
      </c>
      <c r="T149" s="17" t="str">
        <f>IFERROR(__xludf.DUMMYFUNCTION("""COMPUTED_VALUE"""),"")</f>
        <v/>
      </c>
      <c r="U149" s="17" t="str">
        <f>IFERROR(__xludf.DUMMYFUNCTION("""COMPUTED_VALUE"""),"")</f>
        <v/>
      </c>
      <c r="V149" s="17" t="str">
        <f>IFERROR(__xludf.DUMMYFUNCTION("""COMPUTED_VALUE"""),"")</f>
        <v/>
      </c>
      <c r="W149" s="17" t="str">
        <f>IFERROR(__xludf.DUMMYFUNCTION("""COMPUTED_VALUE"""),"")</f>
        <v/>
      </c>
      <c r="X149" s="17" t="str">
        <f>IFERROR(__xludf.DUMMYFUNCTION("""COMPUTED_VALUE"""),"")</f>
        <v/>
      </c>
      <c r="Y149" s="17" t="str">
        <f>IFERROR(__xludf.DUMMYFUNCTION("""COMPUTED_VALUE"""),"")</f>
        <v/>
      </c>
      <c r="Z149" s="17" t="str">
        <f>IFERROR(__xludf.DUMMYFUNCTION("""COMPUTED_VALUE"""),"")</f>
        <v/>
      </c>
      <c r="AA149" s="17" t="str">
        <f>IFERROR(__xludf.DUMMYFUNCTION("""COMPUTED_VALUE"""),"")</f>
        <v/>
      </c>
      <c r="AB149" s="17" t="str">
        <f>IFERROR(__xludf.DUMMYFUNCTION("""COMPUTED_VALUE"""),"")</f>
        <v/>
      </c>
      <c r="AC149" s="17" t="str">
        <f>IFERROR(__xludf.DUMMYFUNCTION("""COMPUTED_VALUE"""),"")</f>
        <v/>
      </c>
    </row>
    <row r="150">
      <c r="A150" s="17" t="str">
        <f>IFERROR(__xludf.DUMMYFUNCTION("""COMPUTED_VALUE"""),"Chapter 110: 79 Preliminary Work
What's This Do? (Titanfall) 200:
The technology used in the frontier can be so complex and advanced it takes years for even the most brilliant minds to understand. Really now? That's good, you needed something to do after "&amp;"lunch today. Now, even if your in a dropship in the middle of a fire fight, you can decipher the inner workings of technology so long as you have the controls to scre- I mean analyze.
Analysis")</f>
        <v>Chapter 110: 79 Preliminary Work
What's This Do? (Titanfall) 200:
The technology used in the frontier can be so complex and advanced it takes years for even the most brilliant minds to understand. Really now? That's good, you needed something to do after lunch today. Now, even if your in a dropship in the middle of a fire fight, you can decipher the inner workings of technology so long as you have the controls to scre- I mean analyze.
Analysis</v>
      </c>
      <c r="B150" s="17" t="str">
        <f>IFERROR(__xludf.DUMMYFUNCTION("""COMPUTED_VALUE"""),"Chapter 110: 79 Preliminary Work
Oi! (Titanfall) Free:
The funny thing about accents is how divisive they are on the frontier. The IMC troops- who come from the Core Systems, all speak with a very distinct British accent. Meanwhile, the Militia have stron"&amp;"g American accents, and strangely, any ex-IMC defectors seem to lose the accent in a matter of weeks. Now, you have the ability to alter your own accent, which seems to spread like wildfire to anyone that follows you, so it becomes an identifier of your f"&amp;"action.
Ability")</f>
        <v>Chapter 110: 79 Preliminary Work
Oi! (Titanfall) Free:
The funny thing about accents is how divisive they are on the frontier. The IMC troops- who come from the Core Systems, all speak with a very distinct British accent. Meanwhile, the Militia have strong American accents, and strangely, any ex-IMC defectors seem to lose the accent in a matter of weeks. Now, you have the ability to alter your own accent, which seems to spread like wildfire to anyone that follows you, so it becomes an identifier of your faction.
Ability</v>
      </c>
      <c r="C150" s="17" t="str">
        <f>IFERROR(__xludf.DUMMYFUNCTION("""COMPUTED_VALUE"""),"Chapter 110: 79 Preliminary Work
Core Ability - Amp Core (Titanfall) Free:
A Titan’s core ability is essentially it’s trump card. Far too powerful to be charged off of standard munitions, a core is charged off of excess power from the Titan’s reactor core"&amp;" until it is ready to be unleashed. Once activated, the Titan must be committed to using it, otherwise the excess energy will fry it’s internal systems.
Amp Core - Some Pilots don’t want fancy attacks or extra missiles. Instead, they’d simply rather their"&amp;" Titan’s performance was boosted for a set period of time. The Amp Core provides this. A single parameter of the Titan may be boosted or extended for a set period of time, such as increasing the strength of bodyshields massively or granted indefinite dash"&amp;"ing for a short period. Titan accuracy may be boosted, or firing rate may be increased, as examples.
Vehicle")</f>
        <v>Chapter 110: 79 Preliminary Work
Core Ability - Amp Core (Titanfall) Free:
A Titan’s core ability is essentially it’s trump card. Far too powerful to be charged off of standard munitions, a core is charged off of excess power from the Titan’s reactor core until it is ready to be unleashed. Once activated, the Titan must be committed to using it, otherwise the excess energy will fry it’s internal systems.
Amp Core - Some Pilots don’t want fancy attacks or extra missiles. Instead, they’d simply rather their Titan’s performance was boosted for a set period of time. The Amp Core provides this. A single parameter of the Titan may be boosted or extended for a set period of time, such as increasing the strength of bodyshields massively or granted indefinite dashing for a short period. Titan accuracy may be boosted, or firing rate may be increased, as examples.
Vehicle</v>
      </c>
      <c r="D150" s="17" t="str">
        <f>IFERROR(__xludf.DUMMYFUNCTION("""COMPUTED_VALUE"""),"
")</f>
        <v>
</v>
      </c>
      <c r="E150" s="17" t="str">
        <f>IFERROR(__xludf.DUMMYFUNCTION("""COMPUTED_VALUE"""),"
")</f>
        <v>
</v>
      </c>
      <c r="F150" s="17" t="str">
        <f>IFERROR(__xludf.DUMMYFUNCTION("""COMPUTED_VALUE"""),"
")</f>
        <v>
</v>
      </c>
      <c r="G150" s="17" t="str">
        <f>IFERROR(__xludf.DUMMYFUNCTION("""COMPUTED_VALUE"""),"
")</f>
        <v>
</v>
      </c>
      <c r="H150" s="17" t="str">
        <f>IFERROR(__xludf.DUMMYFUNCTION("""COMPUTED_VALUE"""),"
")</f>
        <v>
</v>
      </c>
      <c r="I150" s="17" t="str">
        <f>IFERROR(__xludf.DUMMYFUNCTION("""COMPUTED_VALUE"""),"
")</f>
        <v>
</v>
      </c>
      <c r="J150" s="17" t="str">
        <f>IFERROR(__xludf.DUMMYFUNCTION("""COMPUTED_VALUE"""),"
")</f>
        <v>
</v>
      </c>
      <c r="K150" s="17" t="str">
        <f>IFERROR(__xludf.DUMMYFUNCTION("""COMPUTED_VALUE"""),"
")</f>
        <v>
</v>
      </c>
      <c r="L150" s="17" t="str">
        <f>IFERROR(__xludf.DUMMYFUNCTION("""COMPUTED_VALUE"""),"
")</f>
        <v>
</v>
      </c>
      <c r="M150" s="17" t="str">
        <f>IFERROR(__xludf.DUMMYFUNCTION("""COMPUTED_VALUE"""),"
")</f>
        <v>
</v>
      </c>
      <c r="N150" s="17" t="str">
        <f>IFERROR(__xludf.DUMMYFUNCTION("""COMPUTED_VALUE"""),"
")</f>
        <v>
</v>
      </c>
      <c r="O150" s="17" t="str">
        <f>IFERROR(__xludf.DUMMYFUNCTION("""COMPUTED_VALUE"""),"
")</f>
        <v>
</v>
      </c>
      <c r="P150" s="17" t="str">
        <f>IFERROR(__xludf.DUMMYFUNCTION("""COMPUTED_VALUE"""),"
")</f>
        <v>
</v>
      </c>
      <c r="Q150" s="17" t="str">
        <f>IFERROR(__xludf.DUMMYFUNCTION("""COMPUTED_VALUE"""),"
")</f>
        <v>
</v>
      </c>
      <c r="R150" s="17" t="str">
        <f>IFERROR(__xludf.DUMMYFUNCTION("""COMPUTED_VALUE"""),"
")</f>
        <v>
</v>
      </c>
      <c r="S150" s="17" t="str">
        <f>IFERROR(__xludf.DUMMYFUNCTION("""COMPUTED_VALUE"""),"
")</f>
        <v>
</v>
      </c>
      <c r="T150" s="17" t="str">
        <f>IFERROR(__xludf.DUMMYFUNCTION("""COMPUTED_VALUE"""),"
")</f>
        <v>
</v>
      </c>
      <c r="U150" s="17" t="str">
        <f>IFERROR(__xludf.DUMMYFUNCTION("""COMPUTED_VALUE"""),"
")</f>
        <v>
</v>
      </c>
      <c r="V150" s="17" t="str">
        <f>IFERROR(__xludf.DUMMYFUNCTION("""COMPUTED_VALUE"""),"
")</f>
        <v>
</v>
      </c>
      <c r="W150" s="17" t="str">
        <f>IFERROR(__xludf.DUMMYFUNCTION("""COMPUTED_VALUE"""),"
")</f>
        <v>
</v>
      </c>
      <c r="X150" s="17" t="str">
        <f>IFERROR(__xludf.DUMMYFUNCTION("""COMPUTED_VALUE"""),"
")</f>
        <v>
</v>
      </c>
      <c r="Y150" s="17" t="str">
        <f>IFERROR(__xludf.DUMMYFUNCTION("""COMPUTED_VALUE"""),"
")</f>
        <v>
</v>
      </c>
      <c r="Z150" s="17" t="str">
        <f>IFERROR(__xludf.DUMMYFUNCTION("""COMPUTED_VALUE"""),"
")</f>
        <v>
</v>
      </c>
      <c r="AA150" s="17" t="str">
        <f>IFERROR(__xludf.DUMMYFUNCTION("""COMPUTED_VALUE"""),"
")</f>
        <v>
</v>
      </c>
      <c r="AB150" s="17" t="str">
        <f>IFERROR(__xludf.DUMMYFUNCTION("""COMPUTED_VALUE"""),"
")</f>
        <v>
</v>
      </c>
      <c r="AC150" s="17" t="str">
        <f>IFERROR(__xludf.DUMMYFUNCTION("""COMPUTED_VALUE"""),"
")</f>
        <v>
</v>
      </c>
    </row>
    <row r="151">
      <c r="A151" s="17" t="str">
        <f>IFERROR(__xludf.DUMMYFUNCTION("""COMPUTED_VALUE"""),"Chapter 45: 38 Build Up - Preamble Leet - Addendum Rey
Valkyrian Science (Valkyria Chronicles) 300:
Somehow you've gained some of the knowledge that the Valkyrur used to possess, giving you the skill and ability to graft Ragnite machinery on a level far a"&amp;"bove any modern human. At first, you'd only be able to create replica's of the Valkyrian weapons, but with many years of study it might be possible to recreate the Valkyrur themselves.
System")</f>
        <v>Chapter 45: 38 Build Up - Preamble Leet - Addendum Rey
Valkyrian Science (Valkyria Chronicles) 300:
Somehow you've gained some of the knowledge that the Valkyrur used to possess, giving you the skill and ability to graft Ragnite machinery on a level far above any modern human. At first, you'd only be able to create replica's of the Valkyrian weapons, but with many years of study it might be possible to recreate the Valkyrur themselves.
System</v>
      </c>
      <c r="B151" s="17" t="str">
        <f>IFERROR(__xludf.DUMMYFUNCTION("""COMPUTED_VALUE"""),"
")</f>
        <v>
</v>
      </c>
      <c r="C151" s="17" t="str">
        <f>IFERROR(__xludf.DUMMYFUNCTION("""COMPUTED_VALUE"""),"
")</f>
        <v>
</v>
      </c>
      <c r="D151" s="17" t="str">
        <f>IFERROR(__xludf.DUMMYFUNCTION("""COMPUTED_VALUE"""),"
")</f>
        <v>
</v>
      </c>
      <c r="E151" s="17" t="str">
        <f>IFERROR(__xludf.DUMMYFUNCTION("""COMPUTED_VALUE"""),"
")</f>
        <v>
</v>
      </c>
      <c r="F151" s="17" t="str">
        <f>IFERROR(__xludf.DUMMYFUNCTION("""COMPUTED_VALUE"""),"
")</f>
        <v>
</v>
      </c>
      <c r="G151" s="17" t="str">
        <f>IFERROR(__xludf.DUMMYFUNCTION("""COMPUTED_VALUE"""),"
")</f>
        <v>
</v>
      </c>
      <c r="H151" s="17" t="str">
        <f>IFERROR(__xludf.DUMMYFUNCTION("""COMPUTED_VALUE"""),"
")</f>
        <v>
</v>
      </c>
      <c r="I151" s="17" t="str">
        <f>IFERROR(__xludf.DUMMYFUNCTION("""COMPUTED_VALUE"""),"
")</f>
        <v>
</v>
      </c>
      <c r="J151" s="17" t="str">
        <f>IFERROR(__xludf.DUMMYFUNCTION("""COMPUTED_VALUE"""),"
")</f>
        <v>
</v>
      </c>
      <c r="K151" s="17" t="str">
        <f>IFERROR(__xludf.DUMMYFUNCTION("""COMPUTED_VALUE"""),"
")</f>
        <v>
</v>
      </c>
      <c r="L151" s="17" t="str">
        <f>IFERROR(__xludf.DUMMYFUNCTION("""COMPUTED_VALUE"""),"
")</f>
        <v>
</v>
      </c>
      <c r="M151" s="17" t="str">
        <f>IFERROR(__xludf.DUMMYFUNCTION("""COMPUTED_VALUE"""),"
")</f>
        <v>
</v>
      </c>
      <c r="N151" s="17" t="str">
        <f>IFERROR(__xludf.DUMMYFUNCTION("""COMPUTED_VALUE"""),"
")</f>
        <v>
</v>
      </c>
      <c r="O151" s="17" t="str">
        <f>IFERROR(__xludf.DUMMYFUNCTION("""COMPUTED_VALUE"""),"
")</f>
        <v>
</v>
      </c>
      <c r="P151" s="17" t="str">
        <f>IFERROR(__xludf.DUMMYFUNCTION("""COMPUTED_VALUE"""),"
")</f>
        <v>
</v>
      </c>
      <c r="Q151" s="17" t="str">
        <f>IFERROR(__xludf.DUMMYFUNCTION("""COMPUTED_VALUE"""),"
")</f>
        <v>
</v>
      </c>
      <c r="R151" s="17" t="str">
        <f>IFERROR(__xludf.DUMMYFUNCTION("""COMPUTED_VALUE"""),"
")</f>
        <v>
</v>
      </c>
      <c r="S151" s="17" t="str">
        <f>IFERROR(__xludf.DUMMYFUNCTION("""COMPUTED_VALUE"""),"
")</f>
        <v>
</v>
      </c>
      <c r="T151" s="17" t="str">
        <f>IFERROR(__xludf.DUMMYFUNCTION("""COMPUTED_VALUE"""),"
")</f>
        <v>
</v>
      </c>
      <c r="U151" s="17" t="str">
        <f>IFERROR(__xludf.DUMMYFUNCTION("""COMPUTED_VALUE"""),"
")</f>
        <v>
</v>
      </c>
      <c r="V151" s="17" t="str">
        <f>IFERROR(__xludf.DUMMYFUNCTION("""COMPUTED_VALUE"""),"
")</f>
        <v>
</v>
      </c>
      <c r="W151" s="17" t="str">
        <f>IFERROR(__xludf.DUMMYFUNCTION("""COMPUTED_VALUE"""),"
")</f>
        <v>
</v>
      </c>
      <c r="X151" s="17" t="str">
        <f>IFERROR(__xludf.DUMMYFUNCTION("""COMPUTED_VALUE"""),"
")</f>
        <v>
</v>
      </c>
      <c r="Y151" s="17" t="str">
        <f>IFERROR(__xludf.DUMMYFUNCTION("""COMPUTED_VALUE"""),"
")</f>
        <v>
</v>
      </c>
      <c r="Z151" s="17" t="str">
        <f>IFERROR(__xludf.DUMMYFUNCTION("""COMPUTED_VALUE"""),"
")</f>
        <v>
</v>
      </c>
      <c r="AA151" s="17" t="str">
        <f>IFERROR(__xludf.DUMMYFUNCTION("""COMPUTED_VALUE"""),"
")</f>
        <v>
</v>
      </c>
      <c r="AB151" s="17" t="str">
        <f>IFERROR(__xludf.DUMMYFUNCTION("""COMPUTED_VALUE"""),"
")</f>
        <v>
</v>
      </c>
      <c r="AC151" s="17" t="str">
        <f>IFERROR(__xludf.DUMMYFUNCTION("""COMPUTED_VALUE"""),"
")</f>
        <v>
</v>
      </c>
    </row>
    <row r="152">
      <c r="A152" s="17" t="str">
        <f>IFERROR(__xludf.DUMMYFUNCTION("""COMPUTED_VALUE"""),"")</f>
        <v/>
      </c>
      <c r="B152" s="17" t="str">
        <f>IFERROR(__xludf.DUMMYFUNCTION("""COMPUTED_VALUE"""),"")</f>
        <v/>
      </c>
      <c r="C152" s="17" t="str">
        <f>IFERROR(__xludf.DUMMYFUNCTION("""COMPUTED_VALUE"""),"")</f>
        <v/>
      </c>
      <c r="D152" s="17" t="str">
        <f>IFERROR(__xludf.DUMMYFUNCTION("""COMPUTED_VALUE"""),"")</f>
        <v/>
      </c>
      <c r="E152" s="17" t="str">
        <f>IFERROR(__xludf.DUMMYFUNCTION("""COMPUTED_VALUE"""),"")</f>
        <v/>
      </c>
      <c r="F152" s="17" t="str">
        <f>IFERROR(__xludf.DUMMYFUNCTION("""COMPUTED_VALUE"""),"")</f>
        <v/>
      </c>
      <c r="G152" s="17" t="str">
        <f>IFERROR(__xludf.DUMMYFUNCTION("""COMPUTED_VALUE"""),"")</f>
        <v/>
      </c>
      <c r="H152" s="17" t="str">
        <f>IFERROR(__xludf.DUMMYFUNCTION("""COMPUTED_VALUE"""),"")</f>
        <v/>
      </c>
      <c r="I152" s="17" t="str">
        <f>IFERROR(__xludf.DUMMYFUNCTION("""COMPUTED_VALUE"""),"")</f>
        <v/>
      </c>
      <c r="J152" s="17" t="str">
        <f>IFERROR(__xludf.DUMMYFUNCTION("""COMPUTED_VALUE"""),"")</f>
        <v/>
      </c>
      <c r="K152" s="17" t="str">
        <f>IFERROR(__xludf.DUMMYFUNCTION("""COMPUTED_VALUE"""),"")</f>
        <v/>
      </c>
      <c r="L152" s="17" t="str">
        <f>IFERROR(__xludf.DUMMYFUNCTION("""COMPUTED_VALUE"""),"")</f>
        <v/>
      </c>
      <c r="M152" s="17" t="str">
        <f>IFERROR(__xludf.DUMMYFUNCTION("""COMPUTED_VALUE"""),"")</f>
        <v/>
      </c>
      <c r="N152" s="17" t="str">
        <f>IFERROR(__xludf.DUMMYFUNCTION("""COMPUTED_VALUE"""),"")</f>
        <v/>
      </c>
      <c r="O152" s="17" t="str">
        <f>IFERROR(__xludf.DUMMYFUNCTION("""COMPUTED_VALUE"""),"")</f>
        <v/>
      </c>
      <c r="P152" s="17" t="str">
        <f>IFERROR(__xludf.DUMMYFUNCTION("""COMPUTED_VALUE"""),"")</f>
        <v/>
      </c>
      <c r="Q152" s="17" t="str">
        <f>IFERROR(__xludf.DUMMYFUNCTION("""COMPUTED_VALUE"""),"")</f>
        <v/>
      </c>
      <c r="R152" s="17" t="str">
        <f>IFERROR(__xludf.DUMMYFUNCTION("""COMPUTED_VALUE"""),"")</f>
        <v/>
      </c>
      <c r="S152" s="17" t="str">
        <f>IFERROR(__xludf.DUMMYFUNCTION("""COMPUTED_VALUE"""),"")</f>
        <v/>
      </c>
      <c r="T152" s="17" t="str">
        <f>IFERROR(__xludf.DUMMYFUNCTION("""COMPUTED_VALUE"""),"")</f>
        <v/>
      </c>
      <c r="U152" s="17" t="str">
        <f>IFERROR(__xludf.DUMMYFUNCTION("""COMPUTED_VALUE"""),"")</f>
        <v/>
      </c>
      <c r="V152" s="17" t="str">
        <f>IFERROR(__xludf.DUMMYFUNCTION("""COMPUTED_VALUE"""),"")</f>
        <v/>
      </c>
      <c r="W152" s="17" t="str">
        <f>IFERROR(__xludf.DUMMYFUNCTION("""COMPUTED_VALUE"""),"")</f>
        <v/>
      </c>
      <c r="X152" s="17" t="str">
        <f>IFERROR(__xludf.DUMMYFUNCTION("""COMPUTED_VALUE"""),"")</f>
        <v/>
      </c>
      <c r="Y152" s="17" t="str">
        <f>IFERROR(__xludf.DUMMYFUNCTION("""COMPUTED_VALUE"""),"")</f>
        <v/>
      </c>
      <c r="Z152" s="17" t="str">
        <f>IFERROR(__xludf.DUMMYFUNCTION("""COMPUTED_VALUE"""),"")</f>
        <v/>
      </c>
      <c r="AA152" s="17" t="str">
        <f>IFERROR(__xludf.DUMMYFUNCTION("""COMPUTED_VALUE"""),"")</f>
        <v/>
      </c>
      <c r="AB152" s="17" t="str">
        <f>IFERROR(__xludf.DUMMYFUNCTION("""COMPUTED_VALUE"""),"")</f>
        <v/>
      </c>
      <c r="AC152" s="17" t="str">
        <f>IFERROR(__xludf.DUMMYFUNCTION("""COMPUTED_VALUE"""),"")</f>
        <v/>
      </c>
    </row>
    <row r="153">
      <c r="A153" s="17" t="str">
        <f>IFERROR(__xludf.DUMMYFUNCTION("""COMPUTED_VALUE"""),"Chapter 169: 110.3 Interlude Everett - Addendum Joe
The Pleician Tome (LoT DLC 1 – The Heathen Trail – Warhammer 40,000) 500:
The Pleician Tome is a portable font of certain archives, templates and pieces of ancient lore, created by a senior Tech-priest o"&amp;"f the Adeptus Mechanicus and used by Techmarines.
Even to a trained eye, the information is a seemingly random collection, with no easy means of navigation, and so it takes much study to glean anything relevant to a particular task. Indeed, only those wit"&amp;"h a wide knowledge of Machine Spirits and engine lore have any hope of understanding the information contained within, however, those with patience and the appropriate skills can find secrets of great use within the datacore, secrets dating back to the fa"&amp;"bled Dark Age of Technology.
System")</f>
        <v>Chapter 169: 110.3 Interlude Everett - Addendum Joe
The Pleician Tome (LoT DLC 1 – The Heathen Trail – Warhammer 40,000) 500:
The Pleician Tome is a portable font of certain archives, templates and pieces of ancient lore, created by a senior Tech-priest of the Adeptus Mechanicus and used by Techmarines.
Even to a trained eye, the information is a seemingly random collection, with no easy means of navigation, and so it takes much study to glean anything relevant to a particular task. Indeed, only those with a wide knowledge of Machine Spirits and engine lore have any hope of understanding the information contained within, however, those with patience and the appropriate skills can find secrets of great use within the datacore, secrets dating back to the fabled Dark Age of Technology.
System</v>
      </c>
      <c r="B153" s="17" t="str">
        <f>IFERROR(__xludf.DUMMYFUNCTION("""COMPUTED_VALUE"""),"
")</f>
        <v>
</v>
      </c>
      <c r="C153" s="17" t="str">
        <f>IFERROR(__xludf.DUMMYFUNCTION("""COMPUTED_VALUE"""),"
")</f>
        <v>
</v>
      </c>
      <c r="D153" s="17" t="str">
        <f>IFERROR(__xludf.DUMMYFUNCTION("""COMPUTED_VALUE"""),"
")</f>
        <v>
</v>
      </c>
      <c r="E153" s="17" t="str">
        <f>IFERROR(__xludf.DUMMYFUNCTION("""COMPUTED_VALUE"""),"
")</f>
        <v>
</v>
      </c>
      <c r="F153" s="17" t="str">
        <f>IFERROR(__xludf.DUMMYFUNCTION("""COMPUTED_VALUE"""),"
")</f>
        <v>
</v>
      </c>
      <c r="G153" s="17" t="str">
        <f>IFERROR(__xludf.DUMMYFUNCTION("""COMPUTED_VALUE"""),"
")</f>
        <v>
</v>
      </c>
      <c r="H153" s="17" t="str">
        <f>IFERROR(__xludf.DUMMYFUNCTION("""COMPUTED_VALUE"""),"
")</f>
        <v>
</v>
      </c>
      <c r="I153" s="17" t="str">
        <f>IFERROR(__xludf.DUMMYFUNCTION("""COMPUTED_VALUE"""),"
")</f>
        <v>
</v>
      </c>
      <c r="J153" s="17" t="str">
        <f>IFERROR(__xludf.DUMMYFUNCTION("""COMPUTED_VALUE"""),"
")</f>
        <v>
</v>
      </c>
      <c r="K153" s="17" t="str">
        <f>IFERROR(__xludf.DUMMYFUNCTION("""COMPUTED_VALUE"""),"
")</f>
        <v>
</v>
      </c>
      <c r="L153" s="17" t="str">
        <f>IFERROR(__xludf.DUMMYFUNCTION("""COMPUTED_VALUE"""),"
")</f>
        <v>
</v>
      </c>
      <c r="M153" s="17" t="str">
        <f>IFERROR(__xludf.DUMMYFUNCTION("""COMPUTED_VALUE"""),"
")</f>
        <v>
</v>
      </c>
      <c r="N153" s="17" t="str">
        <f>IFERROR(__xludf.DUMMYFUNCTION("""COMPUTED_VALUE"""),"
")</f>
        <v>
</v>
      </c>
      <c r="O153" s="17" t="str">
        <f>IFERROR(__xludf.DUMMYFUNCTION("""COMPUTED_VALUE"""),"
")</f>
        <v>
</v>
      </c>
      <c r="P153" s="17" t="str">
        <f>IFERROR(__xludf.DUMMYFUNCTION("""COMPUTED_VALUE"""),"
")</f>
        <v>
</v>
      </c>
      <c r="Q153" s="17" t="str">
        <f>IFERROR(__xludf.DUMMYFUNCTION("""COMPUTED_VALUE"""),"
")</f>
        <v>
</v>
      </c>
      <c r="R153" s="17" t="str">
        <f>IFERROR(__xludf.DUMMYFUNCTION("""COMPUTED_VALUE"""),"
")</f>
        <v>
</v>
      </c>
      <c r="S153" s="17" t="str">
        <f>IFERROR(__xludf.DUMMYFUNCTION("""COMPUTED_VALUE"""),"
")</f>
        <v>
</v>
      </c>
      <c r="T153" s="17" t="str">
        <f>IFERROR(__xludf.DUMMYFUNCTION("""COMPUTED_VALUE"""),"
")</f>
        <v>
</v>
      </c>
      <c r="U153" s="17" t="str">
        <f>IFERROR(__xludf.DUMMYFUNCTION("""COMPUTED_VALUE"""),"
")</f>
        <v>
</v>
      </c>
      <c r="V153" s="17" t="str">
        <f>IFERROR(__xludf.DUMMYFUNCTION("""COMPUTED_VALUE"""),"
")</f>
        <v>
</v>
      </c>
      <c r="W153" s="17" t="str">
        <f>IFERROR(__xludf.DUMMYFUNCTION("""COMPUTED_VALUE"""),"
")</f>
        <v>
</v>
      </c>
      <c r="X153" s="17" t="str">
        <f>IFERROR(__xludf.DUMMYFUNCTION("""COMPUTED_VALUE"""),"
")</f>
        <v>
</v>
      </c>
      <c r="Y153" s="17" t="str">
        <f>IFERROR(__xludf.DUMMYFUNCTION("""COMPUTED_VALUE"""),"
")</f>
        <v>
</v>
      </c>
      <c r="Z153" s="17" t="str">
        <f>IFERROR(__xludf.DUMMYFUNCTION("""COMPUTED_VALUE"""),"
")</f>
        <v>
</v>
      </c>
      <c r="AA153" s="17" t="str">
        <f>IFERROR(__xludf.DUMMYFUNCTION("""COMPUTED_VALUE"""),"
")</f>
        <v>
</v>
      </c>
      <c r="AB153" s="17" t="str">
        <f>IFERROR(__xludf.DUMMYFUNCTION("""COMPUTED_VALUE"""),"
")</f>
        <v>
</v>
      </c>
      <c r="AC153" s="17" t="str">
        <f>IFERROR(__xludf.DUMMYFUNCTION("""COMPUTED_VALUE"""),"
")</f>
        <v>
</v>
      </c>
    </row>
    <row r="154">
      <c r="A154" s="17" t="str">
        <f>IFERROR(__xludf.DUMMYFUNCTION("""COMPUTED_VALUE"""),"Chapter 66: 51 Lunchtime
Peak ADVENT Technology (XCOM 2) 200:
Before you defected you were working in some of the most top secret black projects any human had access to. You have an encyclopaedic knowledge of all ADVENT technology, minus some of the genet"&amp;"ic manipulation techniques and basically anything that would give away ADVENTs dark secrets.
System")</f>
        <v>Chapter 66: 51 Lunchtime
Peak ADVENT Technology (XCOM 2) 200:
Before you defected you were working in some of the most top secret black projects any human had access to. You have an encyclopaedic knowledge of all ADVENT technology, minus some of the genetic manipulation techniques and basically anything that would give away ADVENTs dark secrets.
System</v>
      </c>
      <c r="B154" s="17" t="str">
        <f>IFERROR(__xludf.DUMMYFUNCTION("""COMPUTED_VALUE"""),"Chapter 66: 51 Lunchtime
Flack Jacket (XCOM 2) Free:
A set of pre-invasion armour that offers some protection from gunfire and plasma weapons. Comes in a verity of patterns and styles
Item")</f>
        <v>Chapter 66: 51 Lunchtime
Flack Jacket (XCOM 2) Free:
A set of pre-invasion armour that offers some protection from gunfire and plasma weapons. Comes in a verity of patterns and styles
Item</v>
      </c>
      <c r="C154" s="17" t="str">
        <f>IFERROR(__xludf.DUMMYFUNCTION("""COMPUTED_VALUE"""),"
")</f>
        <v>
</v>
      </c>
      <c r="D154" s="17" t="str">
        <f>IFERROR(__xludf.DUMMYFUNCTION("""COMPUTED_VALUE"""),"
")</f>
        <v>
</v>
      </c>
      <c r="E154" s="17" t="str">
        <f>IFERROR(__xludf.DUMMYFUNCTION("""COMPUTED_VALUE"""),"
")</f>
        <v>
</v>
      </c>
      <c r="F154" s="17" t="str">
        <f>IFERROR(__xludf.DUMMYFUNCTION("""COMPUTED_VALUE"""),"
")</f>
        <v>
</v>
      </c>
      <c r="G154" s="17" t="str">
        <f>IFERROR(__xludf.DUMMYFUNCTION("""COMPUTED_VALUE"""),"
")</f>
        <v>
</v>
      </c>
      <c r="H154" s="17" t="str">
        <f>IFERROR(__xludf.DUMMYFUNCTION("""COMPUTED_VALUE"""),"
")</f>
        <v>
</v>
      </c>
      <c r="I154" s="17" t="str">
        <f>IFERROR(__xludf.DUMMYFUNCTION("""COMPUTED_VALUE"""),"
")</f>
        <v>
</v>
      </c>
      <c r="J154" s="17" t="str">
        <f>IFERROR(__xludf.DUMMYFUNCTION("""COMPUTED_VALUE"""),"
")</f>
        <v>
</v>
      </c>
      <c r="K154" s="17" t="str">
        <f>IFERROR(__xludf.DUMMYFUNCTION("""COMPUTED_VALUE"""),"
")</f>
        <v>
</v>
      </c>
      <c r="L154" s="17" t="str">
        <f>IFERROR(__xludf.DUMMYFUNCTION("""COMPUTED_VALUE"""),"
")</f>
        <v>
</v>
      </c>
      <c r="M154" s="17" t="str">
        <f>IFERROR(__xludf.DUMMYFUNCTION("""COMPUTED_VALUE"""),"
")</f>
        <v>
</v>
      </c>
      <c r="N154" s="17" t="str">
        <f>IFERROR(__xludf.DUMMYFUNCTION("""COMPUTED_VALUE"""),"
")</f>
        <v>
</v>
      </c>
      <c r="O154" s="17" t="str">
        <f>IFERROR(__xludf.DUMMYFUNCTION("""COMPUTED_VALUE"""),"
")</f>
        <v>
</v>
      </c>
      <c r="P154" s="17" t="str">
        <f>IFERROR(__xludf.DUMMYFUNCTION("""COMPUTED_VALUE"""),"
")</f>
        <v>
</v>
      </c>
      <c r="Q154" s="17" t="str">
        <f>IFERROR(__xludf.DUMMYFUNCTION("""COMPUTED_VALUE"""),"
")</f>
        <v>
</v>
      </c>
      <c r="R154" s="17" t="str">
        <f>IFERROR(__xludf.DUMMYFUNCTION("""COMPUTED_VALUE"""),"
")</f>
        <v>
</v>
      </c>
      <c r="S154" s="17" t="str">
        <f>IFERROR(__xludf.DUMMYFUNCTION("""COMPUTED_VALUE"""),"
")</f>
        <v>
</v>
      </c>
      <c r="T154" s="17" t="str">
        <f>IFERROR(__xludf.DUMMYFUNCTION("""COMPUTED_VALUE"""),"
")</f>
        <v>
</v>
      </c>
      <c r="U154" s="17" t="str">
        <f>IFERROR(__xludf.DUMMYFUNCTION("""COMPUTED_VALUE"""),"
")</f>
        <v>
</v>
      </c>
      <c r="V154" s="17" t="str">
        <f>IFERROR(__xludf.DUMMYFUNCTION("""COMPUTED_VALUE"""),"
")</f>
        <v>
</v>
      </c>
      <c r="W154" s="17" t="str">
        <f>IFERROR(__xludf.DUMMYFUNCTION("""COMPUTED_VALUE"""),"
")</f>
        <v>
</v>
      </c>
      <c r="X154" s="17" t="str">
        <f>IFERROR(__xludf.DUMMYFUNCTION("""COMPUTED_VALUE"""),"
")</f>
        <v>
</v>
      </c>
      <c r="Y154" s="17" t="str">
        <f>IFERROR(__xludf.DUMMYFUNCTION("""COMPUTED_VALUE"""),"
")</f>
        <v>
</v>
      </c>
      <c r="Z154" s="17" t="str">
        <f>IFERROR(__xludf.DUMMYFUNCTION("""COMPUTED_VALUE"""),"
")</f>
        <v>
</v>
      </c>
      <c r="AA154" s="17" t="str">
        <f>IFERROR(__xludf.DUMMYFUNCTION("""COMPUTED_VALUE"""),"
")</f>
        <v>
</v>
      </c>
      <c r="AB154" s="17" t="str">
        <f>IFERROR(__xludf.DUMMYFUNCTION("""COMPUTED_VALUE"""),"
")</f>
        <v>
</v>
      </c>
      <c r="AC154" s="17" t="str">
        <f>IFERROR(__xludf.DUMMYFUNCTION("""COMPUTED_VALUE"""),"
")</f>
        <v>
</v>
      </c>
    </row>
    <row r="155">
      <c r="A155" s="17" t="str">
        <f>IFERROR(__xludf.DUMMYFUNCTION("""COMPUTED_VALUE"""),"")</f>
        <v/>
      </c>
      <c r="B155" s="17" t="str">
        <f>IFERROR(__xludf.DUMMYFUNCTION("""COMPUTED_VALUE"""),"")</f>
        <v/>
      </c>
      <c r="C155" s="17" t="str">
        <f>IFERROR(__xludf.DUMMYFUNCTION("""COMPUTED_VALUE"""),"")</f>
        <v/>
      </c>
      <c r="D155" s="17" t="str">
        <f>IFERROR(__xludf.DUMMYFUNCTION("""COMPUTED_VALUE"""),"")</f>
        <v/>
      </c>
      <c r="E155" s="17" t="str">
        <f>IFERROR(__xludf.DUMMYFUNCTION("""COMPUTED_VALUE"""),"")</f>
        <v/>
      </c>
      <c r="F155" s="17" t="str">
        <f>IFERROR(__xludf.DUMMYFUNCTION("""COMPUTED_VALUE"""),"")</f>
        <v/>
      </c>
      <c r="G155" s="17" t="str">
        <f>IFERROR(__xludf.DUMMYFUNCTION("""COMPUTED_VALUE"""),"")</f>
        <v/>
      </c>
      <c r="H155" s="17" t="str">
        <f>IFERROR(__xludf.DUMMYFUNCTION("""COMPUTED_VALUE"""),"")</f>
        <v/>
      </c>
      <c r="I155" s="17" t="str">
        <f>IFERROR(__xludf.DUMMYFUNCTION("""COMPUTED_VALUE"""),"")</f>
        <v/>
      </c>
      <c r="J155" s="17" t="str">
        <f>IFERROR(__xludf.DUMMYFUNCTION("""COMPUTED_VALUE"""),"")</f>
        <v/>
      </c>
      <c r="K155" s="17" t="str">
        <f>IFERROR(__xludf.DUMMYFUNCTION("""COMPUTED_VALUE"""),"")</f>
        <v/>
      </c>
      <c r="L155" s="17" t="str">
        <f>IFERROR(__xludf.DUMMYFUNCTION("""COMPUTED_VALUE"""),"")</f>
        <v/>
      </c>
      <c r="M155" s="17" t="str">
        <f>IFERROR(__xludf.DUMMYFUNCTION("""COMPUTED_VALUE"""),"")</f>
        <v/>
      </c>
      <c r="N155" s="17" t="str">
        <f>IFERROR(__xludf.DUMMYFUNCTION("""COMPUTED_VALUE"""),"")</f>
        <v/>
      </c>
      <c r="O155" s="17" t="str">
        <f>IFERROR(__xludf.DUMMYFUNCTION("""COMPUTED_VALUE"""),"")</f>
        <v/>
      </c>
      <c r="P155" s="17" t="str">
        <f>IFERROR(__xludf.DUMMYFUNCTION("""COMPUTED_VALUE"""),"")</f>
        <v/>
      </c>
      <c r="Q155" s="17" t="str">
        <f>IFERROR(__xludf.DUMMYFUNCTION("""COMPUTED_VALUE"""),"")</f>
        <v/>
      </c>
      <c r="R155" s="17" t="str">
        <f>IFERROR(__xludf.DUMMYFUNCTION("""COMPUTED_VALUE"""),"")</f>
        <v/>
      </c>
      <c r="S155" s="17" t="str">
        <f>IFERROR(__xludf.DUMMYFUNCTION("""COMPUTED_VALUE"""),"")</f>
        <v/>
      </c>
      <c r="T155" s="17" t="str">
        <f>IFERROR(__xludf.DUMMYFUNCTION("""COMPUTED_VALUE"""),"")</f>
        <v/>
      </c>
      <c r="U155" s="17" t="str">
        <f>IFERROR(__xludf.DUMMYFUNCTION("""COMPUTED_VALUE"""),"")</f>
        <v/>
      </c>
      <c r="V155" s="17" t="str">
        <f>IFERROR(__xludf.DUMMYFUNCTION("""COMPUTED_VALUE"""),"")</f>
        <v/>
      </c>
      <c r="W155" s="17" t="str">
        <f>IFERROR(__xludf.DUMMYFUNCTION("""COMPUTED_VALUE"""),"")</f>
        <v/>
      </c>
      <c r="X155" s="17" t="str">
        <f>IFERROR(__xludf.DUMMYFUNCTION("""COMPUTED_VALUE"""),"")</f>
        <v/>
      </c>
      <c r="Y155" s="17" t="str">
        <f>IFERROR(__xludf.DUMMYFUNCTION("""COMPUTED_VALUE"""),"")</f>
        <v/>
      </c>
      <c r="Z155" s="17" t="str">
        <f>IFERROR(__xludf.DUMMYFUNCTION("""COMPUTED_VALUE"""),"")</f>
        <v/>
      </c>
      <c r="AA155" s="17" t="str">
        <f>IFERROR(__xludf.DUMMYFUNCTION("""COMPUTED_VALUE"""),"")</f>
        <v/>
      </c>
      <c r="AB155" s="17" t="str">
        <f>IFERROR(__xludf.DUMMYFUNCTION("""COMPUTED_VALUE"""),"")</f>
        <v/>
      </c>
      <c r="AC155" s="17" t="str">
        <f>IFERROR(__xludf.DUMMYFUNCTION("""COMPUTED_VALUE"""),"")</f>
        <v/>
      </c>
    </row>
    <row r="156">
      <c r="A156" s="17" t="str">
        <f>IFERROR(__xludf.DUMMYFUNCTION("""COMPUTED_VALUE"""),"Chapter 111: 80 Analysis and Reflections
Glove of the East (Binbougami Ga!) 300:
This hand of mine glows with an awesome power! It's burning gri-... oh! Sorry, wrong show. This single glove comes in any color and style, and is actually quite useful! You c"&amp;"an channel your spiritual energies through it to help you with mundane tasks; your cooking might turn out excellent, cleaning takes less work for better results, and massages work WONDERS when you hit those points. If you channel a LOT of spiritual energy"&amp;", you might even imbue items and equipment to improve them and be more receptive to your spiritual/chi powers! Heart symbol optional.
Item")</f>
        <v>Chapter 111: 80 Analysis and Reflections
Glove of the East (Binbougami Ga!) 300:
This hand of mine glows with an awesome power! It's burning gri-... oh! Sorry, wrong show. This single glove comes in any color and style, and is actually quite useful! You can channel your spiritual energies through it to help you with mundane tasks; your cooking might turn out excellent, cleaning takes less work for better results, and massages work WONDERS when you hit those points. If you channel a LOT of spiritual energy, you might even imbue items and equipment to improve them and be more receptive to your spiritual/chi powers! Heart symbol optional.
Item</v>
      </c>
      <c r="B156" s="17" t="str">
        <f>IFERROR(__xludf.DUMMYFUNCTION("""COMPUTED_VALUE"""),"Chapter 111: 80 Analysis and Reflections
Deadbeat Holiday (Binbougami Ga!) Free:
WHAT WAS THAT YOU ARROGANT, ENTITLED SH-... oh, sorry. Was practicing for something else. As you can no doubt guess, this will help you figure out just how to overreact to a "&amp;"situation for comedic effect, as well as WHEN to enact those very moments. You'll get used to it in time, unless you're like a certain grumpy pants. Yeah I said it, GRUMPY PAAAANTS.
Ability")</f>
        <v>Chapter 111: 80 Analysis and Reflections
Deadbeat Holiday (Binbougami Ga!) Free:
WHAT WAS THAT YOU ARROGANT, ENTITLED SH-... oh, sorry. Was practicing for something else. As you can no doubt guess, this will help you figure out just how to overreact to a situation for comedic effect, as well as WHEN to enact those very moments. You'll get used to it in time, unless you're like a certain grumpy pants. Yeah I said it, GRUMPY PAAAANTS.
Ability</v>
      </c>
      <c r="C156" s="17" t="str">
        <f>IFERROR(__xludf.DUMMYFUNCTION("""COMPUTED_VALUE"""),"
")</f>
        <v>
</v>
      </c>
      <c r="D156" s="17" t="str">
        <f>IFERROR(__xludf.DUMMYFUNCTION("""COMPUTED_VALUE"""),"
")</f>
        <v>
</v>
      </c>
      <c r="E156" s="17" t="str">
        <f>IFERROR(__xludf.DUMMYFUNCTION("""COMPUTED_VALUE"""),"
")</f>
        <v>
</v>
      </c>
      <c r="F156" s="17" t="str">
        <f>IFERROR(__xludf.DUMMYFUNCTION("""COMPUTED_VALUE"""),"
")</f>
        <v>
</v>
      </c>
      <c r="G156" s="17" t="str">
        <f>IFERROR(__xludf.DUMMYFUNCTION("""COMPUTED_VALUE"""),"
")</f>
        <v>
</v>
      </c>
      <c r="H156" s="17" t="str">
        <f>IFERROR(__xludf.DUMMYFUNCTION("""COMPUTED_VALUE"""),"
")</f>
        <v>
</v>
      </c>
      <c r="I156" s="17" t="str">
        <f>IFERROR(__xludf.DUMMYFUNCTION("""COMPUTED_VALUE"""),"
")</f>
        <v>
</v>
      </c>
      <c r="J156" s="17" t="str">
        <f>IFERROR(__xludf.DUMMYFUNCTION("""COMPUTED_VALUE"""),"
")</f>
        <v>
</v>
      </c>
      <c r="K156" s="17" t="str">
        <f>IFERROR(__xludf.DUMMYFUNCTION("""COMPUTED_VALUE"""),"
")</f>
        <v>
</v>
      </c>
      <c r="L156" s="17" t="str">
        <f>IFERROR(__xludf.DUMMYFUNCTION("""COMPUTED_VALUE"""),"
")</f>
        <v>
</v>
      </c>
      <c r="M156" s="17" t="str">
        <f>IFERROR(__xludf.DUMMYFUNCTION("""COMPUTED_VALUE"""),"
")</f>
        <v>
</v>
      </c>
      <c r="N156" s="17" t="str">
        <f>IFERROR(__xludf.DUMMYFUNCTION("""COMPUTED_VALUE"""),"
")</f>
        <v>
</v>
      </c>
      <c r="O156" s="17" t="str">
        <f>IFERROR(__xludf.DUMMYFUNCTION("""COMPUTED_VALUE"""),"
")</f>
        <v>
</v>
      </c>
      <c r="P156" s="17" t="str">
        <f>IFERROR(__xludf.DUMMYFUNCTION("""COMPUTED_VALUE"""),"
")</f>
        <v>
</v>
      </c>
      <c r="Q156" s="17" t="str">
        <f>IFERROR(__xludf.DUMMYFUNCTION("""COMPUTED_VALUE"""),"
")</f>
        <v>
</v>
      </c>
      <c r="R156" s="17" t="str">
        <f>IFERROR(__xludf.DUMMYFUNCTION("""COMPUTED_VALUE"""),"
")</f>
        <v>
</v>
      </c>
      <c r="S156" s="17" t="str">
        <f>IFERROR(__xludf.DUMMYFUNCTION("""COMPUTED_VALUE"""),"
")</f>
        <v>
</v>
      </c>
      <c r="T156" s="17" t="str">
        <f>IFERROR(__xludf.DUMMYFUNCTION("""COMPUTED_VALUE"""),"
")</f>
        <v>
</v>
      </c>
      <c r="U156" s="17" t="str">
        <f>IFERROR(__xludf.DUMMYFUNCTION("""COMPUTED_VALUE"""),"
")</f>
        <v>
</v>
      </c>
      <c r="V156" s="17" t="str">
        <f>IFERROR(__xludf.DUMMYFUNCTION("""COMPUTED_VALUE"""),"
")</f>
        <v>
</v>
      </c>
      <c r="W156" s="17" t="str">
        <f>IFERROR(__xludf.DUMMYFUNCTION("""COMPUTED_VALUE"""),"
")</f>
        <v>
</v>
      </c>
      <c r="X156" s="17" t="str">
        <f>IFERROR(__xludf.DUMMYFUNCTION("""COMPUTED_VALUE"""),"
")</f>
        <v>
</v>
      </c>
      <c r="Y156" s="17" t="str">
        <f>IFERROR(__xludf.DUMMYFUNCTION("""COMPUTED_VALUE"""),"
")</f>
        <v>
</v>
      </c>
      <c r="Z156" s="17" t="str">
        <f>IFERROR(__xludf.DUMMYFUNCTION("""COMPUTED_VALUE"""),"
")</f>
        <v>
</v>
      </c>
      <c r="AA156" s="17" t="str">
        <f>IFERROR(__xludf.DUMMYFUNCTION("""COMPUTED_VALUE"""),"
")</f>
        <v>
</v>
      </c>
      <c r="AB156" s="17" t="str">
        <f>IFERROR(__xludf.DUMMYFUNCTION("""COMPUTED_VALUE"""),"
")</f>
        <v>
</v>
      </c>
      <c r="AC156" s="17" t="str">
        <f>IFERROR(__xludf.DUMMYFUNCTION("""COMPUTED_VALUE"""),"
")</f>
        <v>
</v>
      </c>
    </row>
    <row r="157">
      <c r="A157" s="17" t="str">
        <f>IFERROR(__xludf.DUMMYFUNCTION("""COMPUTED_VALUE"""),"")</f>
        <v/>
      </c>
      <c r="B157" s="17" t="str">
        <f>IFERROR(__xludf.DUMMYFUNCTION("""COMPUTED_VALUE"""),"")</f>
        <v/>
      </c>
      <c r="C157" s="17" t="str">
        <f>IFERROR(__xludf.DUMMYFUNCTION("""COMPUTED_VALUE"""),"")</f>
        <v/>
      </c>
      <c r="D157" s="17" t="str">
        <f>IFERROR(__xludf.DUMMYFUNCTION("""COMPUTED_VALUE"""),"")</f>
        <v/>
      </c>
      <c r="E157" s="17" t="str">
        <f>IFERROR(__xludf.DUMMYFUNCTION("""COMPUTED_VALUE"""),"")</f>
        <v/>
      </c>
      <c r="F157" s="17" t="str">
        <f>IFERROR(__xludf.DUMMYFUNCTION("""COMPUTED_VALUE"""),"")</f>
        <v/>
      </c>
      <c r="G157" s="17" t="str">
        <f>IFERROR(__xludf.DUMMYFUNCTION("""COMPUTED_VALUE"""),"")</f>
        <v/>
      </c>
      <c r="H157" s="17" t="str">
        <f>IFERROR(__xludf.DUMMYFUNCTION("""COMPUTED_VALUE"""),"")</f>
        <v/>
      </c>
      <c r="I157" s="17" t="str">
        <f>IFERROR(__xludf.DUMMYFUNCTION("""COMPUTED_VALUE"""),"")</f>
        <v/>
      </c>
      <c r="J157" s="17" t="str">
        <f>IFERROR(__xludf.DUMMYFUNCTION("""COMPUTED_VALUE"""),"")</f>
        <v/>
      </c>
      <c r="K157" s="17" t="str">
        <f>IFERROR(__xludf.DUMMYFUNCTION("""COMPUTED_VALUE"""),"")</f>
        <v/>
      </c>
      <c r="L157" s="17" t="str">
        <f>IFERROR(__xludf.DUMMYFUNCTION("""COMPUTED_VALUE"""),"")</f>
        <v/>
      </c>
      <c r="M157" s="17" t="str">
        <f>IFERROR(__xludf.DUMMYFUNCTION("""COMPUTED_VALUE"""),"")</f>
        <v/>
      </c>
      <c r="N157" s="17" t="str">
        <f>IFERROR(__xludf.DUMMYFUNCTION("""COMPUTED_VALUE"""),"")</f>
        <v/>
      </c>
      <c r="O157" s="17" t="str">
        <f>IFERROR(__xludf.DUMMYFUNCTION("""COMPUTED_VALUE"""),"")</f>
        <v/>
      </c>
      <c r="P157" s="17" t="str">
        <f>IFERROR(__xludf.DUMMYFUNCTION("""COMPUTED_VALUE"""),"")</f>
        <v/>
      </c>
      <c r="Q157" s="17" t="str">
        <f>IFERROR(__xludf.DUMMYFUNCTION("""COMPUTED_VALUE"""),"")</f>
        <v/>
      </c>
      <c r="R157" s="17" t="str">
        <f>IFERROR(__xludf.DUMMYFUNCTION("""COMPUTED_VALUE"""),"")</f>
        <v/>
      </c>
      <c r="S157" s="17" t="str">
        <f>IFERROR(__xludf.DUMMYFUNCTION("""COMPUTED_VALUE"""),"")</f>
        <v/>
      </c>
      <c r="T157" s="17" t="str">
        <f>IFERROR(__xludf.DUMMYFUNCTION("""COMPUTED_VALUE"""),"")</f>
        <v/>
      </c>
      <c r="U157" s="17" t="str">
        <f>IFERROR(__xludf.DUMMYFUNCTION("""COMPUTED_VALUE"""),"")</f>
        <v/>
      </c>
      <c r="V157" s="17" t="str">
        <f>IFERROR(__xludf.DUMMYFUNCTION("""COMPUTED_VALUE"""),"")</f>
        <v/>
      </c>
      <c r="W157" s="17" t="str">
        <f>IFERROR(__xludf.DUMMYFUNCTION("""COMPUTED_VALUE"""),"")</f>
        <v/>
      </c>
      <c r="X157" s="17" t="str">
        <f>IFERROR(__xludf.DUMMYFUNCTION("""COMPUTED_VALUE"""),"")</f>
        <v/>
      </c>
      <c r="Y157" s="17" t="str">
        <f>IFERROR(__xludf.DUMMYFUNCTION("""COMPUTED_VALUE"""),"")</f>
        <v/>
      </c>
      <c r="Z157" s="17" t="str">
        <f>IFERROR(__xludf.DUMMYFUNCTION("""COMPUTED_VALUE"""),"")</f>
        <v/>
      </c>
      <c r="AA157" s="17" t="str">
        <f>IFERROR(__xludf.DUMMYFUNCTION("""COMPUTED_VALUE"""),"")</f>
        <v/>
      </c>
      <c r="AB157" s="17" t="str">
        <f>IFERROR(__xludf.DUMMYFUNCTION("""COMPUTED_VALUE"""),"")</f>
        <v/>
      </c>
      <c r="AC157" s="17" t="str">
        <f>IFERROR(__xludf.DUMMYFUNCTION("""COMPUTED_VALUE"""),"")</f>
        <v/>
      </c>
    </row>
    <row r="158">
      <c r="A158" s="17" t="str">
        <f>IFERROR(__xludf.DUMMYFUNCTION("""COMPUTED_VALUE"""),"Chapter 186: 118 Roles and Reflection
Blood Artisan Plus (Bloodborne) 600:
You have been granted an experienced artisan's knowledge on crafting things out of blood. This is basically an overall improved version of Blood Artisan, allowing you to craft more"&amp;" potent Blood Vials, larger Blood Stones and even Blood Gems. Blood Gems are supernatural gems formed from blood that can be slotted into weapons to give them a variety of special abilities. Some Blood Gems can make an edge sharper, or a tip pointer. Othe"&amp;"r gems can bathe a weapon in fire, poison or electricity to make them more effective against certain enemies. Some gems can even increase your strength or dexterity while wielding the weapon it's slotted in. Their magical powers can be stacked, to an exte"&amp;"nt at least. This means you may slot up to three different Blood Gems in the same weapon, though no more. Blood Gems can be slotted and removed with special equipment. (Cannot be taken with Blood Artisan.)
System")</f>
        <v>Chapter 186: 118 Roles and Reflection
Blood Artisan Plus (Bloodborne) 600:
You have been granted an experienced artisan's knowledge on crafting things out of blood. This is basically an overall improved version of Blood Artisan, allowing you to craft more potent Blood Vials, larger Blood Stones and even Blood Gems. Blood Gems are supernatural gems formed from blood that can be slotted into weapons to give them a variety of special abilities. Some Blood Gems can make an edge sharper, or a tip pointer. Other gems can bathe a weapon in fire, poison or electricity to make them more effective against certain enemies. Some gems can even increase your strength or dexterity while wielding the weapon it's slotted in. Their magical powers can be stacked, to an extent at least. This means you may slot up to three different Blood Gems in the same weapon, though no more. Blood Gems can be slotted and removed with special equipment. (Cannot be taken with Blood Artisan.)
System</v>
      </c>
      <c r="B158" s="17" t="str">
        <f>IFERROR(__xludf.DUMMYFUNCTION("""COMPUTED_VALUE"""),"Chapter 186: 118 Roles and Reflection
Bloodied Combat + Blood Artisan Plus (Bloodborne) Free:
You may now crystallize blood in contact with your hand into whatever shape you desire, though the more complex the shape is the more you'll need to focus. Addit"&amp;"ionally, by holding an object made of crystallized blood in your hands, you may slowly manipulate the crystal structure into something more desirable. Whether this means warping it into a new shape or making it sturdier or something else is up to you, but"&amp;" I'm sure you'll find more than a few creative uses.
System")</f>
        <v>Chapter 186: 118 Roles and Reflection
Bloodied Combat + Blood Artisan Plus (Bloodborne) Free:
You may now crystallize blood in contact with your hand into whatever shape you desire, though the more complex the shape is the more you'll need to focus. Additionally, by holding an object made of crystallized blood in your hands, you may slowly manipulate the crystal structure into something more desirable. Whether this means warping it into a new shape or making it sturdier or something else is up to you, but I'm sure you'll find more than a few creative uses.
System</v>
      </c>
      <c r="C158" s="17" t="str">
        <f>IFERROR(__xludf.DUMMYFUNCTION("""COMPUTED_VALUE"""),"
")</f>
        <v>
</v>
      </c>
      <c r="D158" s="17" t="str">
        <f>IFERROR(__xludf.DUMMYFUNCTION("""COMPUTED_VALUE"""),"
")</f>
        <v>
</v>
      </c>
      <c r="E158" s="17" t="str">
        <f>IFERROR(__xludf.DUMMYFUNCTION("""COMPUTED_VALUE"""),"
")</f>
        <v>
</v>
      </c>
      <c r="F158" s="17" t="str">
        <f>IFERROR(__xludf.DUMMYFUNCTION("""COMPUTED_VALUE"""),"
")</f>
        <v>
</v>
      </c>
      <c r="G158" s="17" t="str">
        <f>IFERROR(__xludf.DUMMYFUNCTION("""COMPUTED_VALUE"""),"
")</f>
        <v>
</v>
      </c>
      <c r="H158" s="17" t="str">
        <f>IFERROR(__xludf.DUMMYFUNCTION("""COMPUTED_VALUE"""),"
")</f>
        <v>
</v>
      </c>
      <c r="I158" s="17" t="str">
        <f>IFERROR(__xludf.DUMMYFUNCTION("""COMPUTED_VALUE"""),"
")</f>
        <v>
</v>
      </c>
      <c r="J158" s="17" t="str">
        <f>IFERROR(__xludf.DUMMYFUNCTION("""COMPUTED_VALUE"""),"
")</f>
        <v>
</v>
      </c>
      <c r="K158" s="17" t="str">
        <f>IFERROR(__xludf.DUMMYFUNCTION("""COMPUTED_VALUE"""),"
")</f>
        <v>
</v>
      </c>
      <c r="L158" s="17" t="str">
        <f>IFERROR(__xludf.DUMMYFUNCTION("""COMPUTED_VALUE"""),"
")</f>
        <v>
</v>
      </c>
      <c r="M158" s="17" t="str">
        <f>IFERROR(__xludf.DUMMYFUNCTION("""COMPUTED_VALUE"""),"
")</f>
        <v>
</v>
      </c>
      <c r="N158" s="17" t="str">
        <f>IFERROR(__xludf.DUMMYFUNCTION("""COMPUTED_VALUE"""),"
")</f>
        <v>
</v>
      </c>
      <c r="O158" s="17" t="str">
        <f>IFERROR(__xludf.DUMMYFUNCTION("""COMPUTED_VALUE"""),"
")</f>
        <v>
</v>
      </c>
      <c r="P158" s="17" t="str">
        <f>IFERROR(__xludf.DUMMYFUNCTION("""COMPUTED_VALUE"""),"
")</f>
        <v>
</v>
      </c>
      <c r="Q158" s="17" t="str">
        <f>IFERROR(__xludf.DUMMYFUNCTION("""COMPUTED_VALUE"""),"
")</f>
        <v>
</v>
      </c>
      <c r="R158" s="17" t="str">
        <f>IFERROR(__xludf.DUMMYFUNCTION("""COMPUTED_VALUE"""),"
")</f>
        <v>
</v>
      </c>
      <c r="S158" s="17" t="str">
        <f>IFERROR(__xludf.DUMMYFUNCTION("""COMPUTED_VALUE"""),"
")</f>
        <v>
</v>
      </c>
      <c r="T158" s="17" t="str">
        <f>IFERROR(__xludf.DUMMYFUNCTION("""COMPUTED_VALUE"""),"
")</f>
        <v>
</v>
      </c>
      <c r="U158" s="17" t="str">
        <f>IFERROR(__xludf.DUMMYFUNCTION("""COMPUTED_VALUE"""),"
")</f>
        <v>
</v>
      </c>
      <c r="V158" s="17" t="str">
        <f>IFERROR(__xludf.DUMMYFUNCTION("""COMPUTED_VALUE"""),"
")</f>
        <v>
</v>
      </c>
      <c r="W158" s="17" t="str">
        <f>IFERROR(__xludf.DUMMYFUNCTION("""COMPUTED_VALUE"""),"
")</f>
        <v>
</v>
      </c>
      <c r="X158" s="17" t="str">
        <f>IFERROR(__xludf.DUMMYFUNCTION("""COMPUTED_VALUE"""),"
")</f>
        <v>
</v>
      </c>
      <c r="Y158" s="17" t="str">
        <f>IFERROR(__xludf.DUMMYFUNCTION("""COMPUTED_VALUE"""),"
")</f>
        <v>
</v>
      </c>
      <c r="Z158" s="17" t="str">
        <f>IFERROR(__xludf.DUMMYFUNCTION("""COMPUTED_VALUE"""),"
")</f>
        <v>
</v>
      </c>
      <c r="AA158" s="17" t="str">
        <f>IFERROR(__xludf.DUMMYFUNCTION("""COMPUTED_VALUE"""),"
")</f>
        <v>
</v>
      </c>
      <c r="AB158" s="17" t="str">
        <f>IFERROR(__xludf.DUMMYFUNCTION("""COMPUTED_VALUE"""),"
")</f>
        <v>
</v>
      </c>
      <c r="AC158" s="17" t="str">
        <f>IFERROR(__xludf.DUMMYFUNCTION("""COMPUTED_VALUE"""),"
")</f>
        <v>
</v>
      </c>
    </row>
    <row r="159">
      <c r="A159" s="17" t="str">
        <f>IFERROR(__xludf.DUMMYFUNCTION("""COMPUTED_VALUE"""),"Chapter 26: 21 Closing Moves
Maliwan Intern (Borderlands) 200:
At some point, you got lucky and figured out how Elemental Weapons really work. You know how to use them to best effect, allowing you to set enemies on fire regularly, melt people with acid bu"&amp;"llets, and have ALL kinds of shocking adventures with electrical ammo. If you have any technical training, you can even jury-rig ways to apply elemental effects to other weapons, as well.
Skill")</f>
        <v>Chapter 26: 21 Closing Moves
Maliwan Intern (Borderlands) 200:
At some point, you got lucky and figured out how Elemental Weapons really work. You know how to use them to best effect, allowing you to set enemies on fire regularly, melt people with acid bullets, and have ALL kinds of shocking adventures with electrical ammo. If you have any technical training, you can even jury-rig ways to apply elemental effects to other weapons, as well.
Skill</v>
      </c>
      <c r="B159" s="17" t="str">
        <f>IFERROR(__xludf.DUMMYFUNCTION("""COMPUTED_VALUE"""),"
")</f>
        <v>
</v>
      </c>
      <c r="C159" s="17" t="str">
        <f>IFERROR(__xludf.DUMMYFUNCTION("""COMPUTED_VALUE"""),"
")</f>
        <v>
</v>
      </c>
      <c r="D159" s="17" t="str">
        <f>IFERROR(__xludf.DUMMYFUNCTION("""COMPUTED_VALUE"""),"
")</f>
        <v>
</v>
      </c>
      <c r="E159" s="17" t="str">
        <f>IFERROR(__xludf.DUMMYFUNCTION("""COMPUTED_VALUE"""),"
")</f>
        <v>
</v>
      </c>
      <c r="F159" s="17" t="str">
        <f>IFERROR(__xludf.DUMMYFUNCTION("""COMPUTED_VALUE"""),"
")</f>
        <v>
</v>
      </c>
      <c r="G159" s="17" t="str">
        <f>IFERROR(__xludf.DUMMYFUNCTION("""COMPUTED_VALUE"""),"
")</f>
        <v>
</v>
      </c>
      <c r="H159" s="17" t="str">
        <f>IFERROR(__xludf.DUMMYFUNCTION("""COMPUTED_VALUE"""),"
")</f>
        <v>
</v>
      </c>
      <c r="I159" s="17" t="str">
        <f>IFERROR(__xludf.DUMMYFUNCTION("""COMPUTED_VALUE"""),"
")</f>
        <v>
</v>
      </c>
      <c r="J159" s="17" t="str">
        <f>IFERROR(__xludf.DUMMYFUNCTION("""COMPUTED_VALUE"""),"
")</f>
        <v>
</v>
      </c>
      <c r="K159" s="17" t="str">
        <f>IFERROR(__xludf.DUMMYFUNCTION("""COMPUTED_VALUE"""),"
")</f>
        <v>
</v>
      </c>
      <c r="L159" s="17" t="str">
        <f>IFERROR(__xludf.DUMMYFUNCTION("""COMPUTED_VALUE"""),"
")</f>
        <v>
</v>
      </c>
      <c r="M159" s="17" t="str">
        <f>IFERROR(__xludf.DUMMYFUNCTION("""COMPUTED_VALUE"""),"
")</f>
        <v>
</v>
      </c>
      <c r="N159" s="17" t="str">
        <f>IFERROR(__xludf.DUMMYFUNCTION("""COMPUTED_VALUE"""),"
")</f>
        <v>
</v>
      </c>
      <c r="O159" s="17" t="str">
        <f>IFERROR(__xludf.DUMMYFUNCTION("""COMPUTED_VALUE"""),"
")</f>
        <v>
</v>
      </c>
      <c r="P159" s="17" t="str">
        <f>IFERROR(__xludf.DUMMYFUNCTION("""COMPUTED_VALUE"""),"
")</f>
        <v>
</v>
      </c>
      <c r="Q159" s="17" t="str">
        <f>IFERROR(__xludf.DUMMYFUNCTION("""COMPUTED_VALUE"""),"
")</f>
        <v>
</v>
      </c>
      <c r="R159" s="17" t="str">
        <f>IFERROR(__xludf.DUMMYFUNCTION("""COMPUTED_VALUE"""),"
")</f>
        <v>
</v>
      </c>
      <c r="S159" s="17" t="str">
        <f>IFERROR(__xludf.DUMMYFUNCTION("""COMPUTED_VALUE"""),"
")</f>
        <v>
</v>
      </c>
      <c r="T159" s="17" t="str">
        <f>IFERROR(__xludf.DUMMYFUNCTION("""COMPUTED_VALUE"""),"
")</f>
        <v>
</v>
      </c>
      <c r="U159" s="17" t="str">
        <f>IFERROR(__xludf.DUMMYFUNCTION("""COMPUTED_VALUE"""),"
")</f>
        <v>
</v>
      </c>
      <c r="V159" s="17" t="str">
        <f>IFERROR(__xludf.DUMMYFUNCTION("""COMPUTED_VALUE"""),"
")</f>
        <v>
</v>
      </c>
      <c r="W159" s="17" t="str">
        <f>IFERROR(__xludf.DUMMYFUNCTION("""COMPUTED_VALUE"""),"
")</f>
        <v>
</v>
      </c>
      <c r="X159" s="17" t="str">
        <f>IFERROR(__xludf.DUMMYFUNCTION("""COMPUTED_VALUE"""),"
")</f>
        <v>
</v>
      </c>
      <c r="Y159" s="17" t="str">
        <f>IFERROR(__xludf.DUMMYFUNCTION("""COMPUTED_VALUE"""),"
")</f>
        <v>
</v>
      </c>
      <c r="Z159" s="17" t="str">
        <f>IFERROR(__xludf.DUMMYFUNCTION("""COMPUTED_VALUE"""),"
")</f>
        <v>
</v>
      </c>
      <c r="AA159" s="17" t="str">
        <f>IFERROR(__xludf.DUMMYFUNCTION("""COMPUTED_VALUE"""),"
")</f>
        <v>
</v>
      </c>
      <c r="AB159" s="17" t="str">
        <f>IFERROR(__xludf.DUMMYFUNCTION("""COMPUTED_VALUE"""),"
")</f>
        <v>
</v>
      </c>
      <c r="AC159" s="17" t="str">
        <f>IFERROR(__xludf.DUMMYFUNCTION("""COMPUTED_VALUE"""),"
")</f>
        <v>
</v>
      </c>
    </row>
    <row r="160">
      <c r="A160" s="17" t="str">
        <f>IFERROR(__xludf.DUMMYFUNCTION("""COMPUTED_VALUE"""),"")</f>
        <v/>
      </c>
      <c r="B160" s="17" t="str">
        <f>IFERROR(__xludf.DUMMYFUNCTION("""COMPUTED_VALUE"""),"")</f>
        <v/>
      </c>
      <c r="C160" s="17" t="str">
        <f>IFERROR(__xludf.DUMMYFUNCTION("""COMPUTED_VALUE"""),"")</f>
        <v/>
      </c>
      <c r="D160" s="17" t="str">
        <f>IFERROR(__xludf.DUMMYFUNCTION("""COMPUTED_VALUE"""),"")</f>
        <v/>
      </c>
      <c r="E160" s="17" t="str">
        <f>IFERROR(__xludf.DUMMYFUNCTION("""COMPUTED_VALUE"""),"")</f>
        <v/>
      </c>
      <c r="F160" s="17" t="str">
        <f>IFERROR(__xludf.DUMMYFUNCTION("""COMPUTED_VALUE"""),"")</f>
        <v/>
      </c>
      <c r="G160" s="17" t="str">
        <f>IFERROR(__xludf.DUMMYFUNCTION("""COMPUTED_VALUE"""),"")</f>
        <v/>
      </c>
      <c r="H160" s="17" t="str">
        <f>IFERROR(__xludf.DUMMYFUNCTION("""COMPUTED_VALUE"""),"")</f>
        <v/>
      </c>
      <c r="I160" s="17" t="str">
        <f>IFERROR(__xludf.DUMMYFUNCTION("""COMPUTED_VALUE"""),"")</f>
        <v/>
      </c>
      <c r="J160" s="17" t="str">
        <f>IFERROR(__xludf.DUMMYFUNCTION("""COMPUTED_VALUE"""),"")</f>
        <v/>
      </c>
      <c r="K160" s="17" t="str">
        <f>IFERROR(__xludf.DUMMYFUNCTION("""COMPUTED_VALUE"""),"")</f>
        <v/>
      </c>
      <c r="L160" s="17" t="str">
        <f>IFERROR(__xludf.DUMMYFUNCTION("""COMPUTED_VALUE"""),"")</f>
        <v/>
      </c>
      <c r="M160" s="17" t="str">
        <f>IFERROR(__xludf.DUMMYFUNCTION("""COMPUTED_VALUE"""),"")</f>
        <v/>
      </c>
      <c r="N160" s="17" t="str">
        <f>IFERROR(__xludf.DUMMYFUNCTION("""COMPUTED_VALUE"""),"")</f>
        <v/>
      </c>
      <c r="O160" s="17" t="str">
        <f>IFERROR(__xludf.DUMMYFUNCTION("""COMPUTED_VALUE"""),"")</f>
        <v/>
      </c>
      <c r="P160" s="17" t="str">
        <f>IFERROR(__xludf.DUMMYFUNCTION("""COMPUTED_VALUE"""),"")</f>
        <v/>
      </c>
      <c r="Q160" s="17" t="str">
        <f>IFERROR(__xludf.DUMMYFUNCTION("""COMPUTED_VALUE"""),"")</f>
        <v/>
      </c>
      <c r="R160" s="17" t="str">
        <f>IFERROR(__xludf.DUMMYFUNCTION("""COMPUTED_VALUE"""),"")</f>
        <v/>
      </c>
      <c r="S160" s="17" t="str">
        <f>IFERROR(__xludf.DUMMYFUNCTION("""COMPUTED_VALUE"""),"")</f>
        <v/>
      </c>
      <c r="T160" s="17" t="str">
        <f>IFERROR(__xludf.DUMMYFUNCTION("""COMPUTED_VALUE"""),"")</f>
        <v/>
      </c>
      <c r="U160" s="17" t="str">
        <f>IFERROR(__xludf.DUMMYFUNCTION("""COMPUTED_VALUE"""),"")</f>
        <v/>
      </c>
      <c r="V160" s="17" t="str">
        <f>IFERROR(__xludf.DUMMYFUNCTION("""COMPUTED_VALUE"""),"")</f>
        <v/>
      </c>
      <c r="W160" s="17" t="str">
        <f>IFERROR(__xludf.DUMMYFUNCTION("""COMPUTED_VALUE"""),"")</f>
        <v/>
      </c>
      <c r="X160" s="17" t="str">
        <f>IFERROR(__xludf.DUMMYFUNCTION("""COMPUTED_VALUE"""),"")</f>
        <v/>
      </c>
      <c r="Y160" s="17" t="str">
        <f>IFERROR(__xludf.DUMMYFUNCTION("""COMPUTED_VALUE"""),"")</f>
        <v/>
      </c>
      <c r="Z160" s="17" t="str">
        <f>IFERROR(__xludf.DUMMYFUNCTION("""COMPUTED_VALUE"""),"")</f>
        <v/>
      </c>
      <c r="AA160" s="17" t="str">
        <f>IFERROR(__xludf.DUMMYFUNCTION("""COMPUTED_VALUE"""),"")</f>
        <v/>
      </c>
      <c r="AB160" s="17" t="str">
        <f>IFERROR(__xludf.DUMMYFUNCTION("""COMPUTED_VALUE"""),"")</f>
        <v/>
      </c>
      <c r="AC160" s="17" t="str">
        <f>IFERROR(__xludf.DUMMYFUNCTION("""COMPUTED_VALUE"""),"")</f>
        <v/>
      </c>
    </row>
    <row r="161">
      <c r="A161" s="17" t="str">
        <f>IFERROR(__xludf.DUMMYFUNCTION("""COMPUTED_VALUE"""),"")</f>
        <v/>
      </c>
      <c r="B161" s="17" t="str">
        <f>IFERROR(__xludf.DUMMYFUNCTION("""COMPUTED_VALUE"""),"")</f>
        <v/>
      </c>
      <c r="C161" s="17" t="str">
        <f>IFERROR(__xludf.DUMMYFUNCTION("""COMPUTED_VALUE"""),"")</f>
        <v/>
      </c>
      <c r="D161" s="17" t="str">
        <f>IFERROR(__xludf.DUMMYFUNCTION("""COMPUTED_VALUE"""),"")</f>
        <v/>
      </c>
      <c r="E161" s="17" t="str">
        <f>IFERROR(__xludf.DUMMYFUNCTION("""COMPUTED_VALUE"""),"")</f>
        <v/>
      </c>
      <c r="F161" s="17" t="str">
        <f>IFERROR(__xludf.DUMMYFUNCTION("""COMPUTED_VALUE"""),"")</f>
        <v/>
      </c>
      <c r="G161" s="17" t="str">
        <f>IFERROR(__xludf.DUMMYFUNCTION("""COMPUTED_VALUE"""),"")</f>
        <v/>
      </c>
      <c r="H161" s="17" t="str">
        <f>IFERROR(__xludf.DUMMYFUNCTION("""COMPUTED_VALUE"""),"")</f>
        <v/>
      </c>
      <c r="I161" s="17" t="str">
        <f>IFERROR(__xludf.DUMMYFUNCTION("""COMPUTED_VALUE"""),"")</f>
        <v/>
      </c>
      <c r="J161" s="17" t="str">
        <f>IFERROR(__xludf.DUMMYFUNCTION("""COMPUTED_VALUE"""),"")</f>
        <v/>
      </c>
      <c r="K161" s="17" t="str">
        <f>IFERROR(__xludf.DUMMYFUNCTION("""COMPUTED_VALUE"""),"")</f>
        <v/>
      </c>
      <c r="L161" s="17" t="str">
        <f>IFERROR(__xludf.DUMMYFUNCTION("""COMPUTED_VALUE"""),"")</f>
        <v/>
      </c>
      <c r="M161" s="17" t="str">
        <f>IFERROR(__xludf.DUMMYFUNCTION("""COMPUTED_VALUE"""),"")</f>
        <v/>
      </c>
      <c r="N161" s="17" t="str">
        <f>IFERROR(__xludf.DUMMYFUNCTION("""COMPUTED_VALUE"""),"")</f>
        <v/>
      </c>
      <c r="O161" s="17" t="str">
        <f>IFERROR(__xludf.DUMMYFUNCTION("""COMPUTED_VALUE"""),"")</f>
        <v/>
      </c>
      <c r="P161" s="17" t="str">
        <f>IFERROR(__xludf.DUMMYFUNCTION("""COMPUTED_VALUE"""),"")</f>
        <v/>
      </c>
      <c r="Q161" s="17" t="str">
        <f>IFERROR(__xludf.DUMMYFUNCTION("""COMPUTED_VALUE"""),"")</f>
        <v/>
      </c>
      <c r="R161" s="17" t="str">
        <f>IFERROR(__xludf.DUMMYFUNCTION("""COMPUTED_VALUE"""),"")</f>
        <v/>
      </c>
      <c r="S161" s="17" t="str">
        <f>IFERROR(__xludf.DUMMYFUNCTION("""COMPUTED_VALUE"""),"")</f>
        <v/>
      </c>
      <c r="T161" s="17" t="str">
        <f>IFERROR(__xludf.DUMMYFUNCTION("""COMPUTED_VALUE"""),"")</f>
        <v/>
      </c>
      <c r="U161" s="17" t="str">
        <f>IFERROR(__xludf.DUMMYFUNCTION("""COMPUTED_VALUE"""),"")</f>
        <v/>
      </c>
      <c r="V161" s="17" t="str">
        <f>IFERROR(__xludf.DUMMYFUNCTION("""COMPUTED_VALUE"""),"")</f>
        <v/>
      </c>
      <c r="W161" s="17" t="str">
        <f>IFERROR(__xludf.DUMMYFUNCTION("""COMPUTED_VALUE"""),"")</f>
        <v/>
      </c>
      <c r="X161" s="17" t="str">
        <f>IFERROR(__xludf.DUMMYFUNCTION("""COMPUTED_VALUE"""),"")</f>
        <v/>
      </c>
      <c r="Y161" s="17" t="str">
        <f>IFERROR(__xludf.DUMMYFUNCTION("""COMPUTED_VALUE"""),"")</f>
        <v/>
      </c>
      <c r="Z161" s="17" t="str">
        <f>IFERROR(__xludf.DUMMYFUNCTION("""COMPUTED_VALUE"""),"")</f>
        <v/>
      </c>
      <c r="AA161" s="17" t="str">
        <f>IFERROR(__xludf.DUMMYFUNCTION("""COMPUTED_VALUE"""),"")</f>
        <v/>
      </c>
      <c r="AB161" s="17" t="str">
        <f>IFERROR(__xludf.DUMMYFUNCTION("""COMPUTED_VALUE"""),"")</f>
        <v/>
      </c>
      <c r="AC161" s="17" t="str">
        <f>IFERROR(__xludf.DUMMYFUNCTION("""COMPUTED_VALUE"""),"")</f>
        <v/>
      </c>
    </row>
    <row r="162">
      <c r="A162" s="17" t="str">
        <f>IFERROR(__xludf.DUMMYFUNCTION("""COMPUTED_VALUE"""),"")</f>
        <v/>
      </c>
      <c r="B162" s="17" t="str">
        <f>IFERROR(__xludf.DUMMYFUNCTION("""COMPUTED_VALUE"""),"")</f>
        <v/>
      </c>
      <c r="C162" s="17" t="str">
        <f>IFERROR(__xludf.DUMMYFUNCTION("""COMPUTED_VALUE"""),"")</f>
        <v/>
      </c>
      <c r="D162" s="17" t="str">
        <f>IFERROR(__xludf.DUMMYFUNCTION("""COMPUTED_VALUE"""),"")</f>
        <v/>
      </c>
      <c r="E162" s="17" t="str">
        <f>IFERROR(__xludf.DUMMYFUNCTION("""COMPUTED_VALUE"""),"")</f>
        <v/>
      </c>
      <c r="F162" s="17" t="str">
        <f>IFERROR(__xludf.DUMMYFUNCTION("""COMPUTED_VALUE"""),"")</f>
        <v/>
      </c>
      <c r="G162" s="17" t="str">
        <f>IFERROR(__xludf.DUMMYFUNCTION("""COMPUTED_VALUE"""),"")</f>
        <v/>
      </c>
      <c r="H162" s="17" t="str">
        <f>IFERROR(__xludf.DUMMYFUNCTION("""COMPUTED_VALUE"""),"")</f>
        <v/>
      </c>
      <c r="I162" s="17" t="str">
        <f>IFERROR(__xludf.DUMMYFUNCTION("""COMPUTED_VALUE"""),"")</f>
        <v/>
      </c>
      <c r="J162" s="17" t="str">
        <f>IFERROR(__xludf.DUMMYFUNCTION("""COMPUTED_VALUE"""),"")</f>
        <v/>
      </c>
      <c r="K162" s="17" t="str">
        <f>IFERROR(__xludf.DUMMYFUNCTION("""COMPUTED_VALUE"""),"")</f>
        <v/>
      </c>
      <c r="L162" s="17" t="str">
        <f>IFERROR(__xludf.DUMMYFUNCTION("""COMPUTED_VALUE"""),"")</f>
        <v/>
      </c>
      <c r="M162" s="17" t="str">
        <f>IFERROR(__xludf.DUMMYFUNCTION("""COMPUTED_VALUE"""),"")</f>
        <v/>
      </c>
      <c r="N162" s="17" t="str">
        <f>IFERROR(__xludf.DUMMYFUNCTION("""COMPUTED_VALUE"""),"")</f>
        <v/>
      </c>
      <c r="O162" s="17" t="str">
        <f>IFERROR(__xludf.DUMMYFUNCTION("""COMPUTED_VALUE"""),"")</f>
        <v/>
      </c>
      <c r="P162" s="17" t="str">
        <f>IFERROR(__xludf.DUMMYFUNCTION("""COMPUTED_VALUE"""),"")</f>
        <v/>
      </c>
      <c r="Q162" s="17" t="str">
        <f>IFERROR(__xludf.DUMMYFUNCTION("""COMPUTED_VALUE"""),"")</f>
        <v/>
      </c>
      <c r="R162" s="17" t="str">
        <f>IFERROR(__xludf.DUMMYFUNCTION("""COMPUTED_VALUE"""),"")</f>
        <v/>
      </c>
      <c r="S162" s="17" t="str">
        <f>IFERROR(__xludf.DUMMYFUNCTION("""COMPUTED_VALUE"""),"")</f>
        <v/>
      </c>
      <c r="T162" s="17" t="str">
        <f>IFERROR(__xludf.DUMMYFUNCTION("""COMPUTED_VALUE"""),"")</f>
        <v/>
      </c>
      <c r="U162" s="17" t="str">
        <f>IFERROR(__xludf.DUMMYFUNCTION("""COMPUTED_VALUE"""),"")</f>
        <v/>
      </c>
      <c r="V162" s="17" t="str">
        <f>IFERROR(__xludf.DUMMYFUNCTION("""COMPUTED_VALUE"""),"")</f>
        <v/>
      </c>
      <c r="W162" s="17" t="str">
        <f>IFERROR(__xludf.DUMMYFUNCTION("""COMPUTED_VALUE"""),"")</f>
        <v/>
      </c>
      <c r="X162" s="17" t="str">
        <f>IFERROR(__xludf.DUMMYFUNCTION("""COMPUTED_VALUE"""),"")</f>
        <v/>
      </c>
      <c r="Y162" s="17" t="str">
        <f>IFERROR(__xludf.DUMMYFUNCTION("""COMPUTED_VALUE"""),"")</f>
        <v/>
      </c>
      <c r="Z162" s="17" t="str">
        <f>IFERROR(__xludf.DUMMYFUNCTION("""COMPUTED_VALUE"""),"")</f>
        <v/>
      </c>
      <c r="AA162" s="17" t="str">
        <f>IFERROR(__xludf.DUMMYFUNCTION("""COMPUTED_VALUE"""),"")</f>
        <v/>
      </c>
      <c r="AB162" s="17" t="str">
        <f>IFERROR(__xludf.DUMMYFUNCTION("""COMPUTED_VALUE"""),"")</f>
        <v/>
      </c>
      <c r="AC162" s="17" t="str">
        <f>IFERROR(__xludf.DUMMYFUNCTION("""COMPUTED_VALUE"""),"")</f>
        <v/>
      </c>
    </row>
    <row r="163">
      <c r="A163" s="17" t="str">
        <f>IFERROR(__xludf.DUMMYFUNCTION("""COMPUTED_VALUE"""),"")</f>
        <v/>
      </c>
      <c r="B163" s="17" t="str">
        <f>IFERROR(__xludf.DUMMYFUNCTION("""COMPUTED_VALUE"""),"")</f>
        <v/>
      </c>
      <c r="C163" s="17" t="str">
        <f>IFERROR(__xludf.DUMMYFUNCTION("""COMPUTED_VALUE"""),"")</f>
        <v/>
      </c>
      <c r="D163" s="17" t="str">
        <f>IFERROR(__xludf.DUMMYFUNCTION("""COMPUTED_VALUE"""),"")</f>
        <v/>
      </c>
      <c r="E163" s="17" t="str">
        <f>IFERROR(__xludf.DUMMYFUNCTION("""COMPUTED_VALUE"""),"")</f>
        <v/>
      </c>
      <c r="F163" s="17" t="str">
        <f>IFERROR(__xludf.DUMMYFUNCTION("""COMPUTED_VALUE"""),"")</f>
        <v/>
      </c>
      <c r="G163" s="17" t="str">
        <f>IFERROR(__xludf.DUMMYFUNCTION("""COMPUTED_VALUE"""),"")</f>
        <v/>
      </c>
      <c r="H163" s="17" t="str">
        <f>IFERROR(__xludf.DUMMYFUNCTION("""COMPUTED_VALUE"""),"")</f>
        <v/>
      </c>
      <c r="I163" s="17" t="str">
        <f>IFERROR(__xludf.DUMMYFUNCTION("""COMPUTED_VALUE"""),"")</f>
        <v/>
      </c>
      <c r="J163" s="17" t="str">
        <f>IFERROR(__xludf.DUMMYFUNCTION("""COMPUTED_VALUE"""),"")</f>
        <v/>
      </c>
      <c r="K163" s="17" t="str">
        <f>IFERROR(__xludf.DUMMYFUNCTION("""COMPUTED_VALUE"""),"")</f>
        <v/>
      </c>
      <c r="L163" s="17" t="str">
        <f>IFERROR(__xludf.DUMMYFUNCTION("""COMPUTED_VALUE"""),"")</f>
        <v/>
      </c>
      <c r="M163" s="17" t="str">
        <f>IFERROR(__xludf.DUMMYFUNCTION("""COMPUTED_VALUE"""),"")</f>
        <v/>
      </c>
      <c r="N163" s="17" t="str">
        <f>IFERROR(__xludf.DUMMYFUNCTION("""COMPUTED_VALUE"""),"")</f>
        <v/>
      </c>
      <c r="O163" s="17" t="str">
        <f>IFERROR(__xludf.DUMMYFUNCTION("""COMPUTED_VALUE"""),"")</f>
        <v/>
      </c>
      <c r="P163" s="17" t="str">
        <f>IFERROR(__xludf.DUMMYFUNCTION("""COMPUTED_VALUE"""),"")</f>
        <v/>
      </c>
      <c r="Q163" s="17" t="str">
        <f>IFERROR(__xludf.DUMMYFUNCTION("""COMPUTED_VALUE"""),"")</f>
        <v/>
      </c>
      <c r="R163" s="17" t="str">
        <f>IFERROR(__xludf.DUMMYFUNCTION("""COMPUTED_VALUE"""),"")</f>
        <v/>
      </c>
      <c r="S163" s="17" t="str">
        <f>IFERROR(__xludf.DUMMYFUNCTION("""COMPUTED_VALUE"""),"")</f>
        <v/>
      </c>
      <c r="T163" s="17" t="str">
        <f>IFERROR(__xludf.DUMMYFUNCTION("""COMPUTED_VALUE"""),"")</f>
        <v/>
      </c>
      <c r="U163" s="17" t="str">
        <f>IFERROR(__xludf.DUMMYFUNCTION("""COMPUTED_VALUE"""),"")</f>
        <v/>
      </c>
      <c r="V163" s="17" t="str">
        <f>IFERROR(__xludf.DUMMYFUNCTION("""COMPUTED_VALUE"""),"")</f>
        <v/>
      </c>
      <c r="W163" s="17" t="str">
        <f>IFERROR(__xludf.DUMMYFUNCTION("""COMPUTED_VALUE"""),"")</f>
        <v/>
      </c>
      <c r="X163" s="17" t="str">
        <f>IFERROR(__xludf.DUMMYFUNCTION("""COMPUTED_VALUE"""),"")</f>
        <v/>
      </c>
      <c r="Y163" s="17" t="str">
        <f>IFERROR(__xludf.DUMMYFUNCTION("""COMPUTED_VALUE"""),"")</f>
        <v/>
      </c>
      <c r="Z163" s="17" t="str">
        <f>IFERROR(__xludf.DUMMYFUNCTION("""COMPUTED_VALUE"""),"")</f>
        <v/>
      </c>
      <c r="AA163" s="17" t="str">
        <f>IFERROR(__xludf.DUMMYFUNCTION("""COMPUTED_VALUE"""),"")</f>
        <v/>
      </c>
      <c r="AB163" s="17" t="str">
        <f>IFERROR(__xludf.DUMMYFUNCTION("""COMPUTED_VALUE"""),"")</f>
        <v/>
      </c>
      <c r="AC163" s="17" t="str">
        <f>IFERROR(__xludf.DUMMYFUNCTION("""COMPUTED_VALUE"""),"")</f>
        <v/>
      </c>
    </row>
    <row r="164">
      <c r="A164" s="17" t="str">
        <f>IFERROR(__xludf.DUMMYFUNCTION("""COMPUTED_VALUE"""),"")</f>
        <v/>
      </c>
      <c r="B164" s="17" t="str">
        <f>IFERROR(__xludf.DUMMYFUNCTION("""COMPUTED_VALUE"""),"")</f>
        <v/>
      </c>
      <c r="C164" s="17" t="str">
        <f>IFERROR(__xludf.DUMMYFUNCTION("""COMPUTED_VALUE"""),"")</f>
        <v/>
      </c>
      <c r="D164" s="17" t="str">
        <f>IFERROR(__xludf.DUMMYFUNCTION("""COMPUTED_VALUE"""),"")</f>
        <v/>
      </c>
      <c r="E164" s="17" t="str">
        <f>IFERROR(__xludf.DUMMYFUNCTION("""COMPUTED_VALUE"""),"")</f>
        <v/>
      </c>
      <c r="F164" s="17" t="str">
        <f>IFERROR(__xludf.DUMMYFUNCTION("""COMPUTED_VALUE"""),"")</f>
        <v/>
      </c>
      <c r="G164" s="17" t="str">
        <f>IFERROR(__xludf.DUMMYFUNCTION("""COMPUTED_VALUE"""),"")</f>
        <v/>
      </c>
      <c r="H164" s="17" t="str">
        <f>IFERROR(__xludf.DUMMYFUNCTION("""COMPUTED_VALUE"""),"")</f>
        <v/>
      </c>
      <c r="I164" s="17" t="str">
        <f>IFERROR(__xludf.DUMMYFUNCTION("""COMPUTED_VALUE"""),"")</f>
        <v/>
      </c>
      <c r="J164" s="17" t="str">
        <f>IFERROR(__xludf.DUMMYFUNCTION("""COMPUTED_VALUE"""),"")</f>
        <v/>
      </c>
      <c r="K164" s="17" t="str">
        <f>IFERROR(__xludf.DUMMYFUNCTION("""COMPUTED_VALUE"""),"")</f>
        <v/>
      </c>
      <c r="L164" s="17" t="str">
        <f>IFERROR(__xludf.DUMMYFUNCTION("""COMPUTED_VALUE"""),"")</f>
        <v/>
      </c>
      <c r="M164" s="17" t="str">
        <f>IFERROR(__xludf.DUMMYFUNCTION("""COMPUTED_VALUE"""),"")</f>
        <v/>
      </c>
      <c r="N164" s="17" t="str">
        <f>IFERROR(__xludf.DUMMYFUNCTION("""COMPUTED_VALUE"""),"")</f>
        <v/>
      </c>
      <c r="O164" s="17" t="str">
        <f>IFERROR(__xludf.DUMMYFUNCTION("""COMPUTED_VALUE"""),"")</f>
        <v/>
      </c>
      <c r="P164" s="17" t="str">
        <f>IFERROR(__xludf.DUMMYFUNCTION("""COMPUTED_VALUE"""),"")</f>
        <v/>
      </c>
      <c r="Q164" s="17" t="str">
        <f>IFERROR(__xludf.DUMMYFUNCTION("""COMPUTED_VALUE"""),"")</f>
        <v/>
      </c>
      <c r="R164" s="17" t="str">
        <f>IFERROR(__xludf.DUMMYFUNCTION("""COMPUTED_VALUE"""),"")</f>
        <v/>
      </c>
      <c r="S164" s="17" t="str">
        <f>IFERROR(__xludf.DUMMYFUNCTION("""COMPUTED_VALUE"""),"")</f>
        <v/>
      </c>
      <c r="T164" s="17" t="str">
        <f>IFERROR(__xludf.DUMMYFUNCTION("""COMPUTED_VALUE"""),"")</f>
        <v/>
      </c>
      <c r="U164" s="17" t="str">
        <f>IFERROR(__xludf.DUMMYFUNCTION("""COMPUTED_VALUE"""),"")</f>
        <v/>
      </c>
      <c r="V164" s="17" t="str">
        <f>IFERROR(__xludf.DUMMYFUNCTION("""COMPUTED_VALUE"""),"")</f>
        <v/>
      </c>
      <c r="W164" s="17" t="str">
        <f>IFERROR(__xludf.DUMMYFUNCTION("""COMPUTED_VALUE"""),"")</f>
        <v/>
      </c>
      <c r="X164" s="17" t="str">
        <f>IFERROR(__xludf.DUMMYFUNCTION("""COMPUTED_VALUE"""),"")</f>
        <v/>
      </c>
      <c r="Y164" s="17" t="str">
        <f>IFERROR(__xludf.DUMMYFUNCTION("""COMPUTED_VALUE"""),"")</f>
        <v/>
      </c>
      <c r="Z164" s="17" t="str">
        <f>IFERROR(__xludf.DUMMYFUNCTION("""COMPUTED_VALUE"""),"")</f>
        <v/>
      </c>
      <c r="AA164" s="17" t="str">
        <f>IFERROR(__xludf.DUMMYFUNCTION("""COMPUTED_VALUE"""),"")</f>
        <v/>
      </c>
      <c r="AB164" s="17" t="str">
        <f>IFERROR(__xludf.DUMMYFUNCTION("""COMPUTED_VALUE"""),"")</f>
        <v/>
      </c>
      <c r="AC164" s="17" t="str">
        <f>IFERROR(__xludf.DUMMYFUNCTION("""COMPUTED_VALUE"""),"")</f>
        <v/>
      </c>
    </row>
    <row r="165">
      <c r="A165" s="17" t="str">
        <f>IFERROR(__xludf.DUMMYFUNCTION("""COMPUTED_VALUE"""),"")</f>
        <v/>
      </c>
      <c r="B165" s="17" t="str">
        <f>IFERROR(__xludf.DUMMYFUNCTION("""COMPUTED_VALUE"""),"")</f>
        <v/>
      </c>
      <c r="C165" s="17" t="str">
        <f>IFERROR(__xludf.DUMMYFUNCTION("""COMPUTED_VALUE"""),"")</f>
        <v/>
      </c>
      <c r="D165" s="17" t="str">
        <f>IFERROR(__xludf.DUMMYFUNCTION("""COMPUTED_VALUE"""),"")</f>
        <v/>
      </c>
      <c r="E165" s="17" t="str">
        <f>IFERROR(__xludf.DUMMYFUNCTION("""COMPUTED_VALUE"""),"")</f>
        <v/>
      </c>
      <c r="F165" s="17" t="str">
        <f>IFERROR(__xludf.DUMMYFUNCTION("""COMPUTED_VALUE"""),"")</f>
        <v/>
      </c>
      <c r="G165" s="17" t="str">
        <f>IFERROR(__xludf.DUMMYFUNCTION("""COMPUTED_VALUE"""),"")</f>
        <v/>
      </c>
      <c r="H165" s="17" t="str">
        <f>IFERROR(__xludf.DUMMYFUNCTION("""COMPUTED_VALUE"""),"")</f>
        <v/>
      </c>
      <c r="I165" s="17" t="str">
        <f>IFERROR(__xludf.DUMMYFUNCTION("""COMPUTED_VALUE"""),"")</f>
        <v/>
      </c>
      <c r="J165" s="17" t="str">
        <f>IFERROR(__xludf.DUMMYFUNCTION("""COMPUTED_VALUE"""),"")</f>
        <v/>
      </c>
      <c r="K165" s="17" t="str">
        <f>IFERROR(__xludf.DUMMYFUNCTION("""COMPUTED_VALUE"""),"")</f>
        <v/>
      </c>
      <c r="L165" s="17" t="str">
        <f>IFERROR(__xludf.DUMMYFUNCTION("""COMPUTED_VALUE"""),"")</f>
        <v/>
      </c>
      <c r="M165" s="17" t="str">
        <f>IFERROR(__xludf.DUMMYFUNCTION("""COMPUTED_VALUE"""),"")</f>
        <v/>
      </c>
      <c r="N165" s="17" t="str">
        <f>IFERROR(__xludf.DUMMYFUNCTION("""COMPUTED_VALUE"""),"")</f>
        <v/>
      </c>
      <c r="O165" s="17" t="str">
        <f>IFERROR(__xludf.DUMMYFUNCTION("""COMPUTED_VALUE"""),"")</f>
        <v/>
      </c>
      <c r="P165" s="17" t="str">
        <f>IFERROR(__xludf.DUMMYFUNCTION("""COMPUTED_VALUE"""),"")</f>
        <v/>
      </c>
      <c r="Q165" s="17" t="str">
        <f>IFERROR(__xludf.DUMMYFUNCTION("""COMPUTED_VALUE"""),"")</f>
        <v/>
      </c>
      <c r="R165" s="17" t="str">
        <f>IFERROR(__xludf.DUMMYFUNCTION("""COMPUTED_VALUE"""),"")</f>
        <v/>
      </c>
      <c r="S165" s="17" t="str">
        <f>IFERROR(__xludf.DUMMYFUNCTION("""COMPUTED_VALUE"""),"")</f>
        <v/>
      </c>
      <c r="T165" s="17" t="str">
        <f>IFERROR(__xludf.DUMMYFUNCTION("""COMPUTED_VALUE"""),"")</f>
        <v/>
      </c>
      <c r="U165" s="17" t="str">
        <f>IFERROR(__xludf.DUMMYFUNCTION("""COMPUTED_VALUE"""),"")</f>
        <v/>
      </c>
      <c r="V165" s="17" t="str">
        <f>IFERROR(__xludf.DUMMYFUNCTION("""COMPUTED_VALUE"""),"")</f>
        <v/>
      </c>
      <c r="W165" s="17" t="str">
        <f>IFERROR(__xludf.DUMMYFUNCTION("""COMPUTED_VALUE"""),"")</f>
        <v/>
      </c>
      <c r="X165" s="17" t="str">
        <f>IFERROR(__xludf.DUMMYFUNCTION("""COMPUTED_VALUE"""),"")</f>
        <v/>
      </c>
      <c r="Y165" s="17" t="str">
        <f>IFERROR(__xludf.DUMMYFUNCTION("""COMPUTED_VALUE"""),"")</f>
        <v/>
      </c>
      <c r="Z165" s="17" t="str">
        <f>IFERROR(__xludf.DUMMYFUNCTION("""COMPUTED_VALUE"""),"")</f>
        <v/>
      </c>
      <c r="AA165" s="17" t="str">
        <f>IFERROR(__xludf.DUMMYFUNCTION("""COMPUTED_VALUE"""),"")</f>
        <v/>
      </c>
      <c r="AB165" s="17" t="str">
        <f>IFERROR(__xludf.DUMMYFUNCTION("""COMPUTED_VALUE"""),"")</f>
        <v/>
      </c>
      <c r="AC165" s="17" t="str">
        <f>IFERROR(__xludf.DUMMYFUNCTION("""COMPUTED_VALUE"""),"")</f>
        <v/>
      </c>
    </row>
    <row r="166">
      <c r="A166" s="17" t="str">
        <f>IFERROR(__xludf.DUMMYFUNCTION("""COMPUTED_VALUE"""),"")</f>
        <v/>
      </c>
      <c r="B166" s="17" t="str">
        <f>IFERROR(__xludf.DUMMYFUNCTION("""COMPUTED_VALUE"""),"")</f>
        <v/>
      </c>
      <c r="C166" s="17" t="str">
        <f>IFERROR(__xludf.DUMMYFUNCTION("""COMPUTED_VALUE"""),"")</f>
        <v/>
      </c>
      <c r="D166" s="17" t="str">
        <f>IFERROR(__xludf.DUMMYFUNCTION("""COMPUTED_VALUE"""),"")</f>
        <v/>
      </c>
      <c r="E166" s="17" t="str">
        <f>IFERROR(__xludf.DUMMYFUNCTION("""COMPUTED_VALUE"""),"")</f>
        <v/>
      </c>
      <c r="F166" s="17" t="str">
        <f>IFERROR(__xludf.DUMMYFUNCTION("""COMPUTED_VALUE"""),"")</f>
        <v/>
      </c>
      <c r="G166" s="17" t="str">
        <f>IFERROR(__xludf.DUMMYFUNCTION("""COMPUTED_VALUE"""),"")</f>
        <v/>
      </c>
      <c r="H166" s="17" t="str">
        <f>IFERROR(__xludf.DUMMYFUNCTION("""COMPUTED_VALUE"""),"")</f>
        <v/>
      </c>
      <c r="I166" s="17" t="str">
        <f>IFERROR(__xludf.DUMMYFUNCTION("""COMPUTED_VALUE"""),"")</f>
        <v/>
      </c>
      <c r="J166" s="17" t="str">
        <f>IFERROR(__xludf.DUMMYFUNCTION("""COMPUTED_VALUE"""),"")</f>
        <v/>
      </c>
      <c r="K166" s="17" t="str">
        <f>IFERROR(__xludf.DUMMYFUNCTION("""COMPUTED_VALUE"""),"")</f>
        <v/>
      </c>
      <c r="L166" s="17" t="str">
        <f>IFERROR(__xludf.DUMMYFUNCTION("""COMPUTED_VALUE"""),"")</f>
        <v/>
      </c>
      <c r="M166" s="17" t="str">
        <f>IFERROR(__xludf.DUMMYFUNCTION("""COMPUTED_VALUE"""),"")</f>
        <v/>
      </c>
      <c r="N166" s="17" t="str">
        <f>IFERROR(__xludf.DUMMYFUNCTION("""COMPUTED_VALUE"""),"")</f>
        <v/>
      </c>
      <c r="O166" s="17" t="str">
        <f>IFERROR(__xludf.DUMMYFUNCTION("""COMPUTED_VALUE"""),"")</f>
        <v/>
      </c>
      <c r="P166" s="17" t="str">
        <f>IFERROR(__xludf.DUMMYFUNCTION("""COMPUTED_VALUE"""),"")</f>
        <v/>
      </c>
      <c r="Q166" s="17" t="str">
        <f>IFERROR(__xludf.DUMMYFUNCTION("""COMPUTED_VALUE"""),"")</f>
        <v/>
      </c>
      <c r="R166" s="17" t="str">
        <f>IFERROR(__xludf.DUMMYFUNCTION("""COMPUTED_VALUE"""),"")</f>
        <v/>
      </c>
      <c r="S166" s="17" t="str">
        <f>IFERROR(__xludf.DUMMYFUNCTION("""COMPUTED_VALUE"""),"")</f>
        <v/>
      </c>
      <c r="T166" s="17" t="str">
        <f>IFERROR(__xludf.DUMMYFUNCTION("""COMPUTED_VALUE"""),"")</f>
        <v/>
      </c>
      <c r="U166" s="17" t="str">
        <f>IFERROR(__xludf.DUMMYFUNCTION("""COMPUTED_VALUE"""),"")</f>
        <v/>
      </c>
      <c r="V166" s="17" t="str">
        <f>IFERROR(__xludf.DUMMYFUNCTION("""COMPUTED_VALUE"""),"")</f>
        <v/>
      </c>
      <c r="W166" s="17" t="str">
        <f>IFERROR(__xludf.DUMMYFUNCTION("""COMPUTED_VALUE"""),"")</f>
        <v/>
      </c>
      <c r="X166" s="17" t="str">
        <f>IFERROR(__xludf.DUMMYFUNCTION("""COMPUTED_VALUE"""),"")</f>
        <v/>
      </c>
      <c r="Y166" s="17" t="str">
        <f>IFERROR(__xludf.DUMMYFUNCTION("""COMPUTED_VALUE"""),"")</f>
        <v/>
      </c>
      <c r="Z166" s="17" t="str">
        <f>IFERROR(__xludf.DUMMYFUNCTION("""COMPUTED_VALUE"""),"")</f>
        <v/>
      </c>
      <c r="AA166" s="17" t="str">
        <f>IFERROR(__xludf.DUMMYFUNCTION("""COMPUTED_VALUE"""),"")</f>
        <v/>
      </c>
      <c r="AB166" s="17" t="str">
        <f>IFERROR(__xludf.DUMMYFUNCTION("""COMPUTED_VALUE"""),"")</f>
        <v/>
      </c>
      <c r="AC166" s="17" t="str">
        <f>IFERROR(__xludf.DUMMYFUNCTION("""COMPUTED_VALUE"""),"")</f>
        <v/>
      </c>
    </row>
    <row r="167">
      <c r="A167" s="17" t="str">
        <f>IFERROR(__xludf.DUMMYFUNCTION("""COMPUTED_VALUE"""),"")</f>
        <v/>
      </c>
      <c r="B167" s="17" t="str">
        <f>IFERROR(__xludf.DUMMYFUNCTION("""COMPUTED_VALUE"""),"")</f>
        <v/>
      </c>
      <c r="C167" s="17" t="str">
        <f>IFERROR(__xludf.DUMMYFUNCTION("""COMPUTED_VALUE"""),"")</f>
        <v/>
      </c>
      <c r="D167" s="17" t="str">
        <f>IFERROR(__xludf.DUMMYFUNCTION("""COMPUTED_VALUE"""),"")</f>
        <v/>
      </c>
      <c r="E167" s="17" t="str">
        <f>IFERROR(__xludf.DUMMYFUNCTION("""COMPUTED_VALUE"""),"")</f>
        <v/>
      </c>
      <c r="F167" s="17" t="str">
        <f>IFERROR(__xludf.DUMMYFUNCTION("""COMPUTED_VALUE"""),"")</f>
        <v/>
      </c>
      <c r="G167" s="17" t="str">
        <f>IFERROR(__xludf.DUMMYFUNCTION("""COMPUTED_VALUE"""),"")</f>
        <v/>
      </c>
      <c r="H167" s="17" t="str">
        <f>IFERROR(__xludf.DUMMYFUNCTION("""COMPUTED_VALUE"""),"")</f>
        <v/>
      </c>
      <c r="I167" s="17" t="str">
        <f>IFERROR(__xludf.DUMMYFUNCTION("""COMPUTED_VALUE"""),"")</f>
        <v/>
      </c>
      <c r="J167" s="17" t="str">
        <f>IFERROR(__xludf.DUMMYFUNCTION("""COMPUTED_VALUE"""),"")</f>
        <v/>
      </c>
      <c r="K167" s="17" t="str">
        <f>IFERROR(__xludf.DUMMYFUNCTION("""COMPUTED_VALUE"""),"")</f>
        <v/>
      </c>
      <c r="L167" s="17" t="str">
        <f>IFERROR(__xludf.DUMMYFUNCTION("""COMPUTED_VALUE"""),"")</f>
        <v/>
      </c>
      <c r="M167" s="17" t="str">
        <f>IFERROR(__xludf.DUMMYFUNCTION("""COMPUTED_VALUE"""),"")</f>
        <v/>
      </c>
      <c r="N167" s="17" t="str">
        <f>IFERROR(__xludf.DUMMYFUNCTION("""COMPUTED_VALUE"""),"")</f>
        <v/>
      </c>
      <c r="O167" s="17" t="str">
        <f>IFERROR(__xludf.DUMMYFUNCTION("""COMPUTED_VALUE"""),"")</f>
        <v/>
      </c>
      <c r="P167" s="17" t="str">
        <f>IFERROR(__xludf.DUMMYFUNCTION("""COMPUTED_VALUE"""),"")</f>
        <v/>
      </c>
      <c r="Q167" s="17" t="str">
        <f>IFERROR(__xludf.DUMMYFUNCTION("""COMPUTED_VALUE"""),"")</f>
        <v/>
      </c>
      <c r="R167" s="17" t="str">
        <f>IFERROR(__xludf.DUMMYFUNCTION("""COMPUTED_VALUE"""),"")</f>
        <v/>
      </c>
      <c r="S167" s="17" t="str">
        <f>IFERROR(__xludf.DUMMYFUNCTION("""COMPUTED_VALUE"""),"")</f>
        <v/>
      </c>
      <c r="T167" s="17" t="str">
        <f>IFERROR(__xludf.DUMMYFUNCTION("""COMPUTED_VALUE"""),"")</f>
        <v/>
      </c>
      <c r="U167" s="17" t="str">
        <f>IFERROR(__xludf.DUMMYFUNCTION("""COMPUTED_VALUE"""),"")</f>
        <v/>
      </c>
      <c r="V167" s="17" t="str">
        <f>IFERROR(__xludf.DUMMYFUNCTION("""COMPUTED_VALUE"""),"")</f>
        <v/>
      </c>
      <c r="W167" s="17" t="str">
        <f>IFERROR(__xludf.DUMMYFUNCTION("""COMPUTED_VALUE"""),"")</f>
        <v/>
      </c>
      <c r="X167" s="17" t="str">
        <f>IFERROR(__xludf.DUMMYFUNCTION("""COMPUTED_VALUE"""),"")</f>
        <v/>
      </c>
      <c r="Y167" s="17" t="str">
        <f>IFERROR(__xludf.DUMMYFUNCTION("""COMPUTED_VALUE"""),"")</f>
        <v/>
      </c>
      <c r="Z167" s="17" t="str">
        <f>IFERROR(__xludf.DUMMYFUNCTION("""COMPUTED_VALUE"""),"")</f>
        <v/>
      </c>
      <c r="AA167" s="17" t="str">
        <f>IFERROR(__xludf.DUMMYFUNCTION("""COMPUTED_VALUE"""),"")</f>
        <v/>
      </c>
      <c r="AB167" s="17" t="str">
        <f>IFERROR(__xludf.DUMMYFUNCTION("""COMPUTED_VALUE"""),"")</f>
        <v/>
      </c>
      <c r="AC167" s="17" t="str">
        <f>IFERROR(__xludf.DUMMYFUNCTION("""COMPUTED_VALUE"""),"")</f>
        <v/>
      </c>
    </row>
    <row r="168">
      <c r="A168" s="17" t="str">
        <f>IFERROR(__xludf.DUMMYFUNCTION("""COMPUTED_VALUE"""),"")</f>
        <v/>
      </c>
      <c r="B168" s="17" t="str">
        <f>IFERROR(__xludf.DUMMYFUNCTION("""COMPUTED_VALUE"""),"")</f>
        <v/>
      </c>
      <c r="C168" s="17" t="str">
        <f>IFERROR(__xludf.DUMMYFUNCTION("""COMPUTED_VALUE"""),"")</f>
        <v/>
      </c>
      <c r="D168" s="17" t="str">
        <f>IFERROR(__xludf.DUMMYFUNCTION("""COMPUTED_VALUE"""),"")</f>
        <v/>
      </c>
      <c r="E168" s="17" t="str">
        <f>IFERROR(__xludf.DUMMYFUNCTION("""COMPUTED_VALUE"""),"")</f>
        <v/>
      </c>
      <c r="F168" s="17" t="str">
        <f>IFERROR(__xludf.DUMMYFUNCTION("""COMPUTED_VALUE"""),"")</f>
        <v/>
      </c>
      <c r="G168" s="17" t="str">
        <f>IFERROR(__xludf.DUMMYFUNCTION("""COMPUTED_VALUE"""),"")</f>
        <v/>
      </c>
      <c r="H168" s="17" t="str">
        <f>IFERROR(__xludf.DUMMYFUNCTION("""COMPUTED_VALUE"""),"")</f>
        <v/>
      </c>
      <c r="I168" s="17" t="str">
        <f>IFERROR(__xludf.DUMMYFUNCTION("""COMPUTED_VALUE"""),"")</f>
        <v/>
      </c>
      <c r="J168" s="17" t="str">
        <f>IFERROR(__xludf.DUMMYFUNCTION("""COMPUTED_VALUE"""),"")</f>
        <v/>
      </c>
      <c r="K168" s="17" t="str">
        <f>IFERROR(__xludf.DUMMYFUNCTION("""COMPUTED_VALUE"""),"")</f>
        <v/>
      </c>
      <c r="L168" s="17" t="str">
        <f>IFERROR(__xludf.DUMMYFUNCTION("""COMPUTED_VALUE"""),"")</f>
        <v/>
      </c>
      <c r="M168" s="17" t="str">
        <f>IFERROR(__xludf.DUMMYFUNCTION("""COMPUTED_VALUE"""),"")</f>
        <v/>
      </c>
      <c r="N168" s="17" t="str">
        <f>IFERROR(__xludf.DUMMYFUNCTION("""COMPUTED_VALUE"""),"")</f>
        <v/>
      </c>
      <c r="O168" s="17" t="str">
        <f>IFERROR(__xludf.DUMMYFUNCTION("""COMPUTED_VALUE"""),"")</f>
        <v/>
      </c>
      <c r="P168" s="17" t="str">
        <f>IFERROR(__xludf.DUMMYFUNCTION("""COMPUTED_VALUE"""),"")</f>
        <v/>
      </c>
      <c r="Q168" s="17" t="str">
        <f>IFERROR(__xludf.DUMMYFUNCTION("""COMPUTED_VALUE"""),"")</f>
        <v/>
      </c>
      <c r="R168" s="17" t="str">
        <f>IFERROR(__xludf.DUMMYFUNCTION("""COMPUTED_VALUE"""),"")</f>
        <v/>
      </c>
      <c r="S168" s="17" t="str">
        <f>IFERROR(__xludf.DUMMYFUNCTION("""COMPUTED_VALUE"""),"")</f>
        <v/>
      </c>
      <c r="T168" s="17" t="str">
        <f>IFERROR(__xludf.DUMMYFUNCTION("""COMPUTED_VALUE"""),"")</f>
        <v/>
      </c>
      <c r="U168" s="17" t="str">
        <f>IFERROR(__xludf.DUMMYFUNCTION("""COMPUTED_VALUE"""),"")</f>
        <v/>
      </c>
      <c r="V168" s="17" t="str">
        <f>IFERROR(__xludf.DUMMYFUNCTION("""COMPUTED_VALUE"""),"")</f>
        <v/>
      </c>
      <c r="W168" s="17" t="str">
        <f>IFERROR(__xludf.DUMMYFUNCTION("""COMPUTED_VALUE"""),"")</f>
        <v/>
      </c>
      <c r="X168" s="17" t="str">
        <f>IFERROR(__xludf.DUMMYFUNCTION("""COMPUTED_VALUE"""),"")</f>
        <v/>
      </c>
      <c r="Y168" s="17" t="str">
        <f>IFERROR(__xludf.DUMMYFUNCTION("""COMPUTED_VALUE"""),"")</f>
        <v/>
      </c>
      <c r="Z168" s="17" t="str">
        <f>IFERROR(__xludf.DUMMYFUNCTION("""COMPUTED_VALUE"""),"")</f>
        <v/>
      </c>
      <c r="AA168" s="17" t="str">
        <f>IFERROR(__xludf.DUMMYFUNCTION("""COMPUTED_VALUE"""),"")</f>
        <v/>
      </c>
      <c r="AB168" s="17" t="str">
        <f>IFERROR(__xludf.DUMMYFUNCTION("""COMPUTED_VALUE"""),"")</f>
        <v/>
      </c>
      <c r="AC168" s="17" t="str">
        <f>IFERROR(__xludf.DUMMYFUNCTION("""COMPUTED_VALUE"""),"")</f>
        <v/>
      </c>
    </row>
    <row r="169">
      <c r="A169" s="17" t="str">
        <f>IFERROR(__xludf.DUMMYFUNCTION("""COMPUTED_VALUE"""),"Chapter 73: 57 Crunch Time
Feel It Out (F.E.A.R.) 600:
Your ability to understand machines and designs are more than just knowledge, and anyone who follows your work would know this well. You have a subtle psionic ability to 'understand' the machines and "&amp;"items that you physically touch, to the point where you can understand how it might work. More importantly, what you could do to also make it better. Naturally the more complex or esoteric the item is, the more drastically the time needed increases. But t"&amp;"he more information you collect the more ideas and methods you can formulate to begin working. All psychic powers can be improved via training.
Analysis")</f>
        <v>Chapter 73: 57 Crunch Time
Feel It Out (F.E.A.R.) 600:
Your ability to understand machines and designs are more than just knowledge, and anyone who follows your work would know this well. You have a subtle psionic ability to 'understand' the machines and items that you physically touch, to the point where you can understand how it might work. More importantly, what you could do to also make it better. Naturally the more complex or esoteric the item is, the more drastically the time needed increases. But the more information you collect the more ideas and methods you can formulate to begin working. All psychic powers can be improved via training.
Analysis</v>
      </c>
      <c r="B169" s="17" t="str">
        <f>IFERROR(__xludf.DUMMYFUNCTION("""COMPUTED_VALUE"""),"Chapter 73: 57 Crunch Time
Paxton Fettel(F.E.A.R.) Free:
There can be some pretty odd names people take up in places, and if you have an improper name it could lead to getting teased or ill-thought of. Not anymore! With this little bonus you could have an"&amp;"y strange-sounding name and people would treat you as seriously as they would anyone else. That's the key part, 'as serious as anyone else'.
Personal")</f>
        <v>Chapter 73: 57 Crunch Time
Paxton Fettel(F.E.A.R.) Free:
There can be some pretty odd names people take up in places, and if you have an improper name it could lead to getting teased or ill-thought of. Not anymore! With this little bonus you could have any strange-sounding name and people would treat you as seriously as they would anyone else. That's the key part, 'as serious as anyone else'.
Personal</v>
      </c>
      <c r="C169" s="17" t="str">
        <f>IFERROR(__xludf.DUMMYFUNCTION("""COMPUTED_VALUE"""),"Chapter 123: 88 Perspectives
Synchronicity Event (F.E.A.R.) 300:
Curiouser and curiouser. Due to coming into contact with... well, SOMETHING, your psionic abilities have noticeably increased. Psychic powers you may have had are stronger now, with contro"&amp;"l and development coming more quickly with practice. There is also a boon to this; by taking a few days to 'attune' a person, you may impart upon them the beginning of psionic abilities of their own. You may only gift one school at a time, and they start "&amp;"at the very beginning; if they are to grow and learn as you have, it would be wise to teach them. On the plus side, they’ll eventually become as strong as you are, so you’ll have quite the pupil on your hands.
Synchronicity Event boosts psychic powers fr"&amp;"om outside this setting by a decent amount. It's nothing like Alma, but it's a decent boost. At the same time, you may also unlock the following abilities:
-Taking 'Feel It Out' increases your understanding of technologies and different items, dramatical"&amp;"ly cutting down the time needed to analyze the object in question and improving defenses should any psionic traps be laid. You can also 'attune' objects to better channel psionic abilities and become a powerful focus for them.
Psionic schools from F.E.A."&amp;"R. include Telekinesis, Telepathy, Pyrokinesis, Possession, Teleportation, and Manifestation.
System")</f>
        <v>Chapter 123: 88 Perspectives
Synchronicity Event (F.E.A.R.) 300:
Curiouser and curiouser. Due to coming into contact with... well, SOMETHING, your psionic abilities have noticeably increased. Psychic powers you may have had are stronger now, with control and development coming more quickly with practice. There is also a boon to this; by taking a few days to 'attune' a person, you may impart upon them the beginning of psionic abilities of their own. You may only gift one school at a time, and they start at the very beginning; if they are to grow and learn as you have, it would be wise to teach them. On the plus side, they’ll eventually become as strong as you are, so you’ll have quite the pupil on your hands.
Synchronicity Event boosts psychic powers from outside this setting by a decent amount. It's nothing like Alma, but it's a decent boost. At the same time, you may also unlock the following abilities:
-Taking 'Feel It Out' increases your understanding of technologies and different items, dramatically cutting down the time needed to analyze the object in question and improving defenses should any psionic traps be laid. You can also 'attune' objects to better channel psionic abilities and become a powerful focus for them.
Psionic schools from F.E.A.R. include Telekinesis, Telepathy, Pyrokinesis, Possession, Teleportation, and Manifestation.
System</v>
      </c>
      <c r="D169" s="17" t="str">
        <f>IFERROR(__xludf.DUMMYFUNCTION("""COMPUTED_VALUE"""),"
")</f>
        <v>
</v>
      </c>
      <c r="E169" s="17" t="str">
        <f>IFERROR(__xludf.DUMMYFUNCTION("""COMPUTED_VALUE"""),"
")</f>
        <v>
</v>
      </c>
      <c r="F169" s="17" t="str">
        <f>IFERROR(__xludf.DUMMYFUNCTION("""COMPUTED_VALUE"""),"
")</f>
        <v>
</v>
      </c>
      <c r="G169" s="17" t="str">
        <f>IFERROR(__xludf.DUMMYFUNCTION("""COMPUTED_VALUE"""),"
")</f>
        <v>
</v>
      </c>
      <c r="H169" s="17" t="str">
        <f>IFERROR(__xludf.DUMMYFUNCTION("""COMPUTED_VALUE"""),"
")</f>
        <v>
</v>
      </c>
      <c r="I169" s="17" t="str">
        <f>IFERROR(__xludf.DUMMYFUNCTION("""COMPUTED_VALUE"""),"
")</f>
        <v>
</v>
      </c>
      <c r="J169" s="17" t="str">
        <f>IFERROR(__xludf.DUMMYFUNCTION("""COMPUTED_VALUE"""),"
")</f>
        <v>
</v>
      </c>
      <c r="K169" s="17" t="str">
        <f>IFERROR(__xludf.DUMMYFUNCTION("""COMPUTED_VALUE"""),"
")</f>
        <v>
</v>
      </c>
      <c r="L169" s="17" t="str">
        <f>IFERROR(__xludf.DUMMYFUNCTION("""COMPUTED_VALUE"""),"
")</f>
        <v>
</v>
      </c>
      <c r="M169" s="17" t="str">
        <f>IFERROR(__xludf.DUMMYFUNCTION("""COMPUTED_VALUE"""),"
")</f>
        <v>
</v>
      </c>
      <c r="N169" s="17" t="str">
        <f>IFERROR(__xludf.DUMMYFUNCTION("""COMPUTED_VALUE"""),"
")</f>
        <v>
</v>
      </c>
      <c r="O169" s="17" t="str">
        <f>IFERROR(__xludf.DUMMYFUNCTION("""COMPUTED_VALUE"""),"
")</f>
        <v>
</v>
      </c>
      <c r="P169" s="17" t="str">
        <f>IFERROR(__xludf.DUMMYFUNCTION("""COMPUTED_VALUE"""),"
")</f>
        <v>
</v>
      </c>
      <c r="Q169" s="17" t="str">
        <f>IFERROR(__xludf.DUMMYFUNCTION("""COMPUTED_VALUE"""),"
")</f>
        <v>
</v>
      </c>
      <c r="R169" s="17" t="str">
        <f>IFERROR(__xludf.DUMMYFUNCTION("""COMPUTED_VALUE"""),"
")</f>
        <v>
</v>
      </c>
      <c r="S169" s="17" t="str">
        <f>IFERROR(__xludf.DUMMYFUNCTION("""COMPUTED_VALUE"""),"
")</f>
        <v>
</v>
      </c>
      <c r="T169" s="17" t="str">
        <f>IFERROR(__xludf.DUMMYFUNCTION("""COMPUTED_VALUE"""),"
")</f>
        <v>
</v>
      </c>
      <c r="U169" s="17" t="str">
        <f>IFERROR(__xludf.DUMMYFUNCTION("""COMPUTED_VALUE"""),"
")</f>
        <v>
</v>
      </c>
      <c r="V169" s="17" t="str">
        <f>IFERROR(__xludf.DUMMYFUNCTION("""COMPUTED_VALUE"""),"
")</f>
        <v>
</v>
      </c>
      <c r="W169" s="17" t="str">
        <f>IFERROR(__xludf.DUMMYFUNCTION("""COMPUTED_VALUE"""),"
")</f>
        <v>
</v>
      </c>
      <c r="X169" s="17" t="str">
        <f>IFERROR(__xludf.DUMMYFUNCTION("""COMPUTED_VALUE"""),"
")</f>
        <v>
</v>
      </c>
      <c r="Y169" s="17" t="str">
        <f>IFERROR(__xludf.DUMMYFUNCTION("""COMPUTED_VALUE"""),"
")</f>
        <v>
</v>
      </c>
      <c r="Z169" s="17" t="str">
        <f>IFERROR(__xludf.DUMMYFUNCTION("""COMPUTED_VALUE"""),"
")</f>
        <v>
</v>
      </c>
      <c r="AA169" s="17" t="str">
        <f>IFERROR(__xludf.DUMMYFUNCTION("""COMPUTED_VALUE"""),"
")</f>
        <v>
</v>
      </c>
      <c r="AB169" s="17" t="str">
        <f>IFERROR(__xludf.DUMMYFUNCTION("""COMPUTED_VALUE"""),"
")</f>
        <v>
</v>
      </c>
      <c r="AC169" s="17" t="str">
        <f>IFERROR(__xludf.DUMMYFUNCTION("""COMPUTED_VALUE"""),"
")</f>
        <v>
</v>
      </c>
    </row>
    <row r="170">
      <c r="A170" s="17" t="str">
        <f>IFERROR(__xludf.DUMMYFUNCTION("""COMPUTED_VALUE"""),"")</f>
        <v/>
      </c>
      <c r="B170" s="17" t="str">
        <f>IFERROR(__xludf.DUMMYFUNCTION("""COMPUTED_VALUE"""),"")</f>
        <v/>
      </c>
      <c r="C170" s="17" t="str">
        <f>IFERROR(__xludf.DUMMYFUNCTION("""COMPUTED_VALUE"""),"")</f>
        <v/>
      </c>
      <c r="D170" s="17" t="str">
        <f>IFERROR(__xludf.DUMMYFUNCTION("""COMPUTED_VALUE"""),"")</f>
        <v/>
      </c>
      <c r="E170" s="17" t="str">
        <f>IFERROR(__xludf.DUMMYFUNCTION("""COMPUTED_VALUE"""),"")</f>
        <v/>
      </c>
      <c r="F170" s="17" t="str">
        <f>IFERROR(__xludf.DUMMYFUNCTION("""COMPUTED_VALUE"""),"")</f>
        <v/>
      </c>
      <c r="G170" s="17" t="str">
        <f>IFERROR(__xludf.DUMMYFUNCTION("""COMPUTED_VALUE"""),"")</f>
        <v/>
      </c>
      <c r="H170" s="17" t="str">
        <f>IFERROR(__xludf.DUMMYFUNCTION("""COMPUTED_VALUE"""),"")</f>
        <v/>
      </c>
      <c r="I170" s="17" t="str">
        <f>IFERROR(__xludf.DUMMYFUNCTION("""COMPUTED_VALUE"""),"")</f>
        <v/>
      </c>
      <c r="J170" s="17" t="str">
        <f>IFERROR(__xludf.DUMMYFUNCTION("""COMPUTED_VALUE"""),"")</f>
        <v/>
      </c>
      <c r="K170" s="17" t="str">
        <f>IFERROR(__xludf.DUMMYFUNCTION("""COMPUTED_VALUE"""),"")</f>
        <v/>
      </c>
      <c r="L170" s="17" t="str">
        <f>IFERROR(__xludf.DUMMYFUNCTION("""COMPUTED_VALUE"""),"")</f>
        <v/>
      </c>
      <c r="M170" s="17" t="str">
        <f>IFERROR(__xludf.DUMMYFUNCTION("""COMPUTED_VALUE"""),"")</f>
        <v/>
      </c>
      <c r="N170" s="17" t="str">
        <f>IFERROR(__xludf.DUMMYFUNCTION("""COMPUTED_VALUE"""),"")</f>
        <v/>
      </c>
      <c r="O170" s="17" t="str">
        <f>IFERROR(__xludf.DUMMYFUNCTION("""COMPUTED_VALUE"""),"")</f>
        <v/>
      </c>
      <c r="P170" s="17" t="str">
        <f>IFERROR(__xludf.DUMMYFUNCTION("""COMPUTED_VALUE"""),"")</f>
        <v/>
      </c>
      <c r="Q170" s="17" t="str">
        <f>IFERROR(__xludf.DUMMYFUNCTION("""COMPUTED_VALUE"""),"")</f>
        <v/>
      </c>
      <c r="R170" s="17" t="str">
        <f>IFERROR(__xludf.DUMMYFUNCTION("""COMPUTED_VALUE"""),"")</f>
        <v/>
      </c>
      <c r="S170" s="17" t="str">
        <f>IFERROR(__xludf.DUMMYFUNCTION("""COMPUTED_VALUE"""),"")</f>
        <v/>
      </c>
      <c r="T170" s="17" t="str">
        <f>IFERROR(__xludf.DUMMYFUNCTION("""COMPUTED_VALUE"""),"")</f>
        <v/>
      </c>
      <c r="U170" s="17" t="str">
        <f>IFERROR(__xludf.DUMMYFUNCTION("""COMPUTED_VALUE"""),"")</f>
        <v/>
      </c>
      <c r="V170" s="17" t="str">
        <f>IFERROR(__xludf.DUMMYFUNCTION("""COMPUTED_VALUE"""),"")</f>
        <v/>
      </c>
      <c r="W170" s="17" t="str">
        <f>IFERROR(__xludf.DUMMYFUNCTION("""COMPUTED_VALUE"""),"")</f>
        <v/>
      </c>
      <c r="X170" s="17" t="str">
        <f>IFERROR(__xludf.DUMMYFUNCTION("""COMPUTED_VALUE"""),"")</f>
        <v/>
      </c>
      <c r="Y170" s="17" t="str">
        <f>IFERROR(__xludf.DUMMYFUNCTION("""COMPUTED_VALUE"""),"")</f>
        <v/>
      </c>
      <c r="Z170" s="17" t="str">
        <f>IFERROR(__xludf.DUMMYFUNCTION("""COMPUTED_VALUE"""),"")</f>
        <v/>
      </c>
      <c r="AA170" s="17" t="str">
        <f>IFERROR(__xludf.DUMMYFUNCTION("""COMPUTED_VALUE"""),"")</f>
        <v/>
      </c>
      <c r="AB170" s="17" t="str">
        <f>IFERROR(__xludf.DUMMYFUNCTION("""COMPUTED_VALUE"""),"")</f>
        <v/>
      </c>
      <c r="AC170" s="17" t="str">
        <f>IFERROR(__xludf.DUMMYFUNCTION("""COMPUTED_VALUE"""),"")</f>
        <v/>
      </c>
    </row>
    <row r="171">
      <c r="A171" s="17" t="str">
        <f>IFERROR(__xludf.DUMMYFUNCTION("""COMPUTED_VALUE"""),"")</f>
        <v/>
      </c>
      <c r="B171" s="17" t="str">
        <f>IFERROR(__xludf.DUMMYFUNCTION("""COMPUTED_VALUE"""),"")</f>
        <v/>
      </c>
      <c r="C171" s="17" t="str">
        <f>IFERROR(__xludf.DUMMYFUNCTION("""COMPUTED_VALUE"""),"")</f>
        <v/>
      </c>
      <c r="D171" s="17" t="str">
        <f>IFERROR(__xludf.DUMMYFUNCTION("""COMPUTED_VALUE"""),"")</f>
        <v/>
      </c>
      <c r="E171" s="17" t="str">
        <f>IFERROR(__xludf.DUMMYFUNCTION("""COMPUTED_VALUE"""),"")</f>
        <v/>
      </c>
      <c r="F171" s="17" t="str">
        <f>IFERROR(__xludf.DUMMYFUNCTION("""COMPUTED_VALUE"""),"")</f>
        <v/>
      </c>
      <c r="G171" s="17" t="str">
        <f>IFERROR(__xludf.DUMMYFUNCTION("""COMPUTED_VALUE"""),"")</f>
        <v/>
      </c>
      <c r="H171" s="17" t="str">
        <f>IFERROR(__xludf.DUMMYFUNCTION("""COMPUTED_VALUE"""),"")</f>
        <v/>
      </c>
      <c r="I171" s="17" t="str">
        <f>IFERROR(__xludf.DUMMYFUNCTION("""COMPUTED_VALUE"""),"")</f>
        <v/>
      </c>
      <c r="J171" s="17" t="str">
        <f>IFERROR(__xludf.DUMMYFUNCTION("""COMPUTED_VALUE"""),"")</f>
        <v/>
      </c>
      <c r="K171" s="17" t="str">
        <f>IFERROR(__xludf.DUMMYFUNCTION("""COMPUTED_VALUE"""),"")</f>
        <v/>
      </c>
      <c r="L171" s="17" t="str">
        <f>IFERROR(__xludf.DUMMYFUNCTION("""COMPUTED_VALUE"""),"")</f>
        <v/>
      </c>
      <c r="M171" s="17" t="str">
        <f>IFERROR(__xludf.DUMMYFUNCTION("""COMPUTED_VALUE"""),"")</f>
        <v/>
      </c>
      <c r="N171" s="17" t="str">
        <f>IFERROR(__xludf.DUMMYFUNCTION("""COMPUTED_VALUE"""),"")</f>
        <v/>
      </c>
      <c r="O171" s="17" t="str">
        <f>IFERROR(__xludf.DUMMYFUNCTION("""COMPUTED_VALUE"""),"")</f>
        <v/>
      </c>
      <c r="P171" s="17" t="str">
        <f>IFERROR(__xludf.DUMMYFUNCTION("""COMPUTED_VALUE"""),"")</f>
        <v/>
      </c>
      <c r="Q171" s="17" t="str">
        <f>IFERROR(__xludf.DUMMYFUNCTION("""COMPUTED_VALUE"""),"")</f>
        <v/>
      </c>
      <c r="R171" s="17" t="str">
        <f>IFERROR(__xludf.DUMMYFUNCTION("""COMPUTED_VALUE"""),"")</f>
        <v/>
      </c>
      <c r="S171" s="17" t="str">
        <f>IFERROR(__xludf.DUMMYFUNCTION("""COMPUTED_VALUE"""),"")</f>
        <v/>
      </c>
      <c r="T171" s="17" t="str">
        <f>IFERROR(__xludf.DUMMYFUNCTION("""COMPUTED_VALUE"""),"")</f>
        <v/>
      </c>
      <c r="U171" s="17" t="str">
        <f>IFERROR(__xludf.DUMMYFUNCTION("""COMPUTED_VALUE"""),"")</f>
        <v/>
      </c>
      <c r="V171" s="17" t="str">
        <f>IFERROR(__xludf.DUMMYFUNCTION("""COMPUTED_VALUE"""),"")</f>
        <v/>
      </c>
      <c r="W171" s="17" t="str">
        <f>IFERROR(__xludf.DUMMYFUNCTION("""COMPUTED_VALUE"""),"")</f>
        <v/>
      </c>
      <c r="X171" s="17" t="str">
        <f>IFERROR(__xludf.DUMMYFUNCTION("""COMPUTED_VALUE"""),"")</f>
        <v/>
      </c>
      <c r="Y171" s="17" t="str">
        <f>IFERROR(__xludf.DUMMYFUNCTION("""COMPUTED_VALUE"""),"")</f>
        <v/>
      </c>
      <c r="Z171" s="17" t="str">
        <f>IFERROR(__xludf.DUMMYFUNCTION("""COMPUTED_VALUE"""),"")</f>
        <v/>
      </c>
      <c r="AA171" s="17" t="str">
        <f>IFERROR(__xludf.DUMMYFUNCTION("""COMPUTED_VALUE"""),"")</f>
        <v/>
      </c>
      <c r="AB171" s="17" t="str">
        <f>IFERROR(__xludf.DUMMYFUNCTION("""COMPUTED_VALUE"""),"")</f>
        <v/>
      </c>
      <c r="AC171" s="17" t="str">
        <f>IFERROR(__xludf.DUMMYFUNCTION("""COMPUTED_VALUE"""),"")</f>
        <v/>
      </c>
    </row>
    <row r="172">
      <c r="A172" s="17" t="str">
        <f>IFERROR(__xludf.DUMMYFUNCTION("""COMPUTED_VALUE"""),"")</f>
        <v/>
      </c>
      <c r="B172" s="17" t="str">
        <f>IFERROR(__xludf.DUMMYFUNCTION("""COMPUTED_VALUE"""),"")</f>
        <v/>
      </c>
      <c r="C172" s="17" t="str">
        <f>IFERROR(__xludf.DUMMYFUNCTION("""COMPUTED_VALUE"""),"")</f>
        <v/>
      </c>
      <c r="D172" s="17" t="str">
        <f>IFERROR(__xludf.DUMMYFUNCTION("""COMPUTED_VALUE"""),"")</f>
        <v/>
      </c>
      <c r="E172" s="17" t="str">
        <f>IFERROR(__xludf.DUMMYFUNCTION("""COMPUTED_VALUE"""),"")</f>
        <v/>
      </c>
      <c r="F172" s="17" t="str">
        <f>IFERROR(__xludf.DUMMYFUNCTION("""COMPUTED_VALUE"""),"")</f>
        <v/>
      </c>
      <c r="G172" s="17" t="str">
        <f>IFERROR(__xludf.DUMMYFUNCTION("""COMPUTED_VALUE"""),"")</f>
        <v/>
      </c>
      <c r="H172" s="17" t="str">
        <f>IFERROR(__xludf.DUMMYFUNCTION("""COMPUTED_VALUE"""),"")</f>
        <v/>
      </c>
      <c r="I172" s="17" t="str">
        <f>IFERROR(__xludf.DUMMYFUNCTION("""COMPUTED_VALUE"""),"")</f>
        <v/>
      </c>
      <c r="J172" s="17" t="str">
        <f>IFERROR(__xludf.DUMMYFUNCTION("""COMPUTED_VALUE"""),"")</f>
        <v/>
      </c>
      <c r="K172" s="17" t="str">
        <f>IFERROR(__xludf.DUMMYFUNCTION("""COMPUTED_VALUE"""),"")</f>
        <v/>
      </c>
      <c r="L172" s="17" t="str">
        <f>IFERROR(__xludf.DUMMYFUNCTION("""COMPUTED_VALUE"""),"")</f>
        <v/>
      </c>
      <c r="M172" s="17" t="str">
        <f>IFERROR(__xludf.DUMMYFUNCTION("""COMPUTED_VALUE"""),"")</f>
        <v/>
      </c>
      <c r="N172" s="17" t="str">
        <f>IFERROR(__xludf.DUMMYFUNCTION("""COMPUTED_VALUE"""),"")</f>
        <v/>
      </c>
      <c r="O172" s="17" t="str">
        <f>IFERROR(__xludf.DUMMYFUNCTION("""COMPUTED_VALUE"""),"")</f>
        <v/>
      </c>
      <c r="P172" s="17" t="str">
        <f>IFERROR(__xludf.DUMMYFUNCTION("""COMPUTED_VALUE"""),"")</f>
        <v/>
      </c>
      <c r="Q172" s="17" t="str">
        <f>IFERROR(__xludf.DUMMYFUNCTION("""COMPUTED_VALUE"""),"")</f>
        <v/>
      </c>
      <c r="R172" s="17" t="str">
        <f>IFERROR(__xludf.DUMMYFUNCTION("""COMPUTED_VALUE"""),"")</f>
        <v/>
      </c>
      <c r="S172" s="17" t="str">
        <f>IFERROR(__xludf.DUMMYFUNCTION("""COMPUTED_VALUE"""),"")</f>
        <v/>
      </c>
      <c r="T172" s="17" t="str">
        <f>IFERROR(__xludf.DUMMYFUNCTION("""COMPUTED_VALUE"""),"")</f>
        <v/>
      </c>
      <c r="U172" s="17" t="str">
        <f>IFERROR(__xludf.DUMMYFUNCTION("""COMPUTED_VALUE"""),"")</f>
        <v/>
      </c>
      <c r="V172" s="17" t="str">
        <f>IFERROR(__xludf.DUMMYFUNCTION("""COMPUTED_VALUE"""),"")</f>
        <v/>
      </c>
      <c r="W172" s="17" t="str">
        <f>IFERROR(__xludf.DUMMYFUNCTION("""COMPUTED_VALUE"""),"")</f>
        <v/>
      </c>
      <c r="X172" s="17" t="str">
        <f>IFERROR(__xludf.DUMMYFUNCTION("""COMPUTED_VALUE"""),"")</f>
        <v/>
      </c>
      <c r="Y172" s="17" t="str">
        <f>IFERROR(__xludf.DUMMYFUNCTION("""COMPUTED_VALUE"""),"")</f>
        <v/>
      </c>
      <c r="Z172" s="17" t="str">
        <f>IFERROR(__xludf.DUMMYFUNCTION("""COMPUTED_VALUE"""),"")</f>
        <v/>
      </c>
      <c r="AA172" s="17" t="str">
        <f>IFERROR(__xludf.DUMMYFUNCTION("""COMPUTED_VALUE"""),"")</f>
        <v/>
      </c>
      <c r="AB172" s="17" t="str">
        <f>IFERROR(__xludf.DUMMYFUNCTION("""COMPUTED_VALUE"""),"")</f>
        <v/>
      </c>
      <c r="AC172" s="17" t="str">
        <f>IFERROR(__xludf.DUMMYFUNCTION("""COMPUTED_VALUE"""),"")</f>
        <v/>
      </c>
    </row>
    <row r="173">
      <c r="A173" s="17" t="str">
        <f>IFERROR(__xludf.DUMMYFUNCTION("""COMPUTED_VALUE"""),"")</f>
        <v/>
      </c>
      <c r="B173" s="17" t="str">
        <f>IFERROR(__xludf.DUMMYFUNCTION("""COMPUTED_VALUE"""),"")</f>
        <v/>
      </c>
      <c r="C173" s="17" t="str">
        <f>IFERROR(__xludf.DUMMYFUNCTION("""COMPUTED_VALUE"""),"")</f>
        <v/>
      </c>
      <c r="D173" s="17" t="str">
        <f>IFERROR(__xludf.DUMMYFUNCTION("""COMPUTED_VALUE"""),"")</f>
        <v/>
      </c>
      <c r="E173" s="17" t="str">
        <f>IFERROR(__xludf.DUMMYFUNCTION("""COMPUTED_VALUE"""),"")</f>
        <v/>
      </c>
      <c r="F173" s="17" t="str">
        <f>IFERROR(__xludf.DUMMYFUNCTION("""COMPUTED_VALUE"""),"")</f>
        <v/>
      </c>
      <c r="G173" s="17" t="str">
        <f>IFERROR(__xludf.DUMMYFUNCTION("""COMPUTED_VALUE"""),"")</f>
        <v/>
      </c>
      <c r="H173" s="17" t="str">
        <f>IFERROR(__xludf.DUMMYFUNCTION("""COMPUTED_VALUE"""),"")</f>
        <v/>
      </c>
      <c r="I173" s="17" t="str">
        <f>IFERROR(__xludf.DUMMYFUNCTION("""COMPUTED_VALUE"""),"")</f>
        <v/>
      </c>
      <c r="J173" s="17" t="str">
        <f>IFERROR(__xludf.DUMMYFUNCTION("""COMPUTED_VALUE"""),"")</f>
        <v/>
      </c>
      <c r="K173" s="17" t="str">
        <f>IFERROR(__xludf.DUMMYFUNCTION("""COMPUTED_VALUE"""),"")</f>
        <v/>
      </c>
      <c r="L173" s="17" t="str">
        <f>IFERROR(__xludf.DUMMYFUNCTION("""COMPUTED_VALUE"""),"")</f>
        <v/>
      </c>
      <c r="M173" s="17" t="str">
        <f>IFERROR(__xludf.DUMMYFUNCTION("""COMPUTED_VALUE"""),"")</f>
        <v/>
      </c>
      <c r="N173" s="17" t="str">
        <f>IFERROR(__xludf.DUMMYFUNCTION("""COMPUTED_VALUE"""),"")</f>
        <v/>
      </c>
      <c r="O173" s="17" t="str">
        <f>IFERROR(__xludf.DUMMYFUNCTION("""COMPUTED_VALUE"""),"")</f>
        <v/>
      </c>
      <c r="P173" s="17" t="str">
        <f>IFERROR(__xludf.DUMMYFUNCTION("""COMPUTED_VALUE"""),"")</f>
        <v/>
      </c>
      <c r="Q173" s="17" t="str">
        <f>IFERROR(__xludf.DUMMYFUNCTION("""COMPUTED_VALUE"""),"")</f>
        <v/>
      </c>
      <c r="R173" s="17" t="str">
        <f>IFERROR(__xludf.DUMMYFUNCTION("""COMPUTED_VALUE"""),"")</f>
        <v/>
      </c>
      <c r="S173" s="17" t="str">
        <f>IFERROR(__xludf.DUMMYFUNCTION("""COMPUTED_VALUE"""),"")</f>
        <v/>
      </c>
      <c r="T173" s="17" t="str">
        <f>IFERROR(__xludf.DUMMYFUNCTION("""COMPUTED_VALUE"""),"")</f>
        <v/>
      </c>
      <c r="U173" s="17" t="str">
        <f>IFERROR(__xludf.DUMMYFUNCTION("""COMPUTED_VALUE"""),"")</f>
        <v/>
      </c>
      <c r="V173" s="17" t="str">
        <f>IFERROR(__xludf.DUMMYFUNCTION("""COMPUTED_VALUE"""),"")</f>
        <v/>
      </c>
      <c r="W173" s="17" t="str">
        <f>IFERROR(__xludf.DUMMYFUNCTION("""COMPUTED_VALUE"""),"")</f>
        <v/>
      </c>
      <c r="X173" s="17" t="str">
        <f>IFERROR(__xludf.DUMMYFUNCTION("""COMPUTED_VALUE"""),"")</f>
        <v/>
      </c>
      <c r="Y173" s="17" t="str">
        <f>IFERROR(__xludf.DUMMYFUNCTION("""COMPUTED_VALUE"""),"")</f>
        <v/>
      </c>
      <c r="Z173" s="17" t="str">
        <f>IFERROR(__xludf.DUMMYFUNCTION("""COMPUTED_VALUE"""),"")</f>
        <v/>
      </c>
      <c r="AA173" s="17" t="str">
        <f>IFERROR(__xludf.DUMMYFUNCTION("""COMPUTED_VALUE"""),"")</f>
        <v/>
      </c>
      <c r="AB173" s="17" t="str">
        <f>IFERROR(__xludf.DUMMYFUNCTION("""COMPUTED_VALUE"""),"")</f>
        <v/>
      </c>
      <c r="AC173" s="17" t="str">
        <f>IFERROR(__xludf.DUMMYFUNCTION("""COMPUTED_VALUE"""),"")</f>
        <v/>
      </c>
    </row>
    <row r="174">
      <c r="A174" s="17" t="str">
        <f>IFERROR(__xludf.DUMMYFUNCTION("""COMPUTED_VALUE"""),"")</f>
        <v/>
      </c>
      <c r="B174" s="17" t="str">
        <f>IFERROR(__xludf.DUMMYFUNCTION("""COMPUTED_VALUE"""),"")</f>
        <v/>
      </c>
      <c r="C174" s="17" t="str">
        <f>IFERROR(__xludf.DUMMYFUNCTION("""COMPUTED_VALUE"""),"")</f>
        <v/>
      </c>
      <c r="D174" s="17" t="str">
        <f>IFERROR(__xludf.DUMMYFUNCTION("""COMPUTED_VALUE"""),"")</f>
        <v/>
      </c>
      <c r="E174" s="17" t="str">
        <f>IFERROR(__xludf.DUMMYFUNCTION("""COMPUTED_VALUE"""),"")</f>
        <v/>
      </c>
      <c r="F174" s="17" t="str">
        <f>IFERROR(__xludf.DUMMYFUNCTION("""COMPUTED_VALUE"""),"")</f>
        <v/>
      </c>
      <c r="G174" s="17" t="str">
        <f>IFERROR(__xludf.DUMMYFUNCTION("""COMPUTED_VALUE"""),"")</f>
        <v/>
      </c>
      <c r="H174" s="17" t="str">
        <f>IFERROR(__xludf.DUMMYFUNCTION("""COMPUTED_VALUE"""),"")</f>
        <v/>
      </c>
      <c r="I174" s="17" t="str">
        <f>IFERROR(__xludf.DUMMYFUNCTION("""COMPUTED_VALUE"""),"")</f>
        <v/>
      </c>
      <c r="J174" s="17" t="str">
        <f>IFERROR(__xludf.DUMMYFUNCTION("""COMPUTED_VALUE"""),"")</f>
        <v/>
      </c>
      <c r="K174" s="17" t="str">
        <f>IFERROR(__xludf.DUMMYFUNCTION("""COMPUTED_VALUE"""),"")</f>
        <v/>
      </c>
      <c r="L174" s="17" t="str">
        <f>IFERROR(__xludf.DUMMYFUNCTION("""COMPUTED_VALUE"""),"")</f>
        <v/>
      </c>
      <c r="M174" s="17" t="str">
        <f>IFERROR(__xludf.DUMMYFUNCTION("""COMPUTED_VALUE"""),"")</f>
        <v/>
      </c>
      <c r="N174" s="17" t="str">
        <f>IFERROR(__xludf.DUMMYFUNCTION("""COMPUTED_VALUE"""),"")</f>
        <v/>
      </c>
      <c r="O174" s="17" t="str">
        <f>IFERROR(__xludf.DUMMYFUNCTION("""COMPUTED_VALUE"""),"")</f>
        <v/>
      </c>
      <c r="P174" s="17" t="str">
        <f>IFERROR(__xludf.DUMMYFUNCTION("""COMPUTED_VALUE"""),"")</f>
        <v/>
      </c>
      <c r="Q174" s="17" t="str">
        <f>IFERROR(__xludf.DUMMYFUNCTION("""COMPUTED_VALUE"""),"")</f>
        <v/>
      </c>
      <c r="R174" s="17" t="str">
        <f>IFERROR(__xludf.DUMMYFUNCTION("""COMPUTED_VALUE"""),"")</f>
        <v/>
      </c>
      <c r="S174" s="17" t="str">
        <f>IFERROR(__xludf.DUMMYFUNCTION("""COMPUTED_VALUE"""),"")</f>
        <v/>
      </c>
      <c r="T174" s="17" t="str">
        <f>IFERROR(__xludf.DUMMYFUNCTION("""COMPUTED_VALUE"""),"")</f>
        <v/>
      </c>
      <c r="U174" s="17" t="str">
        <f>IFERROR(__xludf.DUMMYFUNCTION("""COMPUTED_VALUE"""),"")</f>
        <v/>
      </c>
      <c r="V174" s="17" t="str">
        <f>IFERROR(__xludf.DUMMYFUNCTION("""COMPUTED_VALUE"""),"")</f>
        <v/>
      </c>
      <c r="W174" s="17" t="str">
        <f>IFERROR(__xludf.DUMMYFUNCTION("""COMPUTED_VALUE"""),"")</f>
        <v/>
      </c>
      <c r="X174" s="17" t="str">
        <f>IFERROR(__xludf.DUMMYFUNCTION("""COMPUTED_VALUE"""),"")</f>
        <v/>
      </c>
      <c r="Y174" s="17" t="str">
        <f>IFERROR(__xludf.DUMMYFUNCTION("""COMPUTED_VALUE"""),"")</f>
        <v/>
      </c>
      <c r="Z174" s="17" t="str">
        <f>IFERROR(__xludf.DUMMYFUNCTION("""COMPUTED_VALUE"""),"")</f>
        <v/>
      </c>
      <c r="AA174" s="17" t="str">
        <f>IFERROR(__xludf.DUMMYFUNCTION("""COMPUTED_VALUE"""),"")</f>
        <v/>
      </c>
      <c r="AB174" s="17" t="str">
        <f>IFERROR(__xludf.DUMMYFUNCTION("""COMPUTED_VALUE"""),"")</f>
        <v/>
      </c>
      <c r="AC174" s="17" t="str">
        <f>IFERROR(__xludf.DUMMYFUNCTION("""COMPUTED_VALUE"""),"")</f>
        <v/>
      </c>
    </row>
    <row r="175">
      <c r="A175" s="17" t="str">
        <f>IFERROR(__xludf.DUMMYFUNCTION("""COMPUTED_VALUE"""),"Chapter 54: 43 Ripples Aisha - Preamble Gully - Addendum Joe
Talisman Trained (Inukami) 100:
You are very skilled at using talismans. What that means is you can make them have different properties (like light or sound) and with enough time and training yo"&amp;"u can make with enough time and training you can make truly devastating effects.
System")</f>
        <v>Chapter 54: 43 Ripples Aisha - Preamble Gully - Addendum Joe
Talisman Trained (Inukami) 100:
You are very skilled at using talismans. What that means is you can make them have different properties (like light or sound) and with enough time and training you can make with enough time and training you can make truly devastating effects.
System</v>
      </c>
      <c r="B175" s="17" t="str">
        <f>IFERROR(__xludf.DUMMYFUNCTION("""COMPUTED_VALUE"""),"Chapter 54: 43 Ripples Aisha - Preamble Gully - Addendum Joe
Talisman Adept (Inukami) 200:
You are much better at using talismans and can give them properties of what shape they are in. Shaped like a frog? These talismans can bounce towards their intended"&amp;" target.
System")</f>
        <v>Chapter 54: 43 Ripples Aisha - Preamble Gully - Addendum Joe
Talisman Adept (Inukami) 200:
You are much better at using talismans and can give them properties of what shape they are in. Shaped like a frog? These talismans can bounce towards their intended target.
System</v>
      </c>
      <c r="C175" s="17" t="str">
        <f>IFERROR(__xludf.DUMMYFUNCTION("""COMPUTED_VALUE"""),"
")</f>
        <v>
</v>
      </c>
      <c r="D175" s="17" t="str">
        <f>IFERROR(__xludf.DUMMYFUNCTION("""COMPUTED_VALUE"""),"
")</f>
        <v>
</v>
      </c>
      <c r="E175" s="17" t="str">
        <f>IFERROR(__xludf.DUMMYFUNCTION("""COMPUTED_VALUE"""),"
")</f>
        <v>
</v>
      </c>
      <c r="F175" s="17" t="str">
        <f>IFERROR(__xludf.DUMMYFUNCTION("""COMPUTED_VALUE"""),"
")</f>
        <v>
</v>
      </c>
      <c r="G175" s="17" t="str">
        <f>IFERROR(__xludf.DUMMYFUNCTION("""COMPUTED_VALUE"""),"
")</f>
        <v>
</v>
      </c>
      <c r="H175" s="17" t="str">
        <f>IFERROR(__xludf.DUMMYFUNCTION("""COMPUTED_VALUE"""),"
")</f>
        <v>
</v>
      </c>
      <c r="I175" s="17" t="str">
        <f>IFERROR(__xludf.DUMMYFUNCTION("""COMPUTED_VALUE"""),"
")</f>
        <v>
</v>
      </c>
      <c r="J175" s="17" t="str">
        <f>IFERROR(__xludf.DUMMYFUNCTION("""COMPUTED_VALUE"""),"
")</f>
        <v>
</v>
      </c>
      <c r="K175" s="17" t="str">
        <f>IFERROR(__xludf.DUMMYFUNCTION("""COMPUTED_VALUE"""),"
")</f>
        <v>
</v>
      </c>
      <c r="L175" s="17" t="str">
        <f>IFERROR(__xludf.DUMMYFUNCTION("""COMPUTED_VALUE"""),"
")</f>
        <v>
</v>
      </c>
      <c r="M175" s="17" t="str">
        <f>IFERROR(__xludf.DUMMYFUNCTION("""COMPUTED_VALUE"""),"
")</f>
        <v>
</v>
      </c>
      <c r="N175" s="17" t="str">
        <f>IFERROR(__xludf.DUMMYFUNCTION("""COMPUTED_VALUE"""),"
")</f>
        <v>
</v>
      </c>
      <c r="O175" s="17" t="str">
        <f>IFERROR(__xludf.DUMMYFUNCTION("""COMPUTED_VALUE"""),"
")</f>
        <v>
</v>
      </c>
      <c r="P175" s="17" t="str">
        <f>IFERROR(__xludf.DUMMYFUNCTION("""COMPUTED_VALUE"""),"
")</f>
        <v>
</v>
      </c>
      <c r="Q175" s="17" t="str">
        <f>IFERROR(__xludf.DUMMYFUNCTION("""COMPUTED_VALUE"""),"
")</f>
        <v>
</v>
      </c>
      <c r="R175" s="17" t="str">
        <f>IFERROR(__xludf.DUMMYFUNCTION("""COMPUTED_VALUE"""),"
")</f>
        <v>
</v>
      </c>
      <c r="S175" s="17" t="str">
        <f>IFERROR(__xludf.DUMMYFUNCTION("""COMPUTED_VALUE"""),"
")</f>
        <v>
</v>
      </c>
      <c r="T175" s="17" t="str">
        <f>IFERROR(__xludf.DUMMYFUNCTION("""COMPUTED_VALUE"""),"
")</f>
        <v>
</v>
      </c>
      <c r="U175" s="17" t="str">
        <f>IFERROR(__xludf.DUMMYFUNCTION("""COMPUTED_VALUE"""),"
")</f>
        <v>
</v>
      </c>
      <c r="V175" s="17" t="str">
        <f>IFERROR(__xludf.DUMMYFUNCTION("""COMPUTED_VALUE"""),"
")</f>
        <v>
</v>
      </c>
      <c r="W175" s="17" t="str">
        <f>IFERROR(__xludf.DUMMYFUNCTION("""COMPUTED_VALUE"""),"
")</f>
        <v>
</v>
      </c>
      <c r="X175" s="17" t="str">
        <f>IFERROR(__xludf.DUMMYFUNCTION("""COMPUTED_VALUE"""),"
")</f>
        <v>
</v>
      </c>
      <c r="Y175" s="17" t="str">
        <f>IFERROR(__xludf.DUMMYFUNCTION("""COMPUTED_VALUE"""),"
")</f>
        <v>
</v>
      </c>
      <c r="Z175" s="17" t="str">
        <f>IFERROR(__xludf.DUMMYFUNCTION("""COMPUTED_VALUE"""),"
")</f>
        <v>
</v>
      </c>
      <c r="AA175" s="17" t="str">
        <f>IFERROR(__xludf.DUMMYFUNCTION("""COMPUTED_VALUE"""),"
")</f>
        <v>
</v>
      </c>
      <c r="AB175" s="17" t="str">
        <f>IFERROR(__xludf.DUMMYFUNCTION("""COMPUTED_VALUE"""),"
")</f>
        <v>
</v>
      </c>
      <c r="AC175" s="17" t="str">
        <f>IFERROR(__xludf.DUMMYFUNCTION("""COMPUTED_VALUE"""),"
")</f>
        <v>
</v>
      </c>
    </row>
    <row r="176">
      <c r="A176" s="17" t="str">
        <f>IFERROR(__xludf.DUMMYFUNCTION("""COMPUTED_VALUE"""),"")</f>
        <v/>
      </c>
      <c r="B176" s="17" t="str">
        <f>IFERROR(__xludf.DUMMYFUNCTION("""COMPUTED_VALUE"""),"")</f>
        <v/>
      </c>
      <c r="C176" s="17" t="str">
        <f>IFERROR(__xludf.DUMMYFUNCTION("""COMPUTED_VALUE"""),"")</f>
        <v/>
      </c>
      <c r="D176" s="17" t="str">
        <f>IFERROR(__xludf.DUMMYFUNCTION("""COMPUTED_VALUE"""),"")</f>
        <v/>
      </c>
      <c r="E176" s="17" t="str">
        <f>IFERROR(__xludf.DUMMYFUNCTION("""COMPUTED_VALUE"""),"")</f>
        <v/>
      </c>
      <c r="F176" s="17" t="str">
        <f>IFERROR(__xludf.DUMMYFUNCTION("""COMPUTED_VALUE"""),"")</f>
        <v/>
      </c>
      <c r="G176" s="17" t="str">
        <f>IFERROR(__xludf.DUMMYFUNCTION("""COMPUTED_VALUE"""),"")</f>
        <v/>
      </c>
      <c r="H176" s="17" t="str">
        <f>IFERROR(__xludf.DUMMYFUNCTION("""COMPUTED_VALUE"""),"")</f>
        <v/>
      </c>
      <c r="I176" s="17" t="str">
        <f>IFERROR(__xludf.DUMMYFUNCTION("""COMPUTED_VALUE"""),"")</f>
        <v/>
      </c>
      <c r="J176" s="17" t="str">
        <f>IFERROR(__xludf.DUMMYFUNCTION("""COMPUTED_VALUE"""),"")</f>
        <v/>
      </c>
      <c r="K176" s="17" t="str">
        <f>IFERROR(__xludf.DUMMYFUNCTION("""COMPUTED_VALUE"""),"")</f>
        <v/>
      </c>
      <c r="L176" s="17" t="str">
        <f>IFERROR(__xludf.DUMMYFUNCTION("""COMPUTED_VALUE"""),"")</f>
        <v/>
      </c>
      <c r="M176" s="17" t="str">
        <f>IFERROR(__xludf.DUMMYFUNCTION("""COMPUTED_VALUE"""),"")</f>
        <v/>
      </c>
      <c r="N176" s="17" t="str">
        <f>IFERROR(__xludf.DUMMYFUNCTION("""COMPUTED_VALUE"""),"")</f>
        <v/>
      </c>
      <c r="O176" s="17" t="str">
        <f>IFERROR(__xludf.DUMMYFUNCTION("""COMPUTED_VALUE"""),"")</f>
        <v/>
      </c>
      <c r="P176" s="17" t="str">
        <f>IFERROR(__xludf.DUMMYFUNCTION("""COMPUTED_VALUE"""),"")</f>
        <v/>
      </c>
      <c r="Q176" s="17" t="str">
        <f>IFERROR(__xludf.DUMMYFUNCTION("""COMPUTED_VALUE"""),"")</f>
        <v/>
      </c>
      <c r="R176" s="17" t="str">
        <f>IFERROR(__xludf.DUMMYFUNCTION("""COMPUTED_VALUE"""),"")</f>
        <v/>
      </c>
      <c r="S176" s="17" t="str">
        <f>IFERROR(__xludf.DUMMYFUNCTION("""COMPUTED_VALUE"""),"")</f>
        <v/>
      </c>
      <c r="T176" s="17" t="str">
        <f>IFERROR(__xludf.DUMMYFUNCTION("""COMPUTED_VALUE"""),"")</f>
        <v/>
      </c>
      <c r="U176" s="17" t="str">
        <f>IFERROR(__xludf.DUMMYFUNCTION("""COMPUTED_VALUE"""),"")</f>
        <v/>
      </c>
      <c r="V176" s="17" t="str">
        <f>IFERROR(__xludf.DUMMYFUNCTION("""COMPUTED_VALUE"""),"")</f>
        <v/>
      </c>
      <c r="W176" s="17" t="str">
        <f>IFERROR(__xludf.DUMMYFUNCTION("""COMPUTED_VALUE"""),"")</f>
        <v/>
      </c>
      <c r="X176" s="17" t="str">
        <f>IFERROR(__xludf.DUMMYFUNCTION("""COMPUTED_VALUE"""),"")</f>
        <v/>
      </c>
      <c r="Y176" s="17" t="str">
        <f>IFERROR(__xludf.DUMMYFUNCTION("""COMPUTED_VALUE"""),"")</f>
        <v/>
      </c>
      <c r="Z176" s="17" t="str">
        <f>IFERROR(__xludf.DUMMYFUNCTION("""COMPUTED_VALUE"""),"")</f>
        <v/>
      </c>
      <c r="AA176" s="17" t="str">
        <f>IFERROR(__xludf.DUMMYFUNCTION("""COMPUTED_VALUE"""),"")</f>
        <v/>
      </c>
      <c r="AB176" s="17" t="str">
        <f>IFERROR(__xludf.DUMMYFUNCTION("""COMPUTED_VALUE"""),"")</f>
        <v/>
      </c>
      <c r="AC176" s="17" t="str">
        <f>IFERROR(__xludf.DUMMYFUNCTION("""COMPUTED_VALUE"""),"")</f>
        <v/>
      </c>
    </row>
    <row r="177">
      <c r="A177" s="17" t="str">
        <f>IFERROR(__xludf.DUMMYFUNCTION("""COMPUTED_VALUE"""),"Chapter 34: 28 Preamble - Addendum Sophia
Elven Enchantment (Lord of the Rings) 500:
You can enchant objects, if you pour energy into them as they are created. Some of your enchantments are useful in battle, such as swords that never dull and bows that al"&amp;"ways strike true, but most are simply to ease the life of the wearer, such as cloaks that weigh nothing and aid in hiding and water-flasks that never leak. You may also perform great workings, such as the creation of hidden doorways, given time
System")</f>
        <v>Chapter 34: 28 Preamble - Addendum Sophia
Elven Enchantment (Lord of the Rings) 500:
You can enchant objects, if you pour energy into them as they are created. Some of your enchantments are useful in battle, such as swords that never dull and bows that always strike true, but most are simply to ease the life of the wearer, such as cloaks that weigh nothing and aid in hiding and water-flasks that never leak. You may also perform great workings, such as the creation of hidden doorways, given time
System</v>
      </c>
      <c r="B177" s="17" t="str">
        <f>IFERROR(__xludf.DUMMYFUNCTION("""COMPUTED_VALUE"""),"
")</f>
        <v>
</v>
      </c>
      <c r="C177" s="17" t="str">
        <f>IFERROR(__xludf.DUMMYFUNCTION("""COMPUTED_VALUE"""),"
")</f>
        <v>
</v>
      </c>
      <c r="D177" s="17" t="str">
        <f>IFERROR(__xludf.DUMMYFUNCTION("""COMPUTED_VALUE"""),"
")</f>
        <v>
</v>
      </c>
      <c r="E177" s="17" t="str">
        <f>IFERROR(__xludf.DUMMYFUNCTION("""COMPUTED_VALUE"""),"
")</f>
        <v>
</v>
      </c>
      <c r="F177" s="17" t="str">
        <f>IFERROR(__xludf.DUMMYFUNCTION("""COMPUTED_VALUE"""),"
")</f>
        <v>
</v>
      </c>
      <c r="G177" s="17" t="str">
        <f>IFERROR(__xludf.DUMMYFUNCTION("""COMPUTED_VALUE"""),"
")</f>
        <v>
</v>
      </c>
      <c r="H177" s="17" t="str">
        <f>IFERROR(__xludf.DUMMYFUNCTION("""COMPUTED_VALUE"""),"
")</f>
        <v>
</v>
      </c>
      <c r="I177" s="17" t="str">
        <f>IFERROR(__xludf.DUMMYFUNCTION("""COMPUTED_VALUE"""),"
")</f>
        <v>
</v>
      </c>
      <c r="J177" s="17" t="str">
        <f>IFERROR(__xludf.DUMMYFUNCTION("""COMPUTED_VALUE"""),"
")</f>
        <v>
</v>
      </c>
      <c r="K177" s="17" t="str">
        <f>IFERROR(__xludf.DUMMYFUNCTION("""COMPUTED_VALUE"""),"
")</f>
        <v>
</v>
      </c>
      <c r="L177" s="17" t="str">
        <f>IFERROR(__xludf.DUMMYFUNCTION("""COMPUTED_VALUE"""),"
")</f>
        <v>
</v>
      </c>
      <c r="M177" s="17" t="str">
        <f>IFERROR(__xludf.DUMMYFUNCTION("""COMPUTED_VALUE"""),"
")</f>
        <v>
</v>
      </c>
      <c r="N177" s="17" t="str">
        <f>IFERROR(__xludf.DUMMYFUNCTION("""COMPUTED_VALUE"""),"
")</f>
        <v>
</v>
      </c>
      <c r="O177" s="17" t="str">
        <f>IFERROR(__xludf.DUMMYFUNCTION("""COMPUTED_VALUE"""),"
")</f>
        <v>
</v>
      </c>
      <c r="P177" s="17" t="str">
        <f>IFERROR(__xludf.DUMMYFUNCTION("""COMPUTED_VALUE"""),"
")</f>
        <v>
</v>
      </c>
      <c r="Q177" s="17" t="str">
        <f>IFERROR(__xludf.DUMMYFUNCTION("""COMPUTED_VALUE"""),"
")</f>
        <v>
</v>
      </c>
      <c r="R177" s="17" t="str">
        <f>IFERROR(__xludf.DUMMYFUNCTION("""COMPUTED_VALUE"""),"
")</f>
        <v>
</v>
      </c>
      <c r="S177" s="17" t="str">
        <f>IFERROR(__xludf.DUMMYFUNCTION("""COMPUTED_VALUE"""),"
")</f>
        <v>
</v>
      </c>
      <c r="T177" s="17" t="str">
        <f>IFERROR(__xludf.DUMMYFUNCTION("""COMPUTED_VALUE"""),"
")</f>
        <v>
</v>
      </c>
      <c r="U177" s="17" t="str">
        <f>IFERROR(__xludf.DUMMYFUNCTION("""COMPUTED_VALUE"""),"
")</f>
        <v>
</v>
      </c>
      <c r="V177" s="17" t="str">
        <f>IFERROR(__xludf.DUMMYFUNCTION("""COMPUTED_VALUE"""),"
")</f>
        <v>
</v>
      </c>
      <c r="W177" s="17" t="str">
        <f>IFERROR(__xludf.DUMMYFUNCTION("""COMPUTED_VALUE"""),"
")</f>
        <v>
</v>
      </c>
      <c r="X177" s="17" t="str">
        <f>IFERROR(__xludf.DUMMYFUNCTION("""COMPUTED_VALUE"""),"
")</f>
        <v>
</v>
      </c>
      <c r="Y177" s="17" t="str">
        <f>IFERROR(__xludf.DUMMYFUNCTION("""COMPUTED_VALUE"""),"
")</f>
        <v>
</v>
      </c>
      <c r="Z177" s="17" t="str">
        <f>IFERROR(__xludf.DUMMYFUNCTION("""COMPUTED_VALUE"""),"
")</f>
        <v>
</v>
      </c>
      <c r="AA177" s="17" t="str">
        <f>IFERROR(__xludf.DUMMYFUNCTION("""COMPUTED_VALUE"""),"
")</f>
        <v>
</v>
      </c>
      <c r="AB177" s="17" t="str">
        <f>IFERROR(__xludf.DUMMYFUNCTION("""COMPUTED_VALUE"""),"
")</f>
        <v>
</v>
      </c>
      <c r="AC177" s="17" t="str">
        <f>IFERROR(__xludf.DUMMYFUNCTION("""COMPUTED_VALUE"""),"
")</f>
        <v>
</v>
      </c>
    </row>
    <row r="178">
      <c r="A178" s="17" t="str">
        <f>IFERROR(__xludf.DUMMYFUNCTION("""COMPUTED_VALUE"""),"")</f>
        <v/>
      </c>
      <c r="B178" s="17" t="str">
        <f>IFERROR(__xludf.DUMMYFUNCTION("""COMPUTED_VALUE"""),"")</f>
        <v/>
      </c>
      <c r="C178" s="17" t="str">
        <f>IFERROR(__xludf.DUMMYFUNCTION("""COMPUTED_VALUE"""),"")</f>
        <v/>
      </c>
      <c r="D178" s="17" t="str">
        <f>IFERROR(__xludf.DUMMYFUNCTION("""COMPUTED_VALUE"""),"")</f>
        <v/>
      </c>
      <c r="E178" s="17" t="str">
        <f>IFERROR(__xludf.DUMMYFUNCTION("""COMPUTED_VALUE"""),"")</f>
        <v/>
      </c>
      <c r="F178" s="17" t="str">
        <f>IFERROR(__xludf.DUMMYFUNCTION("""COMPUTED_VALUE"""),"")</f>
        <v/>
      </c>
      <c r="G178" s="17" t="str">
        <f>IFERROR(__xludf.DUMMYFUNCTION("""COMPUTED_VALUE"""),"")</f>
        <v/>
      </c>
      <c r="H178" s="17" t="str">
        <f>IFERROR(__xludf.DUMMYFUNCTION("""COMPUTED_VALUE"""),"")</f>
        <v/>
      </c>
      <c r="I178" s="17" t="str">
        <f>IFERROR(__xludf.DUMMYFUNCTION("""COMPUTED_VALUE"""),"")</f>
        <v/>
      </c>
      <c r="J178" s="17" t="str">
        <f>IFERROR(__xludf.DUMMYFUNCTION("""COMPUTED_VALUE"""),"")</f>
        <v/>
      </c>
      <c r="K178" s="17" t="str">
        <f>IFERROR(__xludf.DUMMYFUNCTION("""COMPUTED_VALUE"""),"")</f>
        <v/>
      </c>
      <c r="L178" s="17" t="str">
        <f>IFERROR(__xludf.DUMMYFUNCTION("""COMPUTED_VALUE"""),"")</f>
        <v/>
      </c>
      <c r="M178" s="17" t="str">
        <f>IFERROR(__xludf.DUMMYFUNCTION("""COMPUTED_VALUE"""),"")</f>
        <v/>
      </c>
      <c r="N178" s="17" t="str">
        <f>IFERROR(__xludf.DUMMYFUNCTION("""COMPUTED_VALUE"""),"")</f>
        <v/>
      </c>
      <c r="O178" s="17" t="str">
        <f>IFERROR(__xludf.DUMMYFUNCTION("""COMPUTED_VALUE"""),"")</f>
        <v/>
      </c>
      <c r="P178" s="17" t="str">
        <f>IFERROR(__xludf.DUMMYFUNCTION("""COMPUTED_VALUE"""),"")</f>
        <v/>
      </c>
      <c r="Q178" s="17" t="str">
        <f>IFERROR(__xludf.DUMMYFUNCTION("""COMPUTED_VALUE"""),"")</f>
        <v/>
      </c>
      <c r="R178" s="17" t="str">
        <f>IFERROR(__xludf.DUMMYFUNCTION("""COMPUTED_VALUE"""),"")</f>
        <v/>
      </c>
      <c r="S178" s="17" t="str">
        <f>IFERROR(__xludf.DUMMYFUNCTION("""COMPUTED_VALUE"""),"")</f>
        <v/>
      </c>
      <c r="T178" s="17" t="str">
        <f>IFERROR(__xludf.DUMMYFUNCTION("""COMPUTED_VALUE"""),"")</f>
        <v/>
      </c>
      <c r="U178" s="17" t="str">
        <f>IFERROR(__xludf.DUMMYFUNCTION("""COMPUTED_VALUE"""),"")</f>
        <v/>
      </c>
      <c r="V178" s="17" t="str">
        <f>IFERROR(__xludf.DUMMYFUNCTION("""COMPUTED_VALUE"""),"")</f>
        <v/>
      </c>
      <c r="W178" s="17" t="str">
        <f>IFERROR(__xludf.DUMMYFUNCTION("""COMPUTED_VALUE"""),"")</f>
        <v/>
      </c>
      <c r="X178" s="17" t="str">
        <f>IFERROR(__xludf.DUMMYFUNCTION("""COMPUTED_VALUE"""),"")</f>
        <v/>
      </c>
      <c r="Y178" s="17" t="str">
        <f>IFERROR(__xludf.DUMMYFUNCTION("""COMPUTED_VALUE"""),"")</f>
        <v/>
      </c>
      <c r="Z178" s="17" t="str">
        <f>IFERROR(__xludf.DUMMYFUNCTION("""COMPUTED_VALUE"""),"")</f>
        <v/>
      </c>
      <c r="AA178" s="17" t="str">
        <f>IFERROR(__xludf.DUMMYFUNCTION("""COMPUTED_VALUE"""),"")</f>
        <v/>
      </c>
      <c r="AB178" s="17" t="str">
        <f>IFERROR(__xludf.DUMMYFUNCTION("""COMPUTED_VALUE"""),"")</f>
        <v/>
      </c>
      <c r="AC178" s="17" t="str">
        <f>IFERROR(__xludf.DUMMYFUNCTION("""COMPUTED_VALUE"""),"")</f>
        <v/>
      </c>
    </row>
    <row r="179">
      <c r="A179" s="17" t="str">
        <f>IFERROR(__xludf.DUMMYFUNCTION("""COMPUTED_VALUE"""),"")</f>
        <v/>
      </c>
      <c r="B179" s="17" t="str">
        <f>IFERROR(__xludf.DUMMYFUNCTION("""COMPUTED_VALUE"""),"")</f>
        <v/>
      </c>
      <c r="C179" s="17" t="str">
        <f>IFERROR(__xludf.DUMMYFUNCTION("""COMPUTED_VALUE"""),"")</f>
        <v/>
      </c>
      <c r="D179" s="17" t="str">
        <f>IFERROR(__xludf.DUMMYFUNCTION("""COMPUTED_VALUE"""),"")</f>
        <v/>
      </c>
      <c r="E179" s="17" t="str">
        <f>IFERROR(__xludf.DUMMYFUNCTION("""COMPUTED_VALUE"""),"")</f>
        <v/>
      </c>
      <c r="F179" s="17" t="str">
        <f>IFERROR(__xludf.DUMMYFUNCTION("""COMPUTED_VALUE"""),"")</f>
        <v/>
      </c>
      <c r="G179" s="17" t="str">
        <f>IFERROR(__xludf.DUMMYFUNCTION("""COMPUTED_VALUE"""),"")</f>
        <v/>
      </c>
      <c r="H179" s="17" t="str">
        <f>IFERROR(__xludf.DUMMYFUNCTION("""COMPUTED_VALUE"""),"")</f>
        <v/>
      </c>
      <c r="I179" s="17" t="str">
        <f>IFERROR(__xludf.DUMMYFUNCTION("""COMPUTED_VALUE"""),"")</f>
        <v/>
      </c>
      <c r="J179" s="17" t="str">
        <f>IFERROR(__xludf.DUMMYFUNCTION("""COMPUTED_VALUE"""),"")</f>
        <v/>
      </c>
      <c r="K179" s="17" t="str">
        <f>IFERROR(__xludf.DUMMYFUNCTION("""COMPUTED_VALUE"""),"")</f>
        <v/>
      </c>
      <c r="L179" s="17" t="str">
        <f>IFERROR(__xludf.DUMMYFUNCTION("""COMPUTED_VALUE"""),"")</f>
        <v/>
      </c>
      <c r="M179" s="17" t="str">
        <f>IFERROR(__xludf.DUMMYFUNCTION("""COMPUTED_VALUE"""),"")</f>
        <v/>
      </c>
      <c r="N179" s="17" t="str">
        <f>IFERROR(__xludf.DUMMYFUNCTION("""COMPUTED_VALUE"""),"")</f>
        <v/>
      </c>
      <c r="O179" s="17" t="str">
        <f>IFERROR(__xludf.DUMMYFUNCTION("""COMPUTED_VALUE"""),"")</f>
        <v/>
      </c>
      <c r="P179" s="17" t="str">
        <f>IFERROR(__xludf.DUMMYFUNCTION("""COMPUTED_VALUE"""),"")</f>
        <v/>
      </c>
      <c r="Q179" s="17" t="str">
        <f>IFERROR(__xludf.DUMMYFUNCTION("""COMPUTED_VALUE"""),"")</f>
        <v/>
      </c>
      <c r="R179" s="17" t="str">
        <f>IFERROR(__xludf.DUMMYFUNCTION("""COMPUTED_VALUE"""),"")</f>
        <v/>
      </c>
      <c r="S179" s="17" t="str">
        <f>IFERROR(__xludf.DUMMYFUNCTION("""COMPUTED_VALUE"""),"")</f>
        <v/>
      </c>
      <c r="T179" s="17" t="str">
        <f>IFERROR(__xludf.DUMMYFUNCTION("""COMPUTED_VALUE"""),"")</f>
        <v/>
      </c>
      <c r="U179" s="17" t="str">
        <f>IFERROR(__xludf.DUMMYFUNCTION("""COMPUTED_VALUE"""),"")</f>
        <v/>
      </c>
      <c r="V179" s="17" t="str">
        <f>IFERROR(__xludf.DUMMYFUNCTION("""COMPUTED_VALUE"""),"")</f>
        <v/>
      </c>
      <c r="W179" s="17" t="str">
        <f>IFERROR(__xludf.DUMMYFUNCTION("""COMPUTED_VALUE"""),"")</f>
        <v/>
      </c>
      <c r="X179" s="17" t="str">
        <f>IFERROR(__xludf.DUMMYFUNCTION("""COMPUTED_VALUE"""),"")</f>
        <v/>
      </c>
      <c r="Y179" s="17" t="str">
        <f>IFERROR(__xludf.DUMMYFUNCTION("""COMPUTED_VALUE"""),"")</f>
        <v/>
      </c>
      <c r="Z179" s="17" t="str">
        <f>IFERROR(__xludf.DUMMYFUNCTION("""COMPUTED_VALUE"""),"")</f>
        <v/>
      </c>
      <c r="AA179" s="17" t="str">
        <f>IFERROR(__xludf.DUMMYFUNCTION("""COMPUTED_VALUE"""),"")</f>
        <v/>
      </c>
      <c r="AB179" s="17" t="str">
        <f>IFERROR(__xludf.DUMMYFUNCTION("""COMPUTED_VALUE"""),"")</f>
        <v/>
      </c>
      <c r="AC179" s="17" t="str">
        <f>IFERROR(__xludf.DUMMYFUNCTION("""COMPUTED_VALUE"""),"")</f>
        <v/>
      </c>
    </row>
    <row r="180">
      <c r="A180" s="17" t="str">
        <f>IFERROR(__xludf.DUMMYFUNCTION("""COMPUTED_VALUE"""),"Chapter 64: 49 Game Time
Elemental Mastery (Monster Hunter) 400:
Any elemental properties your weapon carries are significantly amplified by up to 50% depending on the quality of the weapon.
Fiat")</f>
        <v>Chapter 64: 49 Game Time
Elemental Mastery (Monster Hunter) 400:
Any elemental properties your weapon carries are significantly amplified by up to 50% depending on the quality of the weapon.
Fiat</v>
      </c>
      <c r="B180" s="17" t="str">
        <f>IFERROR(__xludf.DUMMYFUNCTION("""COMPUTED_VALUE"""),"Chapter 64: 49 Game Time
Balance Bangle (Monster Hunter) Free:
A simple leather wristband depicting a Rathalos and Tathian chasing each other's tails, vaguely reminiscent of a yin-yang. Comfortable, unobtrusive, easy to remove, and can't be lost or stolen"&amp;". While it is worn, all offensive and defensive supernatural skills and abilities you have acquired throughout your journey that have not been purchased from your current adventure are sealed. This does not affect passive or intrinsic skills, such as eide"&amp;"tic memory, intelligence or willpower boosts. Meanwhile, your physical attributes will be reduced and/or equalized to a point at the apex of your chosen species. While it is on, you may speak a programmable code word or phrase to temporarily disable the s"&amp;"ealing effect (default phrase is 'OH SHIT!') and re-apply it at will afterwards. If you seek a challenge or simply wish to live the true Monster Hunter experience, look no further.
Item")</f>
        <v>Chapter 64: 49 Game Time
Balance Bangle (Monster Hunter) Free:
A simple leather wristband depicting a Rathalos and Tathian chasing each other's tails, vaguely reminiscent of a yin-yang. Comfortable, unobtrusive, easy to remove, and can't be lost or stolen. While it is worn, all offensive and defensive supernatural skills and abilities you have acquired throughout your journey that have not been purchased from your current adventure are sealed. This does not affect passive or intrinsic skills, such as eidetic memory, intelligence or willpower boosts. Meanwhile, your physical attributes will be reduced and/or equalized to a point at the apex of your chosen species. While it is on, you may speak a programmable code word or phrase to temporarily disable the sealing effect (default phrase is 'OH SHIT!') and re-apply it at will afterwards. If you seek a challenge or simply wish to live the true Monster Hunter experience, look no further.
Item</v>
      </c>
      <c r="C180" s="17" t="str">
        <f>IFERROR(__xludf.DUMMYFUNCTION("""COMPUTED_VALUE"""),"Chapter 64: 49 Game Time
Starter Weapon: Bone Rod I and Mauldrone I (Monster Hunter) Free:
It would be needlessly cruel to throw you into this dangerous world unprepared. Here, this one is on the house. You may pick any on basic Rarity 1 starter weapon (b"&amp;"one or iron) of any type. Hunters get 1 of each type of basic starter weapon for free. Bone weapons have higher base damage, but relatively poor sharpness, while the inverse is true for iron weapons.
Item")</f>
        <v>Chapter 64: 49 Game Time
Starter Weapon: Bone Rod I and Mauldrone I (Monster Hunter) Free:
It would be needlessly cruel to throw you into this dangerous world unprepared. Here, this one is on the house. You may pick any on basic Rarity 1 starter weapon (bone or iron) of any type. Hunters get 1 of each type of basic starter weapon for free. Bone weapons have higher base damage, but relatively poor sharpness, while the inverse is true for iron weapons.
Item</v>
      </c>
      <c r="D180" s="17" t="str">
        <f>IFERROR(__xludf.DUMMYFUNCTION("""COMPUTED_VALUE"""),"
")</f>
        <v>
</v>
      </c>
      <c r="E180" s="17" t="str">
        <f>IFERROR(__xludf.DUMMYFUNCTION("""COMPUTED_VALUE"""),"
")</f>
        <v>
</v>
      </c>
      <c r="F180" s="17" t="str">
        <f>IFERROR(__xludf.DUMMYFUNCTION("""COMPUTED_VALUE"""),"
")</f>
        <v>
</v>
      </c>
      <c r="G180" s="17" t="str">
        <f>IFERROR(__xludf.DUMMYFUNCTION("""COMPUTED_VALUE"""),"
")</f>
        <v>
</v>
      </c>
      <c r="H180" s="17" t="str">
        <f>IFERROR(__xludf.DUMMYFUNCTION("""COMPUTED_VALUE"""),"
")</f>
        <v>
</v>
      </c>
      <c r="I180" s="17" t="str">
        <f>IFERROR(__xludf.DUMMYFUNCTION("""COMPUTED_VALUE"""),"
")</f>
        <v>
</v>
      </c>
      <c r="J180" s="17" t="str">
        <f>IFERROR(__xludf.DUMMYFUNCTION("""COMPUTED_VALUE"""),"
")</f>
        <v>
</v>
      </c>
      <c r="K180" s="17" t="str">
        <f>IFERROR(__xludf.DUMMYFUNCTION("""COMPUTED_VALUE"""),"
")</f>
        <v>
</v>
      </c>
      <c r="L180" s="17" t="str">
        <f>IFERROR(__xludf.DUMMYFUNCTION("""COMPUTED_VALUE"""),"
")</f>
        <v>
</v>
      </c>
      <c r="M180" s="17" t="str">
        <f>IFERROR(__xludf.DUMMYFUNCTION("""COMPUTED_VALUE"""),"
")</f>
        <v>
</v>
      </c>
      <c r="N180" s="17" t="str">
        <f>IFERROR(__xludf.DUMMYFUNCTION("""COMPUTED_VALUE"""),"
")</f>
        <v>
</v>
      </c>
      <c r="O180" s="17" t="str">
        <f>IFERROR(__xludf.DUMMYFUNCTION("""COMPUTED_VALUE"""),"
")</f>
        <v>
</v>
      </c>
      <c r="P180" s="17" t="str">
        <f>IFERROR(__xludf.DUMMYFUNCTION("""COMPUTED_VALUE"""),"
")</f>
        <v>
</v>
      </c>
      <c r="Q180" s="17" t="str">
        <f>IFERROR(__xludf.DUMMYFUNCTION("""COMPUTED_VALUE"""),"
")</f>
        <v>
</v>
      </c>
      <c r="R180" s="17" t="str">
        <f>IFERROR(__xludf.DUMMYFUNCTION("""COMPUTED_VALUE"""),"
")</f>
        <v>
</v>
      </c>
      <c r="S180" s="17" t="str">
        <f>IFERROR(__xludf.DUMMYFUNCTION("""COMPUTED_VALUE"""),"
")</f>
        <v>
</v>
      </c>
      <c r="T180" s="17" t="str">
        <f>IFERROR(__xludf.DUMMYFUNCTION("""COMPUTED_VALUE"""),"
")</f>
        <v>
</v>
      </c>
      <c r="U180" s="17" t="str">
        <f>IFERROR(__xludf.DUMMYFUNCTION("""COMPUTED_VALUE"""),"
")</f>
        <v>
</v>
      </c>
      <c r="V180" s="17" t="str">
        <f>IFERROR(__xludf.DUMMYFUNCTION("""COMPUTED_VALUE"""),"
")</f>
        <v>
</v>
      </c>
      <c r="W180" s="17" t="str">
        <f>IFERROR(__xludf.DUMMYFUNCTION("""COMPUTED_VALUE"""),"
")</f>
        <v>
</v>
      </c>
      <c r="X180" s="17" t="str">
        <f>IFERROR(__xludf.DUMMYFUNCTION("""COMPUTED_VALUE"""),"
")</f>
        <v>
</v>
      </c>
      <c r="Y180" s="17" t="str">
        <f>IFERROR(__xludf.DUMMYFUNCTION("""COMPUTED_VALUE"""),"
")</f>
        <v>
</v>
      </c>
      <c r="Z180" s="17" t="str">
        <f>IFERROR(__xludf.DUMMYFUNCTION("""COMPUTED_VALUE"""),"
")</f>
        <v>
</v>
      </c>
      <c r="AA180" s="17" t="str">
        <f>IFERROR(__xludf.DUMMYFUNCTION("""COMPUTED_VALUE"""),"
")</f>
        <v>
</v>
      </c>
      <c r="AB180" s="17" t="str">
        <f>IFERROR(__xludf.DUMMYFUNCTION("""COMPUTED_VALUE"""),"
")</f>
        <v>
</v>
      </c>
      <c r="AC180" s="17" t="str">
        <f>IFERROR(__xludf.DUMMYFUNCTION("""COMPUTED_VALUE"""),"
")</f>
        <v>
</v>
      </c>
    </row>
    <row r="181">
      <c r="A181" s="17" t="str">
        <f>IFERROR(__xludf.DUMMYFUNCTION("""COMPUTED_VALUE"""),"Chapter 72: 56 Arrival Time
Infusionist (Monster Hunter) 600:
An art form thought lost to the ages and only tangentially unlocked in the rarest of armors, you have discovered the secret to infusing and uplifting weapondry and armor past the typical point "&amp;"even the best blacksmith are capable of taking it. Any weapon that doesn't have an element can be given one, and any weapon that already has one gets a great boost in power. Any armor that this is used on gets a great defensive boost, both to innate defen"&amp;"sive capabilities and elemental resistances. This skill can apply to any weapon you have learned how to create - that blue lightsaber you made decades ago? Bet you didn't know it had a latent affinity for ice, did you? That high frequencey blade? It now h"&amp;"as enough heat to cauterize as it cuts. This doesn't just apply to melee weapons either - with enough training and focus, you can create bowguns that natively shoot ice or lightning, or gunlances that fire heat beams instead of shells. The possibilities a"&amp;"re only limited by your skill and the quality of what you have to work with.
System")</f>
        <v>Chapter 72: 56 Arrival Time
Infusionist (Monster Hunter) 600:
An art form thought lost to the ages and only tangentially unlocked in the rarest of armors, you have discovered the secret to infusing and uplifting weapondry and armor past the typical point even the best blacksmith are capable of taking it. Any weapon that doesn't have an element can be given one, and any weapon that already has one gets a great boost in power. Any armor that this is used on gets a great defensive boost, both to innate defensive capabilities and elemental resistances. This skill can apply to any weapon you have learned how to create - that blue lightsaber you made decades ago? Bet you didn't know it had a latent affinity for ice, did you? That high frequencey blade? It now has enough heat to cauterize as it cuts. This doesn't just apply to melee weapons either - with enough training and focus, you can create bowguns that natively shoot ice or lightning, or gunlances that fire heat beams instead of shells. The possibilities are only limited by your skill and the quality of what you have to work with.
System</v>
      </c>
      <c r="B181" s="17" t="str">
        <f>IFERROR(__xludf.DUMMYFUNCTION("""COMPUTED_VALUE"""),"Chapter 72: 56 Arrival Time
Felyne Comrade (Monster Hunter) Free:
Shortly after arriving in this world, you come across an old wyverian ladey with a backpack easily 3 times larger than herself full of meowing felynes. She insists you take one with you to "&amp;"help you with your chosen journey, but that is the last one she can just give away, she will have to come back with more next week. You may choose your desired color, gender, skillset and species of felyne that will accompany you on your journey, either a"&amp;"s an assistant in your forge, a bookkeeper in your trade caravan, a fellow hunter, or simply a wandering lynian attempting to find its place in the world. While most felyne's skills are dwarfed by even the most marginally competent human, they make up for"&amp;" their shortcomings with extreme enthusiasm and constant effort to get better. Counts as a companion.
Entity")</f>
        <v>Chapter 72: 56 Arrival Time
Felyne Comrade (Monster Hunter) Free:
Shortly after arriving in this world, you come across an old wyverian ladey with a backpack easily 3 times larger than herself full of meowing felynes. She insists you take one with you to help you with your chosen journey, but that is the last one she can just give away, she will have to come back with more next week. You may choose your desired color, gender, skillset and species of felyne that will accompany you on your journey, either as an assistant in your forge, a bookkeeper in your trade caravan, a fellow hunter, or simply a wandering lynian attempting to find its place in the world. While most felyne's skills are dwarfed by even the most marginally competent human, they make up for their shortcomings with extreme enthusiasm and constant effort to get better. Counts as a companion.
Entity</v>
      </c>
      <c r="C181" s="17" t="str">
        <f>IFERROR(__xludf.DUMMYFUNCTION("""COMPUTED_VALUE"""),"
")</f>
        <v>
</v>
      </c>
      <c r="D181" s="17" t="str">
        <f>IFERROR(__xludf.DUMMYFUNCTION("""COMPUTED_VALUE"""),"
")</f>
        <v>
</v>
      </c>
      <c r="E181" s="17" t="str">
        <f>IFERROR(__xludf.DUMMYFUNCTION("""COMPUTED_VALUE"""),"
")</f>
        <v>
</v>
      </c>
      <c r="F181" s="17" t="str">
        <f>IFERROR(__xludf.DUMMYFUNCTION("""COMPUTED_VALUE"""),"
")</f>
        <v>
</v>
      </c>
      <c r="G181" s="17" t="str">
        <f>IFERROR(__xludf.DUMMYFUNCTION("""COMPUTED_VALUE"""),"
")</f>
        <v>
</v>
      </c>
      <c r="H181" s="17" t="str">
        <f>IFERROR(__xludf.DUMMYFUNCTION("""COMPUTED_VALUE"""),"
")</f>
        <v>
</v>
      </c>
      <c r="I181" s="17" t="str">
        <f>IFERROR(__xludf.DUMMYFUNCTION("""COMPUTED_VALUE"""),"
")</f>
        <v>
</v>
      </c>
      <c r="J181" s="17" t="str">
        <f>IFERROR(__xludf.DUMMYFUNCTION("""COMPUTED_VALUE"""),"
")</f>
        <v>
</v>
      </c>
      <c r="K181" s="17" t="str">
        <f>IFERROR(__xludf.DUMMYFUNCTION("""COMPUTED_VALUE"""),"
")</f>
        <v>
</v>
      </c>
      <c r="L181" s="17" t="str">
        <f>IFERROR(__xludf.DUMMYFUNCTION("""COMPUTED_VALUE"""),"
")</f>
        <v>
</v>
      </c>
      <c r="M181" s="17" t="str">
        <f>IFERROR(__xludf.DUMMYFUNCTION("""COMPUTED_VALUE"""),"
")</f>
        <v>
</v>
      </c>
      <c r="N181" s="17" t="str">
        <f>IFERROR(__xludf.DUMMYFUNCTION("""COMPUTED_VALUE"""),"
")</f>
        <v>
</v>
      </c>
      <c r="O181" s="17" t="str">
        <f>IFERROR(__xludf.DUMMYFUNCTION("""COMPUTED_VALUE"""),"
")</f>
        <v>
</v>
      </c>
      <c r="P181" s="17" t="str">
        <f>IFERROR(__xludf.DUMMYFUNCTION("""COMPUTED_VALUE"""),"
")</f>
        <v>
</v>
      </c>
      <c r="Q181" s="17" t="str">
        <f>IFERROR(__xludf.DUMMYFUNCTION("""COMPUTED_VALUE"""),"
")</f>
        <v>
</v>
      </c>
      <c r="R181" s="17" t="str">
        <f>IFERROR(__xludf.DUMMYFUNCTION("""COMPUTED_VALUE"""),"
")</f>
        <v>
</v>
      </c>
      <c r="S181" s="17" t="str">
        <f>IFERROR(__xludf.DUMMYFUNCTION("""COMPUTED_VALUE"""),"
")</f>
        <v>
</v>
      </c>
      <c r="T181" s="17" t="str">
        <f>IFERROR(__xludf.DUMMYFUNCTION("""COMPUTED_VALUE"""),"
")</f>
        <v>
</v>
      </c>
      <c r="U181" s="17" t="str">
        <f>IFERROR(__xludf.DUMMYFUNCTION("""COMPUTED_VALUE"""),"
")</f>
        <v>
</v>
      </c>
      <c r="V181" s="17" t="str">
        <f>IFERROR(__xludf.DUMMYFUNCTION("""COMPUTED_VALUE"""),"
")</f>
        <v>
</v>
      </c>
      <c r="W181" s="17" t="str">
        <f>IFERROR(__xludf.DUMMYFUNCTION("""COMPUTED_VALUE"""),"
")</f>
        <v>
</v>
      </c>
      <c r="X181" s="17" t="str">
        <f>IFERROR(__xludf.DUMMYFUNCTION("""COMPUTED_VALUE"""),"
")</f>
        <v>
</v>
      </c>
      <c r="Y181" s="17" t="str">
        <f>IFERROR(__xludf.DUMMYFUNCTION("""COMPUTED_VALUE"""),"
")</f>
        <v>
</v>
      </c>
      <c r="Z181" s="17" t="str">
        <f>IFERROR(__xludf.DUMMYFUNCTION("""COMPUTED_VALUE"""),"
")</f>
        <v>
</v>
      </c>
      <c r="AA181" s="17" t="str">
        <f>IFERROR(__xludf.DUMMYFUNCTION("""COMPUTED_VALUE"""),"
")</f>
        <v>
</v>
      </c>
      <c r="AB181" s="17" t="str">
        <f>IFERROR(__xludf.DUMMYFUNCTION("""COMPUTED_VALUE"""),"
")</f>
        <v>
</v>
      </c>
      <c r="AC181" s="17" t="str">
        <f>IFERROR(__xludf.DUMMYFUNCTION("""COMPUTED_VALUE"""),"
")</f>
        <v>
</v>
      </c>
    </row>
    <row r="182">
      <c r="A182" s="17" t="str">
        <f>IFERROR(__xludf.DUMMYFUNCTION("""COMPUTED_VALUE"""),"")</f>
        <v/>
      </c>
      <c r="B182" s="17" t="str">
        <f>IFERROR(__xludf.DUMMYFUNCTION("""COMPUTED_VALUE"""),"")</f>
        <v/>
      </c>
      <c r="C182" s="17" t="str">
        <f>IFERROR(__xludf.DUMMYFUNCTION("""COMPUTED_VALUE"""),"")</f>
        <v/>
      </c>
      <c r="D182" s="17" t="str">
        <f>IFERROR(__xludf.DUMMYFUNCTION("""COMPUTED_VALUE"""),"")</f>
        <v/>
      </c>
      <c r="E182" s="17" t="str">
        <f>IFERROR(__xludf.DUMMYFUNCTION("""COMPUTED_VALUE"""),"")</f>
        <v/>
      </c>
      <c r="F182" s="17" t="str">
        <f>IFERROR(__xludf.DUMMYFUNCTION("""COMPUTED_VALUE"""),"")</f>
        <v/>
      </c>
      <c r="G182" s="17" t="str">
        <f>IFERROR(__xludf.DUMMYFUNCTION("""COMPUTED_VALUE"""),"")</f>
        <v/>
      </c>
      <c r="H182" s="17" t="str">
        <f>IFERROR(__xludf.DUMMYFUNCTION("""COMPUTED_VALUE"""),"")</f>
        <v/>
      </c>
      <c r="I182" s="17" t="str">
        <f>IFERROR(__xludf.DUMMYFUNCTION("""COMPUTED_VALUE"""),"")</f>
        <v/>
      </c>
      <c r="J182" s="17" t="str">
        <f>IFERROR(__xludf.DUMMYFUNCTION("""COMPUTED_VALUE"""),"")</f>
        <v/>
      </c>
      <c r="K182" s="17" t="str">
        <f>IFERROR(__xludf.DUMMYFUNCTION("""COMPUTED_VALUE"""),"")</f>
        <v/>
      </c>
      <c r="L182" s="17" t="str">
        <f>IFERROR(__xludf.DUMMYFUNCTION("""COMPUTED_VALUE"""),"")</f>
        <v/>
      </c>
      <c r="M182" s="17" t="str">
        <f>IFERROR(__xludf.DUMMYFUNCTION("""COMPUTED_VALUE"""),"")</f>
        <v/>
      </c>
      <c r="N182" s="17" t="str">
        <f>IFERROR(__xludf.DUMMYFUNCTION("""COMPUTED_VALUE"""),"")</f>
        <v/>
      </c>
      <c r="O182" s="17" t="str">
        <f>IFERROR(__xludf.DUMMYFUNCTION("""COMPUTED_VALUE"""),"")</f>
        <v/>
      </c>
      <c r="P182" s="17" t="str">
        <f>IFERROR(__xludf.DUMMYFUNCTION("""COMPUTED_VALUE"""),"")</f>
        <v/>
      </c>
      <c r="Q182" s="17" t="str">
        <f>IFERROR(__xludf.DUMMYFUNCTION("""COMPUTED_VALUE"""),"")</f>
        <v/>
      </c>
      <c r="R182" s="17" t="str">
        <f>IFERROR(__xludf.DUMMYFUNCTION("""COMPUTED_VALUE"""),"")</f>
        <v/>
      </c>
      <c r="S182" s="17" t="str">
        <f>IFERROR(__xludf.DUMMYFUNCTION("""COMPUTED_VALUE"""),"")</f>
        <v/>
      </c>
      <c r="T182" s="17" t="str">
        <f>IFERROR(__xludf.DUMMYFUNCTION("""COMPUTED_VALUE"""),"")</f>
        <v/>
      </c>
      <c r="U182" s="17" t="str">
        <f>IFERROR(__xludf.DUMMYFUNCTION("""COMPUTED_VALUE"""),"")</f>
        <v/>
      </c>
      <c r="V182" s="17" t="str">
        <f>IFERROR(__xludf.DUMMYFUNCTION("""COMPUTED_VALUE"""),"")</f>
        <v/>
      </c>
      <c r="W182" s="17" t="str">
        <f>IFERROR(__xludf.DUMMYFUNCTION("""COMPUTED_VALUE"""),"")</f>
        <v/>
      </c>
      <c r="X182" s="17" t="str">
        <f>IFERROR(__xludf.DUMMYFUNCTION("""COMPUTED_VALUE"""),"")</f>
        <v/>
      </c>
      <c r="Y182" s="17" t="str">
        <f>IFERROR(__xludf.DUMMYFUNCTION("""COMPUTED_VALUE"""),"")</f>
        <v/>
      </c>
      <c r="Z182" s="17" t="str">
        <f>IFERROR(__xludf.DUMMYFUNCTION("""COMPUTED_VALUE"""),"")</f>
        <v/>
      </c>
      <c r="AA182" s="17" t="str">
        <f>IFERROR(__xludf.DUMMYFUNCTION("""COMPUTED_VALUE"""),"")</f>
        <v/>
      </c>
      <c r="AB182" s="17" t="str">
        <f>IFERROR(__xludf.DUMMYFUNCTION("""COMPUTED_VALUE"""),"")</f>
        <v/>
      </c>
      <c r="AC182" s="17" t="str">
        <f>IFERROR(__xludf.DUMMYFUNCTION("""COMPUTED_VALUE"""),"")</f>
        <v/>
      </c>
    </row>
    <row r="183">
      <c r="A183" s="17" t="str">
        <f>IFERROR(__xludf.DUMMYFUNCTION("""COMPUTED_VALUE"""),"")</f>
        <v/>
      </c>
      <c r="B183" s="17" t="str">
        <f>IFERROR(__xludf.DUMMYFUNCTION("""COMPUTED_VALUE"""),"")</f>
        <v/>
      </c>
      <c r="C183" s="17" t="str">
        <f>IFERROR(__xludf.DUMMYFUNCTION("""COMPUTED_VALUE"""),"")</f>
        <v/>
      </c>
      <c r="D183" s="17" t="str">
        <f>IFERROR(__xludf.DUMMYFUNCTION("""COMPUTED_VALUE"""),"")</f>
        <v/>
      </c>
      <c r="E183" s="17" t="str">
        <f>IFERROR(__xludf.DUMMYFUNCTION("""COMPUTED_VALUE"""),"")</f>
        <v/>
      </c>
      <c r="F183" s="17" t="str">
        <f>IFERROR(__xludf.DUMMYFUNCTION("""COMPUTED_VALUE"""),"")</f>
        <v/>
      </c>
      <c r="G183" s="17" t="str">
        <f>IFERROR(__xludf.DUMMYFUNCTION("""COMPUTED_VALUE"""),"")</f>
        <v/>
      </c>
      <c r="H183" s="17" t="str">
        <f>IFERROR(__xludf.DUMMYFUNCTION("""COMPUTED_VALUE"""),"")</f>
        <v/>
      </c>
      <c r="I183" s="17" t="str">
        <f>IFERROR(__xludf.DUMMYFUNCTION("""COMPUTED_VALUE"""),"")</f>
        <v/>
      </c>
      <c r="J183" s="17" t="str">
        <f>IFERROR(__xludf.DUMMYFUNCTION("""COMPUTED_VALUE"""),"")</f>
        <v/>
      </c>
      <c r="K183" s="17" t="str">
        <f>IFERROR(__xludf.DUMMYFUNCTION("""COMPUTED_VALUE"""),"")</f>
        <v/>
      </c>
      <c r="L183" s="17" t="str">
        <f>IFERROR(__xludf.DUMMYFUNCTION("""COMPUTED_VALUE"""),"")</f>
        <v/>
      </c>
      <c r="M183" s="17" t="str">
        <f>IFERROR(__xludf.DUMMYFUNCTION("""COMPUTED_VALUE"""),"")</f>
        <v/>
      </c>
      <c r="N183" s="17" t="str">
        <f>IFERROR(__xludf.DUMMYFUNCTION("""COMPUTED_VALUE"""),"")</f>
        <v/>
      </c>
      <c r="O183" s="17" t="str">
        <f>IFERROR(__xludf.DUMMYFUNCTION("""COMPUTED_VALUE"""),"")</f>
        <v/>
      </c>
      <c r="P183" s="17" t="str">
        <f>IFERROR(__xludf.DUMMYFUNCTION("""COMPUTED_VALUE"""),"")</f>
        <v/>
      </c>
      <c r="Q183" s="17" t="str">
        <f>IFERROR(__xludf.DUMMYFUNCTION("""COMPUTED_VALUE"""),"")</f>
        <v/>
      </c>
      <c r="R183" s="17" t="str">
        <f>IFERROR(__xludf.DUMMYFUNCTION("""COMPUTED_VALUE"""),"")</f>
        <v/>
      </c>
      <c r="S183" s="17" t="str">
        <f>IFERROR(__xludf.DUMMYFUNCTION("""COMPUTED_VALUE"""),"")</f>
        <v/>
      </c>
      <c r="T183" s="17" t="str">
        <f>IFERROR(__xludf.DUMMYFUNCTION("""COMPUTED_VALUE"""),"")</f>
        <v/>
      </c>
      <c r="U183" s="17" t="str">
        <f>IFERROR(__xludf.DUMMYFUNCTION("""COMPUTED_VALUE"""),"")</f>
        <v/>
      </c>
      <c r="V183" s="17" t="str">
        <f>IFERROR(__xludf.DUMMYFUNCTION("""COMPUTED_VALUE"""),"")</f>
        <v/>
      </c>
      <c r="W183" s="17" t="str">
        <f>IFERROR(__xludf.DUMMYFUNCTION("""COMPUTED_VALUE"""),"")</f>
        <v/>
      </c>
      <c r="X183" s="17" t="str">
        <f>IFERROR(__xludf.DUMMYFUNCTION("""COMPUTED_VALUE"""),"")</f>
        <v/>
      </c>
      <c r="Y183" s="17" t="str">
        <f>IFERROR(__xludf.DUMMYFUNCTION("""COMPUTED_VALUE"""),"")</f>
        <v/>
      </c>
      <c r="Z183" s="17" t="str">
        <f>IFERROR(__xludf.DUMMYFUNCTION("""COMPUTED_VALUE"""),"")</f>
        <v/>
      </c>
      <c r="AA183" s="17" t="str">
        <f>IFERROR(__xludf.DUMMYFUNCTION("""COMPUTED_VALUE"""),"")</f>
        <v/>
      </c>
      <c r="AB183" s="17" t="str">
        <f>IFERROR(__xludf.DUMMYFUNCTION("""COMPUTED_VALUE"""),"")</f>
        <v/>
      </c>
      <c r="AC183" s="17" t="str">
        <f>IFERROR(__xludf.DUMMYFUNCTION("""COMPUTED_VALUE"""),"")</f>
        <v/>
      </c>
    </row>
    <row r="184">
      <c r="A184" s="17" t="str">
        <f>IFERROR(__xludf.DUMMYFUNCTION("""COMPUTED_VALUE"""),"")</f>
        <v/>
      </c>
      <c r="B184" s="17" t="str">
        <f>IFERROR(__xludf.DUMMYFUNCTION("""COMPUTED_VALUE"""),"")</f>
        <v/>
      </c>
      <c r="C184" s="17" t="str">
        <f>IFERROR(__xludf.DUMMYFUNCTION("""COMPUTED_VALUE"""),"")</f>
        <v/>
      </c>
      <c r="D184" s="17" t="str">
        <f>IFERROR(__xludf.DUMMYFUNCTION("""COMPUTED_VALUE"""),"")</f>
        <v/>
      </c>
      <c r="E184" s="17" t="str">
        <f>IFERROR(__xludf.DUMMYFUNCTION("""COMPUTED_VALUE"""),"")</f>
        <v/>
      </c>
      <c r="F184" s="17" t="str">
        <f>IFERROR(__xludf.DUMMYFUNCTION("""COMPUTED_VALUE"""),"")</f>
        <v/>
      </c>
      <c r="G184" s="17" t="str">
        <f>IFERROR(__xludf.DUMMYFUNCTION("""COMPUTED_VALUE"""),"")</f>
        <v/>
      </c>
      <c r="H184" s="17" t="str">
        <f>IFERROR(__xludf.DUMMYFUNCTION("""COMPUTED_VALUE"""),"")</f>
        <v/>
      </c>
      <c r="I184" s="17" t="str">
        <f>IFERROR(__xludf.DUMMYFUNCTION("""COMPUTED_VALUE"""),"")</f>
        <v/>
      </c>
      <c r="J184" s="17" t="str">
        <f>IFERROR(__xludf.DUMMYFUNCTION("""COMPUTED_VALUE"""),"")</f>
        <v/>
      </c>
      <c r="K184" s="17" t="str">
        <f>IFERROR(__xludf.DUMMYFUNCTION("""COMPUTED_VALUE"""),"")</f>
        <v/>
      </c>
      <c r="L184" s="17" t="str">
        <f>IFERROR(__xludf.DUMMYFUNCTION("""COMPUTED_VALUE"""),"")</f>
        <v/>
      </c>
      <c r="M184" s="17" t="str">
        <f>IFERROR(__xludf.DUMMYFUNCTION("""COMPUTED_VALUE"""),"")</f>
        <v/>
      </c>
      <c r="N184" s="17" t="str">
        <f>IFERROR(__xludf.DUMMYFUNCTION("""COMPUTED_VALUE"""),"")</f>
        <v/>
      </c>
      <c r="O184" s="17" t="str">
        <f>IFERROR(__xludf.DUMMYFUNCTION("""COMPUTED_VALUE"""),"")</f>
        <v/>
      </c>
      <c r="P184" s="17" t="str">
        <f>IFERROR(__xludf.DUMMYFUNCTION("""COMPUTED_VALUE"""),"")</f>
        <v/>
      </c>
      <c r="Q184" s="17" t="str">
        <f>IFERROR(__xludf.DUMMYFUNCTION("""COMPUTED_VALUE"""),"")</f>
        <v/>
      </c>
      <c r="R184" s="17" t="str">
        <f>IFERROR(__xludf.DUMMYFUNCTION("""COMPUTED_VALUE"""),"")</f>
        <v/>
      </c>
      <c r="S184" s="17" t="str">
        <f>IFERROR(__xludf.DUMMYFUNCTION("""COMPUTED_VALUE"""),"")</f>
        <v/>
      </c>
      <c r="T184" s="17" t="str">
        <f>IFERROR(__xludf.DUMMYFUNCTION("""COMPUTED_VALUE"""),"")</f>
        <v/>
      </c>
      <c r="U184" s="17" t="str">
        <f>IFERROR(__xludf.DUMMYFUNCTION("""COMPUTED_VALUE"""),"")</f>
        <v/>
      </c>
      <c r="V184" s="17" t="str">
        <f>IFERROR(__xludf.DUMMYFUNCTION("""COMPUTED_VALUE"""),"")</f>
        <v/>
      </c>
      <c r="W184" s="17" t="str">
        <f>IFERROR(__xludf.DUMMYFUNCTION("""COMPUTED_VALUE"""),"")</f>
        <v/>
      </c>
      <c r="X184" s="17" t="str">
        <f>IFERROR(__xludf.DUMMYFUNCTION("""COMPUTED_VALUE"""),"")</f>
        <v/>
      </c>
      <c r="Y184" s="17" t="str">
        <f>IFERROR(__xludf.DUMMYFUNCTION("""COMPUTED_VALUE"""),"")</f>
        <v/>
      </c>
      <c r="Z184" s="17" t="str">
        <f>IFERROR(__xludf.DUMMYFUNCTION("""COMPUTED_VALUE"""),"")</f>
        <v/>
      </c>
      <c r="AA184" s="17" t="str">
        <f>IFERROR(__xludf.DUMMYFUNCTION("""COMPUTED_VALUE"""),"")</f>
        <v/>
      </c>
      <c r="AB184" s="17" t="str">
        <f>IFERROR(__xludf.DUMMYFUNCTION("""COMPUTED_VALUE"""),"")</f>
        <v/>
      </c>
      <c r="AC184" s="17" t="str">
        <f>IFERROR(__xludf.DUMMYFUNCTION("""COMPUTED_VALUE"""),"")</f>
        <v/>
      </c>
    </row>
    <row r="185">
      <c r="A185" s="17" t="str">
        <f>IFERROR(__xludf.DUMMYFUNCTION("""COMPUTED_VALUE"""),"Chapter 07: 6 Commission
Magic: Enchanting (Samurai Jack) 200:
You can grant magical properties to weapons by marking them with ancient runes. Right now you only know how to give weapons elemental properties but you can learn more enchantments by studying"&amp;" other enchanted and magical weapons.
System")</f>
        <v>Chapter 07: 6 Commission
Magic: Enchanting (Samurai Jack) 200:
You can grant magical properties to weapons by marking them with ancient runes. Right now you only know how to give weapons elemental properties but you can learn more enchantments by studying other enchanted and magical weapons.
System</v>
      </c>
      <c r="B185" s="17" t="str">
        <f>IFERROR(__xludf.DUMMYFUNCTION("""COMPUTED_VALUE"""),"
")</f>
        <v>
</v>
      </c>
      <c r="C185" s="17" t="str">
        <f>IFERROR(__xludf.DUMMYFUNCTION("""COMPUTED_VALUE"""),"
")</f>
        <v>
</v>
      </c>
      <c r="D185" s="17" t="str">
        <f>IFERROR(__xludf.DUMMYFUNCTION("""COMPUTED_VALUE"""),"
")</f>
        <v>
</v>
      </c>
      <c r="E185" s="17" t="str">
        <f>IFERROR(__xludf.DUMMYFUNCTION("""COMPUTED_VALUE"""),"
")</f>
        <v>
</v>
      </c>
      <c r="F185" s="17" t="str">
        <f>IFERROR(__xludf.DUMMYFUNCTION("""COMPUTED_VALUE"""),"
")</f>
        <v>
</v>
      </c>
      <c r="G185" s="17" t="str">
        <f>IFERROR(__xludf.DUMMYFUNCTION("""COMPUTED_VALUE"""),"
")</f>
        <v>
</v>
      </c>
      <c r="H185" s="17" t="str">
        <f>IFERROR(__xludf.DUMMYFUNCTION("""COMPUTED_VALUE"""),"
")</f>
        <v>
</v>
      </c>
      <c r="I185" s="17" t="str">
        <f>IFERROR(__xludf.DUMMYFUNCTION("""COMPUTED_VALUE"""),"
")</f>
        <v>
</v>
      </c>
      <c r="J185" s="17" t="str">
        <f>IFERROR(__xludf.DUMMYFUNCTION("""COMPUTED_VALUE"""),"
")</f>
        <v>
</v>
      </c>
      <c r="K185" s="17" t="str">
        <f>IFERROR(__xludf.DUMMYFUNCTION("""COMPUTED_VALUE"""),"
")</f>
        <v>
</v>
      </c>
      <c r="L185" s="17" t="str">
        <f>IFERROR(__xludf.DUMMYFUNCTION("""COMPUTED_VALUE"""),"
")</f>
        <v>
</v>
      </c>
      <c r="M185" s="17" t="str">
        <f>IFERROR(__xludf.DUMMYFUNCTION("""COMPUTED_VALUE"""),"
")</f>
        <v>
</v>
      </c>
      <c r="N185" s="17" t="str">
        <f>IFERROR(__xludf.DUMMYFUNCTION("""COMPUTED_VALUE"""),"
")</f>
        <v>
</v>
      </c>
      <c r="O185" s="17" t="str">
        <f>IFERROR(__xludf.DUMMYFUNCTION("""COMPUTED_VALUE"""),"
")</f>
        <v>
</v>
      </c>
      <c r="P185" s="17" t="str">
        <f>IFERROR(__xludf.DUMMYFUNCTION("""COMPUTED_VALUE"""),"
")</f>
        <v>
</v>
      </c>
      <c r="Q185" s="17" t="str">
        <f>IFERROR(__xludf.DUMMYFUNCTION("""COMPUTED_VALUE"""),"
")</f>
        <v>
</v>
      </c>
      <c r="R185" s="17" t="str">
        <f>IFERROR(__xludf.DUMMYFUNCTION("""COMPUTED_VALUE"""),"
")</f>
        <v>
</v>
      </c>
      <c r="S185" s="17" t="str">
        <f>IFERROR(__xludf.DUMMYFUNCTION("""COMPUTED_VALUE"""),"
")</f>
        <v>
</v>
      </c>
      <c r="T185" s="17" t="str">
        <f>IFERROR(__xludf.DUMMYFUNCTION("""COMPUTED_VALUE"""),"
")</f>
        <v>
</v>
      </c>
      <c r="U185" s="17" t="str">
        <f>IFERROR(__xludf.DUMMYFUNCTION("""COMPUTED_VALUE"""),"
")</f>
        <v>
</v>
      </c>
      <c r="V185" s="17" t="str">
        <f>IFERROR(__xludf.DUMMYFUNCTION("""COMPUTED_VALUE"""),"
")</f>
        <v>
</v>
      </c>
      <c r="W185" s="17" t="str">
        <f>IFERROR(__xludf.DUMMYFUNCTION("""COMPUTED_VALUE"""),"
")</f>
        <v>
</v>
      </c>
      <c r="X185" s="17" t="str">
        <f>IFERROR(__xludf.DUMMYFUNCTION("""COMPUTED_VALUE"""),"
")</f>
        <v>
</v>
      </c>
      <c r="Y185" s="17" t="str">
        <f>IFERROR(__xludf.DUMMYFUNCTION("""COMPUTED_VALUE"""),"
")</f>
        <v>
</v>
      </c>
      <c r="Z185" s="17" t="str">
        <f>IFERROR(__xludf.DUMMYFUNCTION("""COMPUTED_VALUE"""),"
")</f>
        <v>
</v>
      </c>
      <c r="AA185" s="17" t="str">
        <f>IFERROR(__xludf.DUMMYFUNCTION("""COMPUTED_VALUE"""),"
")</f>
        <v>
</v>
      </c>
      <c r="AB185" s="17" t="str">
        <f>IFERROR(__xludf.DUMMYFUNCTION("""COMPUTED_VALUE"""),"
")</f>
        <v>
</v>
      </c>
      <c r="AC185" s="17" t="str">
        <f>IFERROR(__xludf.DUMMYFUNCTION("""COMPUTED_VALUE"""),"
")</f>
        <v>
</v>
      </c>
    </row>
    <row r="186">
      <c r="A186" s="17" t="str">
        <f>IFERROR(__xludf.DUMMYFUNCTION("""COMPUTED_VALUE"""),"Chapter 45: 38 Build Up - Preamble Leet - Addendum Rey
Heretical Adaptation (Senki Zesshou Symphogear) 200:
Symphogears are, in essence, a Relic adapted into a combat system for it's ability to generate massive amounts of energy that can be formatted into"&amp;" a certain kind of matter through a generic mass-energy converter. However, they also have the ability to 'evolve' overtime, gaining additional armor and improvements to features such as onboard thrusters. With a bit of study, it might be possible to appl"&amp;"y this adaptive behavior to other materials, encouraging them to improve themselves over time.
System")</f>
        <v>Chapter 45: 38 Build Up - Preamble Leet - Addendum Rey
Heretical Adaptation (Senki Zesshou Symphogear) 200:
Symphogears are, in essence, a Relic adapted into a combat system for it's ability to generate massive amounts of energy that can be formatted into a certain kind of matter through a generic mass-energy converter. However, they also have the ability to 'evolve' overtime, gaining additional armor and improvements to features such as onboard thrusters. With a bit of study, it might be possible to apply this adaptive behavior to other materials, encouraging them to improve themselves over time.
System</v>
      </c>
      <c r="B186" s="17" t="str">
        <f>IFERROR(__xludf.DUMMYFUNCTION("""COMPUTED_VALUE"""),"Chapter 45: 38 Build Up - Preamble Leet - Addendum Rey
Calling Card (Senki Zesshou Symphogear) Free:
You spent a lot of time coming up with your combat techniques. It's only fair to name them! When you make an attack that's above par, time almost seems to"&amp;" freeze for a second, and all those onlooking instinctively recognize the name and intended theme of the technique. This effect can be toggled.
Ability")</f>
        <v>Chapter 45: 38 Build Up - Preamble Leet - Addendum Rey
Calling Card (Senki Zesshou Symphogear) Free:
You spent a lot of time coming up with your combat techniques. It's only fair to name them! When you make an attack that's above par, time almost seems to freeze for a second, and all those onlooking instinctively recognize the name and intended theme of the technique. This effect can be toggled.
Ability</v>
      </c>
      <c r="C186" s="17" t="str">
        <f>IFERROR(__xludf.DUMMYFUNCTION("""COMPUTED_VALUE"""),"
")</f>
        <v>
</v>
      </c>
      <c r="D186" s="17" t="str">
        <f>IFERROR(__xludf.DUMMYFUNCTION("""COMPUTED_VALUE"""),"
")</f>
        <v>
</v>
      </c>
      <c r="E186" s="17" t="str">
        <f>IFERROR(__xludf.DUMMYFUNCTION("""COMPUTED_VALUE"""),"
")</f>
        <v>
</v>
      </c>
      <c r="F186" s="17" t="str">
        <f>IFERROR(__xludf.DUMMYFUNCTION("""COMPUTED_VALUE"""),"
")</f>
        <v>
</v>
      </c>
      <c r="G186" s="17" t="str">
        <f>IFERROR(__xludf.DUMMYFUNCTION("""COMPUTED_VALUE"""),"
")</f>
        <v>
</v>
      </c>
      <c r="H186" s="17" t="str">
        <f>IFERROR(__xludf.DUMMYFUNCTION("""COMPUTED_VALUE"""),"
")</f>
        <v>
</v>
      </c>
      <c r="I186" s="17" t="str">
        <f>IFERROR(__xludf.DUMMYFUNCTION("""COMPUTED_VALUE"""),"
")</f>
        <v>
</v>
      </c>
      <c r="J186" s="17" t="str">
        <f>IFERROR(__xludf.DUMMYFUNCTION("""COMPUTED_VALUE"""),"
")</f>
        <v>
</v>
      </c>
      <c r="K186" s="17" t="str">
        <f>IFERROR(__xludf.DUMMYFUNCTION("""COMPUTED_VALUE"""),"
")</f>
        <v>
</v>
      </c>
      <c r="L186" s="17" t="str">
        <f>IFERROR(__xludf.DUMMYFUNCTION("""COMPUTED_VALUE"""),"
")</f>
        <v>
</v>
      </c>
      <c r="M186" s="17" t="str">
        <f>IFERROR(__xludf.DUMMYFUNCTION("""COMPUTED_VALUE"""),"
")</f>
        <v>
</v>
      </c>
      <c r="N186" s="17" t="str">
        <f>IFERROR(__xludf.DUMMYFUNCTION("""COMPUTED_VALUE"""),"
")</f>
        <v>
</v>
      </c>
      <c r="O186" s="17" t="str">
        <f>IFERROR(__xludf.DUMMYFUNCTION("""COMPUTED_VALUE"""),"
")</f>
        <v>
</v>
      </c>
      <c r="P186" s="17" t="str">
        <f>IFERROR(__xludf.DUMMYFUNCTION("""COMPUTED_VALUE"""),"
")</f>
        <v>
</v>
      </c>
      <c r="Q186" s="17" t="str">
        <f>IFERROR(__xludf.DUMMYFUNCTION("""COMPUTED_VALUE"""),"
")</f>
        <v>
</v>
      </c>
      <c r="R186" s="17" t="str">
        <f>IFERROR(__xludf.DUMMYFUNCTION("""COMPUTED_VALUE"""),"
")</f>
        <v>
</v>
      </c>
      <c r="S186" s="17" t="str">
        <f>IFERROR(__xludf.DUMMYFUNCTION("""COMPUTED_VALUE"""),"
")</f>
        <v>
</v>
      </c>
      <c r="T186" s="17" t="str">
        <f>IFERROR(__xludf.DUMMYFUNCTION("""COMPUTED_VALUE"""),"
")</f>
        <v>
</v>
      </c>
      <c r="U186" s="17" t="str">
        <f>IFERROR(__xludf.DUMMYFUNCTION("""COMPUTED_VALUE"""),"
")</f>
        <v>
</v>
      </c>
      <c r="V186" s="17" t="str">
        <f>IFERROR(__xludf.DUMMYFUNCTION("""COMPUTED_VALUE"""),"
")</f>
        <v>
</v>
      </c>
      <c r="W186" s="17" t="str">
        <f>IFERROR(__xludf.DUMMYFUNCTION("""COMPUTED_VALUE"""),"
")</f>
        <v>
</v>
      </c>
      <c r="X186" s="17" t="str">
        <f>IFERROR(__xludf.DUMMYFUNCTION("""COMPUTED_VALUE"""),"
")</f>
        <v>
</v>
      </c>
      <c r="Y186" s="17" t="str">
        <f>IFERROR(__xludf.DUMMYFUNCTION("""COMPUTED_VALUE"""),"
")</f>
        <v>
</v>
      </c>
      <c r="Z186" s="17" t="str">
        <f>IFERROR(__xludf.DUMMYFUNCTION("""COMPUTED_VALUE"""),"
")</f>
        <v>
</v>
      </c>
      <c r="AA186" s="17" t="str">
        <f>IFERROR(__xludf.DUMMYFUNCTION("""COMPUTED_VALUE"""),"
")</f>
        <v>
</v>
      </c>
      <c r="AB186" s="17" t="str">
        <f>IFERROR(__xludf.DUMMYFUNCTION("""COMPUTED_VALUE"""),"
")</f>
        <v>
</v>
      </c>
      <c r="AC186" s="17" t="str">
        <f>IFERROR(__xludf.DUMMYFUNCTION("""COMPUTED_VALUE"""),"
")</f>
        <v>
</v>
      </c>
    </row>
    <row r="187">
      <c r="A187" s="17" t="str">
        <f>IFERROR(__xludf.DUMMYFUNCTION("""COMPUTED_VALUE"""),"Chapter 80: 61 Summit Confrontations
Atlantean Power Crystals (Shivers) 400:
Originally discovered by noted psychic Edward Layce, these shining golden gems draw power from the limitless energy from the Sun. When properly harnessed, these crystals can pr"&amp;"ovide enough energy to power an entire city, and if more could be produced, perhaps even a civilization. But be wary, for Atlantis itself once relied on these crystals, and their misuse directly led to that ancient city sinking beneath the waves.
Item")</f>
        <v>Chapter 80: 61 Summit Confrontations
Atlantean Power Crystals (Shivers) 400:
Originally discovered by noted psychic Edward Layce, these shining golden gems draw power from the limitless energy from the Sun. When properly harnessed, these crystals can provide enough energy to power an entire city, and if more could be produced, perhaps even a civilization. But be wary, for Atlantis itself once relied on these crystals, and their misuse directly led to that ancient city sinking beneath the waves.
Item</v>
      </c>
      <c r="B187" s="17" t="str">
        <f>IFERROR(__xludf.DUMMYFUNCTION("""COMPUTED_VALUE"""),"
")</f>
        <v>
</v>
      </c>
      <c r="C187" s="17" t="str">
        <f>IFERROR(__xludf.DUMMYFUNCTION("""COMPUTED_VALUE"""),"
")</f>
        <v>
</v>
      </c>
      <c r="D187" s="17" t="str">
        <f>IFERROR(__xludf.DUMMYFUNCTION("""COMPUTED_VALUE"""),"
")</f>
        <v>
</v>
      </c>
      <c r="E187" s="17" t="str">
        <f>IFERROR(__xludf.DUMMYFUNCTION("""COMPUTED_VALUE"""),"
")</f>
        <v>
</v>
      </c>
      <c r="F187" s="17" t="str">
        <f>IFERROR(__xludf.DUMMYFUNCTION("""COMPUTED_VALUE"""),"
")</f>
        <v>
</v>
      </c>
      <c r="G187" s="17" t="str">
        <f>IFERROR(__xludf.DUMMYFUNCTION("""COMPUTED_VALUE"""),"
")</f>
        <v>
</v>
      </c>
      <c r="H187" s="17" t="str">
        <f>IFERROR(__xludf.DUMMYFUNCTION("""COMPUTED_VALUE"""),"
")</f>
        <v>
</v>
      </c>
      <c r="I187" s="17" t="str">
        <f>IFERROR(__xludf.DUMMYFUNCTION("""COMPUTED_VALUE"""),"
")</f>
        <v>
</v>
      </c>
      <c r="J187" s="17" t="str">
        <f>IFERROR(__xludf.DUMMYFUNCTION("""COMPUTED_VALUE"""),"
")</f>
        <v>
</v>
      </c>
      <c r="K187" s="17" t="str">
        <f>IFERROR(__xludf.DUMMYFUNCTION("""COMPUTED_VALUE"""),"
")</f>
        <v>
</v>
      </c>
      <c r="L187" s="17" t="str">
        <f>IFERROR(__xludf.DUMMYFUNCTION("""COMPUTED_VALUE"""),"
")</f>
        <v>
</v>
      </c>
      <c r="M187" s="17" t="str">
        <f>IFERROR(__xludf.DUMMYFUNCTION("""COMPUTED_VALUE"""),"
")</f>
        <v>
</v>
      </c>
      <c r="N187" s="17" t="str">
        <f>IFERROR(__xludf.DUMMYFUNCTION("""COMPUTED_VALUE"""),"
")</f>
        <v>
</v>
      </c>
      <c r="O187" s="17" t="str">
        <f>IFERROR(__xludf.DUMMYFUNCTION("""COMPUTED_VALUE"""),"
")</f>
        <v>
</v>
      </c>
      <c r="P187" s="17" t="str">
        <f>IFERROR(__xludf.DUMMYFUNCTION("""COMPUTED_VALUE"""),"
")</f>
        <v>
</v>
      </c>
      <c r="Q187" s="17" t="str">
        <f>IFERROR(__xludf.DUMMYFUNCTION("""COMPUTED_VALUE"""),"
")</f>
        <v>
</v>
      </c>
      <c r="R187" s="17" t="str">
        <f>IFERROR(__xludf.DUMMYFUNCTION("""COMPUTED_VALUE"""),"
")</f>
        <v>
</v>
      </c>
      <c r="S187" s="17" t="str">
        <f>IFERROR(__xludf.DUMMYFUNCTION("""COMPUTED_VALUE"""),"
")</f>
        <v>
</v>
      </c>
      <c r="T187" s="17" t="str">
        <f>IFERROR(__xludf.DUMMYFUNCTION("""COMPUTED_VALUE"""),"
")</f>
        <v>
</v>
      </c>
      <c r="U187" s="17" t="str">
        <f>IFERROR(__xludf.DUMMYFUNCTION("""COMPUTED_VALUE"""),"
")</f>
        <v>
</v>
      </c>
      <c r="V187" s="17" t="str">
        <f>IFERROR(__xludf.DUMMYFUNCTION("""COMPUTED_VALUE"""),"
")</f>
        <v>
</v>
      </c>
      <c r="W187" s="17" t="str">
        <f>IFERROR(__xludf.DUMMYFUNCTION("""COMPUTED_VALUE"""),"
")</f>
        <v>
</v>
      </c>
      <c r="X187" s="17" t="str">
        <f>IFERROR(__xludf.DUMMYFUNCTION("""COMPUTED_VALUE"""),"
")</f>
        <v>
</v>
      </c>
      <c r="Y187" s="17" t="str">
        <f>IFERROR(__xludf.DUMMYFUNCTION("""COMPUTED_VALUE"""),"
")</f>
        <v>
</v>
      </c>
      <c r="Z187" s="17" t="str">
        <f>IFERROR(__xludf.DUMMYFUNCTION("""COMPUTED_VALUE"""),"
")</f>
        <v>
</v>
      </c>
      <c r="AA187" s="17" t="str">
        <f>IFERROR(__xludf.DUMMYFUNCTION("""COMPUTED_VALUE"""),"
")</f>
        <v>
</v>
      </c>
      <c r="AB187" s="17" t="str">
        <f>IFERROR(__xludf.DUMMYFUNCTION("""COMPUTED_VALUE"""),"
")</f>
        <v>
</v>
      </c>
      <c r="AC187" s="17" t="str">
        <f>IFERROR(__xludf.DUMMYFUNCTION("""COMPUTED_VALUE"""),"
")</f>
        <v>
</v>
      </c>
    </row>
    <row r="188">
      <c r="A188" s="17" t="str">
        <f>IFERROR(__xludf.DUMMYFUNCTION("""COMPUTED_VALUE"""),"Chapter 48: 41 Drag Out - Preamble Chen
That Undefinable Thing (Tales of Symphonia) 300:
Even if you can't describe it, you can still manipulate it. You can now make physical tools and containers for souls, as well as gaining the knowledge of how to use t"&amp;"he soul as a power source for magic, machinery, and living bodies. Given proper resources (raw souls), you can create Exspheres and Key Crests­ which can then power the things mentioned in your place.
Anything powered by their user’s soul is known intimat"&amp;"ely to them, inhabited by the soul the same way a body is inhabited by a soul. It becomes in all ways an extension of the self, for good or ill. While the soul is infinite, it can be diminished and grown. Take care. 
System")</f>
        <v>Chapter 48: 41 Drag Out - Preamble Chen
That Undefinable Thing (Tales of Symphonia) 300:
Even if you can't describe it, you can still manipulate it. You can now make physical tools and containers for souls, as well as gaining the knowledge of how to use the soul as a power source for magic, machinery, and living bodies. Given proper resources (raw souls), you can create Exspheres and Key Crests­ which can then power the things mentioned in your place.
Anything powered by their user’s soul is known intimately to them, inhabited by the soul the same way a body is inhabited by a soul. It becomes in all ways an extension of the self, for good or ill. While the soul is infinite, it can be diminished and grown. Take care. 
System</v>
      </c>
      <c r="B188" s="17" t="str">
        <f>IFERROR(__xludf.DUMMYFUNCTION("""COMPUTED_VALUE"""),"Chapter 48: 41 Drag Out - Preamble Chen
Iconic Outfit (Tales of Symphonia) Free:
This outfit is rugged, stylish, and undeniably YOU.
Item")</f>
        <v>Chapter 48: 41 Drag Out - Preamble Chen
Iconic Outfit (Tales of Symphonia) Free:
This outfit is rugged, stylish, and undeniably YOU.
Item</v>
      </c>
      <c r="C188" s="17" t="str">
        <f>IFERROR(__xludf.DUMMYFUNCTION("""COMPUTED_VALUE"""),"Chapter 48: 41 Drag Out - Preamble Chen
Questionably Practical Weapon (Tales of Symphonia) Free:
You're fighting with that? Really? And merchants will sell you more and more deadly upgrades? If you want this can be a well crafted mundane weapon instead.
I"&amp;"tem")</f>
        <v>Chapter 48: 41 Drag Out - Preamble Chen
Questionably Practical Weapon (Tales of Symphonia) Free:
You're fighting with that? Really? And merchants will sell you more and more deadly upgrades? If you want this can be a well crafted mundane weapon instead.
Item</v>
      </c>
      <c r="D188" s="17" t="str">
        <f>IFERROR(__xludf.DUMMYFUNCTION("""COMPUTED_VALUE"""),"
")</f>
        <v>
</v>
      </c>
      <c r="E188" s="17" t="str">
        <f>IFERROR(__xludf.DUMMYFUNCTION("""COMPUTED_VALUE"""),"
")</f>
        <v>
</v>
      </c>
      <c r="F188" s="17" t="str">
        <f>IFERROR(__xludf.DUMMYFUNCTION("""COMPUTED_VALUE"""),"
")</f>
        <v>
</v>
      </c>
      <c r="G188" s="17" t="str">
        <f>IFERROR(__xludf.DUMMYFUNCTION("""COMPUTED_VALUE"""),"
")</f>
        <v>
</v>
      </c>
      <c r="H188" s="17" t="str">
        <f>IFERROR(__xludf.DUMMYFUNCTION("""COMPUTED_VALUE"""),"
")</f>
        <v>
</v>
      </c>
      <c r="I188" s="17" t="str">
        <f>IFERROR(__xludf.DUMMYFUNCTION("""COMPUTED_VALUE"""),"
")</f>
        <v>
</v>
      </c>
      <c r="J188" s="17" t="str">
        <f>IFERROR(__xludf.DUMMYFUNCTION("""COMPUTED_VALUE"""),"
")</f>
        <v>
</v>
      </c>
      <c r="K188" s="17" t="str">
        <f>IFERROR(__xludf.DUMMYFUNCTION("""COMPUTED_VALUE"""),"
")</f>
        <v>
</v>
      </c>
      <c r="L188" s="17" t="str">
        <f>IFERROR(__xludf.DUMMYFUNCTION("""COMPUTED_VALUE"""),"
")</f>
        <v>
</v>
      </c>
      <c r="M188" s="17" t="str">
        <f>IFERROR(__xludf.DUMMYFUNCTION("""COMPUTED_VALUE"""),"
")</f>
        <v>
</v>
      </c>
      <c r="N188" s="17" t="str">
        <f>IFERROR(__xludf.DUMMYFUNCTION("""COMPUTED_VALUE"""),"
")</f>
        <v>
</v>
      </c>
      <c r="O188" s="17" t="str">
        <f>IFERROR(__xludf.DUMMYFUNCTION("""COMPUTED_VALUE"""),"
")</f>
        <v>
</v>
      </c>
      <c r="P188" s="17" t="str">
        <f>IFERROR(__xludf.DUMMYFUNCTION("""COMPUTED_VALUE"""),"
")</f>
        <v>
</v>
      </c>
      <c r="Q188" s="17" t="str">
        <f>IFERROR(__xludf.DUMMYFUNCTION("""COMPUTED_VALUE"""),"
")</f>
        <v>
</v>
      </c>
      <c r="R188" s="17" t="str">
        <f>IFERROR(__xludf.DUMMYFUNCTION("""COMPUTED_VALUE"""),"
")</f>
        <v>
</v>
      </c>
      <c r="S188" s="17" t="str">
        <f>IFERROR(__xludf.DUMMYFUNCTION("""COMPUTED_VALUE"""),"
")</f>
        <v>
</v>
      </c>
      <c r="T188" s="17" t="str">
        <f>IFERROR(__xludf.DUMMYFUNCTION("""COMPUTED_VALUE"""),"
")</f>
        <v>
</v>
      </c>
      <c r="U188" s="17" t="str">
        <f>IFERROR(__xludf.DUMMYFUNCTION("""COMPUTED_VALUE"""),"
")</f>
        <v>
</v>
      </c>
      <c r="V188" s="17" t="str">
        <f>IFERROR(__xludf.DUMMYFUNCTION("""COMPUTED_VALUE"""),"
")</f>
        <v>
</v>
      </c>
      <c r="W188" s="17" t="str">
        <f>IFERROR(__xludf.DUMMYFUNCTION("""COMPUTED_VALUE"""),"
")</f>
        <v>
</v>
      </c>
      <c r="X188" s="17" t="str">
        <f>IFERROR(__xludf.DUMMYFUNCTION("""COMPUTED_VALUE"""),"
")</f>
        <v>
</v>
      </c>
      <c r="Y188" s="17" t="str">
        <f>IFERROR(__xludf.DUMMYFUNCTION("""COMPUTED_VALUE"""),"
")</f>
        <v>
</v>
      </c>
      <c r="Z188" s="17" t="str">
        <f>IFERROR(__xludf.DUMMYFUNCTION("""COMPUTED_VALUE"""),"
")</f>
        <v>
</v>
      </c>
      <c r="AA188" s="17" t="str">
        <f>IFERROR(__xludf.DUMMYFUNCTION("""COMPUTED_VALUE"""),"
")</f>
        <v>
</v>
      </c>
      <c r="AB188" s="17" t="str">
        <f>IFERROR(__xludf.DUMMYFUNCTION("""COMPUTED_VALUE"""),"
")</f>
        <v>
</v>
      </c>
      <c r="AC188" s="17" t="str">
        <f>IFERROR(__xludf.DUMMYFUNCTION("""COMPUTED_VALUE"""),"
")</f>
        <v>
</v>
      </c>
    </row>
    <row r="189">
      <c r="A189" s="17" t="str">
        <f>IFERROR(__xludf.DUMMYFUNCTION("""COMPUTED_VALUE"""),"")</f>
        <v/>
      </c>
      <c r="B189" s="17" t="str">
        <f>IFERROR(__xludf.DUMMYFUNCTION("""COMPUTED_VALUE"""),"")</f>
        <v/>
      </c>
      <c r="C189" s="17" t="str">
        <f>IFERROR(__xludf.DUMMYFUNCTION("""COMPUTED_VALUE"""),"")</f>
        <v/>
      </c>
      <c r="D189" s="17" t="str">
        <f>IFERROR(__xludf.DUMMYFUNCTION("""COMPUTED_VALUE"""),"")</f>
        <v/>
      </c>
      <c r="E189" s="17" t="str">
        <f>IFERROR(__xludf.DUMMYFUNCTION("""COMPUTED_VALUE"""),"")</f>
        <v/>
      </c>
      <c r="F189" s="17" t="str">
        <f>IFERROR(__xludf.DUMMYFUNCTION("""COMPUTED_VALUE"""),"")</f>
        <v/>
      </c>
      <c r="G189" s="17" t="str">
        <f>IFERROR(__xludf.DUMMYFUNCTION("""COMPUTED_VALUE"""),"")</f>
        <v/>
      </c>
      <c r="H189" s="17" t="str">
        <f>IFERROR(__xludf.DUMMYFUNCTION("""COMPUTED_VALUE"""),"")</f>
        <v/>
      </c>
      <c r="I189" s="17" t="str">
        <f>IFERROR(__xludf.DUMMYFUNCTION("""COMPUTED_VALUE"""),"")</f>
        <v/>
      </c>
      <c r="J189" s="17" t="str">
        <f>IFERROR(__xludf.DUMMYFUNCTION("""COMPUTED_VALUE"""),"")</f>
        <v/>
      </c>
      <c r="K189" s="17" t="str">
        <f>IFERROR(__xludf.DUMMYFUNCTION("""COMPUTED_VALUE"""),"")</f>
        <v/>
      </c>
      <c r="L189" s="17" t="str">
        <f>IFERROR(__xludf.DUMMYFUNCTION("""COMPUTED_VALUE"""),"")</f>
        <v/>
      </c>
      <c r="M189" s="17" t="str">
        <f>IFERROR(__xludf.DUMMYFUNCTION("""COMPUTED_VALUE"""),"")</f>
        <v/>
      </c>
      <c r="N189" s="17" t="str">
        <f>IFERROR(__xludf.DUMMYFUNCTION("""COMPUTED_VALUE"""),"")</f>
        <v/>
      </c>
      <c r="O189" s="17" t="str">
        <f>IFERROR(__xludf.DUMMYFUNCTION("""COMPUTED_VALUE"""),"")</f>
        <v/>
      </c>
      <c r="P189" s="17" t="str">
        <f>IFERROR(__xludf.DUMMYFUNCTION("""COMPUTED_VALUE"""),"")</f>
        <v/>
      </c>
      <c r="Q189" s="17" t="str">
        <f>IFERROR(__xludf.DUMMYFUNCTION("""COMPUTED_VALUE"""),"")</f>
        <v/>
      </c>
      <c r="R189" s="17" t="str">
        <f>IFERROR(__xludf.DUMMYFUNCTION("""COMPUTED_VALUE"""),"")</f>
        <v/>
      </c>
      <c r="S189" s="17" t="str">
        <f>IFERROR(__xludf.DUMMYFUNCTION("""COMPUTED_VALUE"""),"")</f>
        <v/>
      </c>
      <c r="T189" s="17" t="str">
        <f>IFERROR(__xludf.DUMMYFUNCTION("""COMPUTED_VALUE"""),"")</f>
        <v/>
      </c>
      <c r="U189" s="17" t="str">
        <f>IFERROR(__xludf.DUMMYFUNCTION("""COMPUTED_VALUE"""),"")</f>
        <v/>
      </c>
      <c r="V189" s="17" t="str">
        <f>IFERROR(__xludf.DUMMYFUNCTION("""COMPUTED_VALUE"""),"")</f>
        <v/>
      </c>
      <c r="W189" s="17" t="str">
        <f>IFERROR(__xludf.DUMMYFUNCTION("""COMPUTED_VALUE"""),"")</f>
        <v/>
      </c>
      <c r="X189" s="17" t="str">
        <f>IFERROR(__xludf.DUMMYFUNCTION("""COMPUTED_VALUE"""),"")</f>
        <v/>
      </c>
      <c r="Y189" s="17" t="str">
        <f>IFERROR(__xludf.DUMMYFUNCTION("""COMPUTED_VALUE"""),"")</f>
        <v/>
      </c>
      <c r="Z189" s="17" t="str">
        <f>IFERROR(__xludf.DUMMYFUNCTION("""COMPUTED_VALUE"""),"")</f>
        <v/>
      </c>
      <c r="AA189" s="17" t="str">
        <f>IFERROR(__xludf.DUMMYFUNCTION("""COMPUTED_VALUE"""),"")</f>
        <v/>
      </c>
      <c r="AB189" s="17" t="str">
        <f>IFERROR(__xludf.DUMMYFUNCTION("""COMPUTED_VALUE"""),"")</f>
        <v/>
      </c>
      <c r="AC189" s="17" t="str">
        <f>IFERROR(__xludf.DUMMYFUNCTION("""COMPUTED_VALUE"""),"")</f>
        <v/>
      </c>
    </row>
    <row r="190">
      <c r="A190" s="17" t="str">
        <f>IFERROR(__xludf.DUMMYFUNCTION("""COMPUTED_VALUE"""),"")</f>
        <v/>
      </c>
      <c r="B190" s="17" t="str">
        <f>IFERROR(__xludf.DUMMYFUNCTION("""COMPUTED_VALUE"""),"")</f>
        <v/>
      </c>
      <c r="C190" s="17" t="str">
        <f>IFERROR(__xludf.DUMMYFUNCTION("""COMPUTED_VALUE"""),"")</f>
        <v/>
      </c>
      <c r="D190" s="17" t="str">
        <f>IFERROR(__xludf.DUMMYFUNCTION("""COMPUTED_VALUE"""),"")</f>
        <v/>
      </c>
      <c r="E190" s="17" t="str">
        <f>IFERROR(__xludf.DUMMYFUNCTION("""COMPUTED_VALUE"""),"")</f>
        <v/>
      </c>
      <c r="F190" s="17" t="str">
        <f>IFERROR(__xludf.DUMMYFUNCTION("""COMPUTED_VALUE"""),"")</f>
        <v/>
      </c>
      <c r="G190" s="17" t="str">
        <f>IFERROR(__xludf.DUMMYFUNCTION("""COMPUTED_VALUE"""),"")</f>
        <v/>
      </c>
      <c r="H190" s="17" t="str">
        <f>IFERROR(__xludf.DUMMYFUNCTION("""COMPUTED_VALUE"""),"")</f>
        <v/>
      </c>
      <c r="I190" s="17" t="str">
        <f>IFERROR(__xludf.DUMMYFUNCTION("""COMPUTED_VALUE"""),"")</f>
        <v/>
      </c>
      <c r="J190" s="17" t="str">
        <f>IFERROR(__xludf.DUMMYFUNCTION("""COMPUTED_VALUE"""),"")</f>
        <v/>
      </c>
      <c r="K190" s="17" t="str">
        <f>IFERROR(__xludf.DUMMYFUNCTION("""COMPUTED_VALUE"""),"")</f>
        <v/>
      </c>
      <c r="L190" s="17" t="str">
        <f>IFERROR(__xludf.DUMMYFUNCTION("""COMPUTED_VALUE"""),"")</f>
        <v/>
      </c>
      <c r="M190" s="17" t="str">
        <f>IFERROR(__xludf.DUMMYFUNCTION("""COMPUTED_VALUE"""),"")</f>
        <v/>
      </c>
      <c r="N190" s="17" t="str">
        <f>IFERROR(__xludf.DUMMYFUNCTION("""COMPUTED_VALUE"""),"")</f>
        <v/>
      </c>
      <c r="O190" s="17" t="str">
        <f>IFERROR(__xludf.DUMMYFUNCTION("""COMPUTED_VALUE"""),"")</f>
        <v/>
      </c>
      <c r="P190" s="17" t="str">
        <f>IFERROR(__xludf.DUMMYFUNCTION("""COMPUTED_VALUE"""),"")</f>
        <v/>
      </c>
      <c r="Q190" s="17" t="str">
        <f>IFERROR(__xludf.DUMMYFUNCTION("""COMPUTED_VALUE"""),"")</f>
        <v/>
      </c>
      <c r="R190" s="17" t="str">
        <f>IFERROR(__xludf.DUMMYFUNCTION("""COMPUTED_VALUE"""),"")</f>
        <v/>
      </c>
      <c r="S190" s="17" t="str">
        <f>IFERROR(__xludf.DUMMYFUNCTION("""COMPUTED_VALUE"""),"")</f>
        <v/>
      </c>
      <c r="T190" s="17" t="str">
        <f>IFERROR(__xludf.DUMMYFUNCTION("""COMPUTED_VALUE"""),"")</f>
        <v/>
      </c>
      <c r="U190" s="17" t="str">
        <f>IFERROR(__xludf.DUMMYFUNCTION("""COMPUTED_VALUE"""),"")</f>
        <v/>
      </c>
      <c r="V190" s="17" t="str">
        <f>IFERROR(__xludf.DUMMYFUNCTION("""COMPUTED_VALUE"""),"")</f>
        <v/>
      </c>
      <c r="W190" s="17" t="str">
        <f>IFERROR(__xludf.DUMMYFUNCTION("""COMPUTED_VALUE"""),"")</f>
        <v/>
      </c>
      <c r="X190" s="17" t="str">
        <f>IFERROR(__xludf.DUMMYFUNCTION("""COMPUTED_VALUE"""),"")</f>
        <v/>
      </c>
      <c r="Y190" s="17" t="str">
        <f>IFERROR(__xludf.DUMMYFUNCTION("""COMPUTED_VALUE"""),"")</f>
        <v/>
      </c>
      <c r="Z190" s="17" t="str">
        <f>IFERROR(__xludf.DUMMYFUNCTION("""COMPUTED_VALUE"""),"")</f>
        <v/>
      </c>
      <c r="AA190" s="17" t="str">
        <f>IFERROR(__xludf.DUMMYFUNCTION("""COMPUTED_VALUE"""),"")</f>
        <v/>
      </c>
      <c r="AB190" s="17" t="str">
        <f>IFERROR(__xludf.DUMMYFUNCTION("""COMPUTED_VALUE"""),"")</f>
        <v/>
      </c>
      <c r="AC190" s="17" t="str">
        <f>IFERROR(__xludf.DUMMYFUNCTION("""COMPUTED_VALUE"""),"")</f>
        <v/>
      </c>
    </row>
    <row r="191">
      <c r="A191" s="17" t="str">
        <f>IFERROR(__xludf.DUMMYFUNCTION("""COMPUTED_VALUE"""),"Chapter 30: 24 Tech Work - Addendum Alec
Advanced Materials (XCOM 2) 200:
As you experiment the physics and rules of a world ideas for new materials come to you. Elements and compounds from different universes often follow the same rules after all, so it "&amp;"should be theoretically possible to mix them. While you are developing new materials for your projects you will instinctively know whether or not materials will be compatible with each other and roughly how strong they will be. You will not know the exact"&amp;" ratio or procedure you will need to perform to fabricate these exotic materials, and it's not guaranteed that every material will be compatible with each other, but development will be made a lot easier.
Analysis")</f>
        <v>Chapter 30: 24 Tech Work - Addendum Alec
Advanced Materials (XCOM 2) 200:
As you experiment the physics and rules of a world ideas for new materials come to you. Elements and compounds from different universes often follow the same rules after all, so it should be theoretically possible to mix them. While you are developing new materials for your projects you will instinctively know whether or not materials will be compatible with each other and roughly how strong they will be. You will not know the exact ratio or procedure you will need to perform to fabricate these exotic materials, and it's not guaranteed that every material will be compatible with each other, but development will be made a lot easier.
Analysis</v>
      </c>
      <c r="B191" s="17" t="str">
        <f>IFERROR(__xludf.DUMMYFUNCTION("""COMPUTED_VALUE"""),"
")</f>
        <v>
</v>
      </c>
      <c r="C191" s="17" t="str">
        <f>IFERROR(__xludf.DUMMYFUNCTION("""COMPUTED_VALUE"""),"
")</f>
        <v>
</v>
      </c>
      <c r="D191" s="17" t="str">
        <f>IFERROR(__xludf.DUMMYFUNCTION("""COMPUTED_VALUE"""),"
")</f>
        <v>
</v>
      </c>
      <c r="E191" s="17" t="str">
        <f>IFERROR(__xludf.DUMMYFUNCTION("""COMPUTED_VALUE"""),"
")</f>
        <v>
</v>
      </c>
      <c r="F191" s="17" t="str">
        <f>IFERROR(__xludf.DUMMYFUNCTION("""COMPUTED_VALUE"""),"
")</f>
        <v>
</v>
      </c>
      <c r="G191" s="17" t="str">
        <f>IFERROR(__xludf.DUMMYFUNCTION("""COMPUTED_VALUE"""),"
")</f>
        <v>
</v>
      </c>
      <c r="H191" s="17" t="str">
        <f>IFERROR(__xludf.DUMMYFUNCTION("""COMPUTED_VALUE"""),"
")</f>
        <v>
</v>
      </c>
      <c r="I191" s="17" t="str">
        <f>IFERROR(__xludf.DUMMYFUNCTION("""COMPUTED_VALUE"""),"
")</f>
        <v>
</v>
      </c>
      <c r="J191" s="17" t="str">
        <f>IFERROR(__xludf.DUMMYFUNCTION("""COMPUTED_VALUE"""),"
")</f>
        <v>
</v>
      </c>
      <c r="K191" s="17" t="str">
        <f>IFERROR(__xludf.DUMMYFUNCTION("""COMPUTED_VALUE"""),"
")</f>
        <v>
</v>
      </c>
      <c r="L191" s="17" t="str">
        <f>IFERROR(__xludf.DUMMYFUNCTION("""COMPUTED_VALUE"""),"
")</f>
        <v>
</v>
      </c>
      <c r="M191" s="17" t="str">
        <f>IFERROR(__xludf.DUMMYFUNCTION("""COMPUTED_VALUE"""),"
")</f>
        <v>
</v>
      </c>
      <c r="N191" s="17" t="str">
        <f>IFERROR(__xludf.DUMMYFUNCTION("""COMPUTED_VALUE"""),"
")</f>
        <v>
</v>
      </c>
      <c r="O191" s="17" t="str">
        <f>IFERROR(__xludf.DUMMYFUNCTION("""COMPUTED_VALUE"""),"
")</f>
        <v>
</v>
      </c>
      <c r="P191" s="17" t="str">
        <f>IFERROR(__xludf.DUMMYFUNCTION("""COMPUTED_VALUE"""),"
")</f>
        <v>
</v>
      </c>
      <c r="Q191" s="17" t="str">
        <f>IFERROR(__xludf.DUMMYFUNCTION("""COMPUTED_VALUE"""),"
")</f>
        <v>
</v>
      </c>
      <c r="R191" s="17" t="str">
        <f>IFERROR(__xludf.DUMMYFUNCTION("""COMPUTED_VALUE"""),"
")</f>
        <v>
</v>
      </c>
      <c r="S191" s="17" t="str">
        <f>IFERROR(__xludf.DUMMYFUNCTION("""COMPUTED_VALUE"""),"
")</f>
        <v>
</v>
      </c>
      <c r="T191" s="17" t="str">
        <f>IFERROR(__xludf.DUMMYFUNCTION("""COMPUTED_VALUE"""),"
")</f>
        <v>
</v>
      </c>
      <c r="U191" s="17" t="str">
        <f>IFERROR(__xludf.DUMMYFUNCTION("""COMPUTED_VALUE"""),"
")</f>
        <v>
</v>
      </c>
      <c r="V191" s="17" t="str">
        <f>IFERROR(__xludf.DUMMYFUNCTION("""COMPUTED_VALUE"""),"
")</f>
        <v>
</v>
      </c>
      <c r="W191" s="17" t="str">
        <f>IFERROR(__xludf.DUMMYFUNCTION("""COMPUTED_VALUE"""),"
")</f>
        <v>
</v>
      </c>
      <c r="X191" s="17" t="str">
        <f>IFERROR(__xludf.DUMMYFUNCTION("""COMPUTED_VALUE"""),"
")</f>
        <v>
</v>
      </c>
      <c r="Y191" s="17" t="str">
        <f>IFERROR(__xludf.DUMMYFUNCTION("""COMPUTED_VALUE"""),"
")</f>
        <v>
</v>
      </c>
      <c r="Z191" s="17" t="str">
        <f>IFERROR(__xludf.DUMMYFUNCTION("""COMPUTED_VALUE"""),"
")</f>
        <v>
</v>
      </c>
      <c r="AA191" s="17" t="str">
        <f>IFERROR(__xludf.DUMMYFUNCTION("""COMPUTED_VALUE"""),"
")</f>
        <v>
</v>
      </c>
      <c r="AB191" s="17" t="str">
        <f>IFERROR(__xludf.DUMMYFUNCTION("""COMPUTED_VALUE"""),"
")</f>
        <v>
</v>
      </c>
      <c r="AC191" s="17" t="str">
        <f>IFERROR(__xludf.DUMMYFUNCTION("""COMPUTED_VALUE"""),"
")</f>
        <v>
</v>
      </c>
    </row>
    <row r="192">
      <c r="A192" s="17" t="str">
        <f>IFERROR(__xludf.DUMMYFUNCTION("""COMPUTED_VALUE"""),"")</f>
        <v/>
      </c>
      <c r="B192" s="17" t="str">
        <f>IFERROR(__xludf.DUMMYFUNCTION("""COMPUTED_VALUE"""),"")</f>
        <v/>
      </c>
      <c r="C192" s="17" t="str">
        <f>IFERROR(__xludf.DUMMYFUNCTION("""COMPUTED_VALUE"""),"")</f>
        <v/>
      </c>
      <c r="D192" s="17" t="str">
        <f>IFERROR(__xludf.DUMMYFUNCTION("""COMPUTED_VALUE"""),"")</f>
        <v/>
      </c>
      <c r="E192" s="17" t="str">
        <f>IFERROR(__xludf.DUMMYFUNCTION("""COMPUTED_VALUE"""),"")</f>
        <v/>
      </c>
      <c r="F192" s="17" t="str">
        <f>IFERROR(__xludf.DUMMYFUNCTION("""COMPUTED_VALUE"""),"")</f>
        <v/>
      </c>
      <c r="G192" s="17" t="str">
        <f>IFERROR(__xludf.DUMMYFUNCTION("""COMPUTED_VALUE"""),"")</f>
        <v/>
      </c>
      <c r="H192" s="17" t="str">
        <f>IFERROR(__xludf.DUMMYFUNCTION("""COMPUTED_VALUE"""),"")</f>
        <v/>
      </c>
      <c r="I192" s="17" t="str">
        <f>IFERROR(__xludf.DUMMYFUNCTION("""COMPUTED_VALUE"""),"")</f>
        <v/>
      </c>
      <c r="J192" s="17" t="str">
        <f>IFERROR(__xludf.DUMMYFUNCTION("""COMPUTED_VALUE"""),"")</f>
        <v/>
      </c>
      <c r="K192" s="17" t="str">
        <f>IFERROR(__xludf.DUMMYFUNCTION("""COMPUTED_VALUE"""),"")</f>
        <v/>
      </c>
      <c r="L192" s="17" t="str">
        <f>IFERROR(__xludf.DUMMYFUNCTION("""COMPUTED_VALUE"""),"")</f>
        <v/>
      </c>
      <c r="M192" s="17" t="str">
        <f>IFERROR(__xludf.DUMMYFUNCTION("""COMPUTED_VALUE"""),"")</f>
        <v/>
      </c>
      <c r="N192" s="17" t="str">
        <f>IFERROR(__xludf.DUMMYFUNCTION("""COMPUTED_VALUE"""),"")</f>
        <v/>
      </c>
      <c r="O192" s="17" t="str">
        <f>IFERROR(__xludf.DUMMYFUNCTION("""COMPUTED_VALUE"""),"")</f>
        <v/>
      </c>
      <c r="P192" s="17" t="str">
        <f>IFERROR(__xludf.DUMMYFUNCTION("""COMPUTED_VALUE"""),"")</f>
        <v/>
      </c>
      <c r="Q192" s="17" t="str">
        <f>IFERROR(__xludf.DUMMYFUNCTION("""COMPUTED_VALUE"""),"")</f>
        <v/>
      </c>
      <c r="R192" s="17" t="str">
        <f>IFERROR(__xludf.DUMMYFUNCTION("""COMPUTED_VALUE"""),"")</f>
        <v/>
      </c>
      <c r="S192" s="17" t="str">
        <f>IFERROR(__xludf.DUMMYFUNCTION("""COMPUTED_VALUE"""),"")</f>
        <v/>
      </c>
      <c r="T192" s="17" t="str">
        <f>IFERROR(__xludf.DUMMYFUNCTION("""COMPUTED_VALUE"""),"")</f>
        <v/>
      </c>
      <c r="U192" s="17" t="str">
        <f>IFERROR(__xludf.DUMMYFUNCTION("""COMPUTED_VALUE"""),"")</f>
        <v/>
      </c>
      <c r="V192" s="17" t="str">
        <f>IFERROR(__xludf.DUMMYFUNCTION("""COMPUTED_VALUE"""),"")</f>
        <v/>
      </c>
      <c r="W192" s="17" t="str">
        <f>IFERROR(__xludf.DUMMYFUNCTION("""COMPUTED_VALUE"""),"")</f>
        <v/>
      </c>
      <c r="X192" s="17" t="str">
        <f>IFERROR(__xludf.DUMMYFUNCTION("""COMPUTED_VALUE"""),"")</f>
        <v/>
      </c>
      <c r="Y192" s="17" t="str">
        <f>IFERROR(__xludf.DUMMYFUNCTION("""COMPUTED_VALUE"""),"")</f>
        <v/>
      </c>
      <c r="Z192" s="17" t="str">
        <f>IFERROR(__xludf.DUMMYFUNCTION("""COMPUTED_VALUE"""),"")</f>
        <v/>
      </c>
      <c r="AA192" s="17" t="str">
        <f>IFERROR(__xludf.DUMMYFUNCTION("""COMPUTED_VALUE"""),"")</f>
        <v/>
      </c>
      <c r="AB192" s="17" t="str">
        <f>IFERROR(__xludf.DUMMYFUNCTION("""COMPUTED_VALUE"""),"")</f>
        <v/>
      </c>
      <c r="AC192" s="17" t="str">
        <f>IFERROR(__xludf.DUMMYFUNCTION("""COMPUTED_VALUE"""),"")</f>
        <v/>
      </c>
    </row>
    <row r="193">
      <c r="A193" s="17" t="str">
        <f>IFERROR(__xludf.DUMMYFUNCTION("""COMPUTED_VALUE"""),"Chapter 100: 73 Head Trip
Mega Bomb (Chrono Trigger) 600:
Magic and Technology are both capable of some pretty fantastic things. So why not put them together, and see what happens? You now understand the secret to integrating magic seamlessly into your me"&amp;"chanical devices, enabling you to create devices like bombs powered with fire magic or medkits that use healing magic. While initially your devices will be one-shots that rely on a magical charge you have to deliver, in time, you'll learn how to make much"&amp;" more advanced fusions, such machines that run on magical power sources, or automated spellcasting devices. In the end, the only limit is your skill with machinery and magic. 
System")</f>
        <v>Chapter 100: 73 Head Trip
Mega Bomb (Chrono Trigger) 600:
Magic and Technology are both capable of some pretty fantastic things. So why not put them together, and see what happens? You now understand the secret to integrating magic seamlessly into your mechanical devices, enabling you to create devices like bombs powered with fire magic or medkits that use healing magic. While initially your devices will be one-shots that rely on a magical charge you have to deliver, in time, you'll learn how to make much more advanced fusions, such machines that run on magical power sources, or automated spellcasting devices. In the end, the only limit is your skill with machinery and magic. 
System</v>
      </c>
      <c r="B193" s="17" t="str">
        <f>IFERROR(__xludf.DUMMYFUNCTION("""COMPUTED_VALUE"""),"Chapter 100: 73 Head Trip
Element (Chrono Trigger) Free:
Anyway, weak or strong, you've still got enough strength of will to you for the old guy to send you to me. I'm not just the Master of War, ya know. I'm also the keeper of Magic. Sky, Dark, Water, an"&amp;"d Fire... used to be, everyone could call on the power of the elements. But now, only those with enough determination and a strong enough heart can use it. Lucky for you, you've got some great inner strength, so I can teach you the good stuff.
Shadow: Sha"&amp;"dow's the element of darkness, covering everything from the space between the stars to the shadows in a cave. Void and gravity are two obvious uses, and curses and status magic fall within its domain as well. However, it's also the magic of harmony, so yo"&amp;"u might be able to throw around some elemental combos instead.
Skill")</f>
        <v>Chapter 100: 73 Head Trip
Element (Chrono Trigger) Free:
Anyway, weak or strong, you've still got enough strength of will to you for the old guy to send you to me. I'm not just the Master of War, ya know. I'm also the keeper of Magic. Sky, Dark, Water, and Fire... used to be, everyone could call on the power of the elements. But now, only those with enough determination and a strong enough heart can use it. Lucky for you, you've got some great inner strength, so I can teach you the good stuff.
Shadow: Shadow's the element of darkness, covering everything from the space between the stars to the shadows in a cave. Void and gravity are two obvious uses, and curses and status magic fall within its domain as well. However, it's also the magic of harmony, so you might be able to throw around some elemental combos instead.
Skill</v>
      </c>
      <c r="C193" s="17" t="str">
        <f>IFERROR(__xludf.DUMMYFUNCTION("""COMPUTED_VALUE"""),"Chapter 100: 73 Head Trip
Combination Attack (Chrono Trigger) Free:
You didn't think I'd let you go without teaching you this one, did you? Now that you're fortified with magic, or other tricks, you're going to start noticing some of them seem compatible "&amp;"with your buddies' moves. Well, that's because they are. By using them together, you can merge them into one big move that'll be greater than the sum of its parts. Fusing two spells, enhancing an attack with elemental energy, even a well-coordinated doubl"&amp;"e strike... there's a lot of possibilities, so try them out and see what works. Just keep in mind your buddy needs to know how to do this too, and not all techniques are going to be compatible.
Skill")</f>
        <v>Chapter 100: 73 Head Trip
Combination Attack (Chrono Trigger) Free:
You didn't think I'd let you go without teaching you this one, did you? Now that you're fortified with magic, or other tricks, you're going to start noticing some of them seem compatible with your buddies' moves. Well, that's because they are. By using them together, you can merge them into one big move that'll be greater than the sum of its parts. Fusing two spells, enhancing an attack with elemental energy, even a well-coordinated double strike... there's a lot of possibilities, so try them out and see what works. Just keep in mind your buddy needs to know how to do this too, and not all techniques are going to be compatible.
Skill</v>
      </c>
      <c r="D193" s="17" t="str">
        <f>IFERROR(__xludf.DUMMYFUNCTION("""COMPUTED_VALUE"""),"
")</f>
        <v>
</v>
      </c>
      <c r="E193" s="17" t="str">
        <f>IFERROR(__xludf.DUMMYFUNCTION("""COMPUTED_VALUE"""),"
")</f>
        <v>
</v>
      </c>
      <c r="F193" s="17" t="str">
        <f>IFERROR(__xludf.DUMMYFUNCTION("""COMPUTED_VALUE"""),"
")</f>
        <v>
</v>
      </c>
      <c r="G193" s="17" t="str">
        <f>IFERROR(__xludf.DUMMYFUNCTION("""COMPUTED_VALUE"""),"
")</f>
        <v>
</v>
      </c>
      <c r="H193" s="17" t="str">
        <f>IFERROR(__xludf.DUMMYFUNCTION("""COMPUTED_VALUE"""),"
")</f>
        <v>
</v>
      </c>
      <c r="I193" s="17" t="str">
        <f>IFERROR(__xludf.DUMMYFUNCTION("""COMPUTED_VALUE"""),"
")</f>
        <v>
</v>
      </c>
      <c r="J193" s="17" t="str">
        <f>IFERROR(__xludf.DUMMYFUNCTION("""COMPUTED_VALUE"""),"
")</f>
        <v>
</v>
      </c>
      <c r="K193" s="17" t="str">
        <f>IFERROR(__xludf.DUMMYFUNCTION("""COMPUTED_VALUE"""),"
")</f>
        <v>
</v>
      </c>
      <c r="L193" s="17" t="str">
        <f>IFERROR(__xludf.DUMMYFUNCTION("""COMPUTED_VALUE"""),"
")</f>
        <v>
</v>
      </c>
      <c r="M193" s="17" t="str">
        <f>IFERROR(__xludf.DUMMYFUNCTION("""COMPUTED_VALUE"""),"
")</f>
        <v>
</v>
      </c>
      <c r="N193" s="17" t="str">
        <f>IFERROR(__xludf.DUMMYFUNCTION("""COMPUTED_VALUE"""),"
")</f>
        <v>
</v>
      </c>
      <c r="O193" s="17" t="str">
        <f>IFERROR(__xludf.DUMMYFUNCTION("""COMPUTED_VALUE"""),"
")</f>
        <v>
</v>
      </c>
      <c r="P193" s="17" t="str">
        <f>IFERROR(__xludf.DUMMYFUNCTION("""COMPUTED_VALUE"""),"
")</f>
        <v>
</v>
      </c>
      <c r="Q193" s="17" t="str">
        <f>IFERROR(__xludf.DUMMYFUNCTION("""COMPUTED_VALUE"""),"
")</f>
        <v>
</v>
      </c>
      <c r="R193" s="17" t="str">
        <f>IFERROR(__xludf.DUMMYFUNCTION("""COMPUTED_VALUE"""),"
")</f>
        <v>
</v>
      </c>
      <c r="S193" s="17" t="str">
        <f>IFERROR(__xludf.DUMMYFUNCTION("""COMPUTED_VALUE"""),"
")</f>
        <v>
</v>
      </c>
      <c r="T193" s="17" t="str">
        <f>IFERROR(__xludf.DUMMYFUNCTION("""COMPUTED_VALUE"""),"
")</f>
        <v>
</v>
      </c>
      <c r="U193" s="17" t="str">
        <f>IFERROR(__xludf.DUMMYFUNCTION("""COMPUTED_VALUE"""),"
")</f>
        <v>
</v>
      </c>
      <c r="V193" s="17" t="str">
        <f>IFERROR(__xludf.DUMMYFUNCTION("""COMPUTED_VALUE"""),"
")</f>
        <v>
</v>
      </c>
      <c r="W193" s="17" t="str">
        <f>IFERROR(__xludf.DUMMYFUNCTION("""COMPUTED_VALUE"""),"
")</f>
        <v>
</v>
      </c>
      <c r="X193" s="17" t="str">
        <f>IFERROR(__xludf.DUMMYFUNCTION("""COMPUTED_VALUE"""),"
")</f>
        <v>
</v>
      </c>
      <c r="Y193" s="17" t="str">
        <f>IFERROR(__xludf.DUMMYFUNCTION("""COMPUTED_VALUE"""),"
")</f>
        <v>
</v>
      </c>
      <c r="Z193" s="17" t="str">
        <f>IFERROR(__xludf.DUMMYFUNCTION("""COMPUTED_VALUE"""),"
")</f>
        <v>
</v>
      </c>
      <c r="AA193" s="17" t="str">
        <f>IFERROR(__xludf.DUMMYFUNCTION("""COMPUTED_VALUE"""),"
")</f>
        <v>
</v>
      </c>
      <c r="AB193" s="17" t="str">
        <f>IFERROR(__xludf.DUMMYFUNCTION("""COMPUTED_VALUE"""),"
")</f>
        <v>
</v>
      </c>
      <c r="AC193" s="17" t="str">
        <f>IFERROR(__xludf.DUMMYFUNCTION("""COMPUTED_VALUE"""),"
")</f>
        <v>
</v>
      </c>
    </row>
    <row r="194">
      <c r="A194" s="17" t="str">
        <f>IFERROR(__xludf.DUMMYFUNCTION("""COMPUTED_VALUE"""),"")</f>
        <v/>
      </c>
      <c r="B194" s="17" t="str">
        <f>IFERROR(__xludf.DUMMYFUNCTION("""COMPUTED_VALUE"""),"")</f>
        <v/>
      </c>
      <c r="C194" s="17" t="str">
        <f>IFERROR(__xludf.DUMMYFUNCTION("""COMPUTED_VALUE"""),"")</f>
        <v/>
      </c>
      <c r="D194" s="17" t="str">
        <f>IFERROR(__xludf.DUMMYFUNCTION("""COMPUTED_VALUE"""),"")</f>
        <v/>
      </c>
      <c r="E194" s="17" t="str">
        <f>IFERROR(__xludf.DUMMYFUNCTION("""COMPUTED_VALUE"""),"")</f>
        <v/>
      </c>
      <c r="F194" s="17" t="str">
        <f>IFERROR(__xludf.DUMMYFUNCTION("""COMPUTED_VALUE"""),"")</f>
        <v/>
      </c>
      <c r="G194" s="17" t="str">
        <f>IFERROR(__xludf.DUMMYFUNCTION("""COMPUTED_VALUE"""),"")</f>
        <v/>
      </c>
      <c r="H194" s="17" t="str">
        <f>IFERROR(__xludf.DUMMYFUNCTION("""COMPUTED_VALUE"""),"")</f>
        <v/>
      </c>
      <c r="I194" s="17" t="str">
        <f>IFERROR(__xludf.DUMMYFUNCTION("""COMPUTED_VALUE"""),"")</f>
        <v/>
      </c>
      <c r="J194" s="17" t="str">
        <f>IFERROR(__xludf.DUMMYFUNCTION("""COMPUTED_VALUE"""),"")</f>
        <v/>
      </c>
      <c r="K194" s="17" t="str">
        <f>IFERROR(__xludf.DUMMYFUNCTION("""COMPUTED_VALUE"""),"")</f>
        <v/>
      </c>
      <c r="L194" s="17" t="str">
        <f>IFERROR(__xludf.DUMMYFUNCTION("""COMPUTED_VALUE"""),"")</f>
        <v/>
      </c>
      <c r="M194" s="17" t="str">
        <f>IFERROR(__xludf.DUMMYFUNCTION("""COMPUTED_VALUE"""),"")</f>
        <v/>
      </c>
      <c r="N194" s="17" t="str">
        <f>IFERROR(__xludf.DUMMYFUNCTION("""COMPUTED_VALUE"""),"")</f>
        <v/>
      </c>
      <c r="O194" s="17" t="str">
        <f>IFERROR(__xludf.DUMMYFUNCTION("""COMPUTED_VALUE"""),"")</f>
        <v/>
      </c>
      <c r="P194" s="17" t="str">
        <f>IFERROR(__xludf.DUMMYFUNCTION("""COMPUTED_VALUE"""),"")</f>
        <v/>
      </c>
      <c r="Q194" s="17" t="str">
        <f>IFERROR(__xludf.DUMMYFUNCTION("""COMPUTED_VALUE"""),"")</f>
        <v/>
      </c>
      <c r="R194" s="17" t="str">
        <f>IFERROR(__xludf.DUMMYFUNCTION("""COMPUTED_VALUE"""),"")</f>
        <v/>
      </c>
      <c r="S194" s="17" t="str">
        <f>IFERROR(__xludf.DUMMYFUNCTION("""COMPUTED_VALUE"""),"")</f>
        <v/>
      </c>
      <c r="T194" s="17" t="str">
        <f>IFERROR(__xludf.DUMMYFUNCTION("""COMPUTED_VALUE"""),"")</f>
        <v/>
      </c>
      <c r="U194" s="17" t="str">
        <f>IFERROR(__xludf.DUMMYFUNCTION("""COMPUTED_VALUE"""),"")</f>
        <v/>
      </c>
      <c r="V194" s="17" t="str">
        <f>IFERROR(__xludf.DUMMYFUNCTION("""COMPUTED_VALUE"""),"")</f>
        <v/>
      </c>
      <c r="W194" s="17" t="str">
        <f>IFERROR(__xludf.DUMMYFUNCTION("""COMPUTED_VALUE"""),"")</f>
        <v/>
      </c>
      <c r="X194" s="17" t="str">
        <f>IFERROR(__xludf.DUMMYFUNCTION("""COMPUTED_VALUE"""),"")</f>
        <v/>
      </c>
      <c r="Y194" s="17" t="str">
        <f>IFERROR(__xludf.DUMMYFUNCTION("""COMPUTED_VALUE"""),"")</f>
        <v/>
      </c>
      <c r="Z194" s="17" t="str">
        <f>IFERROR(__xludf.DUMMYFUNCTION("""COMPUTED_VALUE"""),"")</f>
        <v/>
      </c>
      <c r="AA194" s="17" t="str">
        <f>IFERROR(__xludf.DUMMYFUNCTION("""COMPUTED_VALUE"""),"")</f>
        <v/>
      </c>
      <c r="AB194" s="17" t="str">
        <f>IFERROR(__xludf.DUMMYFUNCTION("""COMPUTED_VALUE"""),"")</f>
        <v/>
      </c>
      <c r="AC194" s="17" t="str">
        <f>IFERROR(__xludf.DUMMYFUNCTION("""COMPUTED_VALUE"""),"")</f>
        <v/>
      </c>
    </row>
    <row r="195">
      <c r="A195" s="17" t="str">
        <f>IFERROR(__xludf.DUMMYFUNCTION("""COMPUTED_VALUE"""),"")</f>
        <v/>
      </c>
      <c r="B195" s="17" t="str">
        <f>IFERROR(__xludf.DUMMYFUNCTION("""COMPUTED_VALUE"""),"")</f>
        <v/>
      </c>
      <c r="C195" s="17" t="str">
        <f>IFERROR(__xludf.DUMMYFUNCTION("""COMPUTED_VALUE"""),"")</f>
        <v/>
      </c>
      <c r="D195" s="17" t="str">
        <f>IFERROR(__xludf.DUMMYFUNCTION("""COMPUTED_VALUE"""),"")</f>
        <v/>
      </c>
      <c r="E195" s="17" t="str">
        <f>IFERROR(__xludf.DUMMYFUNCTION("""COMPUTED_VALUE"""),"")</f>
        <v/>
      </c>
      <c r="F195" s="17" t="str">
        <f>IFERROR(__xludf.DUMMYFUNCTION("""COMPUTED_VALUE"""),"")</f>
        <v/>
      </c>
      <c r="G195" s="17" t="str">
        <f>IFERROR(__xludf.DUMMYFUNCTION("""COMPUTED_VALUE"""),"")</f>
        <v/>
      </c>
      <c r="H195" s="17" t="str">
        <f>IFERROR(__xludf.DUMMYFUNCTION("""COMPUTED_VALUE"""),"")</f>
        <v/>
      </c>
      <c r="I195" s="17" t="str">
        <f>IFERROR(__xludf.DUMMYFUNCTION("""COMPUTED_VALUE"""),"")</f>
        <v/>
      </c>
      <c r="J195" s="17" t="str">
        <f>IFERROR(__xludf.DUMMYFUNCTION("""COMPUTED_VALUE"""),"")</f>
        <v/>
      </c>
      <c r="K195" s="17" t="str">
        <f>IFERROR(__xludf.DUMMYFUNCTION("""COMPUTED_VALUE"""),"")</f>
        <v/>
      </c>
      <c r="L195" s="17" t="str">
        <f>IFERROR(__xludf.DUMMYFUNCTION("""COMPUTED_VALUE"""),"")</f>
        <v/>
      </c>
      <c r="M195" s="17" t="str">
        <f>IFERROR(__xludf.DUMMYFUNCTION("""COMPUTED_VALUE"""),"")</f>
        <v/>
      </c>
      <c r="N195" s="17" t="str">
        <f>IFERROR(__xludf.DUMMYFUNCTION("""COMPUTED_VALUE"""),"")</f>
        <v/>
      </c>
      <c r="O195" s="17" t="str">
        <f>IFERROR(__xludf.DUMMYFUNCTION("""COMPUTED_VALUE"""),"")</f>
        <v/>
      </c>
      <c r="P195" s="17" t="str">
        <f>IFERROR(__xludf.DUMMYFUNCTION("""COMPUTED_VALUE"""),"")</f>
        <v/>
      </c>
      <c r="Q195" s="17" t="str">
        <f>IFERROR(__xludf.DUMMYFUNCTION("""COMPUTED_VALUE"""),"")</f>
        <v/>
      </c>
      <c r="R195" s="17" t="str">
        <f>IFERROR(__xludf.DUMMYFUNCTION("""COMPUTED_VALUE"""),"")</f>
        <v/>
      </c>
      <c r="S195" s="17" t="str">
        <f>IFERROR(__xludf.DUMMYFUNCTION("""COMPUTED_VALUE"""),"")</f>
        <v/>
      </c>
      <c r="T195" s="17" t="str">
        <f>IFERROR(__xludf.DUMMYFUNCTION("""COMPUTED_VALUE"""),"")</f>
        <v/>
      </c>
      <c r="U195" s="17" t="str">
        <f>IFERROR(__xludf.DUMMYFUNCTION("""COMPUTED_VALUE"""),"")</f>
        <v/>
      </c>
      <c r="V195" s="17" t="str">
        <f>IFERROR(__xludf.DUMMYFUNCTION("""COMPUTED_VALUE"""),"")</f>
        <v/>
      </c>
      <c r="W195" s="17" t="str">
        <f>IFERROR(__xludf.DUMMYFUNCTION("""COMPUTED_VALUE"""),"")</f>
        <v/>
      </c>
      <c r="X195" s="17" t="str">
        <f>IFERROR(__xludf.DUMMYFUNCTION("""COMPUTED_VALUE"""),"")</f>
        <v/>
      </c>
      <c r="Y195" s="17" t="str">
        <f>IFERROR(__xludf.DUMMYFUNCTION("""COMPUTED_VALUE"""),"")</f>
        <v/>
      </c>
      <c r="Z195" s="17" t="str">
        <f>IFERROR(__xludf.DUMMYFUNCTION("""COMPUTED_VALUE"""),"")</f>
        <v/>
      </c>
      <c r="AA195" s="17" t="str">
        <f>IFERROR(__xludf.DUMMYFUNCTION("""COMPUTED_VALUE"""),"")</f>
        <v/>
      </c>
      <c r="AB195" s="17" t="str">
        <f>IFERROR(__xludf.DUMMYFUNCTION("""COMPUTED_VALUE"""),"")</f>
        <v/>
      </c>
      <c r="AC195" s="17" t="str">
        <f>IFERROR(__xludf.DUMMYFUNCTION("""COMPUTED_VALUE"""),"")</f>
        <v/>
      </c>
    </row>
    <row r="196">
      <c r="A196" s="17" t="str">
        <f>IFERROR(__xludf.DUMMYFUNCTION("""COMPUTED_VALUE"""),"")</f>
        <v/>
      </c>
      <c r="B196" s="17" t="str">
        <f>IFERROR(__xludf.DUMMYFUNCTION("""COMPUTED_VALUE"""),"")</f>
        <v/>
      </c>
      <c r="C196" s="17" t="str">
        <f>IFERROR(__xludf.DUMMYFUNCTION("""COMPUTED_VALUE"""),"")</f>
        <v/>
      </c>
      <c r="D196" s="17" t="str">
        <f>IFERROR(__xludf.DUMMYFUNCTION("""COMPUTED_VALUE"""),"")</f>
        <v/>
      </c>
      <c r="E196" s="17" t="str">
        <f>IFERROR(__xludf.DUMMYFUNCTION("""COMPUTED_VALUE"""),"")</f>
        <v/>
      </c>
      <c r="F196" s="17" t="str">
        <f>IFERROR(__xludf.DUMMYFUNCTION("""COMPUTED_VALUE"""),"")</f>
        <v/>
      </c>
      <c r="G196" s="17" t="str">
        <f>IFERROR(__xludf.DUMMYFUNCTION("""COMPUTED_VALUE"""),"")</f>
        <v/>
      </c>
      <c r="H196" s="17" t="str">
        <f>IFERROR(__xludf.DUMMYFUNCTION("""COMPUTED_VALUE"""),"")</f>
        <v/>
      </c>
      <c r="I196" s="17" t="str">
        <f>IFERROR(__xludf.DUMMYFUNCTION("""COMPUTED_VALUE"""),"")</f>
        <v/>
      </c>
      <c r="J196" s="17" t="str">
        <f>IFERROR(__xludf.DUMMYFUNCTION("""COMPUTED_VALUE"""),"")</f>
        <v/>
      </c>
      <c r="K196" s="17" t="str">
        <f>IFERROR(__xludf.DUMMYFUNCTION("""COMPUTED_VALUE"""),"")</f>
        <v/>
      </c>
      <c r="L196" s="17" t="str">
        <f>IFERROR(__xludf.DUMMYFUNCTION("""COMPUTED_VALUE"""),"")</f>
        <v/>
      </c>
      <c r="M196" s="17" t="str">
        <f>IFERROR(__xludf.DUMMYFUNCTION("""COMPUTED_VALUE"""),"")</f>
        <v/>
      </c>
      <c r="N196" s="17" t="str">
        <f>IFERROR(__xludf.DUMMYFUNCTION("""COMPUTED_VALUE"""),"")</f>
        <v/>
      </c>
      <c r="O196" s="17" t="str">
        <f>IFERROR(__xludf.DUMMYFUNCTION("""COMPUTED_VALUE"""),"")</f>
        <v/>
      </c>
      <c r="P196" s="17" t="str">
        <f>IFERROR(__xludf.DUMMYFUNCTION("""COMPUTED_VALUE"""),"")</f>
        <v/>
      </c>
      <c r="Q196" s="17" t="str">
        <f>IFERROR(__xludf.DUMMYFUNCTION("""COMPUTED_VALUE"""),"")</f>
        <v/>
      </c>
      <c r="R196" s="17" t="str">
        <f>IFERROR(__xludf.DUMMYFUNCTION("""COMPUTED_VALUE"""),"")</f>
        <v/>
      </c>
      <c r="S196" s="17" t="str">
        <f>IFERROR(__xludf.DUMMYFUNCTION("""COMPUTED_VALUE"""),"")</f>
        <v/>
      </c>
      <c r="T196" s="17" t="str">
        <f>IFERROR(__xludf.DUMMYFUNCTION("""COMPUTED_VALUE"""),"")</f>
        <v/>
      </c>
      <c r="U196" s="17" t="str">
        <f>IFERROR(__xludf.DUMMYFUNCTION("""COMPUTED_VALUE"""),"")</f>
        <v/>
      </c>
      <c r="V196" s="17" t="str">
        <f>IFERROR(__xludf.DUMMYFUNCTION("""COMPUTED_VALUE"""),"")</f>
        <v/>
      </c>
      <c r="W196" s="17" t="str">
        <f>IFERROR(__xludf.DUMMYFUNCTION("""COMPUTED_VALUE"""),"")</f>
        <v/>
      </c>
      <c r="X196" s="17" t="str">
        <f>IFERROR(__xludf.DUMMYFUNCTION("""COMPUTED_VALUE"""),"")</f>
        <v/>
      </c>
      <c r="Y196" s="17" t="str">
        <f>IFERROR(__xludf.DUMMYFUNCTION("""COMPUTED_VALUE"""),"")</f>
        <v/>
      </c>
      <c r="Z196" s="17" t="str">
        <f>IFERROR(__xludf.DUMMYFUNCTION("""COMPUTED_VALUE"""),"")</f>
        <v/>
      </c>
      <c r="AA196" s="17" t="str">
        <f>IFERROR(__xludf.DUMMYFUNCTION("""COMPUTED_VALUE"""),"")</f>
        <v/>
      </c>
      <c r="AB196" s="17" t="str">
        <f>IFERROR(__xludf.DUMMYFUNCTION("""COMPUTED_VALUE"""),"")</f>
        <v/>
      </c>
      <c r="AC196" s="17" t="str">
        <f>IFERROR(__xludf.DUMMYFUNCTION("""COMPUTED_VALUE"""),"")</f>
        <v/>
      </c>
    </row>
    <row r="197">
      <c r="A197" s="17" t="str">
        <f>IFERROR(__xludf.DUMMYFUNCTION("""COMPUTED_VALUE"""),"Chapter 13: 10 Overhaul
Mechanist (Final Fantasy VI) 100:
You know how regular technology and magitek function and can repair it if it breaks down. You'll still need the tools and supplies, but at least with this you'll know what you're doing with mechani"&amp;"cal technology. This knowledge can be used to build basic examples of it too, but don't expect to be able to copy anything too complex without getting your hands on the blueprints.
System")</f>
        <v>Chapter 13: 10 Overhaul
Mechanist (Final Fantasy VI) 100:
You know how regular technology and magitek function and can repair it if it breaks down. You'll still need the tools and supplies, but at least with this you'll know what you're doing with mechanical technology. This knowledge can be used to build basic examples of it too, but don't expect to be able to copy anything too complex without getting your hands on the blueprints.
System</v>
      </c>
      <c r="B197" s="17" t="str">
        <f>IFERROR(__xludf.DUMMYFUNCTION("""COMPUTED_VALUE"""),"
")</f>
        <v>
</v>
      </c>
      <c r="C197" s="17" t="str">
        <f>IFERROR(__xludf.DUMMYFUNCTION("""COMPUTED_VALUE"""),"
")</f>
        <v>
</v>
      </c>
      <c r="D197" s="17" t="str">
        <f>IFERROR(__xludf.DUMMYFUNCTION("""COMPUTED_VALUE"""),"
")</f>
        <v>
</v>
      </c>
      <c r="E197" s="17" t="str">
        <f>IFERROR(__xludf.DUMMYFUNCTION("""COMPUTED_VALUE"""),"
")</f>
        <v>
</v>
      </c>
      <c r="F197" s="17" t="str">
        <f>IFERROR(__xludf.DUMMYFUNCTION("""COMPUTED_VALUE"""),"
")</f>
        <v>
</v>
      </c>
      <c r="G197" s="17" t="str">
        <f>IFERROR(__xludf.DUMMYFUNCTION("""COMPUTED_VALUE"""),"
")</f>
        <v>
</v>
      </c>
      <c r="H197" s="17" t="str">
        <f>IFERROR(__xludf.DUMMYFUNCTION("""COMPUTED_VALUE"""),"
")</f>
        <v>
</v>
      </c>
      <c r="I197" s="17" t="str">
        <f>IFERROR(__xludf.DUMMYFUNCTION("""COMPUTED_VALUE"""),"
")</f>
        <v>
</v>
      </c>
      <c r="J197" s="17" t="str">
        <f>IFERROR(__xludf.DUMMYFUNCTION("""COMPUTED_VALUE"""),"
")</f>
        <v>
</v>
      </c>
      <c r="K197" s="17" t="str">
        <f>IFERROR(__xludf.DUMMYFUNCTION("""COMPUTED_VALUE"""),"
")</f>
        <v>
</v>
      </c>
      <c r="L197" s="17" t="str">
        <f>IFERROR(__xludf.DUMMYFUNCTION("""COMPUTED_VALUE"""),"
")</f>
        <v>
</v>
      </c>
      <c r="M197" s="17" t="str">
        <f>IFERROR(__xludf.DUMMYFUNCTION("""COMPUTED_VALUE"""),"
")</f>
        <v>
</v>
      </c>
      <c r="N197" s="17" t="str">
        <f>IFERROR(__xludf.DUMMYFUNCTION("""COMPUTED_VALUE"""),"
")</f>
        <v>
</v>
      </c>
      <c r="O197" s="17" t="str">
        <f>IFERROR(__xludf.DUMMYFUNCTION("""COMPUTED_VALUE"""),"
")</f>
        <v>
</v>
      </c>
      <c r="P197" s="17" t="str">
        <f>IFERROR(__xludf.DUMMYFUNCTION("""COMPUTED_VALUE"""),"
")</f>
        <v>
</v>
      </c>
      <c r="Q197" s="17" t="str">
        <f>IFERROR(__xludf.DUMMYFUNCTION("""COMPUTED_VALUE"""),"
")</f>
        <v>
</v>
      </c>
      <c r="R197" s="17" t="str">
        <f>IFERROR(__xludf.DUMMYFUNCTION("""COMPUTED_VALUE"""),"
")</f>
        <v>
</v>
      </c>
      <c r="S197" s="17" t="str">
        <f>IFERROR(__xludf.DUMMYFUNCTION("""COMPUTED_VALUE"""),"
")</f>
        <v>
</v>
      </c>
      <c r="T197" s="17" t="str">
        <f>IFERROR(__xludf.DUMMYFUNCTION("""COMPUTED_VALUE"""),"
")</f>
        <v>
</v>
      </c>
      <c r="U197" s="17" t="str">
        <f>IFERROR(__xludf.DUMMYFUNCTION("""COMPUTED_VALUE"""),"
")</f>
        <v>
</v>
      </c>
      <c r="V197" s="17" t="str">
        <f>IFERROR(__xludf.DUMMYFUNCTION("""COMPUTED_VALUE"""),"
")</f>
        <v>
</v>
      </c>
      <c r="W197" s="17" t="str">
        <f>IFERROR(__xludf.DUMMYFUNCTION("""COMPUTED_VALUE"""),"
")</f>
        <v>
</v>
      </c>
      <c r="X197" s="17" t="str">
        <f>IFERROR(__xludf.DUMMYFUNCTION("""COMPUTED_VALUE"""),"
")</f>
        <v>
</v>
      </c>
      <c r="Y197" s="17" t="str">
        <f>IFERROR(__xludf.DUMMYFUNCTION("""COMPUTED_VALUE"""),"
")</f>
        <v>
</v>
      </c>
      <c r="Z197" s="17" t="str">
        <f>IFERROR(__xludf.DUMMYFUNCTION("""COMPUTED_VALUE"""),"
")</f>
        <v>
</v>
      </c>
      <c r="AA197" s="17" t="str">
        <f>IFERROR(__xludf.DUMMYFUNCTION("""COMPUTED_VALUE"""),"
")</f>
        <v>
</v>
      </c>
      <c r="AB197" s="17" t="str">
        <f>IFERROR(__xludf.DUMMYFUNCTION("""COMPUTED_VALUE"""),"
")</f>
        <v>
</v>
      </c>
      <c r="AC197" s="17" t="str">
        <f>IFERROR(__xludf.DUMMYFUNCTION("""COMPUTED_VALUE"""),"
")</f>
        <v>
</v>
      </c>
    </row>
    <row r="198">
      <c r="A198" s="17" t="str">
        <f>IFERROR(__xludf.DUMMYFUNCTION("""COMPUTED_VALUE"""),"")</f>
        <v/>
      </c>
      <c r="B198" s="17" t="str">
        <f>IFERROR(__xludf.DUMMYFUNCTION("""COMPUTED_VALUE"""),"")</f>
        <v/>
      </c>
      <c r="C198" s="17" t="str">
        <f>IFERROR(__xludf.DUMMYFUNCTION("""COMPUTED_VALUE"""),"")</f>
        <v/>
      </c>
      <c r="D198" s="17" t="str">
        <f>IFERROR(__xludf.DUMMYFUNCTION("""COMPUTED_VALUE"""),"")</f>
        <v/>
      </c>
      <c r="E198" s="17" t="str">
        <f>IFERROR(__xludf.DUMMYFUNCTION("""COMPUTED_VALUE"""),"")</f>
        <v/>
      </c>
      <c r="F198" s="17" t="str">
        <f>IFERROR(__xludf.DUMMYFUNCTION("""COMPUTED_VALUE"""),"")</f>
        <v/>
      </c>
      <c r="G198" s="17" t="str">
        <f>IFERROR(__xludf.DUMMYFUNCTION("""COMPUTED_VALUE"""),"")</f>
        <v/>
      </c>
      <c r="H198" s="17" t="str">
        <f>IFERROR(__xludf.DUMMYFUNCTION("""COMPUTED_VALUE"""),"")</f>
        <v/>
      </c>
      <c r="I198" s="17" t="str">
        <f>IFERROR(__xludf.DUMMYFUNCTION("""COMPUTED_VALUE"""),"")</f>
        <v/>
      </c>
      <c r="J198" s="17" t="str">
        <f>IFERROR(__xludf.DUMMYFUNCTION("""COMPUTED_VALUE"""),"")</f>
        <v/>
      </c>
      <c r="K198" s="17" t="str">
        <f>IFERROR(__xludf.DUMMYFUNCTION("""COMPUTED_VALUE"""),"")</f>
        <v/>
      </c>
      <c r="L198" s="17" t="str">
        <f>IFERROR(__xludf.DUMMYFUNCTION("""COMPUTED_VALUE"""),"")</f>
        <v/>
      </c>
      <c r="M198" s="17" t="str">
        <f>IFERROR(__xludf.DUMMYFUNCTION("""COMPUTED_VALUE"""),"")</f>
        <v/>
      </c>
      <c r="N198" s="17" t="str">
        <f>IFERROR(__xludf.DUMMYFUNCTION("""COMPUTED_VALUE"""),"")</f>
        <v/>
      </c>
      <c r="O198" s="17" t="str">
        <f>IFERROR(__xludf.DUMMYFUNCTION("""COMPUTED_VALUE"""),"")</f>
        <v/>
      </c>
      <c r="P198" s="17" t="str">
        <f>IFERROR(__xludf.DUMMYFUNCTION("""COMPUTED_VALUE"""),"")</f>
        <v/>
      </c>
      <c r="Q198" s="17" t="str">
        <f>IFERROR(__xludf.DUMMYFUNCTION("""COMPUTED_VALUE"""),"")</f>
        <v/>
      </c>
      <c r="R198" s="17" t="str">
        <f>IFERROR(__xludf.DUMMYFUNCTION("""COMPUTED_VALUE"""),"")</f>
        <v/>
      </c>
      <c r="S198" s="17" t="str">
        <f>IFERROR(__xludf.DUMMYFUNCTION("""COMPUTED_VALUE"""),"")</f>
        <v/>
      </c>
      <c r="T198" s="17" t="str">
        <f>IFERROR(__xludf.DUMMYFUNCTION("""COMPUTED_VALUE"""),"")</f>
        <v/>
      </c>
      <c r="U198" s="17" t="str">
        <f>IFERROR(__xludf.DUMMYFUNCTION("""COMPUTED_VALUE"""),"")</f>
        <v/>
      </c>
      <c r="V198" s="17" t="str">
        <f>IFERROR(__xludf.DUMMYFUNCTION("""COMPUTED_VALUE"""),"")</f>
        <v/>
      </c>
      <c r="W198" s="17" t="str">
        <f>IFERROR(__xludf.DUMMYFUNCTION("""COMPUTED_VALUE"""),"")</f>
        <v/>
      </c>
      <c r="X198" s="17" t="str">
        <f>IFERROR(__xludf.DUMMYFUNCTION("""COMPUTED_VALUE"""),"")</f>
        <v/>
      </c>
      <c r="Y198" s="17" t="str">
        <f>IFERROR(__xludf.DUMMYFUNCTION("""COMPUTED_VALUE"""),"")</f>
        <v/>
      </c>
      <c r="Z198" s="17" t="str">
        <f>IFERROR(__xludf.DUMMYFUNCTION("""COMPUTED_VALUE"""),"")</f>
        <v/>
      </c>
      <c r="AA198" s="17" t="str">
        <f>IFERROR(__xludf.DUMMYFUNCTION("""COMPUTED_VALUE"""),"")</f>
        <v/>
      </c>
      <c r="AB198" s="17" t="str">
        <f>IFERROR(__xludf.DUMMYFUNCTION("""COMPUTED_VALUE"""),"")</f>
        <v/>
      </c>
      <c r="AC198" s="17" t="str">
        <f>IFERROR(__xludf.DUMMYFUNCTION("""COMPUTED_VALUE"""),"")</f>
        <v/>
      </c>
    </row>
    <row r="199">
      <c r="A199" s="17" t="str">
        <f>IFERROR(__xludf.DUMMYFUNCTION("""COMPUTED_VALUE"""),"")</f>
        <v/>
      </c>
      <c r="B199" s="17" t="str">
        <f>IFERROR(__xludf.DUMMYFUNCTION("""COMPUTED_VALUE"""),"")</f>
        <v/>
      </c>
      <c r="C199" s="17" t="str">
        <f>IFERROR(__xludf.DUMMYFUNCTION("""COMPUTED_VALUE"""),"")</f>
        <v/>
      </c>
      <c r="D199" s="17" t="str">
        <f>IFERROR(__xludf.DUMMYFUNCTION("""COMPUTED_VALUE"""),"")</f>
        <v/>
      </c>
      <c r="E199" s="17" t="str">
        <f>IFERROR(__xludf.DUMMYFUNCTION("""COMPUTED_VALUE"""),"")</f>
        <v/>
      </c>
      <c r="F199" s="17" t="str">
        <f>IFERROR(__xludf.DUMMYFUNCTION("""COMPUTED_VALUE"""),"")</f>
        <v/>
      </c>
      <c r="G199" s="17" t="str">
        <f>IFERROR(__xludf.DUMMYFUNCTION("""COMPUTED_VALUE"""),"")</f>
        <v/>
      </c>
      <c r="H199" s="17" t="str">
        <f>IFERROR(__xludf.DUMMYFUNCTION("""COMPUTED_VALUE"""),"")</f>
        <v/>
      </c>
      <c r="I199" s="17" t="str">
        <f>IFERROR(__xludf.DUMMYFUNCTION("""COMPUTED_VALUE"""),"")</f>
        <v/>
      </c>
      <c r="J199" s="17" t="str">
        <f>IFERROR(__xludf.DUMMYFUNCTION("""COMPUTED_VALUE"""),"")</f>
        <v/>
      </c>
      <c r="K199" s="17" t="str">
        <f>IFERROR(__xludf.DUMMYFUNCTION("""COMPUTED_VALUE"""),"")</f>
        <v/>
      </c>
      <c r="L199" s="17" t="str">
        <f>IFERROR(__xludf.DUMMYFUNCTION("""COMPUTED_VALUE"""),"")</f>
        <v/>
      </c>
      <c r="M199" s="17" t="str">
        <f>IFERROR(__xludf.DUMMYFUNCTION("""COMPUTED_VALUE"""),"")</f>
        <v/>
      </c>
      <c r="N199" s="17" t="str">
        <f>IFERROR(__xludf.DUMMYFUNCTION("""COMPUTED_VALUE"""),"")</f>
        <v/>
      </c>
      <c r="O199" s="17" t="str">
        <f>IFERROR(__xludf.DUMMYFUNCTION("""COMPUTED_VALUE"""),"")</f>
        <v/>
      </c>
      <c r="P199" s="17" t="str">
        <f>IFERROR(__xludf.DUMMYFUNCTION("""COMPUTED_VALUE"""),"")</f>
        <v/>
      </c>
      <c r="Q199" s="17" t="str">
        <f>IFERROR(__xludf.DUMMYFUNCTION("""COMPUTED_VALUE"""),"")</f>
        <v/>
      </c>
      <c r="R199" s="17" t="str">
        <f>IFERROR(__xludf.DUMMYFUNCTION("""COMPUTED_VALUE"""),"")</f>
        <v/>
      </c>
      <c r="S199" s="17" t="str">
        <f>IFERROR(__xludf.DUMMYFUNCTION("""COMPUTED_VALUE"""),"")</f>
        <v/>
      </c>
      <c r="T199" s="17" t="str">
        <f>IFERROR(__xludf.DUMMYFUNCTION("""COMPUTED_VALUE"""),"")</f>
        <v/>
      </c>
      <c r="U199" s="17" t="str">
        <f>IFERROR(__xludf.DUMMYFUNCTION("""COMPUTED_VALUE"""),"")</f>
        <v/>
      </c>
      <c r="V199" s="17" t="str">
        <f>IFERROR(__xludf.DUMMYFUNCTION("""COMPUTED_VALUE"""),"")</f>
        <v/>
      </c>
      <c r="W199" s="17" t="str">
        <f>IFERROR(__xludf.DUMMYFUNCTION("""COMPUTED_VALUE"""),"")</f>
        <v/>
      </c>
      <c r="X199" s="17" t="str">
        <f>IFERROR(__xludf.DUMMYFUNCTION("""COMPUTED_VALUE"""),"")</f>
        <v/>
      </c>
      <c r="Y199" s="17" t="str">
        <f>IFERROR(__xludf.DUMMYFUNCTION("""COMPUTED_VALUE"""),"")</f>
        <v/>
      </c>
      <c r="Z199" s="17" t="str">
        <f>IFERROR(__xludf.DUMMYFUNCTION("""COMPUTED_VALUE"""),"")</f>
        <v/>
      </c>
      <c r="AA199" s="17" t="str">
        <f>IFERROR(__xludf.DUMMYFUNCTION("""COMPUTED_VALUE"""),"")</f>
        <v/>
      </c>
      <c r="AB199" s="17" t="str">
        <f>IFERROR(__xludf.DUMMYFUNCTION("""COMPUTED_VALUE"""),"")</f>
        <v/>
      </c>
      <c r="AC199" s="17" t="str">
        <f>IFERROR(__xludf.DUMMYFUNCTION("""COMPUTED_VALUE"""),"")</f>
        <v/>
      </c>
    </row>
    <row r="200">
      <c r="A200" s="17" t="str">
        <f>IFERROR(__xludf.DUMMYFUNCTION("""COMPUTED_VALUE"""),"")</f>
        <v/>
      </c>
      <c r="B200" s="17" t="str">
        <f>IFERROR(__xludf.DUMMYFUNCTION("""COMPUTED_VALUE"""),"")</f>
        <v/>
      </c>
      <c r="C200" s="17" t="str">
        <f>IFERROR(__xludf.DUMMYFUNCTION("""COMPUTED_VALUE"""),"")</f>
        <v/>
      </c>
      <c r="D200" s="17" t="str">
        <f>IFERROR(__xludf.DUMMYFUNCTION("""COMPUTED_VALUE"""),"")</f>
        <v/>
      </c>
      <c r="E200" s="17" t="str">
        <f>IFERROR(__xludf.DUMMYFUNCTION("""COMPUTED_VALUE"""),"")</f>
        <v/>
      </c>
      <c r="F200" s="17" t="str">
        <f>IFERROR(__xludf.DUMMYFUNCTION("""COMPUTED_VALUE"""),"")</f>
        <v/>
      </c>
      <c r="G200" s="17" t="str">
        <f>IFERROR(__xludf.DUMMYFUNCTION("""COMPUTED_VALUE"""),"")</f>
        <v/>
      </c>
      <c r="H200" s="17" t="str">
        <f>IFERROR(__xludf.DUMMYFUNCTION("""COMPUTED_VALUE"""),"")</f>
        <v/>
      </c>
      <c r="I200" s="17" t="str">
        <f>IFERROR(__xludf.DUMMYFUNCTION("""COMPUTED_VALUE"""),"")</f>
        <v/>
      </c>
      <c r="J200" s="17" t="str">
        <f>IFERROR(__xludf.DUMMYFUNCTION("""COMPUTED_VALUE"""),"")</f>
        <v/>
      </c>
      <c r="K200" s="17" t="str">
        <f>IFERROR(__xludf.DUMMYFUNCTION("""COMPUTED_VALUE"""),"")</f>
        <v/>
      </c>
      <c r="L200" s="17" t="str">
        <f>IFERROR(__xludf.DUMMYFUNCTION("""COMPUTED_VALUE"""),"")</f>
        <v/>
      </c>
      <c r="M200" s="17" t="str">
        <f>IFERROR(__xludf.DUMMYFUNCTION("""COMPUTED_VALUE"""),"")</f>
        <v/>
      </c>
      <c r="N200" s="17" t="str">
        <f>IFERROR(__xludf.DUMMYFUNCTION("""COMPUTED_VALUE"""),"")</f>
        <v/>
      </c>
      <c r="O200" s="17" t="str">
        <f>IFERROR(__xludf.DUMMYFUNCTION("""COMPUTED_VALUE"""),"")</f>
        <v/>
      </c>
      <c r="P200" s="17" t="str">
        <f>IFERROR(__xludf.DUMMYFUNCTION("""COMPUTED_VALUE"""),"")</f>
        <v/>
      </c>
      <c r="Q200" s="17" t="str">
        <f>IFERROR(__xludf.DUMMYFUNCTION("""COMPUTED_VALUE"""),"")</f>
        <v/>
      </c>
      <c r="R200" s="17" t="str">
        <f>IFERROR(__xludf.DUMMYFUNCTION("""COMPUTED_VALUE"""),"")</f>
        <v/>
      </c>
      <c r="S200" s="17" t="str">
        <f>IFERROR(__xludf.DUMMYFUNCTION("""COMPUTED_VALUE"""),"")</f>
        <v/>
      </c>
      <c r="T200" s="17" t="str">
        <f>IFERROR(__xludf.DUMMYFUNCTION("""COMPUTED_VALUE"""),"")</f>
        <v/>
      </c>
      <c r="U200" s="17" t="str">
        <f>IFERROR(__xludf.DUMMYFUNCTION("""COMPUTED_VALUE"""),"")</f>
        <v/>
      </c>
      <c r="V200" s="17" t="str">
        <f>IFERROR(__xludf.DUMMYFUNCTION("""COMPUTED_VALUE"""),"")</f>
        <v/>
      </c>
      <c r="W200" s="17" t="str">
        <f>IFERROR(__xludf.DUMMYFUNCTION("""COMPUTED_VALUE"""),"")</f>
        <v/>
      </c>
      <c r="X200" s="17" t="str">
        <f>IFERROR(__xludf.DUMMYFUNCTION("""COMPUTED_VALUE"""),"")</f>
        <v/>
      </c>
      <c r="Y200" s="17" t="str">
        <f>IFERROR(__xludf.DUMMYFUNCTION("""COMPUTED_VALUE"""),"")</f>
        <v/>
      </c>
      <c r="Z200" s="17" t="str">
        <f>IFERROR(__xludf.DUMMYFUNCTION("""COMPUTED_VALUE"""),"")</f>
        <v/>
      </c>
      <c r="AA200" s="17" t="str">
        <f>IFERROR(__xludf.DUMMYFUNCTION("""COMPUTED_VALUE"""),"")</f>
        <v/>
      </c>
      <c r="AB200" s="17" t="str">
        <f>IFERROR(__xludf.DUMMYFUNCTION("""COMPUTED_VALUE"""),"")</f>
        <v/>
      </c>
      <c r="AC200" s="17" t="str">
        <f>IFERROR(__xludf.DUMMYFUNCTION("""COMPUTED_VALUE"""),"")</f>
        <v/>
      </c>
    </row>
    <row r="201">
      <c r="A201" s="17" t="str">
        <f>IFERROR(__xludf.DUMMYFUNCTION("""COMPUTED_VALUE"""),"")</f>
        <v/>
      </c>
      <c r="B201" s="17" t="str">
        <f>IFERROR(__xludf.DUMMYFUNCTION("""COMPUTED_VALUE"""),"")</f>
        <v/>
      </c>
      <c r="C201" s="17" t="str">
        <f>IFERROR(__xludf.DUMMYFUNCTION("""COMPUTED_VALUE"""),"")</f>
        <v/>
      </c>
      <c r="D201" s="17" t="str">
        <f>IFERROR(__xludf.DUMMYFUNCTION("""COMPUTED_VALUE"""),"")</f>
        <v/>
      </c>
      <c r="E201" s="17" t="str">
        <f>IFERROR(__xludf.DUMMYFUNCTION("""COMPUTED_VALUE"""),"")</f>
        <v/>
      </c>
      <c r="F201" s="17" t="str">
        <f>IFERROR(__xludf.DUMMYFUNCTION("""COMPUTED_VALUE"""),"")</f>
        <v/>
      </c>
      <c r="G201" s="17" t="str">
        <f>IFERROR(__xludf.DUMMYFUNCTION("""COMPUTED_VALUE"""),"")</f>
        <v/>
      </c>
      <c r="H201" s="17" t="str">
        <f>IFERROR(__xludf.DUMMYFUNCTION("""COMPUTED_VALUE"""),"")</f>
        <v/>
      </c>
      <c r="I201" s="17" t="str">
        <f>IFERROR(__xludf.DUMMYFUNCTION("""COMPUTED_VALUE"""),"")</f>
        <v/>
      </c>
      <c r="J201" s="17" t="str">
        <f>IFERROR(__xludf.DUMMYFUNCTION("""COMPUTED_VALUE"""),"")</f>
        <v/>
      </c>
      <c r="K201" s="17" t="str">
        <f>IFERROR(__xludf.DUMMYFUNCTION("""COMPUTED_VALUE"""),"")</f>
        <v/>
      </c>
      <c r="L201" s="17" t="str">
        <f>IFERROR(__xludf.DUMMYFUNCTION("""COMPUTED_VALUE"""),"")</f>
        <v/>
      </c>
      <c r="M201" s="17" t="str">
        <f>IFERROR(__xludf.DUMMYFUNCTION("""COMPUTED_VALUE"""),"")</f>
        <v/>
      </c>
      <c r="N201" s="17" t="str">
        <f>IFERROR(__xludf.DUMMYFUNCTION("""COMPUTED_VALUE"""),"")</f>
        <v/>
      </c>
      <c r="O201" s="17" t="str">
        <f>IFERROR(__xludf.DUMMYFUNCTION("""COMPUTED_VALUE"""),"")</f>
        <v/>
      </c>
      <c r="P201" s="17" t="str">
        <f>IFERROR(__xludf.DUMMYFUNCTION("""COMPUTED_VALUE"""),"")</f>
        <v/>
      </c>
      <c r="Q201" s="17" t="str">
        <f>IFERROR(__xludf.DUMMYFUNCTION("""COMPUTED_VALUE"""),"")</f>
        <v/>
      </c>
      <c r="R201" s="17" t="str">
        <f>IFERROR(__xludf.DUMMYFUNCTION("""COMPUTED_VALUE"""),"")</f>
        <v/>
      </c>
      <c r="S201" s="17" t="str">
        <f>IFERROR(__xludf.DUMMYFUNCTION("""COMPUTED_VALUE"""),"")</f>
        <v/>
      </c>
      <c r="T201" s="17" t="str">
        <f>IFERROR(__xludf.DUMMYFUNCTION("""COMPUTED_VALUE"""),"")</f>
        <v/>
      </c>
      <c r="U201" s="17" t="str">
        <f>IFERROR(__xludf.DUMMYFUNCTION("""COMPUTED_VALUE"""),"")</f>
        <v/>
      </c>
      <c r="V201" s="17" t="str">
        <f>IFERROR(__xludf.DUMMYFUNCTION("""COMPUTED_VALUE"""),"")</f>
        <v/>
      </c>
      <c r="W201" s="17" t="str">
        <f>IFERROR(__xludf.DUMMYFUNCTION("""COMPUTED_VALUE"""),"")</f>
        <v/>
      </c>
      <c r="X201" s="17" t="str">
        <f>IFERROR(__xludf.DUMMYFUNCTION("""COMPUTED_VALUE"""),"")</f>
        <v/>
      </c>
      <c r="Y201" s="17" t="str">
        <f>IFERROR(__xludf.DUMMYFUNCTION("""COMPUTED_VALUE"""),"")</f>
        <v/>
      </c>
      <c r="Z201" s="17" t="str">
        <f>IFERROR(__xludf.DUMMYFUNCTION("""COMPUTED_VALUE"""),"")</f>
        <v/>
      </c>
      <c r="AA201" s="17" t="str">
        <f>IFERROR(__xludf.DUMMYFUNCTION("""COMPUTED_VALUE"""),"")</f>
        <v/>
      </c>
      <c r="AB201" s="17" t="str">
        <f>IFERROR(__xludf.DUMMYFUNCTION("""COMPUTED_VALUE"""),"")</f>
        <v/>
      </c>
      <c r="AC201" s="17" t="str">
        <f>IFERROR(__xludf.DUMMYFUNCTION("""COMPUTED_VALUE"""),"")</f>
        <v/>
      </c>
    </row>
    <row r="202">
      <c r="A202" s="17" t="str">
        <f>IFERROR(__xludf.DUMMYFUNCTION("""COMPUTED_VALUE"""),"")</f>
        <v/>
      </c>
      <c r="B202" s="17" t="str">
        <f>IFERROR(__xludf.DUMMYFUNCTION("""COMPUTED_VALUE"""),"")</f>
        <v/>
      </c>
      <c r="C202" s="17" t="str">
        <f>IFERROR(__xludf.DUMMYFUNCTION("""COMPUTED_VALUE"""),"")</f>
        <v/>
      </c>
      <c r="D202" s="17" t="str">
        <f>IFERROR(__xludf.DUMMYFUNCTION("""COMPUTED_VALUE"""),"")</f>
        <v/>
      </c>
      <c r="E202" s="17" t="str">
        <f>IFERROR(__xludf.DUMMYFUNCTION("""COMPUTED_VALUE"""),"")</f>
        <v/>
      </c>
      <c r="F202" s="17" t="str">
        <f>IFERROR(__xludf.DUMMYFUNCTION("""COMPUTED_VALUE"""),"")</f>
        <v/>
      </c>
      <c r="G202" s="17" t="str">
        <f>IFERROR(__xludf.DUMMYFUNCTION("""COMPUTED_VALUE"""),"")</f>
        <v/>
      </c>
      <c r="H202" s="17" t="str">
        <f>IFERROR(__xludf.DUMMYFUNCTION("""COMPUTED_VALUE"""),"")</f>
        <v/>
      </c>
      <c r="I202" s="17" t="str">
        <f>IFERROR(__xludf.DUMMYFUNCTION("""COMPUTED_VALUE"""),"")</f>
        <v/>
      </c>
      <c r="J202" s="17" t="str">
        <f>IFERROR(__xludf.DUMMYFUNCTION("""COMPUTED_VALUE"""),"")</f>
        <v/>
      </c>
      <c r="K202" s="17" t="str">
        <f>IFERROR(__xludf.DUMMYFUNCTION("""COMPUTED_VALUE"""),"")</f>
        <v/>
      </c>
      <c r="L202" s="17" t="str">
        <f>IFERROR(__xludf.DUMMYFUNCTION("""COMPUTED_VALUE"""),"")</f>
        <v/>
      </c>
      <c r="M202" s="17" t="str">
        <f>IFERROR(__xludf.DUMMYFUNCTION("""COMPUTED_VALUE"""),"")</f>
        <v/>
      </c>
      <c r="N202" s="17" t="str">
        <f>IFERROR(__xludf.DUMMYFUNCTION("""COMPUTED_VALUE"""),"")</f>
        <v/>
      </c>
      <c r="O202" s="17" t="str">
        <f>IFERROR(__xludf.DUMMYFUNCTION("""COMPUTED_VALUE"""),"")</f>
        <v/>
      </c>
      <c r="P202" s="17" t="str">
        <f>IFERROR(__xludf.DUMMYFUNCTION("""COMPUTED_VALUE"""),"")</f>
        <v/>
      </c>
      <c r="Q202" s="17" t="str">
        <f>IFERROR(__xludf.DUMMYFUNCTION("""COMPUTED_VALUE"""),"")</f>
        <v/>
      </c>
      <c r="R202" s="17" t="str">
        <f>IFERROR(__xludf.DUMMYFUNCTION("""COMPUTED_VALUE"""),"")</f>
        <v/>
      </c>
      <c r="S202" s="17" t="str">
        <f>IFERROR(__xludf.DUMMYFUNCTION("""COMPUTED_VALUE"""),"")</f>
        <v/>
      </c>
      <c r="T202" s="17" t="str">
        <f>IFERROR(__xludf.DUMMYFUNCTION("""COMPUTED_VALUE"""),"")</f>
        <v/>
      </c>
      <c r="U202" s="17" t="str">
        <f>IFERROR(__xludf.DUMMYFUNCTION("""COMPUTED_VALUE"""),"")</f>
        <v/>
      </c>
      <c r="V202" s="17" t="str">
        <f>IFERROR(__xludf.DUMMYFUNCTION("""COMPUTED_VALUE"""),"")</f>
        <v/>
      </c>
      <c r="W202" s="17" t="str">
        <f>IFERROR(__xludf.DUMMYFUNCTION("""COMPUTED_VALUE"""),"")</f>
        <v/>
      </c>
      <c r="X202" s="17" t="str">
        <f>IFERROR(__xludf.DUMMYFUNCTION("""COMPUTED_VALUE"""),"")</f>
        <v/>
      </c>
      <c r="Y202" s="17" t="str">
        <f>IFERROR(__xludf.DUMMYFUNCTION("""COMPUTED_VALUE"""),"")</f>
        <v/>
      </c>
      <c r="Z202" s="17" t="str">
        <f>IFERROR(__xludf.DUMMYFUNCTION("""COMPUTED_VALUE"""),"")</f>
        <v/>
      </c>
      <c r="AA202" s="17" t="str">
        <f>IFERROR(__xludf.DUMMYFUNCTION("""COMPUTED_VALUE"""),"")</f>
        <v/>
      </c>
      <c r="AB202" s="17" t="str">
        <f>IFERROR(__xludf.DUMMYFUNCTION("""COMPUTED_VALUE"""),"")</f>
        <v/>
      </c>
      <c r="AC202" s="17" t="str">
        <f>IFERROR(__xludf.DUMMYFUNCTION("""COMPUTED_VALUE"""),"")</f>
        <v/>
      </c>
    </row>
    <row r="203">
      <c r="A203" s="17" t="str">
        <f>IFERROR(__xludf.DUMMYFUNCTION("""COMPUTED_VALUE"""),"Chapter 46: 39 Set Up - Addendum Kenta
Technosorcery (Gargoyles) 400:
Combining magic and technology is a no brainer for you. You can handily blend the two to create amazing effects like broadcasting spells over telephone lines or melding creatures togeth"&amp;"er through sorcerous surgery. Very little in the field of technomagic is beyond your reach with this skill.
System")</f>
        <v>Chapter 46: 39 Set Up - Addendum Kenta
Technosorcery (Gargoyles) 400:
Combining magic and technology is a no brainer for you. You can handily blend the two to create amazing effects like broadcasting spells over telephone lines or melding creatures together through sorcerous surgery. Very little in the field of technomagic is beyond your reach with this skill.
System</v>
      </c>
      <c r="B203" s="17" t="str">
        <f>IFERROR(__xludf.DUMMYFUNCTION("""COMPUTED_VALUE"""),"
")</f>
        <v>
</v>
      </c>
      <c r="C203" s="17" t="str">
        <f>IFERROR(__xludf.DUMMYFUNCTION("""COMPUTED_VALUE"""),"
")</f>
        <v>
</v>
      </c>
      <c r="D203" s="17" t="str">
        <f>IFERROR(__xludf.DUMMYFUNCTION("""COMPUTED_VALUE"""),"
")</f>
        <v>
</v>
      </c>
      <c r="E203" s="17" t="str">
        <f>IFERROR(__xludf.DUMMYFUNCTION("""COMPUTED_VALUE"""),"
")</f>
        <v>
</v>
      </c>
      <c r="F203" s="17" t="str">
        <f>IFERROR(__xludf.DUMMYFUNCTION("""COMPUTED_VALUE"""),"
")</f>
        <v>
</v>
      </c>
      <c r="G203" s="17" t="str">
        <f>IFERROR(__xludf.DUMMYFUNCTION("""COMPUTED_VALUE"""),"
")</f>
        <v>
</v>
      </c>
      <c r="H203" s="17" t="str">
        <f>IFERROR(__xludf.DUMMYFUNCTION("""COMPUTED_VALUE"""),"
")</f>
        <v>
</v>
      </c>
      <c r="I203" s="17" t="str">
        <f>IFERROR(__xludf.DUMMYFUNCTION("""COMPUTED_VALUE"""),"
")</f>
        <v>
</v>
      </c>
      <c r="J203" s="17" t="str">
        <f>IFERROR(__xludf.DUMMYFUNCTION("""COMPUTED_VALUE"""),"
")</f>
        <v>
</v>
      </c>
      <c r="K203" s="17" t="str">
        <f>IFERROR(__xludf.DUMMYFUNCTION("""COMPUTED_VALUE"""),"
")</f>
        <v>
</v>
      </c>
      <c r="L203" s="17" t="str">
        <f>IFERROR(__xludf.DUMMYFUNCTION("""COMPUTED_VALUE"""),"
")</f>
        <v>
</v>
      </c>
      <c r="M203" s="17" t="str">
        <f>IFERROR(__xludf.DUMMYFUNCTION("""COMPUTED_VALUE"""),"
")</f>
        <v>
</v>
      </c>
      <c r="N203" s="17" t="str">
        <f>IFERROR(__xludf.DUMMYFUNCTION("""COMPUTED_VALUE"""),"
")</f>
        <v>
</v>
      </c>
      <c r="O203" s="17" t="str">
        <f>IFERROR(__xludf.DUMMYFUNCTION("""COMPUTED_VALUE"""),"
")</f>
        <v>
</v>
      </c>
      <c r="P203" s="17" t="str">
        <f>IFERROR(__xludf.DUMMYFUNCTION("""COMPUTED_VALUE"""),"
")</f>
        <v>
</v>
      </c>
      <c r="Q203" s="17" t="str">
        <f>IFERROR(__xludf.DUMMYFUNCTION("""COMPUTED_VALUE"""),"
")</f>
        <v>
</v>
      </c>
      <c r="R203" s="17" t="str">
        <f>IFERROR(__xludf.DUMMYFUNCTION("""COMPUTED_VALUE"""),"
")</f>
        <v>
</v>
      </c>
      <c r="S203" s="17" t="str">
        <f>IFERROR(__xludf.DUMMYFUNCTION("""COMPUTED_VALUE"""),"
")</f>
        <v>
</v>
      </c>
      <c r="T203" s="17" t="str">
        <f>IFERROR(__xludf.DUMMYFUNCTION("""COMPUTED_VALUE"""),"
")</f>
        <v>
</v>
      </c>
      <c r="U203" s="17" t="str">
        <f>IFERROR(__xludf.DUMMYFUNCTION("""COMPUTED_VALUE"""),"
")</f>
        <v>
</v>
      </c>
      <c r="V203" s="17" t="str">
        <f>IFERROR(__xludf.DUMMYFUNCTION("""COMPUTED_VALUE"""),"
")</f>
        <v>
</v>
      </c>
      <c r="W203" s="17" t="str">
        <f>IFERROR(__xludf.DUMMYFUNCTION("""COMPUTED_VALUE"""),"
")</f>
        <v>
</v>
      </c>
      <c r="X203" s="17" t="str">
        <f>IFERROR(__xludf.DUMMYFUNCTION("""COMPUTED_VALUE"""),"
")</f>
        <v>
</v>
      </c>
      <c r="Y203" s="17" t="str">
        <f>IFERROR(__xludf.DUMMYFUNCTION("""COMPUTED_VALUE"""),"
")</f>
        <v>
</v>
      </c>
      <c r="Z203" s="17" t="str">
        <f>IFERROR(__xludf.DUMMYFUNCTION("""COMPUTED_VALUE"""),"
")</f>
        <v>
</v>
      </c>
      <c r="AA203" s="17" t="str">
        <f>IFERROR(__xludf.DUMMYFUNCTION("""COMPUTED_VALUE"""),"
")</f>
        <v>
</v>
      </c>
      <c r="AB203" s="17" t="str">
        <f>IFERROR(__xludf.DUMMYFUNCTION("""COMPUTED_VALUE"""),"
")</f>
        <v>
</v>
      </c>
      <c r="AC203" s="17" t="str">
        <f>IFERROR(__xludf.DUMMYFUNCTION("""COMPUTED_VALUE"""),"
")</f>
        <v>
</v>
      </c>
    </row>
    <row r="204">
      <c r="A204" s="17" t="str">
        <f>IFERROR(__xludf.DUMMYFUNCTION("""COMPUTED_VALUE"""),"Chapter 37: 31 Consensus - Preamble PHO - Addendum Accord
Setup Wizard (Harry Potter) 200:
You have a natural knack of melding technology and magic. You can easily jury-rig technology to work at Hogwarts. Your inventions could do considerable good for the"&amp;" magical world if they weren’t all such luddites.
System")</f>
        <v>Chapter 37: 31 Consensus - Preamble PHO - Addendum Accord
Setup Wizard (Harry Potter) 200:
You have a natural knack of melding technology and magic. You can easily jury-rig technology to work at Hogwarts. Your inventions could do considerable good for the magical world if they weren’t all such luddites.
System</v>
      </c>
      <c r="B204" s="17" t="str">
        <f>IFERROR(__xludf.DUMMYFUNCTION("""COMPUTED_VALUE"""),"Chapter 37: 31 Consensus - Preamble PHO - Addendum Accord
Wand (Harry Potter) Free:
A wand. You don’t have it yet, mind you, but you’ll get one soon enough on a trip to Ollivanders. You can choose the wood type and between one of the wand cores he produce"&amp;"s wands with (Unicorn Hair, Dragon Heartstring and Phoenix Feather). You may instead choose a more exotic wand core (excluding Thestral Hair and limited to parts from other canonical magical creatures/beings of this world e.g. Thunderbird Tail Feather, Ve"&amp;"ela Hair, etc.) although the three previously mentioned are among the most reliable and powerful. Different cores and woods tend to act a little differently but regardless of what you choose the wand will choose you as soon as you are introduced. Differen"&amp;"t woods may alter your historical personality (for all but Drop-ins) and therefore tendencies very slightly (e.g. Cypress wands tend to choose brave people and you will as such have been a relatively brave child, Blackthorn may result in you being slightl"&amp;"y more combative, etc.). If you already had a wand you may import it into this role and while it will keep it’s wood and core it will gain a significant loyalty boost.
Item")</f>
        <v>Chapter 37: 31 Consensus - Preamble PHO - Addendum Accord
Wand (Harry Potter) Free:
A wand. You don’t have it yet, mind you, but you’ll get one soon enough on a trip to Ollivanders. You can choose the wood type and between one of the wand cores he produces wands with (Unicorn Hair, Dragon Heartstring and Phoenix Feather). You may instead choose a more exotic wand core (excluding Thestral Hair and limited to parts from other canonical magical creatures/beings of this world e.g. Thunderbird Tail Feather, Veela Hair, etc.) although the three previously mentioned are among the most reliable and powerful. Different cores and woods tend to act a little differently but regardless of what you choose the wand will choose you as soon as you are introduced. Different woods may alter your historical personality (for all but Drop-ins) and therefore tendencies very slightly (e.g. Cypress wands tend to choose brave people and you will as such have been a relatively brave child, Blackthorn may result in you being slightly more combative, etc.). If you already had a wand you may import it into this role and while it will keep it’s wood and core it will gain a significant loyalty boost.
Item</v>
      </c>
      <c r="C204" s="17" t="str">
        <f>IFERROR(__xludf.DUMMYFUNCTION("""COMPUTED_VALUE"""),"
")</f>
        <v>
</v>
      </c>
      <c r="D204" s="17" t="str">
        <f>IFERROR(__xludf.DUMMYFUNCTION("""COMPUTED_VALUE"""),"
")</f>
        <v>
</v>
      </c>
      <c r="E204" s="17" t="str">
        <f>IFERROR(__xludf.DUMMYFUNCTION("""COMPUTED_VALUE"""),"
")</f>
        <v>
</v>
      </c>
      <c r="F204" s="17" t="str">
        <f>IFERROR(__xludf.DUMMYFUNCTION("""COMPUTED_VALUE"""),"
")</f>
        <v>
</v>
      </c>
      <c r="G204" s="17" t="str">
        <f>IFERROR(__xludf.DUMMYFUNCTION("""COMPUTED_VALUE"""),"
")</f>
        <v>
</v>
      </c>
      <c r="H204" s="17" t="str">
        <f>IFERROR(__xludf.DUMMYFUNCTION("""COMPUTED_VALUE"""),"
")</f>
        <v>
</v>
      </c>
      <c r="I204" s="17" t="str">
        <f>IFERROR(__xludf.DUMMYFUNCTION("""COMPUTED_VALUE"""),"
")</f>
        <v>
</v>
      </c>
      <c r="J204" s="17" t="str">
        <f>IFERROR(__xludf.DUMMYFUNCTION("""COMPUTED_VALUE"""),"
")</f>
        <v>
</v>
      </c>
      <c r="K204" s="17" t="str">
        <f>IFERROR(__xludf.DUMMYFUNCTION("""COMPUTED_VALUE"""),"
")</f>
        <v>
</v>
      </c>
      <c r="L204" s="17" t="str">
        <f>IFERROR(__xludf.DUMMYFUNCTION("""COMPUTED_VALUE"""),"
")</f>
        <v>
</v>
      </c>
      <c r="M204" s="17" t="str">
        <f>IFERROR(__xludf.DUMMYFUNCTION("""COMPUTED_VALUE"""),"
")</f>
        <v>
</v>
      </c>
      <c r="N204" s="17" t="str">
        <f>IFERROR(__xludf.DUMMYFUNCTION("""COMPUTED_VALUE"""),"
")</f>
        <v>
</v>
      </c>
      <c r="O204" s="17" t="str">
        <f>IFERROR(__xludf.DUMMYFUNCTION("""COMPUTED_VALUE"""),"
")</f>
        <v>
</v>
      </c>
      <c r="P204" s="17" t="str">
        <f>IFERROR(__xludf.DUMMYFUNCTION("""COMPUTED_VALUE"""),"
")</f>
        <v>
</v>
      </c>
      <c r="Q204" s="17" t="str">
        <f>IFERROR(__xludf.DUMMYFUNCTION("""COMPUTED_VALUE"""),"
")</f>
        <v>
</v>
      </c>
      <c r="R204" s="17" t="str">
        <f>IFERROR(__xludf.DUMMYFUNCTION("""COMPUTED_VALUE"""),"
")</f>
        <v>
</v>
      </c>
      <c r="S204" s="17" t="str">
        <f>IFERROR(__xludf.DUMMYFUNCTION("""COMPUTED_VALUE"""),"
")</f>
        <v>
</v>
      </c>
      <c r="T204" s="17" t="str">
        <f>IFERROR(__xludf.DUMMYFUNCTION("""COMPUTED_VALUE"""),"
")</f>
        <v>
</v>
      </c>
      <c r="U204" s="17" t="str">
        <f>IFERROR(__xludf.DUMMYFUNCTION("""COMPUTED_VALUE"""),"
")</f>
        <v>
</v>
      </c>
      <c r="V204" s="17" t="str">
        <f>IFERROR(__xludf.DUMMYFUNCTION("""COMPUTED_VALUE"""),"
")</f>
        <v>
</v>
      </c>
      <c r="W204" s="17" t="str">
        <f>IFERROR(__xludf.DUMMYFUNCTION("""COMPUTED_VALUE"""),"
")</f>
        <v>
</v>
      </c>
      <c r="X204" s="17" t="str">
        <f>IFERROR(__xludf.DUMMYFUNCTION("""COMPUTED_VALUE"""),"
")</f>
        <v>
</v>
      </c>
      <c r="Y204" s="17" t="str">
        <f>IFERROR(__xludf.DUMMYFUNCTION("""COMPUTED_VALUE"""),"
")</f>
        <v>
</v>
      </c>
      <c r="Z204" s="17" t="str">
        <f>IFERROR(__xludf.DUMMYFUNCTION("""COMPUTED_VALUE"""),"
")</f>
        <v>
</v>
      </c>
      <c r="AA204" s="17" t="str">
        <f>IFERROR(__xludf.DUMMYFUNCTION("""COMPUTED_VALUE"""),"
")</f>
        <v>
</v>
      </c>
      <c r="AB204" s="17" t="str">
        <f>IFERROR(__xludf.DUMMYFUNCTION("""COMPUTED_VALUE"""),"
")</f>
        <v>
</v>
      </c>
      <c r="AC204" s="17" t="str">
        <f>IFERROR(__xludf.DUMMYFUNCTION("""COMPUTED_VALUE"""),"
")</f>
        <v>
</v>
      </c>
    </row>
    <row r="205">
      <c r="A205" s="17" t="str">
        <f>IFERROR(__xludf.DUMMYFUNCTION("""COMPUTED_VALUE"""),"")</f>
        <v/>
      </c>
      <c r="B205" s="17" t="str">
        <f>IFERROR(__xludf.DUMMYFUNCTION("""COMPUTED_VALUE"""),"")</f>
        <v/>
      </c>
      <c r="C205" s="17" t="str">
        <f>IFERROR(__xludf.DUMMYFUNCTION("""COMPUTED_VALUE"""),"")</f>
        <v/>
      </c>
      <c r="D205" s="17" t="str">
        <f>IFERROR(__xludf.DUMMYFUNCTION("""COMPUTED_VALUE"""),"")</f>
        <v/>
      </c>
      <c r="E205" s="17" t="str">
        <f>IFERROR(__xludf.DUMMYFUNCTION("""COMPUTED_VALUE"""),"")</f>
        <v/>
      </c>
      <c r="F205" s="17" t="str">
        <f>IFERROR(__xludf.DUMMYFUNCTION("""COMPUTED_VALUE"""),"")</f>
        <v/>
      </c>
      <c r="G205" s="17" t="str">
        <f>IFERROR(__xludf.DUMMYFUNCTION("""COMPUTED_VALUE"""),"")</f>
        <v/>
      </c>
      <c r="H205" s="17" t="str">
        <f>IFERROR(__xludf.DUMMYFUNCTION("""COMPUTED_VALUE"""),"")</f>
        <v/>
      </c>
      <c r="I205" s="17" t="str">
        <f>IFERROR(__xludf.DUMMYFUNCTION("""COMPUTED_VALUE"""),"")</f>
        <v/>
      </c>
      <c r="J205" s="17" t="str">
        <f>IFERROR(__xludf.DUMMYFUNCTION("""COMPUTED_VALUE"""),"")</f>
        <v/>
      </c>
      <c r="K205" s="17" t="str">
        <f>IFERROR(__xludf.DUMMYFUNCTION("""COMPUTED_VALUE"""),"")</f>
        <v/>
      </c>
      <c r="L205" s="17" t="str">
        <f>IFERROR(__xludf.DUMMYFUNCTION("""COMPUTED_VALUE"""),"")</f>
        <v/>
      </c>
      <c r="M205" s="17" t="str">
        <f>IFERROR(__xludf.DUMMYFUNCTION("""COMPUTED_VALUE"""),"")</f>
        <v/>
      </c>
      <c r="N205" s="17" t="str">
        <f>IFERROR(__xludf.DUMMYFUNCTION("""COMPUTED_VALUE"""),"")</f>
        <v/>
      </c>
      <c r="O205" s="17" t="str">
        <f>IFERROR(__xludf.DUMMYFUNCTION("""COMPUTED_VALUE"""),"")</f>
        <v/>
      </c>
      <c r="P205" s="17" t="str">
        <f>IFERROR(__xludf.DUMMYFUNCTION("""COMPUTED_VALUE"""),"")</f>
        <v/>
      </c>
      <c r="Q205" s="17" t="str">
        <f>IFERROR(__xludf.DUMMYFUNCTION("""COMPUTED_VALUE"""),"")</f>
        <v/>
      </c>
      <c r="R205" s="17" t="str">
        <f>IFERROR(__xludf.DUMMYFUNCTION("""COMPUTED_VALUE"""),"")</f>
        <v/>
      </c>
      <c r="S205" s="17" t="str">
        <f>IFERROR(__xludf.DUMMYFUNCTION("""COMPUTED_VALUE"""),"")</f>
        <v/>
      </c>
      <c r="T205" s="17" t="str">
        <f>IFERROR(__xludf.DUMMYFUNCTION("""COMPUTED_VALUE"""),"")</f>
        <v/>
      </c>
      <c r="U205" s="17" t="str">
        <f>IFERROR(__xludf.DUMMYFUNCTION("""COMPUTED_VALUE"""),"")</f>
        <v/>
      </c>
      <c r="V205" s="17" t="str">
        <f>IFERROR(__xludf.DUMMYFUNCTION("""COMPUTED_VALUE"""),"")</f>
        <v/>
      </c>
      <c r="W205" s="17" t="str">
        <f>IFERROR(__xludf.DUMMYFUNCTION("""COMPUTED_VALUE"""),"")</f>
        <v/>
      </c>
      <c r="X205" s="17" t="str">
        <f>IFERROR(__xludf.DUMMYFUNCTION("""COMPUTED_VALUE"""),"")</f>
        <v/>
      </c>
      <c r="Y205" s="17" t="str">
        <f>IFERROR(__xludf.DUMMYFUNCTION("""COMPUTED_VALUE"""),"")</f>
        <v/>
      </c>
      <c r="Z205" s="17" t="str">
        <f>IFERROR(__xludf.DUMMYFUNCTION("""COMPUTED_VALUE"""),"")</f>
        <v/>
      </c>
      <c r="AA205" s="17" t="str">
        <f>IFERROR(__xludf.DUMMYFUNCTION("""COMPUTED_VALUE"""),"")</f>
        <v/>
      </c>
      <c r="AB205" s="17" t="str">
        <f>IFERROR(__xludf.DUMMYFUNCTION("""COMPUTED_VALUE"""),"")</f>
        <v/>
      </c>
      <c r="AC205" s="17" t="str">
        <f>IFERROR(__xludf.DUMMYFUNCTION("""COMPUTED_VALUE"""),"")</f>
        <v/>
      </c>
    </row>
    <row r="206">
      <c r="A206" s="17" t="str">
        <f>IFERROR(__xludf.DUMMYFUNCTION("""COMPUTED_VALUE"""),"")</f>
        <v/>
      </c>
      <c r="B206" s="17" t="str">
        <f>IFERROR(__xludf.DUMMYFUNCTION("""COMPUTED_VALUE"""),"")</f>
        <v/>
      </c>
      <c r="C206" s="17" t="str">
        <f>IFERROR(__xludf.DUMMYFUNCTION("""COMPUTED_VALUE"""),"")</f>
        <v/>
      </c>
      <c r="D206" s="17" t="str">
        <f>IFERROR(__xludf.DUMMYFUNCTION("""COMPUTED_VALUE"""),"")</f>
        <v/>
      </c>
      <c r="E206" s="17" t="str">
        <f>IFERROR(__xludf.DUMMYFUNCTION("""COMPUTED_VALUE"""),"")</f>
        <v/>
      </c>
      <c r="F206" s="17" t="str">
        <f>IFERROR(__xludf.DUMMYFUNCTION("""COMPUTED_VALUE"""),"")</f>
        <v/>
      </c>
      <c r="G206" s="17" t="str">
        <f>IFERROR(__xludf.DUMMYFUNCTION("""COMPUTED_VALUE"""),"")</f>
        <v/>
      </c>
      <c r="H206" s="17" t="str">
        <f>IFERROR(__xludf.DUMMYFUNCTION("""COMPUTED_VALUE"""),"")</f>
        <v/>
      </c>
      <c r="I206" s="17" t="str">
        <f>IFERROR(__xludf.DUMMYFUNCTION("""COMPUTED_VALUE"""),"")</f>
        <v/>
      </c>
      <c r="J206" s="17" t="str">
        <f>IFERROR(__xludf.DUMMYFUNCTION("""COMPUTED_VALUE"""),"")</f>
        <v/>
      </c>
      <c r="K206" s="17" t="str">
        <f>IFERROR(__xludf.DUMMYFUNCTION("""COMPUTED_VALUE"""),"")</f>
        <v/>
      </c>
      <c r="L206" s="17" t="str">
        <f>IFERROR(__xludf.DUMMYFUNCTION("""COMPUTED_VALUE"""),"")</f>
        <v/>
      </c>
      <c r="M206" s="17" t="str">
        <f>IFERROR(__xludf.DUMMYFUNCTION("""COMPUTED_VALUE"""),"")</f>
        <v/>
      </c>
      <c r="N206" s="17" t="str">
        <f>IFERROR(__xludf.DUMMYFUNCTION("""COMPUTED_VALUE"""),"")</f>
        <v/>
      </c>
      <c r="O206" s="17" t="str">
        <f>IFERROR(__xludf.DUMMYFUNCTION("""COMPUTED_VALUE"""),"")</f>
        <v/>
      </c>
      <c r="P206" s="17" t="str">
        <f>IFERROR(__xludf.DUMMYFUNCTION("""COMPUTED_VALUE"""),"")</f>
        <v/>
      </c>
      <c r="Q206" s="17" t="str">
        <f>IFERROR(__xludf.DUMMYFUNCTION("""COMPUTED_VALUE"""),"")</f>
        <v/>
      </c>
      <c r="R206" s="17" t="str">
        <f>IFERROR(__xludf.DUMMYFUNCTION("""COMPUTED_VALUE"""),"")</f>
        <v/>
      </c>
      <c r="S206" s="17" t="str">
        <f>IFERROR(__xludf.DUMMYFUNCTION("""COMPUTED_VALUE"""),"")</f>
        <v/>
      </c>
      <c r="T206" s="17" t="str">
        <f>IFERROR(__xludf.DUMMYFUNCTION("""COMPUTED_VALUE"""),"")</f>
        <v/>
      </c>
      <c r="U206" s="17" t="str">
        <f>IFERROR(__xludf.DUMMYFUNCTION("""COMPUTED_VALUE"""),"")</f>
        <v/>
      </c>
      <c r="V206" s="17" t="str">
        <f>IFERROR(__xludf.DUMMYFUNCTION("""COMPUTED_VALUE"""),"")</f>
        <v/>
      </c>
      <c r="W206" s="17" t="str">
        <f>IFERROR(__xludf.DUMMYFUNCTION("""COMPUTED_VALUE"""),"")</f>
        <v/>
      </c>
      <c r="X206" s="17" t="str">
        <f>IFERROR(__xludf.DUMMYFUNCTION("""COMPUTED_VALUE"""),"")</f>
        <v/>
      </c>
      <c r="Y206" s="17" t="str">
        <f>IFERROR(__xludf.DUMMYFUNCTION("""COMPUTED_VALUE"""),"")</f>
        <v/>
      </c>
      <c r="Z206" s="17" t="str">
        <f>IFERROR(__xludf.DUMMYFUNCTION("""COMPUTED_VALUE"""),"")</f>
        <v/>
      </c>
      <c r="AA206" s="17" t="str">
        <f>IFERROR(__xludf.DUMMYFUNCTION("""COMPUTED_VALUE"""),"")</f>
        <v/>
      </c>
      <c r="AB206" s="17" t="str">
        <f>IFERROR(__xludf.DUMMYFUNCTION("""COMPUTED_VALUE"""),"")</f>
        <v/>
      </c>
      <c r="AC206" s="17" t="str">
        <f>IFERROR(__xludf.DUMMYFUNCTION("""COMPUTED_VALUE"""),"")</f>
        <v/>
      </c>
    </row>
    <row r="207">
      <c r="A207" s="17" t="str">
        <f>IFERROR(__xludf.DUMMYFUNCTION("""COMPUTED_VALUE"""),"")</f>
        <v/>
      </c>
      <c r="B207" s="17" t="str">
        <f>IFERROR(__xludf.DUMMYFUNCTION("""COMPUTED_VALUE"""),"")</f>
        <v/>
      </c>
      <c r="C207" s="17" t="str">
        <f>IFERROR(__xludf.DUMMYFUNCTION("""COMPUTED_VALUE"""),"")</f>
        <v/>
      </c>
      <c r="D207" s="17" t="str">
        <f>IFERROR(__xludf.DUMMYFUNCTION("""COMPUTED_VALUE"""),"")</f>
        <v/>
      </c>
      <c r="E207" s="17" t="str">
        <f>IFERROR(__xludf.DUMMYFUNCTION("""COMPUTED_VALUE"""),"")</f>
        <v/>
      </c>
      <c r="F207" s="17" t="str">
        <f>IFERROR(__xludf.DUMMYFUNCTION("""COMPUTED_VALUE"""),"")</f>
        <v/>
      </c>
      <c r="G207" s="17" t="str">
        <f>IFERROR(__xludf.DUMMYFUNCTION("""COMPUTED_VALUE"""),"")</f>
        <v/>
      </c>
      <c r="H207" s="17" t="str">
        <f>IFERROR(__xludf.DUMMYFUNCTION("""COMPUTED_VALUE"""),"")</f>
        <v/>
      </c>
      <c r="I207" s="17" t="str">
        <f>IFERROR(__xludf.DUMMYFUNCTION("""COMPUTED_VALUE"""),"")</f>
        <v/>
      </c>
      <c r="J207" s="17" t="str">
        <f>IFERROR(__xludf.DUMMYFUNCTION("""COMPUTED_VALUE"""),"")</f>
        <v/>
      </c>
      <c r="K207" s="17" t="str">
        <f>IFERROR(__xludf.DUMMYFUNCTION("""COMPUTED_VALUE"""),"")</f>
        <v/>
      </c>
      <c r="L207" s="17" t="str">
        <f>IFERROR(__xludf.DUMMYFUNCTION("""COMPUTED_VALUE"""),"")</f>
        <v/>
      </c>
      <c r="M207" s="17" t="str">
        <f>IFERROR(__xludf.DUMMYFUNCTION("""COMPUTED_VALUE"""),"")</f>
        <v/>
      </c>
      <c r="N207" s="17" t="str">
        <f>IFERROR(__xludf.DUMMYFUNCTION("""COMPUTED_VALUE"""),"")</f>
        <v/>
      </c>
      <c r="O207" s="17" t="str">
        <f>IFERROR(__xludf.DUMMYFUNCTION("""COMPUTED_VALUE"""),"")</f>
        <v/>
      </c>
      <c r="P207" s="17" t="str">
        <f>IFERROR(__xludf.DUMMYFUNCTION("""COMPUTED_VALUE"""),"")</f>
        <v/>
      </c>
      <c r="Q207" s="17" t="str">
        <f>IFERROR(__xludf.DUMMYFUNCTION("""COMPUTED_VALUE"""),"")</f>
        <v/>
      </c>
      <c r="R207" s="17" t="str">
        <f>IFERROR(__xludf.DUMMYFUNCTION("""COMPUTED_VALUE"""),"")</f>
        <v/>
      </c>
      <c r="S207" s="17" t="str">
        <f>IFERROR(__xludf.DUMMYFUNCTION("""COMPUTED_VALUE"""),"")</f>
        <v/>
      </c>
      <c r="T207" s="17" t="str">
        <f>IFERROR(__xludf.DUMMYFUNCTION("""COMPUTED_VALUE"""),"")</f>
        <v/>
      </c>
      <c r="U207" s="17" t="str">
        <f>IFERROR(__xludf.DUMMYFUNCTION("""COMPUTED_VALUE"""),"")</f>
        <v/>
      </c>
      <c r="V207" s="17" t="str">
        <f>IFERROR(__xludf.DUMMYFUNCTION("""COMPUTED_VALUE"""),"")</f>
        <v/>
      </c>
      <c r="W207" s="17" t="str">
        <f>IFERROR(__xludf.DUMMYFUNCTION("""COMPUTED_VALUE"""),"")</f>
        <v/>
      </c>
      <c r="X207" s="17" t="str">
        <f>IFERROR(__xludf.DUMMYFUNCTION("""COMPUTED_VALUE"""),"")</f>
        <v/>
      </c>
      <c r="Y207" s="17" t="str">
        <f>IFERROR(__xludf.DUMMYFUNCTION("""COMPUTED_VALUE"""),"")</f>
        <v/>
      </c>
      <c r="Z207" s="17" t="str">
        <f>IFERROR(__xludf.DUMMYFUNCTION("""COMPUTED_VALUE"""),"")</f>
        <v/>
      </c>
      <c r="AA207" s="17" t="str">
        <f>IFERROR(__xludf.DUMMYFUNCTION("""COMPUTED_VALUE"""),"")</f>
        <v/>
      </c>
      <c r="AB207" s="17" t="str">
        <f>IFERROR(__xludf.DUMMYFUNCTION("""COMPUTED_VALUE"""),"")</f>
        <v/>
      </c>
      <c r="AC207" s="17" t="str">
        <f>IFERROR(__xludf.DUMMYFUNCTION("""COMPUTED_VALUE"""),"")</f>
        <v/>
      </c>
    </row>
    <row r="208">
      <c r="A208" s="17" t="str">
        <f>IFERROR(__xludf.DUMMYFUNCTION("""COMPUTED_VALUE"""),"")</f>
        <v/>
      </c>
      <c r="B208" s="17" t="str">
        <f>IFERROR(__xludf.DUMMYFUNCTION("""COMPUTED_VALUE"""),"")</f>
        <v/>
      </c>
      <c r="C208" s="17" t="str">
        <f>IFERROR(__xludf.DUMMYFUNCTION("""COMPUTED_VALUE"""),"")</f>
        <v/>
      </c>
      <c r="D208" s="17" t="str">
        <f>IFERROR(__xludf.DUMMYFUNCTION("""COMPUTED_VALUE"""),"")</f>
        <v/>
      </c>
      <c r="E208" s="17" t="str">
        <f>IFERROR(__xludf.DUMMYFUNCTION("""COMPUTED_VALUE"""),"")</f>
        <v/>
      </c>
      <c r="F208" s="17" t="str">
        <f>IFERROR(__xludf.DUMMYFUNCTION("""COMPUTED_VALUE"""),"")</f>
        <v/>
      </c>
      <c r="G208" s="17" t="str">
        <f>IFERROR(__xludf.DUMMYFUNCTION("""COMPUTED_VALUE"""),"")</f>
        <v/>
      </c>
      <c r="H208" s="17" t="str">
        <f>IFERROR(__xludf.DUMMYFUNCTION("""COMPUTED_VALUE"""),"")</f>
        <v/>
      </c>
      <c r="I208" s="17" t="str">
        <f>IFERROR(__xludf.DUMMYFUNCTION("""COMPUTED_VALUE"""),"")</f>
        <v/>
      </c>
      <c r="J208" s="17" t="str">
        <f>IFERROR(__xludf.DUMMYFUNCTION("""COMPUTED_VALUE"""),"")</f>
        <v/>
      </c>
      <c r="K208" s="17" t="str">
        <f>IFERROR(__xludf.DUMMYFUNCTION("""COMPUTED_VALUE"""),"")</f>
        <v/>
      </c>
      <c r="L208" s="17" t="str">
        <f>IFERROR(__xludf.DUMMYFUNCTION("""COMPUTED_VALUE"""),"")</f>
        <v/>
      </c>
      <c r="M208" s="17" t="str">
        <f>IFERROR(__xludf.DUMMYFUNCTION("""COMPUTED_VALUE"""),"")</f>
        <v/>
      </c>
      <c r="N208" s="17" t="str">
        <f>IFERROR(__xludf.DUMMYFUNCTION("""COMPUTED_VALUE"""),"")</f>
        <v/>
      </c>
      <c r="O208" s="17" t="str">
        <f>IFERROR(__xludf.DUMMYFUNCTION("""COMPUTED_VALUE"""),"")</f>
        <v/>
      </c>
      <c r="P208" s="17" t="str">
        <f>IFERROR(__xludf.DUMMYFUNCTION("""COMPUTED_VALUE"""),"")</f>
        <v/>
      </c>
      <c r="Q208" s="17" t="str">
        <f>IFERROR(__xludf.DUMMYFUNCTION("""COMPUTED_VALUE"""),"")</f>
        <v/>
      </c>
      <c r="R208" s="17" t="str">
        <f>IFERROR(__xludf.DUMMYFUNCTION("""COMPUTED_VALUE"""),"")</f>
        <v/>
      </c>
      <c r="S208" s="17" t="str">
        <f>IFERROR(__xludf.DUMMYFUNCTION("""COMPUTED_VALUE"""),"")</f>
        <v/>
      </c>
      <c r="T208" s="17" t="str">
        <f>IFERROR(__xludf.DUMMYFUNCTION("""COMPUTED_VALUE"""),"")</f>
        <v/>
      </c>
      <c r="U208" s="17" t="str">
        <f>IFERROR(__xludf.DUMMYFUNCTION("""COMPUTED_VALUE"""),"")</f>
        <v/>
      </c>
      <c r="V208" s="17" t="str">
        <f>IFERROR(__xludf.DUMMYFUNCTION("""COMPUTED_VALUE"""),"")</f>
        <v/>
      </c>
      <c r="W208" s="17" t="str">
        <f>IFERROR(__xludf.DUMMYFUNCTION("""COMPUTED_VALUE"""),"")</f>
        <v/>
      </c>
      <c r="X208" s="17" t="str">
        <f>IFERROR(__xludf.DUMMYFUNCTION("""COMPUTED_VALUE"""),"")</f>
        <v/>
      </c>
      <c r="Y208" s="17" t="str">
        <f>IFERROR(__xludf.DUMMYFUNCTION("""COMPUTED_VALUE"""),"")</f>
        <v/>
      </c>
      <c r="Z208" s="17" t="str">
        <f>IFERROR(__xludf.DUMMYFUNCTION("""COMPUTED_VALUE"""),"")</f>
        <v/>
      </c>
      <c r="AA208" s="17" t="str">
        <f>IFERROR(__xludf.DUMMYFUNCTION("""COMPUTED_VALUE"""),"")</f>
        <v/>
      </c>
      <c r="AB208" s="17" t="str">
        <f>IFERROR(__xludf.DUMMYFUNCTION("""COMPUTED_VALUE"""),"")</f>
        <v/>
      </c>
      <c r="AC208" s="17" t="str">
        <f>IFERROR(__xludf.DUMMYFUNCTION("""COMPUTED_VALUE"""),"")</f>
        <v/>
      </c>
    </row>
    <row r="209">
      <c r="A209" s="17" t="str">
        <f>IFERROR(__xludf.DUMMYFUNCTION("""COMPUTED_VALUE"""),"")</f>
        <v/>
      </c>
      <c r="B209" s="17" t="str">
        <f>IFERROR(__xludf.DUMMYFUNCTION("""COMPUTED_VALUE"""),"")</f>
        <v/>
      </c>
      <c r="C209" s="17" t="str">
        <f>IFERROR(__xludf.DUMMYFUNCTION("""COMPUTED_VALUE"""),"")</f>
        <v/>
      </c>
      <c r="D209" s="17" t="str">
        <f>IFERROR(__xludf.DUMMYFUNCTION("""COMPUTED_VALUE"""),"")</f>
        <v/>
      </c>
      <c r="E209" s="17" t="str">
        <f>IFERROR(__xludf.DUMMYFUNCTION("""COMPUTED_VALUE"""),"")</f>
        <v/>
      </c>
      <c r="F209" s="17" t="str">
        <f>IFERROR(__xludf.DUMMYFUNCTION("""COMPUTED_VALUE"""),"")</f>
        <v/>
      </c>
      <c r="G209" s="17" t="str">
        <f>IFERROR(__xludf.DUMMYFUNCTION("""COMPUTED_VALUE"""),"")</f>
        <v/>
      </c>
      <c r="H209" s="17" t="str">
        <f>IFERROR(__xludf.DUMMYFUNCTION("""COMPUTED_VALUE"""),"")</f>
        <v/>
      </c>
      <c r="I209" s="17" t="str">
        <f>IFERROR(__xludf.DUMMYFUNCTION("""COMPUTED_VALUE"""),"")</f>
        <v/>
      </c>
      <c r="J209" s="17" t="str">
        <f>IFERROR(__xludf.DUMMYFUNCTION("""COMPUTED_VALUE"""),"")</f>
        <v/>
      </c>
      <c r="K209" s="17" t="str">
        <f>IFERROR(__xludf.DUMMYFUNCTION("""COMPUTED_VALUE"""),"")</f>
        <v/>
      </c>
      <c r="L209" s="17" t="str">
        <f>IFERROR(__xludf.DUMMYFUNCTION("""COMPUTED_VALUE"""),"")</f>
        <v/>
      </c>
      <c r="M209" s="17" t="str">
        <f>IFERROR(__xludf.DUMMYFUNCTION("""COMPUTED_VALUE"""),"")</f>
        <v/>
      </c>
      <c r="N209" s="17" t="str">
        <f>IFERROR(__xludf.DUMMYFUNCTION("""COMPUTED_VALUE"""),"")</f>
        <v/>
      </c>
      <c r="O209" s="17" t="str">
        <f>IFERROR(__xludf.DUMMYFUNCTION("""COMPUTED_VALUE"""),"")</f>
        <v/>
      </c>
      <c r="P209" s="17" t="str">
        <f>IFERROR(__xludf.DUMMYFUNCTION("""COMPUTED_VALUE"""),"")</f>
        <v/>
      </c>
      <c r="Q209" s="17" t="str">
        <f>IFERROR(__xludf.DUMMYFUNCTION("""COMPUTED_VALUE"""),"")</f>
        <v/>
      </c>
      <c r="R209" s="17" t="str">
        <f>IFERROR(__xludf.DUMMYFUNCTION("""COMPUTED_VALUE"""),"")</f>
        <v/>
      </c>
      <c r="S209" s="17" t="str">
        <f>IFERROR(__xludf.DUMMYFUNCTION("""COMPUTED_VALUE"""),"")</f>
        <v/>
      </c>
      <c r="T209" s="17" t="str">
        <f>IFERROR(__xludf.DUMMYFUNCTION("""COMPUTED_VALUE"""),"")</f>
        <v/>
      </c>
      <c r="U209" s="17" t="str">
        <f>IFERROR(__xludf.DUMMYFUNCTION("""COMPUTED_VALUE"""),"")</f>
        <v/>
      </c>
      <c r="V209" s="17" t="str">
        <f>IFERROR(__xludf.DUMMYFUNCTION("""COMPUTED_VALUE"""),"")</f>
        <v/>
      </c>
      <c r="W209" s="17" t="str">
        <f>IFERROR(__xludf.DUMMYFUNCTION("""COMPUTED_VALUE"""),"")</f>
        <v/>
      </c>
      <c r="X209" s="17" t="str">
        <f>IFERROR(__xludf.DUMMYFUNCTION("""COMPUTED_VALUE"""),"")</f>
        <v/>
      </c>
      <c r="Y209" s="17" t="str">
        <f>IFERROR(__xludf.DUMMYFUNCTION("""COMPUTED_VALUE"""),"")</f>
        <v/>
      </c>
      <c r="Z209" s="17" t="str">
        <f>IFERROR(__xludf.DUMMYFUNCTION("""COMPUTED_VALUE"""),"")</f>
        <v/>
      </c>
      <c r="AA209" s="17" t="str">
        <f>IFERROR(__xludf.DUMMYFUNCTION("""COMPUTED_VALUE"""),"")</f>
        <v/>
      </c>
      <c r="AB209" s="17" t="str">
        <f>IFERROR(__xludf.DUMMYFUNCTION("""COMPUTED_VALUE"""),"")</f>
        <v/>
      </c>
      <c r="AC209" s="17" t="str">
        <f>IFERROR(__xludf.DUMMYFUNCTION("""COMPUTED_VALUE"""),"")</f>
        <v/>
      </c>
    </row>
    <row r="210">
      <c r="A210" s="17" t="str">
        <f>IFERROR(__xludf.DUMMYFUNCTION("""COMPUTED_VALUE"""),"")</f>
        <v/>
      </c>
      <c r="B210" s="17" t="str">
        <f>IFERROR(__xludf.DUMMYFUNCTION("""COMPUTED_VALUE"""),"")</f>
        <v/>
      </c>
      <c r="C210" s="17" t="str">
        <f>IFERROR(__xludf.DUMMYFUNCTION("""COMPUTED_VALUE"""),"")</f>
        <v/>
      </c>
      <c r="D210" s="17" t="str">
        <f>IFERROR(__xludf.DUMMYFUNCTION("""COMPUTED_VALUE"""),"")</f>
        <v/>
      </c>
      <c r="E210" s="17" t="str">
        <f>IFERROR(__xludf.DUMMYFUNCTION("""COMPUTED_VALUE"""),"")</f>
        <v/>
      </c>
      <c r="F210" s="17" t="str">
        <f>IFERROR(__xludf.DUMMYFUNCTION("""COMPUTED_VALUE"""),"")</f>
        <v/>
      </c>
      <c r="G210" s="17" t="str">
        <f>IFERROR(__xludf.DUMMYFUNCTION("""COMPUTED_VALUE"""),"")</f>
        <v/>
      </c>
      <c r="H210" s="17" t="str">
        <f>IFERROR(__xludf.DUMMYFUNCTION("""COMPUTED_VALUE"""),"")</f>
        <v/>
      </c>
      <c r="I210" s="17" t="str">
        <f>IFERROR(__xludf.DUMMYFUNCTION("""COMPUTED_VALUE"""),"")</f>
        <v/>
      </c>
      <c r="J210" s="17" t="str">
        <f>IFERROR(__xludf.DUMMYFUNCTION("""COMPUTED_VALUE"""),"")</f>
        <v/>
      </c>
      <c r="K210" s="17" t="str">
        <f>IFERROR(__xludf.DUMMYFUNCTION("""COMPUTED_VALUE"""),"")</f>
        <v/>
      </c>
      <c r="L210" s="17" t="str">
        <f>IFERROR(__xludf.DUMMYFUNCTION("""COMPUTED_VALUE"""),"")</f>
        <v/>
      </c>
      <c r="M210" s="17" t="str">
        <f>IFERROR(__xludf.DUMMYFUNCTION("""COMPUTED_VALUE"""),"")</f>
        <v/>
      </c>
      <c r="N210" s="17" t="str">
        <f>IFERROR(__xludf.DUMMYFUNCTION("""COMPUTED_VALUE"""),"")</f>
        <v/>
      </c>
      <c r="O210" s="17" t="str">
        <f>IFERROR(__xludf.DUMMYFUNCTION("""COMPUTED_VALUE"""),"")</f>
        <v/>
      </c>
      <c r="P210" s="17" t="str">
        <f>IFERROR(__xludf.DUMMYFUNCTION("""COMPUTED_VALUE"""),"")</f>
        <v/>
      </c>
      <c r="Q210" s="17" t="str">
        <f>IFERROR(__xludf.DUMMYFUNCTION("""COMPUTED_VALUE"""),"")</f>
        <v/>
      </c>
      <c r="R210" s="17" t="str">
        <f>IFERROR(__xludf.DUMMYFUNCTION("""COMPUTED_VALUE"""),"")</f>
        <v/>
      </c>
      <c r="S210" s="17" t="str">
        <f>IFERROR(__xludf.DUMMYFUNCTION("""COMPUTED_VALUE"""),"")</f>
        <v/>
      </c>
      <c r="T210" s="17" t="str">
        <f>IFERROR(__xludf.DUMMYFUNCTION("""COMPUTED_VALUE"""),"")</f>
        <v/>
      </c>
      <c r="U210" s="17" t="str">
        <f>IFERROR(__xludf.DUMMYFUNCTION("""COMPUTED_VALUE"""),"")</f>
        <v/>
      </c>
      <c r="V210" s="17" t="str">
        <f>IFERROR(__xludf.DUMMYFUNCTION("""COMPUTED_VALUE"""),"")</f>
        <v/>
      </c>
      <c r="W210" s="17" t="str">
        <f>IFERROR(__xludf.DUMMYFUNCTION("""COMPUTED_VALUE"""),"")</f>
        <v/>
      </c>
      <c r="X210" s="17" t="str">
        <f>IFERROR(__xludf.DUMMYFUNCTION("""COMPUTED_VALUE"""),"")</f>
        <v/>
      </c>
      <c r="Y210" s="17" t="str">
        <f>IFERROR(__xludf.DUMMYFUNCTION("""COMPUTED_VALUE"""),"")</f>
        <v/>
      </c>
      <c r="Z210" s="17" t="str">
        <f>IFERROR(__xludf.DUMMYFUNCTION("""COMPUTED_VALUE"""),"")</f>
        <v/>
      </c>
      <c r="AA210" s="17" t="str">
        <f>IFERROR(__xludf.DUMMYFUNCTION("""COMPUTED_VALUE"""),"")</f>
        <v/>
      </c>
      <c r="AB210" s="17" t="str">
        <f>IFERROR(__xludf.DUMMYFUNCTION("""COMPUTED_VALUE"""),"")</f>
        <v/>
      </c>
      <c r="AC210" s="17" t="str">
        <f>IFERROR(__xludf.DUMMYFUNCTION("""COMPUTED_VALUE"""),"")</f>
        <v/>
      </c>
    </row>
    <row r="211">
      <c r="A211" s="17" t="str">
        <f>IFERROR(__xludf.DUMMYFUNCTION("""COMPUTED_VALUE"""),"")</f>
        <v/>
      </c>
      <c r="B211" s="17" t="str">
        <f>IFERROR(__xludf.DUMMYFUNCTION("""COMPUTED_VALUE"""),"")</f>
        <v/>
      </c>
      <c r="C211" s="17" t="str">
        <f>IFERROR(__xludf.DUMMYFUNCTION("""COMPUTED_VALUE"""),"")</f>
        <v/>
      </c>
      <c r="D211" s="17" t="str">
        <f>IFERROR(__xludf.DUMMYFUNCTION("""COMPUTED_VALUE"""),"")</f>
        <v/>
      </c>
      <c r="E211" s="17" t="str">
        <f>IFERROR(__xludf.DUMMYFUNCTION("""COMPUTED_VALUE"""),"")</f>
        <v/>
      </c>
      <c r="F211" s="17" t="str">
        <f>IFERROR(__xludf.DUMMYFUNCTION("""COMPUTED_VALUE"""),"")</f>
        <v/>
      </c>
      <c r="G211" s="17" t="str">
        <f>IFERROR(__xludf.DUMMYFUNCTION("""COMPUTED_VALUE"""),"")</f>
        <v/>
      </c>
      <c r="H211" s="17" t="str">
        <f>IFERROR(__xludf.DUMMYFUNCTION("""COMPUTED_VALUE"""),"")</f>
        <v/>
      </c>
      <c r="I211" s="17" t="str">
        <f>IFERROR(__xludf.DUMMYFUNCTION("""COMPUTED_VALUE"""),"")</f>
        <v/>
      </c>
      <c r="J211" s="17" t="str">
        <f>IFERROR(__xludf.DUMMYFUNCTION("""COMPUTED_VALUE"""),"")</f>
        <v/>
      </c>
      <c r="K211" s="17" t="str">
        <f>IFERROR(__xludf.DUMMYFUNCTION("""COMPUTED_VALUE"""),"")</f>
        <v/>
      </c>
      <c r="L211" s="17" t="str">
        <f>IFERROR(__xludf.DUMMYFUNCTION("""COMPUTED_VALUE"""),"")</f>
        <v/>
      </c>
      <c r="M211" s="17" t="str">
        <f>IFERROR(__xludf.DUMMYFUNCTION("""COMPUTED_VALUE"""),"")</f>
        <v/>
      </c>
      <c r="N211" s="17" t="str">
        <f>IFERROR(__xludf.DUMMYFUNCTION("""COMPUTED_VALUE"""),"")</f>
        <v/>
      </c>
      <c r="O211" s="17" t="str">
        <f>IFERROR(__xludf.DUMMYFUNCTION("""COMPUTED_VALUE"""),"")</f>
        <v/>
      </c>
      <c r="P211" s="17" t="str">
        <f>IFERROR(__xludf.DUMMYFUNCTION("""COMPUTED_VALUE"""),"")</f>
        <v/>
      </c>
      <c r="Q211" s="17" t="str">
        <f>IFERROR(__xludf.DUMMYFUNCTION("""COMPUTED_VALUE"""),"")</f>
        <v/>
      </c>
      <c r="R211" s="17" t="str">
        <f>IFERROR(__xludf.DUMMYFUNCTION("""COMPUTED_VALUE"""),"")</f>
        <v/>
      </c>
      <c r="S211" s="17" t="str">
        <f>IFERROR(__xludf.DUMMYFUNCTION("""COMPUTED_VALUE"""),"")</f>
        <v/>
      </c>
      <c r="T211" s="17" t="str">
        <f>IFERROR(__xludf.DUMMYFUNCTION("""COMPUTED_VALUE"""),"")</f>
        <v/>
      </c>
      <c r="U211" s="17" t="str">
        <f>IFERROR(__xludf.DUMMYFUNCTION("""COMPUTED_VALUE"""),"")</f>
        <v/>
      </c>
      <c r="V211" s="17" t="str">
        <f>IFERROR(__xludf.DUMMYFUNCTION("""COMPUTED_VALUE"""),"")</f>
        <v/>
      </c>
      <c r="W211" s="17" t="str">
        <f>IFERROR(__xludf.DUMMYFUNCTION("""COMPUTED_VALUE"""),"")</f>
        <v/>
      </c>
      <c r="X211" s="17" t="str">
        <f>IFERROR(__xludf.DUMMYFUNCTION("""COMPUTED_VALUE"""),"")</f>
        <v/>
      </c>
      <c r="Y211" s="17" t="str">
        <f>IFERROR(__xludf.DUMMYFUNCTION("""COMPUTED_VALUE"""),"")</f>
        <v/>
      </c>
      <c r="Z211" s="17" t="str">
        <f>IFERROR(__xludf.DUMMYFUNCTION("""COMPUTED_VALUE"""),"")</f>
        <v/>
      </c>
      <c r="AA211" s="17" t="str">
        <f>IFERROR(__xludf.DUMMYFUNCTION("""COMPUTED_VALUE"""),"")</f>
        <v/>
      </c>
      <c r="AB211" s="17" t="str">
        <f>IFERROR(__xludf.DUMMYFUNCTION("""COMPUTED_VALUE"""),"")</f>
        <v/>
      </c>
      <c r="AC211" s="17" t="str">
        <f>IFERROR(__xludf.DUMMYFUNCTION("""COMPUTED_VALUE"""),"")</f>
        <v/>
      </c>
    </row>
    <row r="212">
      <c r="A212" s="17" t="str">
        <f>IFERROR(__xludf.DUMMYFUNCTION("""COMPUTED_VALUE"""),"Chapter 180: 115 Recontextualize
Magitech (Thundercats 2011) 600:
The combination of magic and technology. Magitech creations are rare and difficult to make but they're also extremely powerful and could easily function after being abandoned for hundreds o"&amp;"f years. Some are even capable of trapping and containing souls
System")</f>
        <v>Chapter 180: 115 Recontextualize
Magitech (Thundercats 2011) 600:
The combination of magic and technology. Magitech creations are rare and difficult to make but they're also extremely powerful and could easily function after being abandoned for hundreds of years. Some are even capable of trapping and containing souls
System</v>
      </c>
      <c r="B212" s="17" t="str">
        <f>IFERROR(__xludf.DUMMYFUNCTION("""COMPUTED_VALUE"""),"Chapter 180: 115 Recontextualize
Old Cloak (Thundercats 2011) Free:
A dull looking piece of clothing that will perfectly conceal your features and help you go unnoticed in large crowds
Item")</f>
        <v>Chapter 180: 115 Recontextualize
Old Cloak (Thundercats 2011) Free:
A dull looking piece of clothing that will perfectly conceal your features and help you go unnoticed in large crowds
Item</v>
      </c>
      <c r="C212" s="17" t="str">
        <f>IFERROR(__xludf.DUMMYFUNCTION("""COMPUTED_VALUE"""),"
")</f>
        <v>
</v>
      </c>
      <c r="D212" s="17" t="str">
        <f>IFERROR(__xludf.DUMMYFUNCTION("""COMPUTED_VALUE"""),"
")</f>
        <v>
</v>
      </c>
      <c r="E212" s="17" t="str">
        <f>IFERROR(__xludf.DUMMYFUNCTION("""COMPUTED_VALUE"""),"
")</f>
        <v>
</v>
      </c>
      <c r="F212" s="17" t="str">
        <f>IFERROR(__xludf.DUMMYFUNCTION("""COMPUTED_VALUE"""),"
")</f>
        <v>
</v>
      </c>
      <c r="G212" s="17" t="str">
        <f>IFERROR(__xludf.DUMMYFUNCTION("""COMPUTED_VALUE"""),"
")</f>
        <v>
</v>
      </c>
      <c r="H212" s="17" t="str">
        <f>IFERROR(__xludf.DUMMYFUNCTION("""COMPUTED_VALUE"""),"
")</f>
        <v>
</v>
      </c>
      <c r="I212" s="17" t="str">
        <f>IFERROR(__xludf.DUMMYFUNCTION("""COMPUTED_VALUE"""),"
")</f>
        <v>
</v>
      </c>
      <c r="J212" s="17" t="str">
        <f>IFERROR(__xludf.DUMMYFUNCTION("""COMPUTED_VALUE"""),"
")</f>
        <v>
</v>
      </c>
      <c r="K212" s="17" t="str">
        <f>IFERROR(__xludf.DUMMYFUNCTION("""COMPUTED_VALUE"""),"
")</f>
        <v>
</v>
      </c>
      <c r="L212" s="17" t="str">
        <f>IFERROR(__xludf.DUMMYFUNCTION("""COMPUTED_VALUE"""),"
")</f>
        <v>
</v>
      </c>
      <c r="M212" s="17" t="str">
        <f>IFERROR(__xludf.DUMMYFUNCTION("""COMPUTED_VALUE"""),"
")</f>
        <v>
</v>
      </c>
      <c r="N212" s="17" t="str">
        <f>IFERROR(__xludf.DUMMYFUNCTION("""COMPUTED_VALUE"""),"
")</f>
        <v>
</v>
      </c>
      <c r="O212" s="17" t="str">
        <f>IFERROR(__xludf.DUMMYFUNCTION("""COMPUTED_VALUE"""),"
")</f>
        <v>
</v>
      </c>
      <c r="P212" s="17" t="str">
        <f>IFERROR(__xludf.DUMMYFUNCTION("""COMPUTED_VALUE"""),"
")</f>
        <v>
</v>
      </c>
      <c r="Q212" s="17" t="str">
        <f>IFERROR(__xludf.DUMMYFUNCTION("""COMPUTED_VALUE"""),"
")</f>
        <v>
</v>
      </c>
      <c r="R212" s="17" t="str">
        <f>IFERROR(__xludf.DUMMYFUNCTION("""COMPUTED_VALUE"""),"
")</f>
        <v>
</v>
      </c>
      <c r="S212" s="17" t="str">
        <f>IFERROR(__xludf.DUMMYFUNCTION("""COMPUTED_VALUE"""),"
")</f>
        <v>
</v>
      </c>
      <c r="T212" s="17" t="str">
        <f>IFERROR(__xludf.DUMMYFUNCTION("""COMPUTED_VALUE"""),"
")</f>
        <v>
</v>
      </c>
      <c r="U212" s="17" t="str">
        <f>IFERROR(__xludf.DUMMYFUNCTION("""COMPUTED_VALUE"""),"
")</f>
        <v>
</v>
      </c>
      <c r="V212" s="17" t="str">
        <f>IFERROR(__xludf.DUMMYFUNCTION("""COMPUTED_VALUE"""),"
")</f>
        <v>
</v>
      </c>
      <c r="W212" s="17" t="str">
        <f>IFERROR(__xludf.DUMMYFUNCTION("""COMPUTED_VALUE"""),"
")</f>
        <v>
</v>
      </c>
      <c r="X212" s="17" t="str">
        <f>IFERROR(__xludf.DUMMYFUNCTION("""COMPUTED_VALUE"""),"
")</f>
        <v>
</v>
      </c>
      <c r="Y212" s="17" t="str">
        <f>IFERROR(__xludf.DUMMYFUNCTION("""COMPUTED_VALUE"""),"
")</f>
        <v>
</v>
      </c>
      <c r="Z212" s="17" t="str">
        <f>IFERROR(__xludf.DUMMYFUNCTION("""COMPUTED_VALUE"""),"
")</f>
        <v>
</v>
      </c>
      <c r="AA212" s="17" t="str">
        <f>IFERROR(__xludf.DUMMYFUNCTION("""COMPUTED_VALUE"""),"
")</f>
        <v>
</v>
      </c>
      <c r="AB212" s="17" t="str">
        <f>IFERROR(__xludf.DUMMYFUNCTION("""COMPUTED_VALUE"""),"
")</f>
        <v>
</v>
      </c>
      <c r="AC212" s="17" t="str">
        <f>IFERROR(__xludf.DUMMYFUNCTION("""COMPUTED_VALUE"""),"
")</f>
        <v>
</v>
      </c>
    </row>
    <row r="213">
      <c r="A213" s="17" t="str">
        <f>IFERROR(__xludf.DUMMYFUNCTION("""COMPUTED_VALUE"""),"")</f>
        <v/>
      </c>
      <c r="B213" s="17" t="str">
        <f>IFERROR(__xludf.DUMMYFUNCTION("""COMPUTED_VALUE"""),"")</f>
        <v/>
      </c>
      <c r="C213" s="17" t="str">
        <f>IFERROR(__xludf.DUMMYFUNCTION("""COMPUTED_VALUE"""),"")</f>
        <v/>
      </c>
      <c r="D213" s="17" t="str">
        <f>IFERROR(__xludf.DUMMYFUNCTION("""COMPUTED_VALUE"""),"")</f>
        <v/>
      </c>
      <c r="E213" s="17" t="str">
        <f>IFERROR(__xludf.DUMMYFUNCTION("""COMPUTED_VALUE"""),"")</f>
        <v/>
      </c>
      <c r="F213" s="17" t="str">
        <f>IFERROR(__xludf.DUMMYFUNCTION("""COMPUTED_VALUE"""),"")</f>
        <v/>
      </c>
      <c r="G213" s="17" t="str">
        <f>IFERROR(__xludf.DUMMYFUNCTION("""COMPUTED_VALUE"""),"")</f>
        <v/>
      </c>
      <c r="H213" s="17" t="str">
        <f>IFERROR(__xludf.DUMMYFUNCTION("""COMPUTED_VALUE"""),"")</f>
        <v/>
      </c>
      <c r="I213" s="17" t="str">
        <f>IFERROR(__xludf.DUMMYFUNCTION("""COMPUTED_VALUE"""),"")</f>
        <v/>
      </c>
      <c r="J213" s="17" t="str">
        <f>IFERROR(__xludf.DUMMYFUNCTION("""COMPUTED_VALUE"""),"")</f>
        <v/>
      </c>
      <c r="K213" s="17" t="str">
        <f>IFERROR(__xludf.DUMMYFUNCTION("""COMPUTED_VALUE"""),"")</f>
        <v/>
      </c>
      <c r="L213" s="17" t="str">
        <f>IFERROR(__xludf.DUMMYFUNCTION("""COMPUTED_VALUE"""),"")</f>
        <v/>
      </c>
      <c r="M213" s="17" t="str">
        <f>IFERROR(__xludf.DUMMYFUNCTION("""COMPUTED_VALUE"""),"")</f>
        <v/>
      </c>
      <c r="N213" s="17" t="str">
        <f>IFERROR(__xludf.DUMMYFUNCTION("""COMPUTED_VALUE"""),"")</f>
        <v/>
      </c>
      <c r="O213" s="17" t="str">
        <f>IFERROR(__xludf.DUMMYFUNCTION("""COMPUTED_VALUE"""),"")</f>
        <v/>
      </c>
      <c r="P213" s="17" t="str">
        <f>IFERROR(__xludf.DUMMYFUNCTION("""COMPUTED_VALUE"""),"")</f>
        <v/>
      </c>
      <c r="Q213" s="17" t="str">
        <f>IFERROR(__xludf.DUMMYFUNCTION("""COMPUTED_VALUE"""),"")</f>
        <v/>
      </c>
      <c r="R213" s="17" t="str">
        <f>IFERROR(__xludf.DUMMYFUNCTION("""COMPUTED_VALUE"""),"")</f>
        <v/>
      </c>
      <c r="S213" s="17" t="str">
        <f>IFERROR(__xludf.DUMMYFUNCTION("""COMPUTED_VALUE"""),"")</f>
        <v/>
      </c>
      <c r="T213" s="17" t="str">
        <f>IFERROR(__xludf.DUMMYFUNCTION("""COMPUTED_VALUE"""),"")</f>
        <v/>
      </c>
      <c r="U213" s="17" t="str">
        <f>IFERROR(__xludf.DUMMYFUNCTION("""COMPUTED_VALUE"""),"")</f>
        <v/>
      </c>
      <c r="V213" s="17" t="str">
        <f>IFERROR(__xludf.DUMMYFUNCTION("""COMPUTED_VALUE"""),"")</f>
        <v/>
      </c>
      <c r="W213" s="17" t="str">
        <f>IFERROR(__xludf.DUMMYFUNCTION("""COMPUTED_VALUE"""),"")</f>
        <v/>
      </c>
      <c r="X213" s="17" t="str">
        <f>IFERROR(__xludf.DUMMYFUNCTION("""COMPUTED_VALUE"""),"")</f>
        <v/>
      </c>
      <c r="Y213" s="17" t="str">
        <f>IFERROR(__xludf.DUMMYFUNCTION("""COMPUTED_VALUE"""),"")</f>
        <v/>
      </c>
      <c r="Z213" s="17" t="str">
        <f>IFERROR(__xludf.DUMMYFUNCTION("""COMPUTED_VALUE"""),"")</f>
        <v/>
      </c>
      <c r="AA213" s="17" t="str">
        <f>IFERROR(__xludf.DUMMYFUNCTION("""COMPUTED_VALUE"""),"")</f>
        <v/>
      </c>
      <c r="AB213" s="17" t="str">
        <f>IFERROR(__xludf.DUMMYFUNCTION("""COMPUTED_VALUE"""),"")</f>
        <v/>
      </c>
      <c r="AC213" s="17" t="str">
        <f>IFERROR(__xludf.DUMMYFUNCTION("""COMPUTED_VALUE"""),"")</f>
        <v/>
      </c>
    </row>
    <row r="214">
      <c r="A214" s="17" t="str">
        <f>IFERROR(__xludf.DUMMYFUNCTION("""COMPUTED_VALUE"""),"Chapter 01: 1 Introduction
Access Key (Personal Reality) Free:
This is a special key which lets you access your Personal Reality and its contents. When inserted into any lock on any door, the door opens to reveal a gateway into your Reality at a predeterm"&amp;"ined location within it. You are the only person who can take the key from the lock, the gateway remains open as long as the key is in the lock, and if key is ever lost or stolen you will find it in your pocket a few minutes later. You cannot close the do"&amp;"or as long as you are inside the Personal Reality.
Item")</f>
        <v>Chapter 01: 1 Introduction
Access Key (Personal Reality) Free:
This is a special key which lets you access your Personal Reality and its contents. When inserted into any lock on any door, the door opens to reveal a gateway into your Reality at a predetermined location within it. You are the only person who can take the key from the lock, the gateway remains open as long as the key is in the lock, and if key is ever lost or stolen you will find it in your pocket a few minutes later. You cannot close the door as long as you are inside the Personal Reality.
Item</v>
      </c>
      <c r="B214" s="17" t="str">
        <f>IFERROR(__xludf.DUMMYFUNCTION("""COMPUTED_VALUE"""),"Chapter 97: 70 Media Presence
Key Link (Personal Reality) 50:
With this Access Key Upgrade, you can now close the door while you are in the Personal Reality and use your key in a special podium in the entryway to link your Personal Reality Door to any doo"&amp;"r in your current Host Reality that you’ve previously used your Access Key on. If you have extra keys, any door opened by any of them can be accessed. You may also use a recall function to bring up a list of all the doors that have been accessed by any ke"&amp;"y, thus allowing you to follow a Companion should you so desire.
Facility")</f>
        <v>Chapter 97: 70 Media Presence
Key Link (Personal Reality) 50:
With this Access Key Upgrade, you can now close the door while you are in the Personal Reality and use your key in a special podium in the entryway to link your Personal Reality Door to any door in your current Host Reality that you’ve previously used your Access Key on. If you have extra keys, any door opened by any of them can be accessed. You may also use a recall function to bring up a list of all the doors that have been accessed by any key, thus allowing you to follow a Companion should you so desire.
Facility</v>
      </c>
      <c r="C214" s="17" t="str">
        <f>IFERROR(__xludf.DUMMYFUNCTION("""COMPUTED_VALUE"""),"
")</f>
        <v>
</v>
      </c>
      <c r="D214" s="17" t="str">
        <f>IFERROR(__xludf.DUMMYFUNCTION("""COMPUTED_VALUE"""),"
")</f>
        <v>
</v>
      </c>
      <c r="E214" s="17" t="str">
        <f>IFERROR(__xludf.DUMMYFUNCTION("""COMPUTED_VALUE"""),"
")</f>
        <v>
</v>
      </c>
      <c r="F214" s="17" t="str">
        <f>IFERROR(__xludf.DUMMYFUNCTION("""COMPUTED_VALUE"""),"
")</f>
        <v>
</v>
      </c>
      <c r="G214" s="17" t="str">
        <f>IFERROR(__xludf.DUMMYFUNCTION("""COMPUTED_VALUE"""),"
")</f>
        <v>
</v>
      </c>
      <c r="H214" s="17" t="str">
        <f>IFERROR(__xludf.DUMMYFUNCTION("""COMPUTED_VALUE"""),"
")</f>
        <v>
</v>
      </c>
      <c r="I214" s="17" t="str">
        <f>IFERROR(__xludf.DUMMYFUNCTION("""COMPUTED_VALUE"""),"
")</f>
        <v>
</v>
      </c>
      <c r="J214" s="17" t="str">
        <f>IFERROR(__xludf.DUMMYFUNCTION("""COMPUTED_VALUE"""),"
")</f>
        <v>
</v>
      </c>
      <c r="K214" s="17" t="str">
        <f>IFERROR(__xludf.DUMMYFUNCTION("""COMPUTED_VALUE"""),"
")</f>
        <v>
</v>
      </c>
      <c r="L214" s="17" t="str">
        <f>IFERROR(__xludf.DUMMYFUNCTION("""COMPUTED_VALUE"""),"
")</f>
        <v>
</v>
      </c>
      <c r="M214" s="17" t="str">
        <f>IFERROR(__xludf.DUMMYFUNCTION("""COMPUTED_VALUE"""),"
")</f>
        <v>
</v>
      </c>
      <c r="N214" s="17" t="str">
        <f>IFERROR(__xludf.DUMMYFUNCTION("""COMPUTED_VALUE"""),"
")</f>
        <v>
</v>
      </c>
      <c r="O214" s="17" t="str">
        <f>IFERROR(__xludf.DUMMYFUNCTION("""COMPUTED_VALUE"""),"
")</f>
        <v>
</v>
      </c>
      <c r="P214" s="17" t="str">
        <f>IFERROR(__xludf.DUMMYFUNCTION("""COMPUTED_VALUE"""),"
")</f>
        <v>
</v>
      </c>
      <c r="Q214" s="17" t="str">
        <f>IFERROR(__xludf.DUMMYFUNCTION("""COMPUTED_VALUE"""),"
")</f>
        <v>
</v>
      </c>
      <c r="R214" s="17" t="str">
        <f>IFERROR(__xludf.DUMMYFUNCTION("""COMPUTED_VALUE"""),"
")</f>
        <v>
</v>
      </c>
      <c r="S214" s="17" t="str">
        <f>IFERROR(__xludf.DUMMYFUNCTION("""COMPUTED_VALUE"""),"
")</f>
        <v>
</v>
      </c>
      <c r="T214" s="17" t="str">
        <f>IFERROR(__xludf.DUMMYFUNCTION("""COMPUTED_VALUE"""),"
")</f>
        <v>
</v>
      </c>
      <c r="U214" s="17" t="str">
        <f>IFERROR(__xludf.DUMMYFUNCTION("""COMPUTED_VALUE"""),"
")</f>
        <v>
</v>
      </c>
      <c r="V214" s="17" t="str">
        <f>IFERROR(__xludf.DUMMYFUNCTION("""COMPUTED_VALUE"""),"
")</f>
        <v>
</v>
      </c>
      <c r="W214" s="17" t="str">
        <f>IFERROR(__xludf.DUMMYFUNCTION("""COMPUTED_VALUE"""),"
")</f>
        <v>
</v>
      </c>
      <c r="X214" s="17" t="str">
        <f>IFERROR(__xludf.DUMMYFUNCTION("""COMPUTED_VALUE"""),"
")</f>
        <v>
</v>
      </c>
      <c r="Y214" s="17" t="str">
        <f>IFERROR(__xludf.DUMMYFUNCTION("""COMPUTED_VALUE"""),"
")</f>
        <v>
</v>
      </c>
      <c r="Z214" s="17" t="str">
        <f>IFERROR(__xludf.DUMMYFUNCTION("""COMPUTED_VALUE"""),"
")</f>
        <v>
</v>
      </c>
      <c r="AA214" s="17" t="str">
        <f>IFERROR(__xludf.DUMMYFUNCTION("""COMPUTED_VALUE"""),"
")</f>
        <v>
</v>
      </c>
      <c r="AB214" s="17" t="str">
        <f>IFERROR(__xludf.DUMMYFUNCTION("""COMPUTED_VALUE"""),"
")</f>
        <v>
</v>
      </c>
      <c r="AC214" s="17" t="str">
        <f>IFERROR(__xludf.DUMMYFUNCTION("""COMPUTED_VALUE"""),"
")</f>
        <v>
</v>
      </c>
    </row>
    <row r="215">
      <c r="A215" s="17" t="str">
        <f>IFERROR(__xludf.DUMMYFUNCTION("""COMPUTED_VALUE"""),"Chapter 81: 62 Summit Consensus
Starting Space (Personal Reality) Free:
Your Personal Reality starts out with volume of 80 x 80 x 10 meters, so 6,400 square meters of floor space or 64,000 cubic meters of storage volume. In the archaic and silly ‘Imperial"&amp;"' measuring system this translates to 262.5 x 262.5 x 32.8 feet, so 68,889 square feet or 2,260,138 cubic feet.
Facility")</f>
        <v>Chapter 81: 62 Summit Consensus
Starting Space (Personal Reality) Free:
Your Personal Reality starts out with volume of 80 x 80 x 10 meters, so 6,400 square meters of floor space or 64,000 cubic meters of storage volume. In the archaic and silly ‘Imperial' measuring system this translates to 262.5 x 262.5 x 32.8 feet, so 68,889 square feet or 2,260,138 cubic feet.
Facility</v>
      </c>
      <c r="B215" s="17" t="str">
        <f>IFERROR(__xludf.DUMMYFUNCTION("""COMPUTED_VALUE"""),"Chapter 96: 69 Magic Instruction
Additional Space (Personal Reality) 200:
This Starting Space Upgrade expands your Personal Reality by a factor of 10 in each dimension… or rather the standard three dimensions, you rabid cheeselord. This can be purchased m"&amp;"ultiple times. Additional Space also upgrades various expansion options. The first purchase of this brings you to 64 Million Cubic Meters, then 64 Billion Cubic Meters, then 64 Trillion Cubic Meters. Earth’s volume, for reference, is 1 Hexillion Cubic Met"&amp;"ers and it’s surface area is 510 Quadrillion Square Meters. Cover the Earth in storage facilities 100 meters high and you get 51 Quintillion Cubic Meters of Storage space. Repeatable
Facility")</f>
        <v>Chapter 96: 69 Magic Instruction
Additional Space (Personal Reality) 200:
This Starting Space Upgrade expands your Personal Reality by a factor of 10 in each dimension… or rather the standard three dimensions, you rabid cheeselord. This can be purchased multiple times. Additional Space also upgrades various expansion options. The first purchase of this brings you to 64 Million Cubic Meters, then 64 Billion Cubic Meters, then 64 Trillion Cubic Meters. Earth’s volume, for reference, is 1 Hexillion Cubic Meters and it’s surface area is 510 Quadrillion Square Meters. Cover the Earth in storage facilities 100 meters high and you get 51 Quintillion Cubic Meters of Storage space. Repeatable
Facility</v>
      </c>
      <c r="C215" s="17" t="str">
        <f>IFERROR(__xludf.DUMMYFUNCTION("""COMPUTED_VALUE"""),"Chapter 109: 78 Consolidation
Additional Space (Personal Reality) 200:
This Starting Space Upgrade expands your Personal Reality by a factor of 10 in each dimension… or rather the standard three dimensions, you rabid cheeselord. This can be purchased mult"&amp;"iple times. Additional Space also upgrades various expansion options. The first purchase of this brings you to 64 Million Cubic Meters, then 64 Billion Cubic Meters, then 64 Trillion Cubic Meters. Earth’s volume, for reference, is 1 Hexillion Cubic Meters"&amp;" and it’s surface area is 510 Quadrillion Square Meters. Cover the Earth in storage facilities 100 meters high and you get 51 Quintillion Cubic Meters of Storage space.
Facility")</f>
        <v>Chapter 109: 78 Consolidation
Additional Space (Personal Reality) 200:
This Starting Space Upgrade expands your Personal Reality by a factor of 10 in each dimension… or rather the standard three dimensions, you rabid cheeselord. This can be purchased multiple times. Additional Space also upgrades various expansion options. The first purchase of this brings you to 64 Million Cubic Meters, then 64 Billion Cubic Meters, then 64 Trillion Cubic Meters. Earth’s volume, for reference, is 1 Hexillion Cubic Meters and it’s surface area is 510 Quadrillion Square Meters. Cover the Earth in storage facilities 100 meters high and you get 51 Quintillion Cubic Meters of Storage space.
Facility</v>
      </c>
      <c r="D215" s="17" t="str">
        <f>IFERROR(__xludf.DUMMYFUNCTION("""COMPUTED_VALUE"""),"Chapter 118: 85 Drop Off
Additional Space - Starting Area (Personal Reality) 200:
This Starting Space Upgrade expands your Personal Reality by a factor of 10 in each dimension… or rather the standard three dimensions, you rabid cheeselord. This can be pur"&amp;"chased multiple times. Additional Space also upgrades various expansion options. The first purchase of this brings you to 64 Million Cubic Meters, then 64 Billion Cubic Meters, then 64 Trillion Cubic Meters. Earth’s volume, for reference, is 1 Hexillion C"&amp;"ubic Meters and it’s surface area is 510 Quadrillion Square Meters. Cover the Earth in storage facilities 100 meters high and you get 51 Quintillion Cubic Meters of Storage space.
Facility")</f>
        <v>Chapter 118: 85 Drop Off
Additional Space - Starting Area (Personal Reality) 200:
This Starting Space Upgrade expands your Personal Reality by a factor of 10 in each dimension… or rather the standard three dimensions, you rabid cheeselord. This can be purchased multiple times. Additional Space also upgrades various expansion options. The first purchase of this brings you to 64 Million Cubic Meters, then 64 Billion Cubic Meters, then 64 Trillion Cubic Meters. Earth’s volume, for reference, is 1 Hexillion Cubic Meters and it’s surface area is 510 Quadrillion Square Meters. Cover the Earth in storage facilities 100 meters high and you get 51 Quintillion Cubic Meters of Storage space.
Facility</v>
      </c>
      <c r="E215" s="17" t="str">
        <f>IFERROR(__xludf.DUMMYFUNCTION("""COMPUTED_VALUE"""),"Chapter 118: 85 Drop Off
Additional Space – Lofty Loft (Personal Reality) 200:
This Starting Space Upgrade expands your Personal Reality by a factor of 10 in each dimension… or rather the standard three dimensions, you rabid cheeselord. This can be purcha"&amp;"sed multiple times. Additional Space also upgrades various expansion options. The first purchase of this brings you to 64 Million Cubic Meters, then 64 Billion Cubic Meters, then 64 Trillion Cubic Meters. Earth’s volume, for reference, is 1 Hexillion Cubi"&amp;"c Meters and it’s surface area is 510 Quadrillion Square Meters. Cover the Earth in storage facilities 100 meters high and you get 51 Quintillion Cubic Meters of Storage space.
Facility")</f>
        <v>Chapter 118: 85 Drop Off
Additional Space – Lofty Loft (Personal Reality) 200:
This Starting Space Upgrade expands your Personal Reality by a factor of 10 in each dimension… or rather the standard three dimensions, you rabid cheeselord. This can be purchased multiple times. Additional Space also upgrades various expansion options. The first purchase of this brings you to 64 Million Cubic Meters, then 64 Billion Cubic Meters, then 64 Trillion Cubic Meters. Earth’s volume, for reference, is 1 Hexillion Cubic Meters and it’s surface area is 510 Quadrillion Square Meters. Cover the Earth in storage facilities 100 meters high and you get 51 Quintillion Cubic Meters of Storage space.
Facility</v>
      </c>
      <c r="F215" s="17" t="str">
        <f>IFERROR(__xludf.DUMMYFUNCTION("""COMPUTED_VALUE"""),"Chapter 142: 97 Confrontations – Preamble Carol
Additional Space - Starting Area (Personal Reality) 200:
This Starting Space Upgrade expands your Personal Reality by a factor of 10 in each dimension… or rather the standard three dimensions, you rabid chee"&amp;"selord. This can be purchased multiple times. Additional Space also upgrades various expansion options. The first purchase of this brings you to 64 Million Cubic Meters, then 64 Billion Cubic Meters, then 64 Trillion Cubic Meters. Earth’s volume, for refe"&amp;"rence, is 1 Hexillion Cubic Meters and it’s surface area is 510 Quadrillion Square Meters. Cover the Earth in storage facilities 100 meters high and you get 51 Quintillion Cubic Meters of Storage space.
Facility")</f>
        <v>Chapter 142: 97 Confrontations – Preamble Carol
Additional Space - Starting Area (Personal Reality) 200:
This Starting Space Upgrade expands your Personal Reality by a factor of 10 in each dimension… or rather the standard three dimensions, you rabid cheeselord. This can be purchased multiple times. Additional Space also upgrades various expansion options. The first purchase of this brings you to 64 Million Cubic Meters, then 64 Billion Cubic Meters, then 64 Trillion Cubic Meters. Earth’s volume, for reference, is 1 Hexillion Cubic Meters and it’s surface area is 510 Quadrillion Square Meters. Cover the Earth in storage facilities 100 meters high and you get 51 Quintillion Cubic Meters of Storage space.
Facility</v>
      </c>
      <c r="G215" s="17" t="str">
        <f>IFERROR(__xludf.DUMMYFUNCTION("""COMPUTED_VALUE"""),"Chapter 142: 97 Confrontations – Preamble Carol
Additional Space – Lofty Loft (Personal Reality) 200:
This Starting Space Upgrade expands your Personal Reality by a factor of 10 in each dimension… or rather the standard three dimensions, you rabid cheesel"&amp;"ord. This can be purchased multiple times. Additional Space also upgrades various expansion options. The first purchase of this brings you to 64 Million Cubic Meters, then 64 Billion Cubic Meters, then 64 Trillion Cubic Meters. Earth’s volume, for referen"&amp;"ce, is 1 Hexillion Cubic Meters and it’s surface area is 510 Quadrillion Square Meters. Cover the Earth in storage facilities 100 meters high and you get 51 Quintillion Cubic Meters of Storage space.
Facility")</f>
        <v>Chapter 142: 97 Confrontations – Preamble Carol
Additional Space – Lofty Loft (Personal Reality) 200:
This Starting Space Upgrade expands your Personal Reality by a factor of 10 in each dimension… or rather the standard three dimensions, you rabid cheeselord. This can be purchased multiple times. Additional Space also upgrades various expansion options. The first purchase of this brings you to 64 Million Cubic Meters, then 64 Billion Cubic Meters, then 64 Trillion Cubic Meters. Earth’s volume, for reference, is 1 Hexillion Cubic Meters and it’s surface area is 510 Quadrillion Square Meters. Cover the Earth in storage facilities 100 meters high and you get 51 Quintillion Cubic Meters of Storage space.
Facility</v>
      </c>
      <c r="H215" s="17" t="str">
        <f>IFERROR(__xludf.DUMMYFUNCTION("""COMPUTED_VALUE"""),"
")</f>
        <v>
</v>
      </c>
      <c r="I215" s="17" t="str">
        <f>IFERROR(__xludf.DUMMYFUNCTION("""COMPUTED_VALUE"""),"
")</f>
        <v>
</v>
      </c>
      <c r="J215" s="17" t="str">
        <f>IFERROR(__xludf.DUMMYFUNCTION("""COMPUTED_VALUE"""),"
")</f>
        <v>
</v>
      </c>
      <c r="K215" s="17" t="str">
        <f>IFERROR(__xludf.DUMMYFUNCTION("""COMPUTED_VALUE"""),"
")</f>
        <v>
</v>
      </c>
      <c r="L215" s="17" t="str">
        <f>IFERROR(__xludf.DUMMYFUNCTION("""COMPUTED_VALUE"""),"
")</f>
        <v>
</v>
      </c>
      <c r="M215" s="17" t="str">
        <f>IFERROR(__xludf.DUMMYFUNCTION("""COMPUTED_VALUE"""),"
")</f>
        <v>
</v>
      </c>
      <c r="N215" s="17" t="str">
        <f>IFERROR(__xludf.DUMMYFUNCTION("""COMPUTED_VALUE"""),"
")</f>
        <v>
</v>
      </c>
      <c r="O215" s="17" t="str">
        <f>IFERROR(__xludf.DUMMYFUNCTION("""COMPUTED_VALUE"""),"
")</f>
        <v>
</v>
      </c>
      <c r="P215" s="17" t="str">
        <f>IFERROR(__xludf.DUMMYFUNCTION("""COMPUTED_VALUE"""),"
")</f>
        <v>
</v>
      </c>
      <c r="Q215" s="17" t="str">
        <f>IFERROR(__xludf.DUMMYFUNCTION("""COMPUTED_VALUE"""),"
")</f>
        <v>
</v>
      </c>
      <c r="R215" s="17" t="str">
        <f>IFERROR(__xludf.DUMMYFUNCTION("""COMPUTED_VALUE"""),"
")</f>
        <v>
</v>
      </c>
      <c r="S215" s="17" t="str">
        <f>IFERROR(__xludf.DUMMYFUNCTION("""COMPUTED_VALUE"""),"
")</f>
        <v>
</v>
      </c>
      <c r="T215" s="17" t="str">
        <f>IFERROR(__xludf.DUMMYFUNCTION("""COMPUTED_VALUE"""),"
")</f>
        <v>
</v>
      </c>
      <c r="U215" s="17" t="str">
        <f>IFERROR(__xludf.DUMMYFUNCTION("""COMPUTED_VALUE"""),"
")</f>
        <v>
</v>
      </c>
      <c r="V215" s="17" t="str">
        <f>IFERROR(__xludf.DUMMYFUNCTION("""COMPUTED_VALUE"""),"
")</f>
        <v>
</v>
      </c>
      <c r="W215" s="17" t="str">
        <f>IFERROR(__xludf.DUMMYFUNCTION("""COMPUTED_VALUE"""),"
")</f>
        <v>
</v>
      </c>
      <c r="X215" s="17" t="str">
        <f>IFERROR(__xludf.DUMMYFUNCTION("""COMPUTED_VALUE"""),"
")</f>
        <v>
</v>
      </c>
      <c r="Y215" s="17" t="str">
        <f>IFERROR(__xludf.DUMMYFUNCTION("""COMPUTED_VALUE"""),"
")</f>
        <v>
</v>
      </c>
      <c r="Z215" s="17" t="str">
        <f>IFERROR(__xludf.DUMMYFUNCTION("""COMPUTED_VALUE"""),"
")</f>
        <v>
</v>
      </c>
      <c r="AA215" s="17" t="str">
        <f>IFERROR(__xludf.DUMMYFUNCTION("""COMPUTED_VALUE"""),"
")</f>
        <v>
</v>
      </c>
      <c r="AB215" s="17" t="str">
        <f>IFERROR(__xludf.DUMMYFUNCTION("""COMPUTED_VALUE"""),"
")</f>
        <v>
</v>
      </c>
      <c r="AC215" s="17" t="str">
        <f>IFERROR(__xludf.DUMMYFUNCTION("""COMPUTED_VALUE"""),"
")</f>
        <v>
</v>
      </c>
    </row>
    <row r="216">
      <c r="A216" s="17" t="str">
        <f>IFERROR(__xludf.DUMMYFUNCTION("""COMPUTED_VALUE"""),"Chapter 140: 96 Breakthrough
Arsenal (Personal Reality) 200:
Placing your battle armor and sword right next to your wedding dress rarely appears all that practical, so with this purchase an armoury gets added to your Personal Reality, into which you can"&amp;" place your battle armors and your weapons, and same for your companions. Content placed into armoury will be sorted for easy access and will be kept in pristine condition, always cleaned when placed back and minor damages automatically repaired, although"&amp;" for bigger types of damages you’ll have to figure out something by yourself. If you have Portals, you can summon your equipment through any portal you open.
Facility")</f>
        <v>Chapter 140: 96 Breakthrough
Arsenal (Personal Reality) 200:
Placing your battle armor and sword right next to your wedding dress rarely appears all that practical, so with this purchase an armoury gets added to your Personal Reality, into which you can place your battle armors and your weapons, and same for your companions. Content placed into armoury will be sorted for easy access and will be kept in pristine condition, always cleaned when placed back and minor damages automatically repaired, although for bigger types of damages you’ll have to figure out something by yourself. If you have Portals, you can summon your equipment through any portal you open.
Facility</v>
      </c>
      <c r="B216" s="17" t="str">
        <f>IFERROR(__xludf.DUMMYFUNCTION("""COMPUTED_VALUE"""),"
")</f>
        <v>
</v>
      </c>
      <c r="C216" s="17" t="str">
        <f>IFERROR(__xludf.DUMMYFUNCTION("""COMPUTED_VALUE"""),"
")</f>
        <v>
</v>
      </c>
      <c r="D216" s="17" t="str">
        <f>IFERROR(__xludf.DUMMYFUNCTION("""COMPUTED_VALUE"""),"
")</f>
        <v>
</v>
      </c>
      <c r="E216" s="17" t="str">
        <f>IFERROR(__xludf.DUMMYFUNCTION("""COMPUTED_VALUE"""),"
")</f>
        <v>
</v>
      </c>
      <c r="F216" s="17" t="str">
        <f>IFERROR(__xludf.DUMMYFUNCTION("""COMPUTED_VALUE"""),"
")</f>
        <v>
</v>
      </c>
      <c r="G216" s="17" t="str">
        <f>IFERROR(__xludf.DUMMYFUNCTION("""COMPUTED_VALUE"""),"
")</f>
        <v>
</v>
      </c>
      <c r="H216" s="17" t="str">
        <f>IFERROR(__xludf.DUMMYFUNCTION("""COMPUTED_VALUE"""),"
")</f>
        <v>
</v>
      </c>
      <c r="I216" s="17" t="str">
        <f>IFERROR(__xludf.DUMMYFUNCTION("""COMPUTED_VALUE"""),"
")</f>
        <v>
</v>
      </c>
      <c r="J216" s="17" t="str">
        <f>IFERROR(__xludf.DUMMYFUNCTION("""COMPUTED_VALUE"""),"
")</f>
        <v>
</v>
      </c>
      <c r="K216" s="17" t="str">
        <f>IFERROR(__xludf.DUMMYFUNCTION("""COMPUTED_VALUE"""),"
")</f>
        <v>
</v>
      </c>
      <c r="L216" s="17" t="str">
        <f>IFERROR(__xludf.DUMMYFUNCTION("""COMPUTED_VALUE"""),"
")</f>
        <v>
</v>
      </c>
      <c r="M216" s="17" t="str">
        <f>IFERROR(__xludf.DUMMYFUNCTION("""COMPUTED_VALUE"""),"
")</f>
        <v>
</v>
      </c>
      <c r="N216" s="17" t="str">
        <f>IFERROR(__xludf.DUMMYFUNCTION("""COMPUTED_VALUE"""),"
")</f>
        <v>
</v>
      </c>
      <c r="O216" s="17" t="str">
        <f>IFERROR(__xludf.DUMMYFUNCTION("""COMPUTED_VALUE"""),"
")</f>
        <v>
</v>
      </c>
      <c r="P216" s="17" t="str">
        <f>IFERROR(__xludf.DUMMYFUNCTION("""COMPUTED_VALUE"""),"
")</f>
        <v>
</v>
      </c>
      <c r="Q216" s="17" t="str">
        <f>IFERROR(__xludf.DUMMYFUNCTION("""COMPUTED_VALUE"""),"
")</f>
        <v>
</v>
      </c>
      <c r="R216" s="17" t="str">
        <f>IFERROR(__xludf.DUMMYFUNCTION("""COMPUTED_VALUE"""),"
")</f>
        <v>
</v>
      </c>
      <c r="S216" s="17" t="str">
        <f>IFERROR(__xludf.DUMMYFUNCTION("""COMPUTED_VALUE"""),"
")</f>
        <v>
</v>
      </c>
      <c r="T216" s="17" t="str">
        <f>IFERROR(__xludf.DUMMYFUNCTION("""COMPUTED_VALUE"""),"
")</f>
        <v>
</v>
      </c>
      <c r="U216" s="17" t="str">
        <f>IFERROR(__xludf.DUMMYFUNCTION("""COMPUTED_VALUE"""),"
")</f>
        <v>
</v>
      </c>
      <c r="V216" s="17" t="str">
        <f>IFERROR(__xludf.DUMMYFUNCTION("""COMPUTED_VALUE"""),"
")</f>
        <v>
</v>
      </c>
      <c r="W216" s="17" t="str">
        <f>IFERROR(__xludf.DUMMYFUNCTION("""COMPUTED_VALUE"""),"
")</f>
        <v>
</v>
      </c>
      <c r="X216" s="17" t="str">
        <f>IFERROR(__xludf.DUMMYFUNCTION("""COMPUTED_VALUE"""),"
")</f>
        <v>
</v>
      </c>
      <c r="Y216" s="17" t="str">
        <f>IFERROR(__xludf.DUMMYFUNCTION("""COMPUTED_VALUE"""),"
")</f>
        <v>
</v>
      </c>
      <c r="Z216" s="17" t="str">
        <f>IFERROR(__xludf.DUMMYFUNCTION("""COMPUTED_VALUE"""),"
")</f>
        <v>
</v>
      </c>
      <c r="AA216" s="17" t="str">
        <f>IFERROR(__xludf.DUMMYFUNCTION("""COMPUTED_VALUE"""),"
")</f>
        <v>
</v>
      </c>
      <c r="AB216" s="17" t="str">
        <f>IFERROR(__xludf.DUMMYFUNCTION("""COMPUTED_VALUE"""),"
")</f>
        <v>
</v>
      </c>
      <c r="AC216" s="17" t="str">
        <f>IFERROR(__xludf.DUMMYFUNCTION("""COMPUTED_VALUE"""),"
")</f>
        <v>
</v>
      </c>
    </row>
    <row r="217">
      <c r="A217" s="17" t="str">
        <f>IFERROR(__xludf.DUMMYFUNCTION("""COMPUTED_VALUE"""),"")</f>
        <v/>
      </c>
      <c r="B217" s="17" t="str">
        <f>IFERROR(__xludf.DUMMYFUNCTION("""COMPUTED_VALUE"""),"")</f>
        <v/>
      </c>
      <c r="C217" s="17" t="str">
        <f>IFERROR(__xludf.DUMMYFUNCTION("""COMPUTED_VALUE"""),"")</f>
        <v/>
      </c>
      <c r="D217" s="17" t="str">
        <f>IFERROR(__xludf.DUMMYFUNCTION("""COMPUTED_VALUE"""),"")</f>
        <v/>
      </c>
      <c r="E217" s="17" t="str">
        <f>IFERROR(__xludf.DUMMYFUNCTION("""COMPUTED_VALUE"""),"")</f>
        <v/>
      </c>
      <c r="F217" s="17" t="str">
        <f>IFERROR(__xludf.DUMMYFUNCTION("""COMPUTED_VALUE"""),"")</f>
        <v/>
      </c>
      <c r="G217" s="17" t="str">
        <f>IFERROR(__xludf.DUMMYFUNCTION("""COMPUTED_VALUE"""),"")</f>
        <v/>
      </c>
      <c r="H217" s="17" t="str">
        <f>IFERROR(__xludf.DUMMYFUNCTION("""COMPUTED_VALUE"""),"")</f>
        <v/>
      </c>
      <c r="I217" s="17" t="str">
        <f>IFERROR(__xludf.DUMMYFUNCTION("""COMPUTED_VALUE"""),"")</f>
        <v/>
      </c>
      <c r="J217" s="17" t="str">
        <f>IFERROR(__xludf.DUMMYFUNCTION("""COMPUTED_VALUE"""),"")</f>
        <v/>
      </c>
      <c r="K217" s="17" t="str">
        <f>IFERROR(__xludf.DUMMYFUNCTION("""COMPUTED_VALUE"""),"")</f>
        <v/>
      </c>
      <c r="L217" s="17" t="str">
        <f>IFERROR(__xludf.DUMMYFUNCTION("""COMPUTED_VALUE"""),"")</f>
        <v/>
      </c>
      <c r="M217" s="17" t="str">
        <f>IFERROR(__xludf.DUMMYFUNCTION("""COMPUTED_VALUE"""),"")</f>
        <v/>
      </c>
      <c r="N217" s="17" t="str">
        <f>IFERROR(__xludf.DUMMYFUNCTION("""COMPUTED_VALUE"""),"")</f>
        <v/>
      </c>
      <c r="O217" s="17" t="str">
        <f>IFERROR(__xludf.DUMMYFUNCTION("""COMPUTED_VALUE"""),"")</f>
        <v/>
      </c>
      <c r="P217" s="17" t="str">
        <f>IFERROR(__xludf.DUMMYFUNCTION("""COMPUTED_VALUE"""),"")</f>
        <v/>
      </c>
      <c r="Q217" s="17" t="str">
        <f>IFERROR(__xludf.DUMMYFUNCTION("""COMPUTED_VALUE"""),"")</f>
        <v/>
      </c>
      <c r="R217" s="17" t="str">
        <f>IFERROR(__xludf.DUMMYFUNCTION("""COMPUTED_VALUE"""),"")</f>
        <v/>
      </c>
      <c r="S217" s="17" t="str">
        <f>IFERROR(__xludf.DUMMYFUNCTION("""COMPUTED_VALUE"""),"")</f>
        <v/>
      </c>
      <c r="T217" s="17" t="str">
        <f>IFERROR(__xludf.DUMMYFUNCTION("""COMPUTED_VALUE"""),"")</f>
        <v/>
      </c>
      <c r="U217" s="17" t="str">
        <f>IFERROR(__xludf.DUMMYFUNCTION("""COMPUTED_VALUE"""),"")</f>
        <v/>
      </c>
      <c r="V217" s="17" t="str">
        <f>IFERROR(__xludf.DUMMYFUNCTION("""COMPUTED_VALUE"""),"")</f>
        <v/>
      </c>
      <c r="W217" s="17" t="str">
        <f>IFERROR(__xludf.DUMMYFUNCTION("""COMPUTED_VALUE"""),"")</f>
        <v/>
      </c>
      <c r="X217" s="17" t="str">
        <f>IFERROR(__xludf.DUMMYFUNCTION("""COMPUTED_VALUE"""),"")</f>
        <v/>
      </c>
      <c r="Y217" s="17" t="str">
        <f>IFERROR(__xludf.DUMMYFUNCTION("""COMPUTED_VALUE"""),"")</f>
        <v/>
      </c>
      <c r="Z217" s="17" t="str">
        <f>IFERROR(__xludf.DUMMYFUNCTION("""COMPUTED_VALUE"""),"")</f>
        <v/>
      </c>
      <c r="AA217" s="17" t="str">
        <f>IFERROR(__xludf.DUMMYFUNCTION("""COMPUTED_VALUE"""),"")</f>
        <v/>
      </c>
      <c r="AB217" s="17" t="str">
        <f>IFERROR(__xludf.DUMMYFUNCTION("""COMPUTED_VALUE"""),"")</f>
        <v/>
      </c>
      <c r="AC217" s="17" t="str">
        <f>IFERROR(__xludf.DUMMYFUNCTION("""COMPUTED_VALUE"""),"")</f>
        <v/>
      </c>
    </row>
    <row r="218">
      <c r="A218" s="17" t="str">
        <f>IFERROR(__xludf.DUMMYFUNCTION("""COMPUTED_VALUE"""),"Chapter 140: 96 Breakthrough
Basic Accommodations (Personal Reality) 50:
This provides minimalist accommodations for you and each companion. Essentially the same thing you’d get in Basic Training in the military. A barracks with a bunk and a locker and "&amp;"a camp toilet. If you bought Plumbing, this improves to include a communal shower and toilets. In fact, someone need not be a companion for this to work. Anyone you allow into your Personal Reality will be allotted a similar level of basic living quarters"&amp;", thus allowing you to turn your Personal Reality into a refugee center if you like. If you have Basic Nutrition, this will provide any such guests as you may invite into your Personal Reality with very basic food equal to 1200 Kcal a day, totally vegetar"&amp;"ian. This can support up to a maximum of 1 person for every 4 cubic meters of space in your warehouse per day.
Facility")</f>
        <v>Chapter 140: 96 Breakthrough
Basic Accommodations (Personal Reality) 50:
This provides minimalist accommodations for you and each companion. Essentially the same thing you’d get in Basic Training in the military. A barracks with a bunk and a locker and a camp toilet. If you bought Plumbing, this improves to include a communal shower and toilets. In fact, someone need not be a companion for this to work. Anyone you allow into your Personal Reality will be allotted a similar level of basic living quarters, thus allowing you to turn your Personal Reality into a refugee center if you like. If you have Basic Nutrition, this will provide any such guests as you may invite into your Personal Reality with very basic food equal to 1200 Kcal a day, totally vegetarian. This can support up to a maximum of 1 person for every 4 cubic meters of space in your warehouse per day.
Facility</v>
      </c>
      <c r="B218" s="17" t="str">
        <f>IFERROR(__xludf.DUMMYFUNCTION("""COMPUTED_VALUE"""),"
")</f>
        <v>
</v>
      </c>
      <c r="C218" s="17" t="str">
        <f>IFERROR(__xludf.DUMMYFUNCTION("""COMPUTED_VALUE"""),"
")</f>
        <v>
</v>
      </c>
      <c r="D218" s="17" t="str">
        <f>IFERROR(__xludf.DUMMYFUNCTION("""COMPUTED_VALUE"""),"
")</f>
        <v>
</v>
      </c>
      <c r="E218" s="17" t="str">
        <f>IFERROR(__xludf.DUMMYFUNCTION("""COMPUTED_VALUE"""),"
")</f>
        <v>
</v>
      </c>
      <c r="F218" s="17" t="str">
        <f>IFERROR(__xludf.DUMMYFUNCTION("""COMPUTED_VALUE"""),"
")</f>
        <v>
</v>
      </c>
      <c r="G218" s="17" t="str">
        <f>IFERROR(__xludf.DUMMYFUNCTION("""COMPUTED_VALUE"""),"
")</f>
        <v>
</v>
      </c>
      <c r="H218" s="17" t="str">
        <f>IFERROR(__xludf.DUMMYFUNCTION("""COMPUTED_VALUE"""),"
")</f>
        <v>
</v>
      </c>
      <c r="I218" s="17" t="str">
        <f>IFERROR(__xludf.DUMMYFUNCTION("""COMPUTED_VALUE"""),"
")</f>
        <v>
</v>
      </c>
      <c r="J218" s="17" t="str">
        <f>IFERROR(__xludf.DUMMYFUNCTION("""COMPUTED_VALUE"""),"
")</f>
        <v>
</v>
      </c>
      <c r="K218" s="17" t="str">
        <f>IFERROR(__xludf.DUMMYFUNCTION("""COMPUTED_VALUE"""),"
")</f>
        <v>
</v>
      </c>
      <c r="L218" s="17" t="str">
        <f>IFERROR(__xludf.DUMMYFUNCTION("""COMPUTED_VALUE"""),"
")</f>
        <v>
</v>
      </c>
      <c r="M218" s="17" t="str">
        <f>IFERROR(__xludf.DUMMYFUNCTION("""COMPUTED_VALUE"""),"
")</f>
        <v>
</v>
      </c>
      <c r="N218" s="17" t="str">
        <f>IFERROR(__xludf.DUMMYFUNCTION("""COMPUTED_VALUE"""),"
")</f>
        <v>
</v>
      </c>
      <c r="O218" s="17" t="str">
        <f>IFERROR(__xludf.DUMMYFUNCTION("""COMPUTED_VALUE"""),"
")</f>
        <v>
</v>
      </c>
      <c r="P218" s="17" t="str">
        <f>IFERROR(__xludf.DUMMYFUNCTION("""COMPUTED_VALUE"""),"
")</f>
        <v>
</v>
      </c>
      <c r="Q218" s="17" t="str">
        <f>IFERROR(__xludf.DUMMYFUNCTION("""COMPUTED_VALUE"""),"
")</f>
        <v>
</v>
      </c>
      <c r="R218" s="17" t="str">
        <f>IFERROR(__xludf.DUMMYFUNCTION("""COMPUTED_VALUE"""),"
")</f>
        <v>
</v>
      </c>
      <c r="S218" s="17" t="str">
        <f>IFERROR(__xludf.DUMMYFUNCTION("""COMPUTED_VALUE"""),"
")</f>
        <v>
</v>
      </c>
      <c r="T218" s="17" t="str">
        <f>IFERROR(__xludf.DUMMYFUNCTION("""COMPUTED_VALUE"""),"
")</f>
        <v>
</v>
      </c>
      <c r="U218" s="17" t="str">
        <f>IFERROR(__xludf.DUMMYFUNCTION("""COMPUTED_VALUE"""),"
")</f>
        <v>
</v>
      </c>
      <c r="V218" s="17" t="str">
        <f>IFERROR(__xludf.DUMMYFUNCTION("""COMPUTED_VALUE"""),"
")</f>
        <v>
</v>
      </c>
      <c r="W218" s="17" t="str">
        <f>IFERROR(__xludf.DUMMYFUNCTION("""COMPUTED_VALUE"""),"
")</f>
        <v>
</v>
      </c>
      <c r="X218" s="17" t="str">
        <f>IFERROR(__xludf.DUMMYFUNCTION("""COMPUTED_VALUE"""),"
")</f>
        <v>
</v>
      </c>
      <c r="Y218" s="17" t="str">
        <f>IFERROR(__xludf.DUMMYFUNCTION("""COMPUTED_VALUE"""),"
")</f>
        <v>
</v>
      </c>
      <c r="Z218" s="17" t="str">
        <f>IFERROR(__xludf.DUMMYFUNCTION("""COMPUTED_VALUE"""),"
")</f>
        <v>
</v>
      </c>
      <c r="AA218" s="17" t="str">
        <f>IFERROR(__xludf.DUMMYFUNCTION("""COMPUTED_VALUE"""),"
")</f>
        <v>
</v>
      </c>
      <c r="AB218" s="17" t="str">
        <f>IFERROR(__xludf.DUMMYFUNCTION("""COMPUTED_VALUE"""),"
")</f>
        <v>
</v>
      </c>
      <c r="AC218" s="17" t="str">
        <f>IFERROR(__xludf.DUMMYFUNCTION("""COMPUTED_VALUE"""),"
")</f>
        <v>
</v>
      </c>
    </row>
    <row r="219">
      <c r="A219" s="17" t="str">
        <f>IFERROR(__xludf.DUMMYFUNCTION("""COMPUTED_VALUE"""),"Chapter 164: 109 Points of Contact - Addendum Lily
Basic Nutrition (Personal Reality) 100:
This option provides a basic (if minimalist) food delivery for you and all companions (metered for a normal human dietary requirement). This delivery comes once a "&amp;"week and is the kind of thing you’d buy on a very strict budget; Ramen, Peanut Butter, Generic Cereal, Dry Beans, Eggs, Tofu, Fresh Common Fruits &amp; Veggies, Canned Fruits &amp; Veggies, Dry Pasta, Salt, Pepper, Milk, Bottled Water, Rice, Flour, Butter, Barley"&amp;", etc. (Note, you cannot sell the Salt or Pepper for money.) Essentially the purchasing power of 50 dollars US a week per person.
Facility")</f>
        <v>Chapter 164: 109 Points of Contact - Addendum Lily
Basic Nutrition (Personal Reality) 100:
This option provides a basic (if minimalist) food delivery for you and all companions (metered for a normal human dietary requirement). This delivery comes once a week and is the kind of thing you’d buy on a very strict budget; Ramen, Peanut Butter, Generic Cereal, Dry Beans, Eggs, Tofu, Fresh Common Fruits &amp; Veggies, Canned Fruits &amp; Veggies, Dry Pasta, Salt, Pepper, Milk, Bottled Water, Rice, Flour, Butter, Barley, etc. (Note, you cannot sell the Salt or Pepper for money.) Essentially the purchasing power of 50 dollars US a week per person.
Facility</v>
      </c>
      <c r="B219" s="17" t="str">
        <f>IFERROR(__xludf.DUMMYFUNCTION("""COMPUTED_VALUE"""),"Chapter 164: 109 Points of Contact - Addendum Lily
A Little Less Basic (Personal Reality) 200:
Although not a huge improvement, this raises the basic food allotment to what can be expected for a middle-class working family’s budget. You can set it to the"&amp;" kinds of things your home culture might buy… or simply set it to a random sampling of various cultures’ food purchases. Honestly, it’s fascinating seeing what people buy. Check out Hungry Planet if you can. This is effectively 150 dollars US a week per p"&amp;"erson, adjusted for cost of living and whatnot. You have very limited brand control.
Facility")</f>
        <v>Chapter 164: 109 Points of Contact - Addendum Lily
A Little Less Basic (Personal Reality) 200:
Although not a huge improvement, this raises the basic food allotment to what can be expected for a middle-class working family’s budget. You can set it to the kinds of things your home culture might buy… or simply set it to a random sampling of various cultures’ food purchases. Honestly, it’s fascinating seeing what people buy. Check out Hungry Planet if you can. This is effectively 150 dollars US a week per person, adjusted for cost of living and whatnot. You have very limited brand control.
Facility</v>
      </c>
      <c r="C219" s="17" t="str">
        <f>IFERROR(__xludf.DUMMYFUNCTION("""COMPUTED_VALUE"""),"Chapter 164: 109 Points of Contact - Addendum Lily
A Lot Less (Personal Reality) 200:
This A Little Less Basic Upgrade gives you specific cultural (rural France in the 1880s, Moscow under the communists, biblical Israel, etc.) and general purchasing brea"&amp;"kdown (X% grains, Y% junk food, Z% fresh fruits, etc.) plus raises the food budget to 300 US dollars purchasing power per person per week. Each week you can change what kind of food delivery you get and where it comes from, including any culture you’ve ju"&amp;"mped into along your travels. This still does not give you direct control of what you get, just a general batch of stuff that fits your requirements. You can specify brands you’d like, however.
Facility")</f>
        <v>Chapter 164: 109 Points of Contact - Addendum Lily
A Lot Less (Personal Reality) 200:
This A Little Less Basic Upgrade gives you specific cultural (rural France in the 1880s, Moscow under the communists, biblical Israel, etc.) and general purchasing breakdown (X% grains, Y% junk food, Z% fresh fruits, etc.) plus raises the food budget to 300 US dollars purchasing power per person per week. Each week you can change what kind of food delivery you get and where it comes from, including any culture you’ve jumped into along your travels. This still does not give you direct control of what you get, just a general batch of stuff that fits your requirements. You can specify brands you’d like, however.
Facility</v>
      </c>
      <c r="D219" s="17" t="str">
        <f>IFERROR(__xludf.DUMMYFUNCTION("""COMPUTED_VALUE"""),"
")</f>
        <v>
</v>
      </c>
      <c r="E219" s="17" t="str">
        <f>IFERROR(__xludf.DUMMYFUNCTION("""COMPUTED_VALUE"""),"
")</f>
        <v>
</v>
      </c>
      <c r="F219" s="17" t="str">
        <f>IFERROR(__xludf.DUMMYFUNCTION("""COMPUTED_VALUE"""),"
")</f>
        <v>
</v>
      </c>
      <c r="G219" s="17" t="str">
        <f>IFERROR(__xludf.DUMMYFUNCTION("""COMPUTED_VALUE"""),"
")</f>
        <v>
</v>
      </c>
      <c r="H219" s="17" t="str">
        <f>IFERROR(__xludf.DUMMYFUNCTION("""COMPUTED_VALUE"""),"
")</f>
        <v>
</v>
      </c>
      <c r="I219" s="17" t="str">
        <f>IFERROR(__xludf.DUMMYFUNCTION("""COMPUTED_VALUE"""),"
")</f>
        <v>
</v>
      </c>
      <c r="J219" s="17" t="str">
        <f>IFERROR(__xludf.DUMMYFUNCTION("""COMPUTED_VALUE"""),"
")</f>
        <v>
</v>
      </c>
      <c r="K219" s="17" t="str">
        <f>IFERROR(__xludf.DUMMYFUNCTION("""COMPUTED_VALUE"""),"
")</f>
        <v>
</v>
      </c>
      <c r="L219" s="17" t="str">
        <f>IFERROR(__xludf.DUMMYFUNCTION("""COMPUTED_VALUE"""),"
")</f>
        <v>
</v>
      </c>
      <c r="M219" s="17" t="str">
        <f>IFERROR(__xludf.DUMMYFUNCTION("""COMPUTED_VALUE"""),"
")</f>
        <v>
</v>
      </c>
      <c r="N219" s="17" t="str">
        <f>IFERROR(__xludf.DUMMYFUNCTION("""COMPUTED_VALUE"""),"
")</f>
        <v>
</v>
      </c>
      <c r="O219" s="17" t="str">
        <f>IFERROR(__xludf.DUMMYFUNCTION("""COMPUTED_VALUE"""),"
")</f>
        <v>
</v>
      </c>
      <c r="P219" s="17" t="str">
        <f>IFERROR(__xludf.DUMMYFUNCTION("""COMPUTED_VALUE"""),"
")</f>
        <v>
</v>
      </c>
      <c r="Q219" s="17" t="str">
        <f>IFERROR(__xludf.DUMMYFUNCTION("""COMPUTED_VALUE"""),"
")</f>
        <v>
</v>
      </c>
      <c r="R219" s="17" t="str">
        <f>IFERROR(__xludf.DUMMYFUNCTION("""COMPUTED_VALUE"""),"
")</f>
        <v>
</v>
      </c>
      <c r="S219" s="17" t="str">
        <f>IFERROR(__xludf.DUMMYFUNCTION("""COMPUTED_VALUE"""),"
")</f>
        <v>
</v>
      </c>
      <c r="T219" s="17" t="str">
        <f>IFERROR(__xludf.DUMMYFUNCTION("""COMPUTED_VALUE"""),"
")</f>
        <v>
</v>
      </c>
      <c r="U219" s="17" t="str">
        <f>IFERROR(__xludf.DUMMYFUNCTION("""COMPUTED_VALUE"""),"
")</f>
        <v>
</v>
      </c>
      <c r="V219" s="17" t="str">
        <f>IFERROR(__xludf.DUMMYFUNCTION("""COMPUTED_VALUE"""),"
")</f>
        <v>
</v>
      </c>
      <c r="W219" s="17" t="str">
        <f>IFERROR(__xludf.DUMMYFUNCTION("""COMPUTED_VALUE"""),"
")</f>
        <v>
</v>
      </c>
      <c r="X219" s="17" t="str">
        <f>IFERROR(__xludf.DUMMYFUNCTION("""COMPUTED_VALUE"""),"
")</f>
        <v>
</v>
      </c>
      <c r="Y219" s="17" t="str">
        <f>IFERROR(__xludf.DUMMYFUNCTION("""COMPUTED_VALUE"""),"
")</f>
        <v>
</v>
      </c>
      <c r="Z219" s="17" t="str">
        <f>IFERROR(__xludf.DUMMYFUNCTION("""COMPUTED_VALUE"""),"
")</f>
        <v>
</v>
      </c>
      <c r="AA219" s="17" t="str">
        <f>IFERROR(__xludf.DUMMYFUNCTION("""COMPUTED_VALUE"""),"
")</f>
        <v>
</v>
      </c>
      <c r="AB219" s="17" t="str">
        <f>IFERROR(__xludf.DUMMYFUNCTION("""COMPUTED_VALUE"""),"
")</f>
        <v>
</v>
      </c>
      <c r="AC219" s="17" t="str">
        <f>IFERROR(__xludf.DUMMYFUNCTION("""COMPUTED_VALUE"""),"
")</f>
        <v>
</v>
      </c>
    </row>
    <row r="220">
      <c r="A220" s="17" t="str">
        <f>IFERROR(__xludf.DUMMYFUNCTION("""COMPUTED_VALUE"""),"Chapter 138: 95.5 Interlude Gregor - Shawn
Central Control (Personal Reality) 100:
This optional purchase hooks your Personal Reality up with a Smart Pseudo-Intelligent Computer System that tracks the location and condition of all items brought into the P"&amp;"ersonal Reality. It will share that information with you or anyone you authorize to use the system. They do not have to have a key and you can set up varying levels of access. Central Control can also recall your companions to the Personal Reality if you "&amp;"have Portal and command it to or they are killed and you’ve set up automated recall. It can open your Personal Reality Door from the inside if you’ve given it permission to do so, but will only admit those it believes will assist you. It can only open doo"&amp;"rs on which Access Key has been used on, but the key need not be still in that door for the door to be opened.
Facility")</f>
        <v>Chapter 138: 95.5 Interlude Gregor - Shawn
Central Control (Personal Reality) 100:
This optional purchase hooks your Personal Reality up with a Smart Pseudo-Intelligent Computer System that tracks the location and condition of all items brought into the Personal Reality. It will share that information with you or anyone you authorize to use the system. They do not have to have a key and you can set up varying levels of access. Central Control can also recall your companions to the Personal Reality if you have Portal and command it to or they are killed and you’ve set up automated recall. It can open your Personal Reality Door from the inside if you’ve given it permission to do so, but will only admit those it believes will assist you. It can only open doors on which Access Key has been used on, but the key need not be still in that door for the door to be opened.
Facility</v>
      </c>
      <c r="B220" s="17" t="str">
        <f>IFERROR(__xludf.DUMMYFUNCTION("""COMPUTED_VALUE"""),"Chapter 138: 95.5 Interlude Gregor - Shawn
Your Robots (Personal Reality) 200:
This Central Control Upgrade provides you with an automated sorting system that sorts and automatically retrieves anything stored in your Personal Reality. These Robots are com"&amp;"pletely upgradeable and programmable, so you can keep them out of key areas or tell them not to disturb certain potentially explosive experiments if you want. You get twenty of them and instructions on how to make more.
Facility")</f>
        <v>Chapter 138: 95.5 Interlude Gregor - Shawn
Your Robots (Personal Reality) 200:
This Central Control Upgrade provides you with an automated sorting system that sorts and automatically retrieves anything stored in your Personal Reality. These Robots are completely upgradeable and programmable, so you can keep them out of key areas or tell them not to disturb certain potentially explosive experiments if you want. You get twenty of them and instructions on how to make more.
Facility</v>
      </c>
      <c r="C220" s="17" t="str">
        <f>IFERROR(__xludf.DUMMYFUNCTION("""COMPUTED_VALUE"""),"Chapter 160: 108 Raised Colors
Maintenance Systems (Personal Reality) 100:
This upgrades Your Robots so that instead of just sorting and fetching they now automatically upgrade with all tech production and repair skills you gain and now provide basic clea"&amp;"ning and maintenance services for anything in your Personal Reality that you know how to fix or repair. They are going to be practically invisible unless you look for them.
Facility")</f>
        <v>Chapter 160: 108 Raised Colors
Maintenance Systems (Personal Reality) 100:
This upgrades Your Robots so that instead of just sorting and fetching they now automatically upgrade with all tech production and repair skills you gain and now provide basic cleaning and maintenance services for anything in your Personal Reality that you know how to fix or repair. They are going to be practically invisible unless you look for them.
Facility</v>
      </c>
      <c r="D220" s="17" t="str">
        <f>IFERROR(__xludf.DUMMYFUNCTION("""COMPUTED_VALUE"""),"
")</f>
        <v>
</v>
      </c>
      <c r="E220" s="17" t="str">
        <f>IFERROR(__xludf.DUMMYFUNCTION("""COMPUTED_VALUE"""),"
")</f>
        <v>
</v>
      </c>
      <c r="F220" s="17" t="str">
        <f>IFERROR(__xludf.DUMMYFUNCTION("""COMPUTED_VALUE"""),"
")</f>
        <v>
</v>
      </c>
      <c r="G220" s="17" t="str">
        <f>IFERROR(__xludf.DUMMYFUNCTION("""COMPUTED_VALUE"""),"
")</f>
        <v>
</v>
      </c>
      <c r="H220" s="17" t="str">
        <f>IFERROR(__xludf.DUMMYFUNCTION("""COMPUTED_VALUE"""),"
")</f>
        <v>
</v>
      </c>
      <c r="I220" s="17" t="str">
        <f>IFERROR(__xludf.DUMMYFUNCTION("""COMPUTED_VALUE"""),"
")</f>
        <v>
</v>
      </c>
      <c r="J220" s="17" t="str">
        <f>IFERROR(__xludf.DUMMYFUNCTION("""COMPUTED_VALUE"""),"
")</f>
        <v>
</v>
      </c>
      <c r="K220" s="17" t="str">
        <f>IFERROR(__xludf.DUMMYFUNCTION("""COMPUTED_VALUE"""),"
")</f>
        <v>
</v>
      </c>
      <c r="L220" s="17" t="str">
        <f>IFERROR(__xludf.DUMMYFUNCTION("""COMPUTED_VALUE"""),"
")</f>
        <v>
</v>
      </c>
      <c r="M220" s="17" t="str">
        <f>IFERROR(__xludf.DUMMYFUNCTION("""COMPUTED_VALUE"""),"
")</f>
        <v>
</v>
      </c>
      <c r="N220" s="17" t="str">
        <f>IFERROR(__xludf.DUMMYFUNCTION("""COMPUTED_VALUE"""),"
")</f>
        <v>
</v>
      </c>
      <c r="O220" s="17" t="str">
        <f>IFERROR(__xludf.DUMMYFUNCTION("""COMPUTED_VALUE"""),"
")</f>
        <v>
</v>
      </c>
      <c r="P220" s="17" t="str">
        <f>IFERROR(__xludf.DUMMYFUNCTION("""COMPUTED_VALUE"""),"
")</f>
        <v>
</v>
      </c>
      <c r="Q220" s="17" t="str">
        <f>IFERROR(__xludf.DUMMYFUNCTION("""COMPUTED_VALUE"""),"
")</f>
        <v>
</v>
      </c>
      <c r="R220" s="17" t="str">
        <f>IFERROR(__xludf.DUMMYFUNCTION("""COMPUTED_VALUE"""),"
")</f>
        <v>
</v>
      </c>
      <c r="S220" s="17" t="str">
        <f>IFERROR(__xludf.DUMMYFUNCTION("""COMPUTED_VALUE"""),"
")</f>
        <v>
</v>
      </c>
      <c r="T220" s="17" t="str">
        <f>IFERROR(__xludf.DUMMYFUNCTION("""COMPUTED_VALUE"""),"
")</f>
        <v>
</v>
      </c>
      <c r="U220" s="17" t="str">
        <f>IFERROR(__xludf.DUMMYFUNCTION("""COMPUTED_VALUE"""),"
")</f>
        <v>
</v>
      </c>
      <c r="V220" s="17" t="str">
        <f>IFERROR(__xludf.DUMMYFUNCTION("""COMPUTED_VALUE"""),"
")</f>
        <v>
</v>
      </c>
      <c r="W220" s="17" t="str">
        <f>IFERROR(__xludf.DUMMYFUNCTION("""COMPUTED_VALUE"""),"
")</f>
        <v>
</v>
      </c>
      <c r="X220" s="17" t="str">
        <f>IFERROR(__xludf.DUMMYFUNCTION("""COMPUTED_VALUE"""),"
")</f>
        <v>
</v>
      </c>
      <c r="Y220" s="17" t="str">
        <f>IFERROR(__xludf.DUMMYFUNCTION("""COMPUTED_VALUE"""),"
")</f>
        <v>
</v>
      </c>
      <c r="Z220" s="17" t="str">
        <f>IFERROR(__xludf.DUMMYFUNCTION("""COMPUTED_VALUE"""),"
")</f>
        <v>
</v>
      </c>
      <c r="AA220" s="17" t="str">
        <f>IFERROR(__xludf.DUMMYFUNCTION("""COMPUTED_VALUE"""),"
")</f>
        <v>
</v>
      </c>
      <c r="AB220" s="17" t="str">
        <f>IFERROR(__xludf.DUMMYFUNCTION("""COMPUTED_VALUE"""),"
")</f>
        <v>
</v>
      </c>
      <c r="AC220" s="17" t="str">
        <f>IFERROR(__xludf.DUMMYFUNCTION("""COMPUTED_VALUE"""),"
")</f>
        <v>
</v>
      </c>
    </row>
    <row r="221">
      <c r="A221" s="17" t="str">
        <f>IFERROR(__xludf.DUMMYFUNCTION("""COMPUTED_VALUE"""),"")</f>
        <v/>
      </c>
      <c r="B221" s="17" t="str">
        <f>IFERROR(__xludf.DUMMYFUNCTION("""COMPUTED_VALUE"""),"")</f>
        <v/>
      </c>
      <c r="C221" s="17" t="str">
        <f>IFERROR(__xludf.DUMMYFUNCTION("""COMPUTED_VALUE"""),"")</f>
        <v/>
      </c>
      <c r="D221" s="17" t="str">
        <f>IFERROR(__xludf.DUMMYFUNCTION("""COMPUTED_VALUE"""),"")</f>
        <v/>
      </c>
      <c r="E221" s="17" t="str">
        <f>IFERROR(__xludf.DUMMYFUNCTION("""COMPUTED_VALUE"""),"")</f>
        <v/>
      </c>
      <c r="F221" s="17" t="str">
        <f>IFERROR(__xludf.DUMMYFUNCTION("""COMPUTED_VALUE"""),"")</f>
        <v/>
      </c>
      <c r="G221" s="17" t="str">
        <f>IFERROR(__xludf.DUMMYFUNCTION("""COMPUTED_VALUE"""),"")</f>
        <v/>
      </c>
      <c r="H221" s="17" t="str">
        <f>IFERROR(__xludf.DUMMYFUNCTION("""COMPUTED_VALUE"""),"")</f>
        <v/>
      </c>
      <c r="I221" s="17" t="str">
        <f>IFERROR(__xludf.DUMMYFUNCTION("""COMPUTED_VALUE"""),"")</f>
        <v/>
      </c>
      <c r="J221" s="17" t="str">
        <f>IFERROR(__xludf.DUMMYFUNCTION("""COMPUTED_VALUE"""),"")</f>
        <v/>
      </c>
      <c r="K221" s="17" t="str">
        <f>IFERROR(__xludf.DUMMYFUNCTION("""COMPUTED_VALUE"""),"")</f>
        <v/>
      </c>
      <c r="L221" s="17" t="str">
        <f>IFERROR(__xludf.DUMMYFUNCTION("""COMPUTED_VALUE"""),"")</f>
        <v/>
      </c>
      <c r="M221" s="17" t="str">
        <f>IFERROR(__xludf.DUMMYFUNCTION("""COMPUTED_VALUE"""),"")</f>
        <v/>
      </c>
      <c r="N221" s="17" t="str">
        <f>IFERROR(__xludf.DUMMYFUNCTION("""COMPUTED_VALUE"""),"")</f>
        <v/>
      </c>
      <c r="O221" s="17" t="str">
        <f>IFERROR(__xludf.DUMMYFUNCTION("""COMPUTED_VALUE"""),"")</f>
        <v/>
      </c>
      <c r="P221" s="17" t="str">
        <f>IFERROR(__xludf.DUMMYFUNCTION("""COMPUTED_VALUE"""),"")</f>
        <v/>
      </c>
      <c r="Q221" s="17" t="str">
        <f>IFERROR(__xludf.DUMMYFUNCTION("""COMPUTED_VALUE"""),"")</f>
        <v/>
      </c>
      <c r="R221" s="17" t="str">
        <f>IFERROR(__xludf.DUMMYFUNCTION("""COMPUTED_VALUE"""),"")</f>
        <v/>
      </c>
      <c r="S221" s="17" t="str">
        <f>IFERROR(__xludf.DUMMYFUNCTION("""COMPUTED_VALUE"""),"")</f>
        <v/>
      </c>
      <c r="T221" s="17" t="str">
        <f>IFERROR(__xludf.DUMMYFUNCTION("""COMPUTED_VALUE"""),"")</f>
        <v/>
      </c>
      <c r="U221" s="17" t="str">
        <f>IFERROR(__xludf.DUMMYFUNCTION("""COMPUTED_VALUE"""),"")</f>
        <v/>
      </c>
      <c r="V221" s="17" t="str">
        <f>IFERROR(__xludf.DUMMYFUNCTION("""COMPUTED_VALUE"""),"")</f>
        <v/>
      </c>
      <c r="W221" s="17" t="str">
        <f>IFERROR(__xludf.DUMMYFUNCTION("""COMPUTED_VALUE"""),"")</f>
        <v/>
      </c>
      <c r="X221" s="17" t="str">
        <f>IFERROR(__xludf.DUMMYFUNCTION("""COMPUTED_VALUE"""),"")</f>
        <v/>
      </c>
      <c r="Y221" s="17" t="str">
        <f>IFERROR(__xludf.DUMMYFUNCTION("""COMPUTED_VALUE"""),"")</f>
        <v/>
      </c>
      <c r="Z221" s="17" t="str">
        <f>IFERROR(__xludf.DUMMYFUNCTION("""COMPUTED_VALUE"""),"")</f>
        <v/>
      </c>
      <c r="AA221" s="17" t="str">
        <f>IFERROR(__xludf.DUMMYFUNCTION("""COMPUTED_VALUE"""),"")</f>
        <v/>
      </c>
      <c r="AB221" s="17" t="str">
        <f>IFERROR(__xludf.DUMMYFUNCTION("""COMPUTED_VALUE"""),"")</f>
        <v/>
      </c>
      <c r="AC221" s="17" t="str">
        <f>IFERROR(__xludf.DUMMYFUNCTION("""COMPUTED_VALUE"""),"")</f>
        <v/>
      </c>
    </row>
    <row r="222">
      <c r="A222" s="17" t="str">
        <f>IFERROR(__xludf.DUMMYFUNCTION("""COMPUTED_VALUE"""),"Chapter 113: 82 Bargaining - Addendum Uppercrust
Computer Hub (Personal Reality) 50:
A top-of-the-line mainframe / supercomputer with basic additional equipment, like scanners (2D and 3D, standard- and poster-sized) and printers (color, black and white,"&amp;" bulk printer, 3D printer, blueprint-printer), and binding equipment. Perfectly assimilates any upgrades done to it. Comes with operating system of your choice, be it Windows, Linux, Android, iOS, etc. You and each companion receive their own personal des"&amp;"ktop computer, laptop, and tablet. With the Extranet, all the computers in the Personal Reality are linked via an internal Intranet as well. If you have Central Control and Robots, they’re linked into the Intranet. All printing supplies (filament, paper, "&amp;"ink) must be supplied by the Jumper, but if you have the Mall, you can always find a print supply shop within without having to assign one of your slots to it.
Facility")</f>
        <v>Chapter 113: 82 Bargaining - Addendum Uppercrust
Computer Hub (Personal Reality) 50:
A top-of-the-line mainframe / supercomputer with basic additional equipment, like scanners (2D and 3D, standard- and poster-sized) and printers (color, black and white, bulk printer, 3D printer, blueprint-printer), and binding equipment. Perfectly assimilates any upgrades done to it. Comes with operating system of your choice, be it Windows, Linux, Android, iOS, etc. You and each companion receive their own personal desktop computer, laptop, and tablet. With the Extranet, all the computers in the Personal Reality are linked via an internal Intranet as well. If you have Central Control and Robots, they’re linked into the Intranet. All printing supplies (filament, paper, ink) must be supplied by the Jumper, but if you have the Mall, you can always find a print supply shop within without having to assign one of your slots to it.
Facility</v>
      </c>
      <c r="B222" s="17" t="str">
        <f>IFERROR(__xludf.DUMMYFUNCTION("""COMPUTED_VALUE"""),"
")</f>
        <v>
</v>
      </c>
      <c r="C222" s="17" t="str">
        <f>IFERROR(__xludf.DUMMYFUNCTION("""COMPUTED_VALUE"""),"
")</f>
        <v>
</v>
      </c>
      <c r="D222" s="17" t="str">
        <f>IFERROR(__xludf.DUMMYFUNCTION("""COMPUTED_VALUE"""),"
")</f>
        <v>
</v>
      </c>
      <c r="E222" s="17" t="str">
        <f>IFERROR(__xludf.DUMMYFUNCTION("""COMPUTED_VALUE"""),"
")</f>
        <v>
</v>
      </c>
      <c r="F222" s="17" t="str">
        <f>IFERROR(__xludf.DUMMYFUNCTION("""COMPUTED_VALUE"""),"
")</f>
        <v>
</v>
      </c>
      <c r="G222" s="17" t="str">
        <f>IFERROR(__xludf.DUMMYFUNCTION("""COMPUTED_VALUE"""),"
")</f>
        <v>
</v>
      </c>
      <c r="H222" s="17" t="str">
        <f>IFERROR(__xludf.DUMMYFUNCTION("""COMPUTED_VALUE"""),"
")</f>
        <v>
</v>
      </c>
      <c r="I222" s="17" t="str">
        <f>IFERROR(__xludf.DUMMYFUNCTION("""COMPUTED_VALUE"""),"
")</f>
        <v>
</v>
      </c>
      <c r="J222" s="17" t="str">
        <f>IFERROR(__xludf.DUMMYFUNCTION("""COMPUTED_VALUE"""),"
")</f>
        <v>
</v>
      </c>
      <c r="K222" s="17" t="str">
        <f>IFERROR(__xludf.DUMMYFUNCTION("""COMPUTED_VALUE"""),"
")</f>
        <v>
</v>
      </c>
      <c r="L222" s="17" t="str">
        <f>IFERROR(__xludf.DUMMYFUNCTION("""COMPUTED_VALUE"""),"
")</f>
        <v>
</v>
      </c>
      <c r="M222" s="17" t="str">
        <f>IFERROR(__xludf.DUMMYFUNCTION("""COMPUTED_VALUE"""),"
")</f>
        <v>
</v>
      </c>
      <c r="N222" s="17" t="str">
        <f>IFERROR(__xludf.DUMMYFUNCTION("""COMPUTED_VALUE"""),"
")</f>
        <v>
</v>
      </c>
      <c r="O222" s="17" t="str">
        <f>IFERROR(__xludf.DUMMYFUNCTION("""COMPUTED_VALUE"""),"
")</f>
        <v>
</v>
      </c>
      <c r="P222" s="17" t="str">
        <f>IFERROR(__xludf.DUMMYFUNCTION("""COMPUTED_VALUE"""),"
")</f>
        <v>
</v>
      </c>
      <c r="Q222" s="17" t="str">
        <f>IFERROR(__xludf.DUMMYFUNCTION("""COMPUTED_VALUE"""),"
")</f>
        <v>
</v>
      </c>
      <c r="R222" s="17" t="str">
        <f>IFERROR(__xludf.DUMMYFUNCTION("""COMPUTED_VALUE"""),"
")</f>
        <v>
</v>
      </c>
      <c r="S222" s="17" t="str">
        <f>IFERROR(__xludf.DUMMYFUNCTION("""COMPUTED_VALUE"""),"
")</f>
        <v>
</v>
      </c>
      <c r="T222" s="17" t="str">
        <f>IFERROR(__xludf.DUMMYFUNCTION("""COMPUTED_VALUE"""),"
")</f>
        <v>
</v>
      </c>
      <c r="U222" s="17" t="str">
        <f>IFERROR(__xludf.DUMMYFUNCTION("""COMPUTED_VALUE"""),"
")</f>
        <v>
</v>
      </c>
      <c r="V222" s="17" t="str">
        <f>IFERROR(__xludf.DUMMYFUNCTION("""COMPUTED_VALUE"""),"
")</f>
        <v>
</v>
      </c>
      <c r="W222" s="17" t="str">
        <f>IFERROR(__xludf.DUMMYFUNCTION("""COMPUTED_VALUE"""),"
")</f>
        <v>
</v>
      </c>
      <c r="X222" s="17" t="str">
        <f>IFERROR(__xludf.DUMMYFUNCTION("""COMPUTED_VALUE"""),"
")</f>
        <v>
</v>
      </c>
      <c r="Y222" s="17" t="str">
        <f>IFERROR(__xludf.DUMMYFUNCTION("""COMPUTED_VALUE"""),"
")</f>
        <v>
</v>
      </c>
      <c r="Z222" s="17" t="str">
        <f>IFERROR(__xludf.DUMMYFUNCTION("""COMPUTED_VALUE"""),"
")</f>
        <v>
</v>
      </c>
      <c r="AA222" s="17" t="str">
        <f>IFERROR(__xludf.DUMMYFUNCTION("""COMPUTED_VALUE"""),"
")</f>
        <v>
</v>
      </c>
      <c r="AB222" s="17" t="str">
        <f>IFERROR(__xludf.DUMMYFUNCTION("""COMPUTED_VALUE"""),"
")</f>
        <v>
</v>
      </c>
      <c r="AC222" s="17" t="str">
        <f>IFERROR(__xludf.DUMMYFUNCTION("""COMPUTED_VALUE"""),"
")</f>
        <v>
</v>
      </c>
    </row>
    <row r="223">
      <c r="A223" s="17" t="str">
        <f>IFERROR(__xludf.DUMMYFUNCTION("""COMPUTED_VALUE"""),"Chapter 112: 81 Augmentations
Entertainment Room (Personal Reality) 200:
Keeping yourself busy isn’t always easy, and sometimes you just want to relax and listen to some music or watch a movie. This is for you. A six room complex is added to your Personal"&amp;" Reality. Each room is an almost perfect movie theatre, music room, video-gaming theatre, sound stage, or miniature live theatre. There are 24 comfortable chairs in each (the exact level of luxury depends on your housing level). A popcorn and generic cand"&amp;"y vendor and off-brand soda dispenser (self-service) are provided at the basic, but will upgrade to name-brands with any housing upgrade.
Facility")</f>
        <v>Chapter 112: 81 Augmentations
Entertainment Room (Personal Reality) 200:
Keeping yourself busy isn’t always easy, and sometimes you just want to relax and listen to some music or watch a movie. This is for you. A six room complex is added to your Personal Reality. Each room is an almost perfect movie theatre, music room, video-gaming theatre, sound stage, or miniature live theatre. There are 24 comfortable chairs in each (the exact level of luxury depends on your housing level). A popcorn and generic candy vendor and off-brand soda dispenser (self-service) are provided at the basic, but will upgrade to name-brands with any housing upgrade.
Facility</v>
      </c>
      <c r="B223" s="17" t="str">
        <f>IFERROR(__xludf.DUMMYFUNCTION("""COMPUTED_VALUE"""),"Chapter 112: 81 Augmentations
Kit and Kaboodle (Personal Reality) 50:
There’s not much purpose in having a sound-stage if you don’t have recording equipment and instruments. While not the best, this Entertainment Room Upgrade provides you with professiona"&amp;"l grade musical instruments of any kind found on Earth, and a professional mixing board and easy to follow instructions on how to make best use of it. The instruments from this can’t be removed from the Warehouse without the Extruder.
Facility")</f>
        <v>Chapter 112: 81 Augmentations
Kit and Kaboodle (Personal Reality) 50:
There’s not much purpose in having a sound-stage if you don’t have recording equipment and instruments. While not the best, this Entertainment Room Upgrade provides you with professional grade musical instruments of any kind found on Earth, and a professional mixing board and easy to follow instructions on how to make best use of it. The instruments from this can’t be removed from the Warehouse without the Extruder.
Facility</v>
      </c>
      <c r="C223" s="17" t="str">
        <f>IFERROR(__xludf.DUMMYFUNCTION("""COMPUTED_VALUE"""),"Chapter 112: 81 Augmentations
Auditorium (Personal Reality) 50:
This Entertainment Room Upgrade adds an auditorium to your complex with stage for bigger productions and comfortable seating for viewers. the Auditorium can seat up to 400 in comfort and the "&amp;"followspots always follow, the lights always change on cue, and the props and sets are always in the proper order and condition.
Facility")</f>
        <v>Chapter 112: 81 Augmentations
Auditorium (Personal Reality) 50:
This Entertainment Room Upgrade adds an auditorium to your complex with stage for bigger productions and comfortable seating for viewers. the Auditorium can seat up to 400 in comfort and the followspots always follow, the lights always change on cue, and the props and sets are always in the proper order and condition.
Facility</v>
      </c>
      <c r="D223" s="17" t="str">
        <f>IFERROR(__xludf.DUMMYFUNCTION("""COMPUTED_VALUE"""),"Chapter 112: 81 Augmentations
Costume Closet (Personal Reality) 50:
This Entertainment Room Upgrade adds a closet full of costumes, exactly what you need to perform your various acts or routines. The contents will adjust to the wearer and will be as comfo"&amp;"rtable as reasonable. They’re self-cleaning and self-repairing, but they cannot be removed from the Warehouse without the Extruder.
Facility")</f>
        <v>Chapter 112: 81 Augmentations
Costume Closet (Personal Reality) 50:
This Entertainment Room Upgrade adds a closet full of costumes, exactly what you need to perform your various acts or routines. The contents will adjust to the wearer and will be as comfortable as reasonable. They’re self-cleaning and self-repairing, but they cannot be removed from the Warehouse without the Extruder.
Facility</v>
      </c>
      <c r="E223" s="17" t="str">
        <f>IFERROR(__xludf.DUMMYFUNCTION("""COMPUTED_VALUE"""),"
")</f>
        <v>
</v>
      </c>
      <c r="F223" s="17" t="str">
        <f>IFERROR(__xludf.DUMMYFUNCTION("""COMPUTED_VALUE"""),"
")</f>
        <v>
</v>
      </c>
      <c r="G223" s="17" t="str">
        <f>IFERROR(__xludf.DUMMYFUNCTION("""COMPUTED_VALUE"""),"
")</f>
        <v>
</v>
      </c>
      <c r="H223" s="17" t="str">
        <f>IFERROR(__xludf.DUMMYFUNCTION("""COMPUTED_VALUE"""),"
")</f>
        <v>
</v>
      </c>
      <c r="I223" s="17" t="str">
        <f>IFERROR(__xludf.DUMMYFUNCTION("""COMPUTED_VALUE"""),"
")</f>
        <v>
</v>
      </c>
      <c r="J223" s="17" t="str">
        <f>IFERROR(__xludf.DUMMYFUNCTION("""COMPUTED_VALUE"""),"
")</f>
        <v>
</v>
      </c>
      <c r="K223" s="17" t="str">
        <f>IFERROR(__xludf.DUMMYFUNCTION("""COMPUTED_VALUE"""),"
")</f>
        <v>
</v>
      </c>
      <c r="L223" s="17" t="str">
        <f>IFERROR(__xludf.DUMMYFUNCTION("""COMPUTED_VALUE"""),"
")</f>
        <v>
</v>
      </c>
      <c r="M223" s="17" t="str">
        <f>IFERROR(__xludf.DUMMYFUNCTION("""COMPUTED_VALUE"""),"
")</f>
        <v>
</v>
      </c>
      <c r="N223" s="17" t="str">
        <f>IFERROR(__xludf.DUMMYFUNCTION("""COMPUTED_VALUE"""),"
")</f>
        <v>
</v>
      </c>
      <c r="O223" s="17" t="str">
        <f>IFERROR(__xludf.DUMMYFUNCTION("""COMPUTED_VALUE"""),"
")</f>
        <v>
</v>
      </c>
      <c r="P223" s="17" t="str">
        <f>IFERROR(__xludf.DUMMYFUNCTION("""COMPUTED_VALUE"""),"
")</f>
        <v>
</v>
      </c>
      <c r="Q223" s="17" t="str">
        <f>IFERROR(__xludf.DUMMYFUNCTION("""COMPUTED_VALUE"""),"
")</f>
        <v>
</v>
      </c>
      <c r="R223" s="17" t="str">
        <f>IFERROR(__xludf.DUMMYFUNCTION("""COMPUTED_VALUE"""),"
")</f>
        <v>
</v>
      </c>
      <c r="S223" s="17" t="str">
        <f>IFERROR(__xludf.DUMMYFUNCTION("""COMPUTED_VALUE"""),"
")</f>
        <v>
</v>
      </c>
      <c r="T223" s="17" t="str">
        <f>IFERROR(__xludf.DUMMYFUNCTION("""COMPUTED_VALUE"""),"
")</f>
        <v>
</v>
      </c>
      <c r="U223" s="17" t="str">
        <f>IFERROR(__xludf.DUMMYFUNCTION("""COMPUTED_VALUE"""),"
")</f>
        <v>
</v>
      </c>
      <c r="V223" s="17" t="str">
        <f>IFERROR(__xludf.DUMMYFUNCTION("""COMPUTED_VALUE"""),"
")</f>
        <v>
</v>
      </c>
      <c r="W223" s="17" t="str">
        <f>IFERROR(__xludf.DUMMYFUNCTION("""COMPUTED_VALUE"""),"
")</f>
        <v>
</v>
      </c>
      <c r="X223" s="17" t="str">
        <f>IFERROR(__xludf.DUMMYFUNCTION("""COMPUTED_VALUE"""),"
")</f>
        <v>
</v>
      </c>
      <c r="Y223" s="17" t="str">
        <f>IFERROR(__xludf.DUMMYFUNCTION("""COMPUTED_VALUE"""),"
")</f>
        <v>
</v>
      </c>
      <c r="Z223" s="17" t="str">
        <f>IFERROR(__xludf.DUMMYFUNCTION("""COMPUTED_VALUE"""),"
")</f>
        <v>
</v>
      </c>
      <c r="AA223" s="17" t="str">
        <f>IFERROR(__xludf.DUMMYFUNCTION("""COMPUTED_VALUE"""),"
")</f>
        <v>
</v>
      </c>
      <c r="AB223" s="17" t="str">
        <f>IFERROR(__xludf.DUMMYFUNCTION("""COMPUTED_VALUE"""),"
")</f>
        <v>
</v>
      </c>
      <c r="AC223" s="17" t="str">
        <f>IFERROR(__xludf.DUMMYFUNCTION("""COMPUTED_VALUE"""),"
")</f>
        <v>
</v>
      </c>
    </row>
    <row r="224">
      <c r="A224" s="17" t="str">
        <f>IFERROR(__xludf.DUMMYFUNCTION("""COMPUTED_VALUE"""),"Chapter 01: 1 Introduction
Entrance Hall - Joe (Personal Reality) Free:
This is the room your Access Key opens a door to. It starts off as a 5 meter cube with blank white walls, floor, and ceiling, as some doors, one leading to the current Host Reality, t"&amp;"he other into your Cosmic Warehouse, with additional doors leading to other extensions as these get added to your Personal Reality. Feel free to customize this Entrance Hall as you see fit. Additional Halls can, at your discretion, be linked only to certa"&amp;"in keys or only to certain extensions. This allows you to have an entry hall just for skiing if you want. Repeatable 
Facility")</f>
        <v>Chapter 01: 1 Introduction
Entrance Hall - Joe (Personal Reality) Free:
This is the room your Access Key opens a door to. It starts off as a 5 meter cube with blank white walls, floor, and ceiling, as some doors, one leading to the current Host Reality, the other into your Cosmic Warehouse, with additional doors leading to other extensions as these get added to your Personal Reality. Feel free to customize this Entrance Hall as you see fit. Additional Halls can, at your discretion, be linked only to certain keys or only to certain extensions. This allows you to have an entry hall just for skiing if you want. Repeatable 
Facility</v>
      </c>
      <c r="B224" s="17" t="str">
        <f>IFERROR(__xludf.DUMMYFUNCTION("""COMPUTED_VALUE"""),"Chapter 115: 83 Check In
Additional Keys (Personal Reality) 50:
This Access Key Upgrade gives you an additional keys to your Personal Reality. These keys attune to whomever you give them to and cannot be used by anyone other than them or someone they free"&amp;"ly and without duress or coercion of any kind allow to use the key. If they lose the key, it will return to them if they are still alive, or to you if they are currently dead. If they die in possession of the key, their body will be transported to your Me"&amp;"dical Bay, if you have one.
Item")</f>
        <v>Chapter 115: 83 Check In
Additional Keys (Personal Reality) 50:
This Access Key Upgrade gives you an additional keys to your Personal Reality. These keys attune to whomever you give them to and cannot be used by anyone other than them or someone they freely and without duress or coercion of any kind allow to use the key. If they lose the key, it will return to them if they are still alive, or to you if they are currently dead. If they die in possession of the key, their body will be transported to your Medical Bay, if you have one.
Item</v>
      </c>
      <c r="C224" s="17" t="str">
        <f>IFERROR(__xludf.DUMMYFUNCTION("""COMPUTED_VALUE"""),"Chapter 115: 83 Check In
Entrance Hall - Garment (Personal Reality) 50:
This is the room your Access Key opens a door to.
Facility")</f>
        <v>Chapter 115: 83 Check In
Entrance Hall - Garment (Personal Reality) 50:
This is the room your Access Key opens a door to.
Facility</v>
      </c>
      <c r="D224" s="17" t="str">
        <f>IFERROR(__xludf.DUMMYFUNCTION("""COMPUTED_VALUE"""),"Chapter 154: 104 Loose Ends
Entrance Hall - Fleet (Personal Reality) 50:
This is the room your Access Key opens a door to.
Facility
")</f>
        <v>Chapter 154: 104 Loose Ends
Entrance Hall - Fleet (Personal Reality) 50:
This is the room your Access Key opens a door to.
Facility
</v>
      </c>
      <c r="E224" s="17" t="str">
        <f>IFERROR(__xludf.DUMMYFUNCTION("""COMPUTED_VALUE"""),"Chapter 154: 104 Loose Ends
Entrance Hall – Survey (Personal Reality) 50:
This is the room your Access Key opens a door to.
Facility
")</f>
        <v>Chapter 154: 104 Loose Ends
Entrance Hall – Survey (Personal Reality) 50:
This is the room your Access Key opens a door to.
Facility
</v>
      </c>
      <c r="F224" s="17" t="str">
        <f>IFERROR(__xludf.DUMMYFUNCTION("""COMPUTED_VALUE"""),"Chapter 154: 104 Loose Ends
Entrance Hall – Aisha (Personal Reality) 50:
This is the room your Access Key opens a door to.
Facility
")</f>
        <v>Chapter 154: 104 Loose Ends
Entrance Hall – Aisha (Personal Reality) 50:
This is the room your Access Key opens a door to.
Facility
</v>
      </c>
      <c r="G224" s="17" t="str">
        <f>IFERROR(__xludf.DUMMYFUNCTION("""COMPUTED_VALUE"""),"Chapter 154: 104 Loose Ends
Entrance Hall – Tetra (Personal Reality) 50:
This is the room your Access Key opens a door to.
Facility
")</f>
        <v>Chapter 154: 104 Loose Ends
Entrance Hall – Tetra (Personal Reality) 50:
This is the room your Access Key opens a door to.
Facility
</v>
      </c>
      <c r="H224" s="17" t="str">
        <f>IFERROR(__xludf.DUMMYFUNCTION("""COMPUTED_VALUE"""),"Chapter 154: 104 Loose Ends
Entrance Hall - The Matrix (Personal Reality) 50:
This is the room your Access Key opens a door to.
Facility
")</f>
        <v>Chapter 154: 104 Loose Ends
Entrance Hall - The Matrix (Personal Reality) 50:
This is the room your Access Key opens a door to.
Facility
</v>
      </c>
      <c r="I224" s="17" t="str">
        <f>IFERROR(__xludf.DUMMYFUNCTION("""COMPUTED_VALUE"""),"Chapter 154: 104 Loose Ends
Entrance Hall – Tybalt (Personal Reality) 50:
This is the room your Access Key opens a door to.
Facility
")</f>
        <v>Chapter 154: 104 Loose Ends
Entrance Hall – Tybalt (Personal Reality) 50:
This is the room your Access Key opens a door to.
Facility
</v>
      </c>
      <c r="J224" s="17" t="str">
        <f>IFERROR(__xludf.DUMMYFUNCTION("""COMPUTED_VALUE"""),"Chapter 154: 104 Loose Ends
Entrance Hall - Espirit de Kerbal (Personal Reality) 50:
This is the room your Access Key opens a door to.
Facility
")</f>
        <v>Chapter 154: 104 Loose Ends
Entrance Hall - Espirit de Kerbal (Personal Reality) 50:
This is the room your Access Key opens a door to.
Facility
</v>
      </c>
      <c r="K224" s="17" t="str">
        <f>IFERROR(__xludf.DUMMYFUNCTION("""COMPUTED_VALUE"""),"Chapter 154: 104 Loose Ends
Entrance Hall - Some Old Friends (Personal Reality) 50:
This is the room your Access Key opens a door to.
Facility")</f>
        <v>Chapter 154: 104 Loose Ends
Entrance Hall - Some Old Friends (Personal Reality) 50:
This is the room your Access Key opens a door to.
Facility</v>
      </c>
      <c r="L224" s="17" t="str">
        <f>IFERROR(__xludf.DUMMYFUNCTION("""COMPUTED_VALUE"""),"
")</f>
        <v>
</v>
      </c>
      <c r="M224" s="17" t="str">
        <f>IFERROR(__xludf.DUMMYFUNCTION("""COMPUTED_VALUE"""),"
")</f>
        <v>
</v>
      </c>
      <c r="N224" s="17" t="str">
        <f>IFERROR(__xludf.DUMMYFUNCTION("""COMPUTED_VALUE"""),"
")</f>
        <v>
</v>
      </c>
      <c r="O224" s="17" t="str">
        <f>IFERROR(__xludf.DUMMYFUNCTION("""COMPUTED_VALUE"""),"
")</f>
        <v>
</v>
      </c>
      <c r="P224" s="17" t="str">
        <f>IFERROR(__xludf.DUMMYFUNCTION("""COMPUTED_VALUE"""),"
")</f>
        <v>
</v>
      </c>
      <c r="Q224" s="17" t="str">
        <f>IFERROR(__xludf.DUMMYFUNCTION("""COMPUTED_VALUE"""),"
")</f>
        <v>
</v>
      </c>
      <c r="R224" s="17" t="str">
        <f>IFERROR(__xludf.DUMMYFUNCTION("""COMPUTED_VALUE"""),"
")</f>
        <v>
</v>
      </c>
      <c r="S224" s="17" t="str">
        <f>IFERROR(__xludf.DUMMYFUNCTION("""COMPUTED_VALUE"""),"
")</f>
        <v>
</v>
      </c>
      <c r="T224" s="17" t="str">
        <f>IFERROR(__xludf.DUMMYFUNCTION("""COMPUTED_VALUE"""),"
")</f>
        <v>
</v>
      </c>
      <c r="U224" s="17" t="str">
        <f>IFERROR(__xludf.DUMMYFUNCTION("""COMPUTED_VALUE"""),"
")</f>
        <v>
</v>
      </c>
      <c r="V224" s="17" t="str">
        <f>IFERROR(__xludf.DUMMYFUNCTION("""COMPUTED_VALUE"""),"
")</f>
        <v>
</v>
      </c>
      <c r="W224" s="17" t="str">
        <f>IFERROR(__xludf.DUMMYFUNCTION("""COMPUTED_VALUE"""),"
")</f>
        <v>
</v>
      </c>
      <c r="X224" s="17" t="str">
        <f>IFERROR(__xludf.DUMMYFUNCTION("""COMPUTED_VALUE"""),"
")</f>
        <v>
</v>
      </c>
      <c r="Y224" s="17" t="str">
        <f>IFERROR(__xludf.DUMMYFUNCTION("""COMPUTED_VALUE"""),"
")</f>
        <v>
</v>
      </c>
      <c r="Z224" s="17" t="str">
        <f>IFERROR(__xludf.DUMMYFUNCTION("""COMPUTED_VALUE"""),"
")</f>
        <v>
</v>
      </c>
      <c r="AA224" s="17" t="str">
        <f>IFERROR(__xludf.DUMMYFUNCTION("""COMPUTED_VALUE"""),"
")</f>
        <v>
</v>
      </c>
      <c r="AB224" s="17" t="str">
        <f>IFERROR(__xludf.DUMMYFUNCTION("""COMPUTED_VALUE"""),"
")</f>
        <v>
</v>
      </c>
      <c r="AC224" s="17" t="str">
        <f>IFERROR(__xludf.DUMMYFUNCTION("""COMPUTED_VALUE"""),"
")</f>
        <v>
</v>
      </c>
    </row>
    <row r="225">
      <c r="A225" s="17" t="str">
        <f>IFERROR(__xludf.DUMMYFUNCTION("""COMPUTED_VALUE"""),"")</f>
        <v/>
      </c>
      <c r="B225" s="17" t="str">
        <f>IFERROR(__xludf.DUMMYFUNCTION("""COMPUTED_VALUE"""),"")</f>
        <v/>
      </c>
      <c r="C225" s="17" t="str">
        <f>IFERROR(__xludf.DUMMYFUNCTION("""COMPUTED_VALUE"""),"")</f>
        <v/>
      </c>
      <c r="D225" s="17" t="str">
        <f>IFERROR(__xludf.DUMMYFUNCTION("""COMPUTED_VALUE"""),"")</f>
        <v/>
      </c>
      <c r="E225" s="17" t="str">
        <f>IFERROR(__xludf.DUMMYFUNCTION("""COMPUTED_VALUE"""),"")</f>
        <v/>
      </c>
      <c r="F225" s="17" t="str">
        <f>IFERROR(__xludf.DUMMYFUNCTION("""COMPUTED_VALUE"""),"")</f>
        <v/>
      </c>
      <c r="G225" s="17" t="str">
        <f>IFERROR(__xludf.DUMMYFUNCTION("""COMPUTED_VALUE"""),"")</f>
        <v/>
      </c>
      <c r="H225" s="17" t="str">
        <f>IFERROR(__xludf.DUMMYFUNCTION("""COMPUTED_VALUE"""),"")</f>
        <v/>
      </c>
      <c r="I225" s="17" t="str">
        <f>IFERROR(__xludf.DUMMYFUNCTION("""COMPUTED_VALUE"""),"")</f>
        <v/>
      </c>
      <c r="J225" s="17" t="str">
        <f>IFERROR(__xludf.DUMMYFUNCTION("""COMPUTED_VALUE"""),"")</f>
        <v/>
      </c>
      <c r="K225" s="17" t="str">
        <f>IFERROR(__xludf.DUMMYFUNCTION("""COMPUTED_VALUE"""),"")</f>
        <v/>
      </c>
      <c r="L225" s="17" t="str">
        <f>IFERROR(__xludf.DUMMYFUNCTION("""COMPUTED_VALUE"""),"")</f>
        <v/>
      </c>
      <c r="M225" s="17" t="str">
        <f>IFERROR(__xludf.DUMMYFUNCTION("""COMPUTED_VALUE"""),"")</f>
        <v/>
      </c>
      <c r="N225" s="17" t="str">
        <f>IFERROR(__xludf.DUMMYFUNCTION("""COMPUTED_VALUE"""),"")</f>
        <v/>
      </c>
      <c r="O225" s="17" t="str">
        <f>IFERROR(__xludf.DUMMYFUNCTION("""COMPUTED_VALUE"""),"")</f>
        <v/>
      </c>
      <c r="P225" s="17" t="str">
        <f>IFERROR(__xludf.DUMMYFUNCTION("""COMPUTED_VALUE"""),"")</f>
        <v/>
      </c>
      <c r="Q225" s="17" t="str">
        <f>IFERROR(__xludf.DUMMYFUNCTION("""COMPUTED_VALUE"""),"")</f>
        <v/>
      </c>
      <c r="R225" s="17" t="str">
        <f>IFERROR(__xludf.DUMMYFUNCTION("""COMPUTED_VALUE"""),"")</f>
        <v/>
      </c>
      <c r="S225" s="17" t="str">
        <f>IFERROR(__xludf.DUMMYFUNCTION("""COMPUTED_VALUE"""),"")</f>
        <v/>
      </c>
      <c r="T225" s="17" t="str">
        <f>IFERROR(__xludf.DUMMYFUNCTION("""COMPUTED_VALUE"""),"")</f>
        <v/>
      </c>
      <c r="U225" s="17" t="str">
        <f>IFERROR(__xludf.DUMMYFUNCTION("""COMPUTED_VALUE"""),"")</f>
        <v/>
      </c>
      <c r="V225" s="17" t="str">
        <f>IFERROR(__xludf.DUMMYFUNCTION("""COMPUTED_VALUE"""),"")</f>
        <v/>
      </c>
      <c r="W225" s="17" t="str">
        <f>IFERROR(__xludf.DUMMYFUNCTION("""COMPUTED_VALUE"""),"")</f>
        <v/>
      </c>
      <c r="X225" s="17" t="str">
        <f>IFERROR(__xludf.DUMMYFUNCTION("""COMPUTED_VALUE"""),"")</f>
        <v/>
      </c>
      <c r="Y225" s="17" t="str">
        <f>IFERROR(__xludf.DUMMYFUNCTION("""COMPUTED_VALUE"""),"")</f>
        <v/>
      </c>
      <c r="Z225" s="17" t="str">
        <f>IFERROR(__xludf.DUMMYFUNCTION("""COMPUTED_VALUE"""),"")</f>
        <v/>
      </c>
      <c r="AA225" s="17" t="str">
        <f>IFERROR(__xludf.DUMMYFUNCTION("""COMPUTED_VALUE"""),"")</f>
        <v/>
      </c>
      <c r="AB225" s="17" t="str">
        <f>IFERROR(__xludf.DUMMYFUNCTION("""COMPUTED_VALUE"""),"")</f>
        <v/>
      </c>
      <c r="AC225" s="17" t="str">
        <f>IFERROR(__xludf.DUMMYFUNCTION("""COMPUTED_VALUE"""),"")</f>
        <v/>
      </c>
    </row>
    <row r="226">
      <c r="A226" s="17" t="str">
        <f>IFERROR(__xludf.DUMMYFUNCTION("""COMPUTED_VALUE"""),"Chapter 96: 69 Magic Instruction
Extranet (Personal Reality) 200:
This handy add on connects your Personal Reality with the local Data Networks of the Universe you’re currently in… not only that, but it gets the kind of performance only really ever seen b"&amp;"y ISPs at their hubs. If your current Reality of Residence does not have a Data Network, this will connect to the nearest equivalent.. yes, even if that is nothing more than a town gossip and a local library.
Facility")</f>
        <v>Chapter 96: 69 Magic Instruction
Extranet (Personal Reality) 200:
This handy add on connects your Personal Reality with the local Data Networks of the Universe you’re currently in… not only that, but it gets the kind of performance only really ever seen by ISPs at their hubs. If your current Reality of Residence does not have a Data Network, this will connect to the nearest equivalent.. yes, even if that is nothing more than a town gossip and a local library.
Facility</v>
      </c>
      <c r="B226" s="17" t="str">
        <f>IFERROR(__xludf.DUMMYFUNCTION("""COMPUTED_VALUE"""),"Chapter 151: 101 Catharsis
VOWP Cellular Service (Personal Reality) 200:
This Extranet upgrade hooks your Personal Reality up with Voice Over Warehouse Protocol Cellular Service, and provides you with fiat backed cellphones that are guaranteed to connect "&amp;"to the Personal Reality or to any other cell phone on the service… regardless of what Reality those phones are connected to at the current moment. You gain a vending machine that vends Nokia dumb-phones, iPhones up to 8, and Galaxy S7 smartphones, plus an"&amp;"y cell phone (or similar) you supply it with a copy of, as well as SIM cards or the equivalent for other phones. These phones will work just fine no matter where you find yourself, but be careful as they’re just as durable as normal ones and will need to "&amp;"be replaced should they get damaged or destroyed. They must be charged as normal, but get extremely good battery life.
Facility")</f>
        <v>Chapter 151: 101 Catharsis
VOWP Cellular Service (Personal Reality) 200:
This Extranet upgrade hooks your Personal Reality up with Voice Over Warehouse Protocol Cellular Service, and provides you with fiat backed cellphones that are guaranteed to connect to the Personal Reality or to any other cell phone on the service… regardless of what Reality those phones are connected to at the current moment. You gain a vending machine that vends Nokia dumb-phones, iPhones up to 8, and Galaxy S7 smartphones, plus any cell phone (or similar) you supply it with a copy of, as well as SIM cards or the equivalent for other phones. These phones will work just fine no matter where you find yourself, but be careful as they’re just as durable as normal ones and will need to be replaced should they get damaged or destroyed. They must be charged as normal, but get extremely good battery life.
Facility</v>
      </c>
      <c r="C226" s="17" t="str">
        <f>IFERROR(__xludf.DUMMYFUNCTION("""COMPUTED_VALUE"""),"
")</f>
        <v>
</v>
      </c>
      <c r="D226" s="17" t="str">
        <f>IFERROR(__xludf.DUMMYFUNCTION("""COMPUTED_VALUE"""),"
")</f>
        <v>
</v>
      </c>
      <c r="E226" s="17" t="str">
        <f>IFERROR(__xludf.DUMMYFUNCTION("""COMPUTED_VALUE"""),"
")</f>
        <v>
</v>
      </c>
      <c r="F226" s="17" t="str">
        <f>IFERROR(__xludf.DUMMYFUNCTION("""COMPUTED_VALUE"""),"
")</f>
        <v>
</v>
      </c>
      <c r="G226" s="17" t="str">
        <f>IFERROR(__xludf.DUMMYFUNCTION("""COMPUTED_VALUE"""),"
")</f>
        <v>
</v>
      </c>
      <c r="H226" s="17" t="str">
        <f>IFERROR(__xludf.DUMMYFUNCTION("""COMPUTED_VALUE"""),"
")</f>
        <v>
</v>
      </c>
      <c r="I226" s="17" t="str">
        <f>IFERROR(__xludf.DUMMYFUNCTION("""COMPUTED_VALUE"""),"
")</f>
        <v>
</v>
      </c>
      <c r="J226" s="17" t="str">
        <f>IFERROR(__xludf.DUMMYFUNCTION("""COMPUTED_VALUE"""),"
")</f>
        <v>
</v>
      </c>
      <c r="K226" s="17" t="str">
        <f>IFERROR(__xludf.DUMMYFUNCTION("""COMPUTED_VALUE"""),"
")</f>
        <v>
</v>
      </c>
      <c r="L226" s="17" t="str">
        <f>IFERROR(__xludf.DUMMYFUNCTION("""COMPUTED_VALUE"""),"
")</f>
        <v>
</v>
      </c>
      <c r="M226" s="17" t="str">
        <f>IFERROR(__xludf.DUMMYFUNCTION("""COMPUTED_VALUE"""),"
")</f>
        <v>
</v>
      </c>
      <c r="N226" s="17" t="str">
        <f>IFERROR(__xludf.DUMMYFUNCTION("""COMPUTED_VALUE"""),"
")</f>
        <v>
</v>
      </c>
      <c r="O226" s="17" t="str">
        <f>IFERROR(__xludf.DUMMYFUNCTION("""COMPUTED_VALUE"""),"
")</f>
        <v>
</v>
      </c>
      <c r="P226" s="17" t="str">
        <f>IFERROR(__xludf.DUMMYFUNCTION("""COMPUTED_VALUE"""),"
")</f>
        <v>
</v>
      </c>
      <c r="Q226" s="17" t="str">
        <f>IFERROR(__xludf.DUMMYFUNCTION("""COMPUTED_VALUE"""),"
")</f>
        <v>
</v>
      </c>
      <c r="R226" s="17" t="str">
        <f>IFERROR(__xludf.DUMMYFUNCTION("""COMPUTED_VALUE"""),"
")</f>
        <v>
</v>
      </c>
      <c r="S226" s="17" t="str">
        <f>IFERROR(__xludf.DUMMYFUNCTION("""COMPUTED_VALUE"""),"
")</f>
        <v>
</v>
      </c>
      <c r="T226" s="17" t="str">
        <f>IFERROR(__xludf.DUMMYFUNCTION("""COMPUTED_VALUE"""),"
")</f>
        <v>
</v>
      </c>
      <c r="U226" s="17" t="str">
        <f>IFERROR(__xludf.DUMMYFUNCTION("""COMPUTED_VALUE"""),"
")</f>
        <v>
</v>
      </c>
      <c r="V226" s="17" t="str">
        <f>IFERROR(__xludf.DUMMYFUNCTION("""COMPUTED_VALUE"""),"
")</f>
        <v>
</v>
      </c>
      <c r="W226" s="17" t="str">
        <f>IFERROR(__xludf.DUMMYFUNCTION("""COMPUTED_VALUE"""),"
")</f>
        <v>
</v>
      </c>
      <c r="X226" s="17" t="str">
        <f>IFERROR(__xludf.DUMMYFUNCTION("""COMPUTED_VALUE"""),"
")</f>
        <v>
</v>
      </c>
      <c r="Y226" s="17" t="str">
        <f>IFERROR(__xludf.DUMMYFUNCTION("""COMPUTED_VALUE"""),"
")</f>
        <v>
</v>
      </c>
      <c r="Z226" s="17" t="str">
        <f>IFERROR(__xludf.DUMMYFUNCTION("""COMPUTED_VALUE"""),"
")</f>
        <v>
</v>
      </c>
      <c r="AA226" s="17" t="str">
        <f>IFERROR(__xludf.DUMMYFUNCTION("""COMPUTED_VALUE"""),"
")</f>
        <v>
</v>
      </c>
      <c r="AB226" s="17" t="str">
        <f>IFERROR(__xludf.DUMMYFUNCTION("""COMPUTED_VALUE"""),"
")</f>
        <v>
</v>
      </c>
      <c r="AC226" s="17" t="str">
        <f>IFERROR(__xludf.DUMMYFUNCTION("""COMPUTED_VALUE"""),"
")</f>
        <v>
</v>
      </c>
    </row>
    <row r="227">
      <c r="A227" s="17" t="str">
        <f>IFERROR(__xludf.DUMMYFUNCTION("""COMPUTED_VALUE"""),"")</f>
        <v/>
      </c>
      <c r="B227" s="17" t="str">
        <f>IFERROR(__xludf.DUMMYFUNCTION("""COMPUTED_VALUE"""),"")</f>
        <v/>
      </c>
      <c r="C227" s="17" t="str">
        <f>IFERROR(__xludf.DUMMYFUNCTION("""COMPUTED_VALUE"""),"")</f>
        <v/>
      </c>
      <c r="D227" s="17" t="str">
        <f>IFERROR(__xludf.DUMMYFUNCTION("""COMPUTED_VALUE"""),"")</f>
        <v/>
      </c>
      <c r="E227" s="17" t="str">
        <f>IFERROR(__xludf.DUMMYFUNCTION("""COMPUTED_VALUE"""),"")</f>
        <v/>
      </c>
      <c r="F227" s="17" t="str">
        <f>IFERROR(__xludf.DUMMYFUNCTION("""COMPUTED_VALUE"""),"")</f>
        <v/>
      </c>
      <c r="G227" s="17" t="str">
        <f>IFERROR(__xludf.DUMMYFUNCTION("""COMPUTED_VALUE"""),"")</f>
        <v/>
      </c>
      <c r="H227" s="17" t="str">
        <f>IFERROR(__xludf.DUMMYFUNCTION("""COMPUTED_VALUE"""),"")</f>
        <v/>
      </c>
      <c r="I227" s="17" t="str">
        <f>IFERROR(__xludf.DUMMYFUNCTION("""COMPUTED_VALUE"""),"")</f>
        <v/>
      </c>
      <c r="J227" s="17" t="str">
        <f>IFERROR(__xludf.DUMMYFUNCTION("""COMPUTED_VALUE"""),"")</f>
        <v/>
      </c>
      <c r="K227" s="17" t="str">
        <f>IFERROR(__xludf.DUMMYFUNCTION("""COMPUTED_VALUE"""),"")</f>
        <v/>
      </c>
      <c r="L227" s="17" t="str">
        <f>IFERROR(__xludf.DUMMYFUNCTION("""COMPUTED_VALUE"""),"")</f>
        <v/>
      </c>
      <c r="M227" s="17" t="str">
        <f>IFERROR(__xludf.DUMMYFUNCTION("""COMPUTED_VALUE"""),"")</f>
        <v/>
      </c>
      <c r="N227" s="17" t="str">
        <f>IFERROR(__xludf.DUMMYFUNCTION("""COMPUTED_VALUE"""),"")</f>
        <v/>
      </c>
      <c r="O227" s="17" t="str">
        <f>IFERROR(__xludf.DUMMYFUNCTION("""COMPUTED_VALUE"""),"")</f>
        <v/>
      </c>
      <c r="P227" s="17" t="str">
        <f>IFERROR(__xludf.DUMMYFUNCTION("""COMPUTED_VALUE"""),"")</f>
        <v/>
      </c>
      <c r="Q227" s="17" t="str">
        <f>IFERROR(__xludf.DUMMYFUNCTION("""COMPUTED_VALUE"""),"")</f>
        <v/>
      </c>
      <c r="R227" s="17" t="str">
        <f>IFERROR(__xludf.DUMMYFUNCTION("""COMPUTED_VALUE"""),"")</f>
        <v/>
      </c>
      <c r="S227" s="17" t="str">
        <f>IFERROR(__xludf.DUMMYFUNCTION("""COMPUTED_VALUE"""),"")</f>
        <v/>
      </c>
      <c r="T227" s="17" t="str">
        <f>IFERROR(__xludf.DUMMYFUNCTION("""COMPUTED_VALUE"""),"")</f>
        <v/>
      </c>
      <c r="U227" s="17" t="str">
        <f>IFERROR(__xludf.DUMMYFUNCTION("""COMPUTED_VALUE"""),"")</f>
        <v/>
      </c>
      <c r="V227" s="17" t="str">
        <f>IFERROR(__xludf.DUMMYFUNCTION("""COMPUTED_VALUE"""),"")</f>
        <v/>
      </c>
      <c r="W227" s="17" t="str">
        <f>IFERROR(__xludf.DUMMYFUNCTION("""COMPUTED_VALUE"""),"")</f>
        <v/>
      </c>
      <c r="X227" s="17" t="str">
        <f>IFERROR(__xludf.DUMMYFUNCTION("""COMPUTED_VALUE"""),"")</f>
        <v/>
      </c>
      <c r="Y227" s="17" t="str">
        <f>IFERROR(__xludf.DUMMYFUNCTION("""COMPUTED_VALUE"""),"")</f>
        <v/>
      </c>
      <c r="Z227" s="17" t="str">
        <f>IFERROR(__xludf.DUMMYFUNCTION("""COMPUTED_VALUE"""),"")</f>
        <v/>
      </c>
      <c r="AA227" s="17" t="str">
        <f>IFERROR(__xludf.DUMMYFUNCTION("""COMPUTED_VALUE"""),"")</f>
        <v/>
      </c>
      <c r="AB227" s="17" t="str">
        <f>IFERROR(__xludf.DUMMYFUNCTION("""COMPUTED_VALUE"""),"")</f>
        <v/>
      </c>
      <c r="AC227" s="17" t="str">
        <f>IFERROR(__xludf.DUMMYFUNCTION("""COMPUTED_VALUE"""),"")</f>
        <v/>
      </c>
    </row>
    <row r="228">
      <c r="A228" s="17" t="str">
        <f>IFERROR(__xludf.DUMMYFUNCTION("""COMPUTED_VALUE"""),"")</f>
        <v/>
      </c>
      <c r="B228" s="17" t="str">
        <f>IFERROR(__xludf.DUMMYFUNCTION("""COMPUTED_VALUE"""),"")</f>
        <v/>
      </c>
      <c r="C228" s="17" t="str">
        <f>IFERROR(__xludf.DUMMYFUNCTION("""COMPUTED_VALUE"""),"")</f>
        <v/>
      </c>
      <c r="D228" s="17" t="str">
        <f>IFERROR(__xludf.DUMMYFUNCTION("""COMPUTED_VALUE"""),"")</f>
        <v/>
      </c>
      <c r="E228" s="17" t="str">
        <f>IFERROR(__xludf.DUMMYFUNCTION("""COMPUTED_VALUE"""),"")</f>
        <v/>
      </c>
      <c r="F228" s="17" t="str">
        <f>IFERROR(__xludf.DUMMYFUNCTION("""COMPUTED_VALUE"""),"")</f>
        <v/>
      </c>
      <c r="G228" s="17" t="str">
        <f>IFERROR(__xludf.DUMMYFUNCTION("""COMPUTED_VALUE"""),"")</f>
        <v/>
      </c>
      <c r="H228" s="17" t="str">
        <f>IFERROR(__xludf.DUMMYFUNCTION("""COMPUTED_VALUE"""),"")</f>
        <v/>
      </c>
      <c r="I228" s="17" t="str">
        <f>IFERROR(__xludf.DUMMYFUNCTION("""COMPUTED_VALUE"""),"")</f>
        <v/>
      </c>
      <c r="J228" s="17" t="str">
        <f>IFERROR(__xludf.DUMMYFUNCTION("""COMPUTED_VALUE"""),"")</f>
        <v/>
      </c>
      <c r="K228" s="17" t="str">
        <f>IFERROR(__xludf.DUMMYFUNCTION("""COMPUTED_VALUE"""),"")</f>
        <v/>
      </c>
      <c r="L228" s="17" t="str">
        <f>IFERROR(__xludf.DUMMYFUNCTION("""COMPUTED_VALUE"""),"")</f>
        <v/>
      </c>
      <c r="M228" s="17" t="str">
        <f>IFERROR(__xludf.DUMMYFUNCTION("""COMPUTED_VALUE"""),"")</f>
        <v/>
      </c>
      <c r="N228" s="17" t="str">
        <f>IFERROR(__xludf.DUMMYFUNCTION("""COMPUTED_VALUE"""),"")</f>
        <v/>
      </c>
      <c r="O228" s="17" t="str">
        <f>IFERROR(__xludf.DUMMYFUNCTION("""COMPUTED_VALUE"""),"")</f>
        <v/>
      </c>
      <c r="P228" s="17" t="str">
        <f>IFERROR(__xludf.DUMMYFUNCTION("""COMPUTED_VALUE"""),"")</f>
        <v/>
      </c>
      <c r="Q228" s="17" t="str">
        <f>IFERROR(__xludf.DUMMYFUNCTION("""COMPUTED_VALUE"""),"")</f>
        <v/>
      </c>
      <c r="R228" s="17" t="str">
        <f>IFERROR(__xludf.DUMMYFUNCTION("""COMPUTED_VALUE"""),"")</f>
        <v/>
      </c>
      <c r="S228" s="17" t="str">
        <f>IFERROR(__xludf.DUMMYFUNCTION("""COMPUTED_VALUE"""),"")</f>
        <v/>
      </c>
      <c r="T228" s="17" t="str">
        <f>IFERROR(__xludf.DUMMYFUNCTION("""COMPUTED_VALUE"""),"")</f>
        <v/>
      </c>
      <c r="U228" s="17" t="str">
        <f>IFERROR(__xludf.DUMMYFUNCTION("""COMPUTED_VALUE"""),"")</f>
        <v/>
      </c>
      <c r="V228" s="17" t="str">
        <f>IFERROR(__xludf.DUMMYFUNCTION("""COMPUTED_VALUE"""),"")</f>
        <v/>
      </c>
      <c r="W228" s="17" t="str">
        <f>IFERROR(__xludf.DUMMYFUNCTION("""COMPUTED_VALUE"""),"")</f>
        <v/>
      </c>
      <c r="X228" s="17" t="str">
        <f>IFERROR(__xludf.DUMMYFUNCTION("""COMPUTED_VALUE"""),"")</f>
        <v/>
      </c>
      <c r="Y228" s="17" t="str">
        <f>IFERROR(__xludf.DUMMYFUNCTION("""COMPUTED_VALUE"""),"")</f>
        <v/>
      </c>
      <c r="Z228" s="17" t="str">
        <f>IFERROR(__xludf.DUMMYFUNCTION("""COMPUTED_VALUE"""),"")</f>
        <v/>
      </c>
      <c r="AA228" s="17" t="str">
        <f>IFERROR(__xludf.DUMMYFUNCTION("""COMPUTED_VALUE"""),"")</f>
        <v/>
      </c>
      <c r="AB228" s="17" t="str">
        <f>IFERROR(__xludf.DUMMYFUNCTION("""COMPUTED_VALUE"""),"")</f>
        <v/>
      </c>
      <c r="AC228" s="17" t="str">
        <f>IFERROR(__xludf.DUMMYFUNCTION("""COMPUTED_VALUE"""),"")</f>
        <v/>
      </c>
    </row>
    <row r="229">
      <c r="A229" s="17" t="str">
        <f>IFERROR(__xludf.DUMMYFUNCTION("""COMPUTED_VALUE"""),"Chapter 85: 65 Summit Aftermath
Garage (Personal Reality) 200:
A garage for you to place into your vehicles, automatically adjusting to meet with their requirements. Any sort of land, air, or space based personal vehicles (up to the size of 12 meters long"&amp;", 6 meters wide, and 4 meters tall). The Garage has room for up to 40 such vehicles, with every increase in your Starting Size also increasing the number of slots by a factor of 5. The Garage comes with its own entry room and a set of adaptors which can t"&amp;"urn garage doors (even non-automatic ones) into Personal Reality Portals. These adaptors respond to the presence of a Key Holder and open the way into the parking area. If you also have the Pond, this installs a Marina which comes with special adaptors fo"&amp;"r boat slots. Boat slots do not worry about the draft or masts of the boats you part in them, only the distance from the waterline to the top of the primary hull. Each size increase of the total Personal Reality also increases the maximum size of each veh"&amp;"icle slot by a factor of 5 (60x30x20, 300x150x100, 1500x750x500, etc.). Alternatively, you can purchase a Garage Upgrade for 50WP, which boosts each slot by a factor of 10.
Facility")</f>
        <v>Chapter 85: 65 Summit Aftermath
Garage (Personal Reality) 200:
A garage for you to place into your vehicles, automatically adjusting to meet with their requirements. Any sort of land, air, or space based personal vehicles (up to the size of 12 meters long, 6 meters wide, and 4 meters tall). The Garage has room for up to 40 such vehicles, with every increase in your Starting Size also increasing the number of slots by a factor of 5. The Garage comes with its own entry room and a set of adaptors which can turn garage doors (even non-automatic ones) into Personal Reality Portals. These adaptors respond to the presence of a Key Holder and open the way into the parking area. If you also have the Pond, this installs a Marina which comes with special adaptors for boat slots. Boat slots do not worry about the draft or masts of the boats you part in them, only the distance from the waterline to the top of the primary hull. Each size increase of the total Personal Reality also increases the maximum size of each vehicle slot by a factor of 5 (60x30x20, 300x150x100, 1500x750x500, etc.). Alternatively, you can purchase a Garage Upgrade for 50WP, which boosts each slot by a factor of 10.
Facility</v>
      </c>
      <c r="B229" s="17" t="str">
        <f>IFERROR(__xludf.DUMMYFUNCTION("""COMPUTED_VALUE"""),"Chapter 85: 65 Summit Aftermath
Fueling Station (Personal Reality) 200:
This Garage Upgrade has two levels. The first provides all your vehicles with any standard mundane fuel and costs 50 WP. The second level, which costs an additional 150 WP, will fuel "&amp;"any vehicle you have no matter how esoteric the fuel might be, although said fuel can be used only to fuel your vehicles. Attempts to use it for other means may have terrible consequences.
Facility")</f>
        <v>Chapter 85: 65 Summit Aftermath
Fueling Station (Personal Reality) 200:
This Garage Upgrade has two levels. The first provides all your vehicles with any standard mundane fuel and costs 50 WP. The second level, which costs an additional 150 WP, will fuel any vehicle you have no matter how esoteric the fuel might be, although said fuel can be used only to fuel your vehicles. Attempts to use it for other means may have terrible consequences.
Facility</v>
      </c>
      <c r="C229" s="17" t="str">
        <f>IFERROR(__xludf.DUMMYFUNCTION("""COMPUTED_VALUE"""),"
")</f>
        <v>
</v>
      </c>
      <c r="D229" s="17" t="str">
        <f>IFERROR(__xludf.DUMMYFUNCTION("""COMPUTED_VALUE"""),"
")</f>
        <v>
</v>
      </c>
      <c r="E229" s="17" t="str">
        <f>IFERROR(__xludf.DUMMYFUNCTION("""COMPUTED_VALUE"""),"
")</f>
        <v>
</v>
      </c>
      <c r="F229" s="17" t="str">
        <f>IFERROR(__xludf.DUMMYFUNCTION("""COMPUTED_VALUE"""),"
")</f>
        <v>
</v>
      </c>
      <c r="G229" s="17" t="str">
        <f>IFERROR(__xludf.DUMMYFUNCTION("""COMPUTED_VALUE"""),"
")</f>
        <v>
</v>
      </c>
      <c r="H229" s="17" t="str">
        <f>IFERROR(__xludf.DUMMYFUNCTION("""COMPUTED_VALUE"""),"
")</f>
        <v>
</v>
      </c>
      <c r="I229" s="17" t="str">
        <f>IFERROR(__xludf.DUMMYFUNCTION("""COMPUTED_VALUE"""),"
")</f>
        <v>
</v>
      </c>
      <c r="J229" s="17" t="str">
        <f>IFERROR(__xludf.DUMMYFUNCTION("""COMPUTED_VALUE"""),"
")</f>
        <v>
</v>
      </c>
      <c r="K229" s="17" t="str">
        <f>IFERROR(__xludf.DUMMYFUNCTION("""COMPUTED_VALUE"""),"
")</f>
        <v>
</v>
      </c>
      <c r="L229" s="17" t="str">
        <f>IFERROR(__xludf.DUMMYFUNCTION("""COMPUTED_VALUE"""),"
")</f>
        <v>
</v>
      </c>
      <c r="M229" s="17" t="str">
        <f>IFERROR(__xludf.DUMMYFUNCTION("""COMPUTED_VALUE"""),"
")</f>
        <v>
</v>
      </c>
      <c r="N229" s="17" t="str">
        <f>IFERROR(__xludf.DUMMYFUNCTION("""COMPUTED_VALUE"""),"
")</f>
        <v>
</v>
      </c>
      <c r="O229" s="17" t="str">
        <f>IFERROR(__xludf.DUMMYFUNCTION("""COMPUTED_VALUE"""),"
")</f>
        <v>
</v>
      </c>
      <c r="P229" s="17" t="str">
        <f>IFERROR(__xludf.DUMMYFUNCTION("""COMPUTED_VALUE"""),"
")</f>
        <v>
</v>
      </c>
      <c r="Q229" s="17" t="str">
        <f>IFERROR(__xludf.DUMMYFUNCTION("""COMPUTED_VALUE"""),"
")</f>
        <v>
</v>
      </c>
      <c r="R229" s="17" t="str">
        <f>IFERROR(__xludf.DUMMYFUNCTION("""COMPUTED_VALUE"""),"
")</f>
        <v>
</v>
      </c>
      <c r="S229" s="17" t="str">
        <f>IFERROR(__xludf.DUMMYFUNCTION("""COMPUTED_VALUE"""),"
")</f>
        <v>
</v>
      </c>
      <c r="T229" s="17" t="str">
        <f>IFERROR(__xludf.DUMMYFUNCTION("""COMPUTED_VALUE"""),"
")</f>
        <v>
</v>
      </c>
      <c r="U229" s="17" t="str">
        <f>IFERROR(__xludf.DUMMYFUNCTION("""COMPUTED_VALUE"""),"
")</f>
        <v>
</v>
      </c>
      <c r="V229" s="17" t="str">
        <f>IFERROR(__xludf.DUMMYFUNCTION("""COMPUTED_VALUE"""),"
")</f>
        <v>
</v>
      </c>
      <c r="W229" s="17" t="str">
        <f>IFERROR(__xludf.DUMMYFUNCTION("""COMPUTED_VALUE"""),"
")</f>
        <v>
</v>
      </c>
      <c r="X229" s="17" t="str">
        <f>IFERROR(__xludf.DUMMYFUNCTION("""COMPUTED_VALUE"""),"
")</f>
        <v>
</v>
      </c>
      <c r="Y229" s="17" t="str">
        <f>IFERROR(__xludf.DUMMYFUNCTION("""COMPUTED_VALUE"""),"
")</f>
        <v>
</v>
      </c>
      <c r="Z229" s="17" t="str">
        <f>IFERROR(__xludf.DUMMYFUNCTION("""COMPUTED_VALUE"""),"
")</f>
        <v>
</v>
      </c>
      <c r="AA229" s="17" t="str">
        <f>IFERROR(__xludf.DUMMYFUNCTION("""COMPUTED_VALUE"""),"
")</f>
        <v>
</v>
      </c>
      <c r="AB229" s="17" t="str">
        <f>IFERROR(__xludf.DUMMYFUNCTION("""COMPUTED_VALUE"""),"
")</f>
        <v>
</v>
      </c>
      <c r="AC229" s="17" t="str">
        <f>IFERROR(__xludf.DUMMYFUNCTION("""COMPUTED_VALUE"""),"
")</f>
        <v>
</v>
      </c>
    </row>
    <row r="230">
      <c r="A230" s="17" t="str">
        <f>IFERROR(__xludf.DUMMYFUNCTION("""COMPUTED_VALUE"""),"")</f>
        <v/>
      </c>
      <c r="B230" s="17" t="str">
        <f>IFERROR(__xludf.DUMMYFUNCTION("""COMPUTED_VALUE"""),"")</f>
        <v/>
      </c>
      <c r="C230" s="17" t="str">
        <f>IFERROR(__xludf.DUMMYFUNCTION("""COMPUTED_VALUE"""),"")</f>
        <v/>
      </c>
      <c r="D230" s="17" t="str">
        <f>IFERROR(__xludf.DUMMYFUNCTION("""COMPUTED_VALUE"""),"")</f>
        <v/>
      </c>
      <c r="E230" s="17" t="str">
        <f>IFERROR(__xludf.DUMMYFUNCTION("""COMPUTED_VALUE"""),"")</f>
        <v/>
      </c>
      <c r="F230" s="17" t="str">
        <f>IFERROR(__xludf.DUMMYFUNCTION("""COMPUTED_VALUE"""),"")</f>
        <v/>
      </c>
      <c r="G230" s="17" t="str">
        <f>IFERROR(__xludf.DUMMYFUNCTION("""COMPUTED_VALUE"""),"")</f>
        <v/>
      </c>
      <c r="H230" s="17" t="str">
        <f>IFERROR(__xludf.DUMMYFUNCTION("""COMPUTED_VALUE"""),"")</f>
        <v/>
      </c>
      <c r="I230" s="17" t="str">
        <f>IFERROR(__xludf.DUMMYFUNCTION("""COMPUTED_VALUE"""),"")</f>
        <v/>
      </c>
      <c r="J230" s="17" t="str">
        <f>IFERROR(__xludf.DUMMYFUNCTION("""COMPUTED_VALUE"""),"")</f>
        <v/>
      </c>
      <c r="K230" s="17" t="str">
        <f>IFERROR(__xludf.DUMMYFUNCTION("""COMPUTED_VALUE"""),"")</f>
        <v/>
      </c>
      <c r="L230" s="17" t="str">
        <f>IFERROR(__xludf.DUMMYFUNCTION("""COMPUTED_VALUE"""),"")</f>
        <v/>
      </c>
      <c r="M230" s="17" t="str">
        <f>IFERROR(__xludf.DUMMYFUNCTION("""COMPUTED_VALUE"""),"")</f>
        <v/>
      </c>
      <c r="N230" s="17" t="str">
        <f>IFERROR(__xludf.DUMMYFUNCTION("""COMPUTED_VALUE"""),"")</f>
        <v/>
      </c>
      <c r="O230" s="17" t="str">
        <f>IFERROR(__xludf.DUMMYFUNCTION("""COMPUTED_VALUE"""),"")</f>
        <v/>
      </c>
      <c r="P230" s="17" t="str">
        <f>IFERROR(__xludf.DUMMYFUNCTION("""COMPUTED_VALUE"""),"")</f>
        <v/>
      </c>
      <c r="Q230" s="17" t="str">
        <f>IFERROR(__xludf.DUMMYFUNCTION("""COMPUTED_VALUE"""),"")</f>
        <v/>
      </c>
      <c r="R230" s="17" t="str">
        <f>IFERROR(__xludf.DUMMYFUNCTION("""COMPUTED_VALUE"""),"")</f>
        <v/>
      </c>
      <c r="S230" s="17" t="str">
        <f>IFERROR(__xludf.DUMMYFUNCTION("""COMPUTED_VALUE"""),"")</f>
        <v/>
      </c>
      <c r="T230" s="17" t="str">
        <f>IFERROR(__xludf.DUMMYFUNCTION("""COMPUTED_VALUE"""),"")</f>
        <v/>
      </c>
      <c r="U230" s="17" t="str">
        <f>IFERROR(__xludf.DUMMYFUNCTION("""COMPUTED_VALUE"""),"")</f>
        <v/>
      </c>
      <c r="V230" s="17" t="str">
        <f>IFERROR(__xludf.DUMMYFUNCTION("""COMPUTED_VALUE"""),"")</f>
        <v/>
      </c>
      <c r="W230" s="17" t="str">
        <f>IFERROR(__xludf.DUMMYFUNCTION("""COMPUTED_VALUE"""),"")</f>
        <v/>
      </c>
      <c r="X230" s="17" t="str">
        <f>IFERROR(__xludf.DUMMYFUNCTION("""COMPUTED_VALUE"""),"")</f>
        <v/>
      </c>
      <c r="Y230" s="17" t="str">
        <f>IFERROR(__xludf.DUMMYFUNCTION("""COMPUTED_VALUE"""),"")</f>
        <v/>
      </c>
      <c r="Z230" s="17" t="str">
        <f>IFERROR(__xludf.DUMMYFUNCTION("""COMPUTED_VALUE"""),"")</f>
        <v/>
      </c>
      <c r="AA230" s="17" t="str">
        <f>IFERROR(__xludf.DUMMYFUNCTION("""COMPUTED_VALUE"""),"")</f>
        <v/>
      </c>
      <c r="AB230" s="17" t="str">
        <f>IFERROR(__xludf.DUMMYFUNCTION("""COMPUTED_VALUE"""),"")</f>
        <v/>
      </c>
      <c r="AC230" s="17" t="str">
        <f>IFERROR(__xludf.DUMMYFUNCTION("""COMPUTED_VALUE"""),"")</f>
        <v/>
      </c>
    </row>
    <row r="231">
      <c r="A231" s="17" t="str">
        <f>IFERROR(__xludf.DUMMYFUNCTION("""COMPUTED_VALUE"""),"Chapter 121: 87 Close Out
Greenhouse (Personal Reality) 100:
A greenhouse in which you can now grow some of your own vegetables and fruits. I hear that strawberries are especially popular this season. The Greenhouse requires Pipes, Pipes, Pipes and either"&amp;" Natural Lighting or Powa. It is set up for soil-ponics, hydroponics, or aeroponics and is contained in a separate structure that has a footprint of exactly half your Starting Size in all dimensions. Any increase in size to your main space multiplies your"&amp;" Greenhouse’s space by a factor of 5.
Facility")</f>
        <v>Chapter 121: 87 Close Out
Greenhouse (Personal Reality) 100:
A greenhouse in which you can now grow some of your own vegetables and fruits. I hear that strawberries are especially popular this season. The Greenhouse requires Pipes, Pipes, Pipes and either Natural Lighting or Powa. It is set up for soil-ponics, hydroponics, or aeroponics and is contained in a separate structure that has a footprint of exactly half your Starting Size in all dimensions. Any increase in size to your main space multiplies your Greenhouse’s space by a factor of 5.
Facility</v>
      </c>
      <c r="B231" s="17" t="str">
        <f>IFERROR(__xludf.DUMMYFUNCTION("""COMPUTED_VALUE"""),"Chapter 140: 96 Breakthrough
Seeds and Seedlings (Personal Reality) 50:
This Greenhouse Upgrade provides you with a package once a year that contains a random assortment of seeds and seedlings for you to plant in your Greenhouse. Has enough seeds and se"&amp;"edlings to fill half of your Greenhouse and they’re chosen (and labeled) from all the Host Realities you’ve visited, though all are relatively normal plants for their Host Reality.
Facility")</f>
        <v>Chapter 140: 96 Breakthrough
Seeds and Seedlings (Personal Reality) 50:
This Greenhouse Upgrade provides you with a package once a year that contains a random assortment of seeds and seedlings for you to plant in your Greenhouse. Has enough seeds and seedlings to fill half of your Greenhouse and they’re chosen (and labeled) from all the Host Realities you’ve visited, though all are relatively normal plants for their Host Reality.
Facility</v>
      </c>
      <c r="C231" s="17" t="str">
        <f>IFERROR(__xludf.DUMMYFUNCTION("""COMPUTED_VALUE"""),"
")</f>
        <v>
</v>
      </c>
      <c r="D231" s="17" t="str">
        <f>IFERROR(__xludf.DUMMYFUNCTION("""COMPUTED_VALUE"""),"
")</f>
        <v>
</v>
      </c>
      <c r="E231" s="17" t="str">
        <f>IFERROR(__xludf.DUMMYFUNCTION("""COMPUTED_VALUE"""),"
")</f>
        <v>
</v>
      </c>
      <c r="F231" s="17" t="str">
        <f>IFERROR(__xludf.DUMMYFUNCTION("""COMPUTED_VALUE"""),"
")</f>
        <v>
</v>
      </c>
      <c r="G231" s="17" t="str">
        <f>IFERROR(__xludf.DUMMYFUNCTION("""COMPUTED_VALUE"""),"
")</f>
        <v>
</v>
      </c>
      <c r="H231" s="17" t="str">
        <f>IFERROR(__xludf.DUMMYFUNCTION("""COMPUTED_VALUE"""),"
")</f>
        <v>
</v>
      </c>
      <c r="I231" s="17" t="str">
        <f>IFERROR(__xludf.DUMMYFUNCTION("""COMPUTED_VALUE"""),"
")</f>
        <v>
</v>
      </c>
      <c r="J231" s="17" t="str">
        <f>IFERROR(__xludf.DUMMYFUNCTION("""COMPUTED_VALUE"""),"
")</f>
        <v>
</v>
      </c>
      <c r="K231" s="17" t="str">
        <f>IFERROR(__xludf.DUMMYFUNCTION("""COMPUTED_VALUE"""),"
")</f>
        <v>
</v>
      </c>
      <c r="L231" s="17" t="str">
        <f>IFERROR(__xludf.DUMMYFUNCTION("""COMPUTED_VALUE"""),"
")</f>
        <v>
</v>
      </c>
      <c r="M231" s="17" t="str">
        <f>IFERROR(__xludf.DUMMYFUNCTION("""COMPUTED_VALUE"""),"
")</f>
        <v>
</v>
      </c>
      <c r="N231" s="17" t="str">
        <f>IFERROR(__xludf.DUMMYFUNCTION("""COMPUTED_VALUE"""),"
")</f>
        <v>
</v>
      </c>
      <c r="O231" s="17" t="str">
        <f>IFERROR(__xludf.DUMMYFUNCTION("""COMPUTED_VALUE"""),"
")</f>
        <v>
</v>
      </c>
      <c r="P231" s="17" t="str">
        <f>IFERROR(__xludf.DUMMYFUNCTION("""COMPUTED_VALUE"""),"
")</f>
        <v>
</v>
      </c>
      <c r="Q231" s="17" t="str">
        <f>IFERROR(__xludf.DUMMYFUNCTION("""COMPUTED_VALUE"""),"
")</f>
        <v>
</v>
      </c>
      <c r="R231" s="17" t="str">
        <f>IFERROR(__xludf.DUMMYFUNCTION("""COMPUTED_VALUE"""),"
")</f>
        <v>
</v>
      </c>
      <c r="S231" s="17" t="str">
        <f>IFERROR(__xludf.DUMMYFUNCTION("""COMPUTED_VALUE"""),"
")</f>
        <v>
</v>
      </c>
      <c r="T231" s="17" t="str">
        <f>IFERROR(__xludf.DUMMYFUNCTION("""COMPUTED_VALUE"""),"
")</f>
        <v>
</v>
      </c>
      <c r="U231" s="17" t="str">
        <f>IFERROR(__xludf.DUMMYFUNCTION("""COMPUTED_VALUE"""),"
")</f>
        <v>
</v>
      </c>
      <c r="V231" s="17" t="str">
        <f>IFERROR(__xludf.DUMMYFUNCTION("""COMPUTED_VALUE"""),"
")</f>
        <v>
</v>
      </c>
      <c r="W231" s="17" t="str">
        <f>IFERROR(__xludf.DUMMYFUNCTION("""COMPUTED_VALUE"""),"
")</f>
        <v>
</v>
      </c>
      <c r="X231" s="17" t="str">
        <f>IFERROR(__xludf.DUMMYFUNCTION("""COMPUTED_VALUE"""),"
")</f>
        <v>
</v>
      </c>
      <c r="Y231" s="17" t="str">
        <f>IFERROR(__xludf.DUMMYFUNCTION("""COMPUTED_VALUE"""),"
")</f>
        <v>
</v>
      </c>
      <c r="Z231" s="17" t="str">
        <f>IFERROR(__xludf.DUMMYFUNCTION("""COMPUTED_VALUE"""),"
")</f>
        <v>
</v>
      </c>
      <c r="AA231" s="17" t="str">
        <f>IFERROR(__xludf.DUMMYFUNCTION("""COMPUTED_VALUE"""),"
")</f>
        <v>
</v>
      </c>
      <c r="AB231" s="17" t="str">
        <f>IFERROR(__xludf.DUMMYFUNCTION("""COMPUTED_VALUE"""),"
")</f>
        <v>
</v>
      </c>
      <c r="AC231" s="17" t="str">
        <f>IFERROR(__xludf.DUMMYFUNCTION("""COMPUTED_VALUE"""),"
")</f>
        <v>
</v>
      </c>
    </row>
    <row r="232">
      <c r="A232" s="17" t="str">
        <f>IFERROR(__xludf.DUMMYFUNCTION("""COMPUTED_VALUE"""),"Chapter 138: 95.5 Interlude Gregor - Shawn
Gym (Personal Reality) 100:
This provides your Personal Reality with a large open training room for physical exercise. It comes with exercise equipment that can be used to train almost anyone dedicated enough to "&amp;"the limits of their potential (as long as that potential is no more than 150% of peak human potential) fitness. It can be easily converted into a sparring pit. If you have Robots, this includes extremely durable sparring automatons to learn from in your p"&amp;"it. Anybody using the Gym will find that training physical abilities is slightly less fatiguing than it otherwise would be.
Facility")</f>
        <v>Chapter 138: 95.5 Interlude Gregor - Shawn
Gym (Personal Reality) 100:
This provides your Personal Reality with a large open training room for physical exercise. It comes with exercise equipment that can be used to train almost anyone dedicated enough to the limits of their potential (as long as that potential is no more than 150% of peak human potential) fitness. It can be easily converted into a sparring pit. If you have Robots, this includes extremely durable sparring automatons to learn from in your pit. Anybody using the Gym will find that training physical abilities is slightly less fatiguing than it otherwise would be.
Facility</v>
      </c>
      <c r="B232" s="17" t="str">
        <f>IFERROR(__xludf.DUMMYFUNCTION("""COMPUTED_VALUE"""),"Chapter 138: 95.5 Interlude Gregor - Shawn
Arena (Personal Reality) 200:
This Gym Upgrade that Requires Central Control and Robots removes the limiter on what can be trained and now it can be used to train anyone to any physical potential they might have."&amp;" The sparring pit is now outfitted with duplodroids, sparring partners that can duplicate the fighting strength and style of anyone you’ve ever fought… or even combine enemies and styles to attempt to throw you curves. Every fight you’ve ever been in and "&amp;"every fight you’re in from now on can be replayed by the Arena. Fights in the Arena are never fatal, like Pokemon Battles, they only result in KOs. If you choose to use the Arena Supplement, you may incorporate it with this Arena for an additional -100 WP"&amp;".
Facility")</f>
        <v>Chapter 138: 95.5 Interlude Gregor - Shawn
Arena (Personal Reality) 200:
This Gym Upgrade that Requires Central Control and Robots removes the limiter on what can be trained and now it can be used to train anyone to any physical potential they might have. The sparring pit is now outfitted with duplodroids, sparring partners that can duplicate the fighting strength and style of anyone you’ve ever fought… or even combine enemies and styles to attempt to throw you curves. Every fight you’ve ever been in and every fight you’re in from now on can be replayed by the Arena. Fights in the Arena are never fatal, like Pokemon Battles, they only result in KOs. If you choose to use the Arena Supplement, you may incorporate it with this Arena for an additional -100 WP.
Facility</v>
      </c>
      <c r="C232" s="17" t="str">
        <f>IFERROR(__xludf.DUMMYFUNCTION("""COMPUTED_VALUE"""),"
")</f>
        <v>
</v>
      </c>
      <c r="D232" s="17" t="str">
        <f>IFERROR(__xludf.DUMMYFUNCTION("""COMPUTED_VALUE"""),"
")</f>
        <v>
</v>
      </c>
      <c r="E232" s="17" t="str">
        <f>IFERROR(__xludf.DUMMYFUNCTION("""COMPUTED_VALUE"""),"
")</f>
        <v>
</v>
      </c>
      <c r="F232" s="17" t="str">
        <f>IFERROR(__xludf.DUMMYFUNCTION("""COMPUTED_VALUE"""),"
")</f>
        <v>
</v>
      </c>
      <c r="G232" s="17" t="str">
        <f>IFERROR(__xludf.DUMMYFUNCTION("""COMPUTED_VALUE"""),"
")</f>
        <v>
</v>
      </c>
      <c r="H232" s="17" t="str">
        <f>IFERROR(__xludf.DUMMYFUNCTION("""COMPUTED_VALUE"""),"
")</f>
        <v>
</v>
      </c>
      <c r="I232" s="17" t="str">
        <f>IFERROR(__xludf.DUMMYFUNCTION("""COMPUTED_VALUE"""),"
")</f>
        <v>
</v>
      </c>
      <c r="J232" s="17" t="str">
        <f>IFERROR(__xludf.DUMMYFUNCTION("""COMPUTED_VALUE"""),"
")</f>
        <v>
</v>
      </c>
      <c r="K232" s="17" t="str">
        <f>IFERROR(__xludf.DUMMYFUNCTION("""COMPUTED_VALUE"""),"
")</f>
        <v>
</v>
      </c>
      <c r="L232" s="17" t="str">
        <f>IFERROR(__xludf.DUMMYFUNCTION("""COMPUTED_VALUE"""),"
")</f>
        <v>
</v>
      </c>
      <c r="M232" s="17" t="str">
        <f>IFERROR(__xludf.DUMMYFUNCTION("""COMPUTED_VALUE"""),"
")</f>
        <v>
</v>
      </c>
      <c r="N232" s="17" t="str">
        <f>IFERROR(__xludf.DUMMYFUNCTION("""COMPUTED_VALUE"""),"
")</f>
        <v>
</v>
      </c>
      <c r="O232" s="17" t="str">
        <f>IFERROR(__xludf.DUMMYFUNCTION("""COMPUTED_VALUE"""),"
")</f>
        <v>
</v>
      </c>
      <c r="P232" s="17" t="str">
        <f>IFERROR(__xludf.DUMMYFUNCTION("""COMPUTED_VALUE"""),"
")</f>
        <v>
</v>
      </c>
      <c r="Q232" s="17" t="str">
        <f>IFERROR(__xludf.DUMMYFUNCTION("""COMPUTED_VALUE"""),"
")</f>
        <v>
</v>
      </c>
      <c r="R232" s="17" t="str">
        <f>IFERROR(__xludf.DUMMYFUNCTION("""COMPUTED_VALUE"""),"
")</f>
        <v>
</v>
      </c>
      <c r="S232" s="17" t="str">
        <f>IFERROR(__xludf.DUMMYFUNCTION("""COMPUTED_VALUE"""),"
")</f>
        <v>
</v>
      </c>
      <c r="T232" s="17" t="str">
        <f>IFERROR(__xludf.DUMMYFUNCTION("""COMPUTED_VALUE"""),"
")</f>
        <v>
</v>
      </c>
      <c r="U232" s="17" t="str">
        <f>IFERROR(__xludf.DUMMYFUNCTION("""COMPUTED_VALUE"""),"
")</f>
        <v>
</v>
      </c>
      <c r="V232" s="17" t="str">
        <f>IFERROR(__xludf.DUMMYFUNCTION("""COMPUTED_VALUE"""),"
")</f>
        <v>
</v>
      </c>
      <c r="W232" s="17" t="str">
        <f>IFERROR(__xludf.DUMMYFUNCTION("""COMPUTED_VALUE"""),"
")</f>
        <v>
</v>
      </c>
      <c r="X232" s="17" t="str">
        <f>IFERROR(__xludf.DUMMYFUNCTION("""COMPUTED_VALUE"""),"
")</f>
        <v>
</v>
      </c>
      <c r="Y232" s="17" t="str">
        <f>IFERROR(__xludf.DUMMYFUNCTION("""COMPUTED_VALUE"""),"
")</f>
        <v>
</v>
      </c>
      <c r="Z232" s="17" t="str">
        <f>IFERROR(__xludf.DUMMYFUNCTION("""COMPUTED_VALUE"""),"
")</f>
        <v>
</v>
      </c>
      <c r="AA232" s="17" t="str">
        <f>IFERROR(__xludf.DUMMYFUNCTION("""COMPUTED_VALUE"""),"
")</f>
        <v>
</v>
      </c>
      <c r="AB232" s="17" t="str">
        <f>IFERROR(__xludf.DUMMYFUNCTION("""COMPUTED_VALUE"""),"
")</f>
        <v>
</v>
      </c>
      <c r="AC232" s="17" t="str">
        <f>IFERROR(__xludf.DUMMYFUNCTION("""COMPUTED_VALUE"""),"
")</f>
        <v>
</v>
      </c>
    </row>
    <row r="233">
      <c r="A233" s="17" t="str">
        <f>IFERROR(__xludf.DUMMYFUNCTION("""COMPUTED_VALUE"""),"Chapter 125: 89 Divine Mechanics
Hallowed Earth (Personal Reality) 400:
Every inch of your Personal Reality is sanctified. By who? Well… you, I guess. All those within (besides you obviously) are subject to a constant minor blessing that persists for up"&amp;" to a day after leaving that makes them a little luckier and healthier. In D&amp;D terms, a general +1 Morale bonus. Those who worship you as divine may show up here when they die or see visions of you in this, your place of power… though these visions may be"&amp;" merely metaphors for what lies within if they lack the mental or cultural framework to understand. With Linked Portals you may appear anywhere inside your Personal Reality without having to walk there and with Eye Spy you are aware of everything that hap"&amp;"pens in this Reality. With Central Control, you are constantly aware of the contents of the PR.
Facility")</f>
        <v>Chapter 125: 89 Divine Mechanics
Hallowed Earth (Personal Reality) 400:
Every inch of your Personal Reality is sanctified. By who? Well… you, I guess. All those within (besides you obviously) are subject to a constant minor blessing that persists for up to a day after leaving that makes them a little luckier and healthier. In D&amp;D terms, a general +1 Morale bonus. Those who worship you as divine may show up here when they die or see visions of you in this, your place of power… though these visions may be merely metaphors for what lies within if they lack the mental or cultural framework to understand. With Linked Portals you may appear anywhere inside your Personal Reality without having to walk there and with Eye Spy you are aware of everything that happens in this Reality. With Central Control, you are constantly aware of the contents of the PR.
Facility</v>
      </c>
      <c r="B233" s="17" t="str">
        <f>IFERROR(__xludf.DUMMYFUNCTION("""COMPUTED_VALUE"""),"
")</f>
        <v>
</v>
      </c>
      <c r="C233" s="17" t="str">
        <f>IFERROR(__xludf.DUMMYFUNCTION("""COMPUTED_VALUE"""),"
")</f>
        <v>
</v>
      </c>
      <c r="D233" s="17" t="str">
        <f>IFERROR(__xludf.DUMMYFUNCTION("""COMPUTED_VALUE"""),"
")</f>
        <v>
</v>
      </c>
      <c r="E233" s="17" t="str">
        <f>IFERROR(__xludf.DUMMYFUNCTION("""COMPUTED_VALUE"""),"
")</f>
        <v>
</v>
      </c>
      <c r="F233" s="17" t="str">
        <f>IFERROR(__xludf.DUMMYFUNCTION("""COMPUTED_VALUE"""),"
")</f>
        <v>
</v>
      </c>
      <c r="G233" s="17" t="str">
        <f>IFERROR(__xludf.DUMMYFUNCTION("""COMPUTED_VALUE"""),"
")</f>
        <v>
</v>
      </c>
      <c r="H233" s="17" t="str">
        <f>IFERROR(__xludf.DUMMYFUNCTION("""COMPUTED_VALUE"""),"
")</f>
        <v>
</v>
      </c>
      <c r="I233" s="17" t="str">
        <f>IFERROR(__xludf.DUMMYFUNCTION("""COMPUTED_VALUE"""),"
")</f>
        <v>
</v>
      </c>
      <c r="J233" s="17" t="str">
        <f>IFERROR(__xludf.DUMMYFUNCTION("""COMPUTED_VALUE"""),"
")</f>
        <v>
</v>
      </c>
      <c r="K233" s="17" t="str">
        <f>IFERROR(__xludf.DUMMYFUNCTION("""COMPUTED_VALUE"""),"
")</f>
        <v>
</v>
      </c>
      <c r="L233" s="17" t="str">
        <f>IFERROR(__xludf.DUMMYFUNCTION("""COMPUTED_VALUE"""),"
")</f>
        <v>
</v>
      </c>
      <c r="M233" s="17" t="str">
        <f>IFERROR(__xludf.DUMMYFUNCTION("""COMPUTED_VALUE"""),"
")</f>
        <v>
</v>
      </c>
      <c r="N233" s="17" t="str">
        <f>IFERROR(__xludf.DUMMYFUNCTION("""COMPUTED_VALUE"""),"
")</f>
        <v>
</v>
      </c>
      <c r="O233" s="17" t="str">
        <f>IFERROR(__xludf.DUMMYFUNCTION("""COMPUTED_VALUE"""),"
")</f>
        <v>
</v>
      </c>
      <c r="P233" s="17" t="str">
        <f>IFERROR(__xludf.DUMMYFUNCTION("""COMPUTED_VALUE"""),"
")</f>
        <v>
</v>
      </c>
      <c r="Q233" s="17" t="str">
        <f>IFERROR(__xludf.DUMMYFUNCTION("""COMPUTED_VALUE"""),"
")</f>
        <v>
</v>
      </c>
      <c r="R233" s="17" t="str">
        <f>IFERROR(__xludf.DUMMYFUNCTION("""COMPUTED_VALUE"""),"
")</f>
        <v>
</v>
      </c>
      <c r="S233" s="17" t="str">
        <f>IFERROR(__xludf.DUMMYFUNCTION("""COMPUTED_VALUE"""),"
")</f>
        <v>
</v>
      </c>
      <c r="T233" s="17" t="str">
        <f>IFERROR(__xludf.DUMMYFUNCTION("""COMPUTED_VALUE"""),"
")</f>
        <v>
</v>
      </c>
      <c r="U233" s="17" t="str">
        <f>IFERROR(__xludf.DUMMYFUNCTION("""COMPUTED_VALUE"""),"
")</f>
        <v>
</v>
      </c>
      <c r="V233" s="17" t="str">
        <f>IFERROR(__xludf.DUMMYFUNCTION("""COMPUTED_VALUE"""),"
")</f>
        <v>
</v>
      </c>
      <c r="W233" s="17" t="str">
        <f>IFERROR(__xludf.DUMMYFUNCTION("""COMPUTED_VALUE"""),"
")</f>
        <v>
</v>
      </c>
      <c r="X233" s="17" t="str">
        <f>IFERROR(__xludf.DUMMYFUNCTION("""COMPUTED_VALUE"""),"
")</f>
        <v>
</v>
      </c>
      <c r="Y233" s="17" t="str">
        <f>IFERROR(__xludf.DUMMYFUNCTION("""COMPUTED_VALUE"""),"
")</f>
        <v>
</v>
      </c>
      <c r="Z233" s="17" t="str">
        <f>IFERROR(__xludf.DUMMYFUNCTION("""COMPUTED_VALUE"""),"
")</f>
        <v>
</v>
      </c>
      <c r="AA233" s="17" t="str">
        <f>IFERROR(__xludf.DUMMYFUNCTION("""COMPUTED_VALUE"""),"
")</f>
        <v>
</v>
      </c>
      <c r="AB233" s="17" t="str">
        <f>IFERROR(__xludf.DUMMYFUNCTION("""COMPUTED_VALUE"""),"
")</f>
        <v>
</v>
      </c>
      <c r="AC233" s="17" t="str">
        <f>IFERROR(__xludf.DUMMYFUNCTION("""COMPUTED_VALUE"""),"
")</f>
        <v>
</v>
      </c>
    </row>
    <row r="234">
      <c r="A234" s="17" t="str">
        <f>IFERROR(__xludf.DUMMYFUNCTION("""COMPUTED_VALUE"""),"")</f>
        <v/>
      </c>
      <c r="B234" s="17" t="str">
        <f>IFERROR(__xludf.DUMMYFUNCTION("""COMPUTED_VALUE"""),"")</f>
        <v/>
      </c>
      <c r="C234" s="17" t="str">
        <f>IFERROR(__xludf.DUMMYFUNCTION("""COMPUTED_VALUE"""),"")</f>
        <v/>
      </c>
      <c r="D234" s="17" t="str">
        <f>IFERROR(__xludf.DUMMYFUNCTION("""COMPUTED_VALUE"""),"")</f>
        <v/>
      </c>
      <c r="E234" s="17" t="str">
        <f>IFERROR(__xludf.DUMMYFUNCTION("""COMPUTED_VALUE"""),"")</f>
        <v/>
      </c>
      <c r="F234" s="17" t="str">
        <f>IFERROR(__xludf.DUMMYFUNCTION("""COMPUTED_VALUE"""),"")</f>
        <v/>
      </c>
      <c r="G234" s="17" t="str">
        <f>IFERROR(__xludf.DUMMYFUNCTION("""COMPUTED_VALUE"""),"")</f>
        <v/>
      </c>
      <c r="H234" s="17" t="str">
        <f>IFERROR(__xludf.DUMMYFUNCTION("""COMPUTED_VALUE"""),"")</f>
        <v/>
      </c>
      <c r="I234" s="17" t="str">
        <f>IFERROR(__xludf.DUMMYFUNCTION("""COMPUTED_VALUE"""),"")</f>
        <v/>
      </c>
      <c r="J234" s="17" t="str">
        <f>IFERROR(__xludf.DUMMYFUNCTION("""COMPUTED_VALUE"""),"")</f>
        <v/>
      </c>
      <c r="K234" s="17" t="str">
        <f>IFERROR(__xludf.DUMMYFUNCTION("""COMPUTED_VALUE"""),"")</f>
        <v/>
      </c>
      <c r="L234" s="17" t="str">
        <f>IFERROR(__xludf.DUMMYFUNCTION("""COMPUTED_VALUE"""),"")</f>
        <v/>
      </c>
      <c r="M234" s="17" t="str">
        <f>IFERROR(__xludf.DUMMYFUNCTION("""COMPUTED_VALUE"""),"")</f>
        <v/>
      </c>
      <c r="N234" s="17" t="str">
        <f>IFERROR(__xludf.DUMMYFUNCTION("""COMPUTED_VALUE"""),"")</f>
        <v/>
      </c>
      <c r="O234" s="17" t="str">
        <f>IFERROR(__xludf.DUMMYFUNCTION("""COMPUTED_VALUE"""),"")</f>
        <v/>
      </c>
      <c r="P234" s="17" t="str">
        <f>IFERROR(__xludf.DUMMYFUNCTION("""COMPUTED_VALUE"""),"")</f>
        <v/>
      </c>
      <c r="Q234" s="17" t="str">
        <f>IFERROR(__xludf.DUMMYFUNCTION("""COMPUTED_VALUE"""),"")</f>
        <v/>
      </c>
      <c r="R234" s="17" t="str">
        <f>IFERROR(__xludf.DUMMYFUNCTION("""COMPUTED_VALUE"""),"")</f>
        <v/>
      </c>
      <c r="S234" s="17" t="str">
        <f>IFERROR(__xludf.DUMMYFUNCTION("""COMPUTED_VALUE"""),"")</f>
        <v/>
      </c>
      <c r="T234" s="17" t="str">
        <f>IFERROR(__xludf.DUMMYFUNCTION("""COMPUTED_VALUE"""),"")</f>
        <v/>
      </c>
      <c r="U234" s="17" t="str">
        <f>IFERROR(__xludf.DUMMYFUNCTION("""COMPUTED_VALUE"""),"")</f>
        <v/>
      </c>
      <c r="V234" s="17" t="str">
        <f>IFERROR(__xludf.DUMMYFUNCTION("""COMPUTED_VALUE"""),"")</f>
        <v/>
      </c>
      <c r="W234" s="17" t="str">
        <f>IFERROR(__xludf.DUMMYFUNCTION("""COMPUTED_VALUE"""),"")</f>
        <v/>
      </c>
      <c r="X234" s="17" t="str">
        <f>IFERROR(__xludf.DUMMYFUNCTION("""COMPUTED_VALUE"""),"")</f>
        <v/>
      </c>
      <c r="Y234" s="17" t="str">
        <f>IFERROR(__xludf.DUMMYFUNCTION("""COMPUTED_VALUE"""),"")</f>
        <v/>
      </c>
      <c r="Z234" s="17" t="str">
        <f>IFERROR(__xludf.DUMMYFUNCTION("""COMPUTED_VALUE"""),"")</f>
        <v/>
      </c>
      <c r="AA234" s="17" t="str">
        <f>IFERROR(__xludf.DUMMYFUNCTION("""COMPUTED_VALUE"""),"")</f>
        <v/>
      </c>
      <c r="AB234" s="17" t="str">
        <f>IFERROR(__xludf.DUMMYFUNCTION("""COMPUTED_VALUE"""),"")</f>
        <v/>
      </c>
      <c r="AC234" s="17" t="str">
        <f>IFERROR(__xludf.DUMMYFUNCTION("""COMPUTED_VALUE"""),"")</f>
        <v/>
      </c>
    </row>
    <row r="235">
      <c r="A235" s="17" t="str">
        <f>IFERROR(__xludf.DUMMYFUNCTION("""COMPUTED_VALUE"""),"Chapter 127: 90 Outreach - Addendum Taylor
Housing Complex (Personal Reality) 200:
Having space for all your Companions and Followers can be tricky. Sure, you could pay to have some houses built, but with this option you and each Companion and every child"&amp;" of yours or of a Companion gains their own bedroom. Every three bedrooms gain a full bathroom and your bedroom has a master bath. It’s not luxurious by any means, but this house (or houses) have 1 kitchen &amp; dining room, 2 half baths, two general purpose "&amp;"rooms (offices, living rooms, game rooms), a few of small closets, and a pantry for every 6 people. Individual rooms tailor themselves to the general likes of the individual and come with basic but not quality furniture. Companions who decide to share a r"&amp;"oom can cause their rooms to merge to create a larger room, but each basic room defaults to 4 meters by 5 meters by 3 meters. Non-bedrooms are on the small side but large enough to function. Floors are basic linoleum and walls are basic low grade paint. A"&amp;"ppliances and fixtures are pretty bare bones and the walls are little more than plywood and wood frame. The bedrooms don’t have closets. Any other Personal Reality Extensions can be made part of the Housing Complex or kept separated. Each house must have "&amp;"a kitchen. That’s the rule. No more houses than total number of kitchens. A house may, of course, have more than one kitchen.
Facility")</f>
        <v>Chapter 127: 90 Outreach - Addendum Taylor
Housing Complex (Personal Reality) 200:
Having space for all your Companions and Followers can be tricky. Sure, you could pay to have some houses built, but with this option you and each Companion and every child of yours or of a Companion gains their own bedroom. Every three bedrooms gain a full bathroom and your bedroom has a master bath. It’s not luxurious by any means, but this house (or houses) have 1 kitchen &amp; dining room, 2 half baths, two general purpose rooms (offices, living rooms, game rooms), a few of small closets, and a pantry for every 6 people. Individual rooms tailor themselves to the general likes of the individual and come with basic but not quality furniture. Companions who decide to share a room can cause their rooms to merge to create a larger room, but each basic room defaults to 4 meters by 5 meters by 3 meters. Non-bedrooms are on the small side but large enough to function. Floors are basic linoleum and walls are basic low grade paint. Appliances and fixtures are pretty bare bones and the walls are little more than plywood and wood frame. The bedrooms don’t have closets. Any other Personal Reality Extensions can be made part of the Housing Complex or kept separated. Each house must have a kitchen. That’s the rule. No more houses than total number of kitchens. A house may, of course, have more than one kitchen.
Facility</v>
      </c>
      <c r="B235" s="17" t="str">
        <f>IFERROR(__xludf.DUMMYFUNCTION("""COMPUTED_VALUE"""),"Chapter 127: 90 Outreach - Addendum Taylor
Opulent Housing (Personal Reality) 300:
This Housing Complex Upgrade does everything that Luxury does and does it better. Rooms are frankly too big, fixtures and furniture are all unique handcrafted pieces, the w"&amp;"alls have murals, the floor mosaics… everything isn’t just top of the line, it passed that miles back. High Ceilings, beautiful feng shui, custom decor for each room… huge closets. Additional Rooms generated every three persons. All Bedrooms are now Maste"&amp;"r Bedrooms and come with ensuite saunas, day spas, and personal office with reading nook. If you have an incremental purchase scheme, you do not get a refund if you bought Upscale Housing or Luxury Housing first. Opulent does not require Upscale or Luxury"&amp;" to be bought first.
Facility")</f>
        <v>Chapter 127: 90 Outreach - Addendum Taylor
Opulent Housing (Personal Reality) 300:
This Housing Complex Upgrade does everything that Luxury does and does it better. Rooms are frankly too big, fixtures and furniture are all unique handcrafted pieces, the walls have murals, the floor mosaics… everything isn’t just top of the line, it passed that miles back. High Ceilings, beautiful feng shui, custom decor for each room… huge closets. Additional Rooms generated every three persons. All Bedrooms are now Master Bedrooms and come with ensuite saunas, day spas, and personal office with reading nook. If you have an incremental purchase scheme, you do not get a refund if you bought Upscale Housing or Luxury Housing first. Opulent does not require Upscale or Luxury to be bought first.
Facility</v>
      </c>
      <c r="C235" s="17" t="str">
        <f>IFERROR(__xludf.DUMMYFUNCTION("""COMPUTED_VALUE"""),"
")</f>
        <v>
</v>
      </c>
      <c r="D235" s="17" t="str">
        <f>IFERROR(__xludf.DUMMYFUNCTION("""COMPUTED_VALUE"""),"
")</f>
        <v>
</v>
      </c>
      <c r="E235" s="17" t="str">
        <f>IFERROR(__xludf.DUMMYFUNCTION("""COMPUTED_VALUE"""),"
")</f>
        <v>
</v>
      </c>
      <c r="F235" s="17" t="str">
        <f>IFERROR(__xludf.DUMMYFUNCTION("""COMPUTED_VALUE"""),"
")</f>
        <v>
</v>
      </c>
      <c r="G235" s="17" t="str">
        <f>IFERROR(__xludf.DUMMYFUNCTION("""COMPUTED_VALUE"""),"
")</f>
        <v>
</v>
      </c>
      <c r="H235" s="17" t="str">
        <f>IFERROR(__xludf.DUMMYFUNCTION("""COMPUTED_VALUE"""),"
")</f>
        <v>
</v>
      </c>
      <c r="I235" s="17" t="str">
        <f>IFERROR(__xludf.DUMMYFUNCTION("""COMPUTED_VALUE"""),"
")</f>
        <v>
</v>
      </c>
      <c r="J235" s="17" t="str">
        <f>IFERROR(__xludf.DUMMYFUNCTION("""COMPUTED_VALUE"""),"
")</f>
        <v>
</v>
      </c>
      <c r="K235" s="17" t="str">
        <f>IFERROR(__xludf.DUMMYFUNCTION("""COMPUTED_VALUE"""),"
")</f>
        <v>
</v>
      </c>
      <c r="L235" s="17" t="str">
        <f>IFERROR(__xludf.DUMMYFUNCTION("""COMPUTED_VALUE"""),"
")</f>
        <v>
</v>
      </c>
      <c r="M235" s="17" t="str">
        <f>IFERROR(__xludf.DUMMYFUNCTION("""COMPUTED_VALUE"""),"
")</f>
        <v>
</v>
      </c>
      <c r="N235" s="17" t="str">
        <f>IFERROR(__xludf.DUMMYFUNCTION("""COMPUTED_VALUE"""),"
")</f>
        <v>
</v>
      </c>
      <c r="O235" s="17" t="str">
        <f>IFERROR(__xludf.DUMMYFUNCTION("""COMPUTED_VALUE"""),"
")</f>
        <v>
</v>
      </c>
      <c r="P235" s="17" t="str">
        <f>IFERROR(__xludf.DUMMYFUNCTION("""COMPUTED_VALUE"""),"
")</f>
        <v>
</v>
      </c>
      <c r="Q235" s="17" t="str">
        <f>IFERROR(__xludf.DUMMYFUNCTION("""COMPUTED_VALUE"""),"
")</f>
        <v>
</v>
      </c>
      <c r="R235" s="17" t="str">
        <f>IFERROR(__xludf.DUMMYFUNCTION("""COMPUTED_VALUE"""),"
")</f>
        <v>
</v>
      </c>
      <c r="S235" s="17" t="str">
        <f>IFERROR(__xludf.DUMMYFUNCTION("""COMPUTED_VALUE"""),"
")</f>
        <v>
</v>
      </c>
      <c r="T235" s="17" t="str">
        <f>IFERROR(__xludf.DUMMYFUNCTION("""COMPUTED_VALUE"""),"
")</f>
        <v>
</v>
      </c>
      <c r="U235" s="17" t="str">
        <f>IFERROR(__xludf.DUMMYFUNCTION("""COMPUTED_VALUE"""),"
")</f>
        <v>
</v>
      </c>
      <c r="V235" s="17" t="str">
        <f>IFERROR(__xludf.DUMMYFUNCTION("""COMPUTED_VALUE"""),"
")</f>
        <v>
</v>
      </c>
      <c r="W235" s="17" t="str">
        <f>IFERROR(__xludf.DUMMYFUNCTION("""COMPUTED_VALUE"""),"
")</f>
        <v>
</v>
      </c>
      <c r="X235" s="17" t="str">
        <f>IFERROR(__xludf.DUMMYFUNCTION("""COMPUTED_VALUE"""),"
")</f>
        <v>
</v>
      </c>
      <c r="Y235" s="17" t="str">
        <f>IFERROR(__xludf.DUMMYFUNCTION("""COMPUTED_VALUE"""),"
")</f>
        <v>
</v>
      </c>
      <c r="Z235" s="17" t="str">
        <f>IFERROR(__xludf.DUMMYFUNCTION("""COMPUTED_VALUE"""),"
")</f>
        <v>
</v>
      </c>
      <c r="AA235" s="17" t="str">
        <f>IFERROR(__xludf.DUMMYFUNCTION("""COMPUTED_VALUE"""),"
")</f>
        <v>
</v>
      </c>
      <c r="AB235" s="17" t="str">
        <f>IFERROR(__xludf.DUMMYFUNCTION("""COMPUTED_VALUE"""),"
")</f>
        <v>
</v>
      </c>
      <c r="AC235" s="17" t="str">
        <f>IFERROR(__xludf.DUMMYFUNCTION("""COMPUTED_VALUE"""),"
")</f>
        <v>
</v>
      </c>
    </row>
    <row r="236">
      <c r="A236" s="17" t="str">
        <f>IFERROR(__xludf.DUMMYFUNCTION("""COMPUTED_VALUE"""),"")</f>
        <v/>
      </c>
      <c r="B236" s="17" t="str">
        <f>IFERROR(__xludf.DUMMYFUNCTION("""COMPUTED_VALUE"""),"")</f>
        <v/>
      </c>
      <c r="C236" s="17" t="str">
        <f>IFERROR(__xludf.DUMMYFUNCTION("""COMPUTED_VALUE"""),"")</f>
        <v/>
      </c>
      <c r="D236" s="17" t="str">
        <f>IFERROR(__xludf.DUMMYFUNCTION("""COMPUTED_VALUE"""),"")</f>
        <v/>
      </c>
      <c r="E236" s="17" t="str">
        <f>IFERROR(__xludf.DUMMYFUNCTION("""COMPUTED_VALUE"""),"")</f>
        <v/>
      </c>
      <c r="F236" s="17" t="str">
        <f>IFERROR(__xludf.DUMMYFUNCTION("""COMPUTED_VALUE"""),"")</f>
        <v/>
      </c>
      <c r="G236" s="17" t="str">
        <f>IFERROR(__xludf.DUMMYFUNCTION("""COMPUTED_VALUE"""),"")</f>
        <v/>
      </c>
      <c r="H236" s="17" t="str">
        <f>IFERROR(__xludf.DUMMYFUNCTION("""COMPUTED_VALUE"""),"")</f>
        <v/>
      </c>
      <c r="I236" s="17" t="str">
        <f>IFERROR(__xludf.DUMMYFUNCTION("""COMPUTED_VALUE"""),"")</f>
        <v/>
      </c>
      <c r="J236" s="17" t="str">
        <f>IFERROR(__xludf.DUMMYFUNCTION("""COMPUTED_VALUE"""),"")</f>
        <v/>
      </c>
      <c r="K236" s="17" t="str">
        <f>IFERROR(__xludf.DUMMYFUNCTION("""COMPUTED_VALUE"""),"")</f>
        <v/>
      </c>
      <c r="L236" s="17" t="str">
        <f>IFERROR(__xludf.DUMMYFUNCTION("""COMPUTED_VALUE"""),"")</f>
        <v/>
      </c>
      <c r="M236" s="17" t="str">
        <f>IFERROR(__xludf.DUMMYFUNCTION("""COMPUTED_VALUE"""),"")</f>
        <v/>
      </c>
      <c r="N236" s="17" t="str">
        <f>IFERROR(__xludf.DUMMYFUNCTION("""COMPUTED_VALUE"""),"")</f>
        <v/>
      </c>
      <c r="O236" s="17" t="str">
        <f>IFERROR(__xludf.DUMMYFUNCTION("""COMPUTED_VALUE"""),"")</f>
        <v/>
      </c>
      <c r="P236" s="17" t="str">
        <f>IFERROR(__xludf.DUMMYFUNCTION("""COMPUTED_VALUE"""),"")</f>
        <v/>
      </c>
      <c r="Q236" s="17" t="str">
        <f>IFERROR(__xludf.DUMMYFUNCTION("""COMPUTED_VALUE"""),"")</f>
        <v/>
      </c>
      <c r="R236" s="17" t="str">
        <f>IFERROR(__xludf.DUMMYFUNCTION("""COMPUTED_VALUE"""),"")</f>
        <v/>
      </c>
      <c r="S236" s="17" t="str">
        <f>IFERROR(__xludf.DUMMYFUNCTION("""COMPUTED_VALUE"""),"")</f>
        <v/>
      </c>
      <c r="T236" s="17" t="str">
        <f>IFERROR(__xludf.DUMMYFUNCTION("""COMPUTED_VALUE"""),"")</f>
        <v/>
      </c>
      <c r="U236" s="17" t="str">
        <f>IFERROR(__xludf.DUMMYFUNCTION("""COMPUTED_VALUE"""),"")</f>
        <v/>
      </c>
      <c r="V236" s="17" t="str">
        <f>IFERROR(__xludf.DUMMYFUNCTION("""COMPUTED_VALUE"""),"")</f>
        <v/>
      </c>
      <c r="W236" s="17" t="str">
        <f>IFERROR(__xludf.DUMMYFUNCTION("""COMPUTED_VALUE"""),"")</f>
        <v/>
      </c>
      <c r="X236" s="17" t="str">
        <f>IFERROR(__xludf.DUMMYFUNCTION("""COMPUTED_VALUE"""),"")</f>
        <v/>
      </c>
      <c r="Y236" s="17" t="str">
        <f>IFERROR(__xludf.DUMMYFUNCTION("""COMPUTED_VALUE"""),"")</f>
        <v/>
      </c>
      <c r="Z236" s="17" t="str">
        <f>IFERROR(__xludf.DUMMYFUNCTION("""COMPUTED_VALUE"""),"")</f>
        <v/>
      </c>
      <c r="AA236" s="17" t="str">
        <f>IFERROR(__xludf.DUMMYFUNCTION("""COMPUTED_VALUE"""),"")</f>
        <v/>
      </c>
      <c r="AB236" s="17" t="str">
        <f>IFERROR(__xludf.DUMMYFUNCTION("""COMPUTED_VALUE"""),"")</f>
        <v/>
      </c>
      <c r="AC236" s="17" t="str">
        <f>IFERROR(__xludf.DUMMYFUNCTION("""COMPUTED_VALUE"""),"")</f>
        <v/>
      </c>
    </row>
    <row r="237">
      <c r="A237" s="17" t="str">
        <f>IFERROR(__xludf.DUMMYFUNCTION("""COMPUTED_VALUE"""),"Chapter 100: 73 Head Trip
Library (Personal Reality) 200:
A place to keep all the books and writings you and your companions might create or gather throughout your adventures, with all of them kept in pristine condition and automatically sorted based on y"&amp;"our selected scheme, no matter how harebrained. Comes with reading area that has an effect of slightly boosting concentration, reading speed, comprehension, and retention rate.
Facility")</f>
        <v>Chapter 100: 73 Head Trip
Library (Personal Reality) 200:
A place to keep all the books and writings you and your companions might create or gather throughout your adventures, with all of them kept in pristine condition and automatically sorted based on your selected scheme, no matter how harebrained. Comes with reading area that has an effect of slightly boosting concentration, reading speed, comprehension, and retention rate.
Facility</v>
      </c>
      <c r="B237" s="17" t="str">
        <f>IFERROR(__xludf.DUMMYFUNCTION("""COMPUTED_VALUE"""),"Chapter 100: 73 Head Trip
Library Services (Personal Reality) 100:
This Library Upgrade means that any written text that you add to your library, assuming you or any member of your team possesses the ability to translate it, will gain an appendix that inc"&amp;"ludes all idiomatic word usage, cultural or historical references, and even scholarly explanations of the author’s background and possible inspirations. All such notes will be written from a scholastic, in setting standpoint, as if written by a learned sc"&amp;"holar writing from no more than a single century in the future from the time the original work was created. Additionally, if you request a specific book translated into a different language, it will be produced within 24 hours, and the translation will be"&amp;" written by an expert native speaker of both languages. Cover art for the new version will be similarly translated. You or a member of your team must know both languages to a high fluent level for this translation service to work properly.
Facility")</f>
        <v>Chapter 100: 73 Head Trip
Library Services (Personal Reality) 100:
This Library Upgrade means that any written text that you add to your library, assuming you or any member of your team possesses the ability to translate it, will gain an appendix that includes all idiomatic word usage, cultural or historical references, and even scholarly explanations of the author’s background and possible inspirations. All such notes will be written from a scholastic, in setting standpoint, as if written by a learned scholar writing from no more than a single century in the future from the time the original work was created. Additionally, if you request a specific book translated into a different language, it will be produced within 24 hours, and the translation will be written by an expert native speaker of both languages. Cover art for the new version will be similarly translated. You or a member of your team must know both languages to a high fluent level for this translation service to work properly.
Facility</v>
      </c>
      <c r="C237" s="17" t="str">
        <f>IFERROR(__xludf.DUMMYFUNCTION("""COMPUTED_VALUE"""),"Chapter 100: 73 Head Trip
Digital Database (Personal Reality) 100:
This Library Upgrade automatically digitizes every text that enters your Personal Reality, even if it’s already in digital format, and does so safely (spells will contain the correct symbo"&amp;"ls but not power, memetic or conceptual texts will be rendered harmless). The entire contents of your Library are now completely searchable, indexed, and intelligently cross-referenced, allowing far easier use and accessibility.
Facility")</f>
        <v>Chapter 100: 73 Head Trip
Digital Database (Personal Reality) 100:
This Library Upgrade automatically digitizes every text that enters your Personal Reality, even if it’s already in digital format, and does so safely (spells will contain the correct symbols but not power, memetic or conceptual texts will be rendered harmless). The entire contents of your Library are now completely searchable, indexed, and intelligently cross-referenced, allowing far easier use and accessibility.
Facility</v>
      </c>
      <c r="D237" s="17" t="str">
        <f>IFERROR(__xludf.DUMMYFUNCTION("""COMPUTED_VALUE"""),"Chapter 100: 73 Head Trip
Starting Collection (Personal Reality) 100:
This Library Upgrade gets you pre-stocked with books you would expect to find in an average town or school library, with a nice spread of books on a variety of topics and in a language "&amp;"of your choice. This comes with 10,000 individual fiction titles and three times that number non-fiction titles covering all normal real-world subjects. Most of the books will be best sellers or classics (80%) and will cover the last hundred and fifty yea"&amp;"rs or so. The other 20% will be more esoteric works, but seldom anything particularly obscure or rare. In addition to scholarly works and literature, you’ll also get a periodicals section similar to that of a town library, containing several thousand asso"&amp;"rted magazines and newspapers. This can be purchased up to five times, each time increasing the number of titles in all three categories (fiction, non-fiction, periodicals) by a factor of ten. Additional purchases only cost 50 WP. This is the only Library"&amp;" Upgrade that includes fiction from ‘the real world’.
Facility")</f>
        <v>Chapter 100: 73 Head Trip
Starting Collection (Personal Reality) 100:
This Library Upgrade gets you pre-stocked with books you would expect to find in an average town or school library, with a nice spread of books on a variety of topics and in a language of your choice. This comes with 10,000 individual fiction titles and three times that number non-fiction titles covering all normal real-world subjects. Most of the books will be best sellers or classics (80%) and will cover the last hundred and fifty years or so. The other 20% will be more esoteric works, but seldom anything particularly obscure or rare. In addition to scholarly works and literature, you’ll also get a periodicals section similar to that of a town library, containing several thousand assorted magazines and newspapers. This can be purchased up to five times, each time increasing the number of titles in all three categories (fiction, non-fiction, periodicals) by a factor of ten. Additional purchases only cost 50 WP. This is the only Library Upgrade that includes fiction from ‘the real world’.
Facility</v>
      </c>
      <c r="E237" s="17" t="str">
        <f>IFERROR(__xludf.DUMMYFUNCTION("""COMPUTED_VALUE"""),"Chapter 179: 114 Manic Recovery
Starting Collection (Personal Reality) 50: 
This Library Upgrade gets you pre-stocked with books you would expect to find in an average town or school library, with a nice spread of books on a variety of topics and in a lan"&amp;"guage of your choice. This comes with 10,000 individual fiction titles and three times that number non-fiction titles covering all normal real-world subjects. Most of the books will be best sellers or classics (80%) and will cover the last hundred and fif"&amp;"ty years or so. The other 20% will be more esoteric works, but seldom anything particularly obscure or rare. In addition to scholarly works and literature, you’ll also get a periodicals section similar to that of a town library, containing several thousan"&amp;"d assorted magazines and newspapers. This can be purchased up to five times, each time increasing the number of titles in all three categories (fiction, non-fiction, periodicals) by a factor of ten. Additional purchases only cost 50 WP. This is the only L"&amp;"ibrary Upgrade that includes fiction from ‘the real world’.
Facility")</f>
        <v>Chapter 179: 114 Manic Recovery
Starting Collection (Personal Reality) 50: 
This Library Upgrade gets you pre-stocked with books you would expect to find in an average town or school library, with a nice spread of books on a variety of topics and in a language of your choice. This comes with 10,000 individual fiction titles and three times that number non-fiction titles covering all normal real-world subjects. Most of the books will be best sellers or classics (80%) and will cover the last hundred and fifty years or so. The other 20% will be more esoteric works, but seldom anything particularly obscure or rare. In addition to scholarly works and literature, you’ll also get a periodicals section similar to that of a town library, containing several thousand assorted magazines and newspapers. This can be purchased up to five times, each time increasing the number of titles in all three categories (fiction, non-fiction, periodicals) by a factor of ten. Additional purchases only cost 50 WP. This is the only Library Upgrade that includes fiction from ‘the real world’.
Facility</v>
      </c>
      <c r="F237" s="17" t="str">
        <f>IFERROR(__xludf.DUMMYFUNCTION("""COMPUTED_VALUE"""),"Chapter 179: 114 Manic Recovery
Expanded Collection - Mysticism (Personal Reality) 50:
This Library Upgrade specializes your library in a specific way, adding books on specific topics, things that you would expect in specialized university libraries. Each"&amp;" purchase of this comes with 60,000 specific titles in the language of your choice (even if such works have never been published in your selected language). The more specific a topic you pick, the more specific these books will be. So picking Biology as t"&amp;"opic will get you books ranging from everything on animals, plants, anatomy, genetics, microbiology and ecology, while picking entomology as topic will give you extremely detailed books about different types of insects, their physiology, and so on. Choosi"&amp;"ng a specific culture multiplies the number of titles gained by the square root of the number of centuries that culture has existed. Extinct cultures do not generate this bonus. The subject must be one from the real world, but do remember that there are t"&amp;"housands and thousands of real world books on the occult, so it’s not unlikely you can find what you like. Each expansion also comes with specialized journals, magazines, and other periodicals on the topics. This does not include fiction. For each purchas"&amp;"e of this Upgrade, once per month, you can request a very specific sub-topic related to the core topic (e.g. architecture... of the Louvre, history... of trade on the Yangtze, quiltmaking in the 1880s, etc.). You’ll receive a dozen books on the subject… a"&amp;"ssuming a dozen such books exist in the real world and are reasonably available (not unique or exceptionally rare).
Facility")</f>
        <v>Chapter 179: 114 Manic Recovery
Expanded Collection - Mysticism (Personal Reality) 50:
This Library Upgrade specializes your library in a specific way, adding books on specific topics, things that you would expect in specialized university libraries. Each purchase of this comes with 60,000 specific titles in the language of your choice (even if such works have never been published in your selected language). The more specific a topic you pick, the more specific these books will be. So picking Biology as topic will get you books ranging from everything on animals, plants, anatomy, genetics, microbiology and ecology, while picking entomology as topic will give you extremely detailed books about different types of insects, their physiology, and so on. Choosing a specific culture multiplies the number of titles gained by the square root of the number of centuries that culture has existed. Extinct cultures do not generate this bonus. The subject must be one from the real world, but do remember that there are thousands and thousands of real world books on the occult, so it’s not unlikely you can find what you like. Each expansion also comes with specialized journals, magazines, and other periodicals on the topics. This does not include fiction. For each purchase of this Upgrade, once per month, you can request a very specific sub-topic related to the core topic (e.g. architecture... of the Louvre, history... of trade on the Yangtze, quiltmaking in the 1880s, etc.). You’ll receive a dozen books on the subject… assuming a dozen such books exist in the real world and are reasonably available (not unique or exceptionally rare).
Facility</v>
      </c>
      <c r="G237" s="17" t="str">
        <f>IFERROR(__xludf.DUMMYFUNCTION("""COMPUTED_VALUE"""),"Chapter 179: 114 Manic Recovery
Esoteric Collection - Magic (Personal Reality) 100:
This Library Upgrade is functionally identical to Expanded Collection, but it is not limited to real world subjects. To be eligible, a subject must be one that is widely k"&amp;"nown in any setting you have visited. This can include fiction, but only fiction from universes you visit.
Facility")</f>
        <v>Chapter 179: 114 Manic Recovery
Esoteric Collection - Magic (Personal Reality) 100:
This Library Upgrade is functionally identical to Expanded Collection, but it is not limited to real world subjects. To be eligible, a subject must be one that is widely known in any setting you have visited. This can include fiction, but only fiction from universes you visit.
Facility</v>
      </c>
      <c r="H237" s="17" t="str">
        <f>IFERROR(__xludf.DUMMYFUNCTION("""COMPUTED_VALUE"""),"
")</f>
        <v>
</v>
      </c>
      <c r="I237" s="17" t="str">
        <f>IFERROR(__xludf.DUMMYFUNCTION("""COMPUTED_VALUE"""),"
")</f>
        <v>
</v>
      </c>
      <c r="J237" s="17" t="str">
        <f>IFERROR(__xludf.DUMMYFUNCTION("""COMPUTED_VALUE"""),"
")</f>
        <v>
</v>
      </c>
      <c r="K237" s="17" t="str">
        <f>IFERROR(__xludf.DUMMYFUNCTION("""COMPUTED_VALUE"""),"
")</f>
        <v>
</v>
      </c>
      <c r="L237" s="17" t="str">
        <f>IFERROR(__xludf.DUMMYFUNCTION("""COMPUTED_VALUE"""),"
")</f>
        <v>
</v>
      </c>
      <c r="M237" s="17" t="str">
        <f>IFERROR(__xludf.DUMMYFUNCTION("""COMPUTED_VALUE"""),"
")</f>
        <v>
</v>
      </c>
      <c r="N237" s="17" t="str">
        <f>IFERROR(__xludf.DUMMYFUNCTION("""COMPUTED_VALUE"""),"
")</f>
        <v>
</v>
      </c>
      <c r="O237" s="17" t="str">
        <f>IFERROR(__xludf.DUMMYFUNCTION("""COMPUTED_VALUE"""),"
")</f>
        <v>
</v>
      </c>
      <c r="P237" s="17" t="str">
        <f>IFERROR(__xludf.DUMMYFUNCTION("""COMPUTED_VALUE"""),"
")</f>
        <v>
</v>
      </c>
      <c r="Q237" s="17" t="str">
        <f>IFERROR(__xludf.DUMMYFUNCTION("""COMPUTED_VALUE"""),"
")</f>
        <v>
</v>
      </c>
      <c r="R237" s="17" t="str">
        <f>IFERROR(__xludf.DUMMYFUNCTION("""COMPUTED_VALUE"""),"
")</f>
        <v>
</v>
      </c>
      <c r="S237" s="17" t="str">
        <f>IFERROR(__xludf.DUMMYFUNCTION("""COMPUTED_VALUE"""),"
")</f>
        <v>
</v>
      </c>
      <c r="T237" s="17" t="str">
        <f>IFERROR(__xludf.DUMMYFUNCTION("""COMPUTED_VALUE"""),"
")</f>
        <v>
</v>
      </c>
      <c r="U237" s="17" t="str">
        <f>IFERROR(__xludf.DUMMYFUNCTION("""COMPUTED_VALUE"""),"
")</f>
        <v>
</v>
      </c>
      <c r="V237" s="17" t="str">
        <f>IFERROR(__xludf.DUMMYFUNCTION("""COMPUTED_VALUE"""),"
")</f>
        <v>
</v>
      </c>
      <c r="W237" s="17" t="str">
        <f>IFERROR(__xludf.DUMMYFUNCTION("""COMPUTED_VALUE"""),"
")</f>
        <v>
</v>
      </c>
      <c r="X237" s="17" t="str">
        <f>IFERROR(__xludf.DUMMYFUNCTION("""COMPUTED_VALUE"""),"
")</f>
        <v>
</v>
      </c>
      <c r="Y237" s="17" t="str">
        <f>IFERROR(__xludf.DUMMYFUNCTION("""COMPUTED_VALUE"""),"
")</f>
        <v>
</v>
      </c>
      <c r="Z237" s="17" t="str">
        <f>IFERROR(__xludf.DUMMYFUNCTION("""COMPUTED_VALUE"""),"
")</f>
        <v>
</v>
      </c>
      <c r="AA237" s="17" t="str">
        <f>IFERROR(__xludf.DUMMYFUNCTION("""COMPUTED_VALUE"""),"
")</f>
        <v>
</v>
      </c>
      <c r="AB237" s="17" t="str">
        <f>IFERROR(__xludf.DUMMYFUNCTION("""COMPUTED_VALUE"""),"
")</f>
        <v>
</v>
      </c>
      <c r="AC237" s="17" t="str">
        <f>IFERROR(__xludf.DUMMYFUNCTION("""COMPUTED_VALUE"""),"
")</f>
        <v>
</v>
      </c>
    </row>
    <row r="238">
      <c r="A238" s="17" t="str">
        <f>IFERROR(__xludf.DUMMYFUNCTION("""COMPUTED_VALUE"""),"Chapter 110: 79 Preliminary Work
Loft (Personal Reality) Free: 
What’s the point of having a room 10 meters tall if you can’t build upwards. Feel free to stack things up to the ceiling if you like.
Facility")</f>
        <v>Chapter 110: 79 Preliminary Work
Loft (Personal Reality) Free: 
What’s the point of having a room 10 meters tall if you can’t build upwards. Feel free to stack things up to the ceiling if you like.
Facility</v>
      </c>
      <c r="B238" s="17" t="str">
        <f>IFERROR(__xludf.DUMMYFUNCTION("""COMPUTED_VALUE"""),"Chapter 110: 79 Preliminary Work
Lofty Loft (Personal Reality) 100:
Is it depressing having your home surrounded by storage space? You gain an area the same size as your starting space that is reserved entirely for housing and luxury facilities, such as p"&amp;"ools and sports fields. It is situated either next to your Cosmic Warehouse or above your Cosmic Warehouse. Separate purchases of Additional Space applied to it instead of Cosmic Warehouse can be used to expand it. You’ll have to decide if Warehouse mods "&amp;"from jumps are applied to the Lofty Loft or the Cosmic Warehouse.
Facility")</f>
        <v>Chapter 110: 79 Preliminary Work
Lofty Loft (Personal Reality) 100:
Is it depressing having your home surrounded by storage space? You gain an area the same size as your starting space that is reserved entirely for housing and luxury facilities, such as pools and sports fields. It is situated either next to your Cosmic Warehouse or above your Cosmic Warehouse. Separate purchases of Additional Space applied to it instead of Cosmic Warehouse can be used to expand it. You’ll have to decide if Warehouse mods from jumps are applied to the Lofty Loft or the Cosmic Warehouse.
Facility</v>
      </c>
      <c r="C238" s="17" t="str">
        <f>IFERROR(__xludf.DUMMYFUNCTION("""COMPUTED_VALUE"""),"Chapter 110: 79 Preliminary Work
Underside (Personal Reality) 200:
This allows you to create Basement Spaces in your Personal Reality. The maximum volume of all ‘underground’ spaces is equal to ½ the volume of your Personal Reality, but these spaces need "&amp;"not be contiguous. Connections such as chutes, corridors, or elevator shafts are not counted for that total unless you start trying to cheese it by creating an infinitely long corridor to store things in.
Facility")</f>
        <v>Chapter 110: 79 Preliminary Work
Underside (Personal Reality) 200:
This allows you to create Basement Spaces in your Personal Reality. The maximum volume of all ‘underground’ spaces is equal to ½ the volume of your Personal Reality, but these spaces need not be contiguous. Connections such as chutes, corridors, or elevator shafts are not counted for that total unless you start trying to cheese it by creating an infinitely long corridor to store things in.
Facility</v>
      </c>
      <c r="D238" s="17" t="str">
        <f>IFERROR(__xludf.DUMMYFUNCTION("""COMPUTED_VALUE"""),"
")</f>
        <v>
</v>
      </c>
      <c r="E238" s="17" t="str">
        <f>IFERROR(__xludf.DUMMYFUNCTION("""COMPUTED_VALUE"""),"
")</f>
        <v>
</v>
      </c>
      <c r="F238" s="17" t="str">
        <f>IFERROR(__xludf.DUMMYFUNCTION("""COMPUTED_VALUE"""),"
")</f>
        <v>
</v>
      </c>
      <c r="G238" s="17" t="str">
        <f>IFERROR(__xludf.DUMMYFUNCTION("""COMPUTED_VALUE"""),"
")</f>
        <v>
</v>
      </c>
      <c r="H238" s="17" t="str">
        <f>IFERROR(__xludf.DUMMYFUNCTION("""COMPUTED_VALUE"""),"
")</f>
        <v>
</v>
      </c>
      <c r="I238" s="17" t="str">
        <f>IFERROR(__xludf.DUMMYFUNCTION("""COMPUTED_VALUE"""),"
")</f>
        <v>
</v>
      </c>
      <c r="J238" s="17" t="str">
        <f>IFERROR(__xludf.DUMMYFUNCTION("""COMPUTED_VALUE"""),"
")</f>
        <v>
</v>
      </c>
      <c r="K238" s="17" t="str">
        <f>IFERROR(__xludf.DUMMYFUNCTION("""COMPUTED_VALUE"""),"
")</f>
        <v>
</v>
      </c>
      <c r="L238" s="17" t="str">
        <f>IFERROR(__xludf.DUMMYFUNCTION("""COMPUTED_VALUE"""),"
")</f>
        <v>
</v>
      </c>
      <c r="M238" s="17" t="str">
        <f>IFERROR(__xludf.DUMMYFUNCTION("""COMPUTED_VALUE"""),"
")</f>
        <v>
</v>
      </c>
      <c r="N238" s="17" t="str">
        <f>IFERROR(__xludf.DUMMYFUNCTION("""COMPUTED_VALUE"""),"
")</f>
        <v>
</v>
      </c>
      <c r="O238" s="17" t="str">
        <f>IFERROR(__xludf.DUMMYFUNCTION("""COMPUTED_VALUE"""),"
")</f>
        <v>
</v>
      </c>
      <c r="P238" s="17" t="str">
        <f>IFERROR(__xludf.DUMMYFUNCTION("""COMPUTED_VALUE"""),"
")</f>
        <v>
</v>
      </c>
      <c r="Q238" s="17" t="str">
        <f>IFERROR(__xludf.DUMMYFUNCTION("""COMPUTED_VALUE"""),"
")</f>
        <v>
</v>
      </c>
      <c r="R238" s="17" t="str">
        <f>IFERROR(__xludf.DUMMYFUNCTION("""COMPUTED_VALUE"""),"
")</f>
        <v>
</v>
      </c>
      <c r="S238" s="17" t="str">
        <f>IFERROR(__xludf.DUMMYFUNCTION("""COMPUTED_VALUE"""),"
")</f>
        <v>
</v>
      </c>
      <c r="T238" s="17" t="str">
        <f>IFERROR(__xludf.DUMMYFUNCTION("""COMPUTED_VALUE"""),"
")</f>
        <v>
</v>
      </c>
      <c r="U238" s="17" t="str">
        <f>IFERROR(__xludf.DUMMYFUNCTION("""COMPUTED_VALUE"""),"
")</f>
        <v>
</v>
      </c>
      <c r="V238" s="17" t="str">
        <f>IFERROR(__xludf.DUMMYFUNCTION("""COMPUTED_VALUE"""),"
")</f>
        <v>
</v>
      </c>
      <c r="W238" s="17" t="str">
        <f>IFERROR(__xludf.DUMMYFUNCTION("""COMPUTED_VALUE"""),"
")</f>
        <v>
</v>
      </c>
      <c r="X238" s="17" t="str">
        <f>IFERROR(__xludf.DUMMYFUNCTION("""COMPUTED_VALUE"""),"
")</f>
        <v>
</v>
      </c>
      <c r="Y238" s="17" t="str">
        <f>IFERROR(__xludf.DUMMYFUNCTION("""COMPUTED_VALUE"""),"
")</f>
        <v>
</v>
      </c>
      <c r="Z238" s="17" t="str">
        <f>IFERROR(__xludf.DUMMYFUNCTION("""COMPUTED_VALUE"""),"
")</f>
        <v>
</v>
      </c>
      <c r="AA238" s="17" t="str">
        <f>IFERROR(__xludf.DUMMYFUNCTION("""COMPUTED_VALUE"""),"
")</f>
        <v>
</v>
      </c>
      <c r="AB238" s="17" t="str">
        <f>IFERROR(__xludf.DUMMYFUNCTION("""COMPUTED_VALUE"""),"
")</f>
        <v>
</v>
      </c>
      <c r="AC238" s="17" t="str">
        <f>IFERROR(__xludf.DUMMYFUNCTION("""COMPUTED_VALUE"""),"
")</f>
        <v>
</v>
      </c>
    </row>
    <row r="239">
      <c r="A239" s="17" t="str">
        <f>IFERROR(__xludf.DUMMYFUNCTION("""COMPUTED_VALUE"""),"")</f>
        <v/>
      </c>
      <c r="B239" s="17" t="str">
        <f>IFERROR(__xludf.DUMMYFUNCTION("""COMPUTED_VALUE"""),"")</f>
        <v/>
      </c>
      <c r="C239" s="17" t="str">
        <f>IFERROR(__xludf.DUMMYFUNCTION("""COMPUTED_VALUE"""),"")</f>
        <v/>
      </c>
      <c r="D239" s="17" t="str">
        <f>IFERROR(__xludf.DUMMYFUNCTION("""COMPUTED_VALUE"""),"")</f>
        <v/>
      </c>
      <c r="E239" s="17" t="str">
        <f>IFERROR(__xludf.DUMMYFUNCTION("""COMPUTED_VALUE"""),"")</f>
        <v/>
      </c>
      <c r="F239" s="17" t="str">
        <f>IFERROR(__xludf.DUMMYFUNCTION("""COMPUTED_VALUE"""),"")</f>
        <v/>
      </c>
      <c r="G239" s="17" t="str">
        <f>IFERROR(__xludf.DUMMYFUNCTION("""COMPUTED_VALUE"""),"")</f>
        <v/>
      </c>
      <c r="H239" s="17" t="str">
        <f>IFERROR(__xludf.DUMMYFUNCTION("""COMPUTED_VALUE"""),"")</f>
        <v/>
      </c>
      <c r="I239" s="17" t="str">
        <f>IFERROR(__xludf.DUMMYFUNCTION("""COMPUTED_VALUE"""),"")</f>
        <v/>
      </c>
      <c r="J239" s="17" t="str">
        <f>IFERROR(__xludf.DUMMYFUNCTION("""COMPUTED_VALUE"""),"")</f>
        <v/>
      </c>
      <c r="K239" s="17" t="str">
        <f>IFERROR(__xludf.DUMMYFUNCTION("""COMPUTED_VALUE"""),"")</f>
        <v/>
      </c>
      <c r="L239" s="17" t="str">
        <f>IFERROR(__xludf.DUMMYFUNCTION("""COMPUTED_VALUE"""),"")</f>
        <v/>
      </c>
      <c r="M239" s="17" t="str">
        <f>IFERROR(__xludf.DUMMYFUNCTION("""COMPUTED_VALUE"""),"")</f>
        <v/>
      </c>
      <c r="N239" s="17" t="str">
        <f>IFERROR(__xludf.DUMMYFUNCTION("""COMPUTED_VALUE"""),"")</f>
        <v/>
      </c>
      <c r="O239" s="17" t="str">
        <f>IFERROR(__xludf.DUMMYFUNCTION("""COMPUTED_VALUE"""),"")</f>
        <v/>
      </c>
      <c r="P239" s="17" t="str">
        <f>IFERROR(__xludf.DUMMYFUNCTION("""COMPUTED_VALUE"""),"")</f>
        <v/>
      </c>
      <c r="Q239" s="17" t="str">
        <f>IFERROR(__xludf.DUMMYFUNCTION("""COMPUTED_VALUE"""),"")</f>
        <v/>
      </c>
      <c r="R239" s="17" t="str">
        <f>IFERROR(__xludf.DUMMYFUNCTION("""COMPUTED_VALUE"""),"")</f>
        <v/>
      </c>
      <c r="S239" s="17" t="str">
        <f>IFERROR(__xludf.DUMMYFUNCTION("""COMPUTED_VALUE"""),"")</f>
        <v/>
      </c>
      <c r="T239" s="17" t="str">
        <f>IFERROR(__xludf.DUMMYFUNCTION("""COMPUTED_VALUE"""),"")</f>
        <v/>
      </c>
      <c r="U239" s="17" t="str">
        <f>IFERROR(__xludf.DUMMYFUNCTION("""COMPUTED_VALUE"""),"")</f>
        <v/>
      </c>
      <c r="V239" s="17" t="str">
        <f>IFERROR(__xludf.DUMMYFUNCTION("""COMPUTED_VALUE"""),"")</f>
        <v/>
      </c>
      <c r="W239" s="17" t="str">
        <f>IFERROR(__xludf.DUMMYFUNCTION("""COMPUTED_VALUE"""),"")</f>
        <v/>
      </c>
      <c r="X239" s="17" t="str">
        <f>IFERROR(__xludf.DUMMYFUNCTION("""COMPUTED_VALUE"""),"")</f>
        <v/>
      </c>
      <c r="Y239" s="17" t="str">
        <f>IFERROR(__xludf.DUMMYFUNCTION("""COMPUTED_VALUE"""),"")</f>
        <v/>
      </c>
      <c r="Z239" s="17" t="str">
        <f>IFERROR(__xludf.DUMMYFUNCTION("""COMPUTED_VALUE"""),"")</f>
        <v/>
      </c>
      <c r="AA239" s="17" t="str">
        <f>IFERROR(__xludf.DUMMYFUNCTION("""COMPUTED_VALUE"""),"")</f>
        <v/>
      </c>
      <c r="AB239" s="17" t="str">
        <f>IFERROR(__xludf.DUMMYFUNCTION("""COMPUTED_VALUE"""),"")</f>
        <v/>
      </c>
      <c r="AC239" s="17" t="str">
        <f>IFERROR(__xludf.DUMMYFUNCTION("""COMPUTED_VALUE"""),"")</f>
        <v/>
      </c>
    </row>
    <row r="240">
      <c r="A240" s="17" t="str">
        <f>IFERROR(__xludf.DUMMYFUNCTION("""COMPUTED_VALUE"""),"")</f>
        <v/>
      </c>
      <c r="B240" s="17" t="str">
        <f>IFERROR(__xludf.DUMMYFUNCTION("""COMPUTED_VALUE"""),"")</f>
        <v/>
      </c>
      <c r="C240" s="17" t="str">
        <f>IFERROR(__xludf.DUMMYFUNCTION("""COMPUTED_VALUE"""),"")</f>
        <v/>
      </c>
      <c r="D240" s="17" t="str">
        <f>IFERROR(__xludf.DUMMYFUNCTION("""COMPUTED_VALUE"""),"")</f>
        <v/>
      </c>
      <c r="E240" s="17" t="str">
        <f>IFERROR(__xludf.DUMMYFUNCTION("""COMPUTED_VALUE"""),"")</f>
        <v/>
      </c>
      <c r="F240" s="17" t="str">
        <f>IFERROR(__xludf.DUMMYFUNCTION("""COMPUTED_VALUE"""),"")</f>
        <v/>
      </c>
      <c r="G240" s="17" t="str">
        <f>IFERROR(__xludf.DUMMYFUNCTION("""COMPUTED_VALUE"""),"")</f>
        <v/>
      </c>
      <c r="H240" s="17" t="str">
        <f>IFERROR(__xludf.DUMMYFUNCTION("""COMPUTED_VALUE"""),"")</f>
        <v/>
      </c>
      <c r="I240" s="17" t="str">
        <f>IFERROR(__xludf.DUMMYFUNCTION("""COMPUTED_VALUE"""),"")</f>
        <v/>
      </c>
      <c r="J240" s="17" t="str">
        <f>IFERROR(__xludf.DUMMYFUNCTION("""COMPUTED_VALUE"""),"")</f>
        <v/>
      </c>
      <c r="K240" s="17" t="str">
        <f>IFERROR(__xludf.DUMMYFUNCTION("""COMPUTED_VALUE"""),"")</f>
        <v/>
      </c>
      <c r="L240" s="17" t="str">
        <f>IFERROR(__xludf.DUMMYFUNCTION("""COMPUTED_VALUE"""),"")</f>
        <v/>
      </c>
      <c r="M240" s="17" t="str">
        <f>IFERROR(__xludf.DUMMYFUNCTION("""COMPUTED_VALUE"""),"")</f>
        <v/>
      </c>
      <c r="N240" s="17" t="str">
        <f>IFERROR(__xludf.DUMMYFUNCTION("""COMPUTED_VALUE"""),"")</f>
        <v/>
      </c>
      <c r="O240" s="17" t="str">
        <f>IFERROR(__xludf.DUMMYFUNCTION("""COMPUTED_VALUE"""),"")</f>
        <v/>
      </c>
      <c r="P240" s="17" t="str">
        <f>IFERROR(__xludf.DUMMYFUNCTION("""COMPUTED_VALUE"""),"")</f>
        <v/>
      </c>
      <c r="Q240" s="17" t="str">
        <f>IFERROR(__xludf.DUMMYFUNCTION("""COMPUTED_VALUE"""),"")</f>
        <v/>
      </c>
      <c r="R240" s="17" t="str">
        <f>IFERROR(__xludf.DUMMYFUNCTION("""COMPUTED_VALUE"""),"")</f>
        <v/>
      </c>
      <c r="S240" s="17" t="str">
        <f>IFERROR(__xludf.DUMMYFUNCTION("""COMPUTED_VALUE"""),"")</f>
        <v/>
      </c>
      <c r="T240" s="17" t="str">
        <f>IFERROR(__xludf.DUMMYFUNCTION("""COMPUTED_VALUE"""),"")</f>
        <v/>
      </c>
      <c r="U240" s="17" t="str">
        <f>IFERROR(__xludf.DUMMYFUNCTION("""COMPUTED_VALUE"""),"")</f>
        <v/>
      </c>
      <c r="V240" s="17" t="str">
        <f>IFERROR(__xludf.DUMMYFUNCTION("""COMPUTED_VALUE"""),"")</f>
        <v/>
      </c>
      <c r="W240" s="17" t="str">
        <f>IFERROR(__xludf.DUMMYFUNCTION("""COMPUTED_VALUE"""),"")</f>
        <v/>
      </c>
      <c r="X240" s="17" t="str">
        <f>IFERROR(__xludf.DUMMYFUNCTION("""COMPUTED_VALUE"""),"")</f>
        <v/>
      </c>
      <c r="Y240" s="17" t="str">
        <f>IFERROR(__xludf.DUMMYFUNCTION("""COMPUTED_VALUE"""),"")</f>
        <v/>
      </c>
      <c r="Z240" s="17" t="str">
        <f>IFERROR(__xludf.DUMMYFUNCTION("""COMPUTED_VALUE"""),"")</f>
        <v/>
      </c>
      <c r="AA240" s="17" t="str">
        <f>IFERROR(__xludf.DUMMYFUNCTION("""COMPUTED_VALUE"""),"")</f>
        <v/>
      </c>
      <c r="AB240" s="17" t="str">
        <f>IFERROR(__xludf.DUMMYFUNCTION("""COMPUTED_VALUE"""),"")</f>
        <v/>
      </c>
      <c r="AC240" s="17" t="str">
        <f>IFERROR(__xludf.DUMMYFUNCTION("""COMPUTED_VALUE"""),"")</f>
        <v/>
      </c>
    </row>
    <row r="241">
      <c r="A241" s="17" t="str">
        <f>IFERROR(__xludf.DUMMYFUNCTION("""COMPUTED_VALUE"""),"")</f>
        <v/>
      </c>
      <c r="B241" s="17" t="str">
        <f>IFERROR(__xludf.DUMMYFUNCTION("""COMPUTED_VALUE"""),"")</f>
        <v/>
      </c>
      <c r="C241" s="17" t="str">
        <f>IFERROR(__xludf.DUMMYFUNCTION("""COMPUTED_VALUE"""),"")</f>
        <v/>
      </c>
      <c r="D241" s="17" t="str">
        <f>IFERROR(__xludf.DUMMYFUNCTION("""COMPUTED_VALUE"""),"")</f>
        <v/>
      </c>
      <c r="E241" s="17" t="str">
        <f>IFERROR(__xludf.DUMMYFUNCTION("""COMPUTED_VALUE"""),"")</f>
        <v/>
      </c>
      <c r="F241" s="17" t="str">
        <f>IFERROR(__xludf.DUMMYFUNCTION("""COMPUTED_VALUE"""),"")</f>
        <v/>
      </c>
      <c r="G241" s="17" t="str">
        <f>IFERROR(__xludf.DUMMYFUNCTION("""COMPUTED_VALUE"""),"")</f>
        <v/>
      </c>
      <c r="H241" s="17" t="str">
        <f>IFERROR(__xludf.DUMMYFUNCTION("""COMPUTED_VALUE"""),"")</f>
        <v/>
      </c>
      <c r="I241" s="17" t="str">
        <f>IFERROR(__xludf.DUMMYFUNCTION("""COMPUTED_VALUE"""),"")</f>
        <v/>
      </c>
      <c r="J241" s="17" t="str">
        <f>IFERROR(__xludf.DUMMYFUNCTION("""COMPUTED_VALUE"""),"")</f>
        <v/>
      </c>
      <c r="K241" s="17" t="str">
        <f>IFERROR(__xludf.DUMMYFUNCTION("""COMPUTED_VALUE"""),"")</f>
        <v/>
      </c>
      <c r="L241" s="17" t="str">
        <f>IFERROR(__xludf.DUMMYFUNCTION("""COMPUTED_VALUE"""),"")</f>
        <v/>
      </c>
      <c r="M241" s="17" t="str">
        <f>IFERROR(__xludf.DUMMYFUNCTION("""COMPUTED_VALUE"""),"")</f>
        <v/>
      </c>
      <c r="N241" s="17" t="str">
        <f>IFERROR(__xludf.DUMMYFUNCTION("""COMPUTED_VALUE"""),"")</f>
        <v/>
      </c>
      <c r="O241" s="17" t="str">
        <f>IFERROR(__xludf.DUMMYFUNCTION("""COMPUTED_VALUE"""),"")</f>
        <v/>
      </c>
      <c r="P241" s="17" t="str">
        <f>IFERROR(__xludf.DUMMYFUNCTION("""COMPUTED_VALUE"""),"")</f>
        <v/>
      </c>
      <c r="Q241" s="17" t="str">
        <f>IFERROR(__xludf.DUMMYFUNCTION("""COMPUTED_VALUE"""),"")</f>
        <v/>
      </c>
      <c r="R241" s="17" t="str">
        <f>IFERROR(__xludf.DUMMYFUNCTION("""COMPUTED_VALUE"""),"")</f>
        <v/>
      </c>
      <c r="S241" s="17" t="str">
        <f>IFERROR(__xludf.DUMMYFUNCTION("""COMPUTED_VALUE"""),"")</f>
        <v/>
      </c>
      <c r="T241" s="17" t="str">
        <f>IFERROR(__xludf.DUMMYFUNCTION("""COMPUTED_VALUE"""),"")</f>
        <v/>
      </c>
      <c r="U241" s="17" t="str">
        <f>IFERROR(__xludf.DUMMYFUNCTION("""COMPUTED_VALUE"""),"")</f>
        <v/>
      </c>
      <c r="V241" s="17" t="str">
        <f>IFERROR(__xludf.DUMMYFUNCTION("""COMPUTED_VALUE"""),"")</f>
        <v/>
      </c>
      <c r="W241" s="17" t="str">
        <f>IFERROR(__xludf.DUMMYFUNCTION("""COMPUTED_VALUE"""),"")</f>
        <v/>
      </c>
      <c r="X241" s="17" t="str">
        <f>IFERROR(__xludf.DUMMYFUNCTION("""COMPUTED_VALUE"""),"")</f>
        <v/>
      </c>
      <c r="Y241" s="17" t="str">
        <f>IFERROR(__xludf.DUMMYFUNCTION("""COMPUTED_VALUE"""),"")</f>
        <v/>
      </c>
      <c r="Z241" s="17" t="str">
        <f>IFERROR(__xludf.DUMMYFUNCTION("""COMPUTED_VALUE"""),"")</f>
        <v/>
      </c>
      <c r="AA241" s="17" t="str">
        <f>IFERROR(__xludf.DUMMYFUNCTION("""COMPUTED_VALUE"""),"")</f>
        <v/>
      </c>
      <c r="AB241" s="17" t="str">
        <f>IFERROR(__xludf.DUMMYFUNCTION("""COMPUTED_VALUE"""),"")</f>
        <v/>
      </c>
      <c r="AC241" s="17" t="str">
        <f>IFERROR(__xludf.DUMMYFUNCTION("""COMPUTED_VALUE"""),"")</f>
        <v/>
      </c>
    </row>
    <row r="242">
      <c r="A242" s="17" t="str">
        <f>IFERROR(__xludf.DUMMYFUNCTION("""COMPUTED_VALUE"""),"Chapter 112: 81 Augmentations
Music Collection (Personal Reality) 50:
You receive a collection of 500 albums (EPS or LPS) based on personalized criteria such as genre, artists, or themes (big band, love songs, acapella, etc.). Liner-notes, sheet-music, an"&amp;"d creator commentary / explanations are provided, as well as live performances, remixes, and covers. Total guaranteed run time not to be less than 2,000 hours. Every month you’ll get a new album. This can be purchased multiple times and only music from pr"&amp;"evious Host Realities is available. If you find that, upon listening to an album for the first time that you do not like it, it will be replaced… but since perfect memory perks are a dime a dozen, asking for a replacement will result in a mental block bei"&amp;"ng placed over the music. You’ll still be able to remember you heard that album and didn’t enjoy it, but not the actual music. This block is fiat backed until you hear the album again someplace else or gain your spark. Repeatable 
Facility")</f>
        <v>Chapter 112: 81 Augmentations
Music Collection (Personal Reality) 50:
You receive a collection of 500 albums (EPS or LPS) based on personalized criteria such as genre, artists, or themes (big band, love songs, acapella, etc.). Liner-notes, sheet-music, and creator commentary / explanations are provided, as well as live performances, remixes, and covers. Total guaranteed run time not to be less than 2,000 hours. Every month you’ll get a new album. This can be purchased multiple times and only music from previous Host Realities is available. If you find that, upon listening to an album for the first time that you do not like it, it will be replaced… but since perfect memory perks are a dime a dozen, asking for a replacement will result in a mental block being placed over the music. You’ll still be able to remember you heard that album and didn’t enjoy it, but not the actual music. This block is fiat backed until you hear the album again someplace else or gain your spark. Repeatable 
Facility</v>
      </c>
      <c r="B242" s="17" t="str">
        <f>IFERROR(__xludf.DUMMYFUNCTION("""COMPUTED_VALUE"""),"Chapter 183: 116.2 Interlude Panacea - Preamble Vicky
Movie &amp; TV Series Collection (Personal Reality) 50:
Functionally identical to the Music Collection, but instead containing 15,000 hours of recorded passive visual media, all in a format your systems ca"&amp;"n play. All are available in their original languages, with subtitles that are below the bottom of the image and high visibility, with commentary explaining any cultural or production notes, with creator and actor commentary where possible, and with perfe"&amp;"ctly done dubbing into a language you speak like a native… or rather all languages you speak like a native… and this dubbing sounds exactly like the original actors. Every month you’ll receive 12 hours of new media.
Facility")</f>
        <v>Chapter 183: 116.2 Interlude Panacea - Preamble Vicky
Movie &amp; TV Series Collection (Personal Reality) 50:
Functionally identical to the Music Collection, but instead containing 15,000 hours of recorded passive visual media, all in a format your systems can play. All are available in their original languages, with subtitles that are below the bottom of the image and high visibility, with commentary explaining any cultural or production notes, with creator and actor commentary where possible, and with perfectly done dubbing into a language you speak like a native… or rather all languages you speak like a native… and this dubbing sounds exactly like the original actors. Every month you’ll receive 12 hours of new media.
Facility</v>
      </c>
      <c r="C242" s="17" t="str">
        <f>IFERROR(__xludf.DUMMYFUNCTION("""COMPUTED_VALUE"""),"Chapter 183: 116.2 Interlude Panacea - Preamble Vicky
Music Collection (Personal Reality) 50:
You receive a collection of 500 albums (EPS or LPS) based on personalized criteria such as genre, artists, or themes (big band, love songs, acapella, etc.). Line"&amp;"r-notes, sheet-music, and creator commentary / explanations are provided, as well as live performances, remixes, and covers. Total guaranteed run time not to be less than 2,000 hours. Every month you’ll get a new album. This can be purchased multiple time"&amp;"s and only music from previous Host Realities is available. If you find that, upon listening to an album for the first time that you do not like it, it will be replaced… but since perfect memory perks are a dime a dozen, asking for a replacement will resu"&amp;"lt in a mental block being placed over the music. You’ll still be able to remember you heard that album and didn’t enjoy it, but not the actual music. This block is fiat backed until you hear the album again someplace else or gain your spark.
Facility")</f>
        <v>Chapter 183: 116.2 Interlude Panacea - Preamble Vicky
Music Collection (Personal Reality) 50:
You receive a collection of 500 albums (EPS or LPS) based on personalized criteria such as genre, artists, or themes (big band, love songs, acapella, etc.). Liner-notes, sheet-music, and creator commentary / explanations are provided, as well as live performances, remixes, and covers. Total guaranteed run time not to be less than 2,000 hours. Every month you’ll get a new album. This can be purchased multiple times and only music from previous Host Realities is available. If you find that, upon listening to an album for the first time that you do not like it, it will be replaced… but since perfect memory perks are a dime a dozen, asking for a replacement will result in a mental block being placed over the music. You’ll still be able to remember you heard that album and didn’t enjoy it, but not the actual music. This block is fiat backed until you hear the album again someplace else or gain your spark.
Facility</v>
      </c>
      <c r="D242" s="17" t="str">
        <f>IFERROR(__xludf.DUMMYFUNCTION("""COMPUTED_VALUE"""),"
")</f>
        <v>
</v>
      </c>
      <c r="E242" s="17" t="str">
        <f>IFERROR(__xludf.DUMMYFUNCTION("""COMPUTED_VALUE"""),"
")</f>
        <v>
</v>
      </c>
      <c r="F242" s="17" t="str">
        <f>IFERROR(__xludf.DUMMYFUNCTION("""COMPUTED_VALUE"""),"
")</f>
        <v>
</v>
      </c>
      <c r="G242" s="17" t="str">
        <f>IFERROR(__xludf.DUMMYFUNCTION("""COMPUTED_VALUE"""),"
")</f>
        <v>
</v>
      </c>
      <c r="H242" s="17" t="str">
        <f>IFERROR(__xludf.DUMMYFUNCTION("""COMPUTED_VALUE"""),"
")</f>
        <v>
</v>
      </c>
      <c r="I242" s="17" t="str">
        <f>IFERROR(__xludf.DUMMYFUNCTION("""COMPUTED_VALUE"""),"
")</f>
        <v>
</v>
      </c>
      <c r="J242" s="17" t="str">
        <f>IFERROR(__xludf.DUMMYFUNCTION("""COMPUTED_VALUE"""),"
")</f>
        <v>
</v>
      </c>
      <c r="K242" s="17" t="str">
        <f>IFERROR(__xludf.DUMMYFUNCTION("""COMPUTED_VALUE"""),"
")</f>
        <v>
</v>
      </c>
      <c r="L242" s="17" t="str">
        <f>IFERROR(__xludf.DUMMYFUNCTION("""COMPUTED_VALUE"""),"
")</f>
        <v>
</v>
      </c>
      <c r="M242" s="17" t="str">
        <f>IFERROR(__xludf.DUMMYFUNCTION("""COMPUTED_VALUE"""),"
")</f>
        <v>
</v>
      </c>
      <c r="N242" s="17" t="str">
        <f>IFERROR(__xludf.DUMMYFUNCTION("""COMPUTED_VALUE"""),"
")</f>
        <v>
</v>
      </c>
      <c r="O242" s="17" t="str">
        <f>IFERROR(__xludf.DUMMYFUNCTION("""COMPUTED_VALUE"""),"
")</f>
        <v>
</v>
      </c>
      <c r="P242" s="17" t="str">
        <f>IFERROR(__xludf.DUMMYFUNCTION("""COMPUTED_VALUE"""),"
")</f>
        <v>
</v>
      </c>
      <c r="Q242" s="17" t="str">
        <f>IFERROR(__xludf.DUMMYFUNCTION("""COMPUTED_VALUE"""),"
")</f>
        <v>
</v>
      </c>
      <c r="R242" s="17" t="str">
        <f>IFERROR(__xludf.DUMMYFUNCTION("""COMPUTED_VALUE"""),"
")</f>
        <v>
</v>
      </c>
      <c r="S242" s="17" t="str">
        <f>IFERROR(__xludf.DUMMYFUNCTION("""COMPUTED_VALUE"""),"
")</f>
        <v>
</v>
      </c>
      <c r="T242" s="17" t="str">
        <f>IFERROR(__xludf.DUMMYFUNCTION("""COMPUTED_VALUE"""),"
")</f>
        <v>
</v>
      </c>
      <c r="U242" s="17" t="str">
        <f>IFERROR(__xludf.DUMMYFUNCTION("""COMPUTED_VALUE"""),"
")</f>
        <v>
</v>
      </c>
      <c r="V242" s="17" t="str">
        <f>IFERROR(__xludf.DUMMYFUNCTION("""COMPUTED_VALUE"""),"
")</f>
        <v>
</v>
      </c>
      <c r="W242" s="17" t="str">
        <f>IFERROR(__xludf.DUMMYFUNCTION("""COMPUTED_VALUE"""),"
")</f>
        <v>
</v>
      </c>
      <c r="X242" s="17" t="str">
        <f>IFERROR(__xludf.DUMMYFUNCTION("""COMPUTED_VALUE"""),"
")</f>
        <v>
</v>
      </c>
      <c r="Y242" s="17" t="str">
        <f>IFERROR(__xludf.DUMMYFUNCTION("""COMPUTED_VALUE"""),"
")</f>
        <v>
</v>
      </c>
      <c r="Z242" s="17" t="str">
        <f>IFERROR(__xludf.DUMMYFUNCTION("""COMPUTED_VALUE"""),"
")</f>
        <v>
</v>
      </c>
      <c r="AA242" s="17" t="str">
        <f>IFERROR(__xludf.DUMMYFUNCTION("""COMPUTED_VALUE"""),"
")</f>
        <v>
</v>
      </c>
      <c r="AB242" s="17" t="str">
        <f>IFERROR(__xludf.DUMMYFUNCTION("""COMPUTED_VALUE"""),"
")</f>
        <v>
</v>
      </c>
      <c r="AC242" s="17" t="str">
        <f>IFERROR(__xludf.DUMMYFUNCTION("""COMPUTED_VALUE"""),"
")</f>
        <v>
</v>
      </c>
    </row>
    <row r="243">
      <c r="A243" s="17" t="str">
        <f>IFERROR(__xludf.DUMMYFUNCTION("""COMPUTED_VALUE"""),"Chapter 91: 67 Development Plans
Neutral Lighting (Personal Reality) Free:
These lights are nothing special, It’s a color-neutral, source neutral ambient lighting system. It’s not really that bright… think early twilight gloom, but if you want better, ins"&amp;"tall it.
Facility")</f>
        <v>Chapter 91: 67 Development Plans
Neutral Lighting (Personal Reality) Free:
These lights are nothing special, It’s a color-neutral, source neutral ambient lighting system. It’s not really that bright… think early twilight gloom, but if you want better, install it.
Facility</v>
      </c>
      <c r="B243" s="17" t="str">
        <f>IFERROR(__xludf.DUMMYFUNCTION("""COMPUTED_VALUE"""),"Chapter 91: 67 Development Plans
Natural Lighting (Personal Reality) 50:
Completely natural lighting that looks and feels and functions as good as the real thing (sun, moon, or starlight). Comes with sectional dimmer switches and can be sourceless or from"&amp;" any lamplike object you bring into the Personal Reality. Purchasing this upgrades all sources of lighting you bring in, even things like TVs and Computer Monitors to be perfectly safe and naturally adjusting for minimal eye-strain. This replaces Neutral "&amp;"Lighting and does not require any power source.
Facility")</f>
        <v>Chapter 91: 67 Development Plans
Natural Lighting (Personal Reality) 50:
Completely natural lighting that looks and feels and functions as good as the real thing (sun, moon, or starlight). Comes with sectional dimmer switches and can be sourceless or from any lamplike object you bring into the Personal Reality. Purchasing this upgrades all sources of lighting you bring in, even things like TVs and Computer Monitors to be perfectly safe and naturally adjusting for minimal eye-strain. This replaces Neutral Lighting and does not require any power source.
Facility</v>
      </c>
      <c r="C243" s="17" t="str">
        <f>IFERROR(__xludf.DUMMYFUNCTION("""COMPUTED_VALUE"""),"
")</f>
        <v>
</v>
      </c>
      <c r="D243" s="17" t="str">
        <f>IFERROR(__xludf.DUMMYFUNCTION("""COMPUTED_VALUE"""),"
")</f>
        <v>
</v>
      </c>
      <c r="E243" s="17" t="str">
        <f>IFERROR(__xludf.DUMMYFUNCTION("""COMPUTED_VALUE"""),"
")</f>
        <v>
</v>
      </c>
      <c r="F243" s="17" t="str">
        <f>IFERROR(__xludf.DUMMYFUNCTION("""COMPUTED_VALUE"""),"
")</f>
        <v>
</v>
      </c>
      <c r="G243" s="17" t="str">
        <f>IFERROR(__xludf.DUMMYFUNCTION("""COMPUTED_VALUE"""),"
")</f>
        <v>
</v>
      </c>
      <c r="H243" s="17" t="str">
        <f>IFERROR(__xludf.DUMMYFUNCTION("""COMPUTED_VALUE"""),"
")</f>
        <v>
</v>
      </c>
      <c r="I243" s="17" t="str">
        <f>IFERROR(__xludf.DUMMYFUNCTION("""COMPUTED_VALUE"""),"
")</f>
        <v>
</v>
      </c>
      <c r="J243" s="17" t="str">
        <f>IFERROR(__xludf.DUMMYFUNCTION("""COMPUTED_VALUE"""),"
")</f>
        <v>
</v>
      </c>
      <c r="K243" s="17" t="str">
        <f>IFERROR(__xludf.DUMMYFUNCTION("""COMPUTED_VALUE"""),"
")</f>
        <v>
</v>
      </c>
      <c r="L243" s="17" t="str">
        <f>IFERROR(__xludf.DUMMYFUNCTION("""COMPUTED_VALUE"""),"
")</f>
        <v>
</v>
      </c>
      <c r="M243" s="17" t="str">
        <f>IFERROR(__xludf.DUMMYFUNCTION("""COMPUTED_VALUE"""),"
")</f>
        <v>
</v>
      </c>
      <c r="N243" s="17" t="str">
        <f>IFERROR(__xludf.DUMMYFUNCTION("""COMPUTED_VALUE"""),"
")</f>
        <v>
</v>
      </c>
      <c r="O243" s="17" t="str">
        <f>IFERROR(__xludf.DUMMYFUNCTION("""COMPUTED_VALUE"""),"
")</f>
        <v>
</v>
      </c>
      <c r="P243" s="17" t="str">
        <f>IFERROR(__xludf.DUMMYFUNCTION("""COMPUTED_VALUE"""),"
")</f>
        <v>
</v>
      </c>
      <c r="Q243" s="17" t="str">
        <f>IFERROR(__xludf.DUMMYFUNCTION("""COMPUTED_VALUE"""),"
")</f>
        <v>
</v>
      </c>
      <c r="R243" s="17" t="str">
        <f>IFERROR(__xludf.DUMMYFUNCTION("""COMPUTED_VALUE"""),"
")</f>
        <v>
</v>
      </c>
      <c r="S243" s="17" t="str">
        <f>IFERROR(__xludf.DUMMYFUNCTION("""COMPUTED_VALUE"""),"
")</f>
        <v>
</v>
      </c>
      <c r="T243" s="17" t="str">
        <f>IFERROR(__xludf.DUMMYFUNCTION("""COMPUTED_VALUE"""),"
")</f>
        <v>
</v>
      </c>
      <c r="U243" s="17" t="str">
        <f>IFERROR(__xludf.DUMMYFUNCTION("""COMPUTED_VALUE"""),"
")</f>
        <v>
</v>
      </c>
      <c r="V243" s="17" t="str">
        <f>IFERROR(__xludf.DUMMYFUNCTION("""COMPUTED_VALUE"""),"
")</f>
        <v>
</v>
      </c>
      <c r="W243" s="17" t="str">
        <f>IFERROR(__xludf.DUMMYFUNCTION("""COMPUTED_VALUE"""),"
")</f>
        <v>
</v>
      </c>
      <c r="X243" s="17" t="str">
        <f>IFERROR(__xludf.DUMMYFUNCTION("""COMPUTED_VALUE"""),"
")</f>
        <v>
</v>
      </c>
      <c r="Y243" s="17" t="str">
        <f>IFERROR(__xludf.DUMMYFUNCTION("""COMPUTED_VALUE"""),"
")</f>
        <v>
</v>
      </c>
      <c r="Z243" s="17" t="str">
        <f>IFERROR(__xludf.DUMMYFUNCTION("""COMPUTED_VALUE"""),"
")</f>
        <v>
</v>
      </c>
      <c r="AA243" s="17" t="str">
        <f>IFERROR(__xludf.DUMMYFUNCTION("""COMPUTED_VALUE"""),"
")</f>
        <v>
</v>
      </c>
      <c r="AB243" s="17" t="str">
        <f>IFERROR(__xludf.DUMMYFUNCTION("""COMPUTED_VALUE"""),"
")</f>
        <v>
</v>
      </c>
      <c r="AC243" s="17" t="str">
        <f>IFERROR(__xludf.DUMMYFUNCTION("""COMPUTED_VALUE"""),"
")</f>
        <v>
</v>
      </c>
    </row>
    <row r="244">
      <c r="A244" s="17" t="str">
        <f>IFERROR(__xludf.DUMMYFUNCTION("""COMPUTED_VALUE"""),"Chapter 113: 82 Bargaining - Addendum Uppercrust
Office (Personal Reality) 50:
A personal office specifically for you, so that you can perform your white collar paper-shuffling in relative privacy. A decent sized office, it comes with all the basic suppli"&amp;"es and equipment, such as notepads, paper clips, ink pens, filing cabinets and a desk. If you purchased Computer Hub it comes equipped with computer equipment as well. If you have VOWP it has a phone with an outside line that always direct dials whoever y"&amp;"ou want to reach in your current Host Reality… even if they don’t have a phone… you may not use this ability to locate them or translocate to their location or tag them with any power or ability or technology. You can ask them where they are, but they don"&amp;"’t have to tell you. This office has the effect of slightly boosting your focus, reading speed, reading comprehension, and retention rate, but only as long as you’re alone in it. Alternatively, it can be set up as a cubicle farm with 20 individual cubicle"&amp;"s.. but honestly… why would you? If you do, each cubicle gets a potted plant, an executive desk toy involving magnets or chrome balls, and a japanese lucky cat statue sized to fit on a desk. All are completely mundane. Additional purchases are allowed, ea"&amp;"ch adding the next Fibonacci number of offices (or 20 cubicles per office). Thus, the second purchase will get you a second office, while the third purchase will get you 2 more offices, and the fourth will get you 3 offices and the fifth will get you 5 of"&amp;"fices… please tell me you aren’t seriously going to waste WP on OFFICE SPACE? What part of ‘Keep this entertaining’ escaped you, CPA Man!? Repeatable
Facility")</f>
        <v>Chapter 113: 82 Bargaining - Addendum Uppercrust
Office (Personal Reality) 50:
A personal office specifically for you, so that you can perform your white collar paper-shuffling in relative privacy. A decent sized office, it comes with all the basic supplies and equipment, such as notepads, paper clips, ink pens, filing cabinets and a desk. If you purchased Computer Hub it comes equipped with computer equipment as well. If you have VOWP it has a phone with an outside line that always direct dials whoever you want to reach in your current Host Reality… even if they don’t have a phone… you may not use this ability to locate them or translocate to their location or tag them with any power or ability or technology. You can ask them where they are, but they don’t have to tell you. This office has the effect of slightly boosting your focus, reading speed, reading comprehension, and retention rate, but only as long as you’re alone in it. Alternatively, it can be set up as a cubicle farm with 20 individual cubicles.. but honestly… why would you? If you do, each cubicle gets a potted plant, an executive desk toy involving magnets or chrome balls, and a japanese lucky cat statue sized to fit on a desk. All are completely mundane. Additional purchases are allowed, each adding the next Fibonacci number of offices (or 20 cubicles per office). Thus, the second purchase will get you a second office, while the third purchase will get you 2 more offices, and the fourth will get you 3 offices and the fifth will get you 5 offices… please tell me you aren’t seriously going to waste WP on OFFICE SPACE? What part of ‘Keep this entertaining’ escaped you, CPA Man!? Repeatable
Facility</v>
      </c>
      <c r="B244" s="17" t="str">
        <f>IFERROR(__xludf.DUMMYFUNCTION("""COMPUTED_VALUE"""),"
")</f>
        <v>
</v>
      </c>
      <c r="C244" s="17" t="str">
        <f>IFERROR(__xludf.DUMMYFUNCTION("""COMPUTED_VALUE"""),"
")</f>
        <v>
</v>
      </c>
      <c r="D244" s="17" t="str">
        <f>IFERROR(__xludf.DUMMYFUNCTION("""COMPUTED_VALUE"""),"
")</f>
        <v>
</v>
      </c>
      <c r="E244" s="17" t="str">
        <f>IFERROR(__xludf.DUMMYFUNCTION("""COMPUTED_VALUE"""),"
")</f>
        <v>
</v>
      </c>
      <c r="F244" s="17" t="str">
        <f>IFERROR(__xludf.DUMMYFUNCTION("""COMPUTED_VALUE"""),"
")</f>
        <v>
</v>
      </c>
      <c r="G244" s="17" t="str">
        <f>IFERROR(__xludf.DUMMYFUNCTION("""COMPUTED_VALUE"""),"
")</f>
        <v>
</v>
      </c>
      <c r="H244" s="17" t="str">
        <f>IFERROR(__xludf.DUMMYFUNCTION("""COMPUTED_VALUE"""),"
")</f>
        <v>
</v>
      </c>
      <c r="I244" s="17" t="str">
        <f>IFERROR(__xludf.DUMMYFUNCTION("""COMPUTED_VALUE"""),"
")</f>
        <v>
</v>
      </c>
      <c r="J244" s="17" t="str">
        <f>IFERROR(__xludf.DUMMYFUNCTION("""COMPUTED_VALUE"""),"
")</f>
        <v>
</v>
      </c>
      <c r="K244" s="17" t="str">
        <f>IFERROR(__xludf.DUMMYFUNCTION("""COMPUTED_VALUE"""),"
")</f>
        <v>
</v>
      </c>
      <c r="L244" s="17" t="str">
        <f>IFERROR(__xludf.DUMMYFUNCTION("""COMPUTED_VALUE"""),"
")</f>
        <v>
</v>
      </c>
      <c r="M244" s="17" t="str">
        <f>IFERROR(__xludf.DUMMYFUNCTION("""COMPUTED_VALUE"""),"
")</f>
        <v>
</v>
      </c>
      <c r="N244" s="17" t="str">
        <f>IFERROR(__xludf.DUMMYFUNCTION("""COMPUTED_VALUE"""),"
")</f>
        <v>
</v>
      </c>
      <c r="O244" s="17" t="str">
        <f>IFERROR(__xludf.DUMMYFUNCTION("""COMPUTED_VALUE"""),"
")</f>
        <v>
</v>
      </c>
      <c r="P244" s="17" t="str">
        <f>IFERROR(__xludf.DUMMYFUNCTION("""COMPUTED_VALUE"""),"
")</f>
        <v>
</v>
      </c>
      <c r="Q244" s="17" t="str">
        <f>IFERROR(__xludf.DUMMYFUNCTION("""COMPUTED_VALUE"""),"
")</f>
        <v>
</v>
      </c>
      <c r="R244" s="17" t="str">
        <f>IFERROR(__xludf.DUMMYFUNCTION("""COMPUTED_VALUE"""),"
")</f>
        <v>
</v>
      </c>
      <c r="S244" s="17" t="str">
        <f>IFERROR(__xludf.DUMMYFUNCTION("""COMPUTED_VALUE"""),"
")</f>
        <v>
</v>
      </c>
      <c r="T244" s="17" t="str">
        <f>IFERROR(__xludf.DUMMYFUNCTION("""COMPUTED_VALUE"""),"
")</f>
        <v>
</v>
      </c>
      <c r="U244" s="17" t="str">
        <f>IFERROR(__xludf.DUMMYFUNCTION("""COMPUTED_VALUE"""),"
")</f>
        <v>
</v>
      </c>
      <c r="V244" s="17" t="str">
        <f>IFERROR(__xludf.DUMMYFUNCTION("""COMPUTED_VALUE"""),"
")</f>
        <v>
</v>
      </c>
      <c r="W244" s="17" t="str">
        <f>IFERROR(__xludf.DUMMYFUNCTION("""COMPUTED_VALUE"""),"
")</f>
        <v>
</v>
      </c>
      <c r="X244" s="17" t="str">
        <f>IFERROR(__xludf.DUMMYFUNCTION("""COMPUTED_VALUE"""),"
")</f>
        <v>
</v>
      </c>
      <c r="Y244" s="17" t="str">
        <f>IFERROR(__xludf.DUMMYFUNCTION("""COMPUTED_VALUE"""),"
")</f>
        <v>
</v>
      </c>
      <c r="Z244" s="17" t="str">
        <f>IFERROR(__xludf.DUMMYFUNCTION("""COMPUTED_VALUE"""),"
")</f>
        <v>
</v>
      </c>
      <c r="AA244" s="17" t="str">
        <f>IFERROR(__xludf.DUMMYFUNCTION("""COMPUTED_VALUE"""),"
")</f>
        <v>
</v>
      </c>
      <c r="AB244" s="17" t="str">
        <f>IFERROR(__xludf.DUMMYFUNCTION("""COMPUTED_VALUE"""),"
")</f>
        <v>
</v>
      </c>
      <c r="AC244" s="17" t="str">
        <f>IFERROR(__xludf.DUMMYFUNCTION("""COMPUTED_VALUE"""),"
")</f>
        <v>
</v>
      </c>
    </row>
    <row r="245">
      <c r="A245" s="17" t="str">
        <f>IFERROR(__xludf.DUMMYFUNCTION("""COMPUTED_VALUE"""),"Chapter 91: 67 Development Plans
Pilot Simulator (Personal Reality) 100:
This adds a high tech simulator to your Personal Reality that perfectly replicates the experience of driving, piloting, or otherwise operating any vehicle that exists in your Origina"&amp;"l Reality or any Host Reality you’ve ever visited. Up to 20 people can use the same simulator for larger vehicles and there are 12 total simulators which can be linked together to make much larger simulations or team practices. Best of all, this allows yo"&amp;"u and your companion do any required testing for various driving and piloting licenses. Licenses given with this are accepted in all jumps as long you’d qualify to that locale’s basic competence level. (For instance, it’s much much harder to get a Finnish"&amp;" Driver’s License than a French one.)
Facility")</f>
        <v>Chapter 91: 67 Development Plans
Pilot Simulator (Personal Reality) 100:
This adds a high tech simulator to your Personal Reality that perfectly replicates the experience of driving, piloting, or otherwise operating any vehicle that exists in your Original Reality or any Host Reality you’ve ever visited. Up to 20 people can use the same simulator for larger vehicles and there are 12 total simulators which can be linked together to make much larger simulations or team practices. Best of all, this allows you and your companion do any required testing for various driving and piloting licenses. Licenses given with this are accepted in all jumps as long you’d qualify to that locale’s basic competence level. (For instance, it’s much much harder to get a Finnish Driver’s License than a French one.)
Facility</v>
      </c>
      <c r="B245" s="17" t="str">
        <f>IFERROR(__xludf.DUMMYFUNCTION("""COMPUTED_VALUE"""),"
")</f>
        <v>
</v>
      </c>
      <c r="C245" s="17" t="str">
        <f>IFERROR(__xludf.DUMMYFUNCTION("""COMPUTED_VALUE"""),"
")</f>
        <v>
</v>
      </c>
      <c r="D245" s="17" t="str">
        <f>IFERROR(__xludf.DUMMYFUNCTION("""COMPUTED_VALUE"""),"
")</f>
        <v>
</v>
      </c>
      <c r="E245" s="17" t="str">
        <f>IFERROR(__xludf.DUMMYFUNCTION("""COMPUTED_VALUE"""),"
")</f>
        <v>
</v>
      </c>
      <c r="F245" s="17" t="str">
        <f>IFERROR(__xludf.DUMMYFUNCTION("""COMPUTED_VALUE"""),"
")</f>
        <v>
</v>
      </c>
      <c r="G245" s="17" t="str">
        <f>IFERROR(__xludf.DUMMYFUNCTION("""COMPUTED_VALUE"""),"
")</f>
        <v>
</v>
      </c>
      <c r="H245" s="17" t="str">
        <f>IFERROR(__xludf.DUMMYFUNCTION("""COMPUTED_VALUE"""),"
")</f>
        <v>
</v>
      </c>
      <c r="I245" s="17" t="str">
        <f>IFERROR(__xludf.DUMMYFUNCTION("""COMPUTED_VALUE"""),"
")</f>
        <v>
</v>
      </c>
      <c r="J245" s="17" t="str">
        <f>IFERROR(__xludf.DUMMYFUNCTION("""COMPUTED_VALUE"""),"
")</f>
        <v>
</v>
      </c>
      <c r="K245" s="17" t="str">
        <f>IFERROR(__xludf.DUMMYFUNCTION("""COMPUTED_VALUE"""),"
")</f>
        <v>
</v>
      </c>
      <c r="L245" s="17" t="str">
        <f>IFERROR(__xludf.DUMMYFUNCTION("""COMPUTED_VALUE"""),"
")</f>
        <v>
</v>
      </c>
      <c r="M245" s="17" t="str">
        <f>IFERROR(__xludf.DUMMYFUNCTION("""COMPUTED_VALUE"""),"
")</f>
        <v>
</v>
      </c>
      <c r="N245" s="17" t="str">
        <f>IFERROR(__xludf.DUMMYFUNCTION("""COMPUTED_VALUE"""),"
")</f>
        <v>
</v>
      </c>
      <c r="O245" s="17" t="str">
        <f>IFERROR(__xludf.DUMMYFUNCTION("""COMPUTED_VALUE"""),"
")</f>
        <v>
</v>
      </c>
      <c r="P245" s="17" t="str">
        <f>IFERROR(__xludf.DUMMYFUNCTION("""COMPUTED_VALUE"""),"
")</f>
        <v>
</v>
      </c>
      <c r="Q245" s="17" t="str">
        <f>IFERROR(__xludf.DUMMYFUNCTION("""COMPUTED_VALUE"""),"
")</f>
        <v>
</v>
      </c>
      <c r="R245" s="17" t="str">
        <f>IFERROR(__xludf.DUMMYFUNCTION("""COMPUTED_VALUE"""),"
")</f>
        <v>
</v>
      </c>
      <c r="S245" s="17" t="str">
        <f>IFERROR(__xludf.DUMMYFUNCTION("""COMPUTED_VALUE"""),"
")</f>
        <v>
</v>
      </c>
      <c r="T245" s="17" t="str">
        <f>IFERROR(__xludf.DUMMYFUNCTION("""COMPUTED_VALUE"""),"
")</f>
        <v>
</v>
      </c>
      <c r="U245" s="17" t="str">
        <f>IFERROR(__xludf.DUMMYFUNCTION("""COMPUTED_VALUE"""),"
")</f>
        <v>
</v>
      </c>
      <c r="V245" s="17" t="str">
        <f>IFERROR(__xludf.DUMMYFUNCTION("""COMPUTED_VALUE"""),"
")</f>
        <v>
</v>
      </c>
      <c r="W245" s="17" t="str">
        <f>IFERROR(__xludf.DUMMYFUNCTION("""COMPUTED_VALUE"""),"
")</f>
        <v>
</v>
      </c>
      <c r="X245" s="17" t="str">
        <f>IFERROR(__xludf.DUMMYFUNCTION("""COMPUTED_VALUE"""),"
")</f>
        <v>
</v>
      </c>
      <c r="Y245" s="17" t="str">
        <f>IFERROR(__xludf.DUMMYFUNCTION("""COMPUTED_VALUE"""),"
")</f>
        <v>
</v>
      </c>
      <c r="Z245" s="17" t="str">
        <f>IFERROR(__xludf.DUMMYFUNCTION("""COMPUTED_VALUE"""),"
")</f>
        <v>
</v>
      </c>
      <c r="AA245" s="17" t="str">
        <f>IFERROR(__xludf.DUMMYFUNCTION("""COMPUTED_VALUE"""),"
")</f>
        <v>
</v>
      </c>
      <c r="AB245" s="17" t="str">
        <f>IFERROR(__xludf.DUMMYFUNCTION("""COMPUTED_VALUE"""),"
")</f>
        <v>
</v>
      </c>
      <c r="AC245" s="17" t="str">
        <f>IFERROR(__xludf.DUMMYFUNCTION("""COMPUTED_VALUE"""),"
")</f>
        <v>
</v>
      </c>
    </row>
    <row r="246">
      <c r="A246" s="17" t="str">
        <f>IFERROR(__xludf.DUMMYFUNCTION("""COMPUTED_VALUE"""),"Chapter 114: 82.1 Interlude Uppercrust
Pipes Pipes Pipes (Personal Reality) 100:
Purchasing this provides your Warehouse with enough plumbing fixtures to turn the entire volume of your Personal Reality into one massive pool… or anything below that. This p"&amp;"rovides clean running water with any reasonably common additives you like (chlorine, glacial milk, fluoride), but does not provide a limitless supply, nor does it heat the water. By default, the amount of water this system can produce per day is 1 billion"&amp;" liters or one megaton of water or a block of water 100 meters on a side, and the default temperature of this water is 25 degrees Celsius. It can support any civilian infrastructure on the same scale as Mexico City or Tokyo. Comes only with the basic hook"&amp;"ups. You’ll need a plumber to do the actual piping. We hear Mario’s very good. Bathrooms not included. Purchasing this supplies all facilities inside your Personal Reality with water feeds, and if you’ve Got the Powa, it will supply hot and cold running w"&amp;"ater as well.
Facility")</f>
        <v>Chapter 114: 82.1 Interlude Uppercrust
Pipes Pipes Pipes (Personal Reality) 100:
Purchasing this provides your Warehouse with enough plumbing fixtures to turn the entire volume of your Personal Reality into one massive pool… or anything below that. This provides clean running water with any reasonably common additives you like (chlorine, glacial milk, fluoride), but does not provide a limitless supply, nor does it heat the water. By default, the amount of water this system can produce per day is 1 billion liters or one megaton of water or a block of water 100 meters on a side, and the default temperature of this water is 25 degrees Celsius. It can support any civilian infrastructure on the same scale as Mexico City or Tokyo. Comes only with the basic hookups. You’ll need a plumber to do the actual piping. We hear Mario’s very good. Bathrooms not included. Purchasing this supplies all facilities inside your Personal Reality with water feeds, and if you’ve Got the Powa, it will supply hot and cold running water as well.
Facility</v>
      </c>
      <c r="B246" s="17" t="str">
        <f>IFERROR(__xludf.DUMMYFUNCTION("""COMPUTED_VALUE"""),"Chapter 114: 82.1 Interlude Uppercrust
Waterworld (Personal Reality) 300:
This Pipes Pipes Pipes Upgrade provides you with all the water you’ll ever need. Every day this massive Hydrocore Tap can generate enough H2O in any natural form to cover Luna in se"&amp;"as 10 meters deep… let’s call it 500,000,000 cubic kilometers of water. Of course, throughput is going to be a bitch, so the Hydrocore comes with a Global targeting computer and up to a million hoses each capable of pumping out 500 cubic kilometers of wat"&amp;"er a day… or 5.8 million tons of water a second… or 29 times the flow rate of the Amazon River… each. If this isn’t enough water for you, you might be obsessed.
Facility")</f>
        <v>Chapter 114: 82.1 Interlude Uppercrust
Waterworld (Personal Reality) 300:
This Pipes Pipes Pipes Upgrade provides you with all the water you’ll ever need. Every day this massive Hydrocore Tap can generate enough H2O in any natural form to cover Luna in seas 10 meters deep… let’s call it 500,000,000 cubic kilometers of water. Of course, throughput is going to be a bitch, so the Hydrocore comes with a Global targeting computer and up to a million hoses each capable of pumping out 500 cubic kilometers of water a day… or 5.8 million tons of water a second… or 29 times the flow rate of the Amazon River… each. If this isn’t enough water for you, you might be obsessed.
Facility</v>
      </c>
      <c r="C246" s="17" t="str">
        <f>IFERROR(__xludf.DUMMYFUNCTION("""COMPUTED_VALUE"""),"Chapter 114: 82.1 Interlude Uppercrust
Dynamic Waterworks (Personal Reality) 100:
This is a strange one, but say you have an infinite source of some liquid and you want it pumped from wherever you source it through your Personal Reality, this Pipes Pipes "&amp;"Pipes Upgrade is for you. The plumbing hookups for your Reality now support up to six additional inputs from sources you must personally supply, and run those feeds through your Reality. If you have Central Control, they can even be mixed in precise ratio"&amp;"s at each distribution point. So, say you had an infinite supply of cocoa and an infinite supply of peppermint schnapps… you could set the system to dispense cocoa from all the brown faucets, peppermint schnapps from all the red &amp; white faucets, and spike"&amp;"d hot chocolate toddies from the brown &amp; red faucets… and could even tell it to make the mix in your office stronger than the mix in the staff break-room. While this can be combined with Water World to a degree, that degree is only to use the hose network"&amp;" to dispense a reasonably vast quantity of ‘unlimited liquid x’... say enough chocolate to make a small river… not to flood the planet… unless your source for that unlimited liquid specifies ‘absolutely unlimited’... generally speaking, if it’s for person"&amp;"al or even industrial use… it’s not good enough. Global usage at the very limit required for full Water World Integration. An additional 6 hook-ups costs -50 WP.
Facility")</f>
        <v>Chapter 114: 82.1 Interlude Uppercrust
Dynamic Waterworks (Personal Reality) 100:
This is a strange one, but say you have an infinite source of some liquid and you want it pumped from wherever you source it through your Personal Reality, this Pipes Pipes Pipes Upgrade is for you. The plumbing hookups for your Reality now support up to six additional inputs from sources you must personally supply, and run those feeds through your Reality. If you have Central Control, they can even be mixed in precise ratios at each distribution point. So, say you had an infinite supply of cocoa and an infinite supply of peppermint schnapps… you could set the system to dispense cocoa from all the brown faucets, peppermint schnapps from all the red &amp; white faucets, and spiked hot chocolate toddies from the brown &amp; red faucets… and could even tell it to make the mix in your office stronger than the mix in the staff break-room. While this can be combined with Water World to a degree, that degree is only to use the hose network to dispense a reasonably vast quantity of ‘unlimited liquid x’... say enough chocolate to make a small river… not to flood the planet… unless your source for that unlimited liquid specifies ‘absolutely unlimited’... generally speaking, if it’s for personal or even industrial use… it’s not good enough. Global usage at the very limit required for full Water World Integration. An additional 6 hook-ups costs -50 WP.
Facility</v>
      </c>
      <c r="D246" s="17" t="str">
        <f>IFERROR(__xludf.DUMMYFUNCTION("""COMPUTED_VALUE"""),"
")</f>
        <v>
</v>
      </c>
      <c r="E246" s="17" t="str">
        <f>IFERROR(__xludf.DUMMYFUNCTION("""COMPUTED_VALUE"""),"
")</f>
        <v>
</v>
      </c>
      <c r="F246" s="17" t="str">
        <f>IFERROR(__xludf.DUMMYFUNCTION("""COMPUTED_VALUE"""),"
")</f>
        <v>
</v>
      </c>
      <c r="G246" s="17" t="str">
        <f>IFERROR(__xludf.DUMMYFUNCTION("""COMPUTED_VALUE"""),"
")</f>
        <v>
</v>
      </c>
      <c r="H246" s="17" t="str">
        <f>IFERROR(__xludf.DUMMYFUNCTION("""COMPUTED_VALUE"""),"
")</f>
        <v>
</v>
      </c>
      <c r="I246" s="17" t="str">
        <f>IFERROR(__xludf.DUMMYFUNCTION("""COMPUTED_VALUE"""),"
")</f>
        <v>
</v>
      </c>
      <c r="J246" s="17" t="str">
        <f>IFERROR(__xludf.DUMMYFUNCTION("""COMPUTED_VALUE"""),"
")</f>
        <v>
</v>
      </c>
      <c r="K246" s="17" t="str">
        <f>IFERROR(__xludf.DUMMYFUNCTION("""COMPUTED_VALUE"""),"
")</f>
        <v>
</v>
      </c>
      <c r="L246" s="17" t="str">
        <f>IFERROR(__xludf.DUMMYFUNCTION("""COMPUTED_VALUE"""),"
")</f>
        <v>
</v>
      </c>
      <c r="M246" s="17" t="str">
        <f>IFERROR(__xludf.DUMMYFUNCTION("""COMPUTED_VALUE"""),"
")</f>
        <v>
</v>
      </c>
      <c r="N246" s="17" t="str">
        <f>IFERROR(__xludf.DUMMYFUNCTION("""COMPUTED_VALUE"""),"
")</f>
        <v>
</v>
      </c>
      <c r="O246" s="17" t="str">
        <f>IFERROR(__xludf.DUMMYFUNCTION("""COMPUTED_VALUE"""),"
")</f>
        <v>
</v>
      </c>
      <c r="P246" s="17" t="str">
        <f>IFERROR(__xludf.DUMMYFUNCTION("""COMPUTED_VALUE"""),"
")</f>
        <v>
</v>
      </c>
      <c r="Q246" s="17" t="str">
        <f>IFERROR(__xludf.DUMMYFUNCTION("""COMPUTED_VALUE"""),"
")</f>
        <v>
</v>
      </c>
      <c r="R246" s="17" t="str">
        <f>IFERROR(__xludf.DUMMYFUNCTION("""COMPUTED_VALUE"""),"
")</f>
        <v>
</v>
      </c>
      <c r="S246" s="17" t="str">
        <f>IFERROR(__xludf.DUMMYFUNCTION("""COMPUTED_VALUE"""),"
")</f>
        <v>
</v>
      </c>
      <c r="T246" s="17" t="str">
        <f>IFERROR(__xludf.DUMMYFUNCTION("""COMPUTED_VALUE"""),"
")</f>
        <v>
</v>
      </c>
      <c r="U246" s="17" t="str">
        <f>IFERROR(__xludf.DUMMYFUNCTION("""COMPUTED_VALUE"""),"
")</f>
        <v>
</v>
      </c>
      <c r="V246" s="17" t="str">
        <f>IFERROR(__xludf.DUMMYFUNCTION("""COMPUTED_VALUE"""),"
")</f>
        <v>
</v>
      </c>
      <c r="W246" s="17" t="str">
        <f>IFERROR(__xludf.DUMMYFUNCTION("""COMPUTED_VALUE"""),"
")</f>
        <v>
</v>
      </c>
      <c r="X246" s="17" t="str">
        <f>IFERROR(__xludf.DUMMYFUNCTION("""COMPUTED_VALUE"""),"
")</f>
        <v>
</v>
      </c>
      <c r="Y246" s="17" t="str">
        <f>IFERROR(__xludf.DUMMYFUNCTION("""COMPUTED_VALUE"""),"
")</f>
        <v>
</v>
      </c>
      <c r="Z246" s="17" t="str">
        <f>IFERROR(__xludf.DUMMYFUNCTION("""COMPUTED_VALUE"""),"
")</f>
        <v>
</v>
      </c>
      <c r="AA246" s="17" t="str">
        <f>IFERROR(__xludf.DUMMYFUNCTION("""COMPUTED_VALUE"""),"
")</f>
        <v>
</v>
      </c>
      <c r="AB246" s="17" t="str">
        <f>IFERROR(__xludf.DUMMYFUNCTION("""COMPUTED_VALUE"""),"
")</f>
        <v>
</v>
      </c>
      <c r="AC246" s="17" t="str">
        <f>IFERROR(__xludf.DUMMYFUNCTION("""COMPUTED_VALUE"""),"
")</f>
        <v>
</v>
      </c>
    </row>
    <row r="247">
      <c r="A247" s="17" t="str">
        <f>IFERROR(__xludf.DUMMYFUNCTION("""COMPUTED_VALUE"""),"Chapter 123: 88 Perspectives
Portal (Personal Reality) 300:
This optional extra removes the need for use of Access Key, instead allowing you to open a rectangular or circular portal that leads into your Personal Reality on any flat surface big enough to e"&amp;"ncompass the portal. You can open the portal on any surface you are in contact with or that your vehicle is in contact with… or that your vehicle will be in contact with in less than 5 seconds and within 100 meters if you don’t open the portal. The portal"&amp;" can be any size between 8 square meters and 80 square meters. The portal opens to the same place in your Personal Reality as the Door does and you may still use your Access Key if you want to open a door larger or smaller than the limits of the Portal. A"&amp;"ny Companion with a copy of the key may also open such a portal. These portals open at their lowest size instantly and expand at the to maximum size over 10 seconds. This portal cannot be closed while you are inside your Personal Reality. Portals will slo"&amp;"wly close over a period of 3 minutes if you leave them open and move more than 10 meters from one without closing it yourself, as long as you are outside your Personal Reality. This closure effect can be disabled, but you can’t open a portal if another is"&amp;" open.
Ability")</f>
        <v>Chapter 123: 88 Perspectives
Portal (Personal Reality) 300:
This optional extra removes the need for use of Access Key, instead allowing you to open a rectangular or circular portal that leads into your Personal Reality on any flat surface big enough to encompass the portal. You can open the portal on any surface you are in contact with or that your vehicle is in contact with… or that your vehicle will be in contact with in less than 5 seconds and within 100 meters if you don’t open the portal. The portal can be any size between 8 square meters and 80 square meters. The portal opens to the same place in your Personal Reality as the Door does and you may still use your Access Key if you want to open a door larger or smaller than the limits of the Portal. Any Companion with a copy of the key may also open such a portal. These portals open at their lowest size instantly and expand at the to maximum size over 10 seconds. This portal cannot be closed while you are inside your Personal Reality. Portals will slowly close over a period of 3 minutes if you leave them open and move more than 10 meters from one without closing it yourself, as long as you are outside your Personal Reality. This closure effect can be disabled, but you can’t open a portal if another is open.
Ability</v>
      </c>
      <c r="B247" s="17" t="str">
        <f>IFERROR(__xludf.DUMMYFUNCTION("""COMPUTED_VALUE"""),"Chapter 123: 88 Perspectives
Free Portal (Personal Reality) 100:
This Portal Upgrade removes the limitation on a portal having to be opened on a flat surface… or on any surface at all. It also allows you to open the portals to any part of your Personal Re"&amp;"ality simply by picturing where you want the portal to open. Without the Control Rod, the portals must be opened within 2 meters of you.
Ability")</f>
        <v>Chapter 123: 88 Perspectives
Free Portal (Personal Reality) 100:
This Portal Upgrade removes the limitation on a portal having to be opened on a flat surface… or on any surface at all. It also allows you to open the portals to any part of your Personal Reality simply by picturing where you want the portal to open. Without the Control Rod, the portals must be opened within 2 meters of you.
Ability</v>
      </c>
      <c r="C247" s="17" t="str">
        <f>IFERROR(__xludf.DUMMYFUNCTION("""COMPUTED_VALUE"""),"
")</f>
        <v>
</v>
      </c>
      <c r="D247" s="17" t="str">
        <f>IFERROR(__xludf.DUMMYFUNCTION("""COMPUTED_VALUE"""),"
")</f>
        <v>
</v>
      </c>
      <c r="E247" s="17" t="str">
        <f>IFERROR(__xludf.DUMMYFUNCTION("""COMPUTED_VALUE"""),"
")</f>
        <v>
</v>
      </c>
      <c r="F247" s="17" t="str">
        <f>IFERROR(__xludf.DUMMYFUNCTION("""COMPUTED_VALUE"""),"
")</f>
        <v>
</v>
      </c>
      <c r="G247" s="17" t="str">
        <f>IFERROR(__xludf.DUMMYFUNCTION("""COMPUTED_VALUE"""),"
")</f>
        <v>
</v>
      </c>
      <c r="H247" s="17" t="str">
        <f>IFERROR(__xludf.DUMMYFUNCTION("""COMPUTED_VALUE"""),"
")</f>
        <v>
</v>
      </c>
      <c r="I247" s="17" t="str">
        <f>IFERROR(__xludf.DUMMYFUNCTION("""COMPUTED_VALUE"""),"
")</f>
        <v>
</v>
      </c>
      <c r="J247" s="17" t="str">
        <f>IFERROR(__xludf.DUMMYFUNCTION("""COMPUTED_VALUE"""),"
")</f>
        <v>
</v>
      </c>
      <c r="K247" s="17" t="str">
        <f>IFERROR(__xludf.DUMMYFUNCTION("""COMPUTED_VALUE"""),"
")</f>
        <v>
</v>
      </c>
      <c r="L247" s="17" t="str">
        <f>IFERROR(__xludf.DUMMYFUNCTION("""COMPUTED_VALUE"""),"
")</f>
        <v>
</v>
      </c>
      <c r="M247" s="17" t="str">
        <f>IFERROR(__xludf.DUMMYFUNCTION("""COMPUTED_VALUE"""),"
")</f>
        <v>
</v>
      </c>
      <c r="N247" s="17" t="str">
        <f>IFERROR(__xludf.DUMMYFUNCTION("""COMPUTED_VALUE"""),"
")</f>
        <v>
</v>
      </c>
      <c r="O247" s="17" t="str">
        <f>IFERROR(__xludf.DUMMYFUNCTION("""COMPUTED_VALUE"""),"
")</f>
        <v>
</v>
      </c>
      <c r="P247" s="17" t="str">
        <f>IFERROR(__xludf.DUMMYFUNCTION("""COMPUTED_VALUE"""),"
")</f>
        <v>
</v>
      </c>
      <c r="Q247" s="17" t="str">
        <f>IFERROR(__xludf.DUMMYFUNCTION("""COMPUTED_VALUE"""),"
")</f>
        <v>
</v>
      </c>
      <c r="R247" s="17" t="str">
        <f>IFERROR(__xludf.DUMMYFUNCTION("""COMPUTED_VALUE"""),"
")</f>
        <v>
</v>
      </c>
      <c r="S247" s="17" t="str">
        <f>IFERROR(__xludf.DUMMYFUNCTION("""COMPUTED_VALUE"""),"
")</f>
        <v>
</v>
      </c>
      <c r="T247" s="17" t="str">
        <f>IFERROR(__xludf.DUMMYFUNCTION("""COMPUTED_VALUE"""),"
")</f>
        <v>
</v>
      </c>
      <c r="U247" s="17" t="str">
        <f>IFERROR(__xludf.DUMMYFUNCTION("""COMPUTED_VALUE"""),"
")</f>
        <v>
</v>
      </c>
      <c r="V247" s="17" t="str">
        <f>IFERROR(__xludf.DUMMYFUNCTION("""COMPUTED_VALUE"""),"
")</f>
        <v>
</v>
      </c>
      <c r="W247" s="17" t="str">
        <f>IFERROR(__xludf.DUMMYFUNCTION("""COMPUTED_VALUE"""),"
")</f>
        <v>
</v>
      </c>
      <c r="X247" s="17" t="str">
        <f>IFERROR(__xludf.DUMMYFUNCTION("""COMPUTED_VALUE"""),"
")</f>
        <v>
</v>
      </c>
      <c r="Y247" s="17" t="str">
        <f>IFERROR(__xludf.DUMMYFUNCTION("""COMPUTED_VALUE"""),"
")</f>
        <v>
</v>
      </c>
      <c r="Z247" s="17" t="str">
        <f>IFERROR(__xludf.DUMMYFUNCTION("""COMPUTED_VALUE"""),"
")</f>
        <v>
</v>
      </c>
      <c r="AA247" s="17" t="str">
        <f>IFERROR(__xludf.DUMMYFUNCTION("""COMPUTED_VALUE"""),"
")</f>
        <v>
</v>
      </c>
      <c r="AB247" s="17" t="str">
        <f>IFERROR(__xludf.DUMMYFUNCTION("""COMPUTED_VALUE"""),"
")</f>
        <v>
</v>
      </c>
      <c r="AC247" s="17" t="str">
        <f>IFERROR(__xludf.DUMMYFUNCTION("""COMPUTED_VALUE"""),"
")</f>
        <v>
</v>
      </c>
    </row>
    <row r="248">
      <c r="A248" s="17" t="str">
        <f>IFERROR(__xludf.DUMMYFUNCTION("""COMPUTED_VALUE"""),"Chapter 113: 82 Bargaining - Addendum Uppercrust
Realistic Ground Cover (Personal Reality) 100:
Sick and tired of linoleum or concrete? This is the one for you. Now your Personal Reality floor can be turned into any naturally occurring terrain type, in se"&amp;"ctions, or roads and paths of your design. Any dirt or dust that would be created by this is magically taken care of… unless you don’t want it to be.
Facility")</f>
        <v>Chapter 113: 82 Bargaining - Addendum Uppercrust
Realistic Ground Cover (Personal Reality) 100:
Sick and tired of linoleum or concrete? This is the one for you. Now your Personal Reality floor can be turned into any naturally occurring terrain type, in sections, or roads and paths of your design. Any dirt or dust that would be created by this is magically taken care of… unless you don’t want it to be.
Facility</v>
      </c>
      <c r="B248" s="17" t="str">
        <f>IFERROR(__xludf.DUMMYFUNCTION("""COMPUTED_VALUE"""),"Chapter 113: 82 Bargaining - Addendum Uppercrust
Dig it (Personal Reality) 100:
You now have 40 meters of foundation material under your RGC. Why? Gardening? Graves? Whatever. It’s just rocks and dirt down there, but all buildings you buy in this suppleme"&amp;"nt have perfectly decent foundations installed under them. If you bought the Underside, all that space is diggable too. You might even find some weird or cool stuff buried. Nothing amazing, but you’ll be amused.
Facility")</f>
        <v>Chapter 113: 82 Bargaining - Addendum Uppercrust
Dig it (Personal Reality) 100:
You now have 40 meters of foundation material under your RGC. Why? Gardening? Graves? Whatever. It’s just rocks and dirt down there, but all buildings you buy in this supplement have perfectly decent foundations installed under them. If you bought the Underside, all that space is diggable too. You might even find some weird or cool stuff buried. Nothing amazing, but you’ll be amused.
Facility</v>
      </c>
      <c r="C248" s="17" t="str">
        <f>IFERROR(__xludf.DUMMYFUNCTION("""COMPUTED_VALUE"""),"
")</f>
        <v>
</v>
      </c>
      <c r="D248" s="17" t="str">
        <f>IFERROR(__xludf.DUMMYFUNCTION("""COMPUTED_VALUE"""),"
")</f>
        <v>
</v>
      </c>
      <c r="E248" s="17" t="str">
        <f>IFERROR(__xludf.DUMMYFUNCTION("""COMPUTED_VALUE"""),"
")</f>
        <v>
</v>
      </c>
      <c r="F248" s="17" t="str">
        <f>IFERROR(__xludf.DUMMYFUNCTION("""COMPUTED_VALUE"""),"
")</f>
        <v>
</v>
      </c>
      <c r="G248" s="17" t="str">
        <f>IFERROR(__xludf.DUMMYFUNCTION("""COMPUTED_VALUE"""),"
")</f>
        <v>
</v>
      </c>
      <c r="H248" s="17" t="str">
        <f>IFERROR(__xludf.DUMMYFUNCTION("""COMPUTED_VALUE"""),"
")</f>
        <v>
</v>
      </c>
      <c r="I248" s="17" t="str">
        <f>IFERROR(__xludf.DUMMYFUNCTION("""COMPUTED_VALUE"""),"
")</f>
        <v>
</v>
      </c>
      <c r="J248" s="17" t="str">
        <f>IFERROR(__xludf.DUMMYFUNCTION("""COMPUTED_VALUE"""),"
")</f>
        <v>
</v>
      </c>
      <c r="K248" s="17" t="str">
        <f>IFERROR(__xludf.DUMMYFUNCTION("""COMPUTED_VALUE"""),"
")</f>
        <v>
</v>
      </c>
      <c r="L248" s="17" t="str">
        <f>IFERROR(__xludf.DUMMYFUNCTION("""COMPUTED_VALUE"""),"
")</f>
        <v>
</v>
      </c>
      <c r="M248" s="17" t="str">
        <f>IFERROR(__xludf.DUMMYFUNCTION("""COMPUTED_VALUE"""),"
")</f>
        <v>
</v>
      </c>
      <c r="N248" s="17" t="str">
        <f>IFERROR(__xludf.DUMMYFUNCTION("""COMPUTED_VALUE"""),"
")</f>
        <v>
</v>
      </c>
      <c r="O248" s="17" t="str">
        <f>IFERROR(__xludf.DUMMYFUNCTION("""COMPUTED_VALUE"""),"
")</f>
        <v>
</v>
      </c>
      <c r="P248" s="17" t="str">
        <f>IFERROR(__xludf.DUMMYFUNCTION("""COMPUTED_VALUE"""),"
")</f>
        <v>
</v>
      </c>
      <c r="Q248" s="17" t="str">
        <f>IFERROR(__xludf.DUMMYFUNCTION("""COMPUTED_VALUE"""),"
")</f>
        <v>
</v>
      </c>
      <c r="R248" s="17" t="str">
        <f>IFERROR(__xludf.DUMMYFUNCTION("""COMPUTED_VALUE"""),"
")</f>
        <v>
</v>
      </c>
      <c r="S248" s="17" t="str">
        <f>IFERROR(__xludf.DUMMYFUNCTION("""COMPUTED_VALUE"""),"
")</f>
        <v>
</v>
      </c>
      <c r="T248" s="17" t="str">
        <f>IFERROR(__xludf.DUMMYFUNCTION("""COMPUTED_VALUE"""),"
")</f>
        <v>
</v>
      </c>
      <c r="U248" s="17" t="str">
        <f>IFERROR(__xludf.DUMMYFUNCTION("""COMPUTED_VALUE"""),"
")</f>
        <v>
</v>
      </c>
      <c r="V248" s="17" t="str">
        <f>IFERROR(__xludf.DUMMYFUNCTION("""COMPUTED_VALUE"""),"
")</f>
        <v>
</v>
      </c>
      <c r="W248" s="17" t="str">
        <f>IFERROR(__xludf.DUMMYFUNCTION("""COMPUTED_VALUE"""),"
")</f>
        <v>
</v>
      </c>
      <c r="X248" s="17" t="str">
        <f>IFERROR(__xludf.DUMMYFUNCTION("""COMPUTED_VALUE"""),"
")</f>
        <v>
</v>
      </c>
      <c r="Y248" s="17" t="str">
        <f>IFERROR(__xludf.DUMMYFUNCTION("""COMPUTED_VALUE"""),"
")</f>
        <v>
</v>
      </c>
      <c r="Z248" s="17" t="str">
        <f>IFERROR(__xludf.DUMMYFUNCTION("""COMPUTED_VALUE"""),"
")</f>
        <v>
</v>
      </c>
      <c r="AA248" s="17" t="str">
        <f>IFERROR(__xludf.DUMMYFUNCTION("""COMPUTED_VALUE"""),"
")</f>
        <v>
</v>
      </c>
      <c r="AB248" s="17" t="str">
        <f>IFERROR(__xludf.DUMMYFUNCTION("""COMPUTED_VALUE"""),"
")</f>
        <v>
</v>
      </c>
      <c r="AC248" s="17" t="str">
        <f>IFERROR(__xludf.DUMMYFUNCTION("""COMPUTED_VALUE"""),"
")</f>
        <v>
</v>
      </c>
    </row>
    <row r="249">
      <c r="A249" s="17" t="str">
        <f>IFERROR(__xludf.DUMMYFUNCTION("""COMPUTED_VALUE"""),"#VALUE!")</f>
        <v>#VALUE!</v>
      </c>
      <c r="B249" s="17" t="str">
        <f>IFERROR(__xludf.DUMMYFUNCTION("""COMPUTED_VALUE"""),"
")</f>
        <v>
</v>
      </c>
      <c r="C249" s="17" t="str">
        <f>IFERROR(__xludf.DUMMYFUNCTION("""COMPUTED_VALUE"""),"
")</f>
        <v>
</v>
      </c>
      <c r="D249" s="17" t="str">
        <f>IFERROR(__xludf.DUMMYFUNCTION("""COMPUTED_VALUE"""),"
")</f>
        <v>
</v>
      </c>
      <c r="E249" s="17" t="str">
        <f>IFERROR(__xludf.DUMMYFUNCTION("""COMPUTED_VALUE"""),"
")</f>
        <v>
</v>
      </c>
      <c r="F249" s="17" t="str">
        <f>IFERROR(__xludf.DUMMYFUNCTION("""COMPUTED_VALUE"""),"
")</f>
        <v>
</v>
      </c>
      <c r="G249" s="17" t="str">
        <f>IFERROR(__xludf.DUMMYFUNCTION("""COMPUTED_VALUE"""),"
")</f>
        <v>
</v>
      </c>
      <c r="H249" s="17" t="str">
        <f>IFERROR(__xludf.DUMMYFUNCTION("""COMPUTED_VALUE"""),"
")</f>
        <v>
</v>
      </c>
      <c r="I249" s="17" t="str">
        <f>IFERROR(__xludf.DUMMYFUNCTION("""COMPUTED_VALUE"""),"
")</f>
        <v>
</v>
      </c>
      <c r="J249" s="17" t="str">
        <f>IFERROR(__xludf.DUMMYFUNCTION("""COMPUTED_VALUE"""),"
")</f>
        <v>
</v>
      </c>
      <c r="K249" s="17" t="str">
        <f>IFERROR(__xludf.DUMMYFUNCTION("""COMPUTED_VALUE"""),"
")</f>
        <v>
</v>
      </c>
      <c r="L249" s="17" t="str">
        <f>IFERROR(__xludf.DUMMYFUNCTION("""COMPUTED_VALUE"""),"
")</f>
        <v>
</v>
      </c>
      <c r="M249" s="17" t="str">
        <f>IFERROR(__xludf.DUMMYFUNCTION("""COMPUTED_VALUE"""),"
")</f>
        <v>
</v>
      </c>
      <c r="N249" s="17" t="str">
        <f>IFERROR(__xludf.DUMMYFUNCTION("""COMPUTED_VALUE"""),"
")</f>
        <v>
</v>
      </c>
      <c r="O249" s="17" t="str">
        <f>IFERROR(__xludf.DUMMYFUNCTION("""COMPUTED_VALUE"""),"
")</f>
        <v>
</v>
      </c>
      <c r="P249" s="17" t="str">
        <f>IFERROR(__xludf.DUMMYFUNCTION("""COMPUTED_VALUE"""),"
")</f>
        <v>
</v>
      </c>
      <c r="Q249" s="17" t="str">
        <f>IFERROR(__xludf.DUMMYFUNCTION("""COMPUTED_VALUE"""),"
")</f>
        <v>
</v>
      </c>
      <c r="R249" s="17" t="str">
        <f>IFERROR(__xludf.DUMMYFUNCTION("""COMPUTED_VALUE"""),"
")</f>
        <v>
</v>
      </c>
      <c r="S249" s="17" t="str">
        <f>IFERROR(__xludf.DUMMYFUNCTION("""COMPUTED_VALUE"""),"
")</f>
        <v>
</v>
      </c>
      <c r="T249" s="17" t="str">
        <f>IFERROR(__xludf.DUMMYFUNCTION("""COMPUTED_VALUE"""),"
")</f>
        <v>
</v>
      </c>
      <c r="U249" s="17" t="str">
        <f>IFERROR(__xludf.DUMMYFUNCTION("""COMPUTED_VALUE"""),"
")</f>
        <v>
</v>
      </c>
      <c r="V249" s="17" t="str">
        <f>IFERROR(__xludf.DUMMYFUNCTION("""COMPUTED_VALUE"""),"
")</f>
        <v>
</v>
      </c>
      <c r="W249" s="17" t="str">
        <f>IFERROR(__xludf.DUMMYFUNCTION("""COMPUTED_VALUE"""),"
")</f>
        <v>
</v>
      </c>
      <c r="X249" s="17" t="str">
        <f>IFERROR(__xludf.DUMMYFUNCTION("""COMPUTED_VALUE"""),"
")</f>
        <v>
</v>
      </c>
      <c r="Y249" s="17" t="str">
        <f>IFERROR(__xludf.DUMMYFUNCTION("""COMPUTED_VALUE"""),"
")</f>
        <v>
</v>
      </c>
      <c r="Z249" s="17" t="str">
        <f>IFERROR(__xludf.DUMMYFUNCTION("""COMPUTED_VALUE"""),"
")</f>
        <v>
</v>
      </c>
      <c r="AA249" s="17" t="str">
        <f>IFERROR(__xludf.DUMMYFUNCTION("""COMPUTED_VALUE"""),"
")</f>
        <v>
</v>
      </c>
      <c r="AB249" s="17" t="str">
        <f>IFERROR(__xludf.DUMMYFUNCTION("""COMPUTED_VALUE"""),"
")</f>
        <v>
</v>
      </c>
      <c r="AC249" s="17" t="str">
        <f>IFERROR(__xludf.DUMMYFUNCTION("""COMPUTED_VALUE"""),"
")</f>
        <v>
</v>
      </c>
    </row>
    <row r="250">
      <c r="A250" s="17" t="str">
        <f>IFERROR(__xludf.DUMMYFUNCTION("""COMPUTED_VALUE"""),"")</f>
        <v/>
      </c>
      <c r="B250" s="17" t="str">
        <f>IFERROR(__xludf.DUMMYFUNCTION("""COMPUTED_VALUE"""),"")</f>
        <v/>
      </c>
      <c r="C250" s="17" t="str">
        <f>IFERROR(__xludf.DUMMYFUNCTION("""COMPUTED_VALUE"""),"")</f>
        <v/>
      </c>
      <c r="D250" s="17" t="str">
        <f>IFERROR(__xludf.DUMMYFUNCTION("""COMPUTED_VALUE"""),"")</f>
        <v/>
      </c>
      <c r="E250" s="17" t="str">
        <f>IFERROR(__xludf.DUMMYFUNCTION("""COMPUTED_VALUE"""),"")</f>
        <v/>
      </c>
      <c r="F250" s="17" t="str">
        <f>IFERROR(__xludf.DUMMYFUNCTION("""COMPUTED_VALUE"""),"")</f>
        <v/>
      </c>
      <c r="G250" s="17" t="str">
        <f>IFERROR(__xludf.DUMMYFUNCTION("""COMPUTED_VALUE"""),"")</f>
        <v/>
      </c>
      <c r="H250" s="17" t="str">
        <f>IFERROR(__xludf.DUMMYFUNCTION("""COMPUTED_VALUE"""),"")</f>
        <v/>
      </c>
      <c r="I250" s="17" t="str">
        <f>IFERROR(__xludf.DUMMYFUNCTION("""COMPUTED_VALUE"""),"")</f>
        <v/>
      </c>
      <c r="J250" s="17" t="str">
        <f>IFERROR(__xludf.DUMMYFUNCTION("""COMPUTED_VALUE"""),"")</f>
        <v/>
      </c>
      <c r="K250" s="17" t="str">
        <f>IFERROR(__xludf.DUMMYFUNCTION("""COMPUTED_VALUE"""),"")</f>
        <v/>
      </c>
      <c r="L250" s="17" t="str">
        <f>IFERROR(__xludf.DUMMYFUNCTION("""COMPUTED_VALUE"""),"")</f>
        <v/>
      </c>
      <c r="M250" s="17" t="str">
        <f>IFERROR(__xludf.DUMMYFUNCTION("""COMPUTED_VALUE"""),"")</f>
        <v/>
      </c>
      <c r="N250" s="17" t="str">
        <f>IFERROR(__xludf.DUMMYFUNCTION("""COMPUTED_VALUE"""),"")</f>
        <v/>
      </c>
      <c r="O250" s="17" t="str">
        <f>IFERROR(__xludf.DUMMYFUNCTION("""COMPUTED_VALUE"""),"")</f>
        <v/>
      </c>
      <c r="P250" s="17" t="str">
        <f>IFERROR(__xludf.DUMMYFUNCTION("""COMPUTED_VALUE"""),"")</f>
        <v/>
      </c>
      <c r="Q250" s="17" t="str">
        <f>IFERROR(__xludf.DUMMYFUNCTION("""COMPUTED_VALUE"""),"")</f>
        <v/>
      </c>
      <c r="R250" s="17" t="str">
        <f>IFERROR(__xludf.DUMMYFUNCTION("""COMPUTED_VALUE"""),"")</f>
        <v/>
      </c>
      <c r="S250" s="17" t="str">
        <f>IFERROR(__xludf.DUMMYFUNCTION("""COMPUTED_VALUE"""),"")</f>
        <v/>
      </c>
      <c r="T250" s="17" t="str">
        <f>IFERROR(__xludf.DUMMYFUNCTION("""COMPUTED_VALUE"""),"")</f>
        <v/>
      </c>
      <c r="U250" s="17" t="str">
        <f>IFERROR(__xludf.DUMMYFUNCTION("""COMPUTED_VALUE"""),"")</f>
        <v/>
      </c>
      <c r="V250" s="17" t="str">
        <f>IFERROR(__xludf.DUMMYFUNCTION("""COMPUTED_VALUE"""),"")</f>
        <v/>
      </c>
      <c r="W250" s="17" t="str">
        <f>IFERROR(__xludf.DUMMYFUNCTION("""COMPUTED_VALUE"""),"")</f>
        <v/>
      </c>
      <c r="X250" s="17" t="str">
        <f>IFERROR(__xludf.DUMMYFUNCTION("""COMPUTED_VALUE"""),"")</f>
        <v/>
      </c>
      <c r="Y250" s="17" t="str">
        <f>IFERROR(__xludf.DUMMYFUNCTION("""COMPUTED_VALUE"""),"")</f>
        <v/>
      </c>
      <c r="Z250" s="17" t="str">
        <f>IFERROR(__xludf.DUMMYFUNCTION("""COMPUTED_VALUE"""),"")</f>
        <v/>
      </c>
      <c r="AA250" s="17" t="str">
        <f>IFERROR(__xludf.DUMMYFUNCTION("""COMPUTED_VALUE"""),"")</f>
        <v/>
      </c>
      <c r="AB250" s="17" t="str">
        <f>IFERROR(__xludf.DUMMYFUNCTION("""COMPUTED_VALUE"""),"")</f>
        <v/>
      </c>
      <c r="AC250" s="17" t="str">
        <f>IFERROR(__xludf.DUMMYFUNCTION("""COMPUTED_VALUE"""),"")</f>
        <v/>
      </c>
    </row>
    <row r="251">
      <c r="A251" s="17" t="str">
        <f>IFERROR(__xludf.DUMMYFUNCTION("""COMPUTED_VALUE"""),"Chapter 101: 74 Hard Talk
Security System (Personal Reality) Free:
Anybody coming in and out of your Personal Reality is now checked for any authorization you've given them to access it; and should anything about said authorization (or a lack of it) raise"&amp;" any flags in the system, then you will receive a warning about it. This allows you to define just what sorts of authorization different individuals can have to access your Personality Reality, anything from No Access through Temporary Access and Limited "&amp;"Access to Unlimited Access is possible. All this does is notify you. It does not stop them on its own. A Keyholder’s Access cannot be limited by the Security System. Only hand out Keys to those you trust implicitly
Facility")</f>
        <v>Chapter 101: 74 Hard Talk
Security System (Personal Reality) Free:
Anybody coming in and out of your Personal Reality is now checked for any authorization you've given them to access it; and should anything about said authorization (or a lack of it) raise any flags in the system, then you will receive a warning about it. This allows you to define just what sorts of authorization different individuals can have to access your Personality Reality, anything from No Access through Temporary Access and Limited Access to Unlimited Access is possible. All this does is notify you. It does not stop them on its own. A Keyholder’s Access cannot be limited by the Security System. Only hand out Keys to those you trust implicitly
Facility</v>
      </c>
      <c r="B251" s="17" t="str">
        <f>IFERROR(__xludf.DUMMYFUNCTION("""COMPUTED_VALUE"""),"Chapter 101: 74 Hard Talk
Detainment (Personal Reality) 300:
This Security System Upgrade ensures that anybody without correct access authorization who attempts to break into your warehouse automatically gets detained in temporary cells, which are accesse"&amp;"d through temporary doors in your Entrance Hall. The cells are not fiat-backed to hold everyone. If you’d have to exert yourself to fight someone, then the cells aren’t going to hold them for long, at least without any upgrades. Detainment will attempt to"&amp;" work on anything that manifests anywhere in your warehouse without proper clearance… as well as anything that had proper clearance and is now clearly a threat. A Keyholder cannot be detained.
Facility")</f>
        <v>Chapter 101: 74 Hard Talk
Detainment (Personal Reality) 300:
This Security System Upgrade ensures that anybody without correct access authorization who attempts to break into your warehouse automatically gets detained in temporary cells, which are accessed through temporary doors in your Entrance Hall. The cells are not fiat-backed to hold everyone. If you’d have to exert yourself to fight someone, then the cells aren’t going to hold them for long, at least without any upgrades. Detainment will attempt to work on anything that manifests anywhere in your warehouse without proper clearance… as well as anything that had proper clearance and is now clearly a threat. A Keyholder cannot be detained.
Facility</v>
      </c>
      <c r="C251" s="17" t="str">
        <f>IFERROR(__xludf.DUMMYFUNCTION("""COMPUTED_VALUE"""),"Chapter 101: 74 Hard Talk
Force Wall (Personal Reality) 200:
This adds a force-field to the entrances and exits to your Personal Reality. Nothing unauthorized can pass through these force-fields. The field is fully permeable to anything authorized. A Keyh"&amp;"older’s Access cannot be blocked by these fields. Be aware, some enemies might conceivably be able to enter your Personal Reality without technically ‘passing through’ these force-fields. I don’t know, but don’t assume the Force Wall is utterly infallible"&amp;". It is also potentially possible that you or your companions might bring something seemingly harmless into your Reality that turns out to be some kind of threat.
Facility")</f>
        <v>Chapter 101: 74 Hard Talk
Force Wall (Personal Reality) 200:
This adds a force-field to the entrances and exits to your Personal Reality. Nothing unauthorized can pass through these force-fields. The field is fully permeable to anything authorized. A Keyholder’s Access cannot be blocked by these fields. Be aware, some enemies might conceivably be able to enter your Personal Reality without technically ‘passing through’ these force-fields. I don’t know, but don’t assume the Force Wall is utterly infallible. It is also potentially possible that you or your companions might bring something seemingly harmless into your Reality that turns out to be some kind of threat.
Facility</v>
      </c>
      <c r="D251" s="17" t="str">
        <f>IFERROR(__xludf.DUMMYFUNCTION("""COMPUTED_VALUE"""),"
")</f>
        <v>
</v>
      </c>
      <c r="E251" s="17" t="str">
        <f>IFERROR(__xludf.DUMMYFUNCTION("""COMPUTED_VALUE"""),"
")</f>
        <v>
</v>
      </c>
      <c r="F251" s="17" t="str">
        <f>IFERROR(__xludf.DUMMYFUNCTION("""COMPUTED_VALUE"""),"
")</f>
        <v>
</v>
      </c>
      <c r="G251" s="17" t="str">
        <f>IFERROR(__xludf.DUMMYFUNCTION("""COMPUTED_VALUE"""),"
")</f>
        <v>
</v>
      </c>
      <c r="H251" s="17" t="str">
        <f>IFERROR(__xludf.DUMMYFUNCTION("""COMPUTED_VALUE"""),"
")</f>
        <v>
</v>
      </c>
      <c r="I251" s="17" t="str">
        <f>IFERROR(__xludf.DUMMYFUNCTION("""COMPUTED_VALUE"""),"
")</f>
        <v>
</v>
      </c>
      <c r="J251" s="17" t="str">
        <f>IFERROR(__xludf.DUMMYFUNCTION("""COMPUTED_VALUE"""),"
")</f>
        <v>
</v>
      </c>
      <c r="K251" s="17" t="str">
        <f>IFERROR(__xludf.DUMMYFUNCTION("""COMPUTED_VALUE"""),"
")</f>
        <v>
</v>
      </c>
      <c r="L251" s="17" t="str">
        <f>IFERROR(__xludf.DUMMYFUNCTION("""COMPUTED_VALUE"""),"
")</f>
        <v>
</v>
      </c>
      <c r="M251" s="17" t="str">
        <f>IFERROR(__xludf.DUMMYFUNCTION("""COMPUTED_VALUE"""),"
")</f>
        <v>
</v>
      </c>
      <c r="N251" s="17" t="str">
        <f>IFERROR(__xludf.DUMMYFUNCTION("""COMPUTED_VALUE"""),"
")</f>
        <v>
</v>
      </c>
      <c r="O251" s="17" t="str">
        <f>IFERROR(__xludf.DUMMYFUNCTION("""COMPUTED_VALUE"""),"
")</f>
        <v>
</v>
      </c>
      <c r="P251" s="17" t="str">
        <f>IFERROR(__xludf.DUMMYFUNCTION("""COMPUTED_VALUE"""),"
")</f>
        <v>
</v>
      </c>
      <c r="Q251" s="17" t="str">
        <f>IFERROR(__xludf.DUMMYFUNCTION("""COMPUTED_VALUE"""),"
")</f>
        <v>
</v>
      </c>
      <c r="R251" s="17" t="str">
        <f>IFERROR(__xludf.DUMMYFUNCTION("""COMPUTED_VALUE"""),"
")</f>
        <v>
</v>
      </c>
      <c r="S251" s="17" t="str">
        <f>IFERROR(__xludf.DUMMYFUNCTION("""COMPUTED_VALUE"""),"
")</f>
        <v>
</v>
      </c>
      <c r="T251" s="17" t="str">
        <f>IFERROR(__xludf.DUMMYFUNCTION("""COMPUTED_VALUE"""),"
")</f>
        <v>
</v>
      </c>
      <c r="U251" s="17" t="str">
        <f>IFERROR(__xludf.DUMMYFUNCTION("""COMPUTED_VALUE"""),"
")</f>
        <v>
</v>
      </c>
      <c r="V251" s="17" t="str">
        <f>IFERROR(__xludf.DUMMYFUNCTION("""COMPUTED_VALUE"""),"
")</f>
        <v>
</v>
      </c>
      <c r="W251" s="17" t="str">
        <f>IFERROR(__xludf.DUMMYFUNCTION("""COMPUTED_VALUE"""),"
")</f>
        <v>
</v>
      </c>
      <c r="X251" s="17" t="str">
        <f>IFERROR(__xludf.DUMMYFUNCTION("""COMPUTED_VALUE"""),"
")</f>
        <v>
</v>
      </c>
      <c r="Y251" s="17" t="str">
        <f>IFERROR(__xludf.DUMMYFUNCTION("""COMPUTED_VALUE"""),"
")</f>
        <v>
</v>
      </c>
      <c r="Z251" s="17" t="str">
        <f>IFERROR(__xludf.DUMMYFUNCTION("""COMPUTED_VALUE"""),"
")</f>
        <v>
</v>
      </c>
      <c r="AA251" s="17" t="str">
        <f>IFERROR(__xludf.DUMMYFUNCTION("""COMPUTED_VALUE"""),"
")</f>
        <v>
</v>
      </c>
      <c r="AB251" s="17" t="str">
        <f>IFERROR(__xludf.DUMMYFUNCTION("""COMPUTED_VALUE"""),"
")</f>
        <v>
</v>
      </c>
      <c r="AC251" s="17" t="str">
        <f>IFERROR(__xludf.DUMMYFUNCTION("""COMPUTED_VALUE"""),"
")</f>
        <v>
</v>
      </c>
    </row>
    <row r="252">
      <c r="A252" s="17" t="str">
        <f>IFERROR(__xludf.DUMMYFUNCTION("""COMPUTED_VALUE"""),"Chapter 98: 71 Good Faith - Preamble PHO
Shooting Range (Personal Reality) 50:
This adds a high tech shooting range to your Personal Reality so that you and your companions can to practice your marksmanship in a safe environment. The Shooting Range comes "&amp;"with a fully functional but harmless copy of any weapon you’re familiar with. They have the exact same weight, balance, and accuracy. These duplicates are colored like nerf weapons so you don’t get them confused if you accidentally take them out of the Ra"&amp;"nge. If you also have the Underside or Arena, you automatically get a self-reconfiguring laser-tag arena. If you have both you automatically get an urban combat training course, and if you have the Woods, you get an outdoor shooting range / wilderness com"&amp;"bat training ground. If you have Weather Control, you can change the terrain and climate inside this zone. Said zones’ size depends on how much space you have. If you’re running with only Starting Size, your Laser-Tag Arenas are going to be 40 m on a side"&amp;" and 2 stories tall. Every size expansion applies to the arenas as well, doubling the height and multiplying the footprint by x100 (400 m x 400 m x 4 stories, 4 km x 4 km x 8 stories, 40 km x 40 km by 16 stories, and so on.)
Facility")</f>
        <v>Chapter 98: 71 Good Faith - Preamble PHO
Shooting Range (Personal Reality) 50:
This adds a high tech shooting range to your Personal Reality so that you and your companions can to practice your marksmanship in a safe environment. The Shooting Range comes with a fully functional but harmless copy of any weapon you’re familiar with. They have the exact same weight, balance, and accuracy. These duplicates are colored like nerf weapons so you don’t get them confused if you accidentally take them out of the Range. If you also have the Underside or Arena, you automatically get a self-reconfiguring laser-tag arena. If you have both you automatically get an urban combat training course, and if you have the Woods, you get an outdoor shooting range / wilderness combat training ground. If you have Weather Control, you can change the terrain and climate inside this zone. Said zones’ size depends on how much space you have. If you’re running with only Starting Size, your Laser-Tag Arenas are going to be 40 m on a side and 2 stories tall. Every size expansion applies to the arenas as well, doubling the height and multiplying the footprint by x100 (400 m x 400 m x 4 stories, 4 km x 4 km x 8 stories, 40 km x 40 km by 16 stories, and so on.)
Facility</v>
      </c>
      <c r="B252" s="17" t="str">
        <f>IFERROR(__xludf.DUMMYFUNCTION("""COMPUTED_VALUE"""),"
")</f>
        <v>
</v>
      </c>
      <c r="C252" s="17" t="str">
        <f>IFERROR(__xludf.DUMMYFUNCTION("""COMPUTED_VALUE"""),"
")</f>
        <v>
</v>
      </c>
      <c r="D252" s="17" t="str">
        <f>IFERROR(__xludf.DUMMYFUNCTION("""COMPUTED_VALUE"""),"
")</f>
        <v>
</v>
      </c>
      <c r="E252" s="17" t="str">
        <f>IFERROR(__xludf.DUMMYFUNCTION("""COMPUTED_VALUE"""),"
")</f>
        <v>
</v>
      </c>
      <c r="F252" s="17" t="str">
        <f>IFERROR(__xludf.DUMMYFUNCTION("""COMPUTED_VALUE"""),"
")</f>
        <v>
</v>
      </c>
      <c r="G252" s="17" t="str">
        <f>IFERROR(__xludf.DUMMYFUNCTION("""COMPUTED_VALUE"""),"
")</f>
        <v>
</v>
      </c>
      <c r="H252" s="17" t="str">
        <f>IFERROR(__xludf.DUMMYFUNCTION("""COMPUTED_VALUE"""),"
")</f>
        <v>
</v>
      </c>
      <c r="I252" s="17" t="str">
        <f>IFERROR(__xludf.DUMMYFUNCTION("""COMPUTED_VALUE"""),"
")</f>
        <v>
</v>
      </c>
      <c r="J252" s="17" t="str">
        <f>IFERROR(__xludf.DUMMYFUNCTION("""COMPUTED_VALUE"""),"
")</f>
        <v>
</v>
      </c>
      <c r="K252" s="17" t="str">
        <f>IFERROR(__xludf.DUMMYFUNCTION("""COMPUTED_VALUE"""),"
")</f>
        <v>
</v>
      </c>
      <c r="L252" s="17" t="str">
        <f>IFERROR(__xludf.DUMMYFUNCTION("""COMPUTED_VALUE"""),"
")</f>
        <v>
</v>
      </c>
      <c r="M252" s="17" t="str">
        <f>IFERROR(__xludf.DUMMYFUNCTION("""COMPUTED_VALUE"""),"
")</f>
        <v>
</v>
      </c>
      <c r="N252" s="17" t="str">
        <f>IFERROR(__xludf.DUMMYFUNCTION("""COMPUTED_VALUE"""),"
")</f>
        <v>
</v>
      </c>
      <c r="O252" s="17" t="str">
        <f>IFERROR(__xludf.DUMMYFUNCTION("""COMPUTED_VALUE"""),"
")</f>
        <v>
</v>
      </c>
      <c r="P252" s="17" t="str">
        <f>IFERROR(__xludf.DUMMYFUNCTION("""COMPUTED_VALUE"""),"
")</f>
        <v>
</v>
      </c>
      <c r="Q252" s="17" t="str">
        <f>IFERROR(__xludf.DUMMYFUNCTION("""COMPUTED_VALUE"""),"
")</f>
        <v>
</v>
      </c>
      <c r="R252" s="17" t="str">
        <f>IFERROR(__xludf.DUMMYFUNCTION("""COMPUTED_VALUE"""),"
")</f>
        <v>
</v>
      </c>
      <c r="S252" s="17" t="str">
        <f>IFERROR(__xludf.DUMMYFUNCTION("""COMPUTED_VALUE"""),"
")</f>
        <v>
</v>
      </c>
      <c r="T252" s="17" t="str">
        <f>IFERROR(__xludf.DUMMYFUNCTION("""COMPUTED_VALUE"""),"
")</f>
        <v>
</v>
      </c>
      <c r="U252" s="17" t="str">
        <f>IFERROR(__xludf.DUMMYFUNCTION("""COMPUTED_VALUE"""),"
")</f>
        <v>
</v>
      </c>
      <c r="V252" s="17" t="str">
        <f>IFERROR(__xludf.DUMMYFUNCTION("""COMPUTED_VALUE"""),"
")</f>
        <v>
</v>
      </c>
      <c r="W252" s="17" t="str">
        <f>IFERROR(__xludf.DUMMYFUNCTION("""COMPUTED_VALUE"""),"
")</f>
        <v>
</v>
      </c>
      <c r="X252" s="17" t="str">
        <f>IFERROR(__xludf.DUMMYFUNCTION("""COMPUTED_VALUE"""),"
")</f>
        <v>
</v>
      </c>
      <c r="Y252" s="17" t="str">
        <f>IFERROR(__xludf.DUMMYFUNCTION("""COMPUTED_VALUE"""),"
")</f>
        <v>
</v>
      </c>
      <c r="Z252" s="17" t="str">
        <f>IFERROR(__xludf.DUMMYFUNCTION("""COMPUTED_VALUE"""),"
")</f>
        <v>
</v>
      </c>
      <c r="AA252" s="17" t="str">
        <f>IFERROR(__xludf.DUMMYFUNCTION("""COMPUTED_VALUE"""),"
")</f>
        <v>
</v>
      </c>
      <c r="AB252" s="17" t="str">
        <f>IFERROR(__xludf.DUMMYFUNCTION("""COMPUTED_VALUE"""),"
")</f>
        <v>
</v>
      </c>
      <c r="AC252" s="17" t="str">
        <f>IFERROR(__xludf.DUMMYFUNCTION("""COMPUTED_VALUE"""),"
")</f>
        <v>
</v>
      </c>
    </row>
    <row r="253">
      <c r="A253" s="17" t="str">
        <f>IFERROR(__xludf.DUMMYFUNCTION("""COMPUTED_VALUE"""),"Chapter 99: 72 Cakewalk
Sky Simulator (Personal Reality) 100:
This replaces your boring drab ceiling with a completely realistic sky simulation… or a non-realistic sky simulation if you prefer the universe to look like something out a Bosch painting. Sinc"&amp;"e this means you won’t have a ceiling to attach anything to, all your lighting options now come with Street Lamps. Note that this does not add any height to your Personal Reality.
Facility")</f>
        <v>Chapter 99: 72 Cakewalk
Sky Simulator (Personal Reality) 100:
This replaces your boring drab ceiling with a completely realistic sky simulation… or a non-realistic sky simulation if you prefer the universe to look like something out a Bosch painting. Since this means you won’t have a ceiling to attach anything to, all your lighting options now come with Street Lamps. Note that this does not add any height to your Personal Reality.
Facility</v>
      </c>
      <c r="B253" s="17" t="str">
        <f>IFERROR(__xludf.DUMMYFUNCTION("""COMPUTED_VALUE"""),"Chapter 99: 72 Cakewalk
Fly a Kite (Personal Reality) 100:
While this doesn’t add any usable height to your Personal Reality, it means that all the sky space is free for use for flying kites or hot air ballooning
Facility")</f>
        <v>Chapter 99: 72 Cakewalk
Fly a Kite (Personal Reality) 100:
While this doesn’t add any usable height to your Personal Reality, it means that all the sky space is free for use for flying kites or hot air ballooning
Facility</v>
      </c>
      <c r="C253" s="17" t="str">
        <f>IFERROR(__xludf.DUMMYFUNCTION("""COMPUTED_VALUE"""),"
")</f>
        <v>
</v>
      </c>
      <c r="D253" s="17" t="str">
        <f>IFERROR(__xludf.DUMMYFUNCTION("""COMPUTED_VALUE"""),"
")</f>
        <v>
</v>
      </c>
      <c r="E253" s="17" t="str">
        <f>IFERROR(__xludf.DUMMYFUNCTION("""COMPUTED_VALUE"""),"
")</f>
        <v>
</v>
      </c>
      <c r="F253" s="17" t="str">
        <f>IFERROR(__xludf.DUMMYFUNCTION("""COMPUTED_VALUE"""),"
")</f>
        <v>
</v>
      </c>
      <c r="G253" s="17" t="str">
        <f>IFERROR(__xludf.DUMMYFUNCTION("""COMPUTED_VALUE"""),"
")</f>
        <v>
</v>
      </c>
      <c r="H253" s="17" t="str">
        <f>IFERROR(__xludf.DUMMYFUNCTION("""COMPUTED_VALUE"""),"
")</f>
        <v>
</v>
      </c>
      <c r="I253" s="17" t="str">
        <f>IFERROR(__xludf.DUMMYFUNCTION("""COMPUTED_VALUE"""),"
")</f>
        <v>
</v>
      </c>
      <c r="J253" s="17" t="str">
        <f>IFERROR(__xludf.DUMMYFUNCTION("""COMPUTED_VALUE"""),"
")</f>
        <v>
</v>
      </c>
      <c r="K253" s="17" t="str">
        <f>IFERROR(__xludf.DUMMYFUNCTION("""COMPUTED_VALUE"""),"
")</f>
        <v>
</v>
      </c>
      <c r="L253" s="17" t="str">
        <f>IFERROR(__xludf.DUMMYFUNCTION("""COMPUTED_VALUE"""),"
")</f>
        <v>
</v>
      </c>
      <c r="M253" s="17" t="str">
        <f>IFERROR(__xludf.DUMMYFUNCTION("""COMPUTED_VALUE"""),"
")</f>
        <v>
</v>
      </c>
      <c r="N253" s="17" t="str">
        <f>IFERROR(__xludf.DUMMYFUNCTION("""COMPUTED_VALUE"""),"
")</f>
        <v>
</v>
      </c>
      <c r="O253" s="17" t="str">
        <f>IFERROR(__xludf.DUMMYFUNCTION("""COMPUTED_VALUE"""),"
")</f>
        <v>
</v>
      </c>
      <c r="P253" s="17" t="str">
        <f>IFERROR(__xludf.DUMMYFUNCTION("""COMPUTED_VALUE"""),"
")</f>
        <v>
</v>
      </c>
      <c r="Q253" s="17" t="str">
        <f>IFERROR(__xludf.DUMMYFUNCTION("""COMPUTED_VALUE"""),"
")</f>
        <v>
</v>
      </c>
      <c r="R253" s="17" t="str">
        <f>IFERROR(__xludf.DUMMYFUNCTION("""COMPUTED_VALUE"""),"
")</f>
        <v>
</v>
      </c>
      <c r="S253" s="17" t="str">
        <f>IFERROR(__xludf.DUMMYFUNCTION("""COMPUTED_VALUE"""),"
")</f>
        <v>
</v>
      </c>
      <c r="T253" s="17" t="str">
        <f>IFERROR(__xludf.DUMMYFUNCTION("""COMPUTED_VALUE"""),"
")</f>
        <v>
</v>
      </c>
      <c r="U253" s="17" t="str">
        <f>IFERROR(__xludf.DUMMYFUNCTION("""COMPUTED_VALUE"""),"
")</f>
        <v>
</v>
      </c>
      <c r="V253" s="17" t="str">
        <f>IFERROR(__xludf.DUMMYFUNCTION("""COMPUTED_VALUE"""),"
")</f>
        <v>
</v>
      </c>
      <c r="W253" s="17" t="str">
        <f>IFERROR(__xludf.DUMMYFUNCTION("""COMPUTED_VALUE"""),"
")</f>
        <v>
</v>
      </c>
      <c r="X253" s="17" t="str">
        <f>IFERROR(__xludf.DUMMYFUNCTION("""COMPUTED_VALUE"""),"
")</f>
        <v>
</v>
      </c>
      <c r="Y253" s="17" t="str">
        <f>IFERROR(__xludf.DUMMYFUNCTION("""COMPUTED_VALUE"""),"
")</f>
        <v>
</v>
      </c>
      <c r="Z253" s="17" t="str">
        <f>IFERROR(__xludf.DUMMYFUNCTION("""COMPUTED_VALUE"""),"
")</f>
        <v>
</v>
      </c>
      <c r="AA253" s="17" t="str">
        <f>IFERROR(__xludf.DUMMYFUNCTION("""COMPUTED_VALUE"""),"
")</f>
        <v>
</v>
      </c>
      <c r="AB253" s="17" t="str">
        <f>IFERROR(__xludf.DUMMYFUNCTION("""COMPUTED_VALUE"""),"
")</f>
        <v>
</v>
      </c>
      <c r="AC253" s="17" t="str">
        <f>IFERROR(__xludf.DUMMYFUNCTION("""COMPUTED_VALUE"""),"
")</f>
        <v>
</v>
      </c>
    </row>
    <row r="254">
      <c r="A254" s="17" t="str">
        <f>IFERROR(__xludf.DUMMYFUNCTION("""COMPUTED_VALUE"""),"Chapter 81: 62 Summit Consensus
Shelving (Personal Reality) Free:
Basic metal shelves to keep your goods on, the kind you find in industrial big box stores, sized for pallets and numbered for sorting. You’ll get up to as many as will suit your initial spa"&amp;"ce allotment, but if you don’t take all of them, you’ll need to buy more on your own… they sell them at most business supply warehouses, ironically enough.
Item")</f>
        <v>Chapter 81: 62 Summit Consensus
Shelving (Personal Reality) Free:
Basic metal shelves to keep your goods on, the kind you find in industrial big box stores, sized for pallets and numbered for sorting. You’ll get up to as many as will suit your initial space allotment, but if you don’t take all of them, you’ll need to buy more on your own… they sell them at most business supply warehouses, ironically enough.
Item</v>
      </c>
      <c r="B254" s="17" t="str">
        <f>IFERROR(__xludf.DUMMYFUNCTION("""COMPUTED_VALUE"""),"Chapter 81: 62 Summit Consensus
Storage Solutions (Personal Reality) 200:
Your Personal Reality now has a specialized set of construction automatons which can produce the appropriate storage option for anything you know how to safely contain. These golems"&amp;" could make protective cases for your collectables, display cases for your pet universe, or just endless crates to stuff the preserved heads of everyone who has ever crossed you. All such storage items are fiat-backed never to weaken or wear out and can e"&amp;"asily integrate any form of security you might have. All will be clearly labeled.
Facility")</f>
        <v>Chapter 81: 62 Summit Consensus
Storage Solutions (Personal Reality) 200:
Your Personal Reality now has a specialized set of construction automatons which can produce the appropriate storage option for anything you know how to safely contain. These golems could make protective cases for your collectables, display cases for your pet universe, or just endless crates to stuff the preserved heads of everyone who has ever crossed you. All such storage items are fiat-backed never to weaken or wear out and can easily integrate any form of security you might have. All will be clearly labeled.
Facility</v>
      </c>
      <c r="C254" s="17" t="str">
        <f>IFERROR(__xludf.DUMMYFUNCTION("""COMPUTED_VALUE"""),"
")</f>
        <v>
</v>
      </c>
      <c r="D254" s="17" t="str">
        <f>IFERROR(__xludf.DUMMYFUNCTION("""COMPUTED_VALUE"""),"
")</f>
        <v>
</v>
      </c>
      <c r="E254" s="17" t="str">
        <f>IFERROR(__xludf.DUMMYFUNCTION("""COMPUTED_VALUE"""),"
")</f>
        <v>
</v>
      </c>
      <c r="F254" s="17" t="str">
        <f>IFERROR(__xludf.DUMMYFUNCTION("""COMPUTED_VALUE"""),"
")</f>
        <v>
</v>
      </c>
      <c r="G254" s="17" t="str">
        <f>IFERROR(__xludf.DUMMYFUNCTION("""COMPUTED_VALUE"""),"
")</f>
        <v>
</v>
      </c>
      <c r="H254" s="17" t="str">
        <f>IFERROR(__xludf.DUMMYFUNCTION("""COMPUTED_VALUE"""),"
")</f>
        <v>
</v>
      </c>
      <c r="I254" s="17" t="str">
        <f>IFERROR(__xludf.DUMMYFUNCTION("""COMPUTED_VALUE"""),"
")</f>
        <v>
</v>
      </c>
      <c r="J254" s="17" t="str">
        <f>IFERROR(__xludf.DUMMYFUNCTION("""COMPUTED_VALUE"""),"
")</f>
        <v>
</v>
      </c>
      <c r="K254" s="17" t="str">
        <f>IFERROR(__xludf.DUMMYFUNCTION("""COMPUTED_VALUE"""),"
")</f>
        <v>
</v>
      </c>
      <c r="L254" s="17" t="str">
        <f>IFERROR(__xludf.DUMMYFUNCTION("""COMPUTED_VALUE"""),"
")</f>
        <v>
</v>
      </c>
      <c r="M254" s="17" t="str">
        <f>IFERROR(__xludf.DUMMYFUNCTION("""COMPUTED_VALUE"""),"
")</f>
        <v>
</v>
      </c>
      <c r="N254" s="17" t="str">
        <f>IFERROR(__xludf.DUMMYFUNCTION("""COMPUTED_VALUE"""),"
")</f>
        <v>
</v>
      </c>
      <c r="O254" s="17" t="str">
        <f>IFERROR(__xludf.DUMMYFUNCTION("""COMPUTED_VALUE"""),"
")</f>
        <v>
</v>
      </c>
      <c r="P254" s="17" t="str">
        <f>IFERROR(__xludf.DUMMYFUNCTION("""COMPUTED_VALUE"""),"
")</f>
        <v>
</v>
      </c>
      <c r="Q254" s="17" t="str">
        <f>IFERROR(__xludf.DUMMYFUNCTION("""COMPUTED_VALUE"""),"
")</f>
        <v>
</v>
      </c>
      <c r="R254" s="17" t="str">
        <f>IFERROR(__xludf.DUMMYFUNCTION("""COMPUTED_VALUE"""),"
")</f>
        <v>
</v>
      </c>
      <c r="S254" s="17" t="str">
        <f>IFERROR(__xludf.DUMMYFUNCTION("""COMPUTED_VALUE"""),"
")</f>
        <v>
</v>
      </c>
      <c r="T254" s="17" t="str">
        <f>IFERROR(__xludf.DUMMYFUNCTION("""COMPUTED_VALUE"""),"
")</f>
        <v>
</v>
      </c>
      <c r="U254" s="17" t="str">
        <f>IFERROR(__xludf.DUMMYFUNCTION("""COMPUTED_VALUE"""),"
")</f>
        <v>
</v>
      </c>
      <c r="V254" s="17" t="str">
        <f>IFERROR(__xludf.DUMMYFUNCTION("""COMPUTED_VALUE"""),"
")</f>
        <v>
</v>
      </c>
      <c r="W254" s="17" t="str">
        <f>IFERROR(__xludf.DUMMYFUNCTION("""COMPUTED_VALUE"""),"
")</f>
        <v>
</v>
      </c>
      <c r="X254" s="17" t="str">
        <f>IFERROR(__xludf.DUMMYFUNCTION("""COMPUTED_VALUE"""),"
")</f>
        <v>
</v>
      </c>
      <c r="Y254" s="17" t="str">
        <f>IFERROR(__xludf.DUMMYFUNCTION("""COMPUTED_VALUE"""),"
")</f>
        <v>
</v>
      </c>
      <c r="Z254" s="17" t="str">
        <f>IFERROR(__xludf.DUMMYFUNCTION("""COMPUTED_VALUE"""),"
")</f>
        <v>
</v>
      </c>
      <c r="AA254" s="17" t="str">
        <f>IFERROR(__xludf.DUMMYFUNCTION("""COMPUTED_VALUE"""),"
")</f>
        <v>
</v>
      </c>
      <c r="AB254" s="17" t="str">
        <f>IFERROR(__xludf.DUMMYFUNCTION("""COMPUTED_VALUE"""),"
")</f>
        <v>
</v>
      </c>
      <c r="AC254" s="17" t="str">
        <f>IFERROR(__xludf.DUMMYFUNCTION("""COMPUTED_VALUE"""),"
")</f>
        <v>
</v>
      </c>
    </row>
    <row r="255">
      <c r="A255" s="17" t="str">
        <f>IFERROR(__xludf.DUMMYFUNCTION("""COMPUTED_VALUE"""),"Chapter 145: 99 Main Event - Preamble Hemorrhagia
Temporal Controls (Personal Reality) 200:
This Personal Reality Option gives you control over how fast time flows in your Personal Reality while you’re not there. The default is 1:1, but with this you can "&amp;"dial it anywhere from 1:10 to 10:1. Remember, this doesn’t work when you’re in the warehouse.
Facility")</f>
        <v>Chapter 145: 99 Main Event - Preamble Hemorrhagia
Temporal Controls (Personal Reality) 200:
This Personal Reality Option gives you control over how fast time flows in your Personal Reality while you’re not there. The default is 1:1, but with this you can dial it anywhere from 1:10 to 10:1. Remember, this doesn’t work when you’re in the warehouse.
Facility</v>
      </c>
      <c r="B255" s="17" t="str">
        <f>IFERROR(__xludf.DUMMYFUNCTION("""COMPUTED_VALUE"""),"
")</f>
        <v>
</v>
      </c>
      <c r="C255" s="17" t="str">
        <f>IFERROR(__xludf.DUMMYFUNCTION("""COMPUTED_VALUE"""),"
")</f>
        <v>
</v>
      </c>
      <c r="D255" s="17" t="str">
        <f>IFERROR(__xludf.DUMMYFUNCTION("""COMPUTED_VALUE"""),"
")</f>
        <v>
</v>
      </c>
      <c r="E255" s="17" t="str">
        <f>IFERROR(__xludf.DUMMYFUNCTION("""COMPUTED_VALUE"""),"
")</f>
        <v>
</v>
      </c>
      <c r="F255" s="17" t="str">
        <f>IFERROR(__xludf.DUMMYFUNCTION("""COMPUTED_VALUE"""),"
")</f>
        <v>
</v>
      </c>
      <c r="G255" s="17" t="str">
        <f>IFERROR(__xludf.DUMMYFUNCTION("""COMPUTED_VALUE"""),"
")</f>
        <v>
</v>
      </c>
      <c r="H255" s="17" t="str">
        <f>IFERROR(__xludf.DUMMYFUNCTION("""COMPUTED_VALUE"""),"
")</f>
        <v>
</v>
      </c>
      <c r="I255" s="17" t="str">
        <f>IFERROR(__xludf.DUMMYFUNCTION("""COMPUTED_VALUE"""),"
")</f>
        <v>
</v>
      </c>
      <c r="J255" s="17" t="str">
        <f>IFERROR(__xludf.DUMMYFUNCTION("""COMPUTED_VALUE"""),"
")</f>
        <v>
</v>
      </c>
      <c r="K255" s="17" t="str">
        <f>IFERROR(__xludf.DUMMYFUNCTION("""COMPUTED_VALUE"""),"
")</f>
        <v>
</v>
      </c>
      <c r="L255" s="17" t="str">
        <f>IFERROR(__xludf.DUMMYFUNCTION("""COMPUTED_VALUE"""),"
")</f>
        <v>
</v>
      </c>
      <c r="M255" s="17" t="str">
        <f>IFERROR(__xludf.DUMMYFUNCTION("""COMPUTED_VALUE"""),"
")</f>
        <v>
</v>
      </c>
      <c r="N255" s="17" t="str">
        <f>IFERROR(__xludf.DUMMYFUNCTION("""COMPUTED_VALUE"""),"
")</f>
        <v>
</v>
      </c>
      <c r="O255" s="17" t="str">
        <f>IFERROR(__xludf.DUMMYFUNCTION("""COMPUTED_VALUE"""),"
")</f>
        <v>
</v>
      </c>
      <c r="P255" s="17" t="str">
        <f>IFERROR(__xludf.DUMMYFUNCTION("""COMPUTED_VALUE"""),"
")</f>
        <v>
</v>
      </c>
      <c r="Q255" s="17" t="str">
        <f>IFERROR(__xludf.DUMMYFUNCTION("""COMPUTED_VALUE"""),"
")</f>
        <v>
</v>
      </c>
      <c r="R255" s="17" t="str">
        <f>IFERROR(__xludf.DUMMYFUNCTION("""COMPUTED_VALUE"""),"
")</f>
        <v>
</v>
      </c>
      <c r="S255" s="17" t="str">
        <f>IFERROR(__xludf.DUMMYFUNCTION("""COMPUTED_VALUE"""),"
")</f>
        <v>
</v>
      </c>
      <c r="T255" s="17" t="str">
        <f>IFERROR(__xludf.DUMMYFUNCTION("""COMPUTED_VALUE"""),"
")</f>
        <v>
</v>
      </c>
      <c r="U255" s="17" t="str">
        <f>IFERROR(__xludf.DUMMYFUNCTION("""COMPUTED_VALUE"""),"
")</f>
        <v>
</v>
      </c>
      <c r="V255" s="17" t="str">
        <f>IFERROR(__xludf.DUMMYFUNCTION("""COMPUTED_VALUE"""),"
")</f>
        <v>
</v>
      </c>
      <c r="W255" s="17" t="str">
        <f>IFERROR(__xludf.DUMMYFUNCTION("""COMPUTED_VALUE"""),"
")</f>
        <v>
</v>
      </c>
      <c r="X255" s="17" t="str">
        <f>IFERROR(__xludf.DUMMYFUNCTION("""COMPUTED_VALUE"""),"
")</f>
        <v>
</v>
      </c>
      <c r="Y255" s="17" t="str">
        <f>IFERROR(__xludf.DUMMYFUNCTION("""COMPUTED_VALUE"""),"
")</f>
        <v>
</v>
      </c>
      <c r="Z255" s="17" t="str">
        <f>IFERROR(__xludf.DUMMYFUNCTION("""COMPUTED_VALUE"""),"
")</f>
        <v>
</v>
      </c>
      <c r="AA255" s="17" t="str">
        <f>IFERROR(__xludf.DUMMYFUNCTION("""COMPUTED_VALUE"""),"
")</f>
        <v>
</v>
      </c>
      <c r="AB255" s="17" t="str">
        <f>IFERROR(__xludf.DUMMYFUNCTION("""COMPUTED_VALUE"""),"
")</f>
        <v>
</v>
      </c>
      <c r="AC255" s="17" t="str">
        <f>IFERROR(__xludf.DUMMYFUNCTION("""COMPUTED_VALUE"""),"
")</f>
        <v>
</v>
      </c>
    </row>
    <row r="256">
      <c r="A256" s="17" t="str">
        <f>IFERROR(__xludf.DUMMYFUNCTION("""COMPUTED_VALUE"""),"")</f>
        <v/>
      </c>
      <c r="B256" s="17" t="str">
        <f>IFERROR(__xludf.DUMMYFUNCTION("""COMPUTED_VALUE"""),"")</f>
        <v/>
      </c>
      <c r="C256" s="17" t="str">
        <f>IFERROR(__xludf.DUMMYFUNCTION("""COMPUTED_VALUE"""),"")</f>
        <v/>
      </c>
      <c r="D256" s="17" t="str">
        <f>IFERROR(__xludf.DUMMYFUNCTION("""COMPUTED_VALUE"""),"")</f>
        <v/>
      </c>
      <c r="E256" s="17" t="str">
        <f>IFERROR(__xludf.DUMMYFUNCTION("""COMPUTED_VALUE"""),"")</f>
        <v/>
      </c>
      <c r="F256" s="17" t="str">
        <f>IFERROR(__xludf.DUMMYFUNCTION("""COMPUTED_VALUE"""),"")</f>
        <v/>
      </c>
      <c r="G256" s="17" t="str">
        <f>IFERROR(__xludf.DUMMYFUNCTION("""COMPUTED_VALUE"""),"")</f>
        <v/>
      </c>
      <c r="H256" s="17" t="str">
        <f>IFERROR(__xludf.DUMMYFUNCTION("""COMPUTED_VALUE"""),"")</f>
        <v/>
      </c>
      <c r="I256" s="17" t="str">
        <f>IFERROR(__xludf.DUMMYFUNCTION("""COMPUTED_VALUE"""),"")</f>
        <v/>
      </c>
      <c r="J256" s="17" t="str">
        <f>IFERROR(__xludf.DUMMYFUNCTION("""COMPUTED_VALUE"""),"")</f>
        <v/>
      </c>
      <c r="K256" s="17" t="str">
        <f>IFERROR(__xludf.DUMMYFUNCTION("""COMPUTED_VALUE"""),"")</f>
        <v/>
      </c>
      <c r="L256" s="17" t="str">
        <f>IFERROR(__xludf.DUMMYFUNCTION("""COMPUTED_VALUE"""),"")</f>
        <v/>
      </c>
      <c r="M256" s="17" t="str">
        <f>IFERROR(__xludf.DUMMYFUNCTION("""COMPUTED_VALUE"""),"")</f>
        <v/>
      </c>
      <c r="N256" s="17" t="str">
        <f>IFERROR(__xludf.DUMMYFUNCTION("""COMPUTED_VALUE"""),"")</f>
        <v/>
      </c>
      <c r="O256" s="17" t="str">
        <f>IFERROR(__xludf.DUMMYFUNCTION("""COMPUTED_VALUE"""),"")</f>
        <v/>
      </c>
      <c r="P256" s="17" t="str">
        <f>IFERROR(__xludf.DUMMYFUNCTION("""COMPUTED_VALUE"""),"")</f>
        <v/>
      </c>
      <c r="Q256" s="17" t="str">
        <f>IFERROR(__xludf.DUMMYFUNCTION("""COMPUTED_VALUE"""),"")</f>
        <v/>
      </c>
      <c r="R256" s="17" t="str">
        <f>IFERROR(__xludf.DUMMYFUNCTION("""COMPUTED_VALUE"""),"")</f>
        <v/>
      </c>
      <c r="S256" s="17" t="str">
        <f>IFERROR(__xludf.DUMMYFUNCTION("""COMPUTED_VALUE"""),"")</f>
        <v/>
      </c>
      <c r="T256" s="17" t="str">
        <f>IFERROR(__xludf.DUMMYFUNCTION("""COMPUTED_VALUE"""),"")</f>
        <v/>
      </c>
      <c r="U256" s="17" t="str">
        <f>IFERROR(__xludf.DUMMYFUNCTION("""COMPUTED_VALUE"""),"")</f>
        <v/>
      </c>
      <c r="V256" s="17" t="str">
        <f>IFERROR(__xludf.DUMMYFUNCTION("""COMPUTED_VALUE"""),"")</f>
        <v/>
      </c>
      <c r="W256" s="17" t="str">
        <f>IFERROR(__xludf.DUMMYFUNCTION("""COMPUTED_VALUE"""),"")</f>
        <v/>
      </c>
      <c r="X256" s="17" t="str">
        <f>IFERROR(__xludf.DUMMYFUNCTION("""COMPUTED_VALUE"""),"")</f>
        <v/>
      </c>
      <c r="Y256" s="17" t="str">
        <f>IFERROR(__xludf.DUMMYFUNCTION("""COMPUTED_VALUE"""),"")</f>
        <v/>
      </c>
      <c r="Z256" s="17" t="str">
        <f>IFERROR(__xludf.DUMMYFUNCTION("""COMPUTED_VALUE"""),"")</f>
        <v/>
      </c>
      <c r="AA256" s="17" t="str">
        <f>IFERROR(__xludf.DUMMYFUNCTION("""COMPUTED_VALUE"""),"")</f>
        <v/>
      </c>
      <c r="AB256" s="17" t="str">
        <f>IFERROR(__xludf.DUMMYFUNCTION("""COMPUTED_VALUE"""),"")</f>
        <v/>
      </c>
      <c r="AC256" s="17" t="str">
        <f>IFERROR(__xludf.DUMMYFUNCTION("""COMPUTED_VALUE"""),"")</f>
        <v/>
      </c>
    </row>
    <row r="257">
      <c r="A257" s="17" t="str">
        <f>IFERROR(__xludf.DUMMYFUNCTION("""COMPUTED_VALUE"""),"Chapter 91: 67 Development Plans
The Pond (Personal Reality) 200:
One of the four walls of your Personal Reality has been replaced with a water feature. This is essentially a pond, but you can give it tides and or waves, make it fresh or salt, and give it"&amp;" a beach if you like. If you buy the Garage option, it comes with a Marina for your boats and a second entry zone so you can drive your boats out into the host reality. For -50WP each, can be expanded to additional walls.
Facility")</f>
        <v>Chapter 91: 67 Development Plans
The Pond (Personal Reality) 200:
One of the four walls of your Personal Reality has been replaced with a water feature. This is essentially a pond, but you can give it tides and or waves, make it fresh or salt, and give it a beach if you like. If you buy the Garage option, it comes with a Marina for your boats and a second entry zone so you can drive your boats out into the host reality. For -50WP each, can be expanded to additional walls.
Facility</v>
      </c>
      <c r="B257" s="17" t="str">
        <f>IFERROR(__xludf.DUMMYFUNCTION("""COMPUTED_VALUE"""),"Chapter 91: 67 Development Plans
The Meaning of Life (Personal Reality) 100:
This The Pond Upgrade adds in fish and shellfish and pondweed/seaweed to your pond. Also the occasional duck or swan or other waterfowl. Maybe some frogs or lizards or small rept"&amp;"ilians, but nothing dangerous… unless you bought a specific limitation.
Facility")</f>
        <v>Chapter 91: 67 Development Plans
The Meaning of Life (Personal Reality) 100:
This The Pond Upgrade adds in fish and shellfish and pondweed/seaweed to your pond. Also the occasional duck or swan or other waterfowl. Maybe some frogs or lizards or small reptilians, but nothing dangerous… unless you bought a specific limitation.
Facility</v>
      </c>
      <c r="C257" s="17" t="str">
        <f>IFERROR(__xludf.DUMMYFUNCTION("""COMPUTED_VALUE"""),"Chapter 91: 67 Development Plans
The Pond-Expansion (Personal Reality) 50:
For -50WP each, can be expanded to additional walls.
Facility")</f>
        <v>Chapter 91: 67 Development Plans
The Pond-Expansion (Personal Reality) 50:
For -50WP each, can be expanded to additional walls.
Facility</v>
      </c>
      <c r="D257" s="17" t="str">
        <f>IFERROR(__xludf.DUMMYFUNCTION("""COMPUTED_VALUE"""),"
")</f>
        <v>
</v>
      </c>
      <c r="E257" s="17" t="str">
        <f>IFERROR(__xludf.DUMMYFUNCTION("""COMPUTED_VALUE"""),"
")</f>
        <v>
</v>
      </c>
      <c r="F257" s="17" t="str">
        <f>IFERROR(__xludf.DUMMYFUNCTION("""COMPUTED_VALUE"""),"
")</f>
        <v>
</v>
      </c>
      <c r="G257" s="17" t="str">
        <f>IFERROR(__xludf.DUMMYFUNCTION("""COMPUTED_VALUE"""),"
")</f>
        <v>
</v>
      </c>
      <c r="H257" s="17" t="str">
        <f>IFERROR(__xludf.DUMMYFUNCTION("""COMPUTED_VALUE"""),"
")</f>
        <v>
</v>
      </c>
      <c r="I257" s="17" t="str">
        <f>IFERROR(__xludf.DUMMYFUNCTION("""COMPUTED_VALUE"""),"
")</f>
        <v>
</v>
      </c>
      <c r="J257" s="17" t="str">
        <f>IFERROR(__xludf.DUMMYFUNCTION("""COMPUTED_VALUE"""),"
")</f>
        <v>
</v>
      </c>
      <c r="K257" s="17" t="str">
        <f>IFERROR(__xludf.DUMMYFUNCTION("""COMPUTED_VALUE"""),"
")</f>
        <v>
</v>
      </c>
      <c r="L257" s="17" t="str">
        <f>IFERROR(__xludf.DUMMYFUNCTION("""COMPUTED_VALUE"""),"
")</f>
        <v>
</v>
      </c>
      <c r="M257" s="17" t="str">
        <f>IFERROR(__xludf.DUMMYFUNCTION("""COMPUTED_VALUE"""),"
")</f>
        <v>
</v>
      </c>
      <c r="N257" s="17" t="str">
        <f>IFERROR(__xludf.DUMMYFUNCTION("""COMPUTED_VALUE"""),"
")</f>
        <v>
</v>
      </c>
      <c r="O257" s="17" t="str">
        <f>IFERROR(__xludf.DUMMYFUNCTION("""COMPUTED_VALUE"""),"
")</f>
        <v>
</v>
      </c>
      <c r="P257" s="17" t="str">
        <f>IFERROR(__xludf.DUMMYFUNCTION("""COMPUTED_VALUE"""),"
")</f>
        <v>
</v>
      </c>
      <c r="Q257" s="17" t="str">
        <f>IFERROR(__xludf.DUMMYFUNCTION("""COMPUTED_VALUE"""),"
")</f>
        <v>
</v>
      </c>
      <c r="R257" s="17" t="str">
        <f>IFERROR(__xludf.DUMMYFUNCTION("""COMPUTED_VALUE"""),"
")</f>
        <v>
</v>
      </c>
      <c r="S257" s="17" t="str">
        <f>IFERROR(__xludf.DUMMYFUNCTION("""COMPUTED_VALUE"""),"
")</f>
        <v>
</v>
      </c>
      <c r="T257" s="17" t="str">
        <f>IFERROR(__xludf.DUMMYFUNCTION("""COMPUTED_VALUE"""),"
")</f>
        <v>
</v>
      </c>
      <c r="U257" s="17" t="str">
        <f>IFERROR(__xludf.DUMMYFUNCTION("""COMPUTED_VALUE"""),"
")</f>
        <v>
</v>
      </c>
      <c r="V257" s="17" t="str">
        <f>IFERROR(__xludf.DUMMYFUNCTION("""COMPUTED_VALUE"""),"
")</f>
        <v>
</v>
      </c>
      <c r="W257" s="17" t="str">
        <f>IFERROR(__xludf.DUMMYFUNCTION("""COMPUTED_VALUE"""),"
")</f>
        <v>
</v>
      </c>
      <c r="X257" s="17" t="str">
        <f>IFERROR(__xludf.DUMMYFUNCTION("""COMPUTED_VALUE"""),"
")</f>
        <v>
</v>
      </c>
      <c r="Y257" s="17" t="str">
        <f>IFERROR(__xludf.DUMMYFUNCTION("""COMPUTED_VALUE"""),"
")</f>
        <v>
</v>
      </c>
      <c r="Z257" s="17" t="str">
        <f>IFERROR(__xludf.DUMMYFUNCTION("""COMPUTED_VALUE"""),"
")</f>
        <v>
</v>
      </c>
      <c r="AA257" s="17" t="str">
        <f>IFERROR(__xludf.DUMMYFUNCTION("""COMPUTED_VALUE"""),"
")</f>
        <v>
</v>
      </c>
      <c r="AB257" s="17" t="str">
        <f>IFERROR(__xludf.DUMMYFUNCTION("""COMPUTED_VALUE"""),"
")</f>
        <v>
</v>
      </c>
      <c r="AC257" s="17" t="str">
        <f>IFERROR(__xludf.DUMMYFUNCTION("""COMPUTED_VALUE"""),"
")</f>
        <v>
</v>
      </c>
    </row>
    <row r="258">
      <c r="A258" s="17" t="str">
        <f>IFERROR(__xludf.DUMMYFUNCTION("""COMPUTED_VALUE"""),"Chapter 130: 93 Loom and Thread
Treeline (Personal Reality) 200:
Walls getting you down? Well, you’re in luck. Not only does this replace your walls with trees, there’s actually a bit of a forest out there. Not useable for storage, but you can walk throug"&amp;"h the woods or cut down trees at the edge of the line for lumber or firewood. Any trees cut down regrow overnight and the stumps can never be cleared. You can walk as far into the woods as you like, but you’ll eventually come out on the other side of your"&amp;" Personal Reality. The trees are a mix of common trees from Earth and you can customize them to your liking with sliders to control how many pines, oaks, poplars, palms, apple trees, etc. The trees will naturally cycle through a year over the course of a "&amp;"year.
Facility")</f>
        <v>Chapter 130: 93 Loom and Thread
Treeline (Personal Reality) 200:
Walls getting you down? Well, you’re in luck. Not only does this replace your walls with trees, there’s actually a bit of a forest out there. Not useable for storage, but you can walk through the woods or cut down trees at the edge of the line for lumber or firewood. Any trees cut down regrow overnight and the stumps can never be cleared. You can walk as far into the woods as you like, but you’ll eventually come out on the other side of your Personal Reality. The trees are a mix of common trees from Earth and you can customize them to your liking with sliders to control how many pines, oaks, poplars, palms, apple trees, etc. The trees will naturally cycle through a year over the course of a year.
Facility</v>
      </c>
      <c r="B258" s="17" t="str">
        <f>IFERROR(__xludf.DUMMYFUNCTION("""COMPUTED_VALUE"""),"Chapter 130: 93 Loom and Thread
Wildlife (Personal Reality) 100:
This Treeline upgrade adds in small forest creatures like rabbits, squirrels, wolves, and bears. Ferrets too, but they’re not actually wild-animals… except the black-foot ferret, which is. O"&amp;"h, yeah. birds too, I guess. And bugs… but only mostly harmless ones. Bees yes, Wasps no.
Facility")</f>
        <v>Chapter 130: 93 Loom and Thread
Wildlife (Personal Reality) 100:
This Treeline upgrade adds in small forest creatures like rabbits, squirrels, wolves, and bears. Ferrets too, but they’re not actually wild-animals… except the black-foot ferret, which is. Oh, yeah. birds too, I guess. And bugs… but only mostly harmless ones. Bees yes, Wasps no.
Facility</v>
      </c>
      <c r="C258" s="17" t="str">
        <f>IFERROR(__xludf.DUMMYFUNCTION("""COMPUTED_VALUE"""),"Chapter 130: 93 Loom and Thread
The Village (Personal Reality) Free with Sky and Ground plus Trees or Pond on all four sides:
Your Personal Reality now looks like a town in the middle of the woods, or in a mountain valley, or on a cliffside or seaside / l"&amp;"akeside. Not only that, but you can divide up sections of Warehouse by placing paths or bits of forest or water between them. This includes all Personal Reality expansions you buy, so if you want your Olympian Temple on an island off the coast of your vil"&amp;"lage, that’s fine. The dividing space can be up to 100x the total footprint of your Personal Reality space, but dividing zones and paths can’t be used to store stuff… it’s purely aesthetic
Facility")</f>
        <v>Chapter 130: 93 Loom and Thread
The Village (Personal Reality) Free with Sky and Ground plus Trees or Pond on all four sides:
Your Personal Reality now looks like a town in the middle of the woods, or in a mountain valley, or on a cliffside or seaside / lakeside. Not only that, but you can divide up sections of Warehouse by placing paths or bits of forest or water between them. This includes all Personal Reality expansions you buy, so if you want your Olympian Temple on an island off the coast of your village, that’s fine. The dividing space can be up to 100x the total footprint of your Personal Reality space, but dividing zones and paths can’t be used to store stuff… it’s purely aesthetic
Facility</v>
      </c>
      <c r="D258" s="17" t="str">
        <f>IFERROR(__xludf.DUMMYFUNCTION("""COMPUTED_VALUE"""),"
")</f>
        <v>
</v>
      </c>
      <c r="E258" s="17" t="str">
        <f>IFERROR(__xludf.DUMMYFUNCTION("""COMPUTED_VALUE"""),"
")</f>
        <v>
</v>
      </c>
      <c r="F258" s="17" t="str">
        <f>IFERROR(__xludf.DUMMYFUNCTION("""COMPUTED_VALUE"""),"
")</f>
        <v>
</v>
      </c>
      <c r="G258" s="17" t="str">
        <f>IFERROR(__xludf.DUMMYFUNCTION("""COMPUTED_VALUE"""),"
")</f>
        <v>
</v>
      </c>
      <c r="H258" s="17" t="str">
        <f>IFERROR(__xludf.DUMMYFUNCTION("""COMPUTED_VALUE"""),"
")</f>
        <v>
</v>
      </c>
      <c r="I258" s="17" t="str">
        <f>IFERROR(__xludf.DUMMYFUNCTION("""COMPUTED_VALUE"""),"
")</f>
        <v>
</v>
      </c>
      <c r="J258" s="17" t="str">
        <f>IFERROR(__xludf.DUMMYFUNCTION("""COMPUTED_VALUE"""),"
")</f>
        <v>
</v>
      </c>
      <c r="K258" s="17" t="str">
        <f>IFERROR(__xludf.DUMMYFUNCTION("""COMPUTED_VALUE"""),"
")</f>
        <v>
</v>
      </c>
      <c r="L258" s="17" t="str">
        <f>IFERROR(__xludf.DUMMYFUNCTION("""COMPUTED_VALUE"""),"
")</f>
        <v>
</v>
      </c>
      <c r="M258" s="17" t="str">
        <f>IFERROR(__xludf.DUMMYFUNCTION("""COMPUTED_VALUE"""),"
")</f>
        <v>
</v>
      </c>
      <c r="N258" s="17" t="str">
        <f>IFERROR(__xludf.DUMMYFUNCTION("""COMPUTED_VALUE"""),"
")</f>
        <v>
</v>
      </c>
      <c r="O258" s="17" t="str">
        <f>IFERROR(__xludf.DUMMYFUNCTION("""COMPUTED_VALUE"""),"
")</f>
        <v>
</v>
      </c>
      <c r="P258" s="17" t="str">
        <f>IFERROR(__xludf.DUMMYFUNCTION("""COMPUTED_VALUE"""),"
")</f>
        <v>
</v>
      </c>
      <c r="Q258" s="17" t="str">
        <f>IFERROR(__xludf.DUMMYFUNCTION("""COMPUTED_VALUE"""),"
")</f>
        <v>
</v>
      </c>
      <c r="R258" s="17" t="str">
        <f>IFERROR(__xludf.DUMMYFUNCTION("""COMPUTED_VALUE"""),"
")</f>
        <v>
</v>
      </c>
      <c r="S258" s="17" t="str">
        <f>IFERROR(__xludf.DUMMYFUNCTION("""COMPUTED_VALUE"""),"
")</f>
        <v>
</v>
      </c>
      <c r="T258" s="17" t="str">
        <f>IFERROR(__xludf.DUMMYFUNCTION("""COMPUTED_VALUE"""),"
")</f>
        <v>
</v>
      </c>
      <c r="U258" s="17" t="str">
        <f>IFERROR(__xludf.DUMMYFUNCTION("""COMPUTED_VALUE"""),"
")</f>
        <v>
</v>
      </c>
      <c r="V258" s="17" t="str">
        <f>IFERROR(__xludf.DUMMYFUNCTION("""COMPUTED_VALUE"""),"
")</f>
        <v>
</v>
      </c>
      <c r="W258" s="17" t="str">
        <f>IFERROR(__xludf.DUMMYFUNCTION("""COMPUTED_VALUE"""),"
")</f>
        <v>
</v>
      </c>
      <c r="X258" s="17" t="str">
        <f>IFERROR(__xludf.DUMMYFUNCTION("""COMPUTED_VALUE"""),"
")</f>
        <v>
</v>
      </c>
      <c r="Y258" s="17" t="str">
        <f>IFERROR(__xludf.DUMMYFUNCTION("""COMPUTED_VALUE"""),"
")</f>
        <v>
</v>
      </c>
      <c r="Z258" s="17" t="str">
        <f>IFERROR(__xludf.DUMMYFUNCTION("""COMPUTED_VALUE"""),"
")</f>
        <v>
</v>
      </c>
      <c r="AA258" s="17" t="str">
        <f>IFERROR(__xludf.DUMMYFUNCTION("""COMPUTED_VALUE"""),"
")</f>
        <v>
</v>
      </c>
      <c r="AB258" s="17" t="str">
        <f>IFERROR(__xludf.DUMMYFUNCTION("""COMPUTED_VALUE"""),"
")</f>
        <v>
</v>
      </c>
      <c r="AC258" s="17" t="str">
        <f>IFERROR(__xludf.DUMMYFUNCTION("""COMPUTED_VALUE"""),"
")</f>
        <v>
</v>
      </c>
    </row>
    <row r="259">
      <c r="A259" s="17" t="str">
        <f>IFERROR(__xludf.DUMMYFUNCTION("""COMPUTED_VALUE"""),"Chapter 98: 71 Good Faith - Preamble PHO
Trophy Room (Personal Reality) 50:
A spacious chamber set up for you to aesthetically showcase the various trophies and rewards you will gather on your chain. It keeps them safe and from causing harm or from decayi"&amp;"ng.
Facility")</f>
        <v>Chapter 98: 71 Good Faith - Preamble PHO
Trophy Room (Personal Reality) 50:
A spacious chamber set up for you to aesthetically showcase the various trophies and rewards you will gather on your chain. It keeps them safe and from causing harm or from decaying.
Facility</v>
      </c>
      <c r="B259" s="17" t="str">
        <f>IFERROR(__xludf.DUMMYFUNCTION("""COMPUTED_VALUE"""),"
")</f>
        <v>
</v>
      </c>
      <c r="C259" s="17" t="str">
        <f>IFERROR(__xludf.DUMMYFUNCTION("""COMPUTED_VALUE"""),"
")</f>
        <v>
</v>
      </c>
      <c r="D259" s="17" t="str">
        <f>IFERROR(__xludf.DUMMYFUNCTION("""COMPUTED_VALUE"""),"
")</f>
        <v>
</v>
      </c>
      <c r="E259" s="17" t="str">
        <f>IFERROR(__xludf.DUMMYFUNCTION("""COMPUTED_VALUE"""),"
")</f>
        <v>
</v>
      </c>
      <c r="F259" s="17" t="str">
        <f>IFERROR(__xludf.DUMMYFUNCTION("""COMPUTED_VALUE"""),"
")</f>
        <v>
</v>
      </c>
      <c r="G259" s="17" t="str">
        <f>IFERROR(__xludf.DUMMYFUNCTION("""COMPUTED_VALUE"""),"
")</f>
        <v>
</v>
      </c>
      <c r="H259" s="17" t="str">
        <f>IFERROR(__xludf.DUMMYFUNCTION("""COMPUTED_VALUE"""),"
")</f>
        <v>
</v>
      </c>
      <c r="I259" s="17" t="str">
        <f>IFERROR(__xludf.DUMMYFUNCTION("""COMPUTED_VALUE"""),"
")</f>
        <v>
</v>
      </c>
      <c r="J259" s="17" t="str">
        <f>IFERROR(__xludf.DUMMYFUNCTION("""COMPUTED_VALUE"""),"
")</f>
        <v>
</v>
      </c>
      <c r="K259" s="17" t="str">
        <f>IFERROR(__xludf.DUMMYFUNCTION("""COMPUTED_VALUE"""),"
")</f>
        <v>
</v>
      </c>
      <c r="L259" s="17" t="str">
        <f>IFERROR(__xludf.DUMMYFUNCTION("""COMPUTED_VALUE"""),"
")</f>
        <v>
</v>
      </c>
      <c r="M259" s="17" t="str">
        <f>IFERROR(__xludf.DUMMYFUNCTION("""COMPUTED_VALUE"""),"
")</f>
        <v>
</v>
      </c>
      <c r="N259" s="17" t="str">
        <f>IFERROR(__xludf.DUMMYFUNCTION("""COMPUTED_VALUE"""),"
")</f>
        <v>
</v>
      </c>
      <c r="O259" s="17" t="str">
        <f>IFERROR(__xludf.DUMMYFUNCTION("""COMPUTED_VALUE"""),"
")</f>
        <v>
</v>
      </c>
      <c r="P259" s="17" t="str">
        <f>IFERROR(__xludf.DUMMYFUNCTION("""COMPUTED_VALUE"""),"
")</f>
        <v>
</v>
      </c>
      <c r="Q259" s="17" t="str">
        <f>IFERROR(__xludf.DUMMYFUNCTION("""COMPUTED_VALUE"""),"
")</f>
        <v>
</v>
      </c>
      <c r="R259" s="17" t="str">
        <f>IFERROR(__xludf.DUMMYFUNCTION("""COMPUTED_VALUE"""),"
")</f>
        <v>
</v>
      </c>
      <c r="S259" s="17" t="str">
        <f>IFERROR(__xludf.DUMMYFUNCTION("""COMPUTED_VALUE"""),"
")</f>
        <v>
</v>
      </c>
      <c r="T259" s="17" t="str">
        <f>IFERROR(__xludf.DUMMYFUNCTION("""COMPUTED_VALUE"""),"
")</f>
        <v>
</v>
      </c>
      <c r="U259" s="17" t="str">
        <f>IFERROR(__xludf.DUMMYFUNCTION("""COMPUTED_VALUE"""),"
")</f>
        <v>
</v>
      </c>
      <c r="V259" s="17" t="str">
        <f>IFERROR(__xludf.DUMMYFUNCTION("""COMPUTED_VALUE"""),"
")</f>
        <v>
</v>
      </c>
      <c r="W259" s="17" t="str">
        <f>IFERROR(__xludf.DUMMYFUNCTION("""COMPUTED_VALUE"""),"
")</f>
        <v>
</v>
      </c>
      <c r="X259" s="17" t="str">
        <f>IFERROR(__xludf.DUMMYFUNCTION("""COMPUTED_VALUE"""),"
")</f>
        <v>
</v>
      </c>
      <c r="Y259" s="17" t="str">
        <f>IFERROR(__xludf.DUMMYFUNCTION("""COMPUTED_VALUE"""),"
")</f>
        <v>
</v>
      </c>
      <c r="Z259" s="17" t="str">
        <f>IFERROR(__xludf.DUMMYFUNCTION("""COMPUTED_VALUE"""),"
")</f>
        <v>
</v>
      </c>
      <c r="AA259" s="17" t="str">
        <f>IFERROR(__xludf.DUMMYFUNCTION("""COMPUTED_VALUE"""),"
")</f>
        <v>
</v>
      </c>
      <c r="AB259" s="17" t="str">
        <f>IFERROR(__xludf.DUMMYFUNCTION("""COMPUTED_VALUE"""),"
")</f>
        <v>
</v>
      </c>
      <c r="AC259" s="17" t="str">
        <f>IFERROR(__xludf.DUMMYFUNCTION("""COMPUTED_VALUE"""),"
")</f>
        <v>
</v>
      </c>
    </row>
    <row r="260">
      <c r="A260" s="17" t="str">
        <f>IFERROR(__xludf.DUMMYFUNCTION("""COMPUTED_VALUE"""),"")</f>
        <v/>
      </c>
      <c r="B260" s="17" t="str">
        <f>IFERROR(__xludf.DUMMYFUNCTION("""COMPUTED_VALUE"""),"")</f>
        <v/>
      </c>
      <c r="C260" s="17" t="str">
        <f>IFERROR(__xludf.DUMMYFUNCTION("""COMPUTED_VALUE"""),"")</f>
        <v/>
      </c>
      <c r="D260" s="17" t="str">
        <f>IFERROR(__xludf.DUMMYFUNCTION("""COMPUTED_VALUE"""),"")</f>
        <v/>
      </c>
      <c r="E260" s="17" t="str">
        <f>IFERROR(__xludf.DUMMYFUNCTION("""COMPUTED_VALUE"""),"")</f>
        <v/>
      </c>
      <c r="F260" s="17" t="str">
        <f>IFERROR(__xludf.DUMMYFUNCTION("""COMPUTED_VALUE"""),"")</f>
        <v/>
      </c>
      <c r="G260" s="17" t="str">
        <f>IFERROR(__xludf.DUMMYFUNCTION("""COMPUTED_VALUE"""),"")</f>
        <v/>
      </c>
      <c r="H260" s="17" t="str">
        <f>IFERROR(__xludf.DUMMYFUNCTION("""COMPUTED_VALUE"""),"")</f>
        <v/>
      </c>
      <c r="I260" s="17" t="str">
        <f>IFERROR(__xludf.DUMMYFUNCTION("""COMPUTED_VALUE"""),"")</f>
        <v/>
      </c>
      <c r="J260" s="17" t="str">
        <f>IFERROR(__xludf.DUMMYFUNCTION("""COMPUTED_VALUE"""),"")</f>
        <v/>
      </c>
      <c r="K260" s="17" t="str">
        <f>IFERROR(__xludf.DUMMYFUNCTION("""COMPUTED_VALUE"""),"")</f>
        <v/>
      </c>
      <c r="L260" s="17" t="str">
        <f>IFERROR(__xludf.DUMMYFUNCTION("""COMPUTED_VALUE"""),"")</f>
        <v/>
      </c>
      <c r="M260" s="17" t="str">
        <f>IFERROR(__xludf.DUMMYFUNCTION("""COMPUTED_VALUE"""),"")</f>
        <v/>
      </c>
      <c r="N260" s="17" t="str">
        <f>IFERROR(__xludf.DUMMYFUNCTION("""COMPUTED_VALUE"""),"")</f>
        <v/>
      </c>
      <c r="O260" s="17" t="str">
        <f>IFERROR(__xludf.DUMMYFUNCTION("""COMPUTED_VALUE"""),"")</f>
        <v/>
      </c>
      <c r="P260" s="17" t="str">
        <f>IFERROR(__xludf.DUMMYFUNCTION("""COMPUTED_VALUE"""),"")</f>
        <v/>
      </c>
      <c r="Q260" s="17" t="str">
        <f>IFERROR(__xludf.DUMMYFUNCTION("""COMPUTED_VALUE"""),"")</f>
        <v/>
      </c>
      <c r="R260" s="17" t="str">
        <f>IFERROR(__xludf.DUMMYFUNCTION("""COMPUTED_VALUE"""),"")</f>
        <v/>
      </c>
      <c r="S260" s="17" t="str">
        <f>IFERROR(__xludf.DUMMYFUNCTION("""COMPUTED_VALUE"""),"")</f>
        <v/>
      </c>
      <c r="T260" s="17" t="str">
        <f>IFERROR(__xludf.DUMMYFUNCTION("""COMPUTED_VALUE"""),"")</f>
        <v/>
      </c>
      <c r="U260" s="17" t="str">
        <f>IFERROR(__xludf.DUMMYFUNCTION("""COMPUTED_VALUE"""),"")</f>
        <v/>
      </c>
      <c r="V260" s="17" t="str">
        <f>IFERROR(__xludf.DUMMYFUNCTION("""COMPUTED_VALUE"""),"")</f>
        <v/>
      </c>
      <c r="W260" s="17" t="str">
        <f>IFERROR(__xludf.DUMMYFUNCTION("""COMPUTED_VALUE"""),"")</f>
        <v/>
      </c>
      <c r="X260" s="17" t="str">
        <f>IFERROR(__xludf.DUMMYFUNCTION("""COMPUTED_VALUE"""),"")</f>
        <v/>
      </c>
      <c r="Y260" s="17" t="str">
        <f>IFERROR(__xludf.DUMMYFUNCTION("""COMPUTED_VALUE"""),"")</f>
        <v/>
      </c>
      <c r="Z260" s="17" t="str">
        <f>IFERROR(__xludf.DUMMYFUNCTION("""COMPUTED_VALUE"""),"")</f>
        <v/>
      </c>
      <c r="AA260" s="17" t="str">
        <f>IFERROR(__xludf.DUMMYFUNCTION("""COMPUTED_VALUE"""),"")</f>
        <v/>
      </c>
      <c r="AB260" s="17" t="str">
        <f>IFERROR(__xludf.DUMMYFUNCTION("""COMPUTED_VALUE"""),"")</f>
        <v/>
      </c>
      <c r="AC260" s="17" t="str">
        <f>IFERROR(__xludf.DUMMYFUNCTION("""COMPUTED_VALUE"""),"")</f>
        <v/>
      </c>
    </row>
    <row r="261">
      <c r="A261" s="17" t="str">
        <f>IFERROR(__xludf.DUMMYFUNCTION("""COMPUTED_VALUE"""),"Chapter 104: 75 Wind Down
Who’s Got the Powa (Personal Reality) 100:
This provides enough electricity to power a city the size of New York City or London, forever, with nary a brown out or power fluctuation ever. It also comes with all the basic wiring ho"&amp;"okups, surge protectors, outlets, circuit-breakers, routers, etc you might need… but you’ll probably want to get a qualified electrician in at some point… or pick up a companion who does that kind of thing. Purchase of this supplies all facilities inside "&amp;"your Personal Reality with electrical hookups.
Facility")</f>
        <v>Chapter 104: 75 Wind Down
Who’s Got the Powa (Personal Reality) 100:
This provides enough electricity to power a city the size of New York City or London, forever, with nary a brown out or power fluctuation ever. It also comes with all the basic wiring hookups, surge protectors, outlets, circuit-breakers, routers, etc you might need… but you’ll probably want to get a qualified electrician in at some point… or pick up a companion who does that kind of thing. Purchase of this supplies all facilities inside your Personal Reality with electrical hookups.
Facility</v>
      </c>
      <c r="B261" s="17" t="str">
        <f>IFERROR(__xludf.DUMMYFUNCTION("""COMPUTED_VALUE"""),"Chapter 104: 75 Wind Down
POWER OVERWHELMING (Personal Reality) 400:
Not enough power? Okay, this Who’s Got the Powa Upgrade means that your Personal Reality is now hooked up to the full power of a Sol-Class Star encased in a Dyson Sphere. Congratulations"&amp;", you’re now a Kardashev II civilization. If this isn’t enough power, you need an intervention.
Facility")</f>
        <v>Chapter 104: 75 Wind Down
POWER OVERWHELMING (Personal Reality) 400:
Not enough power? Okay, this Who’s Got the Powa Upgrade means that your Personal Reality is now hooked up to the full power of a Sol-Class Star encased in a Dyson Sphere. Congratulations, you’re now a Kardashev II civilization. If this isn’t enough power, you need an intervention.
Facility</v>
      </c>
      <c r="C261" s="17" t="str">
        <f>IFERROR(__xludf.DUMMYFUNCTION("""COMPUTED_VALUE"""),"
")</f>
        <v>
</v>
      </c>
      <c r="D261" s="17" t="str">
        <f>IFERROR(__xludf.DUMMYFUNCTION("""COMPUTED_VALUE"""),"
")</f>
        <v>
</v>
      </c>
      <c r="E261" s="17" t="str">
        <f>IFERROR(__xludf.DUMMYFUNCTION("""COMPUTED_VALUE"""),"
")</f>
        <v>
</v>
      </c>
      <c r="F261" s="17" t="str">
        <f>IFERROR(__xludf.DUMMYFUNCTION("""COMPUTED_VALUE"""),"
")</f>
        <v>
</v>
      </c>
      <c r="G261" s="17" t="str">
        <f>IFERROR(__xludf.DUMMYFUNCTION("""COMPUTED_VALUE"""),"
")</f>
        <v>
</v>
      </c>
      <c r="H261" s="17" t="str">
        <f>IFERROR(__xludf.DUMMYFUNCTION("""COMPUTED_VALUE"""),"
")</f>
        <v>
</v>
      </c>
      <c r="I261" s="17" t="str">
        <f>IFERROR(__xludf.DUMMYFUNCTION("""COMPUTED_VALUE"""),"
")</f>
        <v>
</v>
      </c>
      <c r="J261" s="17" t="str">
        <f>IFERROR(__xludf.DUMMYFUNCTION("""COMPUTED_VALUE"""),"
")</f>
        <v>
</v>
      </c>
      <c r="K261" s="17" t="str">
        <f>IFERROR(__xludf.DUMMYFUNCTION("""COMPUTED_VALUE"""),"
")</f>
        <v>
</v>
      </c>
      <c r="L261" s="17" t="str">
        <f>IFERROR(__xludf.DUMMYFUNCTION("""COMPUTED_VALUE"""),"
")</f>
        <v>
</v>
      </c>
      <c r="M261" s="17" t="str">
        <f>IFERROR(__xludf.DUMMYFUNCTION("""COMPUTED_VALUE"""),"
")</f>
        <v>
</v>
      </c>
      <c r="N261" s="17" t="str">
        <f>IFERROR(__xludf.DUMMYFUNCTION("""COMPUTED_VALUE"""),"
")</f>
        <v>
</v>
      </c>
      <c r="O261" s="17" t="str">
        <f>IFERROR(__xludf.DUMMYFUNCTION("""COMPUTED_VALUE"""),"
")</f>
        <v>
</v>
      </c>
      <c r="P261" s="17" t="str">
        <f>IFERROR(__xludf.DUMMYFUNCTION("""COMPUTED_VALUE"""),"
")</f>
        <v>
</v>
      </c>
      <c r="Q261" s="17" t="str">
        <f>IFERROR(__xludf.DUMMYFUNCTION("""COMPUTED_VALUE"""),"
")</f>
        <v>
</v>
      </c>
      <c r="R261" s="17" t="str">
        <f>IFERROR(__xludf.DUMMYFUNCTION("""COMPUTED_VALUE"""),"
")</f>
        <v>
</v>
      </c>
      <c r="S261" s="17" t="str">
        <f>IFERROR(__xludf.DUMMYFUNCTION("""COMPUTED_VALUE"""),"
")</f>
        <v>
</v>
      </c>
      <c r="T261" s="17" t="str">
        <f>IFERROR(__xludf.DUMMYFUNCTION("""COMPUTED_VALUE"""),"
")</f>
        <v>
</v>
      </c>
      <c r="U261" s="17" t="str">
        <f>IFERROR(__xludf.DUMMYFUNCTION("""COMPUTED_VALUE"""),"
")</f>
        <v>
</v>
      </c>
      <c r="V261" s="17" t="str">
        <f>IFERROR(__xludf.DUMMYFUNCTION("""COMPUTED_VALUE"""),"
")</f>
        <v>
</v>
      </c>
      <c r="W261" s="17" t="str">
        <f>IFERROR(__xludf.DUMMYFUNCTION("""COMPUTED_VALUE"""),"
")</f>
        <v>
</v>
      </c>
      <c r="X261" s="17" t="str">
        <f>IFERROR(__xludf.DUMMYFUNCTION("""COMPUTED_VALUE"""),"
")</f>
        <v>
</v>
      </c>
      <c r="Y261" s="17" t="str">
        <f>IFERROR(__xludf.DUMMYFUNCTION("""COMPUTED_VALUE"""),"
")</f>
        <v>
</v>
      </c>
      <c r="Z261" s="17" t="str">
        <f>IFERROR(__xludf.DUMMYFUNCTION("""COMPUTED_VALUE"""),"
")</f>
        <v>
</v>
      </c>
      <c r="AA261" s="17" t="str">
        <f>IFERROR(__xludf.DUMMYFUNCTION("""COMPUTED_VALUE"""),"
")</f>
        <v>
</v>
      </c>
      <c r="AB261" s="17" t="str">
        <f>IFERROR(__xludf.DUMMYFUNCTION("""COMPUTED_VALUE"""),"
")</f>
        <v>
</v>
      </c>
      <c r="AC261" s="17" t="str">
        <f>IFERROR(__xludf.DUMMYFUNCTION("""COMPUTED_VALUE"""),"
")</f>
        <v>
</v>
      </c>
    </row>
    <row r="262">
      <c r="A262" s="17" t="str">
        <f>IFERROR(__xludf.DUMMYFUNCTION("""COMPUTED_VALUE"""),"Chapter 97: 70 Media Presence
Windows (Personal Reality) 50:
Rooms in your Personal Reality receive windows which look out onto some scenery of the current Jump. The view can be customized per room, but can’t be used for spying purposes or to view private"&amp;" moments.
Facility")</f>
        <v>Chapter 97: 70 Media Presence
Windows (Personal Reality) 50:
Rooms in your Personal Reality receive windows which look out onto some scenery of the current Jump. The view can be customized per room, but can’t be used for spying purposes or to view private moments.
Facility</v>
      </c>
      <c r="B262" s="17" t="str">
        <f>IFERROR(__xludf.DUMMYFUNCTION("""COMPUTED_VALUE"""),"
")</f>
        <v>
</v>
      </c>
      <c r="C262" s="17" t="str">
        <f>IFERROR(__xludf.DUMMYFUNCTION("""COMPUTED_VALUE"""),"
")</f>
        <v>
</v>
      </c>
      <c r="D262" s="17" t="str">
        <f>IFERROR(__xludf.DUMMYFUNCTION("""COMPUTED_VALUE"""),"
")</f>
        <v>
</v>
      </c>
      <c r="E262" s="17" t="str">
        <f>IFERROR(__xludf.DUMMYFUNCTION("""COMPUTED_VALUE"""),"
")</f>
        <v>
</v>
      </c>
      <c r="F262" s="17" t="str">
        <f>IFERROR(__xludf.DUMMYFUNCTION("""COMPUTED_VALUE"""),"
")</f>
        <v>
</v>
      </c>
      <c r="G262" s="17" t="str">
        <f>IFERROR(__xludf.DUMMYFUNCTION("""COMPUTED_VALUE"""),"
")</f>
        <v>
</v>
      </c>
      <c r="H262" s="17" t="str">
        <f>IFERROR(__xludf.DUMMYFUNCTION("""COMPUTED_VALUE"""),"
")</f>
        <v>
</v>
      </c>
      <c r="I262" s="17" t="str">
        <f>IFERROR(__xludf.DUMMYFUNCTION("""COMPUTED_VALUE"""),"
")</f>
        <v>
</v>
      </c>
      <c r="J262" s="17" t="str">
        <f>IFERROR(__xludf.DUMMYFUNCTION("""COMPUTED_VALUE"""),"
")</f>
        <v>
</v>
      </c>
      <c r="K262" s="17" t="str">
        <f>IFERROR(__xludf.DUMMYFUNCTION("""COMPUTED_VALUE"""),"
")</f>
        <v>
</v>
      </c>
      <c r="L262" s="17" t="str">
        <f>IFERROR(__xludf.DUMMYFUNCTION("""COMPUTED_VALUE"""),"
")</f>
        <v>
</v>
      </c>
      <c r="M262" s="17" t="str">
        <f>IFERROR(__xludf.DUMMYFUNCTION("""COMPUTED_VALUE"""),"
")</f>
        <v>
</v>
      </c>
      <c r="N262" s="17" t="str">
        <f>IFERROR(__xludf.DUMMYFUNCTION("""COMPUTED_VALUE"""),"
")</f>
        <v>
</v>
      </c>
      <c r="O262" s="17" t="str">
        <f>IFERROR(__xludf.DUMMYFUNCTION("""COMPUTED_VALUE"""),"
")</f>
        <v>
</v>
      </c>
      <c r="P262" s="17" t="str">
        <f>IFERROR(__xludf.DUMMYFUNCTION("""COMPUTED_VALUE"""),"
")</f>
        <v>
</v>
      </c>
      <c r="Q262" s="17" t="str">
        <f>IFERROR(__xludf.DUMMYFUNCTION("""COMPUTED_VALUE"""),"
")</f>
        <v>
</v>
      </c>
      <c r="R262" s="17" t="str">
        <f>IFERROR(__xludf.DUMMYFUNCTION("""COMPUTED_VALUE"""),"
")</f>
        <v>
</v>
      </c>
      <c r="S262" s="17" t="str">
        <f>IFERROR(__xludf.DUMMYFUNCTION("""COMPUTED_VALUE"""),"
")</f>
        <v>
</v>
      </c>
      <c r="T262" s="17" t="str">
        <f>IFERROR(__xludf.DUMMYFUNCTION("""COMPUTED_VALUE"""),"
")</f>
        <v>
</v>
      </c>
      <c r="U262" s="17" t="str">
        <f>IFERROR(__xludf.DUMMYFUNCTION("""COMPUTED_VALUE"""),"
")</f>
        <v>
</v>
      </c>
      <c r="V262" s="17" t="str">
        <f>IFERROR(__xludf.DUMMYFUNCTION("""COMPUTED_VALUE"""),"
")</f>
        <v>
</v>
      </c>
      <c r="W262" s="17" t="str">
        <f>IFERROR(__xludf.DUMMYFUNCTION("""COMPUTED_VALUE"""),"
")</f>
        <v>
</v>
      </c>
      <c r="X262" s="17" t="str">
        <f>IFERROR(__xludf.DUMMYFUNCTION("""COMPUTED_VALUE"""),"
")</f>
        <v>
</v>
      </c>
      <c r="Y262" s="17" t="str">
        <f>IFERROR(__xludf.DUMMYFUNCTION("""COMPUTED_VALUE"""),"
")</f>
        <v>
</v>
      </c>
      <c r="Z262" s="17" t="str">
        <f>IFERROR(__xludf.DUMMYFUNCTION("""COMPUTED_VALUE"""),"
")</f>
        <v>
</v>
      </c>
      <c r="AA262" s="17" t="str">
        <f>IFERROR(__xludf.DUMMYFUNCTION("""COMPUTED_VALUE"""),"
")</f>
        <v>
</v>
      </c>
      <c r="AB262" s="17" t="str">
        <f>IFERROR(__xludf.DUMMYFUNCTION("""COMPUTED_VALUE"""),"
")</f>
        <v>
</v>
      </c>
      <c r="AC262" s="17" t="str">
        <f>IFERROR(__xludf.DUMMYFUNCTION("""COMPUTED_VALUE"""),"
")</f>
        <v>
</v>
      </c>
    </row>
    <row r="263">
      <c r="A263" s="17" t="str">
        <f>IFERROR(__xludf.DUMMYFUNCTION("""COMPUTED_VALUE"""),"Chapter 01: 1 Introduction
Workshop: Metalworking (Personal Reality) 100:
Each purchase of this adds to your Personal Reality Workshop needed to perform specific type of craft, which is to be specified when purchase is made. It comes with a basic set of t"&amp;"ools and supplies. Good for fixing or creating all sorts of things, although any complex parts or nonstandard supplies will have to be brought in from outside. Additional purchases can add different types of Workshops to your Personal Reality or expand ex"&amp;"isting ones. Anything built in one of those workshops is fiat backed to be restored to its original condition within 48 hours if damaged or destroyed. Repeatable
Facility")</f>
        <v>Chapter 01: 1 Introduction
Workshop: Metalworking (Personal Reality) 100:
Each purchase of this adds to your Personal Reality Workshop needed to perform specific type of craft, which is to be specified when purchase is made. It comes with a basic set of tools and supplies. Good for fixing or creating all sorts of things, although any complex parts or nonstandard supplies will have to be brought in from outside. Additional purchases can add different types of Workshops to your Personal Reality or expand existing ones. Anything built in one of those workshops is fiat backed to be restored to its original condition within 48 hours if damaged or destroyed. Repeatable
Facility</v>
      </c>
      <c r="B263" s="17" t="str">
        <f>IFERROR(__xludf.DUMMYFUNCTION("""COMPUTED_VALUE"""),"Chapter 48: 41 Drag Out - Preamble Chen
Workshop: Woodworking (Personal Reality) 100:
Each purchase of this adds to your Personal Reality Workshop needed to perform specific type of craft, which is to be specified when purchase is made. It comes with a ba"&amp;"sic set of tools and supplies. Good for fixing or creating all sorts of things, although any complex parts or nonstandard supplies will have to be brought in from outside. Additional purchases can add different types of Workshops to your Personal Reality "&amp;"or expand existing ones. Anything built in one of those workshops is fiat backed to be restored to its original condition within 48 hours if damaged or destroyed. Repeatable
Facility")</f>
        <v>Chapter 48: 41 Drag Out - Preamble Chen
Workshop: Woodworking (Personal Reality) 100:
Each purchase of this adds to your Personal Reality Workshop needed to perform specific type of craft, which is to be specified when purchase is made. It comes with a basic set of tools and supplies. Good for fixing or creating all sorts of things, although any complex parts or nonstandard supplies will have to be brought in from outside. Additional purchases can add different types of Workshops to your Personal Reality or expand existing ones. Anything built in one of those workshops is fiat backed to be restored to its original condition within 48 hours if damaged or destroyed. Repeatable
Facility</v>
      </c>
      <c r="C263" s="17" t="str">
        <f>IFERROR(__xludf.DUMMYFUNCTION("""COMPUTED_VALUE"""),"Chapter 67: 52 Showtime
Workshop: Clothing (Personal Reality) 100:
Each purchase of this adds to your Personal Reality Workshop needed to perform specific type of craft, which is to be specified when purchase is made. It comes with a basic set of tools an"&amp;"d supplies. Good for fixing or creating all sorts of things, although any complex parts or nonstandard supplies will have to be brought in from outside. Additional purchases can add different types of Workshops to your Personal Reality or expand existing "&amp;"ones. Anything built in one of those workshops is fiat backed to be restored to its original condition within 48 hours if damaged or destroyed. Repeatable
Facility")</f>
        <v>Chapter 67: 52 Showtime
Workshop: Clothing (Personal Reality) 100:
Each purchase of this adds to your Personal Reality Workshop needed to perform specific type of craft, which is to be specified when purchase is made. It comes with a basic set of tools and supplies. Good for fixing or creating all sorts of things, although any complex parts or nonstandard supplies will have to be brought in from outside. Additional purchases can add different types of Workshops to your Personal Reality or expand existing ones. Anything built in one of those workshops is fiat backed to be restored to its original condition within 48 hours if damaged or destroyed. Repeatable
Facility</v>
      </c>
      <c r="D263" s="17" t="str">
        <f>IFERROR(__xludf.DUMMYFUNCTION("""COMPUTED_VALUE"""),"Chapter 85: 65 Summit Aftermath
Workshop: Electronics  (Personal Reality) 100:
Each purchase of this adds to your Personal Reality Workshop needed to perform specific type of craft, which is to be specified when purchase is made. It comes with a basic set"&amp;" of tools and supplies. Good for fixing or creating all sorts of things, although any complex parts or nonstandard supplies will have to be brought in from outside. Additional purchases can add different types of Workshops to your Personal Reality or expa"&amp;"nd existing ones. Anything built in one of those workshops is fiat backed to be restored to its original condition within 48 hours if damaged or destroyed. Repeatable
Facility")</f>
        <v>Chapter 85: 65 Summit Aftermath
Workshop: Electronics  (Personal Reality) 100:
Each purchase of this adds to your Personal Reality Workshop needed to perform specific type of craft, which is to be specified when purchase is made. It comes with a basic set of tools and supplies. Good for fixing or creating all sorts of things, although any complex parts or nonstandard supplies will have to be brought in from outside. Additional purchases can add different types of Workshops to your Personal Reality or expand existing ones. Anything built in one of those workshops is fiat backed to be restored to its original condition within 48 hours if damaged or destroyed. Repeatable
Facility</v>
      </c>
      <c r="E263" s="17" t="str">
        <f>IFERROR(__xludf.DUMMYFUNCTION("""COMPUTED_VALUE"""),"Chapter 109: 78 Consolidation
Workshop: Robotics (Personal Reality) 100:
Each purchase of this adds to your Personal Reality Workshop needed to perform specific type of craft, which is to be specified when purchase is made. It comes with a basic set of to"&amp;"ols and supplies. Good for fixing or creating all sorts of things, although any complex parts or nonstandard supplies will have to be brought in from outside. Additional purchases can add different types of Workshops to your Personal Reality or expand exi"&amp;"sting ones. Anything built in one of those workshops is fiat backed to be restored to its original condition within 48 hours if damaged or destroyed.
Facility")</f>
        <v>Chapter 109: 78 Consolidation
Workshop: Robotics (Personal Reality) 100:
Each purchase of this adds to your Personal Reality Workshop needed to perform specific type of craft, which is to be specified when purchase is made. It comes with a basic set of tools and supplies. Good for fixing or creating all sorts of things, although any complex parts or nonstandard supplies will have to be brought in from outside. Additional purchases can add different types of Workshops to your Personal Reality or expand existing ones. Anything built in one of those workshops is fiat backed to be restored to its original condition within 48 hours if damaged or destroyed.
Facility</v>
      </c>
      <c r="F263" s="17" t="str">
        <f>IFERROR(__xludf.DUMMYFUNCTION("""COMPUTED_VALUE"""),"
")</f>
        <v>
</v>
      </c>
      <c r="G263" s="17" t="str">
        <f>IFERROR(__xludf.DUMMYFUNCTION("""COMPUTED_VALUE"""),"
")</f>
        <v>
</v>
      </c>
      <c r="H263" s="17" t="str">
        <f>IFERROR(__xludf.DUMMYFUNCTION("""COMPUTED_VALUE"""),"
")</f>
        <v>
</v>
      </c>
      <c r="I263" s="17" t="str">
        <f>IFERROR(__xludf.DUMMYFUNCTION("""COMPUTED_VALUE"""),"
")</f>
        <v>
</v>
      </c>
      <c r="J263" s="17" t="str">
        <f>IFERROR(__xludf.DUMMYFUNCTION("""COMPUTED_VALUE"""),"
")</f>
        <v>
</v>
      </c>
      <c r="K263" s="17" t="str">
        <f>IFERROR(__xludf.DUMMYFUNCTION("""COMPUTED_VALUE"""),"
")</f>
        <v>
</v>
      </c>
      <c r="L263" s="17" t="str">
        <f>IFERROR(__xludf.DUMMYFUNCTION("""COMPUTED_VALUE"""),"
")</f>
        <v>
</v>
      </c>
      <c r="M263" s="17" t="str">
        <f>IFERROR(__xludf.DUMMYFUNCTION("""COMPUTED_VALUE"""),"
")</f>
        <v>
</v>
      </c>
      <c r="N263" s="17" t="str">
        <f>IFERROR(__xludf.DUMMYFUNCTION("""COMPUTED_VALUE"""),"
")</f>
        <v>
</v>
      </c>
      <c r="O263" s="17" t="str">
        <f>IFERROR(__xludf.DUMMYFUNCTION("""COMPUTED_VALUE"""),"
")</f>
        <v>
</v>
      </c>
      <c r="P263" s="17" t="str">
        <f>IFERROR(__xludf.DUMMYFUNCTION("""COMPUTED_VALUE"""),"
")</f>
        <v>
</v>
      </c>
      <c r="Q263" s="17" t="str">
        <f>IFERROR(__xludf.DUMMYFUNCTION("""COMPUTED_VALUE"""),"
")</f>
        <v>
</v>
      </c>
      <c r="R263" s="17" t="str">
        <f>IFERROR(__xludf.DUMMYFUNCTION("""COMPUTED_VALUE"""),"
")</f>
        <v>
</v>
      </c>
      <c r="S263" s="17" t="str">
        <f>IFERROR(__xludf.DUMMYFUNCTION("""COMPUTED_VALUE"""),"
")</f>
        <v>
</v>
      </c>
      <c r="T263" s="17" t="str">
        <f>IFERROR(__xludf.DUMMYFUNCTION("""COMPUTED_VALUE"""),"
")</f>
        <v>
</v>
      </c>
      <c r="U263" s="17" t="str">
        <f>IFERROR(__xludf.DUMMYFUNCTION("""COMPUTED_VALUE"""),"
")</f>
        <v>
</v>
      </c>
      <c r="V263" s="17" t="str">
        <f>IFERROR(__xludf.DUMMYFUNCTION("""COMPUTED_VALUE"""),"
")</f>
        <v>
</v>
      </c>
      <c r="W263" s="17" t="str">
        <f>IFERROR(__xludf.DUMMYFUNCTION("""COMPUTED_VALUE"""),"
")</f>
        <v>
</v>
      </c>
      <c r="X263" s="17" t="str">
        <f>IFERROR(__xludf.DUMMYFUNCTION("""COMPUTED_VALUE"""),"
")</f>
        <v>
</v>
      </c>
      <c r="Y263" s="17" t="str">
        <f>IFERROR(__xludf.DUMMYFUNCTION("""COMPUTED_VALUE"""),"
")</f>
        <v>
</v>
      </c>
      <c r="Z263" s="17" t="str">
        <f>IFERROR(__xludf.DUMMYFUNCTION("""COMPUTED_VALUE"""),"
")</f>
        <v>
</v>
      </c>
      <c r="AA263" s="17" t="str">
        <f>IFERROR(__xludf.DUMMYFUNCTION("""COMPUTED_VALUE"""),"
")</f>
        <v>
</v>
      </c>
      <c r="AB263" s="17" t="str">
        <f>IFERROR(__xludf.DUMMYFUNCTION("""COMPUTED_VALUE"""),"
")</f>
        <v>
</v>
      </c>
      <c r="AC263" s="17" t="str">
        <f>IFERROR(__xludf.DUMMYFUNCTION("""COMPUTED_VALUE"""),"
")</f>
        <v>
</v>
      </c>
    </row>
    <row r="264">
      <c r="A264" s="17" t="str">
        <f>IFERROR(__xludf.DUMMYFUNCTION("""COMPUTED_VALUE"""),"")</f>
        <v/>
      </c>
      <c r="B264" s="17" t="str">
        <f>IFERROR(__xludf.DUMMYFUNCTION("""COMPUTED_VALUE"""),"")</f>
        <v/>
      </c>
      <c r="C264" s="17" t="str">
        <f>IFERROR(__xludf.DUMMYFUNCTION("""COMPUTED_VALUE"""),"")</f>
        <v/>
      </c>
      <c r="D264" s="17" t="str">
        <f>IFERROR(__xludf.DUMMYFUNCTION("""COMPUTED_VALUE"""),"")</f>
        <v/>
      </c>
      <c r="E264" s="17" t="str">
        <f>IFERROR(__xludf.DUMMYFUNCTION("""COMPUTED_VALUE"""),"")</f>
        <v/>
      </c>
      <c r="F264" s="17" t="str">
        <f>IFERROR(__xludf.DUMMYFUNCTION("""COMPUTED_VALUE"""),"")</f>
        <v/>
      </c>
      <c r="G264" s="17" t="str">
        <f>IFERROR(__xludf.DUMMYFUNCTION("""COMPUTED_VALUE"""),"")</f>
        <v/>
      </c>
      <c r="H264" s="17" t="str">
        <f>IFERROR(__xludf.DUMMYFUNCTION("""COMPUTED_VALUE"""),"")</f>
        <v/>
      </c>
      <c r="I264" s="17" t="str">
        <f>IFERROR(__xludf.DUMMYFUNCTION("""COMPUTED_VALUE"""),"")</f>
        <v/>
      </c>
      <c r="J264" s="17" t="str">
        <f>IFERROR(__xludf.DUMMYFUNCTION("""COMPUTED_VALUE"""),"")</f>
        <v/>
      </c>
      <c r="K264" s="17" t="str">
        <f>IFERROR(__xludf.DUMMYFUNCTION("""COMPUTED_VALUE"""),"")</f>
        <v/>
      </c>
      <c r="L264" s="17" t="str">
        <f>IFERROR(__xludf.DUMMYFUNCTION("""COMPUTED_VALUE"""),"")</f>
        <v/>
      </c>
      <c r="M264" s="17" t="str">
        <f>IFERROR(__xludf.DUMMYFUNCTION("""COMPUTED_VALUE"""),"")</f>
        <v/>
      </c>
      <c r="N264" s="17" t="str">
        <f>IFERROR(__xludf.DUMMYFUNCTION("""COMPUTED_VALUE"""),"")</f>
        <v/>
      </c>
      <c r="O264" s="17" t="str">
        <f>IFERROR(__xludf.DUMMYFUNCTION("""COMPUTED_VALUE"""),"")</f>
        <v/>
      </c>
      <c r="P264" s="17" t="str">
        <f>IFERROR(__xludf.DUMMYFUNCTION("""COMPUTED_VALUE"""),"")</f>
        <v/>
      </c>
      <c r="Q264" s="17" t="str">
        <f>IFERROR(__xludf.DUMMYFUNCTION("""COMPUTED_VALUE"""),"")</f>
        <v/>
      </c>
      <c r="R264" s="17" t="str">
        <f>IFERROR(__xludf.DUMMYFUNCTION("""COMPUTED_VALUE"""),"")</f>
        <v/>
      </c>
      <c r="S264" s="17" t="str">
        <f>IFERROR(__xludf.DUMMYFUNCTION("""COMPUTED_VALUE"""),"")</f>
        <v/>
      </c>
      <c r="T264" s="17" t="str">
        <f>IFERROR(__xludf.DUMMYFUNCTION("""COMPUTED_VALUE"""),"")</f>
        <v/>
      </c>
      <c r="U264" s="17" t="str">
        <f>IFERROR(__xludf.DUMMYFUNCTION("""COMPUTED_VALUE"""),"")</f>
        <v/>
      </c>
      <c r="V264" s="17" t="str">
        <f>IFERROR(__xludf.DUMMYFUNCTION("""COMPUTED_VALUE"""),"")</f>
        <v/>
      </c>
      <c r="W264" s="17" t="str">
        <f>IFERROR(__xludf.DUMMYFUNCTION("""COMPUTED_VALUE"""),"")</f>
        <v/>
      </c>
      <c r="X264" s="17" t="str">
        <f>IFERROR(__xludf.DUMMYFUNCTION("""COMPUTED_VALUE"""),"")</f>
        <v/>
      </c>
      <c r="Y264" s="17" t="str">
        <f>IFERROR(__xludf.DUMMYFUNCTION("""COMPUTED_VALUE"""),"")</f>
        <v/>
      </c>
      <c r="Z264" s="17" t="str">
        <f>IFERROR(__xludf.DUMMYFUNCTION("""COMPUTED_VALUE"""),"")</f>
        <v/>
      </c>
      <c r="AA264" s="17" t="str">
        <f>IFERROR(__xludf.DUMMYFUNCTION("""COMPUTED_VALUE"""),"")</f>
        <v/>
      </c>
      <c r="AB264" s="17" t="str">
        <f>IFERROR(__xludf.DUMMYFUNCTION("""COMPUTED_VALUE"""),"")</f>
        <v/>
      </c>
      <c r="AC264" s="17" t="str">
        <f>IFERROR(__xludf.DUMMYFUNCTION("""COMPUTED_VALUE"""),"")</f>
        <v/>
      </c>
    </row>
    <row r="265">
      <c r="A265" s="17" t="str">
        <f>IFERROR(__xludf.DUMMYFUNCTION("""COMPUTED_VALUE"""),"")</f>
        <v/>
      </c>
      <c r="B265" s="17" t="str">
        <f>IFERROR(__xludf.DUMMYFUNCTION("""COMPUTED_VALUE"""),"")</f>
        <v/>
      </c>
      <c r="C265" s="17" t="str">
        <f>IFERROR(__xludf.DUMMYFUNCTION("""COMPUTED_VALUE"""),"")</f>
        <v/>
      </c>
      <c r="D265" s="17" t="str">
        <f>IFERROR(__xludf.DUMMYFUNCTION("""COMPUTED_VALUE"""),"")</f>
        <v/>
      </c>
      <c r="E265" s="17" t="str">
        <f>IFERROR(__xludf.DUMMYFUNCTION("""COMPUTED_VALUE"""),"")</f>
        <v/>
      </c>
      <c r="F265" s="17" t="str">
        <f>IFERROR(__xludf.DUMMYFUNCTION("""COMPUTED_VALUE"""),"")</f>
        <v/>
      </c>
      <c r="G265" s="17" t="str">
        <f>IFERROR(__xludf.DUMMYFUNCTION("""COMPUTED_VALUE"""),"")</f>
        <v/>
      </c>
      <c r="H265" s="17" t="str">
        <f>IFERROR(__xludf.DUMMYFUNCTION("""COMPUTED_VALUE"""),"")</f>
        <v/>
      </c>
      <c r="I265" s="17" t="str">
        <f>IFERROR(__xludf.DUMMYFUNCTION("""COMPUTED_VALUE"""),"")</f>
        <v/>
      </c>
      <c r="J265" s="17" t="str">
        <f>IFERROR(__xludf.DUMMYFUNCTION("""COMPUTED_VALUE"""),"")</f>
        <v/>
      </c>
      <c r="K265" s="17" t="str">
        <f>IFERROR(__xludf.DUMMYFUNCTION("""COMPUTED_VALUE"""),"")</f>
        <v/>
      </c>
      <c r="L265" s="17" t="str">
        <f>IFERROR(__xludf.DUMMYFUNCTION("""COMPUTED_VALUE"""),"")</f>
        <v/>
      </c>
      <c r="M265" s="17" t="str">
        <f>IFERROR(__xludf.DUMMYFUNCTION("""COMPUTED_VALUE"""),"")</f>
        <v/>
      </c>
      <c r="N265" s="17" t="str">
        <f>IFERROR(__xludf.DUMMYFUNCTION("""COMPUTED_VALUE"""),"")</f>
        <v/>
      </c>
      <c r="O265" s="17" t="str">
        <f>IFERROR(__xludf.DUMMYFUNCTION("""COMPUTED_VALUE"""),"")</f>
        <v/>
      </c>
      <c r="P265" s="17" t="str">
        <f>IFERROR(__xludf.DUMMYFUNCTION("""COMPUTED_VALUE"""),"")</f>
        <v/>
      </c>
      <c r="Q265" s="17" t="str">
        <f>IFERROR(__xludf.DUMMYFUNCTION("""COMPUTED_VALUE"""),"")</f>
        <v/>
      </c>
      <c r="R265" s="17" t="str">
        <f>IFERROR(__xludf.DUMMYFUNCTION("""COMPUTED_VALUE"""),"")</f>
        <v/>
      </c>
      <c r="S265" s="17" t="str">
        <f>IFERROR(__xludf.DUMMYFUNCTION("""COMPUTED_VALUE"""),"")</f>
        <v/>
      </c>
      <c r="T265" s="17" t="str">
        <f>IFERROR(__xludf.DUMMYFUNCTION("""COMPUTED_VALUE"""),"")</f>
        <v/>
      </c>
      <c r="U265" s="17" t="str">
        <f>IFERROR(__xludf.DUMMYFUNCTION("""COMPUTED_VALUE"""),"")</f>
        <v/>
      </c>
      <c r="V265" s="17" t="str">
        <f>IFERROR(__xludf.DUMMYFUNCTION("""COMPUTED_VALUE"""),"")</f>
        <v/>
      </c>
      <c r="W265" s="17" t="str">
        <f>IFERROR(__xludf.DUMMYFUNCTION("""COMPUTED_VALUE"""),"")</f>
        <v/>
      </c>
      <c r="X265" s="17" t="str">
        <f>IFERROR(__xludf.DUMMYFUNCTION("""COMPUTED_VALUE"""),"")</f>
        <v/>
      </c>
      <c r="Y265" s="17" t="str">
        <f>IFERROR(__xludf.DUMMYFUNCTION("""COMPUTED_VALUE"""),"")</f>
        <v/>
      </c>
      <c r="Z265" s="17" t="str">
        <f>IFERROR(__xludf.DUMMYFUNCTION("""COMPUTED_VALUE"""),"")</f>
        <v/>
      </c>
      <c r="AA265" s="17" t="str">
        <f>IFERROR(__xludf.DUMMYFUNCTION("""COMPUTED_VALUE"""),"")</f>
        <v/>
      </c>
      <c r="AB265" s="17" t="str">
        <f>IFERROR(__xludf.DUMMYFUNCTION("""COMPUTED_VALUE"""),"")</f>
        <v/>
      </c>
      <c r="AC265" s="17" t="str">
        <f>IFERROR(__xludf.DUMMYFUNCTION("""COMPUTED_VALUE"""),"")</f>
        <v/>
      </c>
    </row>
    <row r="266">
      <c r="A266" s="17" t="str">
        <f>IFERROR(__xludf.DUMMYFUNCTION("""COMPUTED_VALUE"""),"Chapter 104: 75 Wind Down
Incredibly Craftsmanship (Akame ga Kill) 600:
While the method of creating Teigu is long lost you are able to create things almost at their level, with some research and a couple other skilled people you might even be able to rec"&amp;"reate the lost arts that created the Teigu long ago. You also have all the skills to repair Teigu or other incredible items from near destruction.
System")</f>
        <v>Chapter 104: 75 Wind Down
Incredibly Craftsmanship (Akame ga Kill) 600:
While the method of creating Teigu is long lost you are able to create things almost at their level, with some research and a couple other skilled people you might even be able to recreate the lost arts that created the Teigu long ago. You also have all the skills to repair Teigu or other incredible items from near destruction.
System</v>
      </c>
      <c r="B266" s="17" t="str">
        <f>IFERROR(__xludf.DUMMYFUNCTION("""COMPUTED_VALUE"""),"Chapter 104: 75 Wind Down
General Level Potential (Akame ga Kill) Free:
You start with the potential to reach a level of physical and spiritual ability needed to become one of the generals of the empire. You also start out with a level of ability that man"&amp;"y Captains would envy, and skill with one weapon type in particular. While this alone does not grant you the potential on par with the most powerful people in this world, it does bring you close enough that they can't instantly kill you
Personal")</f>
        <v>Chapter 104: 75 Wind Down
General Level Potential (Akame ga Kill) Free:
You start with the potential to reach a level of physical and spiritual ability needed to become one of the generals of the empire. You also start out with a level of ability that many Captains would envy, and skill with one weapon type in particular. While this alone does not grant you the potential on par with the most powerful people in this world, it does bring you close enough that they can't instantly kill you
Personal</v>
      </c>
      <c r="C266" s="17" t="str">
        <f>IFERROR(__xludf.DUMMYFUNCTION("""COMPUTED_VALUE"""),"Chapter 104: 75 Wind Down
Perfect Hair (Akame ga Kill) Free:
Your hair is perfect, no matter how long, no matter what conditions, explosions constantly around you and getting beaten into the deck of a boat by water can do nothing to your perfect hair. It'"&amp;"s never an impediment, nor will it every be damaged in a battle, even if someone shoots and hits your hair, there will be no evidence that your hair was shot. If your hairdo gets dramatically altered, it will only make you look better and take a comb and "&amp;"a moment to restore it.
Personal")</f>
        <v>Chapter 104: 75 Wind Down
Perfect Hair (Akame ga Kill) Free:
Your hair is perfect, no matter how long, no matter what conditions, explosions constantly around you and getting beaten into the deck of a boat by water can do nothing to your perfect hair. It's never an impediment, nor will it every be damaged in a battle, even if someone shoots and hits your hair, there will be no evidence that your hair was shot. If your hairdo gets dramatically altered, it will only make you look better and take a comb and a moment to restore it.
Personal</v>
      </c>
      <c r="D266" s="17" t="str">
        <f>IFERROR(__xludf.DUMMYFUNCTION("""COMPUTED_VALUE"""),"Chapter 104: 75 Wind Down
Imperial Arms/Teigu (Akame ga Kill) Free:
You get one free and you may determine who it would be compatible with(besides yourself), or what qualities would make one compatible with it. First though you have to select a Teigu Type"&amp;". The type of Teigu you chose will also govern what discounts you have in this section. You may also freely import an item of that type to apply the abilities of your Teigu to it(unless your Teigu is an Organism, or Extract type). Teigu options may be com"&amp;"bine how you wish, unless noted. Discounts do not stack.
Object: as an object your Teigu is a relatively mundane thing on it's own, and instead grants it's power to the user. It could be a ring, a flute, a pair of gloves or even something like a makeup ki"&amp;"t, but it can't be a practical weapon or armor. However this type of Teigu excels at special abilities, making them easier to utilize rapidly or continuously. If you import an item for this, the item may actually be of any type weapon or armor included, h"&amp;"owever it will not gain any new physical abilities(though it will be increased in durability if lacking).
Flight, Discount Object: Your Teigu holds the power of Flight, while you may be able to approximate this with other options, buying it this way will "&amp;"almost certainly be superior, due to it being far more natural and easier to use.
Awareness, Discount Object: Your Teigu gives you an awareness of it, this counts for things produced directly by your Teigu, and it's physical components. Such that you may "&amp;"know if something interacts with your Teigu directly even if that happens quite a distance from you, or that you will know the location and movement of any projectiles you produce. Not that this effect is that great without something else to enhance it, b"&amp;"ut it's enough to be aware of your traps. (Integrated into Lantern Shield)
Item")</f>
        <v>Chapter 104: 75 Wind Down
Imperial Arms/Teigu (Akame ga Kill) Free:
You get one free and you may determine who it would be compatible with(besides yourself), or what qualities would make one compatible with it. First though you have to select a Teigu Type. The type of Teigu you chose will also govern what discounts you have in this section. You may also freely import an item of that type to apply the abilities of your Teigu to it(unless your Teigu is an Organism, or Extract type). Teigu options may be combine how you wish, unless noted. Discounts do not stack.
Object: as an object your Teigu is a relatively mundane thing on it's own, and instead grants it's power to the user. It could be a ring, a flute, a pair of gloves or even something like a makeup kit, but it can't be a practical weapon or armor. However this type of Teigu excels at special abilities, making them easier to utilize rapidly or continuously. If you import an item for this, the item may actually be of any type weapon or armor included, however it will not gain any new physical abilities(though it will be increased in durability if lacking).
Flight, Discount Object: Your Teigu holds the power of Flight, while you may be able to approximate this with other options, buying it this way will almost certainly be superior, due to it being far more natural and easier to use.
Awareness, Discount Object: Your Teigu gives you an awareness of it, this counts for things produced directly by your Teigu, and it's physical components. Such that you may know if something interacts with your Teigu directly even if that happens quite a distance from you, or that you will know the location and movement of any projectiles you produce. Not that this effect is that great without something else to enhance it, but it's enough to be aware of your traps. (Integrated into Lantern Shield)
Item</v>
      </c>
      <c r="E266" s="17" t="str">
        <f>IFERROR(__xludf.DUMMYFUNCTION("""COMPUTED_VALUE"""),"Chapter 104: 75 Wind Down
Simple Sturdy Weapon (Akame ga Kill) Free:
This is a simple weapon that could withstand combat against Teigu, it's nowhere near as durable, but it isn't likely to break unless faced with active effects of a Teigu. This weapon can"&amp;" be of any type you like, from guns to swords, whips to spears, gun-clubs or rifle-glaive, it could even be a pair of swords or similarly paired weapon. If you pick a gun, bow, or other projectile weapon you get a sizable amount of ammo to go with it, cer"&amp;"tain to last you a while before you need to get more. (Short Sword Chosen)
Item")</f>
        <v>Chapter 104: 75 Wind Down
Simple Sturdy Weapon (Akame ga Kill) Free:
This is a simple weapon that could withstand combat against Teigu, it's nowhere near as durable, but it isn't likely to break unless faced with active effects of a Teigu. This weapon can be of any type you like, from guns to swords, whips to spears, gun-clubs or rifle-glaive, it could even be a pair of swords or similarly paired weapon. If you pick a gun, bow, or other projectile weapon you get a sizable amount of ammo to go with it, certain to last you a while before you need to get more. (Short Sword Chosen)
Item</v>
      </c>
      <c r="F266" s="17" t="str">
        <f>IFERROR(__xludf.DUMMYFUNCTION("""COMPUTED_VALUE"""),"
")</f>
        <v>
</v>
      </c>
      <c r="G266" s="17" t="str">
        <f>IFERROR(__xludf.DUMMYFUNCTION("""COMPUTED_VALUE"""),"
")</f>
        <v>
</v>
      </c>
      <c r="H266" s="17" t="str">
        <f>IFERROR(__xludf.DUMMYFUNCTION("""COMPUTED_VALUE"""),"
")</f>
        <v>
</v>
      </c>
      <c r="I266" s="17" t="str">
        <f>IFERROR(__xludf.DUMMYFUNCTION("""COMPUTED_VALUE"""),"
")</f>
        <v>
</v>
      </c>
      <c r="J266" s="17" t="str">
        <f>IFERROR(__xludf.DUMMYFUNCTION("""COMPUTED_VALUE"""),"
")</f>
        <v>
</v>
      </c>
      <c r="K266" s="17" t="str">
        <f>IFERROR(__xludf.DUMMYFUNCTION("""COMPUTED_VALUE"""),"
")</f>
        <v>
</v>
      </c>
      <c r="L266" s="17" t="str">
        <f>IFERROR(__xludf.DUMMYFUNCTION("""COMPUTED_VALUE"""),"
")</f>
        <v>
</v>
      </c>
      <c r="M266" s="17" t="str">
        <f>IFERROR(__xludf.DUMMYFUNCTION("""COMPUTED_VALUE"""),"
")</f>
        <v>
</v>
      </c>
      <c r="N266" s="17" t="str">
        <f>IFERROR(__xludf.DUMMYFUNCTION("""COMPUTED_VALUE"""),"
")</f>
        <v>
</v>
      </c>
      <c r="O266" s="17" t="str">
        <f>IFERROR(__xludf.DUMMYFUNCTION("""COMPUTED_VALUE"""),"
")</f>
        <v>
</v>
      </c>
      <c r="P266" s="17" t="str">
        <f>IFERROR(__xludf.DUMMYFUNCTION("""COMPUTED_VALUE"""),"
")</f>
        <v>
</v>
      </c>
      <c r="Q266" s="17" t="str">
        <f>IFERROR(__xludf.DUMMYFUNCTION("""COMPUTED_VALUE"""),"
")</f>
        <v>
</v>
      </c>
      <c r="R266" s="17" t="str">
        <f>IFERROR(__xludf.DUMMYFUNCTION("""COMPUTED_VALUE"""),"
")</f>
        <v>
</v>
      </c>
      <c r="S266" s="17" t="str">
        <f>IFERROR(__xludf.DUMMYFUNCTION("""COMPUTED_VALUE"""),"
")</f>
        <v>
</v>
      </c>
      <c r="T266" s="17" t="str">
        <f>IFERROR(__xludf.DUMMYFUNCTION("""COMPUTED_VALUE"""),"
")</f>
        <v>
</v>
      </c>
      <c r="U266" s="17" t="str">
        <f>IFERROR(__xludf.DUMMYFUNCTION("""COMPUTED_VALUE"""),"
")</f>
        <v>
</v>
      </c>
      <c r="V266" s="17" t="str">
        <f>IFERROR(__xludf.DUMMYFUNCTION("""COMPUTED_VALUE"""),"
")</f>
        <v>
</v>
      </c>
      <c r="W266" s="17" t="str">
        <f>IFERROR(__xludf.DUMMYFUNCTION("""COMPUTED_VALUE"""),"
")</f>
        <v>
</v>
      </c>
      <c r="X266" s="17" t="str">
        <f>IFERROR(__xludf.DUMMYFUNCTION("""COMPUTED_VALUE"""),"
")</f>
        <v>
</v>
      </c>
      <c r="Y266" s="17" t="str">
        <f>IFERROR(__xludf.DUMMYFUNCTION("""COMPUTED_VALUE"""),"
")</f>
        <v>
</v>
      </c>
      <c r="Z266" s="17" t="str">
        <f>IFERROR(__xludf.DUMMYFUNCTION("""COMPUTED_VALUE"""),"
")</f>
        <v>
</v>
      </c>
      <c r="AA266" s="17" t="str">
        <f>IFERROR(__xludf.DUMMYFUNCTION("""COMPUTED_VALUE"""),"
")</f>
        <v>
</v>
      </c>
      <c r="AB266" s="17" t="str">
        <f>IFERROR(__xludf.DUMMYFUNCTION("""COMPUTED_VALUE"""),"
")</f>
        <v>
</v>
      </c>
      <c r="AC266" s="17" t="str">
        <f>IFERROR(__xludf.DUMMYFUNCTION("""COMPUTED_VALUE"""),"
")</f>
        <v>
</v>
      </c>
    </row>
    <row r="267">
      <c r="A267" s="17" t="str">
        <f>IFERROR(__xludf.DUMMYFUNCTION("""COMPUTED_VALUE"""),"")</f>
        <v/>
      </c>
      <c r="B267" s="17" t="str">
        <f>IFERROR(__xludf.DUMMYFUNCTION("""COMPUTED_VALUE"""),"")</f>
        <v/>
      </c>
      <c r="C267" s="17" t="str">
        <f>IFERROR(__xludf.DUMMYFUNCTION("""COMPUTED_VALUE"""),"")</f>
        <v/>
      </c>
      <c r="D267" s="17" t="str">
        <f>IFERROR(__xludf.DUMMYFUNCTION("""COMPUTED_VALUE"""),"")</f>
        <v/>
      </c>
      <c r="E267" s="17" t="str">
        <f>IFERROR(__xludf.DUMMYFUNCTION("""COMPUTED_VALUE"""),"")</f>
        <v/>
      </c>
      <c r="F267" s="17" t="str">
        <f>IFERROR(__xludf.DUMMYFUNCTION("""COMPUTED_VALUE"""),"")</f>
        <v/>
      </c>
      <c r="G267" s="17" t="str">
        <f>IFERROR(__xludf.DUMMYFUNCTION("""COMPUTED_VALUE"""),"")</f>
        <v/>
      </c>
      <c r="H267" s="17" t="str">
        <f>IFERROR(__xludf.DUMMYFUNCTION("""COMPUTED_VALUE"""),"")</f>
        <v/>
      </c>
      <c r="I267" s="17" t="str">
        <f>IFERROR(__xludf.DUMMYFUNCTION("""COMPUTED_VALUE"""),"")</f>
        <v/>
      </c>
      <c r="J267" s="17" t="str">
        <f>IFERROR(__xludf.DUMMYFUNCTION("""COMPUTED_VALUE"""),"")</f>
        <v/>
      </c>
      <c r="K267" s="17" t="str">
        <f>IFERROR(__xludf.DUMMYFUNCTION("""COMPUTED_VALUE"""),"")</f>
        <v/>
      </c>
      <c r="L267" s="17" t="str">
        <f>IFERROR(__xludf.DUMMYFUNCTION("""COMPUTED_VALUE"""),"")</f>
        <v/>
      </c>
      <c r="M267" s="17" t="str">
        <f>IFERROR(__xludf.DUMMYFUNCTION("""COMPUTED_VALUE"""),"")</f>
        <v/>
      </c>
      <c r="N267" s="17" t="str">
        <f>IFERROR(__xludf.DUMMYFUNCTION("""COMPUTED_VALUE"""),"")</f>
        <v/>
      </c>
      <c r="O267" s="17" t="str">
        <f>IFERROR(__xludf.DUMMYFUNCTION("""COMPUTED_VALUE"""),"")</f>
        <v/>
      </c>
      <c r="P267" s="17" t="str">
        <f>IFERROR(__xludf.DUMMYFUNCTION("""COMPUTED_VALUE"""),"")</f>
        <v/>
      </c>
      <c r="Q267" s="17" t="str">
        <f>IFERROR(__xludf.DUMMYFUNCTION("""COMPUTED_VALUE"""),"")</f>
        <v/>
      </c>
      <c r="R267" s="17" t="str">
        <f>IFERROR(__xludf.DUMMYFUNCTION("""COMPUTED_VALUE"""),"")</f>
        <v/>
      </c>
      <c r="S267" s="17" t="str">
        <f>IFERROR(__xludf.DUMMYFUNCTION("""COMPUTED_VALUE"""),"")</f>
        <v/>
      </c>
      <c r="T267" s="17" t="str">
        <f>IFERROR(__xludf.DUMMYFUNCTION("""COMPUTED_VALUE"""),"")</f>
        <v/>
      </c>
      <c r="U267" s="17" t="str">
        <f>IFERROR(__xludf.DUMMYFUNCTION("""COMPUTED_VALUE"""),"")</f>
        <v/>
      </c>
      <c r="V267" s="17" t="str">
        <f>IFERROR(__xludf.DUMMYFUNCTION("""COMPUTED_VALUE"""),"")</f>
        <v/>
      </c>
      <c r="W267" s="17" t="str">
        <f>IFERROR(__xludf.DUMMYFUNCTION("""COMPUTED_VALUE"""),"")</f>
        <v/>
      </c>
      <c r="X267" s="17" t="str">
        <f>IFERROR(__xludf.DUMMYFUNCTION("""COMPUTED_VALUE"""),"")</f>
        <v/>
      </c>
      <c r="Y267" s="17" t="str">
        <f>IFERROR(__xludf.DUMMYFUNCTION("""COMPUTED_VALUE"""),"")</f>
        <v/>
      </c>
      <c r="Z267" s="17" t="str">
        <f>IFERROR(__xludf.DUMMYFUNCTION("""COMPUTED_VALUE"""),"")</f>
        <v/>
      </c>
      <c r="AA267" s="17" t="str">
        <f>IFERROR(__xludf.DUMMYFUNCTION("""COMPUTED_VALUE"""),"")</f>
        <v/>
      </c>
      <c r="AB267" s="17" t="str">
        <f>IFERROR(__xludf.DUMMYFUNCTION("""COMPUTED_VALUE"""),"")</f>
        <v/>
      </c>
      <c r="AC267" s="17" t="str">
        <f>IFERROR(__xludf.DUMMYFUNCTION("""COMPUTED_VALUE"""),"")</f>
        <v/>
      </c>
    </row>
    <row r="268">
      <c r="A268" s="17" t="str">
        <f>IFERROR(__xludf.DUMMYFUNCTION("""COMPUTED_VALUE"""),"Chapter 45: 38 Build Up - Preamble Leet - Addendum Rey
Aesthetics and Flair (Bayonetta) 100:
A gun isn't quite a gun until it LOOKS good, you know? It's supposed to be classy, make you look amazing just for having it. Likewise, that sword could use a bit "&amp;"of badass styling to it. When you create your weapons, you can make them look DAMNED good even on an off day. Expect any weapon creator to envy you, and those who die by your weapons to count themselves lucky as they perish to such beautiful art.
Quality")</f>
        <v>Chapter 45: 38 Build Up - Preamble Leet - Addendum Rey
Aesthetics and Flair (Bayonetta) 100:
A gun isn't quite a gun until it LOOKS good, you know? It's supposed to be classy, make you look amazing just for having it. Likewise, that sword could use a bit of badass styling to it. When you create your weapons, you can make them look DAMNED good even on an off day. Expect any weapon creator to envy you, and those who die by your weapons to count themselves lucky as they perish to such beautiful art.
Quality</v>
      </c>
      <c r="B268" s="17" t="str">
        <f>IFERROR(__xludf.DUMMYFUNCTION("""COMPUTED_VALUE"""),"Chapter 45: 38 Build Up - Preamble Leet - Addendum Rey
Inexplicable Innuendo (Bayonetta) Free:
You're not sure how, but just by being here you've gotten the jive of things. Any time you want to come off as sexy or just talk in a lightheartedly dirty manne"&amp;"r, it's easy as pie for you. Want to make some people squirm with an implication? Done. You can even implement this in your battle quips, throwing them off their game for that moment of distraction you need.
Ability")</f>
        <v>Chapter 45: 38 Build Up - Preamble Leet - Addendum Rey
Inexplicable Innuendo (Bayonetta) Free:
You're not sure how, but just by being here you've gotten the jive of things. Any time you want to come off as sexy or just talk in a lightheartedly dirty manner, it's easy as pie for you. Want to make some people squirm with an implication? Done. You can even implement this in your battle quips, throwing them off their game for that moment of distraction you need.
Ability</v>
      </c>
      <c r="C268" s="17" t="str">
        <f>IFERROR(__xludf.DUMMYFUNCTION("""COMPUTED_VALUE"""),"Chapter 45: 38 Build Up - Preamble Leet - Addendum Rey
Classy Contortionist (Bayonetta) Free:
Um... this is something. You've got an innate sense of posing that you can utilize, whether it be to show off your sexiness or simply throw people off their game"&amp;". It's got all kinds of applications, and no matter what you're always going to look good. Throw it into your battle styles or something.
Ability")</f>
        <v>Chapter 45: 38 Build Up - Preamble Leet - Addendum Rey
Classy Contortionist (Bayonetta) Free:
Um... this is something. You've got an innate sense of posing that you can utilize, whether it be to show off your sexiness or simply throw people off their game. It's got all kinds of applications, and no matter what you're always going to look good. Throw it into your battle styles or something.
Ability</v>
      </c>
      <c r="D268" s="17" t="str">
        <f>IFERROR(__xludf.DUMMYFUNCTION("""COMPUTED_VALUE"""),"
")</f>
        <v>
</v>
      </c>
      <c r="E268" s="17" t="str">
        <f>IFERROR(__xludf.DUMMYFUNCTION("""COMPUTED_VALUE"""),"
")</f>
        <v>
</v>
      </c>
      <c r="F268" s="17" t="str">
        <f>IFERROR(__xludf.DUMMYFUNCTION("""COMPUTED_VALUE"""),"
")</f>
        <v>
</v>
      </c>
      <c r="G268" s="17" t="str">
        <f>IFERROR(__xludf.DUMMYFUNCTION("""COMPUTED_VALUE"""),"
")</f>
        <v>
</v>
      </c>
      <c r="H268" s="17" t="str">
        <f>IFERROR(__xludf.DUMMYFUNCTION("""COMPUTED_VALUE"""),"
")</f>
        <v>
</v>
      </c>
      <c r="I268" s="17" t="str">
        <f>IFERROR(__xludf.DUMMYFUNCTION("""COMPUTED_VALUE"""),"
")</f>
        <v>
</v>
      </c>
      <c r="J268" s="17" t="str">
        <f>IFERROR(__xludf.DUMMYFUNCTION("""COMPUTED_VALUE"""),"
")</f>
        <v>
</v>
      </c>
      <c r="K268" s="17" t="str">
        <f>IFERROR(__xludf.DUMMYFUNCTION("""COMPUTED_VALUE"""),"
")</f>
        <v>
</v>
      </c>
      <c r="L268" s="17" t="str">
        <f>IFERROR(__xludf.DUMMYFUNCTION("""COMPUTED_VALUE"""),"
")</f>
        <v>
</v>
      </c>
      <c r="M268" s="17" t="str">
        <f>IFERROR(__xludf.DUMMYFUNCTION("""COMPUTED_VALUE"""),"
")</f>
        <v>
</v>
      </c>
      <c r="N268" s="17" t="str">
        <f>IFERROR(__xludf.DUMMYFUNCTION("""COMPUTED_VALUE"""),"
")</f>
        <v>
</v>
      </c>
      <c r="O268" s="17" t="str">
        <f>IFERROR(__xludf.DUMMYFUNCTION("""COMPUTED_VALUE"""),"
")</f>
        <v>
</v>
      </c>
      <c r="P268" s="17" t="str">
        <f>IFERROR(__xludf.DUMMYFUNCTION("""COMPUTED_VALUE"""),"
")</f>
        <v>
</v>
      </c>
      <c r="Q268" s="17" t="str">
        <f>IFERROR(__xludf.DUMMYFUNCTION("""COMPUTED_VALUE"""),"
")</f>
        <v>
</v>
      </c>
      <c r="R268" s="17" t="str">
        <f>IFERROR(__xludf.DUMMYFUNCTION("""COMPUTED_VALUE"""),"
")</f>
        <v>
</v>
      </c>
      <c r="S268" s="17" t="str">
        <f>IFERROR(__xludf.DUMMYFUNCTION("""COMPUTED_VALUE"""),"
")</f>
        <v>
</v>
      </c>
      <c r="T268" s="17" t="str">
        <f>IFERROR(__xludf.DUMMYFUNCTION("""COMPUTED_VALUE"""),"
")</f>
        <v>
</v>
      </c>
      <c r="U268" s="17" t="str">
        <f>IFERROR(__xludf.DUMMYFUNCTION("""COMPUTED_VALUE"""),"
")</f>
        <v>
</v>
      </c>
      <c r="V268" s="17" t="str">
        <f>IFERROR(__xludf.DUMMYFUNCTION("""COMPUTED_VALUE"""),"
")</f>
        <v>
</v>
      </c>
      <c r="W268" s="17" t="str">
        <f>IFERROR(__xludf.DUMMYFUNCTION("""COMPUTED_VALUE"""),"
")</f>
        <v>
</v>
      </c>
      <c r="X268" s="17" t="str">
        <f>IFERROR(__xludf.DUMMYFUNCTION("""COMPUTED_VALUE"""),"
")</f>
        <v>
</v>
      </c>
      <c r="Y268" s="17" t="str">
        <f>IFERROR(__xludf.DUMMYFUNCTION("""COMPUTED_VALUE"""),"
")</f>
        <v>
</v>
      </c>
      <c r="Z268" s="17" t="str">
        <f>IFERROR(__xludf.DUMMYFUNCTION("""COMPUTED_VALUE"""),"
")</f>
        <v>
</v>
      </c>
      <c r="AA268" s="17" t="str">
        <f>IFERROR(__xludf.DUMMYFUNCTION("""COMPUTED_VALUE"""),"
")</f>
        <v>
</v>
      </c>
      <c r="AB268" s="17" t="str">
        <f>IFERROR(__xludf.DUMMYFUNCTION("""COMPUTED_VALUE"""),"
")</f>
        <v>
</v>
      </c>
      <c r="AC268" s="17" t="str">
        <f>IFERROR(__xludf.DUMMYFUNCTION("""COMPUTED_VALUE"""),"
")</f>
        <v>
</v>
      </c>
    </row>
    <row r="269">
      <c r="A269" s="17" t="str">
        <f>IFERROR(__xludf.DUMMYFUNCTION("""COMPUTED_VALUE"""),"Chapter 111: 80 Analysis and Reflections
Glove of the East (Binbougami Ga!) 300:
This hand of mine glows with an awesome power! It's burning gri-... oh! Sorry, wrong show. This single glove comes in any color and style, and is actually quite useful! You c"&amp;"an channel your spiritual energies through it to help you with mundane tasks; your cooking might turn out excellent, cleaning takes less work for better results, and massages work WONDERS when you hit those points. If you channel a LOT of spiritual energy"&amp;", you might even imbue items and equipment to improve them and be more receptive to your spiritual/chi powers! Heart symbol optional.
Item")</f>
        <v>Chapter 111: 80 Analysis and Reflections
Glove of the East (Binbougami Ga!) 300:
This hand of mine glows with an awesome power! It's burning gri-... oh! Sorry, wrong show. This single glove comes in any color and style, and is actually quite useful! You can channel your spiritual energies through it to help you with mundane tasks; your cooking might turn out excellent, cleaning takes less work for better results, and massages work WONDERS when you hit those points. If you channel a LOT of spiritual energy, you might even imbue items and equipment to improve them and be more receptive to your spiritual/chi powers! Heart symbol optional.
Item</v>
      </c>
      <c r="B269" s="17" t="str">
        <f>IFERROR(__xludf.DUMMYFUNCTION("""COMPUTED_VALUE"""),"Chapter 111: 80 Analysis and Reflections
Deadbeat Holiday (Binbougami Ga!) Free:
WHAT WAS THAT YOU ARROGANT, ENTITLED SH-... oh, sorry. Was practicing for something else. As you can no doubt guess, this will help you figure out just how to overreact to a "&amp;"situation for comedic effect, as well as WHEN to enact those very moments. You'll get used to it in time, unless you're like a certain grumpy pants. Yeah I said it, GRUMPY PAAAANTS.
Ability")</f>
        <v>Chapter 111: 80 Analysis and Reflections
Deadbeat Holiday (Binbougami Ga!) Free:
WHAT WAS THAT YOU ARROGANT, ENTITLED SH-... oh, sorry. Was practicing for something else. As you can no doubt guess, this will help you figure out just how to overreact to a situation for comedic effect, as well as WHEN to enact those very moments. You'll get used to it in time, unless you're like a certain grumpy pants. Yeah I said it, GRUMPY PAAAANTS.
Ability</v>
      </c>
      <c r="C269" s="17" t="str">
        <f>IFERROR(__xludf.DUMMYFUNCTION("""COMPUTED_VALUE"""),"
")</f>
        <v>
</v>
      </c>
      <c r="D269" s="17" t="str">
        <f>IFERROR(__xludf.DUMMYFUNCTION("""COMPUTED_VALUE"""),"
")</f>
        <v>
</v>
      </c>
      <c r="E269" s="17" t="str">
        <f>IFERROR(__xludf.DUMMYFUNCTION("""COMPUTED_VALUE"""),"
")</f>
        <v>
</v>
      </c>
      <c r="F269" s="17" t="str">
        <f>IFERROR(__xludf.DUMMYFUNCTION("""COMPUTED_VALUE"""),"
")</f>
        <v>
</v>
      </c>
      <c r="G269" s="17" t="str">
        <f>IFERROR(__xludf.DUMMYFUNCTION("""COMPUTED_VALUE"""),"
")</f>
        <v>
</v>
      </c>
      <c r="H269" s="17" t="str">
        <f>IFERROR(__xludf.DUMMYFUNCTION("""COMPUTED_VALUE"""),"
")</f>
        <v>
</v>
      </c>
      <c r="I269" s="17" t="str">
        <f>IFERROR(__xludf.DUMMYFUNCTION("""COMPUTED_VALUE"""),"
")</f>
        <v>
</v>
      </c>
      <c r="J269" s="17" t="str">
        <f>IFERROR(__xludf.DUMMYFUNCTION("""COMPUTED_VALUE"""),"
")</f>
        <v>
</v>
      </c>
      <c r="K269" s="17" t="str">
        <f>IFERROR(__xludf.DUMMYFUNCTION("""COMPUTED_VALUE"""),"
")</f>
        <v>
</v>
      </c>
      <c r="L269" s="17" t="str">
        <f>IFERROR(__xludf.DUMMYFUNCTION("""COMPUTED_VALUE"""),"
")</f>
        <v>
</v>
      </c>
      <c r="M269" s="17" t="str">
        <f>IFERROR(__xludf.DUMMYFUNCTION("""COMPUTED_VALUE"""),"
")</f>
        <v>
</v>
      </c>
      <c r="N269" s="17" t="str">
        <f>IFERROR(__xludf.DUMMYFUNCTION("""COMPUTED_VALUE"""),"
")</f>
        <v>
</v>
      </c>
      <c r="O269" s="17" t="str">
        <f>IFERROR(__xludf.DUMMYFUNCTION("""COMPUTED_VALUE"""),"
")</f>
        <v>
</v>
      </c>
      <c r="P269" s="17" t="str">
        <f>IFERROR(__xludf.DUMMYFUNCTION("""COMPUTED_VALUE"""),"
")</f>
        <v>
</v>
      </c>
      <c r="Q269" s="17" t="str">
        <f>IFERROR(__xludf.DUMMYFUNCTION("""COMPUTED_VALUE"""),"
")</f>
        <v>
</v>
      </c>
      <c r="R269" s="17" t="str">
        <f>IFERROR(__xludf.DUMMYFUNCTION("""COMPUTED_VALUE"""),"
")</f>
        <v>
</v>
      </c>
      <c r="S269" s="17" t="str">
        <f>IFERROR(__xludf.DUMMYFUNCTION("""COMPUTED_VALUE"""),"
")</f>
        <v>
</v>
      </c>
      <c r="T269" s="17" t="str">
        <f>IFERROR(__xludf.DUMMYFUNCTION("""COMPUTED_VALUE"""),"
")</f>
        <v>
</v>
      </c>
      <c r="U269" s="17" t="str">
        <f>IFERROR(__xludf.DUMMYFUNCTION("""COMPUTED_VALUE"""),"
")</f>
        <v>
</v>
      </c>
      <c r="V269" s="17" t="str">
        <f>IFERROR(__xludf.DUMMYFUNCTION("""COMPUTED_VALUE"""),"
")</f>
        <v>
</v>
      </c>
      <c r="W269" s="17" t="str">
        <f>IFERROR(__xludf.DUMMYFUNCTION("""COMPUTED_VALUE"""),"
")</f>
        <v>
</v>
      </c>
      <c r="X269" s="17" t="str">
        <f>IFERROR(__xludf.DUMMYFUNCTION("""COMPUTED_VALUE"""),"
")</f>
        <v>
</v>
      </c>
      <c r="Y269" s="17" t="str">
        <f>IFERROR(__xludf.DUMMYFUNCTION("""COMPUTED_VALUE"""),"
")</f>
        <v>
</v>
      </c>
      <c r="Z269" s="17" t="str">
        <f>IFERROR(__xludf.DUMMYFUNCTION("""COMPUTED_VALUE"""),"
")</f>
        <v>
</v>
      </c>
      <c r="AA269" s="17" t="str">
        <f>IFERROR(__xludf.DUMMYFUNCTION("""COMPUTED_VALUE"""),"
")</f>
        <v>
</v>
      </c>
      <c r="AB269" s="17" t="str">
        <f>IFERROR(__xludf.DUMMYFUNCTION("""COMPUTED_VALUE"""),"
")</f>
        <v>
</v>
      </c>
      <c r="AC269" s="17" t="str">
        <f>IFERROR(__xludf.DUMMYFUNCTION("""COMPUTED_VALUE"""),"
")</f>
        <v>
</v>
      </c>
    </row>
    <row r="270">
      <c r="A270" s="17" t="str">
        <f>IFERROR(__xludf.DUMMYFUNCTION("""COMPUTED_VALUE"""),"Chapter 73: 57 Crunch Time
Mechanical Master (Borderlands) 400:
You are a master armsmith and roboticist. You can build and maintain standard weapons and shields with ease, and if you put some effort into understanding it you could probably make E-Tech yo"&amp;"ur bitch. Further, you can make temporary Digistruct items, though they tend to explode after brief use. If you find the right components, you might even be able to modify good stuff into truly unique weapons; some might call them Legendary. Though for so"&amp;"me reason they always look kind of pearly.
System")</f>
        <v>Chapter 73: 57 Crunch Time
Mechanical Master (Borderlands) 400:
You are a master armsmith and roboticist. You can build and maintain standard weapons and shields with ease, and if you put some effort into understanding it you could probably make E-Tech your bitch. Further, you can make temporary Digistruct items, though they tend to explode after brief use. If you find the right components, you might even be able to modify good stuff into truly unique weapons; some might call them Legendary. Though for some reason they always look kind of pearly.
System</v>
      </c>
      <c r="B270" s="17" t="str">
        <f>IFERROR(__xludf.DUMMYFUNCTION("""COMPUTED_VALUE"""),"Chapter 73: 57 Crunch Time
ECHO device with HUD and a melee weapon (Borderlands) Free:
ECHO Recorders are portable audio recording devices with a number of visible controls on the unit. They appear to have a gain potentiometer, a one band/octave real-time"&amp;" analyser, and an adjustable microphone. Several other buttons presumably provide the basic functions of playing and recording audio data.
Item")</f>
        <v>Chapter 73: 57 Crunch Time
ECHO device with HUD and a melee weapon (Borderlands) Free:
ECHO Recorders are portable audio recording devices with a number of visible controls on the unit. They appear to have a gain potentiometer, a one band/octave real-time analyser, and an adjustable microphone. Several other buttons presumably provide the basic functions of playing and recording audio data.
Item</v>
      </c>
      <c r="C270" s="17" t="str">
        <f>IFERROR(__xludf.DUMMYFUNCTION("""COMPUTED_VALUE"""),"Chapter 73: 57 Crunch Time
Ammunition Vending Machine (Borderlands) Free:
You do get one bonus reward for surviving this hellhole; an ammunition vending machine mysteriously appears in your Warehouse (perhaps Marcus is trying to franchise to other univers"&amp;"es?). You can buy ammunition for any of your Borderlands weaponry there, but it only accepts dollars, so not every world will have money you can use. You can try counterfeit dollars if you wish, but the machine probably won't accept them, and it's totally"&amp;" willing to shoot you for trying to cheat it.
Item")</f>
        <v>Chapter 73: 57 Crunch Time
Ammunition Vending Machine (Borderlands) Free:
You do get one bonus reward for surviving this hellhole; an ammunition vending machine mysteriously appears in your Warehouse (perhaps Marcus is trying to franchise to other universes?). You can buy ammunition for any of your Borderlands weaponry there, but it only accepts dollars, so not every world will have money you can use. You can try counterfeit dollars if you wish, but the machine probably won't accept them, and it's totally willing to shoot you for trying to cheat it.
Item</v>
      </c>
      <c r="D270" s="17" t="str">
        <f>IFERROR(__xludf.DUMMYFUNCTION("""COMPUTED_VALUE"""),"
")</f>
        <v>
</v>
      </c>
      <c r="E270" s="17" t="str">
        <f>IFERROR(__xludf.DUMMYFUNCTION("""COMPUTED_VALUE"""),"
")</f>
        <v>
</v>
      </c>
      <c r="F270" s="17" t="str">
        <f>IFERROR(__xludf.DUMMYFUNCTION("""COMPUTED_VALUE"""),"
")</f>
        <v>
</v>
      </c>
      <c r="G270" s="17" t="str">
        <f>IFERROR(__xludf.DUMMYFUNCTION("""COMPUTED_VALUE"""),"
")</f>
        <v>
</v>
      </c>
      <c r="H270" s="17" t="str">
        <f>IFERROR(__xludf.DUMMYFUNCTION("""COMPUTED_VALUE"""),"
")</f>
        <v>
</v>
      </c>
      <c r="I270" s="17" t="str">
        <f>IFERROR(__xludf.DUMMYFUNCTION("""COMPUTED_VALUE"""),"
")</f>
        <v>
</v>
      </c>
      <c r="J270" s="17" t="str">
        <f>IFERROR(__xludf.DUMMYFUNCTION("""COMPUTED_VALUE"""),"
")</f>
        <v>
</v>
      </c>
      <c r="K270" s="17" t="str">
        <f>IFERROR(__xludf.DUMMYFUNCTION("""COMPUTED_VALUE"""),"
")</f>
        <v>
</v>
      </c>
      <c r="L270" s="17" t="str">
        <f>IFERROR(__xludf.DUMMYFUNCTION("""COMPUTED_VALUE"""),"
")</f>
        <v>
</v>
      </c>
      <c r="M270" s="17" t="str">
        <f>IFERROR(__xludf.DUMMYFUNCTION("""COMPUTED_VALUE"""),"
")</f>
        <v>
</v>
      </c>
      <c r="N270" s="17" t="str">
        <f>IFERROR(__xludf.DUMMYFUNCTION("""COMPUTED_VALUE"""),"
")</f>
        <v>
</v>
      </c>
      <c r="O270" s="17" t="str">
        <f>IFERROR(__xludf.DUMMYFUNCTION("""COMPUTED_VALUE"""),"
")</f>
        <v>
</v>
      </c>
      <c r="P270" s="17" t="str">
        <f>IFERROR(__xludf.DUMMYFUNCTION("""COMPUTED_VALUE"""),"
")</f>
        <v>
</v>
      </c>
      <c r="Q270" s="17" t="str">
        <f>IFERROR(__xludf.DUMMYFUNCTION("""COMPUTED_VALUE"""),"
")</f>
        <v>
</v>
      </c>
      <c r="R270" s="17" t="str">
        <f>IFERROR(__xludf.DUMMYFUNCTION("""COMPUTED_VALUE"""),"
")</f>
        <v>
</v>
      </c>
      <c r="S270" s="17" t="str">
        <f>IFERROR(__xludf.DUMMYFUNCTION("""COMPUTED_VALUE"""),"
")</f>
        <v>
</v>
      </c>
      <c r="T270" s="17" t="str">
        <f>IFERROR(__xludf.DUMMYFUNCTION("""COMPUTED_VALUE"""),"
")</f>
        <v>
</v>
      </c>
      <c r="U270" s="17" t="str">
        <f>IFERROR(__xludf.DUMMYFUNCTION("""COMPUTED_VALUE"""),"
")</f>
        <v>
</v>
      </c>
      <c r="V270" s="17" t="str">
        <f>IFERROR(__xludf.DUMMYFUNCTION("""COMPUTED_VALUE"""),"
")</f>
        <v>
</v>
      </c>
      <c r="W270" s="17" t="str">
        <f>IFERROR(__xludf.DUMMYFUNCTION("""COMPUTED_VALUE"""),"
")</f>
        <v>
</v>
      </c>
      <c r="X270" s="17" t="str">
        <f>IFERROR(__xludf.DUMMYFUNCTION("""COMPUTED_VALUE"""),"
")</f>
        <v>
</v>
      </c>
      <c r="Y270" s="17" t="str">
        <f>IFERROR(__xludf.DUMMYFUNCTION("""COMPUTED_VALUE"""),"
")</f>
        <v>
</v>
      </c>
      <c r="Z270" s="17" t="str">
        <f>IFERROR(__xludf.DUMMYFUNCTION("""COMPUTED_VALUE"""),"
")</f>
        <v>
</v>
      </c>
      <c r="AA270" s="17" t="str">
        <f>IFERROR(__xludf.DUMMYFUNCTION("""COMPUTED_VALUE"""),"
")</f>
        <v>
</v>
      </c>
      <c r="AB270" s="17" t="str">
        <f>IFERROR(__xludf.DUMMYFUNCTION("""COMPUTED_VALUE"""),"
")</f>
        <v>
</v>
      </c>
      <c r="AC270" s="17" t="str">
        <f>IFERROR(__xludf.DUMMYFUNCTION("""COMPUTED_VALUE"""),"
")</f>
        <v>
</v>
      </c>
    </row>
    <row r="271">
      <c r="A271" s="17" t="str">
        <f>IFERROR(__xludf.DUMMYFUNCTION("""COMPUTED_VALUE"""),"Chapter 26: 21 Closing Moves
Tailor Made (Career Model) 100:
You are a brilliant designer, and can ensure objects you create are always looking fantastic, aesthetically pleasing and the like. Making something look good no longer takes any time or effort y"&amp;"ou can focus entirely on function, and whatever you make will look outstanding.
Fiat")</f>
        <v>Chapter 26: 21 Closing Moves
Tailor Made (Career Model) 100:
You are a brilliant designer, and can ensure objects you create are always looking fantastic, aesthetically pleasing and the like. Making something look good no longer takes any time or effort you can focus entirely on function, and whatever you make will look outstanding.
Fiat</v>
      </c>
      <c r="B271" s="17" t="str">
        <f>IFERROR(__xludf.DUMMYFUNCTION("""COMPUTED_VALUE"""),"
")</f>
        <v>
</v>
      </c>
      <c r="C271" s="17" t="str">
        <f>IFERROR(__xludf.DUMMYFUNCTION("""COMPUTED_VALUE"""),"
")</f>
        <v>
</v>
      </c>
      <c r="D271" s="17" t="str">
        <f>IFERROR(__xludf.DUMMYFUNCTION("""COMPUTED_VALUE"""),"
")</f>
        <v>
</v>
      </c>
      <c r="E271" s="17" t="str">
        <f>IFERROR(__xludf.DUMMYFUNCTION("""COMPUTED_VALUE"""),"
")</f>
        <v>
</v>
      </c>
      <c r="F271" s="17" t="str">
        <f>IFERROR(__xludf.DUMMYFUNCTION("""COMPUTED_VALUE"""),"
")</f>
        <v>
</v>
      </c>
      <c r="G271" s="17" t="str">
        <f>IFERROR(__xludf.DUMMYFUNCTION("""COMPUTED_VALUE"""),"
")</f>
        <v>
</v>
      </c>
      <c r="H271" s="17" t="str">
        <f>IFERROR(__xludf.DUMMYFUNCTION("""COMPUTED_VALUE"""),"
")</f>
        <v>
</v>
      </c>
      <c r="I271" s="17" t="str">
        <f>IFERROR(__xludf.DUMMYFUNCTION("""COMPUTED_VALUE"""),"
")</f>
        <v>
</v>
      </c>
      <c r="J271" s="17" t="str">
        <f>IFERROR(__xludf.DUMMYFUNCTION("""COMPUTED_VALUE"""),"
")</f>
        <v>
</v>
      </c>
      <c r="K271" s="17" t="str">
        <f>IFERROR(__xludf.DUMMYFUNCTION("""COMPUTED_VALUE"""),"
")</f>
        <v>
</v>
      </c>
      <c r="L271" s="17" t="str">
        <f>IFERROR(__xludf.DUMMYFUNCTION("""COMPUTED_VALUE"""),"
")</f>
        <v>
</v>
      </c>
      <c r="M271" s="17" t="str">
        <f>IFERROR(__xludf.DUMMYFUNCTION("""COMPUTED_VALUE"""),"
")</f>
        <v>
</v>
      </c>
      <c r="N271" s="17" t="str">
        <f>IFERROR(__xludf.DUMMYFUNCTION("""COMPUTED_VALUE"""),"
")</f>
        <v>
</v>
      </c>
      <c r="O271" s="17" t="str">
        <f>IFERROR(__xludf.DUMMYFUNCTION("""COMPUTED_VALUE"""),"
")</f>
        <v>
</v>
      </c>
      <c r="P271" s="17" t="str">
        <f>IFERROR(__xludf.DUMMYFUNCTION("""COMPUTED_VALUE"""),"
")</f>
        <v>
</v>
      </c>
      <c r="Q271" s="17" t="str">
        <f>IFERROR(__xludf.DUMMYFUNCTION("""COMPUTED_VALUE"""),"
")</f>
        <v>
</v>
      </c>
      <c r="R271" s="17" t="str">
        <f>IFERROR(__xludf.DUMMYFUNCTION("""COMPUTED_VALUE"""),"
")</f>
        <v>
</v>
      </c>
      <c r="S271" s="17" t="str">
        <f>IFERROR(__xludf.DUMMYFUNCTION("""COMPUTED_VALUE"""),"
")</f>
        <v>
</v>
      </c>
      <c r="T271" s="17" t="str">
        <f>IFERROR(__xludf.DUMMYFUNCTION("""COMPUTED_VALUE"""),"
")</f>
        <v>
</v>
      </c>
      <c r="U271" s="17" t="str">
        <f>IFERROR(__xludf.DUMMYFUNCTION("""COMPUTED_VALUE"""),"
")</f>
        <v>
</v>
      </c>
      <c r="V271" s="17" t="str">
        <f>IFERROR(__xludf.DUMMYFUNCTION("""COMPUTED_VALUE"""),"
")</f>
        <v>
</v>
      </c>
      <c r="W271" s="17" t="str">
        <f>IFERROR(__xludf.DUMMYFUNCTION("""COMPUTED_VALUE"""),"
")</f>
        <v>
</v>
      </c>
      <c r="X271" s="17" t="str">
        <f>IFERROR(__xludf.DUMMYFUNCTION("""COMPUTED_VALUE"""),"
")</f>
        <v>
</v>
      </c>
      <c r="Y271" s="17" t="str">
        <f>IFERROR(__xludf.DUMMYFUNCTION("""COMPUTED_VALUE"""),"
")</f>
        <v>
</v>
      </c>
      <c r="Z271" s="17" t="str">
        <f>IFERROR(__xludf.DUMMYFUNCTION("""COMPUTED_VALUE"""),"
")</f>
        <v>
</v>
      </c>
      <c r="AA271" s="17" t="str">
        <f>IFERROR(__xludf.DUMMYFUNCTION("""COMPUTED_VALUE"""),"
")</f>
        <v>
</v>
      </c>
      <c r="AB271" s="17" t="str">
        <f>IFERROR(__xludf.DUMMYFUNCTION("""COMPUTED_VALUE"""),"
")</f>
        <v>
</v>
      </c>
      <c r="AC271" s="17" t="str">
        <f>IFERROR(__xludf.DUMMYFUNCTION("""COMPUTED_VALUE"""),"
")</f>
        <v>
</v>
      </c>
    </row>
    <row r="272">
      <c r="A272" s="17" t="str">
        <f>IFERROR(__xludf.DUMMYFUNCTION("""COMPUTED_VALUE"""),"Chapter 39: 33 Morning Training - Preamble James - Addendum Youth Guard
Lathe of Heaven (Chrono Trigger) 400:
We're always going to need weapons, so the way I see it, you might as well get good at making them. Now? You'll be able to give old man Melchior "&amp;"a run for his money. Swords, guns, armor, even sunglasses - if it's worn or wielded, you can make it a masterpiece. You'll also learn how to make use of any material, bringing out its best qualities and minimizing its weaknesses. You could make bone sharp"&amp;"er than steel, gold sturdier than titanium, and take a legendary material nobody's ever seen before, and figure out how to forge it, what to alloy it with, and how to craft that alloy into an impossibly sharp sword or some amazing shades.
System")</f>
        <v>Chapter 39: 33 Morning Training - Preamble James - Addendum Youth Guard
Lathe of Heaven (Chrono Trigger) 400:
We're always going to need weapons, so the way I see it, you might as well get good at making them. Now? You'll be able to give old man Melchior a run for his money. Swords, guns, armor, even sunglasses - if it's worn or wielded, you can make it a masterpiece. You'll also learn how to make use of any material, bringing out its best qualities and minimizing its weaknesses. You could make bone sharper than steel, gold sturdier than titanium, and take a legendary material nobody's ever seen before, and figure out how to forge it, what to alloy it with, and how to craft that alloy into an impossibly sharp sword or some amazing shades.
System</v>
      </c>
      <c r="B272" s="17" t="str">
        <f>IFERROR(__xludf.DUMMYFUNCTION("""COMPUTED_VALUE"""),"
")</f>
        <v>
</v>
      </c>
      <c r="C272" s="17" t="str">
        <f>IFERROR(__xludf.DUMMYFUNCTION("""COMPUTED_VALUE"""),"
")</f>
        <v>
</v>
      </c>
      <c r="D272" s="17" t="str">
        <f>IFERROR(__xludf.DUMMYFUNCTION("""COMPUTED_VALUE"""),"
")</f>
        <v>
</v>
      </c>
      <c r="E272" s="17" t="str">
        <f>IFERROR(__xludf.DUMMYFUNCTION("""COMPUTED_VALUE"""),"
")</f>
        <v>
</v>
      </c>
      <c r="F272" s="17" t="str">
        <f>IFERROR(__xludf.DUMMYFUNCTION("""COMPUTED_VALUE"""),"
")</f>
        <v>
</v>
      </c>
      <c r="G272" s="17" t="str">
        <f>IFERROR(__xludf.DUMMYFUNCTION("""COMPUTED_VALUE"""),"
")</f>
        <v>
</v>
      </c>
      <c r="H272" s="17" t="str">
        <f>IFERROR(__xludf.DUMMYFUNCTION("""COMPUTED_VALUE"""),"
")</f>
        <v>
</v>
      </c>
      <c r="I272" s="17" t="str">
        <f>IFERROR(__xludf.DUMMYFUNCTION("""COMPUTED_VALUE"""),"
")</f>
        <v>
</v>
      </c>
      <c r="J272" s="17" t="str">
        <f>IFERROR(__xludf.DUMMYFUNCTION("""COMPUTED_VALUE"""),"
")</f>
        <v>
</v>
      </c>
      <c r="K272" s="17" t="str">
        <f>IFERROR(__xludf.DUMMYFUNCTION("""COMPUTED_VALUE"""),"
")</f>
        <v>
</v>
      </c>
      <c r="L272" s="17" t="str">
        <f>IFERROR(__xludf.DUMMYFUNCTION("""COMPUTED_VALUE"""),"
")</f>
        <v>
</v>
      </c>
      <c r="M272" s="17" t="str">
        <f>IFERROR(__xludf.DUMMYFUNCTION("""COMPUTED_VALUE"""),"
")</f>
        <v>
</v>
      </c>
      <c r="N272" s="17" t="str">
        <f>IFERROR(__xludf.DUMMYFUNCTION("""COMPUTED_VALUE"""),"
")</f>
        <v>
</v>
      </c>
      <c r="O272" s="17" t="str">
        <f>IFERROR(__xludf.DUMMYFUNCTION("""COMPUTED_VALUE"""),"
")</f>
        <v>
</v>
      </c>
      <c r="P272" s="17" t="str">
        <f>IFERROR(__xludf.DUMMYFUNCTION("""COMPUTED_VALUE"""),"
")</f>
        <v>
</v>
      </c>
      <c r="Q272" s="17" t="str">
        <f>IFERROR(__xludf.DUMMYFUNCTION("""COMPUTED_VALUE"""),"
")</f>
        <v>
</v>
      </c>
      <c r="R272" s="17" t="str">
        <f>IFERROR(__xludf.DUMMYFUNCTION("""COMPUTED_VALUE"""),"
")</f>
        <v>
</v>
      </c>
      <c r="S272" s="17" t="str">
        <f>IFERROR(__xludf.DUMMYFUNCTION("""COMPUTED_VALUE"""),"
")</f>
        <v>
</v>
      </c>
      <c r="T272" s="17" t="str">
        <f>IFERROR(__xludf.DUMMYFUNCTION("""COMPUTED_VALUE"""),"
")</f>
        <v>
</v>
      </c>
      <c r="U272" s="17" t="str">
        <f>IFERROR(__xludf.DUMMYFUNCTION("""COMPUTED_VALUE"""),"
")</f>
        <v>
</v>
      </c>
      <c r="V272" s="17" t="str">
        <f>IFERROR(__xludf.DUMMYFUNCTION("""COMPUTED_VALUE"""),"
")</f>
        <v>
</v>
      </c>
      <c r="W272" s="17" t="str">
        <f>IFERROR(__xludf.DUMMYFUNCTION("""COMPUTED_VALUE"""),"
")</f>
        <v>
</v>
      </c>
      <c r="X272" s="17" t="str">
        <f>IFERROR(__xludf.DUMMYFUNCTION("""COMPUTED_VALUE"""),"
")</f>
        <v>
</v>
      </c>
      <c r="Y272" s="17" t="str">
        <f>IFERROR(__xludf.DUMMYFUNCTION("""COMPUTED_VALUE"""),"
")</f>
        <v>
</v>
      </c>
      <c r="Z272" s="17" t="str">
        <f>IFERROR(__xludf.DUMMYFUNCTION("""COMPUTED_VALUE"""),"
")</f>
        <v>
</v>
      </c>
      <c r="AA272" s="17" t="str">
        <f>IFERROR(__xludf.DUMMYFUNCTION("""COMPUTED_VALUE"""),"
")</f>
        <v>
</v>
      </c>
      <c r="AB272" s="17" t="str">
        <f>IFERROR(__xludf.DUMMYFUNCTION("""COMPUTED_VALUE"""),"
")</f>
        <v>
</v>
      </c>
      <c r="AC272" s="17" t="str">
        <f>IFERROR(__xludf.DUMMYFUNCTION("""COMPUTED_VALUE"""),"
")</f>
        <v>
</v>
      </c>
    </row>
    <row r="273">
      <c r="A273" s="17" t="str">
        <f>IFERROR(__xludf.DUMMYFUNCTION("""COMPUTED_VALUE"""),"")</f>
        <v/>
      </c>
      <c r="B273" s="17" t="str">
        <f>IFERROR(__xludf.DUMMYFUNCTION("""COMPUTED_VALUE"""),"")</f>
        <v/>
      </c>
      <c r="C273" s="17" t="str">
        <f>IFERROR(__xludf.DUMMYFUNCTION("""COMPUTED_VALUE"""),"")</f>
        <v/>
      </c>
      <c r="D273" s="17" t="str">
        <f>IFERROR(__xludf.DUMMYFUNCTION("""COMPUTED_VALUE"""),"")</f>
        <v/>
      </c>
      <c r="E273" s="17" t="str">
        <f>IFERROR(__xludf.DUMMYFUNCTION("""COMPUTED_VALUE"""),"")</f>
        <v/>
      </c>
      <c r="F273" s="17" t="str">
        <f>IFERROR(__xludf.DUMMYFUNCTION("""COMPUTED_VALUE"""),"")</f>
        <v/>
      </c>
      <c r="G273" s="17" t="str">
        <f>IFERROR(__xludf.DUMMYFUNCTION("""COMPUTED_VALUE"""),"")</f>
        <v/>
      </c>
      <c r="H273" s="17" t="str">
        <f>IFERROR(__xludf.DUMMYFUNCTION("""COMPUTED_VALUE"""),"")</f>
        <v/>
      </c>
      <c r="I273" s="17" t="str">
        <f>IFERROR(__xludf.DUMMYFUNCTION("""COMPUTED_VALUE"""),"")</f>
        <v/>
      </c>
      <c r="J273" s="17" t="str">
        <f>IFERROR(__xludf.DUMMYFUNCTION("""COMPUTED_VALUE"""),"")</f>
        <v/>
      </c>
      <c r="K273" s="17" t="str">
        <f>IFERROR(__xludf.DUMMYFUNCTION("""COMPUTED_VALUE"""),"")</f>
        <v/>
      </c>
      <c r="L273" s="17" t="str">
        <f>IFERROR(__xludf.DUMMYFUNCTION("""COMPUTED_VALUE"""),"")</f>
        <v/>
      </c>
      <c r="M273" s="17" t="str">
        <f>IFERROR(__xludf.DUMMYFUNCTION("""COMPUTED_VALUE"""),"")</f>
        <v/>
      </c>
      <c r="N273" s="17" t="str">
        <f>IFERROR(__xludf.DUMMYFUNCTION("""COMPUTED_VALUE"""),"")</f>
        <v/>
      </c>
      <c r="O273" s="17" t="str">
        <f>IFERROR(__xludf.DUMMYFUNCTION("""COMPUTED_VALUE"""),"")</f>
        <v/>
      </c>
      <c r="P273" s="17" t="str">
        <f>IFERROR(__xludf.DUMMYFUNCTION("""COMPUTED_VALUE"""),"")</f>
        <v/>
      </c>
      <c r="Q273" s="17" t="str">
        <f>IFERROR(__xludf.DUMMYFUNCTION("""COMPUTED_VALUE"""),"")</f>
        <v/>
      </c>
      <c r="R273" s="17" t="str">
        <f>IFERROR(__xludf.DUMMYFUNCTION("""COMPUTED_VALUE"""),"")</f>
        <v/>
      </c>
      <c r="S273" s="17" t="str">
        <f>IFERROR(__xludf.DUMMYFUNCTION("""COMPUTED_VALUE"""),"")</f>
        <v/>
      </c>
      <c r="T273" s="17" t="str">
        <f>IFERROR(__xludf.DUMMYFUNCTION("""COMPUTED_VALUE"""),"")</f>
        <v/>
      </c>
      <c r="U273" s="17" t="str">
        <f>IFERROR(__xludf.DUMMYFUNCTION("""COMPUTED_VALUE"""),"")</f>
        <v/>
      </c>
      <c r="V273" s="17" t="str">
        <f>IFERROR(__xludf.DUMMYFUNCTION("""COMPUTED_VALUE"""),"")</f>
        <v/>
      </c>
      <c r="W273" s="17" t="str">
        <f>IFERROR(__xludf.DUMMYFUNCTION("""COMPUTED_VALUE"""),"")</f>
        <v/>
      </c>
      <c r="X273" s="17" t="str">
        <f>IFERROR(__xludf.DUMMYFUNCTION("""COMPUTED_VALUE"""),"")</f>
        <v/>
      </c>
      <c r="Y273" s="17" t="str">
        <f>IFERROR(__xludf.DUMMYFUNCTION("""COMPUTED_VALUE"""),"")</f>
        <v/>
      </c>
      <c r="Z273" s="17" t="str">
        <f>IFERROR(__xludf.DUMMYFUNCTION("""COMPUTED_VALUE"""),"")</f>
        <v/>
      </c>
      <c r="AA273" s="17" t="str">
        <f>IFERROR(__xludf.DUMMYFUNCTION("""COMPUTED_VALUE"""),"")</f>
        <v/>
      </c>
      <c r="AB273" s="17" t="str">
        <f>IFERROR(__xludf.DUMMYFUNCTION("""COMPUTED_VALUE"""),"")</f>
        <v/>
      </c>
      <c r="AC273" s="17" t="str">
        <f>IFERROR(__xludf.DUMMYFUNCTION("""COMPUTED_VALUE"""),"")</f>
        <v/>
      </c>
    </row>
    <row r="274">
      <c r="A274" s="17" t="str">
        <f>IFERROR(__xludf.DUMMYFUNCTION("""COMPUTED_VALUE"""),"")</f>
        <v/>
      </c>
      <c r="B274" s="17" t="str">
        <f>IFERROR(__xludf.DUMMYFUNCTION("""COMPUTED_VALUE"""),"")</f>
        <v/>
      </c>
      <c r="C274" s="17" t="str">
        <f>IFERROR(__xludf.DUMMYFUNCTION("""COMPUTED_VALUE"""),"")</f>
        <v/>
      </c>
      <c r="D274" s="17" t="str">
        <f>IFERROR(__xludf.DUMMYFUNCTION("""COMPUTED_VALUE"""),"")</f>
        <v/>
      </c>
      <c r="E274" s="17" t="str">
        <f>IFERROR(__xludf.DUMMYFUNCTION("""COMPUTED_VALUE"""),"")</f>
        <v/>
      </c>
      <c r="F274" s="17" t="str">
        <f>IFERROR(__xludf.DUMMYFUNCTION("""COMPUTED_VALUE"""),"")</f>
        <v/>
      </c>
      <c r="G274" s="17" t="str">
        <f>IFERROR(__xludf.DUMMYFUNCTION("""COMPUTED_VALUE"""),"")</f>
        <v/>
      </c>
      <c r="H274" s="17" t="str">
        <f>IFERROR(__xludf.DUMMYFUNCTION("""COMPUTED_VALUE"""),"")</f>
        <v/>
      </c>
      <c r="I274" s="17" t="str">
        <f>IFERROR(__xludf.DUMMYFUNCTION("""COMPUTED_VALUE"""),"")</f>
        <v/>
      </c>
      <c r="J274" s="17" t="str">
        <f>IFERROR(__xludf.DUMMYFUNCTION("""COMPUTED_VALUE"""),"")</f>
        <v/>
      </c>
      <c r="K274" s="17" t="str">
        <f>IFERROR(__xludf.DUMMYFUNCTION("""COMPUTED_VALUE"""),"")</f>
        <v/>
      </c>
      <c r="L274" s="17" t="str">
        <f>IFERROR(__xludf.DUMMYFUNCTION("""COMPUTED_VALUE"""),"")</f>
        <v/>
      </c>
      <c r="M274" s="17" t="str">
        <f>IFERROR(__xludf.DUMMYFUNCTION("""COMPUTED_VALUE"""),"")</f>
        <v/>
      </c>
      <c r="N274" s="17" t="str">
        <f>IFERROR(__xludf.DUMMYFUNCTION("""COMPUTED_VALUE"""),"")</f>
        <v/>
      </c>
      <c r="O274" s="17" t="str">
        <f>IFERROR(__xludf.DUMMYFUNCTION("""COMPUTED_VALUE"""),"")</f>
        <v/>
      </c>
      <c r="P274" s="17" t="str">
        <f>IFERROR(__xludf.DUMMYFUNCTION("""COMPUTED_VALUE"""),"")</f>
        <v/>
      </c>
      <c r="Q274" s="17" t="str">
        <f>IFERROR(__xludf.DUMMYFUNCTION("""COMPUTED_VALUE"""),"")</f>
        <v/>
      </c>
      <c r="R274" s="17" t="str">
        <f>IFERROR(__xludf.DUMMYFUNCTION("""COMPUTED_VALUE"""),"")</f>
        <v/>
      </c>
      <c r="S274" s="17" t="str">
        <f>IFERROR(__xludf.DUMMYFUNCTION("""COMPUTED_VALUE"""),"")</f>
        <v/>
      </c>
      <c r="T274" s="17" t="str">
        <f>IFERROR(__xludf.DUMMYFUNCTION("""COMPUTED_VALUE"""),"")</f>
        <v/>
      </c>
      <c r="U274" s="17" t="str">
        <f>IFERROR(__xludf.DUMMYFUNCTION("""COMPUTED_VALUE"""),"")</f>
        <v/>
      </c>
      <c r="V274" s="17" t="str">
        <f>IFERROR(__xludf.DUMMYFUNCTION("""COMPUTED_VALUE"""),"")</f>
        <v/>
      </c>
      <c r="W274" s="17" t="str">
        <f>IFERROR(__xludf.DUMMYFUNCTION("""COMPUTED_VALUE"""),"")</f>
        <v/>
      </c>
      <c r="X274" s="17" t="str">
        <f>IFERROR(__xludf.DUMMYFUNCTION("""COMPUTED_VALUE"""),"")</f>
        <v/>
      </c>
      <c r="Y274" s="17" t="str">
        <f>IFERROR(__xludf.DUMMYFUNCTION("""COMPUTED_VALUE"""),"")</f>
        <v/>
      </c>
      <c r="Z274" s="17" t="str">
        <f>IFERROR(__xludf.DUMMYFUNCTION("""COMPUTED_VALUE"""),"")</f>
        <v/>
      </c>
      <c r="AA274" s="17" t="str">
        <f>IFERROR(__xludf.DUMMYFUNCTION("""COMPUTED_VALUE"""),"")</f>
        <v/>
      </c>
      <c r="AB274" s="17" t="str">
        <f>IFERROR(__xludf.DUMMYFUNCTION("""COMPUTED_VALUE"""),"")</f>
        <v/>
      </c>
      <c r="AC274" s="17" t="str">
        <f>IFERROR(__xludf.DUMMYFUNCTION("""COMPUTED_VALUE"""),"")</f>
        <v/>
      </c>
    </row>
    <row r="275">
      <c r="A275" s="17" t="str">
        <f>IFERROR(__xludf.DUMMYFUNCTION("""COMPUTED_VALUE"""),"")</f>
        <v/>
      </c>
      <c r="B275" s="17" t="str">
        <f>IFERROR(__xludf.DUMMYFUNCTION("""COMPUTED_VALUE"""),"")</f>
        <v/>
      </c>
      <c r="C275" s="17" t="str">
        <f>IFERROR(__xludf.DUMMYFUNCTION("""COMPUTED_VALUE"""),"")</f>
        <v/>
      </c>
      <c r="D275" s="17" t="str">
        <f>IFERROR(__xludf.DUMMYFUNCTION("""COMPUTED_VALUE"""),"")</f>
        <v/>
      </c>
      <c r="E275" s="17" t="str">
        <f>IFERROR(__xludf.DUMMYFUNCTION("""COMPUTED_VALUE"""),"")</f>
        <v/>
      </c>
      <c r="F275" s="17" t="str">
        <f>IFERROR(__xludf.DUMMYFUNCTION("""COMPUTED_VALUE"""),"")</f>
        <v/>
      </c>
      <c r="G275" s="17" t="str">
        <f>IFERROR(__xludf.DUMMYFUNCTION("""COMPUTED_VALUE"""),"")</f>
        <v/>
      </c>
      <c r="H275" s="17" t="str">
        <f>IFERROR(__xludf.DUMMYFUNCTION("""COMPUTED_VALUE"""),"")</f>
        <v/>
      </c>
      <c r="I275" s="17" t="str">
        <f>IFERROR(__xludf.DUMMYFUNCTION("""COMPUTED_VALUE"""),"")</f>
        <v/>
      </c>
      <c r="J275" s="17" t="str">
        <f>IFERROR(__xludf.DUMMYFUNCTION("""COMPUTED_VALUE"""),"")</f>
        <v/>
      </c>
      <c r="K275" s="17" t="str">
        <f>IFERROR(__xludf.DUMMYFUNCTION("""COMPUTED_VALUE"""),"")</f>
        <v/>
      </c>
      <c r="L275" s="17" t="str">
        <f>IFERROR(__xludf.DUMMYFUNCTION("""COMPUTED_VALUE"""),"")</f>
        <v/>
      </c>
      <c r="M275" s="17" t="str">
        <f>IFERROR(__xludf.DUMMYFUNCTION("""COMPUTED_VALUE"""),"")</f>
        <v/>
      </c>
      <c r="N275" s="17" t="str">
        <f>IFERROR(__xludf.DUMMYFUNCTION("""COMPUTED_VALUE"""),"")</f>
        <v/>
      </c>
      <c r="O275" s="17" t="str">
        <f>IFERROR(__xludf.DUMMYFUNCTION("""COMPUTED_VALUE"""),"")</f>
        <v/>
      </c>
      <c r="P275" s="17" t="str">
        <f>IFERROR(__xludf.DUMMYFUNCTION("""COMPUTED_VALUE"""),"")</f>
        <v/>
      </c>
      <c r="Q275" s="17" t="str">
        <f>IFERROR(__xludf.DUMMYFUNCTION("""COMPUTED_VALUE"""),"")</f>
        <v/>
      </c>
      <c r="R275" s="17" t="str">
        <f>IFERROR(__xludf.DUMMYFUNCTION("""COMPUTED_VALUE"""),"")</f>
        <v/>
      </c>
      <c r="S275" s="17" t="str">
        <f>IFERROR(__xludf.DUMMYFUNCTION("""COMPUTED_VALUE"""),"")</f>
        <v/>
      </c>
      <c r="T275" s="17" t="str">
        <f>IFERROR(__xludf.DUMMYFUNCTION("""COMPUTED_VALUE"""),"")</f>
        <v/>
      </c>
      <c r="U275" s="17" t="str">
        <f>IFERROR(__xludf.DUMMYFUNCTION("""COMPUTED_VALUE"""),"")</f>
        <v/>
      </c>
      <c r="V275" s="17" t="str">
        <f>IFERROR(__xludf.DUMMYFUNCTION("""COMPUTED_VALUE"""),"")</f>
        <v/>
      </c>
      <c r="W275" s="17" t="str">
        <f>IFERROR(__xludf.DUMMYFUNCTION("""COMPUTED_VALUE"""),"")</f>
        <v/>
      </c>
      <c r="X275" s="17" t="str">
        <f>IFERROR(__xludf.DUMMYFUNCTION("""COMPUTED_VALUE"""),"")</f>
        <v/>
      </c>
      <c r="Y275" s="17" t="str">
        <f>IFERROR(__xludf.DUMMYFUNCTION("""COMPUTED_VALUE"""),"")</f>
        <v/>
      </c>
      <c r="Z275" s="17" t="str">
        <f>IFERROR(__xludf.DUMMYFUNCTION("""COMPUTED_VALUE"""),"")</f>
        <v/>
      </c>
      <c r="AA275" s="17" t="str">
        <f>IFERROR(__xludf.DUMMYFUNCTION("""COMPUTED_VALUE"""),"")</f>
        <v/>
      </c>
      <c r="AB275" s="17" t="str">
        <f>IFERROR(__xludf.DUMMYFUNCTION("""COMPUTED_VALUE"""),"")</f>
        <v/>
      </c>
      <c r="AC275" s="17" t="str">
        <f>IFERROR(__xludf.DUMMYFUNCTION("""COMPUTED_VALUE"""),"")</f>
        <v/>
      </c>
    </row>
    <row r="276">
      <c r="A276" s="17" t="str">
        <f>IFERROR(__xludf.DUMMYFUNCTION("""COMPUTED_VALUE"""),"")</f>
        <v/>
      </c>
      <c r="B276" s="17" t="str">
        <f>IFERROR(__xludf.DUMMYFUNCTION("""COMPUTED_VALUE"""),"")</f>
        <v/>
      </c>
      <c r="C276" s="17" t="str">
        <f>IFERROR(__xludf.DUMMYFUNCTION("""COMPUTED_VALUE"""),"")</f>
        <v/>
      </c>
      <c r="D276" s="17" t="str">
        <f>IFERROR(__xludf.DUMMYFUNCTION("""COMPUTED_VALUE"""),"")</f>
        <v/>
      </c>
      <c r="E276" s="17" t="str">
        <f>IFERROR(__xludf.DUMMYFUNCTION("""COMPUTED_VALUE"""),"")</f>
        <v/>
      </c>
      <c r="F276" s="17" t="str">
        <f>IFERROR(__xludf.DUMMYFUNCTION("""COMPUTED_VALUE"""),"")</f>
        <v/>
      </c>
      <c r="G276" s="17" t="str">
        <f>IFERROR(__xludf.DUMMYFUNCTION("""COMPUTED_VALUE"""),"")</f>
        <v/>
      </c>
      <c r="H276" s="17" t="str">
        <f>IFERROR(__xludf.DUMMYFUNCTION("""COMPUTED_VALUE"""),"")</f>
        <v/>
      </c>
      <c r="I276" s="17" t="str">
        <f>IFERROR(__xludf.DUMMYFUNCTION("""COMPUTED_VALUE"""),"")</f>
        <v/>
      </c>
      <c r="J276" s="17" t="str">
        <f>IFERROR(__xludf.DUMMYFUNCTION("""COMPUTED_VALUE"""),"")</f>
        <v/>
      </c>
      <c r="K276" s="17" t="str">
        <f>IFERROR(__xludf.DUMMYFUNCTION("""COMPUTED_VALUE"""),"")</f>
        <v/>
      </c>
      <c r="L276" s="17" t="str">
        <f>IFERROR(__xludf.DUMMYFUNCTION("""COMPUTED_VALUE"""),"")</f>
        <v/>
      </c>
      <c r="M276" s="17" t="str">
        <f>IFERROR(__xludf.DUMMYFUNCTION("""COMPUTED_VALUE"""),"")</f>
        <v/>
      </c>
      <c r="N276" s="17" t="str">
        <f>IFERROR(__xludf.DUMMYFUNCTION("""COMPUTED_VALUE"""),"")</f>
        <v/>
      </c>
      <c r="O276" s="17" t="str">
        <f>IFERROR(__xludf.DUMMYFUNCTION("""COMPUTED_VALUE"""),"")</f>
        <v/>
      </c>
      <c r="P276" s="17" t="str">
        <f>IFERROR(__xludf.DUMMYFUNCTION("""COMPUTED_VALUE"""),"")</f>
        <v/>
      </c>
      <c r="Q276" s="17" t="str">
        <f>IFERROR(__xludf.DUMMYFUNCTION("""COMPUTED_VALUE"""),"")</f>
        <v/>
      </c>
      <c r="R276" s="17" t="str">
        <f>IFERROR(__xludf.DUMMYFUNCTION("""COMPUTED_VALUE"""),"")</f>
        <v/>
      </c>
      <c r="S276" s="17" t="str">
        <f>IFERROR(__xludf.DUMMYFUNCTION("""COMPUTED_VALUE"""),"")</f>
        <v/>
      </c>
      <c r="T276" s="17" t="str">
        <f>IFERROR(__xludf.DUMMYFUNCTION("""COMPUTED_VALUE"""),"")</f>
        <v/>
      </c>
      <c r="U276" s="17" t="str">
        <f>IFERROR(__xludf.DUMMYFUNCTION("""COMPUTED_VALUE"""),"")</f>
        <v/>
      </c>
      <c r="V276" s="17" t="str">
        <f>IFERROR(__xludf.DUMMYFUNCTION("""COMPUTED_VALUE"""),"")</f>
        <v/>
      </c>
      <c r="W276" s="17" t="str">
        <f>IFERROR(__xludf.DUMMYFUNCTION("""COMPUTED_VALUE"""),"")</f>
        <v/>
      </c>
      <c r="X276" s="17" t="str">
        <f>IFERROR(__xludf.DUMMYFUNCTION("""COMPUTED_VALUE"""),"")</f>
        <v/>
      </c>
      <c r="Y276" s="17" t="str">
        <f>IFERROR(__xludf.DUMMYFUNCTION("""COMPUTED_VALUE"""),"")</f>
        <v/>
      </c>
      <c r="Z276" s="17" t="str">
        <f>IFERROR(__xludf.DUMMYFUNCTION("""COMPUTED_VALUE"""),"")</f>
        <v/>
      </c>
      <c r="AA276" s="17" t="str">
        <f>IFERROR(__xludf.DUMMYFUNCTION("""COMPUTED_VALUE"""),"")</f>
        <v/>
      </c>
      <c r="AB276" s="17" t="str">
        <f>IFERROR(__xludf.DUMMYFUNCTION("""COMPUTED_VALUE"""),"")</f>
        <v/>
      </c>
      <c r="AC276" s="17" t="str">
        <f>IFERROR(__xludf.DUMMYFUNCTION("""COMPUTED_VALUE"""),"")</f>
        <v/>
      </c>
    </row>
    <row r="277">
      <c r="A277" s="17" t="str">
        <f>IFERROR(__xludf.DUMMYFUNCTION("""COMPUTED_VALUE"""),"")</f>
        <v/>
      </c>
      <c r="B277" s="17" t="str">
        <f>IFERROR(__xludf.DUMMYFUNCTION("""COMPUTED_VALUE"""),"")</f>
        <v/>
      </c>
      <c r="C277" s="17" t="str">
        <f>IFERROR(__xludf.DUMMYFUNCTION("""COMPUTED_VALUE"""),"")</f>
        <v/>
      </c>
      <c r="D277" s="17" t="str">
        <f>IFERROR(__xludf.DUMMYFUNCTION("""COMPUTED_VALUE"""),"")</f>
        <v/>
      </c>
      <c r="E277" s="17" t="str">
        <f>IFERROR(__xludf.DUMMYFUNCTION("""COMPUTED_VALUE"""),"")</f>
        <v/>
      </c>
      <c r="F277" s="17" t="str">
        <f>IFERROR(__xludf.DUMMYFUNCTION("""COMPUTED_VALUE"""),"")</f>
        <v/>
      </c>
      <c r="G277" s="17" t="str">
        <f>IFERROR(__xludf.DUMMYFUNCTION("""COMPUTED_VALUE"""),"")</f>
        <v/>
      </c>
      <c r="H277" s="17" t="str">
        <f>IFERROR(__xludf.DUMMYFUNCTION("""COMPUTED_VALUE"""),"")</f>
        <v/>
      </c>
      <c r="I277" s="17" t="str">
        <f>IFERROR(__xludf.DUMMYFUNCTION("""COMPUTED_VALUE"""),"")</f>
        <v/>
      </c>
      <c r="J277" s="17" t="str">
        <f>IFERROR(__xludf.DUMMYFUNCTION("""COMPUTED_VALUE"""),"")</f>
        <v/>
      </c>
      <c r="K277" s="17" t="str">
        <f>IFERROR(__xludf.DUMMYFUNCTION("""COMPUTED_VALUE"""),"")</f>
        <v/>
      </c>
      <c r="L277" s="17" t="str">
        <f>IFERROR(__xludf.DUMMYFUNCTION("""COMPUTED_VALUE"""),"")</f>
        <v/>
      </c>
      <c r="M277" s="17" t="str">
        <f>IFERROR(__xludf.DUMMYFUNCTION("""COMPUTED_VALUE"""),"")</f>
        <v/>
      </c>
      <c r="N277" s="17" t="str">
        <f>IFERROR(__xludf.DUMMYFUNCTION("""COMPUTED_VALUE"""),"")</f>
        <v/>
      </c>
      <c r="O277" s="17" t="str">
        <f>IFERROR(__xludf.DUMMYFUNCTION("""COMPUTED_VALUE"""),"")</f>
        <v/>
      </c>
      <c r="P277" s="17" t="str">
        <f>IFERROR(__xludf.DUMMYFUNCTION("""COMPUTED_VALUE"""),"")</f>
        <v/>
      </c>
      <c r="Q277" s="17" t="str">
        <f>IFERROR(__xludf.DUMMYFUNCTION("""COMPUTED_VALUE"""),"")</f>
        <v/>
      </c>
      <c r="R277" s="17" t="str">
        <f>IFERROR(__xludf.DUMMYFUNCTION("""COMPUTED_VALUE"""),"")</f>
        <v/>
      </c>
      <c r="S277" s="17" t="str">
        <f>IFERROR(__xludf.DUMMYFUNCTION("""COMPUTED_VALUE"""),"")</f>
        <v/>
      </c>
      <c r="T277" s="17" t="str">
        <f>IFERROR(__xludf.DUMMYFUNCTION("""COMPUTED_VALUE"""),"")</f>
        <v/>
      </c>
      <c r="U277" s="17" t="str">
        <f>IFERROR(__xludf.DUMMYFUNCTION("""COMPUTED_VALUE"""),"")</f>
        <v/>
      </c>
      <c r="V277" s="17" t="str">
        <f>IFERROR(__xludf.DUMMYFUNCTION("""COMPUTED_VALUE"""),"")</f>
        <v/>
      </c>
      <c r="W277" s="17" t="str">
        <f>IFERROR(__xludf.DUMMYFUNCTION("""COMPUTED_VALUE"""),"")</f>
        <v/>
      </c>
      <c r="X277" s="17" t="str">
        <f>IFERROR(__xludf.DUMMYFUNCTION("""COMPUTED_VALUE"""),"")</f>
        <v/>
      </c>
      <c r="Y277" s="17" t="str">
        <f>IFERROR(__xludf.DUMMYFUNCTION("""COMPUTED_VALUE"""),"")</f>
        <v/>
      </c>
      <c r="Z277" s="17" t="str">
        <f>IFERROR(__xludf.DUMMYFUNCTION("""COMPUTED_VALUE"""),"")</f>
        <v/>
      </c>
      <c r="AA277" s="17" t="str">
        <f>IFERROR(__xludf.DUMMYFUNCTION("""COMPUTED_VALUE"""),"")</f>
        <v/>
      </c>
      <c r="AB277" s="17" t="str">
        <f>IFERROR(__xludf.DUMMYFUNCTION("""COMPUTED_VALUE"""),"")</f>
        <v/>
      </c>
      <c r="AC277" s="17" t="str">
        <f>IFERROR(__xludf.DUMMYFUNCTION("""COMPUTED_VALUE"""),"")</f>
        <v/>
      </c>
    </row>
    <row r="278">
      <c r="A278" s="17" t="str">
        <f>IFERROR(__xludf.DUMMYFUNCTION("""COMPUTED_VALUE"""),"Chapter 32: 26 Correspondence - Addendum Rory
Do One Thing At A Time (Dinotopia) 300:
When you focus yourself on doing a single task, your skill and efficiency doubles. Material requirements are unaffected, but time taken is halved and quality is doubled."&amp;"
Fiat")</f>
        <v>Chapter 32: 26 Correspondence - Addendum Rory
Do One Thing At A Time (Dinotopia) 300:
When you focus yourself on doing a single task, your skill and efficiency doubles. Material requirements are unaffected, but time taken is halved and quality is doubled.
Fiat</v>
      </c>
      <c r="B278" s="17" t="str">
        <f>IFERROR(__xludf.DUMMYFUNCTION("""COMPUTED_VALUE"""),"
")</f>
        <v>
</v>
      </c>
      <c r="C278" s="17" t="str">
        <f>IFERROR(__xludf.DUMMYFUNCTION("""COMPUTED_VALUE"""),"
")</f>
        <v>
</v>
      </c>
      <c r="D278" s="17" t="str">
        <f>IFERROR(__xludf.DUMMYFUNCTION("""COMPUTED_VALUE"""),"
")</f>
        <v>
</v>
      </c>
      <c r="E278" s="17" t="str">
        <f>IFERROR(__xludf.DUMMYFUNCTION("""COMPUTED_VALUE"""),"
")</f>
        <v>
</v>
      </c>
      <c r="F278" s="17" t="str">
        <f>IFERROR(__xludf.DUMMYFUNCTION("""COMPUTED_VALUE"""),"
")</f>
        <v>
</v>
      </c>
      <c r="G278" s="17" t="str">
        <f>IFERROR(__xludf.DUMMYFUNCTION("""COMPUTED_VALUE"""),"
")</f>
        <v>
</v>
      </c>
      <c r="H278" s="17" t="str">
        <f>IFERROR(__xludf.DUMMYFUNCTION("""COMPUTED_VALUE"""),"
")</f>
        <v>
</v>
      </c>
      <c r="I278" s="17" t="str">
        <f>IFERROR(__xludf.DUMMYFUNCTION("""COMPUTED_VALUE"""),"
")</f>
        <v>
</v>
      </c>
      <c r="J278" s="17" t="str">
        <f>IFERROR(__xludf.DUMMYFUNCTION("""COMPUTED_VALUE"""),"
")</f>
        <v>
</v>
      </c>
      <c r="K278" s="17" t="str">
        <f>IFERROR(__xludf.DUMMYFUNCTION("""COMPUTED_VALUE"""),"
")</f>
        <v>
</v>
      </c>
      <c r="L278" s="17" t="str">
        <f>IFERROR(__xludf.DUMMYFUNCTION("""COMPUTED_VALUE"""),"
")</f>
        <v>
</v>
      </c>
      <c r="M278" s="17" t="str">
        <f>IFERROR(__xludf.DUMMYFUNCTION("""COMPUTED_VALUE"""),"
")</f>
        <v>
</v>
      </c>
      <c r="N278" s="17" t="str">
        <f>IFERROR(__xludf.DUMMYFUNCTION("""COMPUTED_VALUE"""),"
")</f>
        <v>
</v>
      </c>
      <c r="O278" s="17" t="str">
        <f>IFERROR(__xludf.DUMMYFUNCTION("""COMPUTED_VALUE"""),"
")</f>
        <v>
</v>
      </c>
      <c r="P278" s="17" t="str">
        <f>IFERROR(__xludf.DUMMYFUNCTION("""COMPUTED_VALUE"""),"
")</f>
        <v>
</v>
      </c>
      <c r="Q278" s="17" t="str">
        <f>IFERROR(__xludf.DUMMYFUNCTION("""COMPUTED_VALUE"""),"
")</f>
        <v>
</v>
      </c>
      <c r="R278" s="17" t="str">
        <f>IFERROR(__xludf.DUMMYFUNCTION("""COMPUTED_VALUE"""),"
")</f>
        <v>
</v>
      </c>
      <c r="S278" s="17" t="str">
        <f>IFERROR(__xludf.DUMMYFUNCTION("""COMPUTED_VALUE"""),"
")</f>
        <v>
</v>
      </c>
      <c r="T278" s="17" t="str">
        <f>IFERROR(__xludf.DUMMYFUNCTION("""COMPUTED_VALUE"""),"
")</f>
        <v>
</v>
      </c>
      <c r="U278" s="17" t="str">
        <f>IFERROR(__xludf.DUMMYFUNCTION("""COMPUTED_VALUE"""),"
")</f>
        <v>
</v>
      </c>
      <c r="V278" s="17" t="str">
        <f>IFERROR(__xludf.DUMMYFUNCTION("""COMPUTED_VALUE"""),"
")</f>
        <v>
</v>
      </c>
      <c r="W278" s="17" t="str">
        <f>IFERROR(__xludf.DUMMYFUNCTION("""COMPUTED_VALUE"""),"
")</f>
        <v>
</v>
      </c>
      <c r="X278" s="17" t="str">
        <f>IFERROR(__xludf.DUMMYFUNCTION("""COMPUTED_VALUE"""),"
")</f>
        <v>
</v>
      </c>
      <c r="Y278" s="17" t="str">
        <f>IFERROR(__xludf.DUMMYFUNCTION("""COMPUTED_VALUE"""),"
")</f>
        <v>
</v>
      </c>
      <c r="Z278" s="17" t="str">
        <f>IFERROR(__xludf.DUMMYFUNCTION("""COMPUTED_VALUE"""),"
")</f>
        <v>
</v>
      </c>
      <c r="AA278" s="17" t="str">
        <f>IFERROR(__xludf.DUMMYFUNCTION("""COMPUTED_VALUE"""),"
")</f>
        <v>
</v>
      </c>
      <c r="AB278" s="17" t="str">
        <f>IFERROR(__xludf.DUMMYFUNCTION("""COMPUTED_VALUE"""),"
")</f>
        <v>
</v>
      </c>
      <c r="AC278" s="17" t="str">
        <f>IFERROR(__xludf.DUMMYFUNCTION("""COMPUTED_VALUE"""),"
")</f>
        <v>
</v>
      </c>
    </row>
    <row r="279">
      <c r="A279" s="17" t="str">
        <f>IFERROR(__xludf.DUMMYFUNCTION("""COMPUTED_VALUE"""),"")</f>
        <v/>
      </c>
      <c r="B279" s="17" t="str">
        <f>IFERROR(__xludf.DUMMYFUNCTION("""COMPUTED_VALUE"""),"")</f>
        <v/>
      </c>
      <c r="C279" s="17" t="str">
        <f>IFERROR(__xludf.DUMMYFUNCTION("""COMPUTED_VALUE"""),"")</f>
        <v/>
      </c>
      <c r="D279" s="17" t="str">
        <f>IFERROR(__xludf.DUMMYFUNCTION("""COMPUTED_VALUE"""),"")</f>
        <v/>
      </c>
      <c r="E279" s="17" t="str">
        <f>IFERROR(__xludf.DUMMYFUNCTION("""COMPUTED_VALUE"""),"")</f>
        <v/>
      </c>
      <c r="F279" s="17" t="str">
        <f>IFERROR(__xludf.DUMMYFUNCTION("""COMPUTED_VALUE"""),"")</f>
        <v/>
      </c>
      <c r="G279" s="17" t="str">
        <f>IFERROR(__xludf.DUMMYFUNCTION("""COMPUTED_VALUE"""),"")</f>
        <v/>
      </c>
      <c r="H279" s="17" t="str">
        <f>IFERROR(__xludf.DUMMYFUNCTION("""COMPUTED_VALUE"""),"")</f>
        <v/>
      </c>
      <c r="I279" s="17" t="str">
        <f>IFERROR(__xludf.DUMMYFUNCTION("""COMPUTED_VALUE"""),"")</f>
        <v/>
      </c>
      <c r="J279" s="17" t="str">
        <f>IFERROR(__xludf.DUMMYFUNCTION("""COMPUTED_VALUE"""),"")</f>
        <v/>
      </c>
      <c r="K279" s="17" t="str">
        <f>IFERROR(__xludf.DUMMYFUNCTION("""COMPUTED_VALUE"""),"")</f>
        <v/>
      </c>
      <c r="L279" s="17" t="str">
        <f>IFERROR(__xludf.DUMMYFUNCTION("""COMPUTED_VALUE"""),"")</f>
        <v/>
      </c>
      <c r="M279" s="17" t="str">
        <f>IFERROR(__xludf.DUMMYFUNCTION("""COMPUTED_VALUE"""),"")</f>
        <v/>
      </c>
      <c r="N279" s="17" t="str">
        <f>IFERROR(__xludf.DUMMYFUNCTION("""COMPUTED_VALUE"""),"")</f>
        <v/>
      </c>
      <c r="O279" s="17" t="str">
        <f>IFERROR(__xludf.DUMMYFUNCTION("""COMPUTED_VALUE"""),"")</f>
        <v/>
      </c>
      <c r="P279" s="17" t="str">
        <f>IFERROR(__xludf.DUMMYFUNCTION("""COMPUTED_VALUE"""),"")</f>
        <v/>
      </c>
      <c r="Q279" s="17" t="str">
        <f>IFERROR(__xludf.DUMMYFUNCTION("""COMPUTED_VALUE"""),"")</f>
        <v/>
      </c>
      <c r="R279" s="17" t="str">
        <f>IFERROR(__xludf.DUMMYFUNCTION("""COMPUTED_VALUE"""),"")</f>
        <v/>
      </c>
      <c r="S279" s="17" t="str">
        <f>IFERROR(__xludf.DUMMYFUNCTION("""COMPUTED_VALUE"""),"")</f>
        <v/>
      </c>
      <c r="T279" s="17" t="str">
        <f>IFERROR(__xludf.DUMMYFUNCTION("""COMPUTED_VALUE"""),"")</f>
        <v/>
      </c>
      <c r="U279" s="17" t="str">
        <f>IFERROR(__xludf.DUMMYFUNCTION("""COMPUTED_VALUE"""),"")</f>
        <v/>
      </c>
      <c r="V279" s="17" t="str">
        <f>IFERROR(__xludf.DUMMYFUNCTION("""COMPUTED_VALUE"""),"")</f>
        <v/>
      </c>
      <c r="W279" s="17" t="str">
        <f>IFERROR(__xludf.DUMMYFUNCTION("""COMPUTED_VALUE"""),"")</f>
        <v/>
      </c>
      <c r="X279" s="17" t="str">
        <f>IFERROR(__xludf.DUMMYFUNCTION("""COMPUTED_VALUE"""),"")</f>
        <v/>
      </c>
      <c r="Y279" s="17" t="str">
        <f>IFERROR(__xludf.DUMMYFUNCTION("""COMPUTED_VALUE"""),"")</f>
        <v/>
      </c>
      <c r="Z279" s="17" t="str">
        <f>IFERROR(__xludf.DUMMYFUNCTION("""COMPUTED_VALUE"""),"")</f>
        <v/>
      </c>
      <c r="AA279" s="17" t="str">
        <f>IFERROR(__xludf.DUMMYFUNCTION("""COMPUTED_VALUE"""),"")</f>
        <v/>
      </c>
      <c r="AB279" s="17" t="str">
        <f>IFERROR(__xludf.DUMMYFUNCTION("""COMPUTED_VALUE"""),"")</f>
        <v/>
      </c>
      <c r="AC279" s="17" t="str">
        <f>IFERROR(__xludf.DUMMYFUNCTION("""COMPUTED_VALUE"""),"")</f>
        <v/>
      </c>
    </row>
    <row r="280">
      <c r="A280" s="17" t="str">
        <f>IFERROR(__xludf.DUMMYFUNCTION("""COMPUTED_VALUE"""),"Chapter 09: 7 Accessory
Decadence (Dune) 100:
You have the skills to sacrifice neither form nor function when you design, create, or arrange things, which is especially important in a society whose upper crust values opulence the way this society does -- "&amp;"after all, the Emperor's throne is carved out of a single massive gemstone. Whether it's interior decorating, crafting a knife or sword, building furniture or a vehicle... you can make it appeal perfectly to the most crass or the upper crust. You can also"&amp;" figure out the optimal decor for any purpose or environment, which includes the best places to hide discreet surveillance devices.
Skill")</f>
        <v>Chapter 09: 7 Accessory
Decadence (Dune) 100:
You have the skills to sacrifice neither form nor function when you design, create, or arrange things, which is especially important in a society whose upper crust values opulence the way this society does -- after all, the Emperor's throne is carved out of a single massive gemstone. Whether it's interior decorating, crafting a knife or sword, building furniture or a vehicle... you can make it appeal perfectly to the most crass or the upper crust. You can also figure out the optimal decor for any purpose or environment, which includes the best places to hide discreet surveillance devices.
Skill</v>
      </c>
      <c r="B280" s="17" t="str">
        <f>IFERROR(__xludf.DUMMYFUNCTION("""COMPUTED_VALUE"""),"
")</f>
        <v>
</v>
      </c>
      <c r="C280" s="17" t="str">
        <f>IFERROR(__xludf.DUMMYFUNCTION("""COMPUTED_VALUE"""),"
")</f>
        <v>
</v>
      </c>
      <c r="D280" s="17" t="str">
        <f>IFERROR(__xludf.DUMMYFUNCTION("""COMPUTED_VALUE"""),"
")</f>
        <v>
</v>
      </c>
      <c r="E280" s="17" t="str">
        <f>IFERROR(__xludf.DUMMYFUNCTION("""COMPUTED_VALUE"""),"
")</f>
        <v>
</v>
      </c>
      <c r="F280" s="17" t="str">
        <f>IFERROR(__xludf.DUMMYFUNCTION("""COMPUTED_VALUE"""),"
")</f>
        <v>
</v>
      </c>
      <c r="G280" s="17" t="str">
        <f>IFERROR(__xludf.DUMMYFUNCTION("""COMPUTED_VALUE"""),"
")</f>
        <v>
</v>
      </c>
      <c r="H280" s="17" t="str">
        <f>IFERROR(__xludf.DUMMYFUNCTION("""COMPUTED_VALUE"""),"
")</f>
        <v>
</v>
      </c>
      <c r="I280" s="17" t="str">
        <f>IFERROR(__xludf.DUMMYFUNCTION("""COMPUTED_VALUE"""),"
")</f>
        <v>
</v>
      </c>
      <c r="J280" s="17" t="str">
        <f>IFERROR(__xludf.DUMMYFUNCTION("""COMPUTED_VALUE"""),"
")</f>
        <v>
</v>
      </c>
      <c r="K280" s="17" t="str">
        <f>IFERROR(__xludf.DUMMYFUNCTION("""COMPUTED_VALUE"""),"
")</f>
        <v>
</v>
      </c>
      <c r="L280" s="17" t="str">
        <f>IFERROR(__xludf.DUMMYFUNCTION("""COMPUTED_VALUE"""),"
")</f>
        <v>
</v>
      </c>
      <c r="M280" s="17" t="str">
        <f>IFERROR(__xludf.DUMMYFUNCTION("""COMPUTED_VALUE"""),"
")</f>
        <v>
</v>
      </c>
      <c r="N280" s="17" t="str">
        <f>IFERROR(__xludf.DUMMYFUNCTION("""COMPUTED_VALUE"""),"
")</f>
        <v>
</v>
      </c>
      <c r="O280" s="17" t="str">
        <f>IFERROR(__xludf.DUMMYFUNCTION("""COMPUTED_VALUE"""),"
")</f>
        <v>
</v>
      </c>
      <c r="P280" s="17" t="str">
        <f>IFERROR(__xludf.DUMMYFUNCTION("""COMPUTED_VALUE"""),"
")</f>
        <v>
</v>
      </c>
      <c r="Q280" s="17" t="str">
        <f>IFERROR(__xludf.DUMMYFUNCTION("""COMPUTED_VALUE"""),"
")</f>
        <v>
</v>
      </c>
      <c r="R280" s="17" t="str">
        <f>IFERROR(__xludf.DUMMYFUNCTION("""COMPUTED_VALUE"""),"
")</f>
        <v>
</v>
      </c>
      <c r="S280" s="17" t="str">
        <f>IFERROR(__xludf.DUMMYFUNCTION("""COMPUTED_VALUE"""),"
")</f>
        <v>
</v>
      </c>
      <c r="T280" s="17" t="str">
        <f>IFERROR(__xludf.DUMMYFUNCTION("""COMPUTED_VALUE"""),"
")</f>
        <v>
</v>
      </c>
      <c r="U280" s="17" t="str">
        <f>IFERROR(__xludf.DUMMYFUNCTION("""COMPUTED_VALUE"""),"
")</f>
        <v>
</v>
      </c>
      <c r="V280" s="17" t="str">
        <f>IFERROR(__xludf.DUMMYFUNCTION("""COMPUTED_VALUE"""),"
")</f>
        <v>
</v>
      </c>
      <c r="W280" s="17" t="str">
        <f>IFERROR(__xludf.DUMMYFUNCTION("""COMPUTED_VALUE"""),"
")</f>
        <v>
</v>
      </c>
      <c r="X280" s="17" t="str">
        <f>IFERROR(__xludf.DUMMYFUNCTION("""COMPUTED_VALUE"""),"
")</f>
        <v>
</v>
      </c>
      <c r="Y280" s="17" t="str">
        <f>IFERROR(__xludf.DUMMYFUNCTION("""COMPUTED_VALUE"""),"
")</f>
        <v>
</v>
      </c>
      <c r="Z280" s="17" t="str">
        <f>IFERROR(__xludf.DUMMYFUNCTION("""COMPUTED_VALUE"""),"
")</f>
        <v>
</v>
      </c>
      <c r="AA280" s="17" t="str">
        <f>IFERROR(__xludf.DUMMYFUNCTION("""COMPUTED_VALUE"""),"
")</f>
        <v>
</v>
      </c>
      <c r="AB280" s="17" t="str">
        <f>IFERROR(__xludf.DUMMYFUNCTION("""COMPUTED_VALUE"""),"
")</f>
        <v>
</v>
      </c>
      <c r="AC280" s="17" t="str">
        <f>IFERROR(__xludf.DUMMYFUNCTION("""COMPUTED_VALUE"""),"
")</f>
        <v>
</v>
      </c>
    </row>
    <row r="281">
      <c r="A281" s="17" t="str">
        <f>IFERROR(__xludf.DUMMYFUNCTION("""COMPUTED_VALUE"""),"Chapter 73: 57 Crunch Time
Feel It Out (F.E.A.R.) 600:
Your ability to understand machines and designs are more than just knowledge, and anyone who follows your work would know this well. You have a subtle psionic ability to 'understand' the machines and "&amp;"items that you physically touch, to the point where you can understand how it might work. More importantly, what you could do to also make it better. Naturally the more complex or esoteric the item is, the more drastically the time needed increases. But t"&amp;"he more information you collect the more ideas and methods you can formulate to begin working. All psychic powers can be improved via training.
Analysis")</f>
        <v>Chapter 73: 57 Crunch Time
Feel It Out (F.E.A.R.) 600:
Your ability to understand machines and designs are more than just knowledge, and anyone who follows your work would know this well. You have a subtle psionic ability to 'understand' the machines and items that you physically touch, to the point where you can understand how it might work. More importantly, what you could do to also make it better. Naturally the more complex or esoteric the item is, the more drastically the time needed increases. But the more information you collect the more ideas and methods you can formulate to begin working. All psychic powers can be improved via training.
Analysis</v>
      </c>
      <c r="B281" s="17" t="str">
        <f>IFERROR(__xludf.DUMMYFUNCTION("""COMPUTED_VALUE"""),"Chapter 73: 57 Crunch Time
Paxton Fettel(F.E.A.R.) Free:
There can be some pretty odd names people take up in places, and if you have an improper name it could lead to getting teased or ill-thought of. Not anymore! With this little bonus you could have an"&amp;"y strange-sounding name and people would treat you as seriously as they would anyone else. That's the key part, 'as serious as anyone else'.
Personal")</f>
        <v>Chapter 73: 57 Crunch Time
Paxton Fettel(F.E.A.R.) Free:
There can be some pretty odd names people take up in places, and if you have an improper name it could lead to getting teased or ill-thought of. Not anymore! With this little bonus you could have any strange-sounding name and people would treat you as seriously as they would anyone else. That's the key part, 'as serious as anyone else'.
Personal</v>
      </c>
      <c r="C281" s="17" t="str">
        <f>IFERROR(__xludf.DUMMYFUNCTION("""COMPUTED_VALUE"""),"Chapter 123: 88 Perspectives
Synchronicity Event (F.E.A.R.) 300:
Curiouser and curiouser. Due to coming into contact with... well, SOMETHING, your psionic abilities have noticeably increased. Psychic powers you may have had are stronger now, with contro"&amp;"l and development coming more quickly with practice. There is also a boon to this; by taking a few days to 'attune' a person, you may impart upon them the beginning of psionic abilities of their own. You may only gift one school at a time, and they start "&amp;"at the very beginning; if they are to grow and learn as you have, it would be wise to teach them. On the plus side, they’ll eventually become as strong as you are, so you’ll have quite the pupil on your hands.
Synchronicity Event boosts psychic powers fr"&amp;"om outside this setting by a decent amount. It's nothing like Alma, but it's a decent boost. At the same time, you may also unlock the following abilities:
-Taking 'Feel It Out' increases your understanding of technologies and different items, dramatical"&amp;"ly cutting down the time needed to analyze the object in question and improving defenses should any psionic traps be laid. You can also 'attune' objects to better channel psionic abilities and become a powerful focus for them.
Psionic schools from F.E.A."&amp;"R. include Telekinesis, Telepathy, Pyrokinesis, Possession, Teleportation, and Manifestation.
System")</f>
        <v>Chapter 123: 88 Perspectives
Synchronicity Event (F.E.A.R.) 300:
Curiouser and curiouser. Due to coming into contact with... well, SOMETHING, your psionic abilities have noticeably increased. Psychic powers you may have had are stronger now, with control and development coming more quickly with practice. There is also a boon to this; by taking a few days to 'attune' a person, you may impart upon them the beginning of psionic abilities of their own. You may only gift one school at a time, and they start at the very beginning; if they are to grow and learn as you have, it would be wise to teach them. On the plus side, they’ll eventually become as strong as you are, so you’ll have quite the pupil on your hands.
Synchronicity Event boosts psychic powers from outside this setting by a decent amount. It's nothing like Alma, but it's a decent boost. At the same time, you may also unlock the following abilities:
-Taking 'Feel It Out' increases your understanding of technologies and different items, dramatically cutting down the time needed to analyze the object in question and improving defenses should any psionic traps be laid. You can also 'attune' objects to better channel psionic abilities and become a powerful focus for them.
Psionic schools from F.E.A.R. include Telekinesis, Telepathy, Pyrokinesis, Possession, Teleportation, and Manifestation.
System</v>
      </c>
      <c r="D281" s="17" t="str">
        <f>IFERROR(__xludf.DUMMYFUNCTION("""COMPUTED_VALUE"""),"
")</f>
        <v>
</v>
      </c>
      <c r="E281" s="17" t="str">
        <f>IFERROR(__xludf.DUMMYFUNCTION("""COMPUTED_VALUE"""),"
")</f>
        <v>
</v>
      </c>
      <c r="F281" s="17" t="str">
        <f>IFERROR(__xludf.DUMMYFUNCTION("""COMPUTED_VALUE"""),"
")</f>
        <v>
</v>
      </c>
      <c r="G281" s="17" t="str">
        <f>IFERROR(__xludf.DUMMYFUNCTION("""COMPUTED_VALUE"""),"
")</f>
        <v>
</v>
      </c>
      <c r="H281" s="17" t="str">
        <f>IFERROR(__xludf.DUMMYFUNCTION("""COMPUTED_VALUE"""),"
")</f>
        <v>
</v>
      </c>
      <c r="I281" s="17" t="str">
        <f>IFERROR(__xludf.DUMMYFUNCTION("""COMPUTED_VALUE"""),"
")</f>
        <v>
</v>
      </c>
      <c r="J281" s="17" t="str">
        <f>IFERROR(__xludf.DUMMYFUNCTION("""COMPUTED_VALUE"""),"
")</f>
        <v>
</v>
      </c>
      <c r="K281" s="17" t="str">
        <f>IFERROR(__xludf.DUMMYFUNCTION("""COMPUTED_VALUE"""),"
")</f>
        <v>
</v>
      </c>
      <c r="L281" s="17" t="str">
        <f>IFERROR(__xludf.DUMMYFUNCTION("""COMPUTED_VALUE"""),"
")</f>
        <v>
</v>
      </c>
      <c r="M281" s="17" t="str">
        <f>IFERROR(__xludf.DUMMYFUNCTION("""COMPUTED_VALUE"""),"
")</f>
        <v>
</v>
      </c>
      <c r="N281" s="17" t="str">
        <f>IFERROR(__xludf.DUMMYFUNCTION("""COMPUTED_VALUE"""),"
")</f>
        <v>
</v>
      </c>
      <c r="O281" s="17" t="str">
        <f>IFERROR(__xludf.DUMMYFUNCTION("""COMPUTED_VALUE"""),"
")</f>
        <v>
</v>
      </c>
      <c r="P281" s="17" t="str">
        <f>IFERROR(__xludf.DUMMYFUNCTION("""COMPUTED_VALUE"""),"
")</f>
        <v>
</v>
      </c>
      <c r="Q281" s="17" t="str">
        <f>IFERROR(__xludf.DUMMYFUNCTION("""COMPUTED_VALUE"""),"
")</f>
        <v>
</v>
      </c>
      <c r="R281" s="17" t="str">
        <f>IFERROR(__xludf.DUMMYFUNCTION("""COMPUTED_VALUE"""),"
")</f>
        <v>
</v>
      </c>
      <c r="S281" s="17" t="str">
        <f>IFERROR(__xludf.DUMMYFUNCTION("""COMPUTED_VALUE"""),"
")</f>
        <v>
</v>
      </c>
      <c r="T281" s="17" t="str">
        <f>IFERROR(__xludf.DUMMYFUNCTION("""COMPUTED_VALUE"""),"
")</f>
        <v>
</v>
      </c>
      <c r="U281" s="17" t="str">
        <f>IFERROR(__xludf.DUMMYFUNCTION("""COMPUTED_VALUE"""),"
")</f>
        <v>
</v>
      </c>
      <c r="V281" s="17" t="str">
        <f>IFERROR(__xludf.DUMMYFUNCTION("""COMPUTED_VALUE"""),"
")</f>
        <v>
</v>
      </c>
      <c r="W281" s="17" t="str">
        <f>IFERROR(__xludf.DUMMYFUNCTION("""COMPUTED_VALUE"""),"
")</f>
        <v>
</v>
      </c>
      <c r="X281" s="17" t="str">
        <f>IFERROR(__xludf.DUMMYFUNCTION("""COMPUTED_VALUE"""),"
")</f>
        <v>
</v>
      </c>
      <c r="Y281" s="17" t="str">
        <f>IFERROR(__xludf.DUMMYFUNCTION("""COMPUTED_VALUE"""),"
")</f>
        <v>
</v>
      </c>
      <c r="Z281" s="17" t="str">
        <f>IFERROR(__xludf.DUMMYFUNCTION("""COMPUTED_VALUE"""),"
")</f>
        <v>
</v>
      </c>
      <c r="AA281" s="17" t="str">
        <f>IFERROR(__xludf.DUMMYFUNCTION("""COMPUTED_VALUE"""),"
")</f>
        <v>
</v>
      </c>
      <c r="AB281" s="17" t="str">
        <f>IFERROR(__xludf.DUMMYFUNCTION("""COMPUTED_VALUE"""),"
")</f>
        <v>
</v>
      </c>
      <c r="AC281" s="17" t="str">
        <f>IFERROR(__xludf.DUMMYFUNCTION("""COMPUTED_VALUE"""),"
")</f>
        <v>
</v>
      </c>
    </row>
    <row r="282">
      <c r="A282" s="17" t="str">
        <f>IFERROR(__xludf.DUMMYFUNCTION("""COMPUTED_VALUE"""),"")</f>
        <v/>
      </c>
      <c r="B282" s="17" t="str">
        <f>IFERROR(__xludf.DUMMYFUNCTION("""COMPUTED_VALUE"""),"")</f>
        <v/>
      </c>
      <c r="C282" s="17" t="str">
        <f>IFERROR(__xludf.DUMMYFUNCTION("""COMPUTED_VALUE"""),"")</f>
        <v/>
      </c>
      <c r="D282" s="17" t="str">
        <f>IFERROR(__xludf.DUMMYFUNCTION("""COMPUTED_VALUE"""),"")</f>
        <v/>
      </c>
      <c r="E282" s="17" t="str">
        <f>IFERROR(__xludf.DUMMYFUNCTION("""COMPUTED_VALUE"""),"")</f>
        <v/>
      </c>
      <c r="F282" s="17" t="str">
        <f>IFERROR(__xludf.DUMMYFUNCTION("""COMPUTED_VALUE"""),"")</f>
        <v/>
      </c>
      <c r="G282" s="17" t="str">
        <f>IFERROR(__xludf.DUMMYFUNCTION("""COMPUTED_VALUE"""),"")</f>
        <v/>
      </c>
      <c r="H282" s="17" t="str">
        <f>IFERROR(__xludf.DUMMYFUNCTION("""COMPUTED_VALUE"""),"")</f>
        <v/>
      </c>
      <c r="I282" s="17" t="str">
        <f>IFERROR(__xludf.DUMMYFUNCTION("""COMPUTED_VALUE"""),"")</f>
        <v/>
      </c>
      <c r="J282" s="17" t="str">
        <f>IFERROR(__xludf.DUMMYFUNCTION("""COMPUTED_VALUE"""),"")</f>
        <v/>
      </c>
      <c r="K282" s="17" t="str">
        <f>IFERROR(__xludf.DUMMYFUNCTION("""COMPUTED_VALUE"""),"")</f>
        <v/>
      </c>
      <c r="L282" s="17" t="str">
        <f>IFERROR(__xludf.DUMMYFUNCTION("""COMPUTED_VALUE"""),"")</f>
        <v/>
      </c>
      <c r="M282" s="17" t="str">
        <f>IFERROR(__xludf.DUMMYFUNCTION("""COMPUTED_VALUE"""),"")</f>
        <v/>
      </c>
      <c r="N282" s="17" t="str">
        <f>IFERROR(__xludf.DUMMYFUNCTION("""COMPUTED_VALUE"""),"")</f>
        <v/>
      </c>
      <c r="O282" s="17" t="str">
        <f>IFERROR(__xludf.DUMMYFUNCTION("""COMPUTED_VALUE"""),"")</f>
        <v/>
      </c>
      <c r="P282" s="17" t="str">
        <f>IFERROR(__xludf.DUMMYFUNCTION("""COMPUTED_VALUE"""),"")</f>
        <v/>
      </c>
      <c r="Q282" s="17" t="str">
        <f>IFERROR(__xludf.DUMMYFUNCTION("""COMPUTED_VALUE"""),"")</f>
        <v/>
      </c>
      <c r="R282" s="17" t="str">
        <f>IFERROR(__xludf.DUMMYFUNCTION("""COMPUTED_VALUE"""),"")</f>
        <v/>
      </c>
      <c r="S282" s="17" t="str">
        <f>IFERROR(__xludf.DUMMYFUNCTION("""COMPUTED_VALUE"""),"")</f>
        <v/>
      </c>
      <c r="T282" s="17" t="str">
        <f>IFERROR(__xludf.DUMMYFUNCTION("""COMPUTED_VALUE"""),"")</f>
        <v/>
      </c>
      <c r="U282" s="17" t="str">
        <f>IFERROR(__xludf.DUMMYFUNCTION("""COMPUTED_VALUE"""),"")</f>
        <v/>
      </c>
      <c r="V282" s="17" t="str">
        <f>IFERROR(__xludf.DUMMYFUNCTION("""COMPUTED_VALUE"""),"")</f>
        <v/>
      </c>
      <c r="W282" s="17" t="str">
        <f>IFERROR(__xludf.DUMMYFUNCTION("""COMPUTED_VALUE"""),"")</f>
        <v/>
      </c>
      <c r="X282" s="17" t="str">
        <f>IFERROR(__xludf.DUMMYFUNCTION("""COMPUTED_VALUE"""),"")</f>
        <v/>
      </c>
      <c r="Y282" s="17" t="str">
        <f>IFERROR(__xludf.DUMMYFUNCTION("""COMPUTED_VALUE"""),"")</f>
        <v/>
      </c>
      <c r="Z282" s="17" t="str">
        <f>IFERROR(__xludf.DUMMYFUNCTION("""COMPUTED_VALUE"""),"")</f>
        <v/>
      </c>
      <c r="AA282" s="17" t="str">
        <f>IFERROR(__xludf.DUMMYFUNCTION("""COMPUTED_VALUE"""),"")</f>
        <v/>
      </c>
      <c r="AB282" s="17" t="str">
        <f>IFERROR(__xludf.DUMMYFUNCTION("""COMPUTED_VALUE"""),"")</f>
        <v/>
      </c>
      <c r="AC282" s="17" t="str">
        <f>IFERROR(__xludf.DUMMYFUNCTION("""COMPUTED_VALUE"""),"")</f>
        <v/>
      </c>
    </row>
    <row r="283">
      <c r="A283" s="17" t="str">
        <f>IFERROR(__xludf.DUMMYFUNCTION("""COMPUTED_VALUE"""),"")</f>
        <v/>
      </c>
      <c r="B283" s="17" t="str">
        <f>IFERROR(__xludf.DUMMYFUNCTION("""COMPUTED_VALUE"""),"")</f>
        <v/>
      </c>
      <c r="C283" s="17" t="str">
        <f>IFERROR(__xludf.DUMMYFUNCTION("""COMPUTED_VALUE"""),"")</f>
        <v/>
      </c>
      <c r="D283" s="17" t="str">
        <f>IFERROR(__xludf.DUMMYFUNCTION("""COMPUTED_VALUE"""),"")</f>
        <v/>
      </c>
      <c r="E283" s="17" t="str">
        <f>IFERROR(__xludf.DUMMYFUNCTION("""COMPUTED_VALUE"""),"")</f>
        <v/>
      </c>
      <c r="F283" s="17" t="str">
        <f>IFERROR(__xludf.DUMMYFUNCTION("""COMPUTED_VALUE"""),"")</f>
        <v/>
      </c>
      <c r="G283" s="17" t="str">
        <f>IFERROR(__xludf.DUMMYFUNCTION("""COMPUTED_VALUE"""),"")</f>
        <v/>
      </c>
      <c r="H283" s="17" t="str">
        <f>IFERROR(__xludf.DUMMYFUNCTION("""COMPUTED_VALUE"""),"")</f>
        <v/>
      </c>
      <c r="I283" s="17" t="str">
        <f>IFERROR(__xludf.DUMMYFUNCTION("""COMPUTED_VALUE"""),"")</f>
        <v/>
      </c>
      <c r="J283" s="17" t="str">
        <f>IFERROR(__xludf.DUMMYFUNCTION("""COMPUTED_VALUE"""),"")</f>
        <v/>
      </c>
      <c r="K283" s="17" t="str">
        <f>IFERROR(__xludf.DUMMYFUNCTION("""COMPUTED_VALUE"""),"")</f>
        <v/>
      </c>
      <c r="L283" s="17" t="str">
        <f>IFERROR(__xludf.DUMMYFUNCTION("""COMPUTED_VALUE"""),"")</f>
        <v/>
      </c>
      <c r="M283" s="17" t="str">
        <f>IFERROR(__xludf.DUMMYFUNCTION("""COMPUTED_VALUE"""),"")</f>
        <v/>
      </c>
      <c r="N283" s="17" t="str">
        <f>IFERROR(__xludf.DUMMYFUNCTION("""COMPUTED_VALUE"""),"")</f>
        <v/>
      </c>
      <c r="O283" s="17" t="str">
        <f>IFERROR(__xludf.DUMMYFUNCTION("""COMPUTED_VALUE"""),"")</f>
        <v/>
      </c>
      <c r="P283" s="17" t="str">
        <f>IFERROR(__xludf.DUMMYFUNCTION("""COMPUTED_VALUE"""),"")</f>
        <v/>
      </c>
      <c r="Q283" s="17" t="str">
        <f>IFERROR(__xludf.DUMMYFUNCTION("""COMPUTED_VALUE"""),"")</f>
        <v/>
      </c>
      <c r="R283" s="17" t="str">
        <f>IFERROR(__xludf.DUMMYFUNCTION("""COMPUTED_VALUE"""),"")</f>
        <v/>
      </c>
      <c r="S283" s="17" t="str">
        <f>IFERROR(__xludf.DUMMYFUNCTION("""COMPUTED_VALUE"""),"")</f>
        <v/>
      </c>
      <c r="T283" s="17" t="str">
        <f>IFERROR(__xludf.DUMMYFUNCTION("""COMPUTED_VALUE"""),"")</f>
        <v/>
      </c>
      <c r="U283" s="17" t="str">
        <f>IFERROR(__xludf.DUMMYFUNCTION("""COMPUTED_VALUE"""),"")</f>
        <v/>
      </c>
      <c r="V283" s="17" t="str">
        <f>IFERROR(__xludf.DUMMYFUNCTION("""COMPUTED_VALUE"""),"")</f>
        <v/>
      </c>
      <c r="W283" s="17" t="str">
        <f>IFERROR(__xludf.DUMMYFUNCTION("""COMPUTED_VALUE"""),"")</f>
        <v/>
      </c>
      <c r="X283" s="17" t="str">
        <f>IFERROR(__xludf.DUMMYFUNCTION("""COMPUTED_VALUE"""),"")</f>
        <v/>
      </c>
      <c r="Y283" s="17" t="str">
        <f>IFERROR(__xludf.DUMMYFUNCTION("""COMPUTED_VALUE"""),"")</f>
        <v/>
      </c>
      <c r="Z283" s="17" t="str">
        <f>IFERROR(__xludf.DUMMYFUNCTION("""COMPUTED_VALUE"""),"")</f>
        <v/>
      </c>
      <c r="AA283" s="17" t="str">
        <f>IFERROR(__xludf.DUMMYFUNCTION("""COMPUTED_VALUE"""),"")</f>
        <v/>
      </c>
      <c r="AB283" s="17" t="str">
        <f>IFERROR(__xludf.DUMMYFUNCTION("""COMPUTED_VALUE"""),"")</f>
        <v/>
      </c>
      <c r="AC283" s="17" t="str">
        <f>IFERROR(__xludf.DUMMYFUNCTION("""COMPUTED_VALUE"""),"")</f>
        <v/>
      </c>
    </row>
    <row r="284">
      <c r="A284" s="17" t="str">
        <f>IFERROR(__xludf.DUMMYFUNCTION("""COMPUTED_VALUE"""),"Chapter 20: 16 Therapy
Beauty in the Arts (God of War) 200:
The Greeks and their gods have an eye for the aesthetics of their surroundings. Whether it is the statues around them, or the floors they walk upon, or the things they carry and wield, it is bett"&amp;"er if it is appealing. Your ability to design any of your crafts has increased with this knowledge, able to appeal to form without sacrificing function. Regardless of what you create, it's going to look good enough that the gods might take notice... might"&amp;". Whether this is a good thing or a bad thing is for you to decide.
Fiat")</f>
        <v>Chapter 20: 16 Therapy
Beauty in the Arts (God of War) 200:
The Greeks and their gods have an eye for the aesthetics of their surroundings. Whether it is the statues around them, or the floors they walk upon, or the things they carry and wield, it is better if it is appealing. Your ability to design any of your crafts has increased with this knowledge, able to appeal to form without sacrificing function. Regardless of what you create, it's going to look good enough that the gods might take notice... might. Whether this is a good thing or a bad thing is for you to decide.
Fiat</v>
      </c>
      <c r="B284" s="17" t="str">
        <f>IFERROR(__xludf.DUMMYFUNCTION("""COMPUTED_VALUE"""),"
")</f>
        <v>
</v>
      </c>
      <c r="C284" s="17" t="str">
        <f>IFERROR(__xludf.DUMMYFUNCTION("""COMPUTED_VALUE"""),"
")</f>
        <v>
</v>
      </c>
      <c r="D284" s="17" t="str">
        <f>IFERROR(__xludf.DUMMYFUNCTION("""COMPUTED_VALUE"""),"
")</f>
        <v>
</v>
      </c>
      <c r="E284" s="17" t="str">
        <f>IFERROR(__xludf.DUMMYFUNCTION("""COMPUTED_VALUE"""),"
")</f>
        <v>
</v>
      </c>
      <c r="F284" s="17" t="str">
        <f>IFERROR(__xludf.DUMMYFUNCTION("""COMPUTED_VALUE"""),"
")</f>
        <v>
</v>
      </c>
      <c r="G284" s="17" t="str">
        <f>IFERROR(__xludf.DUMMYFUNCTION("""COMPUTED_VALUE"""),"
")</f>
        <v>
</v>
      </c>
      <c r="H284" s="17" t="str">
        <f>IFERROR(__xludf.DUMMYFUNCTION("""COMPUTED_VALUE"""),"
")</f>
        <v>
</v>
      </c>
      <c r="I284" s="17" t="str">
        <f>IFERROR(__xludf.DUMMYFUNCTION("""COMPUTED_VALUE"""),"
")</f>
        <v>
</v>
      </c>
      <c r="J284" s="17" t="str">
        <f>IFERROR(__xludf.DUMMYFUNCTION("""COMPUTED_VALUE"""),"
")</f>
        <v>
</v>
      </c>
      <c r="K284" s="17" t="str">
        <f>IFERROR(__xludf.DUMMYFUNCTION("""COMPUTED_VALUE"""),"
")</f>
        <v>
</v>
      </c>
      <c r="L284" s="17" t="str">
        <f>IFERROR(__xludf.DUMMYFUNCTION("""COMPUTED_VALUE"""),"
")</f>
        <v>
</v>
      </c>
      <c r="M284" s="17" t="str">
        <f>IFERROR(__xludf.DUMMYFUNCTION("""COMPUTED_VALUE"""),"
")</f>
        <v>
</v>
      </c>
      <c r="N284" s="17" t="str">
        <f>IFERROR(__xludf.DUMMYFUNCTION("""COMPUTED_VALUE"""),"
")</f>
        <v>
</v>
      </c>
      <c r="O284" s="17" t="str">
        <f>IFERROR(__xludf.DUMMYFUNCTION("""COMPUTED_VALUE"""),"
")</f>
        <v>
</v>
      </c>
      <c r="P284" s="17" t="str">
        <f>IFERROR(__xludf.DUMMYFUNCTION("""COMPUTED_VALUE"""),"
")</f>
        <v>
</v>
      </c>
      <c r="Q284" s="17" t="str">
        <f>IFERROR(__xludf.DUMMYFUNCTION("""COMPUTED_VALUE"""),"
")</f>
        <v>
</v>
      </c>
      <c r="R284" s="17" t="str">
        <f>IFERROR(__xludf.DUMMYFUNCTION("""COMPUTED_VALUE"""),"
")</f>
        <v>
</v>
      </c>
      <c r="S284" s="17" t="str">
        <f>IFERROR(__xludf.DUMMYFUNCTION("""COMPUTED_VALUE"""),"
")</f>
        <v>
</v>
      </c>
      <c r="T284" s="17" t="str">
        <f>IFERROR(__xludf.DUMMYFUNCTION("""COMPUTED_VALUE"""),"
")</f>
        <v>
</v>
      </c>
      <c r="U284" s="17" t="str">
        <f>IFERROR(__xludf.DUMMYFUNCTION("""COMPUTED_VALUE"""),"
")</f>
        <v>
</v>
      </c>
      <c r="V284" s="17" t="str">
        <f>IFERROR(__xludf.DUMMYFUNCTION("""COMPUTED_VALUE"""),"
")</f>
        <v>
</v>
      </c>
      <c r="W284" s="17" t="str">
        <f>IFERROR(__xludf.DUMMYFUNCTION("""COMPUTED_VALUE"""),"
")</f>
        <v>
</v>
      </c>
      <c r="X284" s="17" t="str">
        <f>IFERROR(__xludf.DUMMYFUNCTION("""COMPUTED_VALUE"""),"
")</f>
        <v>
</v>
      </c>
      <c r="Y284" s="17" t="str">
        <f>IFERROR(__xludf.DUMMYFUNCTION("""COMPUTED_VALUE"""),"
")</f>
        <v>
</v>
      </c>
      <c r="Z284" s="17" t="str">
        <f>IFERROR(__xludf.DUMMYFUNCTION("""COMPUTED_VALUE"""),"
")</f>
        <v>
</v>
      </c>
      <c r="AA284" s="17" t="str">
        <f>IFERROR(__xludf.DUMMYFUNCTION("""COMPUTED_VALUE"""),"
")</f>
        <v>
</v>
      </c>
      <c r="AB284" s="17" t="str">
        <f>IFERROR(__xludf.DUMMYFUNCTION("""COMPUTED_VALUE"""),"
")</f>
        <v>
</v>
      </c>
      <c r="AC284" s="17" t="str">
        <f>IFERROR(__xludf.DUMMYFUNCTION("""COMPUTED_VALUE"""),"
")</f>
        <v>
</v>
      </c>
    </row>
    <row r="285">
      <c r="A285" s="17" t="str">
        <f>IFERROR(__xludf.DUMMYFUNCTION("""COMPUTED_VALUE"""),"Chapter 73: 57 Crunch Time
Daedalus' Student (God of War) 600:
It is one thing to work on forging mere sword and shield, but it is another to create truly marvelous wonders... for a mortal. You could make marvelous wings out of bird feathers and beeswax, "&amp;"capable of granting flight to anyone. Or maybe you wish to create an everchanging Labyrinth, that shifts and alters itself depending on how it moves. Regardless, your architect and forging skills have taken a dramatic increase, to the point where the thin"&amp;"gs you create just may have properties and quality they normally shouldn't have, albeit directed towards the purpose of your creations. Through your works, your will be known... but take care that the gods do not take offense with your work.
System")</f>
        <v>Chapter 73: 57 Crunch Time
Daedalus' Student (God of War) 600:
It is one thing to work on forging mere sword and shield, but it is another to create truly marvelous wonders... for a mortal. You could make marvelous wings out of bird feathers and beeswax, capable of granting flight to anyone. Or maybe you wish to create an everchanging Labyrinth, that shifts and alters itself depending on how it moves. Regardless, your architect and forging skills have taken a dramatic increase, to the point where the things you create just may have properties and quality they normally shouldn't have, albeit directed towards the purpose of your creations. Through your works, your will be known... but take care that the gods do not take offense with your work.
System</v>
      </c>
      <c r="B285" s="17" t="str">
        <f>IFERROR(__xludf.DUMMYFUNCTION("""COMPUTED_VALUE"""),"Chapter 73: 57 Crunch Time
Scowl of Sparta (God of War) Free:
There are times where you are angry, or disappointed. Like, INCREDIBLY angry or disappointed. However, in these times your face may be expressing maximum dissatisfaction but you must scowl HARD"&amp;"ER. That's why you can have this, on me. When your face does not match the depth of the emotion you are showing, people can get a really good idea of how far you really feel just by looking at you. As a bonus, this will work for you regardless of what for"&amp;"m you may be taking at the moment. DISAPPOINTED
Personal")</f>
        <v>Chapter 73: 57 Crunch Time
Scowl of Sparta (God of War) Free:
There are times where you are angry, or disappointed. Like, INCREDIBLY angry or disappointed. However, in these times your face may be expressing maximum dissatisfaction but you must scowl HARDER. That's why you can have this, on me. When your face does not match the depth of the emotion you are showing, people can get a really good idea of how far you really feel just by looking at you. As a bonus, this will work for you regardless of what form you may be taking at the moment. DISAPPOINTED
Personal</v>
      </c>
      <c r="C285" s="17" t="str">
        <f>IFERROR(__xludf.DUMMYFUNCTION("""COMPUTED_VALUE"""),"Chapter 73: 57 Crunch Time
Attire (God of War) Free:
When in Rome! ...wait, wrong place. Ah well, the phrase still holds. You'll be able to have a a set of Greek or Spartan outfits so that you can blend in more efficiently. It doesn't have any extraordina"&amp;"ry properties, but it does at least help you look the part. Assuming you're human in appearance... but hey! If you're a monster, you're going to be the most trendy monster out there!
Item")</f>
        <v>Chapter 73: 57 Crunch Time
Attire (God of War) Free:
When in Rome! ...wait, wrong place. Ah well, the phrase still holds. You'll be able to have a a set of Greek or Spartan outfits so that you can blend in more efficiently. It doesn't have any extraordinary properties, but it does at least help you look the part. Assuming you're human in appearance... but hey! If you're a monster, you're going to be the most trendy monster out there!
Item</v>
      </c>
      <c r="D285" s="17" t="str">
        <f>IFERROR(__xludf.DUMMYFUNCTION("""COMPUTED_VALUE"""),"Chapter 125: 89 Divine Mechanics
Titan's Blood (God of War) 500:
What a curious thing you are, to have become such a thing. One of your ancestors was a Titan, a primordial being of great power and ability that was responsible with shaping the world as i"&amp;"t is. You are not full-blooded, but the effects have been prevalent on you nonetheless; your size may be increased up to fifteen meters in height, with your strength as such that you could throw pieces of buildings one-handed at your enemies. You may also"&amp;" choose one Titan you are a descendent from, gaining aesthetic appearance changes similar to them. But more importantly, you may relax yourself and 'commune' with the world and nature around you; by opening your mind to the world you can learn about it an"&amp;"d its secrets quite quickly, along with finding what is the largest threat to the balance of nature. You are of the planet, child. It is your birthright to know these things.
‘Titan’s Blood’ only gives physical boons and an impressive aesthetic relating "&amp;"to your Titan ancestor. You do not get minor powers from your parent, such as Cronos and his time powers.
Titan's Blood also grants access to the following boosts for capstones you've purchased:
'Daedalus' Student': Your crafting has undergone a dramati"&amp;"c improvement, to the point where you can make incredible works with the strength of an army within them. You have also gleamed into a new type of crafting, and you can forge energy constructs such as Zeus' Lightning to be used in your wishes.
Personal")</f>
        <v>Chapter 125: 89 Divine Mechanics
Titan's Blood (God of War) 500:
What a curious thing you are, to have become such a thing. One of your ancestors was a Titan, a primordial being of great power and ability that was responsible with shaping the world as it is. You are not full-blooded, but the effects have been prevalent on you nonetheless; your size may be increased up to fifteen meters in height, with your strength as such that you could throw pieces of buildings one-handed at your enemies. You may also choose one Titan you are a descendent from, gaining aesthetic appearance changes similar to them. But more importantly, you may relax yourself and 'commune' with the world and nature around you; by opening your mind to the world you can learn about it and its secrets quite quickly, along with finding what is the largest threat to the balance of nature. You are of the planet, child. It is your birthright to know these things.
‘Titan’s Blood’ only gives physical boons and an impressive aesthetic relating to your Titan ancestor. You do not get minor powers from your parent, such as Cronos and his time powers.
Titan's Blood also grants access to the following boosts for capstones you've purchased:
'Daedalus' Student': Your crafting has undergone a dramatic improvement, to the point where you can make incredible works with the strength of an army within them. You have also gleamed into a new type of crafting, and you can forge energy constructs such as Zeus' Lightning to be used in your wishes.
Personal</v>
      </c>
      <c r="E285" s="17" t="str">
        <f>IFERROR(__xludf.DUMMYFUNCTION("""COMPUTED_VALUE"""),"
")</f>
        <v>
</v>
      </c>
      <c r="F285" s="17" t="str">
        <f>IFERROR(__xludf.DUMMYFUNCTION("""COMPUTED_VALUE"""),"
")</f>
        <v>
</v>
      </c>
      <c r="G285" s="17" t="str">
        <f>IFERROR(__xludf.DUMMYFUNCTION("""COMPUTED_VALUE"""),"
")</f>
        <v>
</v>
      </c>
      <c r="H285" s="17" t="str">
        <f>IFERROR(__xludf.DUMMYFUNCTION("""COMPUTED_VALUE"""),"
")</f>
        <v>
</v>
      </c>
      <c r="I285" s="17" t="str">
        <f>IFERROR(__xludf.DUMMYFUNCTION("""COMPUTED_VALUE"""),"
")</f>
        <v>
</v>
      </c>
      <c r="J285" s="17" t="str">
        <f>IFERROR(__xludf.DUMMYFUNCTION("""COMPUTED_VALUE"""),"
")</f>
        <v>
</v>
      </c>
      <c r="K285" s="17" t="str">
        <f>IFERROR(__xludf.DUMMYFUNCTION("""COMPUTED_VALUE"""),"
")</f>
        <v>
</v>
      </c>
      <c r="L285" s="17" t="str">
        <f>IFERROR(__xludf.DUMMYFUNCTION("""COMPUTED_VALUE"""),"
")</f>
        <v>
</v>
      </c>
      <c r="M285" s="17" t="str">
        <f>IFERROR(__xludf.DUMMYFUNCTION("""COMPUTED_VALUE"""),"
")</f>
        <v>
</v>
      </c>
      <c r="N285" s="17" t="str">
        <f>IFERROR(__xludf.DUMMYFUNCTION("""COMPUTED_VALUE"""),"
")</f>
        <v>
</v>
      </c>
      <c r="O285" s="17" t="str">
        <f>IFERROR(__xludf.DUMMYFUNCTION("""COMPUTED_VALUE"""),"
")</f>
        <v>
</v>
      </c>
      <c r="P285" s="17" t="str">
        <f>IFERROR(__xludf.DUMMYFUNCTION("""COMPUTED_VALUE"""),"
")</f>
        <v>
</v>
      </c>
      <c r="Q285" s="17" t="str">
        <f>IFERROR(__xludf.DUMMYFUNCTION("""COMPUTED_VALUE"""),"
")</f>
        <v>
</v>
      </c>
      <c r="R285" s="17" t="str">
        <f>IFERROR(__xludf.DUMMYFUNCTION("""COMPUTED_VALUE"""),"
")</f>
        <v>
</v>
      </c>
      <c r="S285" s="17" t="str">
        <f>IFERROR(__xludf.DUMMYFUNCTION("""COMPUTED_VALUE"""),"
")</f>
        <v>
</v>
      </c>
      <c r="T285" s="17" t="str">
        <f>IFERROR(__xludf.DUMMYFUNCTION("""COMPUTED_VALUE"""),"
")</f>
        <v>
</v>
      </c>
      <c r="U285" s="17" t="str">
        <f>IFERROR(__xludf.DUMMYFUNCTION("""COMPUTED_VALUE"""),"
")</f>
        <v>
</v>
      </c>
      <c r="V285" s="17" t="str">
        <f>IFERROR(__xludf.DUMMYFUNCTION("""COMPUTED_VALUE"""),"
")</f>
        <v>
</v>
      </c>
      <c r="W285" s="17" t="str">
        <f>IFERROR(__xludf.DUMMYFUNCTION("""COMPUTED_VALUE"""),"
")</f>
        <v>
</v>
      </c>
      <c r="X285" s="17" t="str">
        <f>IFERROR(__xludf.DUMMYFUNCTION("""COMPUTED_VALUE"""),"
")</f>
        <v>
</v>
      </c>
      <c r="Y285" s="17" t="str">
        <f>IFERROR(__xludf.DUMMYFUNCTION("""COMPUTED_VALUE"""),"
")</f>
        <v>
</v>
      </c>
      <c r="Z285" s="17" t="str">
        <f>IFERROR(__xludf.DUMMYFUNCTION("""COMPUTED_VALUE"""),"
")</f>
        <v>
</v>
      </c>
      <c r="AA285" s="17" t="str">
        <f>IFERROR(__xludf.DUMMYFUNCTION("""COMPUTED_VALUE"""),"
")</f>
        <v>
</v>
      </c>
      <c r="AB285" s="17" t="str">
        <f>IFERROR(__xludf.DUMMYFUNCTION("""COMPUTED_VALUE"""),"
")</f>
        <v>
</v>
      </c>
      <c r="AC285" s="17" t="str">
        <f>IFERROR(__xludf.DUMMYFUNCTION("""COMPUTED_VALUE"""),"
")</f>
        <v>
</v>
      </c>
    </row>
    <row r="286">
      <c r="A286" s="17" t="str">
        <f>IFERROR(__xludf.DUMMYFUNCTION("""COMPUTED_VALUE"""),"")</f>
        <v/>
      </c>
      <c r="B286" s="17" t="str">
        <f>IFERROR(__xludf.DUMMYFUNCTION("""COMPUTED_VALUE"""),"")</f>
        <v/>
      </c>
      <c r="C286" s="17" t="str">
        <f>IFERROR(__xludf.DUMMYFUNCTION("""COMPUTED_VALUE"""),"")</f>
        <v/>
      </c>
      <c r="D286" s="17" t="str">
        <f>IFERROR(__xludf.DUMMYFUNCTION("""COMPUTED_VALUE"""),"")</f>
        <v/>
      </c>
      <c r="E286" s="17" t="str">
        <f>IFERROR(__xludf.DUMMYFUNCTION("""COMPUTED_VALUE"""),"")</f>
        <v/>
      </c>
      <c r="F286" s="17" t="str">
        <f>IFERROR(__xludf.DUMMYFUNCTION("""COMPUTED_VALUE"""),"")</f>
        <v/>
      </c>
      <c r="G286" s="17" t="str">
        <f>IFERROR(__xludf.DUMMYFUNCTION("""COMPUTED_VALUE"""),"")</f>
        <v/>
      </c>
      <c r="H286" s="17" t="str">
        <f>IFERROR(__xludf.DUMMYFUNCTION("""COMPUTED_VALUE"""),"")</f>
        <v/>
      </c>
      <c r="I286" s="17" t="str">
        <f>IFERROR(__xludf.DUMMYFUNCTION("""COMPUTED_VALUE"""),"")</f>
        <v/>
      </c>
      <c r="J286" s="17" t="str">
        <f>IFERROR(__xludf.DUMMYFUNCTION("""COMPUTED_VALUE"""),"")</f>
        <v/>
      </c>
      <c r="K286" s="17" t="str">
        <f>IFERROR(__xludf.DUMMYFUNCTION("""COMPUTED_VALUE"""),"")</f>
        <v/>
      </c>
      <c r="L286" s="17" t="str">
        <f>IFERROR(__xludf.DUMMYFUNCTION("""COMPUTED_VALUE"""),"")</f>
        <v/>
      </c>
      <c r="M286" s="17" t="str">
        <f>IFERROR(__xludf.DUMMYFUNCTION("""COMPUTED_VALUE"""),"")</f>
        <v/>
      </c>
      <c r="N286" s="17" t="str">
        <f>IFERROR(__xludf.DUMMYFUNCTION("""COMPUTED_VALUE"""),"")</f>
        <v/>
      </c>
      <c r="O286" s="17" t="str">
        <f>IFERROR(__xludf.DUMMYFUNCTION("""COMPUTED_VALUE"""),"")</f>
        <v/>
      </c>
      <c r="P286" s="17" t="str">
        <f>IFERROR(__xludf.DUMMYFUNCTION("""COMPUTED_VALUE"""),"")</f>
        <v/>
      </c>
      <c r="Q286" s="17" t="str">
        <f>IFERROR(__xludf.DUMMYFUNCTION("""COMPUTED_VALUE"""),"")</f>
        <v/>
      </c>
      <c r="R286" s="17" t="str">
        <f>IFERROR(__xludf.DUMMYFUNCTION("""COMPUTED_VALUE"""),"")</f>
        <v/>
      </c>
      <c r="S286" s="17" t="str">
        <f>IFERROR(__xludf.DUMMYFUNCTION("""COMPUTED_VALUE"""),"")</f>
        <v/>
      </c>
      <c r="T286" s="17" t="str">
        <f>IFERROR(__xludf.DUMMYFUNCTION("""COMPUTED_VALUE"""),"")</f>
        <v/>
      </c>
      <c r="U286" s="17" t="str">
        <f>IFERROR(__xludf.DUMMYFUNCTION("""COMPUTED_VALUE"""),"")</f>
        <v/>
      </c>
      <c r="V286" s="17" t="str">
        <f>IFERROR(__xludf.DUMMYFUNCTION("""COMPUTED_VALUE"""),"")</f>
        <v/>
      </c>
      <c r="W286" s="17" t="str">
        <f>IFERROR(__xludf.DUMMYFUNCTION("""COMPUTED_VALUE"""),"")</f>
        <v/>
      </c>
      <c r="X286" s="17" t="str">
        <f>IFERROR(__xludf.DUMMYFUNCTION("""COMPUTED_VALUE"""),"")</f>
        <v/>
      </c>
      <c r="Y286" s="17" t="str">
        <f>IFERROR(__xludf.DUMMYFUNCTION("""COMPUTED_VALUE"""),"")</f>
        <v/>
      </c>
      <c r="Z286" s="17" t="str">
        <f>IFERROR(__xludf.DUMMYFUNCTION("""COMPUTED_VALUE"""),"")</f>
        <v/>
      </c>
      <c r="AA286" s="17" t="str">
        <f>IFERROR(__xludf.DUMMYFUNCTION("""COMPUTED_VALUE"""),"")</f>
        <v/>
      </c>
      <c r="AB286" s="17" t="str">
        <f>IFERROR(__xludf.DUMMYFUNCTION("""COMPUTED_VALUE"""),"")</f>
        <v/>
      </c>
      <c r="AC286" s="17" t="str">
        <f>IFERROR(__xludf.DUMMYFUNCTION("""COMPUTED_VALUE"""),"")</f>
        <v/>
      </c>
    </row>
    <row r="287">
      <c r="A287" s="17" t="str">
        <f>IFERROR(__xludf.DUMMYFUNCTION("""COMPUTED_VALUE"""),"Chapter 47: 40 Knock Down - Preamble Gully - Addendum Emergency Alert
Exotic Compatibility (Gundam: After Colony) 400:
You have a way of working with quirky and strange materials-in your hands and machinery, it assumes the forging and abilities of plain I"&amp;"ron until you begin building with it. You also can integrate exotic materials into your constructions a lot easier, and if you don’t know what a material is or what it can do, you’re very good at researching applications and properties of said materials. "&amp;"This research could also go into things such as improving production numbers and similar.
Ability")</f>
        <v>Chapter 47: 40 Knock Down - Preamble Gully - Addendum Emergency Alert
Exotic Compatibility (Gundam: After Colony) 400:
You have a way of working with quirky and strange materials-in your hands and machinery, it assumes the forging and abilities of plain Iron until you begin building with it. You also can integrate exotic materials into your constructions a lot easier, and if you don’t know what a material is or what it can do, you’re very good at researching applications and properties of said materials. This research could also go into things such as improving production numbers and similar.
Ability</v>
      </c>
      <c r="B287" s="17" t="str">
        <f>IFERROR(__xludf.DUMMYFUNCTION("""COMPUTED_VALUE"""),"Chapter 47: 40 Knock Down - Preamble Gully - Addendum Emergency Alert
Leo (Gundam: After Colony) Free:
This is an adorable, lovable little scrapper we call the Leo, and it’s actually fairly decent for a Mook- it’s got armor enough to survive a few shots f"&amp;"rom its own gun, it’s able to be modified with little trouble (adding a space-movement backpack or shoulder cannons) and it doesn’t have restricted hands. Still, it’s just a Mook, but can you resist the needy stare of this cutie?
Vehicle")</f>
        <v>Chapter 47: 40 Knock Down - Preamble Gully - Addendum Emergency Alert
Leo (Gundam: After Colony) Free:
This is an adorable, lovable little scrapper we call the Leo, and it’s actually fairly decent for a Mook- it’s got armor enough to survive a few shots from its own gun, it’s able to be modified with little trouble (adding a space-movement backpack or shoulder cannons) and it doesn’t have restricted hands. Still, it’s just a Mook, but can you resist the needy stare of this cutie?
Vehicle</v>
      </c>
      <c r="C287" s="17" t="str">
        <f>IFERROR(__xludf.DUMMYFUNCTION("""COMPUTED_VALUE"""),"Chapter 55: 43.1 Interlude Fleet
Material Synthesis Science (Gundam: After Colony) 200:
You know a few things about getting your own materials, but you also have a bit of know-how about how the people here get such quality materials. Normally, you know ho"&amp;"w to forge, quench and mold materials into more high quality specimens, but you have a specialization in Zero-Gravity Material Synthesis as well-in microgravity conditions, you can create much more effective materials thanks to the limitations of gravity "&amp;"being removed.
System")</f>
        <v>Chapter 55: 43.1 Interlude Fleet
Material Synthesis Science (Gundam: After Colony) 200:
You know a few things about getting your own materials, but you also have a bit of know-how about how the people here get such quality materials. Normally, you know how to forge, quench and mold materials into more high quality specimens, but you have a specialization in Zero-Gravity Material Synthesis as well-in microgravity conditions, you can create much more effective materials thanks to the limitations of gravity being removed.
System</v>
      </c>
      <c r="D287" s="17" t="str">
        <f>IFERROR(__xludf.DUMMYFUNCTION("""COMPUTED_VALUE"""),"
")</f>
        <v>
</v>
      </c>
      <c r="E287" s="17" t="str">
        <f>IFERROR(__xludf.DUMMYFUNCTION("""COMPUTED_VALUE"""),"
")</f>
        <v>
</v>
      </c>
      <c r="F287" s="17" t="str">
        <f>IFERROR(__xludf.DUMMYFUNCTION("""COMPUTED_VALUE"""),"
")</f>
        <v>
</v>
      </c>
      <c r="G287" s="17" t="str">
        <f>IFERROR(__xludf.DUMMYFUNCTION("""COMPUTED_VALUE"""),"
")</f>
        <v>
</v>
      </c>
      <c r="H287" s="17" t="str">
        <f>IFERROR(__xludf.DUMMYFUNCTION("""COMPUTED_VALUE"""),"
")</f>
        <v>
</v>
      </c>
      <c r="I287" s="17" t="str">
        <f>IFERROR(__xludf.DUMMYFUNCTION("""COMPUTED_VALUE"""),"
")</f>
        <v>
</v>
      </c>
      <c r="J287" s="17" t="str">
        <f>IFERROR(__xludf.DUMMYFUNCTION("""COMPUTED_VALUE"""),"
")</f>
        <v>
</v>
      </c>
      <c r="K287" s="17" t="str">
        <f>IFERROR(__xludf.DUMMYFUNCTION("""COMPUTED_VALUE"""),"
")</f>
        <v>
</v>
      </c>
      <c r="L287" s="17" t="str">
        <f>IFERROR(__xludf.DUMMYFUNCTION("""COMPUTED_VALUE"""),"
")</f>
        <v>
</v>
      </c>
      <c r="M287" s="17" t="str">
        <f>IFERROR(__xludf.DUMMYFUNCTION("""COMPUTED_VALUE"""),"
")</f>
        <v>
</v>
      </c>
      <c r="N287" s="17" t="str">
        <f>IFERROR(__xludf.DUMMYFUNCTION("""COMPUTED_VALUE"""),"
")</f>
        <v>
</v>
      </c>
      <c r="O287" s="17" t="str">
        <f>IFERROR(__xludf.DUMMYFUNCTION("""COMPUTED_VALUE"""),"
")</f>
        <v>
</v>
      </c>
      <c r="P287" s="17" t="str">
        <f>IFERROR(__xludf.DUMMYFUNCTION("""COMPUTED_VALUE"""),"
")</f>
        <v>
</v>
      </c>
      <c r="Q287" s="17" t="str">
        <f>IFERROR(__xludf.DUMMYFUNCTION("""COMPUTED_VALUE"""),"
")</f>
        <v>
</v>
      </c>
      <c r="R287" s="17" t="str">
        <f>IFERROR(__xludf.DUMMYFUNCTION("""COMPUTED_VALUE"""),"
")</f>
        <v>
</v>
      </c>
      <c r="S287" s="17" t="str">
        <f>IFERROR(__xludf.DUMMYFUNCTION("""COMPUTED_VALUE"""),"
")</f>
        <v>
</v>
      </c>
      <c r="T287" s="17" t="str">
        <f>IFERROR(__xludf.DUMMYFUNCTION("""COMPUTED_VALUE"""),"
")</f>
        <v>
</v>
      </c>
      <c r="U287" s="17" t="str">
        <f>IFERROR(__xludf.DUMMYFUNCTION("""COMPUTED_VALUE"""),"
")</f>
        <v>
</v>
      </c>
      <c r="V287" s="17" t="str">
        <f>IFERROR(__xludf.DUMMYFUNCTION("""COMPUTED_VALUE"""),"
")</f>
        <v>
</v>
      </c>
      <c r="W287" s="17" t="str">
        <f>IFERROR(__xludf.DUMMYFUNCTION("""COMPUTED_VALUE"""),"
")</f>
        <v>
</v>
      </c>
      <c r="X287" s="17" t="str">
        <f>IFERROR(__xludf.DUMMYFUNCTION("""COMPUTED_VALUE"""),"
")</f>
        <v>
</v>
      </c>
      <c r="Y287" s="17" t="str">
        <f>IFERROR(__xludf.DUMMYFUNCTION("""COMPUTED_VALUE"""),"
")</f>
        <v>
</v>
      </c>
      <c r="Z287" s="17" t="str">
        <f>IFERROR(__xludf.DUMMYFUNCTION("""COMPUTED_VALUE"""),"
")</f>
        <v>
</v>
      </c>
      <c r="AA287" s="17" t="str">
        <f>IFERROR(__xludf.DUMMYFUNCTION("""COMPUTED_VALUE"""),"
")</f>
        <v>
</v>
      </c>
      <c r="AB287" s="17" t="str">
        <f>IFERROR(__xludf.DUMMYFUNCTION("""COMPUTED_VALUE"""),"
")</f>
        <v>
</v>
      </c>
      <c r="AC287" s="17" t="str">
        <f>IFERROR(__xludf.DUMMYFUNCTION("""COMPUTED_VALUE"""),"
")</f>
        <v>
</v>
      </c>
    </row>
    <row r="288">
      <c r="A288" s="17" t="str">
        <f>IFERROR(__xludf.DUMMYFUNCTION("""COMPUTED_VALUE"""),"Chapter 13: 10 Overhaul
Stylish Mechanic (Gurren Lagann) 100:
In addition to knowing how to repair and create mechanical devices you also have quite a knack at making anything you work on look good. Any time you fix something it'll end up clean and pleasa"&amp;"nt to look at, and you can easily come up with humorous or awe-inspiring designs for vehicles and devices.
Fiat")</f>
        <v>Chapter 13: 10 Overhaul
Stylish Mechanic (Gurren Lagann) 100:
In addition to knowing how to repair and create mechanical devices you also have quite a knack at making anything you work on look good. Any time you fix something it'll end up clean and pleasant to look at, and you can easily come up with humorous or awe-inspiring designs for vehicles and devices.
Fiat</v>
      </c>
      <c r="B288" s="17" t="str">
        <f>IFERROR(__xludf.DUMMYFUNCTION("""COMPUTED_VALUE"""),"
")</f>
        <v>
</v>
      </c>
      <c r="C288" s="17" t="str">
        <f>IFERROR(__xludf.DUMMYFUNCTION("""COMPUTED_VALUE"""),"
")</f>
        <v>
</v>
      </c>
      <c r="D288" s="17" t="str">
        <f>IFERROR(__xludf.DUMMYFUNCTION("""COMPUTED_VALUE"""),"
")</f>
        <v>
</v>
      </c>
      <c r="E288" s="17" t="str">
        <f>IFERROR(__xludf.DUMMYFUNCTION("""COMPUTED_VALUE"""),"
")</f>
        <v>
</v>
      </c>
      <c r="F288" s="17" t="str">
        <f>IFERROR(__xludf.DUMMYFUNCTION("""COMPUTED_VALUE"""),"
")</f>
        <v>
</v>
      </c>
      <c r="G288" s="17" t="str">
        <f>IFERROR(__xludf.DUMMYFUNCTION("""COMPUTED_VALUE"""),"
")</f>
        <v>
</v>
      </c>
      <c r="H288" s="17" t="str">
        <f>IFERROR(__xludf.DUMMYFUNCTION("""COMPUTED_VALUE"""),"
")</f>
        <v>
</v>
      </c>
      <c r="I288" s="17" t="str">
        <f>IFERROR(__xludf.DUMMYFUNCTION("""COMPUTED_VALUE"""),"
")</f>
        <v>
</v>
      </c>
      <c r="J288" s="17" t="str">
        <f>IFERROR(__xludf.DUMMYFUNCTION("""COMPUTED_VALUE"""),"
")</f>
        <v>
</v>
      </c>
      <c r="K288" s="17" t="str">
        <f>IFERROR(__xludf.DUMMYFUNCTION("""COMPUTED_VALUE"""),"
")</f>
        <v>
</v>
      </c>
      <c r="L288" s="17" t="str">
        <f>IFERROR(__xludf.DUMMYFUNCTION("""COMPUTED_VALUE"""),"
")</f>
        <v>
</v>
      </c>
      <c r="M288" s="17" t="str">
        <f>IFERROR(__xludf.DUMMYFUNCTION("""COMPUTED_VALUE"""),"
")</f>
        <v>
</v>
      </c>
      <c r="N288" s="17" t="str">
        <f>IFERROR(__xludf.DUMMYFUNCTION("""COMPUTED_VALUE"""),"
")</f>
        <v>
</v>
      </c>
      <c r="O288" s="17" t="str">
        <f>IFERROR(__xludf.DUMMYFUNCTION("""COMPUTED_VALUE"""),"
")</f>
        <v>
</v>
      </c>
      <c r="P288" s="17" t="str">
        <f>IFERROR(__xludf.DUMMYFUNCTION("""COMPUTED_VALUE"""),"
")</f>
        <v>
</v>
      </c>
      <c r="Q288" s="17" t="str">
        <f>IFERROR(__xludf.DUMMYFUNCTION("""COMPUTED_VALUE"""),"
")</f>
        <v>
</v>
      </c>
      <c r="R288" s="17" t="str">
        <f>IFERROR(__xludf.DUMMYFUNCTION("""COMPUTED_VALUE"""),"
")</f>
        <v>
</v>
      </c>
      <c r="S288" s="17" t="str">
        <f>IFERROR(__xludf.DUMMYFUNCTION("""COMPUTED_VALUE"""),"
")</f>
        <v>
</v>
      </c>
      <c r="T288" s="17" t="str">
        <f>IFERROR(__xludf.DUMMYFUNCTION("""COMPUTED_VALUE"""),"
")</f>
        <v>
</v>
      </c>
      <c r="U288" s="17" t="str">
        <f>IFERROR(__xludf.DUMMYFUNCTION("""COMPUTED_VALUE"""),"
")</f>
        <v>
</v>
      </c>
      <c r="V288" s="17" t="str">
        <f>IFERROR(__xludf.DUMMYFUNCTION("""COMPUTED_VALUE"""),"
")</f>
        <v>
</v>
      </c>
      <c r="W288" s="17" t="str">
        <f>IFERROR(__xludf.DUMMYFUNCTION("""COMPUTED_VALUE"""),"
")</f>
        <v>
</v>
      </c>
      <c r="X288" s="17" t="str">
        <f>IFERROR(__xludf.DUMMYFUNCTION("""COMPUTED_VALUE"""),"
")</f>
        <v>
</v>
      </c>
      <c r="Y288" s="17" t="str">
        <f>IFERROR(__xludf.DUMMYFUNCTION("""COMPUTED_VALUE"""),"
")</f>
        <v>
</v>
      </c>
      <c r="Z288" s="17" t="str">
        <f>IFERROR(__xludf.DUMMYFUNCTION("""COMPUTED_VALUE"""),"
")</f>
        <v>
</v>
      </c>
      <c r="AA288" s="17" t="str">
        <f>IFERROR(__xludf.DUMMYFUNCTION("""COMPUTED_VALUE"""),"
")</f>
        <v>
</v>
      </c>
      <c r="AB288" s="17" t="str">
        <f>IFERROR(__xludf.DUMMYFUNCTION("""COMPUTED_VALUE"""),"
")</f>
        <v>
</v>
      </c>
      <c r="AC288" s="17" t="str">
        <f>IFERROR(__xludf.DUMMYFUNCTION("""COMPUTED_VALUE"""),"
")</f>
        <v>
</v>
      </c>
    </row>
    <row r="289">
      <c r="A289" s="17" t="str">
        <f>IFERROR(__xludf.DUMMYFUNCTION("""COMPUTED_VALUE"""),"Chapter 48: 41 Drag Out - Preamble Chen
Secret of Steel (History's Strongest Disciple: Kenichi) 400:
An illustrated guide created by the greatest master of weapons the world has ever known. It keenly details the techniques, methods and set­up required to "&amp;"create weapons using traditional Japanese techniques. This text goes beyond that however, and if the directions are followed perfectly it can be used to forge weapons, armor, and tools that are far better than anything that could possibly be made even wit"&amp;"h the most advanced metallurgic technology. Objects created—while still composed of steel—will be significantly stronger than steel and can withstand blows from a Martial Arts Master. Blades made using these techniques will be preternaturally sharp, able "&amp;"to cut through stone, steel and perhaps even more with proper strength and training. Such bladed weapons will almost never lose their edge and require virtually no maintenance. Armor made using these techniques is nearly indestructible and will never rust"&amp;" or corrode. Normal tools will work with such efficiency that even primitive tools can accomplish feats of scale equivalent to highly advanced modern technology. For example, a scythe made with these techniques could harvest an entire field in the same am"&amp;"ount of time as a combine harvester or a simple hoe could do the work of a tractor­towed plough.
System, Item")</f>
        <v>Chapter 48: 41 Drag Out - Preamble Chen
Secret of Steel (History's Strongest Disciple: Kenichi) 400:
An illustrated guide created by the greatest master of weapons the world has ever known. It keenly details the techniques, methods and set­up required to create weapons using traditional Japanese techniques. This text goes beyond that however, and if the directions are followed perfectly it can be used to forge weapons, armor, and tools that are far better than anything that could possibly be made even with the most advanced metallurgic technology. Objects created—while still composed of steel—will be significantly stronger than steel and can withstand blows from a Martial Arts Master. Blades made using these techniques will be preternaturally sharp, able to cut through stone, steel and perhaps even more with proper strength and training. Such bladed weapons will almost never lose their edge and require virtually no maintenance. Armor made using these techniques is nearly indestructible and will never rust or corrode. Normal tools will work with such efficiency that even primitive tools can accomplish feats of scale equivalent to highly advanced modern technology. For example, a scythe made with these techniques could harvest an entire field in the same amount of time as a combine harvester or a simple hoe could do the work of a tractor­towed plough.
System, Item</v>
      </c>
      <c r="B289" s="17" t="str">
        <f>IFERROR(__xludf.DUMMYFUNCTION("""COMPUTED_VALUE"""),"Chapter 48: 41 Drag Out - Preamble Chen
Katsujinken (History's Strongest Disciple: Kenichi) Free:
Those who follow the path of “Katsujinken” or “life giving fist” hold that the true purpose of martial arts is to protect those who cannot protect themselves"&amp;" and improve the lives of those around them. People who follow this viewpoint view the death of their opponent as tantamount to defeat and shun those who purposefully kill. By embarking on this path, you develop a kind and calm demeanor, capable of settin"&amp;"g just about anyone at ease. So long as you hold to this philosophy, you will be able to have a brief but significant dialogue with your opponent before any act of open combat.
Ability, Personal")</f>
        <v>Chapter 48: 41 Drag Out - Preamble Chen
Katsujinken (History's Strongest Disciple: Kenichi) Free:
Those who follow the path of “Katsujinken” or “life giving fist” hold that the true purpose of martial arts is to protect those who cannot protect themselves and improve the lives of those around them. People who follow this viewpoint view the death of their opponent as tantamount to defeat and shun those who purposefully kill. By embarking on this path, you develop a kind and calm demeanor, capable of setting just about anyone at ease. So long as you hold to this philosophy, you will be able to have a brief but significant dialogue with your opponent before any act of open combat.
Ability, Personal</v>
      </c>
      <c r="C289" s="17" t="str">
        <f>IFERROR(__xludf.DUMMYFUNCTION("""COMPUTED_VALUE"""),"Chapter 48: 41 Drag Out - Preamble Chen
Sei Ki (History's Strongest Disciple: Kenichi) Free:
Ki is the life force, energy or breath that flows through all living things. Martial artists harness their Ki to perform amazing feats of strength and abilities, "&amp;"with master's able to channel their Ki into effects that are truly superhuman.
Those who utilize Sei Ki seek to focus their Ki inwards. In battle this results in an inner calm and centeredness that lends itself well to thoughtful action and awareness of s"&amp;"urroundings. Those who have Sei Ki will be able to master techniques that do not rely on power or anger but on wits, talent and skill. Sei users will be more likely to come up with new inventive solutions in combat and will frequently have moments of insi"&amp;"ght that may turn an unwinnable battle in their favor.
Skill")</f>
        <v>Chapter 48: 41 Drag Out - Preamble Chen
Sei Ki (History's Strongest Disciple: Kenichi) Free:
Ki is the life force, energy or breath that flows through all living things. Martial artists harness their Ki to perform amazing feats of strength and abilities, with master's able to channel their Ki into effects that are truly superhuman.
Those who utilize Sei Ki seek to focus their Ki inwards. In battle this results in an inner calm and centeredness that lends itself well to thoughtful action and awareness of surroundings. Those who have Sei Ki will be able to master techniques that do not rely on power or anger but on wits, talent and skill. Sei users will be more likely to come up with new inventive solutions in combat and will frequently have moments of insight that may turn an unwinnable battle in their favor.
Skill</v>
      </c>
      <c r="D289" s="17" t="str">
        <f>IFERROR(__xludf.DUMMYFUNCTION("""COMPUTED_VALUE"""),"Chapter 48: 41 Drag Out - Preamble Chen
Weapons (History's Strongest Disciple: Kenichi) Free:
Martial artists who embark on the path of weapons will seek to master a physical implement to augment their fighting style. These tend to be much more lethal tha"&amp;"n unarmed fighters, but are at a disadvantage when disarmed or caught without their weapon. Whenever you fight with a weapon corresponding to your martial art, you will find that you consistently deal more damage and are more accurate with your strikes th"&amp;"an if you fought unarmed.
Skill")</f>
        <v>Chapter 48: 41 Drag Out - Preamble Chen
Weapons (History's Strongest Disciple: Kenichi) Free:
Martial artists who embark on the path of weapons will seek to master a physical implement to augment their fighting style. These tend to be much more lethal than unarmed fighters, but are at a disadvantage when disarmed or caught without their weapon. Whenever you fight with a weapon corresponding to your martial art, you will find that you consistently deal more damage and are more accurate with your strikes than if you fought unarmed.
Skill</v>
      </c>
      <c r="E289" s="17" t="str">
        <f>IFERROR(__xludf.DUMMYFUNCTION("""COMPUTED_VALUE"""),"Chapter 48: 41 Drag Out - Preamble Chen
Martial Arts Ninjutsu (History's Strongest Disciple: Kenichi) Free:
All who enter this world know at the very least the basics of their chosen martial art as well as its various strengths and weaknesses. The more st"&amp;"yles you choose to study, the longer it will take to incorporate them into a cohesive and usable whole. You may also choose any real­world martial art not listed here if you so desire. You will however remain a novice in your style unless you can somehow "&amp;"obtain a master or worthy sparring partner.
Ninjutsu­ A martial art believed to have once been practiced by the shinobi of Japan. This style is based primarily around precision, stealth and deception. Its users are particularly skilled at kneading their k"&amp;"i, allowing them to engage in maneuvers and techniques that to the untrained eye appear like magic. It is both an unarmed and armed martial art.
Skill")</f>
        <v>Chapter 48: 41 Drag Out - Preamble Chen
Martial Arts Ninjutsu (History's Strongest Disciple: Kenichi) Free:
All who enter this world know at the very least the basics of their chosen martial art as well as its various strengths and weaknesses. The more styles you choose to study, the longer it will take to incorporate them into a cohesive and usable whole. You may also choose any real­world martial art not listed here if you so desire. You will however remain a novice in your style unless you can somehow obtain a master or worthy sparring partner.
Ninjutsu­ A martial art believed to have once been practiced by the shinobi of Japan. This style is based primarily around precision, stealth and deception. Its users are particularly skilled at kneading their ki, allowing them to engage in maneuvers and techniques that to the untrained eye appear like magic. It is both an unarmed and armed martial art.
Skill</v>
      </c>
      <c r="F289" s="17" t="str">
        <f>IFERROR(__xludf.DUMMYFUNCTION("""COMPUTED_VALUE"""),"Chapter 48: 41 Drag Out - Preamble Chen
Master’s Body (History's Strongest Disciple: Kenichi) Free after 10 years:
You possess the body of a master. You are very near tireless, capable of fighting for days without sleep and only limited food. You never ru"&amp;"n out of breath, and will still be able to engage in vigorous physical activity even after extreme exercise. You now have access to a limitless logarithmic growth of your physical strength, durability, speed and agility.
Personal")</f>
        <v>Chapter 48: 41 Drag Out - Preamble Chen
Master’s Body (History's Strongest Disciple: Kenichi) Free after 10 years:
You possess the body of a master. You are very near tireless, capable of fighting for days without sleep and only limited food. You never run out of breath, and will still be able to engage in vigorous physical activity even after extreme exercise. You now have access to a limitless logarithmic growth of your physical strength, durability, speed and agility.
Personal</v>
      </c>
      <c r="G289" s="17" t="str">
        <f>IFERROR(__xludf.DUMMYFUNCTION("""COMPUTED_VALUE"""),"Chapter 48: 41 Drag Out - Preamble Chen
“Sword” - Lantern Shield (History's Strongest Disciple: Kenichi) Free:
You receive a “sword”. Not necessarily a literal sword; rather a tool that you carry into battle and which you place your heart, soul and trust "&amp;"in.
If you selected weapon however, you receive your choice of melee weapon. It acts and functions as though it were created using the “Secret of Steel” making it more durable than most weapons formed using modern metallurgic techniques. As you grow in sk"&amp;"ill the weapon will as well, allowing you to hit slightly harder, swing slightly faster and strike with greater accuracy than you would with any other mundane weapon. By the time you have reached master status, you will be able to use this weapon with rob"&amp;"otic precision, able to cut or break through a modern tank. Of course without this weapon you will be unable to do nearly half of those things, but that is the price paid when one embarks on the path of weapons. You may instead choose an existing weapon y"&amp;"ou have to receive this benefits, but it must be compatible with your martial art.
Item, Personal")</f>
        <v>Chapter 48: 41 Drag Out - Preamble Chen
“Sword” - Lantern Shield (History's Strongest Disciple: Kenichi) Free:
You receive a “sword”. Not necessarily a literal sword; rather a tool that you carry into battle and which you place your heart, soul and trust in.
If you selected weapon however, you receive your choice of melee weapon. It acts and functions as though it were created using the “Secret of Steel” making it more durable than most weapons formed using modern metallurgic techniques. As you grow in skill the weapon will as well, allowing you to hit slightly harder, swing slightly faster and strike with greater accuracy than you would with any other mundane weapon. By the time you have reached master status, you will be able to use this weapon with robotic precision, able to cut or break through a modern tank. Of course without this weapon you will be unable to do nearly half of those things, but that is the price paid when one embarks on the path of weapons. You may instead choose an existing weapon you have to receive this benefits, but it must be compatible with your martial art.
Item, Personal</v>
      </c>
      <c r="H289" s="17" t="str">
        <f>IFERROR(__xludf.DUMMYFUNCTION("""COMPUTED_VALUE"""),"
")</f>
        <v>
</v>
      </c>
      <c r="I289" s="17" t="str">
        <f>IFERROR(__xludf.DUMMYFUNCTION("""COMPUTED_VALUE"""),"
")</f>
        <v>
</v>
      </c>
      <c r="J289" s="17" t="str">
        <f>IFERROR(__xludf.DUMMYFUNCTION("""COMPUTED_VALUE"""),"
")</f>
        <v>
</v>
      </c>
      <c r="K289" s="17" t="str">
        <f>IFERROR(__xludf.DUMMYFUNCTION("""COMPUTED_VALUE"""),"
")</f>
        <v>
</v>
      </c>
      <c r="L289" s="17" t="str">
        <f>IFERROR(__xludf.DUMMYFUNCTION("""COMPUTED_VALUE"""),"
")</f>
        <v>
</v>
      </c>
      <c r="M289" s="17" t="str">
        <f>IFERROR(__xludf.DUMMYFUNCTION("""COMPUTED_VALUE"""),"
")</f>
        <v>
</v>
      </c>
      <c r="N289" s="17" t="str">
        <f>IFERROR(__xludf.DUMMYFUNCTION("""COMPUTED_VALUE"""),"
")</f>
        <v>
</v>
      </c>
      <c r="O289" s="17" t="str">
        <f>IFERROR(__xludf.DUMMYFUNCTION("""COMPUTED_VALUE"""),"
")</f>
        <v>
</v>
      </c>
      <c r="P289" s="17" t="str">
        <f>IFERROR(__xludf.DUMMYFUNCTION("""COMPUTED_VALUE"""),"
")</f>
        <v>
</v>
      </c>
      <c r="Q289" s="17" t="str">
        <f>IFERROR(__xludf.DUMMYFUNCTION("""COMPUTED_VALUE"""),"
")</f>
        <v>
</v>
      </c>
      <c r="R289" s="17" t="str">
        <f>IFERROR(__xludf.DUMMYFUNCTION("""COMPUTED_VALUE"""),"
")</f>
        <v>
</v>
      </c>
      <c r="S289" s="17" t="str">
        <f>IFERROR(__xludf.DUMMYFUNCTION("""COMPUTED_VALUE"""),"
")</f>
        <v>
</v>
      </c>
      <c r="T289" s="17" t="str">
        <f>IFERROR(__xludf.DUMMYFUNCTION("""COMPUTED_VALUE"""),"
")</f>
        <v>
</v>
      </c>
      <c r="U289" s="17" t="str">
        <f>IFERROR(__xludf.DUMMYFUNCTION("""COMPUTED_VALUE"""),"
")</f>
        <v>
</v>
      </c>
      <c r="V289" s="17" t="str">
        <f>IFERROR(__xludf.DUMMYFUNCTION("""COMPUTED_VALUE"""),"
")</f>
        <v>
</v>
      </c>
      <c r="W289" s="17" t="str">
        <f>IFERROR(__xludf.DUMMYFUNCTION("""COMPUTED_VALUE"""),"
")</f>
        <v>
</v>
      </c>
      <c r="X289" s="17" t="str">
        <f>IFERROR(__xludf.DUMMYFUNCTION("""COMPUTED_VALUE"""),"
")</f>
        <v>
</v>
      </c>
      <c r="Y289" s="17" t="str">
        <f>IFERROR(__xludf.DUMMYFUNCTION("""COMPUTED_VALUE"""),"
")</f>
        <v>
</v>
      </c>
      <c r="Z289" s="17" t="str">
        <f>IFERROR(__xludf.DUMMYFUNCTION("""COMPUTED_VALUE"""),"
")</f>
        <v>
</v>
      </c>
      <c r="AA289" s="17" t="str">
        <f>IFERROR(__xludf.DUMMYFUNCTION("""COMPUTED_VALUE"""),"
")</f>
        <v>
</v>
      </c>
      <c r="AB289" s="17" t="str">
        <f>IFERROR(__xludf.DUMMYFUNCTION("""COMPUTED_VALUE"""),"
")</f>
        <v>
</v>
      </c>
      <c r="AC289" s="17" t="str">
        <f>IFERROR(__xludf.DUMMYFUNCTION("""COMPUTED_VALUE"""),"
")</f>
        <v>
</v>
      </c>
    </row>
    <row r="290">
      <c r="A290" s="17" t="str">
        <f>IFERROR(__xludf.DUMMYFUNCTION("""COMPUTED_VALUE"""),"")</f>
        <v/>
      </c>
      <c r="B290" s="17" t="str">
        <f>IFERROR(__xludf.DUMMYFUNCTION("""COMPUTED_VALUE"""),"")</f>
        <v/>
      </c>
      <c r="C290" s="17" t="str">
        <f>IFERROR(__xludf.DUMMYFUNCTION("""COMPUTED_VALUE"""),"")</f>
        <v/>
      </c>
      <c r="D290" s="17" t="str">
        <f>IFERROR(__xludf.DUMMYFUNCTION("""COMPUTED_VALUE"""),"")</f>
        <v/>
      </c>
      <c r="E290" s="17" t="str">
        <f>IFERROR(__xludf.DUMMYFUNCTION("""COMPUTED_VALUE"""),"")</f>
        <v/>
      </c>
      <c r="F290" s="17" t="str">
        <f>IFERROR(__xludf.DUMMYFUNCTION("""COMPUTED_VALUE"""),"")</f>
        <v/>
      </c>
      <c r="G290" s="17" t="str">
        <f>IFERROR(__xludf.DUMMYFUNCTION("""COMPUTED_VALUE"""),"")</f>
        <v/>
      </c>
      <c r="H290" s="17" t="str">
        <f>IFERROR(__xludf.DUMMYFUNCTION("""COMPUTED_VALUE"""),"")</f>
        <v/>
      </c>
      <c r="I290" s="17" t="str">
        <f>IFERROR(__xludf.DUMMYFUNCTION("""COMPUTED_VALUE"""),"")</f>
        <v/>
      </c>
      <c r="J290" s="17" t="str">
        <f>IFERROR(__xludf.DUMMYFUNCTION("""COMPUTED_VALUE"""),"")</f>
        <v/>
      </c>
      <c r="K290" s="17" t="str">
        <f>IFERROR(__xludf.DUMMYFUNCTION("""COMPUTED_VALUE"""),"")</f>
        <v/>
      </c>
      <c r="L290" s="17" t="str">
        <f>IFERROR(__xludf.DUMMYFUNCTION("""COMPUTED_VALUE"""),"")</f>
        <v/>
      </c>
      <c r="M290" s="17" t="str">
        <f>IFERROR(__xludf.DUMMYFUNCTION("""COMPUTED_VALUE"""),"")</f>
        <v/>
      </c>
      <c r="N290" s="17" t="str">
        <f>IFERROR(__xludf.DUMMYFUNCTION("""COMPUTED_VALUE"""),"")</f>
        <v/>
      </c>
      <c r="O290" s="17" t="str">
        <f>IFERROR(__xludf.DUMMYFUNCTION("""COMPUTED_VALUE"""),"")</f>
        <v/>
      </c>
      <c r="P290" s="17" t="str">
        <f>IFERROR(__xludf.DUMMYFUNCTION("""COMPUTED_VALUE"""),"")</f>
        <v/>
      </c>
      <c r="Q290" s="17" t="str">
        <f>IFERROR(__xludf.DUMMYFUNCTION("""COMPUTED_VALUE"""),"")</f>
        <v/>
      </c>
      <c r="R290" s="17" t="str">
        <f>IFERROR(__xludf.DUMMYFUNCTION("""COMPUTED_VALUE"""),"")</f>
        <v/>
      </c>
      <c r="S290" s="17" t="str">
        <f>IFERROR(__xludf.DUMMYFUNCTION("""COMPUTED_VALUE"""),"")</f>
        <v/>
      </c>
      <c r="T290" s="17" t="str">
        <f>IFERROR(__xludf.DUMMYFUNCTION("""COMPUTED_VALUE"""),"")</f>
        <v/>
      </c>
      <c r="U290" s="17" t="str">
        <f>IFERROR(__xludf.DUMMYFUNCTION("""COMPUTED_VALUE"""),"")</f>
        <v/>
      </c>
      <c r="V290" s="17" t="str">
        <f>IFERROR(__xludf.DUMMYFUNCTION("""COMPUTED_VALUE"""),"")</f>
        <v/>
      </c>
      <c r="W290" s="17" t="str">
        <f>IFERROR(__xludf.DUMMYFUNCTION("""COMPUTED_VALUE"""),"")</f>
        <v/>
      </c>
      <c r="X290" s="17" t="str">
        <f>IFERROR(__xludf.DUMMYFUNCTION("""COMPUTED_VALUE"""),"")</f>
        <v/>
      </c>
      <c r="Y290" s="17" t="str">
        <f>IFERROR(__xludf.DUMMYFUNCTION("""COMPUTED_VALUE"""),"")</f>
        <v/>
      </c>
      <c r="Z290" s="17" t="str">
        <f>IFERROR(__xludf.DUMMYFUNCTION("""COMPUTED_VALUE"""),"")</f>
        <v/>
      </c>
      <c r="AA290" s="17" t="str">
        <f>IFERROR(__xludf.DUMMYFUNCTION("""COMPUTED_VALUE"""),"")</f>
        <v/>
      </c>
      <c r="AB290" s="17" t="str">
        <f>IFERROR(__xludf.DUMMYFUNCTION("""COMPUTED_VALUE"""),"")</f>
        <v/>
      </c>
      <c r="AC290" s="17" t="str">
        <f>IFERROR(__xludf.DUMMYFUNCTION("""COMPUTED_VALUE"""),"")</f>
        <v/>
      </c>
    </row>
    <row r="291">
      <c r="A291" s="17" t="str">
        <f>IFERROR(__xludf.DUMMYFUNCTION("""COMPUTED_VALUE"""),"Chapter 41: 35 Closing Words - Addendum Chris
Master Craftsman (King Arthur) 600:
Thanks to being taught by faeries anything you make by hand is a great deal better than anything regular human can make. Armor is nearly indestructible and lighter than it s"&amp;"hould be, blades are sharper, blunt weapons have more force behind them, bows and crossbows can shoot farther and are easier to pull back. Even mundane items like baskets work better, though you can't give items mystical powers without being a wizard or s"&amp;"omething.
This perk is being interpreted based on https://drive.google.com/file/d/15njr4mTk5dNkgHOZzG9NPWjODTuAoIhC/view?usp=sharing which is a different jumpdoc than the one which contains it.
System, Ability")</f>
        <v>Chapter 41: 35 Closing Words - Addendum Chris
Master Craftsman (King Arthur) 600:
Thanks to being taught by faeries anything you make by hand is a great deal better than anything regular human can make. Armor is nearly indestructible and lighter than it should be, blades are sharper, blunt weapons have more force behind them, bows and crossbows can shoot farther and are easier to pull back. Even mundane items like baskets work better, though you can't give items mystical powers without being a wizard or something.
This perk is being interpreted based on https://drive.google.com/file/d/15njr4mTk5dNkgHOZzG9NPWjODTuAoIhC/view?usp=sharing which is a different jumpdoc than the one which contains it.
System, Ability</v>
      </c>
      <c r="B291" s="17" t="str">
        <f>IFERROR(__xludf.DUMMYFUNCTION("""COMPUTED_VALUE"""),"
")</f>
        <v>
</v>
      </c>
      <c r="C291" s="17" t="str">
        <f>IFERROR(__xludf.DUMMYFUNCTION("""COMPUTED_VALUE"""),"
")</f>
        <v>
</v>
      </c>
      <c r="D291" s="17" t="str">
        <f>IFERROR(__xludf.DUMMYFUNCTION("""COMPUTED_VALUE"""),"
")</f>
        <v>
</v>
      </c>
      <c r="E291" s="17" t="str">
        <f>IFERROR(__xludf.DUMMYFUNCTION("""COMPUTED_VALUE"""),"
")</f>
        <v>
</v>
      </c>
      <c r="F291" s="17" t="str">
        <f>IFERROR(__xludf.DUMMYFUNCTION("""COMPUTED_VALUE"""),"
")</f>
        <v>
</v>
      </c>
      <c r="G291" s="17" t="str">
        <f>IFERROR(__xludf.DUMMYFUNCTION("""COMPUTED_VALUE"""),"
")</f>
        <v>
</v>
      </c>
      <c r="H291" s="17" t="str">
        <f>IFERROR(__xludf.DUMMYFUNCTION("""COMPUTED_VALUE"""),"
")</f>
        <v>
</v>
      </c>
      <c r="I291" s="17" t="str">
        <f>IFERROR(__xludf.DUMMYFUNCTION("""COMPUTED_VALUE"""),"
")</f>
        <v>
</v>
      </c>
      <c r="J291" s="17" t="str">
        <f>IFERROR(__xludf.DUMMYFUNCTION("""COMPUTED_VALUE"""),"
")</f>
        <v>
</v>
      </c>
      <c r="K291" s="17" t="str">
        <f>IFERROR(__xludf.DUMMYFUNCTION("""COMPUTED_VALUE"""),"
")</f>
        <v>
</v>
      </c>
      <c r="L291" s="17" t="str">
        <f>IFERROR(__xludf.DUMMYFUNCTION("""COMPUTED_VALUE"""),"
")</f>
        <v>
</v>
      </c>
      <c r="M291" s="17" t="str">
        <f>IFERROR(__xludf.DUMMYFUNCTION("""COMPUTED_VALUE"""),"
")</f>
        <v>
</v>
      </c>
      <c r="N291" s="17" t="str">
        <f>IFERROR(__xludf.DUMMYFUNCTION("""COMPUTED_VALUE"""),"
")</f>
        <v>
</v>
      </c>
      <c r="O291" s="17" t="str">
        <f>IFERROR(__xludf.DUMMYFUNCTION("""COMPUTED_VALUE"""),"
")</f>
        <v>
</v>
      </c>
      <c r="P291" s="17" t="str">
        <f>IFERROR(__xludf.DUMMYFUNCTION("""COMPUTED_VALUE"""),"
")</f>
        <v>
</v>
      </c>
      <c r="Q291" s="17" t="str">
        <f>IFERROR(__xludf.DUMMYFUNCTION("""COMPUTED_VALUE"""),"
")</f>
        <v>
</v>
      </c>
      <c r="R291" s="17" t="str">
        <f>IFERROR(__xludf.DUMMYFUNCTION("""COMPUTED_VALUE"""),"
")</f>
        <v>
</v>
      </c>
      <c r="S291" s="17" t="str">
        <f>IFERROR(__xludf.DUMMYFUNCTION("""COMPUTED_VALUE"""),"
")</f>
        <v>
</v>
      </c>
      <c r="T291" s="17" t="str">
        <f>IFERROR(__xludf.DUMMYFUNCTION("""COMPUTED_VALUE"""),"
")</f>
        <v>
</v>
      </c>
      <c r="U291" s="17" t="str">
        <f>IFERROR(__xludf.DUMMYFUNCTION("""COMPUTED_VALUE"""),"
")</f>
        <v>
</v>
      </c>
      <c r="V291" s="17" t="str">
        <f>IFERROR(__xludf.DUMMYFUNCTION("""COMPUTED_VALUE"""),"
")</f>
        <v>
</v>
      </c>
      <c r="W291" s="17" t="str">
        <f>IFERROR(__xludf.DUMMYFUNCTION("""COMPUTED_VALUE"""),"
")</f>
        <v>
</v>
      </c>
      <c r="X291" s="17" t="str">
        <f>IFERROR(__xludf.DUMMYFUNCTION("""COMPUTED_VALUE"""),"
")</f>
        <v>
</v>
      </c>
      <c r="Y291" s="17" t="str">
        <f>IFERROR(__xludf.DUMMYFUNCTION("""COMPUTED_VALUE"""),"
")</f>
        <v>
</v>
      </c>
      <c r="Z291" s="17" t="str">
        <f>IFERROR(__xludf.DUMMYFUNCTION("""COMPUTED_VALUE"""),"
")</f>
        <v>
</v>
      </c>
      <c r="AA291" s="17" t="str">
        <f>IFERROR(__xludf.DUMMYFUNCTION("""COMPUTED_VALUE"""),"
")</f>
        <v>
</v>
      </c>
      <c r="AB291" s="17" t="str">
        <f>IFERROR(__xludf.DUMMYFUNCTION("""COMPUTED_VALUE"""),"
")</f>
        <v>
</v>
      </c>
      <c r="AC291" s="17" t="str">
        <f>IFERROR(__xludf.DUMMYFUNCTION("""COMPUTED_VALUE"""),"
")</f>
        <v>
</v>
      </c>
    </row>
    <row r="292">
      <c r="A292" s="17" t="str">
        <f>IFERROR(__xludf.DUMMYFUNCTION("""COMPUTED_VALUE"""),"Chapter 152: 102 Progress
Chosen of Death (Lord of Light) 600:
Great Yama, Death-god, has seen you clearly and bade you enter the Vasty Hall of Death, to serve as his partner in creation. Not merely revealing his secrets of science - you are his equal in "&amp;"the arts. Your creativity is that which may forge ten unique treasures each day, or mass produce legends. Design of all forms of weapons, armours, vehicles, and utilities comes to you with blinding light and strength of inspiration. With this position com"&amp;"es the virtual guarantee of rebirth in your next life, as a Demigod of the forge. You also gain a Discount on all artefacts and equipment.
System")</f>
        <v>Chapter 152: 102 Progress
Chosen of Death (Lord of Light) 600:
Great Yama, Death-god, has seen you clearly and bade you enter the Vasty Hall of Death, to serve as his partner in creation. Not merely revealing his secrets of science - you are his equal in the arts. Your creativity is that which may forge ten unique treasures each day, or mass produce legends. Design of all forms of weapons, armours, vehicles, and utilities comes to you with blinding light and strength of inspiration. With this position comes the virtual guarantee of rebirth in your next life, as a Demigod of the forge. You also gain a Discount on all artefacts and equipment.
System</v>
      </c>
      <c r="B292" s="17" t="str">
        <f>IFERROR(__xludf.DUMMYFUNCTION("""COMPUTED_VALUE"""),"Chapter 152: 102 Progress
Demigod (Lord of Light) Free:
Blessed child. Your righteousness and piety have become the seed of Divinity in you. From your old form you have become young, vital. The body of a God is yours, handsome, strong, fast and with the c"&amp;"orrect mudras and psycho-conditioning, you have begun to align yourself with an Attribute and develop your godly Aspect. You are very much at the bottom rung of Heaven, but even Death Himself was once like you.
Personal")</f>
        <v>Chapter 152: 102 Progress
Demigod (Lord of Light) Free:
Blessed child. Your righteousness and piety have become the seed of Divinity in you. From your old form you have become young, vital. The body of a God is yours, handsome, strong, fast and with the correct mudras and psycho-conditioning, you have begun to align yourself with an Attribute and develop your godly Aspect. You are very much at the bottom rung of Heaven, but even Death Himself was once like you.
Personal</v>
      </c>
      <c r="C292" s="17" t="str">
        <f>IFERROR(__xludf.DUMMYFUNCTION("""COMPUTED_VALUE"""),"Chapter 152: 102 Progress
Divine Physique (Lord of Light) Free:
The body selected for your enjoyment has been carefully shaped beyond the apex of humanity. Strong, vital and beauteous - it is a form that one could live within for hundreds of years, though"&amp;" at any time you may approach the Masters of Karma for a replacement, should the flames of your divine lifestyle burn it out. Care has been made that it expresses the initial mutations and brain structures to develop Aspect and Attribute - though once the"&amp;"y have been induced, they will carry with your soul through whatever form you take.
Personal")</f>
        <v>Chapter 152: 102 Progress
Divine Physique (Lord of Light) Free:
The body selected for your enjoyment has been carefully shaped beyond the apex of humanity. Strong, vital and beauteous - it is a form that one could live within for hundreds of years, though at any time you may approach the Masters of Karma for a replacement, should the flames of your divine lifestyle burn it out. Care has been made that it expresses the initial mutations and brain structures to develop Aspect and Attribute - though once they have been induced, they will carry with your soul through whatever form you take.
Personal</v>
      </c>
      <c r="D292" s="17" t="str">
        <f>IFERROR(__xludf.DUMMYFUNCTION("""COMPUTED_VALUE"""),"Chapter 152: 102 Progress
Attribute Induction (Lord of Light) Free:
The Attribute is the capacity to effect the world with your will in a single, highly iconic way. It is a mutant strength, carefully developed with millennia of experience by the scientist"&amp;"s of Heaven. With your attribute you might encourage silicates to grow into splendid – and razor sharp – trees of crystal, or have the wind sour and sicken your foes. Food cooked by your hands might keep a thousand men fed with one loaf, or you may will t"&amp;"he birds to sing sweet praises in your favour and fly against your foes.
Many Attributes are known best for their utility in war, but the days when mankind’s position on their world need be defended by flaming fists and opalescent eyes has passed, and He"&amp;"aven cares as greatly for Attributes of craft and fragrance as those of iron and blood.
Demigods and Mortals have just begun to harness their virtues, they are like flickering embers – offering feeble warmth, but needing careful stoking. Their attributes"&amp;" are unstable and untested, often needing some tool to focus their energies. The former may rely on the assistance of their superiors in the Divine, the latter have only their own wills to push further.
Ability")</f>
        <v>Chapter 152: 102 Progress
Attribute Induction (Lord of Light) Free:
The Attribute is the capacity to effect the world with your will in a single, highly iconic way. It is a mutant strength, carefully developed with millennia of experience by the scientists of Heaven. With your attribute you might encourage silicates to grow into splendid – and razor sharp – trees of crystal, or have the wind sour and sicken your foes. Food cooked by your hands might keep a thousand men fed with one loaf, or you may will the birds to sing sweet praises in your favour and fly against your foes.
Many Attributes are known best for their utility in war, but the days when mankind’s position on their world need be defended by flaming fists and opalescent eyes has passed, and Heaven cares as greatly for Attributes of craft and fragrance as those of iron and blood.
Demigods and Mortals have just begun to harness their virtues, they are like flickering embers – offering feeble warmth, but needing careful stoking. Their attributes are unstable and untested, often needing some tool to focus their energies. The former may rely on the assistance of their superiors in the Divine, the latter have only their own wills to push further.
Ability</v>
      </c>
      <c r="E292" s="17" t="str">
        <f>IFERROR(__xludf.DUMMYFUNCTION("""COMPUTED_VALUE"""),"Chapter 152: 102 Progress
Aspect Cultivation (Lord of Light) Free:
If an Attribute is the grasp of power, then the Aspect is a state of being. To wield reflections, and to become Reflection. To summon Strength and to become it. Greater and more subtle tha"&amp;"n any Attribute. Through genetic predisposition, hypnosis and chemical therapies, your passions come to correspond with those of the Universe.
Raising your Aspect is like removing a mask or standing straight, a mustering of yourself. It takes some energy"&amp;" to maintain, should you wish to be capable of being anything but an avatar, but it is the exertion of being rather than the struggle to become.
This is a power that requires your kindness. What is the nature of the gods who become Fire, undaunted and fe"&amp;"rocious? Who become Death, unknowable, all-ending? Who become Divine Drunkenness, invincible in vitality and charisma? Those who look upon you in raised Aspect know, instantly and surely that you are divine, that you embody a facet of creation.
Any power"&amp;"s raised in harmony with your raised Aspect are magnified and exalted – they are more than just spells or mutation, they are in service of the very order of the universe. An arrow loosed by the Goddess of the Bow might strike a man’s heart from ten miles "&amp;"away, or pin his courage to the wall.
Should the God of Flowers walk in Aspect through a forest, will it blossom and lend him strength? Or does a single rose cut and displayed by his hand speak of days of sun and offer a simple strength to all who behold"&amp;" it?
Demigods, though they have begun along this path are but beginners – they summon weak and feeble Aspects to match their new and uncertain Attributes, and must still undergo a battery of training exercises and therapies to fortify their natures. Mort"&amp;"als who develop this faculty independently are in essence on the same level as Demigods – but lack the aid of Heaven in their development.
Once fully matured, forevermore you will be Water or Marble, the Lute or the Joust.
System")</f>
        <v>Chapter 152: 102 Progress
Aspect Cultivation (Lord of Light) Free:
If an Attribute is the grasp of power, then the Aspect is a state of being. To wield reflections, and to become Reflection. To summon Strength and to become it. Greater and more subtle than any Attribute. Through genetic predisposition, hypnosis and chemical therapies, your passions come to correspond with those of the Universe.
Raising your Aspect is like removing a mask or standing straight, a mustering of yourself. It takes some energy to maintain, should you wish to be capable of being anything but an avatar, but it is the exertion of being rather than the struggle to become.
This is a power that requires your kindness. What is the nature of the gods who become Fire, undaunted and ferocious? Who become Death, unknowable, all-ending? Who become Divine Drunkenness, invincible in vitality and charisma? Those who look upon you in raised Aspect know, instantly and surely that you are divine, that you embody a facet of creation.
Any powers raised in harmony with your raised Aspect are magnified and exalted – they are more than just spells or mutation, they are in service of the very order of the universe. An arrow loosed by the Goddess of the Bow might strike a man’s heart from ten miles away, or pin his courage to the wall.
Should the God of Flowers walk in Aspect through a forest, will it blossom and lend him strength? Or does a single rose cut and displayed by his hand speak of days of sun and offer a simple strength to all who behold it?
Demigods, though they have begun along this path are but beginners – they summon weak and feeble Aspects to match their new and uncertain Attributes, and must still undergo a battery of training exercises and therapies to fortify their natures. Mortals who develop this faculty independently are in essence on the same level as Demigods – but lack the aid of Heaven in their development.
Once fully matured, forevermore you will be Water or Marble, the Lute or the Joust.
System</v>
      </c>
      <c r="F292" s="17" t="str">
        <f>IFERROR(__xludf.DUMMYFUNCTION("""COMPUTED_VALUE"""),"Chapter 152: 102 Progress
Wealth (Lord of Light) Free:
Not merely comfortable in your station, you are quite well arrayed with the finer things. Whether this is from your merchant holdings, your mostly symbolic but well rewarded stewardship of one of the "&amp;"important structures of Heaven, or just the bag of gold at your hip – you have enough capital to smooth over some eccentric purchases and a somewhat flamboyant lifestyle.
Item")</f>
        <v>Chapter 152: 102 Progress
Wealth (Lord of Light) Free:
Not merely comfortable in your station, you are quite well arrayed with the finer things. Whether this is from your merchant holdings, your mostly symbolic but well rewarded stewardship of one of the important structures of Heaven, or just the bag of gold at your hip – you have enough capital to smooth over some eccentric purchases and a somewhat flamboyant lifestyle.
Item</v>
      </c>
      <c r="G292" s="17" t="str">
        <f>IFERROR(__xludf.DUMMYFUNCTION("""COMPUTED_VALUE"""),"Chapter 152: 102 Progress
Opulent Warehouse (Lord of Light) Free:
Do the bare walls and drab concrete styling of your cosmic warehouse offend thine eyes? Did you wish for a shaded bower, gilded conservatory or tawdry bordello? While the total size and fea"&amp;"tures will not be changed, the cosmetic structure and layout is yours to realign – as long as it is opulent. Change your bare metal shelving into a dozen cozy rooms, filled with leather-bound books and the smell of rich mahogany. Make your Portal appear e"&amp;"dged with basalt and gold, and Forcefield into an invincible iron gate that parts only for you. Once set, you may change the appearance once per Jump.
Facility")</f>
        <v>Chapter 152: 102 Progress
Opulent Warehouse (Lord of Light) Free:
Do the bare walls and drab concrete styling of your cosmic warehouse offend thine eyes? Did you wish for a shaded bower, gilded conservatory or tawdry bordello? While the total size and features will not be changed, the cosmetic structure and layout is yours to realign – as long as it is opulent. Change your bare metal shelving into a dozen cozy rooms, filled with leather-bound books and the smell of rich mahogany. Make your Portal appear edged with basalt and gold, and Forcefield into an invincible iron gate that parts only for you. Once set, you may change the appearance once per Jump.
Facility</v>
      </c>
      <c r="H292" s="17" t="str">
        <f>IFERROR(__xludf.DUMMYFUNCTION("""COMPUTED_VALUE"""),"
")</f>
        <v>
</v>
      </c>
      <c r="I292" s="17" t="str">
        <f>IFERROR(__xludf.DUMMYFUNCTION("""COMPUTED_VALUE"""),"
")</f>
        <v>
</v>
      </c>
      <c r="J292" s="17" t="str">
        <f>IFERROR(__xludf.DUMMYFUNCTION("""COMPUTED_VALUE"""),"
")</f>
        <v>
</v>
      </c>
      <c r="K292" s="17" t="str">
        <f>IFERROR(__xludf.DUMMYFUNCTION("""COMPUTED_VALUE"""),"
")</f>
        <v>
</v>
      </c>
      <c r="L292" s="17" t="str">
        <f>IFERROR(__xludf.DUMMYFUNCTION("""COMPUTED_VALUE"""),"
")</f>
        <v>
</v>
      </c>
      <c r="M292" s="17" t="str">
        <f>IFERROR(__xludf.DUMMYFUNCTION("""COMPUTED_VALUE"""),"
")</f>
        <v>
</v>
      </c>
      <c r="N292" s="17" t="str">
        <f>IFERROR(__xludf.DUMMYFUNCTION("""COMPUTED_VALUE"""),"
")</f>
        <v>
</v>
      </c>
      <c r="O292" s="17" t="str">
        <f>IFERROR(__xludf.DUMMYFUNCTION("""COMPUTED_VALUE"""),"
")</f>
        <v>
</v>
      </c>
      <c r="P292" s="17" t="str">
        <f>IFERROR(__xludf.DUMMYFUNCTION("""COMPUTED_VALUE"""),"
")</f>
        <v>
</v>
      </c>
      <c r="Q292" s="17" t="str">
        <f>IFERROR(__xludf.DUMMYFUNCTION("""COMPUTED_VALUE"""),"
")</f>
        <v>
</v>
      </c>
      <c r="R292" s="17" t="str">
        <f>IFERROR(__xludf.DUMMYFUNCTION("""COMPUTED_VALUE"""),"
")</f>
        <v>
</v>
      </c>
      <c r="S292" s="17" t="str">
        <f>IFERROR(__xludf.DUMMYFUNCTION("""COMPUTED_VALUE"""),"
")</f>
        <v>
</v>
      </c>
      <c r="T292" s="17" t="str">
        <f>IFERROR(__xludf.DUMMYFUNCTION("""COMPUTED_VALUE"""),"
")</f>
        <v>
</v>
      </c>
      <c r="U292" s="17" t="str">
        <f>IFERROR(__xludf.DUMMYFUNCTION("""COMPUTED_VALUE"""),"
")</f>
        <v>
</v>
      </c>
      <c r="V292" s="17" t="str">
        <f>IFERROR(__xludf.DUMMYFUNCTION("""COMPUTED_VALUE"""),"
")</f>
        <v>
</v>
      </c>
      <c r="W292" s="17" t="str">
        <f>IFERROR(__xludf.DUMMYFUNCTION("""COMPUTED_VALUE"""),"
")</f>
        <v>
</v>
      </c>
      <c r="X292" s="17" t="str">
        <f>IFERROR(__xludf.DUMMYFUNCTION("""COMPUTED_VALUE"""),"
")</f>
        <v>
</v>
      </c>
      <c r="Y292" s="17" t="str">
        <f>IFERROR(__xludf.DUMMYFUNCTION("""COMPUTED_VALUE"""),"
")</f>
        <v>
</v>
      </c>
      <c r="Z292" s="17" t="str">
        <f>IFERROR(__xludf.DUMMYFUNCTION("""COMPUTED_VALUE"""),"
")</f>
        <v>
</v>
      </c>
      <c r="AA292" s="17" t="str">
        <f>IFERROR(__xludf.DUMMYFUNCTION("""COMPUTED_VALUE"""),"
")</f>
        <v>
</v>
      </c>
      <c r="AB292" s="17" t="str">
        <f>IFERROR(__xludf.DUMMYFUNCTION("""COMPUTED_VALUE"""),"
")</f>
        <v>
</v>
      </c>
      <c r="AC292" s="17" t="str">
        <f>IFERROR(__xludf.DUMMYFUNCTION("""COMPUTED_VALUE"""),"
")</f>
        <v>
</v>
      </c>
    </row>
    <row r="293">
      <c r="A293" s="17" t="str">
        <f>IFERROR(__xludf.DUMMYFUNCTION("""COMPUTED_VALUE"""),"Chapter 35: 29 Presentation - Addendum Emily
Ambrosial Artificer (Macross) 400:
So many moving parts, so many pieces to the puzzle. It's so... needless. The other tech teams are complete morons. That's why you've learned how to figure out the optimization"&amp;" of your complex machines like Veritechs. What parts you don't need, you find a way to do away with. What parts you DO need, you can use the now-extra space to improve and bolster their performance. Some will call you mad. But the only madness that will c"&amp;"ome from your work is the rage of your enemies and rivals.
Analysis")</f>
        <v>Chapter 35: 29 Presentation - Addendum Emily
Ambrosial Artificer (Macross) 400:
So many moving parts, so many pieces to the puzzle. It's so... needless. The other tech teams are complete morons. That's why you've learned how to figure out the optimization of your complex machines like Veritechs. What parts you don't need, you find a way to do away with. What parts you DO need, you can use the now-extra space to improve and bolster their performance. Some will call you mad. But the only madness that will come from your work is the rage of your enemies and rivals.
Analysis</v>
      </c>
      <c r="B293" s="17" t="str">
        <f>IFERROR(__xludf.DUMMYFUNCTION("""COMPUTED_VALUE"""),"
")</f>
        <v>
</v>
      </c>
      <c r="C293" s="17" t="str">
        <f>IFERROR(__xludf.DUMMYFUNCTION("""COMPUTED_VALUE"""),"
")</f>
        <v>
</v>
      </c>
      <c r="D293" s="17" t="str">
        <f>IFERROR(__xludf.DUMMYFUNCTION("""COMPUTED_VALUE"""),"
")</f>
        <v>
</v>
      </c>
      <c r="E293" s="17" t="str">
        <f>IFERROR(__xludf.DUMMYFUNCTION("""COMPUTED_VALUE"""),"
")</f>
        <v>
</v>
      </c>
      <c r="F293" s="17" t="str">
        <f>IFERROR(__xludf.DUMMYFUNCTION("""COMPUTED_VALUE"""),"
")</f>
        <v>
</v>
      </c>
      <c r="G293" s="17" t="str">
        <f>IFERROR(__xludf.DUMMYFUNCTION("""COMPUTED_VALUE"""),"
")</f>
        <v>
</v>
      </c>
      <c r="H293" s="17" t="str">
        <f>IFERROR(__xludf.DUMMYFUNCTION("""COMPUTED_VALUE"""),"
")</f>
        <v>
</v>
      </c>
      <c r="I293" s="17" t="str">
        <f>IFERROR(__xludf.DUMMYFUNCTION("""COMPUTED_VALUE"""),"
")</f>
        <v>
</v>
      </c>
      <c r="J293" s="17" t="str">
        <f>IFERROR(__xludf.DUMMYFUNCTION("""COMPUTED_VALUE"""),"
")</f>
        <v>
</v>
      </c>
      <c r="K293" s="17" t="str">
        <f>IFERROR(__xludf.DUMMYFUNCTION("""COMPUTED_VALUE"""),"
")</f>
        <v>
</v>
      </c>
      <c r="L293" s="17" t="str">
        <f>IFERROR(__xludf.DUMMYFUNCTION("""COMPUTED_VALUE"""),"
")</f>
        <v>
</v>
      </c>
      <c r="M293" s="17" t="str">
        <f>IFERROR(__xludf.DUMMYFUNCTION("""COMPUTED_VALUE"""),"
")</f>
        <v>
</v>
      </c>
      <c r="N293" s="17" t="str">
        <f>IFERROR(__xludf.DUMMYFUNCTION("""COMPUTED_VALUE"""),"
")</f>
        <v>
</v>
      </c>
      <c r="O293" s="17" t="str">
        <f>IFERROR(__xludf.DUMMYFUNCTION("""COMPUTED_VALUE"""),"
")</f>
        <v>
</v>
      </c>
      <c r="P293" s="17" t="str">
        <f>IFERROR(__xludf.DUMMYFUNCTION("""COMPUTED_VALUE"""),"
")</f>
        <v>
</v>
      </c>
      <c r="Q293" s="17" t="str">
        <f>IFERROR(__xludf.DUMMYFUNCTION("""COMPUTED_VALUE"""),"
")</f>
        <v>
</v>
      </c>
      <c r="R293" s="17" t="str">
        <f>IFERROR(__xludf.DUMMYFUNCTION("""COMPUTED_VALUE"""),"
")</f>
        <v>
</v>
      </c>
      <c r="S293" s="17" t="str">
        <f>IFERROR(__xludf.DUMMYFUNCTION("""COMPUTED_VALUE"""),"
")</f>
        <v>
</v>
      </c>
      <c r="T293" s="17" t="str">
        <f>IFERROR(__xludf.DUMMYFUNCTION("""COMPUTED_VALUE"""),"
")</f>
        <v>
</v>
      </c>
      <c r="U293" s="17" t="str">
        <f>IFERROR(__xludf.DUMMYFUNCTION("""COMPUTED_VALUE"""),"
")</f>
        <v>
</v>
      </c>
      <c r="V293" s="17" t="str">
        <f>IFERROR(__xludf.DUMMYFUNCTION("""COMPUTED_VALUE"""),"
")</f>
        <v>
</v>
      </c>
      <c r="W293" s="17" t="str">
        <f>IFERROR(__xludf.DUMMYFUNCTION("""COMPUTED_VALUE"""),"
")</f>
        <v>
</v>
      </c>
      <c r="X293" s="17" t="str">
        <f>IFERROR(__xludf.DUMMYFUNCTION("""COMPUTED_VALUE"""),"
")</f>
        <v>
</v>
      </c>
      <c r="Y293" s="17" t="str">
        <f>IFERROR(__xludf.DUMMYFUNCTION("""COMPUTED_VALUE"""),"
")</f>
        <v>
</v>
      </c>
      <c r="Z293" s="17" t="str">
        <f>IFERROR(__xludf.DUMMYFUNCTION("""COMPUTED_VALUE"""),"
")</f>
        <v>
</v>
      </c>
      <c r="AA293" s="17" t="str">
        <f>IFERROR(__xludf.DUMMYFUNCTION("""COMPUTED_VALUE"""),"
")</f>
        <v>
</v>
      </c>
      <c r="AB293" s="17" t="str">
        <f>IFERROR(__xludf.DUMMYFUNCTION("""COMPUTED_VALUE"""),"
")</f>
        <v>
</v>
      </c>
      <c r="AC293" s="17" t="str">
        <f>IFERROR(__xludf.DUMMYFUNCTION("""COMPUTED_VALUE"""),"
")</f>
        <v>
</v>
      </c>
    </row>
    <row r="294">
      <c r="A294" s="17" t="str">
        <f>IFERROR(__xludf.DUMMYFUNCTION("""COMPUTED_VALUE"""),"Chapter 02: 2 Preparation
Bling of War (Macross) 100:
It's one thing to have a weapon or vehicle of mass destruction, capable of rending an entire ground force or a squadron to shame. It's another to make it look so damn good your enemies would not dare g"&amp;"et near it if they had a lick of sense. By purchasing this perk, you can design your equipment to look much more stylish and carry a 'theme' you prefer. This can range from the clothes you wear, to the weapons you wield, to even the vehicles you pilot int"&amp;"o battle. It's all about style.
Skill")</f>
        <v>Chapter 02: 2 Preparation
Bling of War (Macross) 100:
It's one thing to have a weapon or vehicle of mass destruction, capable of rending an entire ground force or a squadron to shame. It's another to make it look so damn good your enemies would not dare get near it if they had a lick of sense. By purchasing this perk, you can design your equipment to look much more stylish and carry a 'theme' you prefer. This can range from the clothes you wear, to the weapons you wield, to even the vehicles you pilot into battle. It's all about style.
Skill</v>
      </c>
      <c r="B294" s="17" t="str">
        <f>IFERROR(__xludf.DUMMYFUNCTION("""COMPUTED_VALUE"""),"
")</f>
        <v>
</v>
      </c>
      <c r="C294" s="17" t="str">
        <f>IFERROR(__xludf.DUMMYFUNCTION("""COMPUTED_VALUE"""),"
")</f>
        <v>
</v>
      </c>
      <c r="D294" s="17" t="str">
        <f>IFERROR(__xludf.DUMMYFUNCTION("""COMPUTED_VALUE"""),"
")</f>
        <v>
</v>
      </c>
      <c r="E294" s="17" t="str">
        <f>IFERROR(__xludf.DUMMYFUNCTION("""COMPUTED_VALUE"""),"
")</f>
        <v>
</v>
      </c>
      <c r="F294" s="17" t="str">
        <f>IFERROR(__xludf.DUMMYFUNCTION("""COMPUTED_VALUE"""),"
")</f>
        <v>
</v>
      </c>
      <c r="G294" s="17" t="str">
        <f>IFERROR(__xludf.DUMMYFUNCTION("""COMPUTED_VALUE"""),"
")</f>
        <v>
</v>
      </c>
      <c r="H294" s="17" t="str">
        <f>IFERROR(__xludf.DUMMYFUNCTION("""COMPUTED_VALUE"""),"
")</f>
        <v>
</v>
      </c>
      <c r="I294" s="17" t="str">
        <f>IFERROR(__xludf.DUMMYFUNCTION("""COMPUTED_VALUE"""),"
")</f>
        <v>
</v>
      </c>
      <c r="J294" s="17" t="str">
        <f>IFERROR(__xludf.DUMMYFUNCTION("""COMPUTED_VALUE"""),"
")</f>
        <v>
</v>
      </c>
      <c r="K294" s="17" t="str">
        <f>IFERROR(__xludf.DUMMYFUNCTION("""COMPUTED_VALUE"""),"
")</f>
        <v>
</v>
      </c>
      <c r="L294" s="17" t="str">
        <f>IFERROR(__xludf.DUMMYFUNCTION("""COMPUTED_VALUE"""),"
")</f>
        <v>
</v>
      </c>
      <c r="M294" s="17" t="str">
        <f>IFERROR(__xludf.DUMMYFUNCTION("""COMPUTED_VALUE"""),"
")</f>
        <v>
</v>
      </c>
      <c r="N294" s="17" t="str">
        <f>IFERROR(__xludf.DUMMYFUNCTION("""COMPUTED_VALUE"""),"
")</f>
        <v>
</v>
      </c>
      <c r="O294" s="17" t="str">
        <f>IFERROR(__xludf.DUMMYFUNCTION("""COMPUTED_VALUE"""),"
")</f>
        <v>
</v>
      </c>
      <c r="P294" s="17" t="str">
        <f>IFERROR(__xludf.DUMMYFUNCTION("""COMPUTED_VALUE"""),"
")</f>
        <v>
</v>
      </c>
      <c r="Q294" s="17" t="str">
        <f>IFERROR(__xludf.DUMMYFUNCTION("""COMPUTED_VALUE"""),"
")</f>
        <v>
</v>
      </c>
      <c r="R294" s="17" t="str">
        <f>IFERROR(__xludf.DUMMYFUNCTION("""COMPUTED_VALUE"""),"
")</f>
        <v>
</v>
      </c>
      <c r="S294" s="17" t="str">
        <f>IFERROR(__xludf.DUMMYFUNCTION("""COMPUTED_VALUE"""),"
")</f>
        <v>
</v>
      </c>
      <c r="T294" s="17" t="str">
        <f>IFERROR(__xludf.DUMMYFUNCTION("""COMPUTED_VALUE"""),"
")</f>
        <v>
</v>
      </c>
      <c r="U294" s="17" t="str">
        <f>IFERROR(__xludf.DUMMYFUNCTION("""COMPUTED_VALUE"""),"
")</f>
        <v>
</v>
      </c>
      <c r="V294" s="17" t="str">
        <f>IFERROR(__xludf.DUMMYFUNCTION("""COMPUTED_VALUE"""),"
")</f>
        <v>
</v>
      </c>
      <c r="W294" s="17" t="str">
        <f>IFERROR(__xludf.DUMMYFUNCTION("""COMPUTED_VALUE"""),"
")</f>
        <v>
</v>
      </c>
      <c r="X294" s="17" t="str">
        <f>IFERROR(__xludf.DUMMYFUNCTION("""COMPUTED_VALUE"""),"
")</f>
        <v>
</v>
      </c>
      <c r="Y294" s="17" t="str">
        <f>IFERROR(__xludf.DUMMYFUNCTION("""COMPUTED_VALUE"""),"
")</f>
        <v>
</v>
      </c>
      <c r="Z294" s="17" t="str">
        <f>IFERROR(__xludf.DUMMYFUNCTION("""COMPUTED_VALUE"""),"
")</f>
        <v>
</v>
      </c>
      <c r="AA294" s="17" t="str">
        <f>IFERROR(__xludf.DUMMYFUNCTION("""COMPUTED_VALUE"""),"
")</f>
        <v>
</v>
      </c>
      <c r="AB294" s="17" t="str">
        <f>IFERROR(__xludf.DUMMYFUNCTION("""COMPUTED_VALUE"""),"
")</f>
        <v>
</v>
      </c>
      <c r="AC294" s="17" t="str">
        <f>IFERROR(__xludf.DUMMYFUNCTION("""COMPUTED_VALUE"""),"
")</f>
        <v>
</v>
      </c>
    </row>
    <row r="295">
      <c r="A295" s="17" t="str">
        <f>IFERROR(__xludf.DUMMYFUNCTION("""COMPUTED_VALUE"""),"")</f>
        <v/>
      </c>
      <c r="B295" s="17" t="str">
        <f>IFERROR(__xludf.DUMMYFUNCTION("""COMPUTED_VALUE"""),"")</f>
        <v/>
      </c>
      <c r="C295" s="17" t="str">
        <f>IFERROR(__xludf.DUMMYFUNCTION("""COMPUTED_VALUE"""),"")</f>
        <v/>
      </c>
      <c r="D295" s="17" t="str">
        <f>IFERROR(__xludf.DUMMYFUNCTION("""COMPUTED_VALUE"""),"")</f>
        <v/>
      </c>
      <c r="E295" s="17" t="str">
        <f>IFERROR(__xludf.DUMMYFUNCTION("""COMPUTED_VALUE"""),"")</f>
        <v/>
      </c>
      <c r="F295" s="17" t="str">
        <f>IFERROR(__xludf.DUMMYFUNCTION("""COMPUTED_VALUE"""),"")</f>
        <v/>
      </c>
      <c r="G295" s="17" t="str">
        <f>IFERROR(__xludf.DUMMYFUNCTION("""COMPUTED_VALUE"""),"")</f>
        <v/>
      </c>
      <c r="H295" s="17" t="str">
        <f>IFERROR(__xludf.DUMMYFUNCTION("""COMPUTED_VALUE"""),"")</f>
        <v/>
      </c>
      <c r="I295" s="17" t="str">
        <f>IFERROR(__xludf.DUMMYFUNCTION("""COMPUTED_VALUE"""),"")</f>
        <v/>
      </c>
      <c r="J295" s="17" t="str">
        <f>IFERROR(__xludf.DUMMYFUNCTION("""COMPUTED_VALUE"""),"")</f>
        <v/>
      </c>
      <c r="K295" s="17" t="str">
        <f>IFERROR(__xludf.DUMMYFUNCTION("""COMPUTED_VALUE"""),"")</f>
        <v/>
      </c>
      <c r="L295" s="17" t="str">
        <f>IFERROR(__xludf.DUMMYFUNCTION("""COMPUTED_VALUE"""),"")</f>
        <v/>
      </c>
      <c r="M295" s="17" t="str">
        <f>IFERROR(__xludf.DUMMYFUNCTION("""COMPUTED_VALUE"""),"")</f>
        <v/>
      </c>
      <c r="N295" s="17" t="str">
        <f>IFERROR(__xludf.DUMMYFUNCTION("""COMPUTED_VALUE"""),"")</f>
        <v/>
      </c>
      <c r="O295" s="17" t="str">
        <f>IFERROR(__xludf.DUMMYFUNCTION("""COMPUTED_VALUE"""),"")</f>
        <v/>
      </c>
      <c r="P295" s="17" t="str">
        <f>IFERROR(__xludf.DUMMYFUNCTION("""COMPUTED_VALUE"""),"")</f>
        <v/>
      </c>
      <c r="Q295" s="17" t="str">
        <f>IFERROR(__xludf.DUMMYFUNCTION("""COMPUTED_VALUE"""),"")</f>
        <v/>
      </c>
      <c r="R295" s="17" t="str">
        <f>IFERROR(__xludf.DUMMYFUNCTION("""COMPUTED_VALUE"""),"")</f>
        <v/>
      </c>
      <c r="S295" s="17" t="str">
        <f>IFERROR(__xludf.DUMMYFUNCTION("""COMPUTED_VALUE"""),"")</f>
        <v/>
      </c>
      <c r="T295" s="17" t="str">
        <f>IFERROR(__xludf.DUMMYFUNCTION("""COMPUTED_VALUE"""),"")</f>
        <v/>
      </c>
      <c r="U295" s="17" t="str">
        <f>IFERROR(__xludf.DUMMYFUNCTION("""COMPUTED_VALUE"""),"")</f>
        <v/>
      </c>
      <c r="V295" s="17" t="str">
        <f>IFERROR(__xludf.DUMMYFUNCTION("""COMPUTED_VALUE"""),"")</f>
        <v/>
      </c>
      <c r="W295" s="17" t="str">
        <f>IFERROR(__xludf.DUMMYFUNCTION("""COMPUTED_VALUE"""),"")</f>
        <v/>
      </c>
      <c r="X295" s="17" t="str">
        <f>IFERROR(__xludf.DUMMYFUNCTION("""COMPUTED_VALUE"""),"")</f>
        <v/>
      </c>
      <c r="Y295" s="17" t="str">
        <f>IFERROR(__xludf.DUMMYFUNCTION("""COMPUTED_VALUE"""),"")</f>
        <v/>
      </c>
      <c r="Z295" s="17" t="str">
        <f>IFERROR(__xludf.DUMMYFUNCTION("""COMPUTED_VALUE"""),"")</f>
        <v/>
      </c>
      <c r="AA295" s="17" t="str">
        <f>IFERROR(__xludf.DUMMYFUNCTION("""COMPUTED_VALUE"""),"")</f>
        <v/>
      </c>
      <c r="AB295" s="17" t="str">
        <f>IFERROR(__xludf.DUMMYFUNCTION("""COMPUTED_VALUE"""),"")</f>
        <v/>
      </c>
      <c r="AC295" s="17" t="str">
        <f>IFERROR(__xludf.DUMMYFUNCTION("""COMPUTED_VALUE"""),"")</f>
        <v/>
      </c>
    </row>
    <row r="296">
      <c r="A296" s="17" t="str">
        <f>IFERROR(__xludf.DUMMYFUNCTION("""COMPUTED_VALUE"""),"Chapter 23: 18 Regroup
Unnatural Skill: Smith (Percy Jackson) 200:
Whether from your heritage or just being that good you've got one particular mundane skill that your feats with border on supernatural. Whether you're a smith on the level of the Cyclopses"&amp;", a near prescient tactician or a swordsman who is ny unstoppable with a blade your feats will be legendary. You are on a level within your skill such that only other beings of legend can hope to match you. This may be taken multiple times. You may not ch"&amp;"oose magic but you may choose a particular application of magic if you have it already (so curses, enchanting might work, more specific gets a bigger boost).
System")</f>
        <v>Chapter 23: 18 Regroup
Unnatural Skill: Smith (Percy Jackson) 200:
Whether from your heritage or just being that good you've got one particular mundane skill that your feats with border on supernatural. Whether you're a smith on the level of the Cyclopses, a near prescient tactician or a swordsman who is ny unstoppable with a blade your feats will be legendary. You are on a level within your skill such that only other beings of legend can hope to match you. This may be taken multiple times. You may not choose magic but you may choose a particular application of magic if you have it already (so curses, enchanting might work, more specific gets a bigger boost).
System</v>
      </c>
      <c r="B296" s="17" t="str">
        <f>IFERROR(__xludf.DUMMYFUNCTION("""COMPUTED_VALUE"""),"Chapter 37: 31 Consensus - Preamble PHO - Addendum Accord
Divine Child - Hephaestus (Percy Jackson) 400:
You are the direct child of a god of your associated pantheon and gain various benefits from this. You gain lesser manifestations of your parent's dom"&amp;"ains as well as generally being better than an ordinary mortal. You may take most any god as your parent but to take one of the heads of a pantheon as a parent you must take the ""Fate finds you interesting"" drawback receiving no points for it (you can a"&amp;"lso do this with a lesser god to get greater powers). Generally this will give you insight into and some control over your divine parent’s domains, a son of Poseidon for example can control water and ships, talk to horses, cause minor earthquakes and is e"&amp;"mpowered within water.
Personal, System")</f>
        <v>Chapter 37: 31 Consensus - Preamble PHO - Addendum Accord
Divine Child - Hephaestus (Percy Jackson) 400:
You are the direct child of a god of your associated pantheon and gain various benefits from this. You gain lesser manifestations of your parent's domains as well as generally being better than an ordinary mortal. You may take most any god as your parent but to take one of the heads of a pantheon as a parent you must take the "Fate finds you interesting" drawback receiving no points for it (you can also do this with a lesser god to get greater powers). Generally this will give you insight into and some control over your divine parent’s domains, a son of Poseidon for example can control water and ships, talk to horses, cause minor earthquakes and is empowered within water.
Personal, System</v>
      </c>
      <c r="C296" s="17" t="str">
        <f>IFERROR(__xludf.DUMMYFUNCTION("""COMPUTED_VALUE"""),"Chapter 37: 31 Consensus - Preamble PHO - Addendum Accord
Old Traditions (Percy Jackson) Free:
You are knowledgeable in the ways of the ancient civilization corresponding to whatever mythology you're most connected with. You can read their languages, know"&amp;" the proper ways to honor the gods, and have a decent grasp of their mythology. Otherwise unassociated Drop-ins may choose any one ancient culture to know of. You may purchase this multiple times, each time gaining insight into a new culture.
Skill")</f>
        <v>Chapter 37: 31 Consensus - Preamble PHO - Addendum Accord
Old Traditions (Percy Jackson) Free:
You are knowledgeable in the ways of the ancient civilization corresponding to whatever mythology you're most connected with. You can read their languages, know the proper ways to honor the gods, and have a decent grasp of their mythology. Otherwise unassociated Drop-ins may choose any one ancient culture to know of. You may purchase this multiple times, each time gaining insight into a new culture.
Skill</v>
      </c>
      <c r="D296" s="17" t="str">
        <f>IFERROR(__xludf.DUMMYFUNCTION("""COMPUTED_VALUE"""),"Chapter 43: 36 Debrief - Addendum The Bay Bulletin
Fate Finds You Interesting (Percy Jackson) 300:
You must take the ""Fate finds you interesting"" drawback receiving no points for it (you can also do this with a lesser god to get greater powers).
(This b"&amp;"oost the power of Divine Child)
Personal")</f>
        <v>Chapter 43: 36 Debrief - Addendum The Bay Bulletin
Fate Finds You Interesting (Percy Jackson) 300:
You must take the "Fate finds you interesting" drawback receiving no points for it (you can also do this with a lesser god to get greater powers).
(This boost the power of Divine Child)
Personal</v>
      </c>
      <c r="E296" s="17" t="str">
        <f>IFERROR(__xludf.DUMMYFUNCTION("""COMPUTED_VALUE"""),"Chapter 43: 36 Debrief - Addendum The Bay Bulletin
Minor Blessing Athena - Craftsmanship (Percy Jackson) 100:
For one reason or another you've got a god who cares slightly about you and has seen fit to grant you some minor boon within their domains. Choos"&amp;"e one god from any pantheon and gain a minor boon from them. The god will care slightly about you but unless you go on to further distinguish yourself it will be more of a minor interest in your affairs than someone they feel the need to help (Effectively"&amp;" think a diminished version of one ability a demigod might have, think minor ones are stuff along the lines of breathing water, lucid dreaming, or appropriate vague extra senses, useful but nothing especially major). This can be taken multiple times.
Skil"&amp;"l")</f>
        <v>Chapter 43: 36 Debrief - Addendum The Bay Bulletin
Minor Blessing Athena - Craftsmanship (Percy Jackson) 100:
For one reason or another you've got a god who cares slightly about you and has seen fit to grant you some minor boon within their domains. Choose one god from any pantheon and gain a minor boon from them. The god will care slightly about you but unless you go on to further distinguish yourself it will be more of a minor interest in your affairs than someone they feel the need to help (Effectively think a diminished version of one ability a demigod might have, think minor ones are stuff along the lines of breathing water, lucid dreaming, or appropriate vague extra senses, useful but nothing especially major). This can be taken multiple times.
Skill</v>
      </c>
      <c r="F296" s="17" t="str">
        <f>IFERROR(__xludf.DUMMYFUNCTION("""COMPUTED_VALUE"""),"Chapter 52: 42 Incapacitated - Preamble Jeanne
Minor Blessing Hestia - Hearthfire (Percy Jackson) 100:
For one reason or another you've got a god who cares slightly about you and has seen fit to grant you some minor boon within their domains.
System")</f>
        <v>Chapter 52: 42 Incapacitated - Preamble Jeanne
Minor Blessing Hestia - Hearthfire (Percy Jackson) 100:
For one reason or another you've got a god who cares slightly about you and has seen fit to grant you some minor boon within their domains.
System</v>
      </c>
      <c r="G296" s="17" t="str">
        <f>IFERROR(__xludf.DUMMYFUNCTION("""COMPUTED_VALUE"""),"Chapter 52: 42 Incapacitated - Preamble Jeanne
Unnatural Skill: Alchemy (Percy Jackson) 200:
Whether from your heritage or just being that good you've got one particular mundane skill that your feats with border on supernatural.
System")</f>
        <v>Chapter 52: 42 Incapacitated - Preamble Jeanne
Unnatural Skill: Alchemy (Percy Jackson) 200:
Whether from your heritage or just being that good you've got one particular mundane skill that your feats with border on supernatural.
System</v>
      </c>
      <c r="H296" s="17" t="str">
        <f>IFERROR(__xludf.DUMMYFUNCTION("""COMPUTED_VALUE"""),"Chapter 63: 48 Uptime
Minor Blessing Artemis - Bowmanship (Percy Jackson) 100:
For one reason or another you've got a god who cares slightly about you and has seen fit to grant you some minor boon within their domains.
Skill")</f>
        <v>Chapter 63: 48 Uptime
Minor Blessing Artemis - Bowmanship (Percy Jackson) 100:
For one reason or another you've got a god who cares slightly about you and has seen fit to grant you some minor boon within their domains.
Skill</v>
      </c>
      <c r="I296" s="17" t="str">
        <f>IFERROR(__xludf.DUMMYFUNCTION("""COMPUTED_VALUE"""),"Chapter 63: 48 Uptime
Unnatural Skill:Enchanting (Percy Jackson) 200:
Whether from your heritage or just being that good you've got one particular mundane skill that your feats with border on supernatural.
System")</f>
        <v>Chapter 63: 48 Uptime
Unnatural Skill:Enchanting (Percy Jackson) 200:
Whether from your heritage or just being that good you've got one particular mundane skill that your feats with border on supernatural.
System</v>
      </c>
      <c r="J296" s="17" t="str">
        <f>IFERROR(__xludf.DUMMYFUNCTION("""COMPUTED_VALUE"""),"Chapter 65: 50 Meantime
Minor Blessing Hera - Administration (Percy Jackson) 100:
For one reason or another you've got a god who cares slightly about you and has seen fit to grant you some minor boon within their domains.
Skill")</f>
        <v>Chapter 65: 50 Meantime
Minor Blessing Hera - Administration (Percy Jackson) 100:
For one reason or another you've got a god who cares slightly about you and has seen fit to grant you some minor boon within their domains.
Skill</v>
      </c>
      <c r="K296" s="17" t="str">
        <f>IFERROR(__xludf.DUMMYFUNCTION("""COMPUTED_VALUE"""),"Chapter 65: 50 Meantime
Unnatural Skill: Transmutation (Percy Jackson) 200:
Whether from your heritage or just being that good you've got one particular mundane skill that your feats with border on supernatural.
System")</f>
        <v>Chapter 65: 50 Meantime
Unnatural Skill: Transmutation (Percy Jackson) 200:
Whether from your heritage or just being that good you've got one particular mundane skill that your feats with border on supernatural.
System</v>
      </c>
      <c r="L296" s="17" t="str">
        <f>IFERROR(__xludf.DUMMYFUNCTION("""COMPUTED_VALUE"""),"Chapter 69: 54 Overtime
Minor Blessing Aphrodite - Beauty (Percy Jackson) 100:
For one reason or another you've got a god who cares slightly about you and has seen fit to grant you some minor boon within their domains.
Personal, Skill")</f>
        <v>Chapter 69: 54 Overtime
Minor Blessing Aphrodite - Beauty (Percy Jackson) 100:
For one reason or another you've got a god who cares slightly about you and has seen fit to grant you some minor boon within their domains.
Personal, Skill</v>
      </c>
      <c r="M296" s="17" t="str">
        <f>IFERROR(__xludf.DUMMYFUNCTION("""COMPUTED_VALUE"""),"Chapter 69: 54 Overtime
Unnatural Skill: Runes (Percy Jackson) 200:
Whether from your heritage or just being that good you've got one particular mundane skill that your feats with border on supernatural.
Note: Unlocks the Percy Jackson system of Runecraft"&amp;": The Well of Urd
System")</f>
        <v>Chapter 69: 54 Overtime
Unnatural Skill: Runes (Percy Jackson) 200:
Whether from your heritage or just being that good you've got one particular mundane skill that your feats with border on supernatural.
Note: Unlocks the Percy Jackson system of Runecraft: The Well of Urd
System</v>
      </c>
      <c r="N296" s="17" t="str">
        <f>IFERROR(__xludf.DUMMYFUNCTION("""COMPUTED_VALUE"""),"Chapter 78: 59 Summit Openings Addendum Uppercrust
Minor Blessing Hades - Ferrokinesis (Percy Jackson) 100:
For one reason or another you've got a god who cares slightly about you and has seen fit to grant you some minor boon within their domains.
Skill")</f>
        <v>Chapter 78: 59 Summit Openings Addendum Uppercrust
Minor Blessing Hades - Ferrokinesis (Percy Jackson) 100:
For one reason or another you've got a god who cares slightly about you and has seen fit to grant you some minor boon within their domains.
Skill</v>
      </c>
      <c r="O296" s="17" t="str">
        <f>IFERROR(__xludf.DUMMYFUNCTION("""COMPUTED_VALUE"""),"Chapter 78: 59 Summit Openings Addendum Uppercrust
Unnatural Skill: Music (Percy Jackson) 200:
Whether from your heritage or just being that good you've got one particular mundane skill that your feats with border on supernatural.
System")</f>
        <v>Chapter 78: 59 Summit Openings Addendum Uppercrust
Unnatural Skill: Music (Percy Jackson) 200:
Whether from your heritage or just being that good you've got one particular mundane skill that your feats with border on supernatural.
System</v>
      </c>
      <c r="P296" s="17" t="str">
        <f>IFERROR(__xludf.DUMMYFUNCTION("""COMPUTED_VALUE"""),"Chapter 120: 86 Pack Up
Minor Blessing Dionysus - Libations (Percy Jackson) 100:
For one reason or another you've got a god who cares slightly about you and has seen fit to grant you some minor boon within their domains.
System")</f>
        <v>Chapter 120: 86 Pack Up
Minor Blessing Dionysus - Libations (Percy Jackson) 100:
For one reason or another you've got a god who cares slightly about you and has seen fit to grant you some minor boon within their domains.
System</v>
      </c>
      <c r="Q296" s="17" t="str">
        <f>IFERROR(__xludf.DUMMYFUNCTION("""COMPUTED_VALUE"""),"Chapter 120: 86 Pack Up
Unnatural Skill: Firecraft (Percy Jackson) 200:
Whether from your heritage or just being that good you've got one particular mundane skill that your feats with border on supernatural.
System")</f>
        <v>Chapter 120: 86 Pack Up
Unnatural Skill: Firecraft (Percy Jackson) 200:
Whether from your heritage or just being that good you've got one particular mundane skill that your feats with border on supernatural.
System</v>
      </c>
      <c r="R296" s="17" t="str">
        <f>IFERROR(__xludf.DUMMYFUNCTION("""COMPUTED_VALUE"""),"Chapter 130: 93 Loom and Thread
Minor Blessing Ares – Armaments (Percy Jackson) 100:
For one reason or another you've got a god who cares slightly about you and has seen fit to grant you some minor boon within their domains.
Skill")</f>
        <v>Chapter 130: 93 Loom and Thread
Minor Blessing Ares – Armaments (Percy Jackson) 100:
For one reason or another you've got a god who cares slightly about you and has seen fit to grant you some minor boon within their domains.
Skill</v>
      </c>
      <c r="S296" s="17" t="str">
        <f>IFERROR(__xludf.DUMMYFUNCTION("""COMPUTED_VALUE"""),"Chapter 130: 93 Loom and Thread
Unnatural Skill: Ritual (Percy Jackson) 200:
Whether from your heritage or just being that good you've got one particular mundane skill that your feats with border on supernatural.
System")</f>
        <v>Chapter 130: 93 Loom and Thread
Unnatural Skill: Ritual (Percy Jackson) 200:
Whether from your heritage or just being that good you've got one particular mundane skill that your feats with border on supernatural.
System</v>
      </c>
      <c r="T296" s="17" t="str">
        <f>IFERROR(__xludf.DUMMYFUNCTION("""COMPUTED_VALUE"""),"Chapter 138: 95 Interlude Gregor - Shawn
Minor Blessing Zeus – Lightning (Percy Jackson) 100:
For one reason or another you've got a god who cares slightly about you and has seen fit to grant you some minor boon within their domains.
System")</f>
        <v>Chapter 138: 95 Interlude Gregor - Shawn
Minor Blessing Zeus – Lightning (Percy Jackson) 100:
For one reason or another you've got a god who cares slightly about you and has seen fit to grant you some minor boon within their domains.
System</v>
      </c>
      <c r="U296" s="17" t="str">
        <f>IFERROR(__xludf.DUMMYFUNCTION("""COMPUTED_VALUE"""),"Chapter 138: 95 Interlude Gregor - Shawn
Unnatural Skill: Curses (Percy Jackson) 200:
Whether from your heritage or just being that good you've got one particular mundane skill that your feats with border on supernatural.
System")</f>
        <v>Chapter 138: 95 Interlude Gregor - Shawn
Unnatural Skill: Curses (Percy Jackson) 200:
Whether from your heritage or just being that good you've got one particular mundane skill that your feats with border on supernatural.
System</v>
      </c>
      <c r="V296" s="17" t="str">
        <f>IFERROR(__xludf.DUMMYFUNCTION("""COMPUTED_VALUE"""),"Chapter 140: 96 Breakthrough
Minor Blessing Poseidon – Water (Percy Jackson) 100:
For one reason or another you've got a god who cares slightly about you and has seen fit to grant you some minor boon within their domains.
System")</f>
        <v>Chapter 140: 96 Breakthrough
Minor Blessing Poseidon – Water (Percy Jackson) 100:
For one reason or another you've got a god who cares slightly about you and has seen fit to grant you some minor boon within their domains.
System</v>
      </c>
      <c r="W296" s="17" t="str">
        <f>IFERROR(__xludf.DUMMYFUNCTION("""COMPUTED_VALUE"""),"Chapter 140: 96 Breakthrough
Unnatural Skill: Stoneworking (Percy Jackson) 200:
Whether from your heritage or just being that good you've got one particular mundane skill that your feats with border on supernatural.
System")</f>
        <v>Chapter 140: 96 Breakthrough
Unnatural Skill: Stoneworking (Percy Jackson) 200:
Whether from your heritage or just being that good you've got one particular mundane skill that your feats with border on supernatural.
System</v>
      </c>
      <c r="X296" s="17" t="str">
        <f>IFERROR(__xludf.DUMMYFUNCTION("""COMPUTED_VALUE"""),"Chapter 153: 103 Calls and Connections - Addendum Accord
Minor Blessing Demeter - Cultivation (Percy Jackson) 100:
For one reason or another you've got a god who cares slightly about you and has seen fit to grant you some minor boon within their domains.
"&amp;"System")</f>
        <v>Chapter 153: 103 Calls and Connections - Addendum Accord
Minor Blessing Demeter - Cultivation (Percy Jackson) 100:
For one reason or another you've got a god who cares slightly about you and has seen fit to grant you some minor boon within their domains.
System</v>
      </c>
      <c r="Y296" s="17" t="str">
        <f>IFERROR(__xludf.DUMMYFUNCTION("""COMPUTED_VALUE"""),"Chapter 153: 103 Calls and Connections - Addendum Accord
Unnatural Skill: Naturecraft (Percy Jackson) 200:
Whether from your heritage or just being that good you've got one particular mundane skill that your feats with border on supernatural.
System")</f>
        <v>Chapter 153: 103 Calls and Connections - Addendum Accord
Unnatural Skill: Naturecraft (Percy Jackson) 200:
Whether from your heritage or just being that good you've got one particular mundane skill that your feats with border on supernatural.
System</v>
      </c>
      <c r="Z296" s="17" t="str">
        <f>IFERROR(__xludf.DUMMYFUNCTION("""COMPUTED_VALUE"""),"Chapter 158: 106 Unveiled Plans
Minor Blessing Apollo - Medicine (Percy Jackson) 100:
For one reason or another you've got a god who cares slightly about you and has seen fit to grant you some minor boon within their domains.
System")</f>
        <v>Chapter 158: 106 Unveiled Plans
Minor Blessing Apollo - Medicine (Percy Jackson) 100:
For one reason or another you've got a god who cares slightly about you and has seen fit to grant you some minor boon within their domains.
System</v>
      </c>
      <c r="AA296" s="17" t="str">
        <f>IFERROR(__xludf.DUMMYFUNCTION("""COMPUTED_VALUE"""),"Chapter 158: 106 Unveiled Plans
Unnatural Skill: Healing (Percy Jackson) 200:
Whether from your heritage or just being that good you've got one particular mundane skill that your feats with border on supernatural.
System")</f>
        <v>Chapter 158: 106 Unveiled Plans
Unnatural Skill: Healing (Percy Jackson) 200:
Whether from your heritage or just being that good you've got one particular mundane skill that your feats with border on supernatural.
System</v>
      </c>
      <c r="AB296" s="17" t="str">
        <f>IFERROR(__xludf.DUMMYFUNCTION("""COMPUTED_VALUE"""),"Chapter 174: 112 Dispatch
Minor Blessing Hermes - Invention (Percy Jackson) 100:
For one reason or another you've got a god who cares slightly about you and has seen fit to grant you some minor boon within their domains.
System")</f>
        <v>Chapter 174: 112 Dispatch
Minor Blessing Hermes - Invention (Percy Jackson) 100:
For one reason or another you've got a god who cares slightly about you and has seen fit to grant you some minor boon within their domains.
System</v>
      </c>
      <c r="AC296" s="17" t="str">
        <f>IFERROR(__xludf.DUMMYFUNCTION("""COMPUTED_VALUE"""),"Chapter 174: 112 Dispatch
Unnatural Skill: Weaving (Percy Jackson) 200:
Whether from your heritage or just being that good you've got one particular mundane skill that your feats with border on supernatural.
System")</f>
        <v>Chapter 174: 112 Dispatch
Unnatural Skill: Weaving (Percy Jackson) 200:
Whether from your heritage or just being that good you've got one particular mundane skill that your feats with border on supernatural.
System</v>
      </c>
    </row>
    <row r="297">
      <c r="A297" s="17" t="str">
        <f>IFERROR(__xludf.DUMMYFUNCTION("""COMPUTED_VALUE"""),"")</f>
        <v/>
      </c>
      <c r="B297" s="17" t="str">
        <f>IFERROR(__xludf.DUMMYFUNCTION("""COMPUTED_VALUE"""),"")</f>
        <v/>
      </c>
      <c r="C297" s="17" t="str">
        <f>IFERROR(__xludf.DUMMYFUNCTION("""COMPUTED_VALUE"""),"")</f>
        <v/>
      </c>
      <c r="D297" s="17" t="str">
        <f>IFERROR(__xludf.DUMMYFUNCTION("""COMPUTED_VALUE"""),"")</f>
        <v/>
      </c>
      <c r="E297" s="17" t="str">
        <f>IFERROR(__xludf.DUMMYFUNCTION("""COMPUTED_VALUE"""),"")</f>
        <v/>
      </c>
      <c r="F297" s="17" t="str">
        <f>IFERROR(__xludf.DUMMYFUNCTION("""COMPUTED_VALUE"""),"")</f>
        <v/>
      </c>
      <c r="G297" s="17" t="str">
        <f>IFERROR(__xludf.DUMMYFUNCTION("""COMPUTED_VALUE"""),"")</f>
        <v/>
      </c>
      <c r="H297" s="17" t="str">
        <f>IFERROR(__xludf.DUMMYFUNCTION("""COMPUTED_VALUE"""),"")</f>
        <v/>
      </c>
      <c r="I297" s="17" t="str">
        <f>IFERROR(__xludf.DUMMYFUNCTION("""COMPUTED_VALUE"""),"")</f>
        <v/>
      </c>
      <c r="J297" s="17" t="str">
        <f>IFERROR(__xludf.DUMMYFUNCTION("""COMPUTED_VALUE"""),"")</f>
        <v/>
      </c>
      <c r="K297" s="17" t="str">
        <f>IFERROR(__xludf.DUMMYFUNCTION("""COMPUTED_VALUE"""),"")</f>
        <v/>
      </c>
      <c r="L297" s="17" t="str">
        <f>IFERROR(__xludf.DUMMYFUNCTION("""COMPUTED_VALUE"""),"")</f>
        <v/>
      </c>
      <c r="M297" s="17" t="str">
        <f>IFERROR(__xludf.DUMMYFUNCTION("""COMPUTED_VALUE"""),"")</f>
        <v/>
      </c>
      <c r="N297" s="17" t="str">
        <f>IFERROR(__xludf.DUMMYFUNCTION("""COMPUTED_VALUE"""),"")</f>
        <v/>
      </c>
      <c r="O297" s="17" t="str">
        <f>IFERROR(__xludf.DUMMYFUNCTION("""COMPUTED_VALUE"""),"")</f>
        <v/>
      </c>
      <c r="P297" s="17" t="str">
        <f>IFERROR(__xludf.DUMMYFUNCTION("""COMPUTED_VALUE"""),"")</f>
        <v/>
      </c>
      <c r="Q297" s="17" t="str">
        <f>IFERROR(__xludf.DUMMYFUNCTION("""COMPUTED_VALUE"""),"")</f>
        <v/>
      </c>
      <c r="R297" s="17" t="str">
        <f>IFERROR(__xludf.DUMMYFUNCTION("""COMPUTED_VALUE"""),"")</f>
        <v/>
      </c>
      <c r="S297" s="17" t="str">
        <f>IFERROR(__xludf.DUMMYFUNCTION("""COMPUTED_VALUE"""),"")</f>
        <v/>
      </c>
      <c r="T297" s="17" t="str">
        <f>IFERROR(__xludf.DUMMYFUNCTION("""COMPUTED_VALUE"""),"")</f>
        <v/>
      </c>
      <c r="U297" s="17" t="str">
        <f>IFERROR(__xludf.DUMMYFUNCTION("""COMPUTED_VALUE"""),"")</f>
        <v/>
      </c>
      <c r="V297" s="17" t="str">
        <f>IFERROR(__xludf.DUMMYFUNCTION("""COMPUTED_VALUE"""),"")</f>
        <v/>
      </c>
      <c r="W297" s="17" t="str">
        <f>IFERROR(__xludf.DUMMYFUNCTION("""COMPUTED_VALUE"""),"")</f>
        <v/>
      </c>
      <c r="X297" s="17" t="str">
        <f>IFERROR(__xludf.DUMMYFUNCTION("""COMPUTED_VALUE"""),"")</f>
        <v/>
      </c>
      <c r="Y297" s="17" t="str">
        <f>IFERROR(__xludf.DUMMYFUNCTION("""COMPUTED_VALUE"""),"")</f>
        <v/>
      </c>
      <c r="Z297" s="17" t="str">
        <f>IFERROR(__xludf.DUMMYFUNCTION("""COMPUTED_VALUE"""),"")</f>
        <v/>
      </c>
      <c r="AA297" s="17" t="str">
        <f>IFERROR(__xludf.DUMMYFUNCTION("""COMPUTED_VALUE"""),"")</f>
        <v/>
      </c>
      <c r="AB297" s="17" t="str">
        <f>IFERROR(__xludf.DUMMYFUNCTION("""COMPUTED_VALUE"""),"")</f>
        <v/>
      </c>
      <c r="AC297" s="17" t="str">
        <f>IFERROR(__xludf.DUMMYFUNCTION("""COMPUTED_VALUE"""),"")</f>
        <v/>
      </c>
    </row>
    <row r="298">
      <c r="A298" s="17" t="str">
        <f>IFERROR(__xludf.DUMMYFUNCTION("""COMPUTED_VALUE"""),"")</f>
        <v/>
      </c>
      <c r="B298" s="17" t="str">
        <f>IFERROR(__xludf.DUMMYFUNCTION("""COMPUTED_VALUE"""),"")</f>
        <v/>
      </c>
      <c r="C298" s="17" t="str">
        <f>IFERROR(__xludf.DUMMYFUNCTION("""COMPUTED_VALUE"""),"")</f>
        <v/>
      </c>
      <c r="D298" s="17" t="str">
        <f>IFERROR(__xludf.DUMMYFUNCTION("""COMPUTED_VALUE"""),"")</f>
        <v/>
      </c>
      <c r="E298" s="17" t="str">
        <f>IFERROR(__xludf.DUMMYFUNCTION("""COMPUTED_VALUE"""),"")</f>
        <v/>
      </c>
      <c r="F298" s="17" t="str">
        <f>IFERROR(__xludf.DUMMYFUNCTION("""COMPUTED_VALUE"""),"")</f>
        <v/>
      </c>
      <c r="G298" s="17" t="str">
        <f>IFERROR(__xludf.DUMMYFUNCTION("""COMPUTED_VALUE"""),"")</f>
        <v/>
      </c>
      <c r="H298" s="17" t="str">
        <f>IFERROR(__xludf.DUMMYFUNCTION("""COMPUTED_VALUE"""),"")</f>
        <v/>
      </c>
      <c r="I298" s="17" t="str">
        <f>IFERROR(__xludf.DUMMYFUNCTION("""COMPUTED_VALUE"""),"")</f>
        <v/>
      </c>
      <c r="J298" s="17" t="str">
        <f>IFERROR(__xludf.DUMMYFUNCTION("""COMPUTED_VALUE"""),"")</f>
        <v/>
      </c>
      <c r="K298" s="17" t="str">
        <f>IFERROR(__xludf.DUMMYFUNCTION("""COMPUTED_VALUE"""),"")</f>
        <v/>
      </c>
      <c r="L298" s="17" t="str">
        <f>IFERROR(__xludf.DUMMYFUNCTION("""COMPUTED_VALUE"""),"")</f>
        <v/>
      </c>
      <c r="M298" s="17" t="str">
        <f>IFERROR(__xludf.DUMMYFUNCTION("""COMPUTED_VALUE"""),"")</f>
        <v/>
      </c>
      <c r="N298" s="17" t="str">
        <f>IFERROR(__xludf.DUMMYFUNCTION("""COMPUTED_VALUE"""),"")</f>
        <v/>
      </c>
      <c r="O298" s="17" t="str">
        <f>IFERROR(__xludf.DUMMYFUNCTION("""COMPUTED_VALUE"""),"")</f>
        <v/>
      </c>
      <c r="P298" s="17" t="str">
        <f>IFERROR(__xludf.DUMMYFUNCTION("""COMPUTED_VALUE"""),"")</f>
        <v/>
      </c>
      <c r="Q298" s="17" t="str">
        <f>IFERROR(__xludf.DUMMYFUNCTION("""COMPUTED_VALUE"""),"")</f>
        <v/>
      </c>
      <c r="R298" s="17" t="str">
        <f>IFERROR(__xludf.DUMMYFUNCTION("""COMPUTED_VALUE"""),"")</f>
        <v/>
      </c>
      <c r="S298" s="17" t="str">
        <f>IFERROR(__xludf.DUMMYFUNCTION("""COMPUTED_VALUE"""),"")</f>
        <v/>
      </c>
      <c r="T298" s="17" t="str">
        <f>IFERROR(__xludf.DUMMYFUNCTION("""COMPUTED_VALUE"""),"")</f>
        <v/>
      </c>
      <c r="U298" s="17" t="str">
        <f>IFERROR(__xludf.DUMMYFUNCTION("""COMPUTED_VALUE"""),"")</f>
        <v/>
      </c>
      <c r="V298" s="17" t="str">
        <f>IFERROR(__xludf.DUMMYFUNCTION("""COMPUTED_VALUE"""),"")</f>
        <v/>
      </c>
      <c r="W298" s="17" t="str">
        <f>IFERROR(__xludf.DUMMYFUNCTION("""COMPUTED_VALUE"""),"")</f>
        <v/>
      </c>
      <c r="X298" s="17" t="str">
        <f>IFERROR(__xludf.DUMMYFUNCTION("""COMPUTED_VALUE"""),"")</f>
        <v/>
      </c>
      <c r="Y298" s="17" t="str">
        <f>IFERROR(__xludf.DUMMYFUNCTION("""COMPUTED_VALUE"""),"")</f>
        <v/>
      </c>
      <c r="Z298" s="17" t="str">
        <f>IFERROR(__xludf.DUMMYFUNCTION("""COMPUTED_VALUE"""),"")</f>
        <v/>
      </c>
      <c r="AA298" s="17" t="str">
        <f>IFERROR(__xludf.DUMMYFUNCTION("""COMPUTED_VALUE"""),"")</f>
        <v/>
      </c>
      <c r="AB298" s="17" t="str">
        <f>IFERROR(__xludf.DUMMYFUNCTION("""COMPUTED_VALUE"""),"")</f>
        <v/>
      </c>
      <c r="AC298" s="17" t="str">
        <f>IFERROR(__xludf.DUMMYFUNCTION("""COMPUTED_VALUE"""),"")</f>
        <v/>
      </c>
    </row>
    <row r="299">
      <c r="A299" s="17" t="str">
        <f>IFERROR(__xludf.DUMMYFUNCTION("""COMPUTED_VALUE"""),"")</f>
        <v/>
      </c>
      <c r="B299" s="17" t="str">
        <f>IFERROR(__xludf.DUMMYFUNCTION("""COMPUTED_VALUE"""),"")</f>
        <v/>
      </c>
      <c r="C299" s="17" t="str">
        <f>IFERROR(__xludf.DUMMYFUNCTION("""COMPUTED_VALUE"""),"")</f>
        <v/>
      </c>
      <c r="D299" s="17" t="str">
        <f>IFERROR(__xludf.DUMMYFUNCTION("""COMPUTED_VALUE"""),"")</f>
        <v/>
      </c>
      <c r="E299" s="17" t="str">
        <f>IFERROR(__xludf.DUMMYFUNCTION("""COMPUTED_VALUE"""),"")</f>
        <v/>
      </c>
      <c r="F299" s="17" t="str">
        <f>IFERROR(__xludf.DUMMYFUNCTION("""COMPUTED_VALUE"""),"")</f>
        <v/>
      </c>
      <c r="G299" s="17" t="str">
        <f>IFERROR(__xludf.DUMMYFUNCTION("""COMPUTED_VALUE"""),"")</f>
        <v/>
      </c>
      <c r="H299" s="17" t="str">
        <f>IFERROR(__xludf.DUMMYFUNCTION("""COMPUTED_VALUE"""),"")</f>
        <v/>
      </c>
      <c r="I299" s="17" t="str">
        <f>IFERROR(__xludf.DUMMYFUNCTION("""COMPUTED_VALUE"""),"")</f>
        <v/>
      </c>
      <c r="J299" s="17" t="str">
        <f>IFERROR(__xludf.DUMMYFUNCTION("""COMPUTED_VALUE"""),"")</f>
        <v/>
      </c>
      <c r="K299" s="17" t="str">
        <f>IFERROR(__xludf.DUMMYFUNCTION("""COMPUTED_VALUE"""),"")</f>
        <v/>
      </c>
      <c r="L299" s="17" t="str">
        <f>IFERROR(__xludf.DUMMYFUNCTION("""COMPUTED_VALUE"""),"")</f>
        <v/>
      </c>
      <c r="M299" s="17" t="str">
        <f>IFERROR(__xludf.DUMMYFUNCTION("""COMPUTED_VALUE"""),"")</f>
        <v/>
      </c>
      <c r="N299" s="17" t="str">
        <f>IFERROR(__xludf.DUMMYFUNCTION("""COMPUTED_VALUE"""),"")</f>
        <v/>
      </c>
      <c r="O299" s="17" t="str">
        <f>IFERROR(__xludf.DUMMYFUNCTION("""COMPUTED_VALUE"""),"")</f>
        <v/>
      </c>
      <c r="P299" s="17" t="str">
        <f>IFERROR(__xludf.DUMMYFUNCTION("""COMPUTED_VALUE"""),"")</f>
        <v/>
      </c>
      <c r="Q299" s="17" t="str">
        <f>IFERROR(__xludf.DUMMYFUNCTION("""COMPUTED_VALUE"""),"")</f>
        <v/>
      </c>
      <c r="R299" s="17" t="str">
        <f>IFERROR(__xludf.DUMMYFUNCTION("""COMPUTED_VALUE"""),"")</f>
        <v/>
      </c>
      <c r="S299" s="17" t="str">
        <f>IFERROR(__xludf.DUMMYFUNCTION("""COMPUTED_VALUE"""),"")</f>
        <v/>
      </c>
      <c r="T299" s="17" t="str">
        <f>IFERROR(__xludf.DUMMYFUNCTION("""COMPUTED_VALUE"""),"")</f>
        <v/>
      </c>
      <c r="U299" s="17" t="str">
        <f>IFERROR(__xludf.DUMMYFUNCTION("""COMPUTED_VALUE"""),"")</f>
        <v/>
      </c>
      <c r="V299" s="17" t="str">
        <f>IFERROR(__xludf.DUMMYFUNCTION("""COMPUTED_VALUE"""),"")</f>
        <v/>
      </c>
      <c r="W299" s="17" t="str">
        <f>IFERROR(__xludf.DUMMYFUNCTION("""COMPUTED_VALUE"""),"")</f>
        <v/>
      </c>
      <c r="X299" s="17" t="str">
        <f>IFERROR(__xludf.DUMMYFUNCTION("""COMPUTED_VALUE"""),"")</f>
        <v/>
      </c>
      <c r="Y299" s="17" t="str">
        <f>IFERROR(__xludf.DUMMYFUNCTION("""COMPUTED_VALUE"""),"")</f>
        <v/>
      </c>
      <c r="Z299" s="17" t="str">
        <f>IFERROR(__xludf.DUMMYFUNCTION("""COMPUTED_VALUE"""),"")</f>
        <v/>
      </c>
      <c r="AA299" s="17" t="str">
        <f>IFERROR(__xludf.DUMMYFUNCTION("""COMPUTED_VALUE"""),"")</f>
        <v/>
      </c>
      <c r="AB299" s="17" t="str">
        <f>IFERROR(__xludf.DUMMYFUNCTION("""COMPUTED_VALUE"""),"")</f>
        <v/>
      </c>
      <c r="AC299" s="17" t="str">
        <f>IFERROR(__xludf.DUMMYFUNCTION("""COMPUTED_VALUE"""),"")</f>
        <v/>
      </c>
    </row>
    <row r="300">
      <c r="A300" s="17" t="str">
        <f>IFERROR(__xludf.DUMMYFUNCTION("""COMPUTED_VALUE"""),"")</f>
        <v/>
      </c>
      <c r="B300" s="17" t="str">
        <f>IFERROR(__xludf.DUMMYFUNCTION("""COMPUTED_VALUE"""),"")</f>
        <v/>
      </c>
      <c r="C300" s="17" t="str">
        <f>IFERROR(__xludf.DUMMYFUNCTION("""COMPUTED_VALUE"""),"")</f>
        <v/>
      </c>
      <c r="D300" s="17" t="str">
        <f>IFERROR(__xludf.DUMMYFUNCTION("""COMPUTED_VALUE"""),"")</f>
        <v/>
      </c>
      <c r="E300" s="17" t="str">
        <f>IFERROR(__xludf.DUMMYFUNCTION("""COMPUTED_VALUE"""),"")</f>
        <v/>
      </c>
      <c r="F300" s="17" t="str">
        <f>IFERROR(__xludf.DUMMYFUNCTION("""COMPUTED_VALUE"""),"")</f>
        <v/>
      </c>
      <c r="G300" s="17" t="str">
        <f>IFERROR(__xludf.DUMMYFUNCTION("""COMPUTED_VALUE"""),"")</f>
        <v/>
      </c>
      <c r="H300" s="17" t="str">
        <f>IFERROR(__xludf.DUMMYFUNCTION("""COMPUTED_VALUE"""),"")</f>
        <v/>
      </c>
      <c r="I300" s="17" t="str">
        <f>IFERROR(__xludf.DUMMYFUNCTION("""COMPUTED_VALUE"""),"")</f>
        <v/>
      </c>
      <c r="J300" s="17" t="str">
        <f>IFERROR(__xludf.DUMMYFUNCTION("""COMPUTED_VALUE"""),"")</f>
        <v/>
      </c>
      <c r="K300" s="17" t="str">
        <f>IFERROR(__xludf.DUMMYFUNCTION("""COMPUTED_VALUE"""),"")</f>
        <v/>
      </c>
      <c r="L300" s="17" t="str">
        <f>IFERROR(__xludf.DUMMYFUNCTION("""COMPUTED_VALUE"""),"")</f>
        <v/>
      </c>
      <c r="M300" s="17" t="str">
        <f>IFERROR(__xludf.DUMMYFUNCTION("""COMPUTED_VALUE"""),"")</f>
        <v/>
      </c>
      <c r="N300" s="17" t="str">
        <f>IFERROR(__xludf.DUMMYFUNCTION("""COMPUTED_VALUE"""),"")</f>
        <v/>
      </c>
      <c r="O300" s="17" t="str">
        <f>IFERROR(__xludf.DUMMYFUNCTION("""COMPUTED_VALUE"""),"")</f>
        <v/>
      </c>
      <c r="P300" s="17" t="str">
        <f>IFERROR(__xludf.DUMMYFUNCTION("""COMPUTED_VALUE"""),"")</f>
        <v/>
      </c>
      <c r="Q300" s="17" t="str">
        <f>IFERROR(__xludf.DUMMYFUNCTION("""COMPUTED_VALUE"""),"")</f>
        <v/>
      </c>
      <c r="R300" s="17" t="str">
        <f>IFERROR(__xludf.DUMMYFUNCTION("""COMPUTED_VALUE"""),"")</f>
        <v/>
      </c>
      <c r="S300" s="17" t="str">
        <f>IFERROR(__xludf.DUMMYFUNCTION("""COMPUTED_VALUE"""),"")</f>
        <v/>
      </c>
      <c r="T300" s="17" t="str">
        <f>IFERROR(__xludf.DUMMYFUNCTION("""COMPUTED_VALUE"""),"")</f>
        <v/>
      </c>
      <c r="U300" s="17" t="str">
        <f>IFERROR(__xludf.DUMMYFUNCTION("""COMPUTED_VALUE"""),"")</f>
        <v/>
      </c>
      <c r="V300" s="17" t="str">
        <f>IFERROR(__xludf.DUMMYFUNCTION("""COMPUTED_VALUE"""),"")</f>
        <v/>
      </c>
      <c r="W300" s="17" t="str">
        <f>IFERROR(__xludf.DUMMYFUNCTION("""COMPUTED_VALUE"""),"")</f>
        <v/>
      </c>
      <c r="X300" s="17" t="str">
        <f>IFERROR(__xludf.DUMMYFUNCTION("""COMPUTED_VALUE"""),"")</f>
        <v/>
      </c>
      <c r="Y300" s="17" t="str">
        <f>IFERROR(__xludf.DUMMYFUNCTION("""COMPUTED_VALUE"""),"")</f>
        <v/>
      </c>
      <c r="Z300" s="17" t="str">
        <f>IFERROR(__xludf.DUMMYFUNCTION("""COMPUTED_VALUE"""),"")</f>
        <v/>
      </c>
      <c r="AA300" s="17" t="str">
        <f>IFERROR(__xludf.DUMMYFUNCTION("""COMPUTED_VALUE"""),"")</f>
        <v/>
      </c>
      <c r="AB300" s="17" t="str">
        <f>IFERROR(__xludf.DUMMYFUNCTION("""COMPUTED_VALUE"""),"")</f>
        <v/>
      </c>
      <c r="AC300" s="17" t="str">
        <f>IFERROR(__xludf.DUMMYFUNCTION("""COMPUTED_VALUE"""),"")</f>
        <v/>
      </c>
    </row>
    <row r="301">
      <c r="A301" s="17" t="str">
        <f>IFERROR(__xludf.DUMMYFUNCTION("""COMPUTED_VALUE"""),"Chapter 59: 46 Review
My Fashion Sense is Tingling (The World Ends With You) 50:
You have an impeccable sense of fashion. You can make an appealing outfit out of just about anything. In addition, you will always have an innate knowledge of what is fashion"&amp;"able in the area wherever you go, allowing you to remain on top of your game no matter where you are. In fact, you'll usually be a trendsetter.
Skill")</f>
        <v>Chapter 59: 46 Review
My Fashion Sense is Tingling (The World Ends With You) 50:
You have an impeccable sense of fashion. You can make an appealing outfit out of just about anything. In addition, you will always have an innate knowledge of what is fashionable in the area wherever you go, allowing you to remain on top of your game no matter where you are. In fact, you'll usually be a trendsetter.
Skill</v>
      </c>
      <c r="B301" s="17" t="str">
        <f>IFERROR(__xludf.DUMMYFUNCTION("""COMPUTED_VALUE"""),"Chapter 59: 46 Review
Natural Puppy (The World Ends With You) 100:
Natural Puppy is a brand full of clean and simple clothing with soft colors and modest designs. Their clothing offers good resistances to status ailments and defensive bonuses. Works best "&amp;"for those with the Doormat flaw.
Natural Puppy offers a lot of ranged options for Players, and has the best Force Rounds pins available as well as the exclusive Entanglement psych.
Set")</f>
        <v>Chapter 59: 46 Review
Natural Puppy (The World Ends With You) 100:
Natural Puppy is a brand full of clean and simple clothing with soft colors and modest designs. Their clothing offers good resistances to status ailments and defensive bonuses. Works best for those with the Doormat flaw.
Natural Puppy offers a lot of ranged options for Players, and has the best Force Rounds pins available as well as the exclusive Entanglement psych.
Set</v>
      </c>
      <c r="C301" s="17" t="str">
        <f>IFERROR(__xludf.DUMMYFUNCTION("""COMPUTED_VALUE"""),"Chapter 59: 46 Review
Entanglement (The World Ends With You) Free:
Allows the user to create a chain between two designated points. Enemies hit by the chain (or who run into it) take damage and suffer Defense Break.
Ability")</f>
        <v>Chapter 59: 46 Review
Entanglement (The World Ends With You) Free:
Allows the user to create a chain between two designated points. Enemies hit by the chain (or who run into it) take damage and suffer Defense Break.
Ability</v>
      </c>
      <c r="D301" s="17" t="str">
        <f>IFERROR(__xludf.DUMMYFUNCTION("""COMPUTED_VALUE"""),"Chapter 59: 46 Review
Player Pin (The World Ends With You) Free:
Everyone gets a Player Pin for free, which lets them scan the surface thoughts of people in the RG. Protects against thought-reading.
Item")</f>
        <v>Chapter 59: 46 Review
Player Pin (The World Ends With You) Free:
Everyone gets a Player Pin for free, which lets them scan the surface thoughts of people in the RG. Protects against thought-reading.
Item</v>
      </c>
      <c r="E301" s="17" t="str">
        <f>IFERROR(__xludf.DUMMYFUNCTION("""COMPUTED_VALUE"""),"
")</f>
        <v>
</v>
      </c>
      <c r="F301" s="17" t="str">
        <f>IFERROR(__xludf.DUMMYFUNCTION("""COMPUTED_VALUE"""),"
")</f>
        <v>
</v>
      </c>
      <c r="G301" s="17" t="str">
        <f>IFERROR(__xludf.DUMMYFUNCTION("""COMPUTED_VALUE"""),"
")</f>
        <v>
</v>
      </c>
      <c r="H301" s="17" t="str">
        <f>IFERROR(__xludf.DUMMYFUNCTION("""COMPUTED_VALUE"""),"
")</f>
        <v>
</v>
      </c>
      <c r="I301" s="17" t="str">
        <f>IFERROR(__xludf.DUMMYFUNCTION("""COMPUTED_VALUE"""),"
")</f>
        <v>
</v>
      </c>
      <c r="J301" s="17" t="str">
        <f>IFERROR(__xludf.DUMMYFUNCTION("""COMPUTED_VALUE"""),"
")</f>
        <v>
</v>
      </c>
      <c r="K301" s="17" t="str">
        <f>IFERROR(__xludf.DUMMYFUNCTION("""COMPUTED_VALUE"""),"
")</f>
        <v>
</v>
      </c>
      <c r="L301" s="17" t="str">
        <f>IFERROR(__xludf.DUMMYFUNCTION("""COMPUTED_VALUE"""),"
")</f>
        <v>
</v>
      </c>
      <c r="M301" s="17" t="str">
        <f>IFERROR(__xludf.DUMMYFUNCTION("""COMPUTED_VALUE"""),"
")</f>
        <v>
</v>
      </c>
      <c r="N301" s="17" t="str">
        <f>IFERROR(__xludf.DUMMYFUNCTION("""COMPUTED_VALUE"""),"
")</f>
        <v>
</v>
      </c>
      <c r="O301" s="17" t="str">
        <f>IFERROR(__xludf.DUMMYFUNCTION("""COMPUTED_VALUE"""),"
")</f>
        <v>
</v>
      </c>
      <c r="P301" s="17" t="str">
        <f>IFERROR(__xludf.DUMMYFUNCTION("""COMPUTED_VALUE"""),"
")</f>
        <v>
</v>
      </c>
      <c r="Q301" s="17" t="str">
        <f>IFERROR(__xludf.DUMMYFUNCTION("""COMPUTED_VALUE"""),"
")</f>
        <v>
</v>
      </c>
      <c r="R301" s="17" t="str">
        <f>IFERROR(__xludf.DUMMYFUNCTION("""COMPUTED_VALUE"""),"
")</f>
        <v>
</v>
      </c>
      <c r="S301" s="17" t="str">
        <f>IFERROR(__xludf.DUMMYFUNCTION("""COMPUTED_VALUE"""),"
")</f>
        <v>
</v>
      </c>
      <c r="T301" s="17" t="str">
        <f>IFERROR(__xludf.DUMMYFUNCTION("""COMPUTED_VALUE"""),"
")</f>
        <v>
</v>
      </c>
      <c r="U301" s="17" t="str">
        <f>IFERROR(__xludf.DUMMYFUNCTION("""COMPUTED_VALUE"""),"
")</f>
        <v>
</v>
      </c>
      <c r="V301" s="17" t="str">
        <f>IFERROR(__xludf.DUMMYFUNCTION("""COMPUTED_VALUE"""),"
")</f>
        <v>
</v>
      </c>
      <c r="W301" s="17" t="str">
        <f>IFERROR(__xludf.DUMMYFUNCTION("""COMPUTED_VALUE"""),"
")</f>
        <v>
</v>
      </c>
      <c r="X301" s="17" t="str">
        <f>IFERROR(__xludf.DUMMYFUNCTION("""COMPUTED_VALUE"""),"
")</f>
        <v>
</v>
      </c>
      <c r="Y301" s="17" t="str">
        <f>IFERROR(__xludf.DUMMYFUNCTION("""COMPUTED_VALUE"""),"
")</f>
        <v>
</v>
      </c>
      <c r="Z301" s="17" t="str">
        <f>IFERROR(__xludf.DUMMYFUNCTION("""COMPUTED_VALUE"""),"
")</f>
        <v>
</v>
      </c>
      <c r="AA301" s="17" t="str">
        <f>IFERROR(__xludf.DUMMYFUNCTION("""COMPUTED_VALUE"""),"
")</f>
        <v>
</v>
      </c>
      <c r="AB301" s="17" t="str">
        <f>IFERROR(__xludf.DUMMYFUNCTION("""COMPUTED_VALUE"""),"
")</f>
        <v>
</v>
      </c>
      <c r="AC301" s="17" t="str">
        <f>IFERROR(__xludf.DUMMYFUNCTION("""COMPUTED_VALUE"""),"
")</f>
        <v>
</v>
      </c>
    </row>
    <row r="302">
      <c r="A302" s="17" t="str">
        <f>IFERROR(__xludf.DUMMYFUNCTION("""COMPUTED_VALUE"""),"Chapter 113: 82 Bargaining - Addendum Uppercrust
Craftsman of the Gods (Viking Saga) 600:
Things you make yourself from base components gain properties far beyond what they should. Belts that increase strength several times over or a spear that never miss"&amp;"es are well within your skill, and you will only get better.
System")</f>
        <v>Chapter 113: 82 Bargaining - Addendum Uppercrust
Craftsman of the Gods (Viking Saga) 600:
Things you make yourself from base components gain properties far beyond what they should. Belts that increase strength several times over or a spear that never misses are well within your skill, and you will only get better.
System</v>
      </c>
      <c r="B302" s="17" t="str">
        <f>IFERROR(__xludf.DUMMYFUNCTION("""COMPUTED_VALUE"""),"Chapter 113: 82 Bargaining - Addendum Uppercrust
Farming tool (Viking Saga) Free:
Hit ho’s with hos.
Item")</f>
        <v>Chapter 113: 82 Bargaining - Addendum Uppercrust
Farming tool (Viking Saga) Free:
Hit ho’s with hos.
Item</v>
      </c>
      <c r="C302" s="17" t="str">
        <f>IFERROR(__xludf.DUMMYFUNCTION("""COMPUTED_VALUE"""),"
")</f>
        <v>
</v>
      </c>
      <c r="D302" s="17" t="str">
        <f>IFERROR(__xludf.DUMMYFUNCTION("""COMPUTED_VALUE"""),"
")</f>
        <v>
</v>
      </c>
      <c r="E302" s="17" t="str">
        <f>IFERROR(__xludf.DUMMYFUNCTION("""COMPUTED_VALUE"""),"
")</f>
        <v>
</v>
      </c>
      <c r="F302" s="17" t="str">
        <f>IFERROR(__xludf.DUMMYFUNCTION("""COMPUTED_VALUE"""),"
")</f>
        <v>
</v>
      </c>
      <c r="G302" s="17" t="str">
        <f>IFERROR(__xludf.DUMMYFUNCTION("""COMPUTED_VALUE"""),"
")</f>
        <v>
</v>
      </c>
      <c r="H302" s="17" t="str">
        <f>IFERROR(__xludf.DUMMYFUNCTION("""COMPUTED_VALUE"""),"
")</f>
        <v>
</v>
      </c>
      <c r="I302" s="17" t="str">
        <f>IFERROR(__xludf.DUMMYFUNCTION("""COMPUTED_VALUE"""),"
")</f>
        <v>
</v>
      </c>
      <c r="J302" s="17" t="str">
        <f>IFERROR(__xludf.DUMMYFUNCTION("""COMPUTED_VALUE"""),"
")</f>
        <v>
</v>
      </c>
      <c r="K302" s="17" t="str">
        <f>IFERROR(__xludf.DUMMYFUNCTION("""COMPUTED_VALUE"""),"
")</f>
        <v>
</v>
      </c>
      <c r="L302" s="17" t="str">
        <f>IFERROR(__xludf.DUMMYFUNCTION("""COMPUTED_VALUE"""),"
")</f>
        <v>
</v>
      </c>
      <c r="M302" s="17" t="str">
        <f>IFERROR(__xludf.DUMMYFUNCTION("""COMPUTED_VALUE"""),"
")</f>
        <v>
</v>
      </c>
      <c r="N302" s="17" t="str">
        <f>IFERROR(__xludf.DUMMYFUNCTION("""COMPUTED_VALUE"""),"
")</f>
        <v>
</v>
      </c>
      <c r="O302" s="17" t="str">
        <f>IFERROR(__xludf.DUMMYFUNCTION("""COMPUTED_VALUE"""),"
")</f>
        <v>
</v>
      </c>
      <c r="P302" s="17" t="str">
        <f>IFERROR(__xludf.DUMMYFUNCTION("""COMPUTED_VALUE"""),"
")</f>
        <v>
</v>
      </c>
      <c r="Q302" s="17" t="str">
        <f>IFERROR(__xludf.DUMMYFUNCTION("""COMPUTED_VALUE"""),"
")</f>
        <v>
</v>
      </c>
      <c r="R302" s="17" t="str">
        <f>IFERROR(__xludf.DUMMYFUNCTION("""COMPUTED_VALUE"""),"
")</f>
        <v>
</v>
      </c>
      <c r="S302" s="17" t="str">
        <f>IFERROR(__xludf.DUMMYFUNCTION("""COMPUTED_VALUE"""),"
")</f>
        <v>
</v>
      </c>
      <c r="T302" s="17" t="str">
        <f>IFERROR(__xludf.DUMMYFUNCTION("""COMPUTED_VALUE"""),"
")</f>
        <v>
</v>
      </c>
      <c r="U302" s="17" t="str">
        <f>IFERROR(__xludf.DUMMYFUNCTION("""COMPUTED_VALUE"""),"
")</f>
        <v>
</v>
      </c>
      <c r="V302" s="17" t="str">
        <f>IFERROR(__xludf.DUMMYFUNCTION("""COMPUTED_VALUE"""),"
")</f>
        <v>
</v>
      </c>
      <c r="W302" s="17" t="str">
        <f>IFERROR(__xludf.DUMMYFUNCTION("""COMPUTED_VALUE"""),"
")</f>
        <v>
</v>
      </c>
      <c r="X302" s="17" t="str">
        <f>IFERROR(__xludf.DUMMYFUNCTION("""COMPUTED_VALUE"""),"
")</f>
        <v>
</v>
      </c>
      <c r="Y302" s="17" t="str">
        <f>IFERROR(__xludf.DUMMYFUNCTION("""COMPUTED_VALUE"""),"
")</f>
        <v>
</v>
      </c>
      <c r="Z302" s="17" t="str">
        <f>IFERROR(__xludf.DUMMYFUNCTION("""COMPUTED_VALUE"""),"
")</f>
        <v>
</v>
      </c>
      <c r="AA302" s="17" t="str">
        <f>IFERROR(__xludf.DUMMYFUNCTION("""COMPUTED_VALUE"""),"
")</f>
        <v>
</v>
      </c>
      <c r="AB302" s="17" t="str">
        <f>IFERROR(__xludf.DUMMYFUNCTION("""COMPUTED_VALUE"""),"
")</f>
        <v>
</v>
      </c>
      <c r="AC302" s="17" t="str">
        <f>IFERROR(__xludf.DUMMYFUNCTION("""COMPUTED_VALUE"""),"
")</f>
        <v>
</v>
      </c>
    </row>
    <row r="303">
      <c r="A303" s="17" t="str">
        <f>IFERROR(__xludf.DUMMYFUNCTION("""COMPUTED_VALUE"""),"")</f>
        <v/>
      </c>
      <c r="B303" s="17" t="str">
        <f>IFERROR(__xludf.DUMMYFUNCTION("""COMPUTED_VALUE"""),"")</f>
        <v/>
      </c>
      <c r="C303" s="17" t="str">
        <f>IFERROR(__xludf.DUMMYFUNCTION("""COMPUTED_VALUE"""),"")</f>
        <v/>
      </c>
      <c r="D303" s="17" t="str">
        <f>IFERROR(__xludf.DUMMYFUNCTION("""COMPUTED_VALUE"""),"")</f>
        <v/>
      </c>
      <c r="E303" s="17" t="str">
        <f>IFERROR(__xludf.DUMMYFUNCTION("""COMPUTED_VALUE"""),"")</f>
        <v/>
      </c>
      <c r="F303" s="17" t="str">
        <f>IFERROR(__xludf.DUMMYFUNCTION("""COMPUTED_VALUE"""),"")</f>
        <v/>
      </c>
      <c r="G303" s="17" t="str">
        <f>IFERROR(__xludf.DUMMYFUNCTION("""COMPUTED_VALUE"""),"")</f>
        <v/>
      </c>
      <c r="H303" s="17" t="str">
        <f>IFERROR(__xludf.DUMMYFUNCTION("""COMPUTED_VALUE"""),"")</f>
        <v/>
      </c>
      <c r="I303" s="17" t="str">
        <f>IFERROR(__xludf.DUMMYFUNCTION("""COMPUTED_VALUE"""),"")</f>
        <v/>
      </c>
      <c r="J303" s="17" t="str">
        <f>IFERROR(__xludf.DUMMYFUNCTION("""COMPUTED_VALUE"""),"")</f>
        <v/>
      </c>
      <c r="K303" s="17" t="str">
        <f>IFERROR(__xludf.DUMMYFUNCTION("""COMPUTED_VALUE"""),"")</f>
        <v/>
      </c>
      <c r="L303" s="17" t="str">
        <f>IFERROR(__xludf.DUMMYFUNCTION("""COMPUTED_VALUE"""),"")</f>
        <v/>
      </c>
      <c r="M303" s="17" t="str">
        <f>IFERROR(__xludf.DUMMYFUNCTION("""COMPUTED_VALUE"""),"")</f>
        <v/>
      </c>
      <c r="N303" s="17" t="str">
        <f>IFERROR(__xludf.DUMMYFUNCTION("""COMPUTED_VALUE"""),"")</f>
        <v/>
      </c>
      <c r="O303" s="17" t="str">
        <f>IFERROR(__xludf.DUMMYFUNCTION("""COMPUTED_VALUE"""),"")</f>
        <v/>
      </c>
      <c r="P303" s="17" t="str">
        <f>IFERROR(__xludf.DUMMYFUNCTION("""COMPUTED_VALUE"""),"")</f>
        <v/>
      </c>
      <c r="Q303" s="17" t="str">
        <f>IFERROR(__xludf.DUMMYFUNCTION("""COMPUTED_VALUE"""),"")</f>
        <v/>
      </c>
      <c r="R303" s="17" t="str">
        <f>IFERROR(__xludf.DUMMYFUNCTION("""COMPUTED_VALUE"""),"")</f>
        <v/>
      </c>
      <c r="S303" s="17" t="str">
        <f>IFERROR(__xludf.DUMMYFUNCTION("""COMPUTED_VALUE"""),"")</f>
        <v/>
      </c>
      <c r="T303" s="17" t="str">
        <f>IFERROR(__xludf.DUMMYFUNCTION("""COMPUTED_VALUE"""),"")</f>
        <v/>
      </c>
      <c r="U303" s="17" t="str">
        <f>IFERROR(__xludf.DUMMYFUNCTION("""COMPUTED_VALUE"""),"")</f>
        <v/>
      </c>
      <c r="V303" s="17" t="str">
        <f>IFERROR(__xludf.DUMMYFUNCTION("""COMPUTED_VALUE"""),"")</f>
        <v/>
      </c>
      <c r="W303" s="17" t="str">
        <f>IFERROR(__xludf.DUMMYFUNCTION("""COMPUTED_VALUE"""),"")</f>
        <v/>
      </c>
      <c r="X303" s="17" t="str">
        <f>IFERROR(__xludf.DUMMYFUNCTION("""COMPUTED_VALUE"""),"")</f>
        <v/>
      </c>
      <c r="Y303" s="17" t="str">
        <f>IFERROR(__xludf.DUMMYFUNCTION("""COMPUTED_VALUE"""),"")</f>
        <v/>
      </c>
      <c r="Z303" s="17" t="str">
        <f>IFERROR(__xludf.DUMMYFUNCTION("""COMPUTED_VALUE"""),"")</f>
        <v/>
      </c>
      <c r="AA303" s="17" t="str">
        <f>IFERROR(__xludf.DUMMYFUNCTION("""COMPUTED_VALUE"""),"")</f>
        <v/>
      </c>
      <c r="AB303" s="17" t="str">
        <f>IFERROR(__xludf.DUMMYFUNCTION("""COMPUTED_VALUE"""),"")</f>
        <v/>
      </c>
      <c r="AC303" s="17" t="str">
        <f>IFERROR(__xludf.DUMMYFUNCTION("""COMPUTED_VALUE"""),"")</f>
        <v/>
      </c>
    </row>
    <row r="304">
      <c r="A304" s="17" t="str">
        <f>IFERROR(__xludf.DUMMYFUNCTION("""COMPUTED_VALUE"""),"")</f>
        <v/>
      </c>
      <c r="B304" s="17" t="str">
        <f>IFERROR(__xludf.DUMMYFUNCTION("""COMPUTED_VALUE"""),"")</f>
        <v/>
      </c>
      <c r="C304" s="17" t="str">
        <f>IFERROR(__xludf.DUMMYFUNCTION("""COMPUTED_VALUE"""),"")</f>
        <v/>
      </c>
      <c r="D304" s="17" t="str">
        <f>IFERROR(__xludf.DUMMYFUNCTION("""COMPUTED_VALUE"""),"")</f>
        <v/>
      </c>
      <c r="E304" s="17" t="str">
        <f>IFERROR(__xludf.DUMMYFUNCTION("""COMPUTED_VALUE"""),"")</f>
        <v/>
      </c>
      <c r="F304" s="17" t="str">
        <f>IFERROR(__xludf.DUMMYFUNCTION("""COMPUTED_VALUE"""),"")</f>
        <v/>
      </c>
      <c r="G304" s="17" t="str">
        <f>IFERROR(__xludf.DUMMYFUNCTION("""COMPUTED_VALUE"""),"")</f>
        <v/>
      </c>
      <c r="H304" s="17" t="str">
        <f>IFERROR(__xludf.DUMMYFUNCTION("""COMPUTED_VALUE"""),"")</f>
        <v/>
      </c>
      <c r="I304" s="17" t="str">
        <f>IFERROR(__xludf.DUMMYFUNCTION("""COMPUTED_VALUE"""),"")</f>
        <v/>
      </c>
      <c r="J304" s="17" t="str">
        <f>IFERROR(__xludf.DUMMYFUNCTION("""COMPUTED_VALUE"""),"")</f>
        <v/>
      </c>
      <c r="K304" s="17" t="str">
        <f>IFERROR(__xludf.DUMMYFUNCTION("""COMPUTED_VALUE"""),"")</f>
        <v/>
      </c>
      <c r="L304" s="17" t="str">
        <f>IFERROR(__xludf.DUMMYFUNCTION("""COMPUTED_VALUE"""),"")</f>
        <v/>
      </c>
      <c r="M304" s="17" t="str">
        <f>IFERROR(__xludf.DUMMYFUNCTION("""COMPUTED_VALUE"""),"")</f>
        <v/>
      </c>
      <c r="N304" s="17" t="str">
        <f>IFERROR(__xludf.DUMMYFUNCTION("""COMPUTED_VALUE"""),"")</f>
        <v/>
      </c>
      <c r="O304" s="17" t="str">
        <f>IFERROR(__xludf.DUMMYFUNCTION("""COMPUTED_VALUE"""),"")</f>
        <v/>
      </c>
      <c r="P304" s="17" t="str">
        <f>IFERROR(__xludf.DUMMYFUNCTION("""COMPUTED_VALUE"""),"")</f>
        <v/>
      </c>
      <c r="Q304" s="17" t="str">
        <f>IFERROR(__xludf.DUMMYFUNCTION("""COMPUTED_VALUE"""),"")</f>
        <v/>
      </c>
      <c r="R304" s="17" t="str">
        <f>IFERROR(__xludf.DUMMYFUNCTION("""COMPUTED_VALUE"""),"")</f>
        <v/>
      </c>
      <c r="S304" s="17" t="str">
        <f>IFERROR(__xludf.DUMMYFUNCTION("""COMPUTED_VALUE"""),"")</f>
        <v/>
      </c>
      <c r="T304" s="17" t="str">
        <f>IFERROR(__xludf.DUMMYFUNCTION("""COMPUTED_VALUE"""),"")</f>
        <v/>
      </c>
      <c r="U304" s="17" t="str">
        <f>IFERROR(__xludf.DUMMYFUNCTION("""COMPUTED_VALUE"""),"")</f>
        <v/>
      </c>
      <c r="V304" s="17" t="str">
        <f>IFERROR(__xludf.DUMMYFUNCTION("""COMPUTED_VALUE"""),"")</f>
        <v/>
      </c>
      <c r="W304" s="17" t="str">
        <f>IFERROR(__xludf.DUMMYFUNCTION("""COMPUTED_VALUE"""),"")</f>
        <v/>
      </c>
      <c r="X304" s="17" t="str">
        <f>IFERROR(__xludf.DUMMYFUNCTION("""COMPUTED_VALUE"""),"")</f>
        <v/>
      </c>
      <c r="Y304" s="17" t="str">
        <f>IFERROR(__xludf.DUMMYFUNCTION("""COMPUTED_VALUE"""),"")</f>
        <v/>
      </c>
      <c r="Z304" s="17" t="str">
        <f>IFERROR(__xludf.DUMMYFUNCTION("""COMPUTED_VALUE"""),"")</f>
        <v/>
      </c>
      <c r="AA304" s="17" t="str">
        <f>IFERROR(__xludf.DUMMYFUNCTION("""COMPUTED_VALUE"""),"")</f>
        <v/>
      </c>
      <c r="AB304" s="17" t="str">
        <f>IFERROR(__xludf.DUMMYFUNCTION("""COMPUTED_VALUE"""),"")</f>
        <v/>
      </c>
      <c r="AC304" s="17" t="str">
        <f>IFERROR(__xludf.DUMMYFUNCTION("""COMPUTED_VALUE"""),"")</f>
        <v/>
      </c>
    </row>
    <row r="305">
      <c r="A305" s="17" t="str">
        <f>IFERROR(__xludf.DUMMYFUNCTION("""COMPUTED_VALUE"""),"")</f>
        <v/>
      </c>
      <c r="B305" s="17" t="str">
        <f>IFERROR(__xludf.DUMMYFUNCTION("""COMPUTED_VALUE"""),"")</f>
        <v/>
      </c>
      <c r="C305" s="17" t="str">
        <f>IFERROR(__xludf.DUMMYFUNCTION("""COMPUTED_VALUE"""),"")</f>
        <v/>
      </c>
      <c r="D305" s="17" t="str">
        <f>IFERROR(__xludf.DUMMYFUNCTION("""COMPUTED_VALUE"""),"")</f>
        <v/>
      </c>
      <c r="E305" s="17" t="str">
        <f>IFERROR(__xludf.DUMMYFUNCTION("""COMPUTED_VALUE"""),"")</f>
        <v/>
      </c>
      <c r="F305" s="17" t="str">
        <f>IFERROR(__xludf.DUMMYFUNCTION("""COMPUTED_VALUE"""),"")</f>
        <v/>
      </c>
      <c r="G305" s="17" t="str">
        <f>IFERROR(__xludf.DUMMYFUNCTION("""COMPUTED_VALUE"""),"")</f>
        <v/>
      </c>
      <c r="H305" s="17" t="str">
        <f>IFERROR(__xludf.DUMMYFUNCTION("""COMPUTED_VALUE"""),"")</f>
        <v/>
      </c>
      <c r="I305" s="17" t="str">
        <f>IFERROR(__xludf.DUMMYFUNCTION("""COMPUTED_VALUE"""),"")</f>
        <v/>
      </c>
      <c r="J305" s="17" t="str">
        <f>IFERROR(__xludf.DUMMYFUNCTION("""COMPUTED_VALUE"""),"")</f>
        <v/>
      </c>
      <c r="K305" s="17" t="str">
        <f>IFERROR(__xludf.DUMMYFUNCTION("""COMPUTED_VALUE"""),"")</f>
        <v/>
      </c>
      <c r="L305" s="17" t="str">
        <f>IFERROR(__xludf.DUMMYFUNCTION("""COMPUTED_VALUE"""),"")</f>
        <v/>
      </c>
      <c r="M305" s="17" t="str">
        <f>IFERROR(__xludf.DUMMYFUNCTION("""COMPUTED_VALUE"""),"")</f>
        <v/>
      </c>
      <c r="N305" s="17" t="str">
        <f>IFERROR(__xludf.DUMMYFUNCTION("""COMPUTED_VALUE"""),"")</f>
        <v/>
      </c>
      <c r="O305" s="17" t="str">
        <f>IFERROR(__xludf.DUMMYFUNCTION("""COMPUTED_VALUE"""),"")</f>
        <v/>
      </c>
      <c r="P305" s="17" t="str">
        <f>IFERROR(__xludf.DUMMYFUNCTION("""COMPUTED_VALUE"""),"")</f>
        <v/>
      </c>
      <c r="Q305" s="17" t="str">
        <f>IFERROR(__xludf.DUMMYFUNCTION("""COMPUTED_VALUE"""),"")</f>
        <v/>
      </c>
      <c r="R305" s="17" t="str">
        <f>IFERROR(__xludf.DUMMYFUNCTION("""COMPUTED_VALUE"""),"")</f>
        <v/>
      </c>
      <c r="S305" s="17" t="str">
        <f>IFERROR(__xludf.DUMMYFUNCTION("""COMPUTED_VALUE"""),"")</f>
        <v/>
      </c>
      <c r="T305" s="17" t="str">
        <f>IFERROR(__xludf.DUMMYFUNCTION("""COMPUTED_VALUE"""),"")</f>
        <v/>
      </c>
      <c r="U305" s="17" t="str">
        <f>IFERROR(__xludf.DUMMYFUNCTION("""COMPUTED_VALUE"""),"")</f>
        <v/>
      </c>
      <c r="V305" s="17" t="str">
        <f>IFERROR(__xludf.DUMMYFUNCTION("""COMPUTED_VALUE"""),"")</f>
        <v/>
      </c>
      <c r="W305" s="17" t="str">
        <f>IFERROR(__xludf.DUMMYFUNCTION("""COMPUTED_VALUE"""),"")</f>
        <v/>
      </c>
      <c r="X305" s="17" t="str">
        <f>IFERROR(__xludf.DUMMYFUNCTION("""COMPUTED_VALUE"""),"")</f>
        <v/>
      </c>
      <c r="Y305" s="17" t="str">
        <f>IFERROR(__xludf.DUMMYFUNCTION("""COMPUTED_VALUE"""),"")</f>
        <v/>
      </c>
      <c r="Z305" s="17" t="str">
        <f>IFERROR(__xludf.DUMMYFUNCTION("""COMPUTED_VALUE"""),"")</f>
        <v/>
      </c>
      <c r="AA305" s="17" t="str">
        <f>IFERROR(__xludf.DUMMYFUNCTION("""COMPUTED_VALUE"""),"")</f>
        <v/>
      </c>
      <c r="AB305" s="17" t="str">
        <f>IFERROR(__xludf.DUMMYFUNCTION("""COMPUTED_VALUE"""),"")</f>
        <v/>
      </c>
      <c r="AC305" s="17" t="str">
        <f>IFERROR(__xludf.DUMMYFUNCTION("""COMPUTED_VALUE"""),"")</f>
        <v/>
      </c>
    </row>
    <row r="306">
      <c r="A306" s="17" t="str">
        <f>IFERROR(__xludf.DUMMYFUNCTION("""COMPUTED_VALUE"""),"Chapter 09: 7 Accessory
Built to Last (Assassin's Creed) 300:
Whatever you personally build, be it handheld or architectural, becomes nigh-impervious to weather, rust and time. If it gets lost or buried, you can 'feel' it out too!
Fiat, Ability")</f>
        <v>Chapter 09: 7 Accessory
Built to Last (Assassin's Creed) 300:
Whatever you personally build, be it handheld or architectural, becomes nigh-impervious to weather, rust and time. If it gets lost or buried, you can 'feel' it out too!
Fiat, Ability</v>
      </c>
      <c r="B306" s="17" t="str">
        <f>IFERROR(__xludf.DUMMYFUNCTION("""COMPUTED_VALUE"""),"
")</f>
        <v>
</v>
      </c>
      <c r="C306" s="17" t="str">
        <f>IFERROR(__xludf.DUMMYFUNCTION("""COMPUTED_VALUE"""),"
")</f>
        <v>
</v>
      </c>
      <c r="D306" s="17" t="str">
        <f>IFERROR(__xludf.DUMMYFUNCTION("""COMPUTED_VALUE"""),"
")</f>
        <v>
</v>
      </c>
      <c r="E306" s="17" t="str">
        <f>IFERROR(__xludf.DUMMYFUNCTION("""COMPUTED_VALUE"""),"
")</f>
        <v>
</v>
      </c>
      <c r="F306" s="17" t="str">
        <f>IFERROR(__xludf.DUMMYFUNCTION("""COMPUTED_VALUE"""),"
")</f>
        <v>
</v>
      </c>
      <c r="G306" s="17" t="str">
        <f>IFERROR(__xludf.DUMMYFUNCTION("""COMPUTED_VALUE"""),"
")</f>
        <v>
</v>
      </c>
      <c r="H306" s="17" t="str">
        <f>IFERROR(__xludf.DUMMYFUNCTION("""COMPUTED_VALUE"""),"
")</f>
        <v>
</v>
      </c>
      <c r="I306" s="17" t="str">
        <f>IFERROR(__xludf.DUMMYFUNCTION("""COMPUTED_VALUE"""),"
")</f>
        <v>
</v>
      </c>
      <c r="J306" s="17" t="str">
        <f>IFERROR(__xludf.DUMMYFUNCTION("""COMPUTED_VALUE"""),"
")</f>
        <v>
</v>
      </c>
      <c r="K306" s="17" t="str">
        <f>IFERROR(__xludf.DUMMYFUNCTION("""COMPUTED_VALUE"""),"
")</f>
        <v>
</v>
      </c>
      <c r="L306" s="17" t="str">
        <f>IFERROR(__xludf.DUMMYFUNCTION("""COMPUTED_VALUE"""),"
")</f>
        <v>
</v>
      </c>
      <c r="M306" s="17" t="str">
        <f>IFERROR(__xludf.DUMMYFUNCTION("""COMPUTED_VALUE"""),"
")</f>
        <v>
</v>
      </c>
      <c r="N306" s="17" t="str">
        <f>IFERROR(__xludf.DUMMYFUNCTION("""COMPUTED_VALUE"""),"
")</f>
        <v>
</v>
      </c>
      <c r="O306" s="17" t="str">
        <f>IFERROR(__xludf.DUMMYFUNCTION("""COMPUTED_VALUE"""),"
")</f>
        <v>
</v>
      </c>
      <c r="P306" s="17" t="str">
        <f>IFERROR(__xludf.DUMMYFUNCTION("""COMPUTED_VALUE"""),"
")</f>
        <v>
</v>
      </c>
      <c r="Q306" s="17" t="str">
        <f>IFERROR(__xludf.DUMMYFUNCTION("""COMPUTED_VALUE"""),"
")</f>
        <v>
</v>
      </c>
      <c r="R306" s="17" t="str">
        <f>IFERROR(__xludf.DUMMYFUNCTION("""COMPUTED_VALUE"""),"
")</f>
        <v>
</v>
      </c>
      <c r="S306" s="17" t="str">
        <f>IFERROR(__xludf.DUMMYFUNCTION("""COMPUTED_VALUE"""),"
")</f>
        <v>
</v>
      </c>
      <c r="T306" s="17" t="str">
        <f>IFERROR(__xludf.DUMMYFUNCTION("""COMPUTED_VALUE"""),"
")</f>
        <v>
</v>
      </c>
      <c r="U306" s="17" t="str">
        <f>IFERROR(__xludf.DUMMYFUNCTION("""COMPUTED_VALUE"""),"
")</f>
        <v>
</v>
      </c>
      <c r="V306" s="17" t="str">
        <f>IFERROR(__xludf.DUMMYFUNCTION("""COMPUTED_VALUE"""),"
")</f>
        <v>
</v>
      </c>
      <c r="W306" s="17" t="str">
        <f>IFERROR(__xludf.DUMMYFUNCTION("""COMPUTED_VALUE"""),"
")</f>
        <v>
</v>
      </c>
      <c r="X306" s="17" t="str">
        <f>IFERROR(__xludf.DUMMYFUNCTION("""COMPUTED_VALUE"""),"
")</f>
        <v>
</v>
      </c>
      <c r="Y306" s="17" t="str">
        <f>IFERROR(__xludf.DUMMYFUNCTION("""COMPUTED_VALUE"""),"
")</f>
        <v>
</v>
      </c>
      <c r="Z306" s="17" t="str">
        <f>IFERROR(__xludf.DUMMYFUNCTION("""COMPUTED_VALUE"""),"
")</f>
        <v>
</v>
      </c>
      <c r="AA306" s="17" t="str">
        <f>IFERROR(__xludf.DUMMYFUNCTION("""COMPUTED_VALUE"""),"
")</f>
        <v>
</v>
      </c>
      <c r="AB306" s="17" t="str">
        <f>IFERROR(__xludf.DUMMYFUNCTION("""COMPUTED_VALUE"""),"
")</f>
        <v>
</v>
      </c>
      <c r="AC306" s="17" t="str">
        <f>IFERROR(__xludf.DUMMYFUNCTION("""COMPUTED_VALUE"""),"
")</f>
        <v>
</v>
      </c>
    </row>
    <row r="307">
      <c r="A307" s="17" t="str">
        <f>IFERROR(__xludf.DUMMYFUNCTION("""COMPUTED_VALUE"""),"Chapter 63: 48 Uptime
Salvager (Babylon 5) 300:
When the ore runs out and the company tells the miners to leave, that's where you really shine. It's cheaper to leave gear to rot in an abandoned site than it is to get it into orbit, across the galaxy and s"&amp;"et up again so there's always something good just waiting for a new owner. With this skill you are an expert at jury rigging tech, taking it apart, stripping out the usable parts and putting them into something else. With time and effort, you can puzzle o"&amp;"ut the workings of most technologies and how to integrate them into your own gear. Every day or industrial equipment might take a few moments, but bleeding edge gear will take years, even decades to understand.
Analysis")</f>
        <v>Chapter 63: 48 Uptime
Salvager (Babylon 5) 300:
When the ore runs out and the company tells the miners to leave, that's where you really shine. It's cheaper to leave gear to rot in an abandoned site than it is to get it into orbit, across the galaxy and set up again so there's always something good just waiting for a new owner. With this skill you are an expert at jury rigging tech, taking it apart, stripping out the usable parts and putting them into something else. With time and effort, you can puzzle out the workings of most technologies and how to integrate them into your own gear. Every day or industrial equipment might take a few moments, but bleeding edge gear will take years, even decades to understand.
Analysis</v>
      </c>
      <c r="B307" s="17" t="str">
        <f>IFERROR(__xludf.DUMMYFUNCTION("""COMPUTED_VALUE"""),"
")</f>
        <v>
</v>
      </c>
      <c r="C307" s="17" t="str">
        <f>IFERROR(__xludf.DUMMYFUNCTION("""COMPUTED_VALUE"""),"
")</f>
        <v>
</v>
      </c>
      <c r="D307" s="17" t="str">
        <f>IFERROR(__xludf.DUMMYFUNCTION("""COMPUTED_VALUE"""),"
")</f>
        <v>
</v>
      </c>
      <c r="E307" s="17" t="str">
        <f>IFERROR(__xludf.DUMMYFUNCTION("""COMPUTED_VALUE"""),"
")</f>
        <v>
</v>
      </c>
      <c r="F307" s="17" t="str">
        <f>IFERROR(__xludf.DUMMYFUNCTION("""COMPUTED_VALUE"""),"
")</f>
        <v>
</v>
      </c>
      <c r="G307" s="17" t="str">
        <f>IFERROR(__xludf.DUMMYFUNCTION("""COMPUTED_VALUE"""),"
")</f>
        <v>
</v>
      </c>
      <c r="H307" s="17" t="str">
        <f>IFERROR(__xludf.DUMMYFUNCTION("""COMPUTED_VALUE"""),"
")</f>
        <v>
</v>
      </c>
      <c r="I307" s="17" t="str">
        <f>IFERROR(__xludf.DUMMYFUNCTION("""COMPUTED_VALUE"""),"
")</f>
        <v>
</v>
      </c>
      <c r="J307" s="17" t="str">
        <f>IFERROR(__xludf.DUMMYFUNCTION("""COMPUTED_VALUE"""),"
")</f>
        <v>
</v>
      </c>
      <c r="K307" s="17" t="str">
        <f>IFERROR(__xludf.DUMMYFUNCTION("""COMPUTED_VALUE"""),"
")</f>
        <v>
</v>
      </c>
      <c r="L307" s="17" t="str">
        <f>IFERROR(__xludf.DUMMYFUNCTION("""COMPUTED_VALUE"""),"
")</f>
        <v>
</v>
      </c>
      <c r="M307" s="17" t="str">
        <f>IFERROR(__xludf.DUMMYFUNCTION("""COMPUTED_VALUE"""),"
")</f>
        <v>
</v>
      </c>
      <c r="N307" s="17" t="str">
        <f>IFERROR(__xludf.DUMMYFUNCTION("""COMPUTED_VALUE"""),"
")</f>
        <v>
</v>
      </c>
      <c r="O307" s="17" t="str">
        <f>IFERROR(__xludf.DUMMYFUNCTION("""COMPUTED_VALUE"""),"
")</f>
        <v>
</v>
      </c>
      <c r="P307" s="17" t="str">
        <f>IFERROR(__xludf.DUMMYFUNCTION("""COMPUTED_VALUE"""),"
")</f>
        <v>
</v>
      </c>
      <c r="Q307" s="17" t="str">
        <f>IFERROR(__xludf.DUMMYFUNCTION("""COMPUTED_VALUE"""),"
")</f>
        <v>
</v>
      </c>
      <c r="R307" s="17" t="str">
        <f>IFERROR(__xludf.DUMMYFUNCTION("""COMPUTED_VALUE"""),"
")</f>
        <v>
</v>
      </c>
      <c r="S307" s="17" t="str">
        <f>IFERROR(__xludf.DUMMYFUNCTION("""COMPUTED_VALUE"""),"
")</f>
        <v>
</v>
      </c>
      <c r="T307" s="17" t="str">
        <f>IFERROR(__xludf.DUMMYFUNCTION("""COMPUTED_VALUE"""),"
")</f>
        <v>
</v>
      </c>
      <c r="U307" s="17" t="str">
        <f>IFERROR(__xludf.DUMMYFUNCTION("""COMPUTED_VALUE"""),"
")</f>
        <v>
</v>
      </c>
      <c r="V307" s="17" t="str">
        <f>IFERROR(__xludf.DUMMYFUNCTION("""COMPUTED_VALUE"""),"
")</f>
        <v>
</v>
      </c>
      <c r="W307" s="17" t="str">
        <f>IFERROR(__xludf.DUMMYFUNCTION("""COMPUTED_VALUE"""),"
")</f>
        <v>
</v>
      </c>
      <c r="X307" s="17" t="str">
        <f>IFERROR(__xludf.DUMMYFUNCTION("""COMPUTED_VALUE"""),"
")</f>
        <v>
</v>
      </c>
      <c r="Y307" s="17" t="str">
        <f>IFERROR(__xludf.DUMMYFUNCTION("""COMPUTED_VALUE"""),"
")</f>
        <v>
</v>
      </c>
      <c r="Z307" s="17" t="str">
        <f>IFERROR(__xludf.DUMMYFUNCTION("""COMPUTED_VALUE"""),"
")</f>
        <v>
</v>
      </c>
      <c r="AA307" s="17" t="str">
        <f>IFERROR(__xludf.DUMMYFUNCTION("""COMPUTED_VALUE"""),"
")</f>
        <v>
</v>
      </c>
      <c r="AB307" s="17" t="str">
        <f>IFERROR(__xludf.DUMMYFUNCTION("""COMPUTED_VALUE"""),"
")</f>
        <v>
</v>
      </c>
      <c r="AC307" s="17" t="str">
        <f>IFERROR(__xludf.DUMMYFUNCTION("""COMPUTED_VALUE"""),"
")</f>
        <v>
</v>
      </c>
    </row>
    <row r="308">
      <c r="A308" s="17" t="str">
        <f>IFERROR(__xludf.DUMMYFUNCTION("""COMPUTED_VALUE"""),"Chapter 23: 18 Regroup
Element Analysis (Bomberman 64: The Second Attack) 100:
With a little elbow grease, you can easily identify the elemental composition of ANY material and with the right resources, break it down to its base elements for further use.
"&amp;"Analysis")</f>
        <v>Chapter 23: 18 Regroup
Element Analysis (Bomberman 64: The Second Attack) 100:
With a little elbow grease, you can easily identify the elemental composition of ANY material and with the right resources, break it down to its base elements for further use.
Analysis</v>
      </c>
      <c r="B308" s="17" t="str">
        <f>IFERROR(__xludf.DUMMYFUNCTION("""COMPUTED_VALUE"""),"
")</f>
        <v>
</v>
      </c>
      <c r="C308" s="17" t="str">
        <f>IFERROR(__xludf.DUMMYFUNCTION("""COMPUTED_VALUE"""),"
")</f>
        <v>
</v>
      </c>
      <c r="D308" s="17" t="str">
        <f>IFERROR(__xludf.DUMMYFUNCTION("""COMPUTED_VALUE"""),"
")</f>
        <v>
</v>
      </c>
      <c r="E308" s="17" t="str">
        <f>IFERROR(__xludf.DUMMYFUNCTION("""COMPUTED_VALUE"""),"
")</f>
        <v>
</v>
      </c>
      <c r="F308" s="17" t="str">
        <f>IFERROR(__xludf.DUMMYFUNCTION("""COMPUTED_VALUE"""),"
")</f>
        <v>
</v>
      </c>
      <c r="G308" s="17" t="str">
        <f>IFERROR(__xludf.DUMMYFUNCTION("""COMPUTED_VALUE"""),"
")</f>
        <v>
</v>
      </c>
      <c r="H308" s="17" t="str">
        <f>IFERROR(__xludf.DUMMYFUNCTION("""COMPUTED_VALUE"""),"
")</f>
        <v>
</v>
      </c>
      <c r="I308" s="17" t="str">
        <f>IFERROR(__xludf.DUMMYFUNCTION("""COMPUTED_VALUE"""),"
")</f>
        <v>
</v>
      </c>
      <c r="J308" s="17" t="str">
        <f>IFERROR(__xludf.DUMMYFUNCTION("""COMPUTED_VALUE"""),"
")</f>
        <v>
</v>
      </c>
      <c r="K308" s="17" t="str">
        <f>IFERROR(__xludf.DUMMYFUNCTION("""COMPUTED_VALUE"""),"
")</f>
        <v>
</v>
      </c>
      <c r="L308" s="17" t="str">
        <f>IFERROR(__xludf.DUMMYFUNCTION("""COMPUTED_VALUE"""),"
")</f>
        <v>
</v>
      </c>
      <c r="M308" s="17" t="str">
        <f>IFERROR(__xludf.DUMMYFUNCTION("""COMPUTED_VALUE"""),"
")</f>
        <v>
</v>
      </c>
      <c r="N308" s="17" t="str">
        <f>IFERROR(__xludf.DUMMYFUNCTION("""COMPUTED_VALUE"""),"
")</f>
        <v>
</v>
      </c>
      <c r="O308" s="17" t="str">
        <f>IFERROR(__xludf.DUMMYFUNCTION("""COMPUTED_VALUE"""),"
")</f>
        <v>
</v>
      </c>
      <c r="P308" s="17" t="str">
        <f>IFERROR(__xludf.DUMMYFUNCTION("""COMPUTED_VALUE"""),"
")</f>
        <v>
</v>
      </c>
      <c r="Q308" s="17" t="str">
        <f>IFERROR(__xludf.DUMMYFUNCTION("""COMPUTED_VALUE"""),"
")</f>
        <v>
</v>
      </c>
      <c r="R308" s="17" t="str">
        <f>IFERROR(__xludf.DUMMYFUNCTION("""COMPUTED_VALUE"""),"
")</f>
        <v>
</v>
      </c>
      <c r="S308" s="17" t="str">
        <f>IFERROR(__xludf.DUMMYFUNCTION("""COMPUTED_VALUE"""),"
")</f>
        <v>
</v>
      </c>
      <c r="T308" s="17" t="str">
        <f>IFERROR(__xludf.DUMMYFUNCTION("""COMPUTED_VALUE"""),"
")</f>
        <v>
</v>
      </c>
      <c r="U308" s="17" t="str">
        <f>IFERROR(__xludf.DUMMYFUNCTION("""COMPUTED_VALUE"""),"
")</f>
        <v>
</v>
      </c>
      <c r="V308" s="17" t="str">
        <f>IFERROR(__xludf.DUMMYFUNCTION("""COMPUTED_VALUE"""),"
")</f>
        <v>
</v>
      </c>
      <c r="W308" s="17" t="str">
        <f>IFERROR(__xludf.DUMMYFUNCTION("""COMPUTED_VALUE"""),"
")</f>
        <v>
</v>
      </c>
      <c r="X308" s="17" t="str">
        <f>IFERROR(__xludf.DUMMYFUNCTION("""COMPUTED_VALUE"""),"
")</f>
        <v>
</v>
      </c>
      <c r="Y308" s="17" t="str">
        <f>IFERROR(__xludf.DUMMYFUNCTION("""COMPUTED_VALUE"""),"
")</f>
        <v>
</v>
      </c>
      <c r="Z308" s="17" t="str">
        <f>IFERROR(__xludf.DUMMYFUNCTION("""COMPUTED_VALUE"""),"
")</f>
        <v>
</v>
      </c>
      <c r="AA308" s="17" t="str">
        <f>IFERROR(__xludf.DUMMYFUNCTION("""COMPUTED_VALUE"""),"
")</f>
        <v>
</v>
      </c>
      <c r="AB308" s="17" t="str">
        <f>IFERROR(__xludf.DUMMYFUNCTION("""COMPUTED_VALUE"""),"
")</f>
        <v>
</v>
      </c>
      <c r="AC308" s="17" t="str">
        <f>IFERROR(__xludf.DUMMYFUNCTION("""COMPUTED_VALUE"""),"
")</f>
        <v>
</v>
      </c>
    </row>
    <row r="309">
      <c r="A309" s="17" t="str">
        <f>IFERROR(__xludf.DUMMYFUNCTION("""COMPUTED_VALUE"""),"Chapter 46: 39 Set Up - Addendum Kenta
Mauler (Command and Conquer: Tiberium Wars) 400:
You have the skills of a junkyard hound, able to make even the most heavily damaged tech work again. Even machines too battle-damaged for recovery 20 years ago can be "&amp;"effective under your wrench. Repurposing tech and equipment is your forte; you can turn a pneumatic screwdriver into a reasonable cannon, and heaven help your enemies if you get anywhere near mining equipment, as a powerarmored mutant is quickly appearing"&amp;" in their future. There was even one time where you made a toaster into a reasonable facsimile of a flamethrower…..
Analysis")</f>
        <v>Chapter 46: 39 Set Up - Addendum Kenta
Mauler (Command and Conquer: Tiberium Wars) 400:
You have the skills of a junkyard hound, able to make even the most heavily damaged tech work again. Even machines too battle-damaged for recovery 20 years ago can be effective under your wrench. Repurposing tech and equipment is your forte; you can turn a pneumatic screwdriver into a reasonable cannon, and heaven help your enemies if you get anywhere near mining equipment, as a powerarmored mutant is quickly appearing in their future. There was even one time where you made a toaster into a reasonable facsimile of a flamethrower…..
Analysis</v>
      </c>
      <c r="B309" s="17" t="str">
        <f>IFERROR(__xludf.DUMMYFUNCTION("""COMPUTED_VALUE"""),"
")</f>
        <v>
</v>
      </c>
      <c r="C309" s="17" t="str">
        <f>IFERROR(__xludf.DUMMYFUNCTION("""COMPUTED_VALUE"""),"
")</f>
        <v>
</v>
      </c>
      <c r="D309" s="17" t="str">
        <f>IFERROR(__xludf.DUMMYFUNCTION("""COMPUTED_VALUE"""),"
")</f>
        <v>
</v>
      </c>
      <c r="E309" s="17" t="str">
        <f>IFERROR(__xludf.DUMMYFUNCTION("""COMPUTED_VALUE"""),"
")</f>
        <v>
</v>
      </c>
      <c r="F309" s="17" t="str">
        <f>IFERROR(__xludf.DUMMYFUNCTION("""COMPUTED_VALUE"""),"
")</f>
        <v>
</v>
      </c>
      <c r="G309" s="17" t="str">
        <f>IFERROR(__xludf.DUMMYFUNCTION("""COMPUTED_VALUE"""),"
")</f>
        <v>
</v>
      </c>
      <c r="H309" s="17" t="str">
        <f>IFERROR(__xludf.DUMMYFUNCTION("""COMPUTED_VALUE"""),"
")</f>
        <v>
</v>
      </c>
      <c r="I309" s="17" t="str">
        <f>IFERROR(__xludf.DUMMYFUNCTION("""COMPUTED_VALUE"""),"
")</f>
        <v>
</v>
      </c>
      <c r="J309" s="17" t="str">
        <f>IFERROR(__xludf.DUMMYFUNCTION("""COMPUTED_VALUE"""),"
")</f>
        <v>
</v>
      </c>
      <c r="K309" s="17" t="str">
        <f>IFERROR(__xludf.DUMMYFUNCTION("""COMPUTED_VALUE"""),"
")</f>
        <v>
</v>
      </c>
      <c r="L309" s="17" t="str">
        <f>IFERROR(__xludf.DUMMYFUNCTION("""COMPUTED_VALUE"""),"
")</f>
        <v>
</v>
      </c>
      <c r="M309" s="17" t="str">
        <f>IFERROR(__xludf.DUMMYFUNCTION("""COMPUTED_VALUE"""),"
")</f>
        <v>
</v>
      </c>
      <c r="N309" s="17" t="str">
        <f>IFERROR(__xludf.DUMMYFUNCTION("""COMPUTED_VALUE"""),"
")</f>
        <v>
</v>
      </c>
      <c r="O309" s="17" t="str">
        <f>IFERROR(__xludf.DUMMYFUNCTION("""COMPUTED_VALUE"""),"
")</f>
        <v>
</v>
      </c>
      <c r="P309" s="17" t="str">
        <f>IFERROR(__xludf.DUMMYFUNCTION("""COMPUTED_VALUE"""),"
")</f>
        <v>
</v>
      </c>
      <c r="Q309" s="17" t="str">
        <f>IFERROR(__xludf.DUMMYFUNCTION("""COMPUTED_VALUE"""),"
")</f>
        <v>
</v>
      </c>
      <c r="R309" s="17" t="str">
        <f>IFERROR(__xludf.DUMMYFUNCTION("""COMPUTED_VALUE"""),"
")</f>
        <v>
</v>
      </c>
      <c r="S309" s="17" t="str">
        <f>IFERROR(__xludf.DUMMYFUNCTION("""COMPUTED_VALUE"""),"
")</f>
        <v>
</v>
      </c>
      <c r="T309" s="17" t="str">
        <f>IFERROR(__xludf.DUMMYFUNCTION("""COMPUTED_VALUE"""),"
")</f>
        <v>
</v>
      </c>
      <c r="U309" s="17" t="str">
        <f>IFERROR(__xludf.DUMMYFUNCTION("""COMPUTED_VALUE"""),"
")</f>
        <v>
</v>
      </c>
      <c r="V309" s="17" t="str">
        <f>IFERROR(__xludf.DUMMYFUNCTION("""COMPUTED_VALUE"""),"
")</f>
        <v>
</v>
      </c>
      <c r="W309" s="17" t="str">
        <f>IFERROR(__xludf.DUMMYFUNCTION("""COMPUTED_VALUE"""),"
")</f>
        <v>
</v>
      </c>
      <c r="X309" s="17" t="str">
        <f>IFERROR(__xludf.DUMMYFUNCTION("""COMPUTED_VALUE"""),"
")</f>
        <v>
</v>
      </c>
      <c r="Y309" s="17" t="str">
        <f>IFERROR(__xludf.DUMMYFUNCTION("""COMPUTED_VALUE"""),"
")</f>
        <v>
</v>
      </c>
      <c r="Z309" s="17" t="str">
        <f>IFERROR(__xludf.DUMMYFUNCTION("""COMPUTED_VALUE"""),"
")</f>
        <v>
</v>
      </c>
      <c r="AA309" s="17" t="str">
        <f>IFERROR(__xludf.DUMMYFUNCTION("""COMPUTED_VALUE"""),"
")</f>
        <v>
</v>
      </c>
      <c r="AB309" s="17" t="str">
        <f>IFERROR(__xludf.DUMMYFUNCTION("""COMPUTED_VALUE"""),"
")</f>
        <v>
</v>
      </c>
      <c r="AC309" s="17" t="str">
        <f>IFERROR(__xludf.DUMMYFUNCTION("""COMPUTED_VALUE"""),"
")</f>
        <v>
</v>
      </c>
    </row>
    <row r="310">
      <c r="A310" s="17" t="str">
        <f>IFERROR(__xludf.DUMMYFUNCTION("""COMPUTED_VALUE"""),"Chapter 41: 35 Closing Words - Addendum Chris
Robust Engineering (Dune) 300:
Ten thousand years of stagnation in technology is a very long time... and now you know how to apply the lessons of those millennia to the construction of anything you have. Mass "&amp;"production does not exist any longer and even relatively common items are made as if masterwork quality, because aside from obvious cheap items, they have been built to last longer than the person using them. Expect anything you construct by hand to be ab"&amp;"le to last centuries, as long as you take a little extra time while you make it. With the amount of time you're going to be around... you may need that sort of quality.
Fiat")</f>
        <v>Chapter 41: 35 Closing Words - Addendum Chris
Robust Engineering (Dune) 300:
Ten thousand years of stagnation in technology is a very long time... and now you know how to apply the lessons of those millennia to the construction of anything you have. Mass production does not exist any longer and even relatively common items are made as if masterwork quality, because aside from obvious cheap items, they have been built to last longer than the person using them. Expect anything you construct by hand to be able to last centuries, as long as you take a little extra time while you make it. With the amount of time you're going to be around... you may need that sort of quality.
Fiat</v>
      </c>
      <c r="B310" s="17" t="str">
        <f>IFERROR(__xludf.DUMMYFUNCTION("""COMPUTED_VALUE"""),"
")</f>
        <v>
</v>
      </c>
      <c r="C310" s="17" t="str">
        <f>IFERROR(__xludf.DUMMYFUNCTION("""COMPUTED_VALUE"""),"
")</f>
        <v>
</v>
      </c>
      <c r="D310" s="17" t="str">
        <f>IFERROR(__xludf.DUMMYFUNCTION("""COMPUTED_VALUE"""),"
")</f>
        <v>
</v>
      </c>
      <c r="E310" s="17" t="str">
        <f>IFERROR(__xludf.DUMMYFUNCTION("""COMPUTED_VALUE"""),"
")</f>
        <v>
</v>
      </c>
      <c r="F310" s="17" t="str">
        <f>IFERROR(__xludf.DUMMYFUNCTION("""COMPUTED_VALUE"""),"
")</f>
        <v>
</v>
      </c>
      <c r="G310" s="17" t="str">
        <f>IFERROR(__xludf.DUMMYFUNCTION("""COMPUTED_VALUE"""),"
")</f>
        <v>
</v>
      </c>
      <c r="H310" s="17" t="str">
        <f>IFERROR(__xludf.DUMMYFUNCTION("""COMPUTED_VALUE"""),"
")</f>
        <v>
</v>
      </c>
      <c r="I310" s="17" t="str">
        <f>IFERROR(__xludf.DUMMYFUNCTION("""COMPUTED_VALUE"""),"
")</f>
        <v>
</v>
      </c>
      <c r="J310" s="17" t="str">
        <f>IFERROR(__xludf.DUMMYFUNCTION("""COMPUTED_VALUE"""),"
")</f>
        <v>
</v>
      </c>
      <c r="K310" s="17" t="str">
        <f>IFERROR(__xludf.DUMMYFUNCTION("""COMPUTED_VALUE"""),"
")</f>
        <v>
</v>
      </c>
      <c r="L310" s="17" t="str">
        <f>IFERROR(__xludf.DUMMYFUNCTION("""COMPUTED_VALUE"""),"
")</f>
        <v>
</v>
      </c>
      <c r="M310" s="17" t="str">
        <f>IFERROR(__xludf.DUMMYFUNCTION("""COMPUTED_VALUE"""),"
")</f>
        <v>
</v>
      </c>
      <c r="N310" s="17" t="str">
        <f>IFERROR(__xludf.DUMMYFUNCTION("""COMPUTED_VALUE"""),"
")</f>
        <v>
</v>
      </c>
      <c r="O310" s="17" t="str">
        <f>IFERROR(__xludf.DUMMYFUNCTION("""COMPUTED_VALUE"""),"
")</f>
        <v>
</v>
      </c>
      <c r="P310" s="17" t="str">
        <f>IFERROR(__xludf.DUMMYFUNCTION("""COMPUTED_VALUE"""),"
")</f>
        <v>
</v>
      </c>
      <c r="Q310" s="17" t="str">
        <f>IFERROR(__xludf.DUMMYFUNCTION("""COMPUTED_VALUE"""),"
")</f>
        <v>
</v>
      </c>
      <c r="R310" s="17" t="str">
        <f>IFERROR(__xludf.DUMMYFUNCTION("""COMPUTED_VALUE"""),"
")</f>
        <v>
</v>
      </c>
      <c r="S310" s="17" t="str">
        <f>IFERROR(__xludf.DUMMYFUNCTION("""COMPUTED_VALUE"""),"
")</f>
        <v>
</v>
      </c>
      <c r="T310" s="17" t="str">
        <f>IFERROR(__xludf.DUMMYFUNCTION("""COMPUTED_VALUE"""),"
")</f>
        <v>
</v>
      </c>
      <c r="U310" s="17" t="str">
        <f>IFERROR(__xludf.DUMMYFUNCTION("""COMPUTED_VALUE"""),"
")</f>
        <v>
</v>
      </c>
      <c r="V310" s="17" t="str">
        <f>IFERROR(__xludf.DUMMYFUNCTION("""COMPUTED_VALUE"""),"
")</f>
        <v>
</v>
      </c>
      <c r="W310" s="17" t="str">
        <f>IFERROR(__xludf.DUMMYFUNCTION("""COMPUTED_VALUE"""),"
")</f>
        <v>
</v>
      </c>
      <c r="X310" s="17" t="str">
        <f>IFERROR(__xludf.DUMMYFUNCTION("""COMPUTED_VALUE"""),"
")</f>
        <v>
</v>
      </c>
      <c r="Y310" s="17" t="str">
        <f>IFERROR(__xludf.DUMMYFUNCTION("""COMPUTED_VALUE"""),"
")</f>
        <v>
</v>
      </c>
      <c r="Z310" s="17" t="str">
        <f>IFERROR(__xludf.DUMMYFUNCTION("""COMPUTED_VALUE"""),"
")</f>
        <v>
</v>
      </c>
      <c r="AA310" s="17" t="str">
        <f>IFERROR(__xludf.DUMMYFUNCTION("""COMPUTED_VALUE"""),"
")</f>
        <v>
</v>
      </c>
      <c r="AB310" s="17" t="str">
        <f>IFERROR(__xludf.DUMMYFUNCTION("""COMPUTED_VALUE"""),"
")</f>
        <v>
</v>
      </c>
      <c r="AC310" s="17" t="str">
        <f>IFERROR(__xludf.DUMMYFUNCTION("""COMPUTED_VALUE"""),"
")</f>
        <v>
</v>
      </c>
    </row>
    <row r="311">
      <c r="A311" s="17" t="str">
        <f>IFERROR(__xludf.DUMMYFUNCTION("""COMPUTED_VALUE"""),"")</f>
        <v/>
      </c>
      <c r="B311" s="17" t="str">
        <f>IFERROR(__xludf.DUMMYFUNCTION("""COMPUTED_VALUE"""),"")</f>
        <v/>
      </c>
      <c r="C311" s="17" t="str">
        <f>IFERROR(__xludf.DUMMYFUNCTION("""COMPUTED_VALUE"""),"")</f>
        <v/>
      </c>
      <c r="D311" s="17" t="str">
        <f>IFERROR(__xludf.DUMMYFUNCTION("""COMPUTED_VALUE"""),"")</f>
        <v/>
      </c>
      <c r="E311" s="17" t="str">
        <f>IFERROR(__xludf.DUMMYFUNCTION("""COMPUTED_VALUE"""),"")</f>
        <v/>
      </c>
      <c r="F311" s="17" t="str">
        <f>IFERROR(__xludf.DUMMYFUNCTION("""COMPUTED_VALUE"""),"")</f>
        <v/>
      </c>
      <c r="G311" s="17" t="str">
        <f>IFERROR(__xludf.DUMMYFUNCTION("""COMPUTED_VALUE"""),"")</f>
        <v/>
      </c>
      <c r="H311" s="17" t="str">
        <f>IFERROR(__xludf.DUMMYFUNCTION("""COMPUTED_VALUE"""),"")</f>
        <v/>
      </c>
      <c r="I311" s="17" t="str">
        <f>IFERROR(__xludf.DUMMYFUNCTION("""COMPUTED_VALUE"""),"")</f>
        <v/>
      </c>
      <c r="J311" s="17" t="str">
        <f>IFERROR(__xludf.DUMMYFUNCTION("""COMPUTED_VALUE"""),"")</f>
        <v/>
      </c>
      <c r="K311" s="17" t="str">
        <f>IFERROR(__xludf.DUMMYFUNCTION("""COMPUTED_VALUE"""),"")</f>
        <v/>
      </c>
      <c r="L311" s="17" t="str">
        <f>IFERROR(__xludf.DUMMYFUNCTION("""COMPUTED_VALUE"""),"")</f>
        <v/>
      </c>
      <c r="M311" s="17" t="str">
        <f>IFERROR(__xludf.DUMMYFUNCTION("""COMPUTED_VALUE"""),"")</f>
        <v/>
      </c>
      <c r="N311" s="17" t="str">
        <f>IFERROR(__xludf.DUMMYFUNCTION("""COMPUTED_VALUE"""),"")</f>
        <v/>
      </c>
      <c r="O311" s="17" t="str">
        <f>IFERROR(__xludf.DUMMYFUNCTION("""COMPUTED_VALUE"""),"")</f>
        <v/>
      </c>
      <c r="P311" s="17" t="str">
        <f>IFERROR(__xludf.DUMMYFUNCTION("""COMPUTED_VALUE"""),"")</f>
        <v/>
      </c>
      <c r="Q311" s="17" t="str">
        <f>IFERROR(__xludf.DUMMYFUNCTION("""COMPUTED_VALUE"""),"")</f>
        <v/>
      </c>
      <c r="R311" s="17" t="str">
        <f>IFERROR(__xludf.DUMMYFUNCTION("""COMPUTED_VALUE"""),"")</f>
        <v/>
      </c>
      <c r="S311" s="17" t="str">
        <f>IFERROR(__xludf.DUMMYFUNCTION("""COMPUTED_VALUE"""),"")</f>
        <v/>
      </c>
      <c r="T311" s="17" t="str">
        <f>IFERROR(__xludf.DUMMYFUNCTION("""COMPUTED_VALUE"""),"")</f>
        <v/>
      </c>
      <c r="U311" s="17" t="str">
        <f>IFERROR(__xludf.DUMMYFUNCTION("""COMPUTED_VALUE"""),"")</f>
        <v/>
      </c>
      <c r="V311" s="17" t="str">
        <f>IFERROR(__xludf.DUMMYFUNCTION("""COMPUTED_VALUE"""),"")</f>
        <v/>
      </c>
      <c r="W311" s="17" t="str">
        <f>IFERROR(__xludf.DUMMYFUNCTION("""COMPUTED_VALUE"""),"")</f>
        <v/>
      </c>
      <c r="X311" s="17" t="str">
        <f>IFERROR(__xludf.DUMMYFUNCTION("""COMPUTED_VALUE"""),"")</f>
        <v/>
      </c>
      <c r="Y311" s="17" t="str">
        <f>IFERROR(__xludf.DUMMYFUNCTION("""COMPUTED_VALUE"""),"")</f>
        <v/>
      </c>
      <c r="Z311" s="17" t="str">
        <f>IFERROR(__xludf.DUMMYFUNCTION("""COMPUTED_VALUE"""),"")</f>
        <v/>
      </c>
      <c r="AA311" s="17" t="str">
        <f>IFERROR(__xludf.DUMMYFUNCTION("""COMPUTED_VALUE"""),"")</f>
        <v/>
      </c>
      <c r="AB311" s="17" t="str">
        <f>IFERROR(__xludf.DUMMYFUNCTION("""COMPUTED_VALUE"""),"")</f>
        <v/>
      </c>
      <c r="AC311" s="17" t="str">
        <f>IFERROR(__xludf.DUMMYFUNCTION("""COMPUTED_VALUE"""),"")</f>
        <v/>
      </c>
    </row>
    <row r="312">
      <c r="A312" s="17" t="str">
        <f>IFERROR(__xludf.DUMMYFUNCTION("""COMPUTED_VALUE"""),"Chapter 60: 46.1 Interlude Weld
Shipping the Product (F.E.A.R.) 400:
Prototypes are one thing, but what about actually getting the damn thing distributed? An item or weapon doesn't help anyone if it's the only one of its kind. You will find your ability t"&amp;"o create has increased dramatically in efficiency, letting you use the materials for three of the same items to actually make five while streamlining production lines rather quickly. As a bonus, logistics have increased enough where your shipped supplies "&amp;"are harder to intercept, keeping any allies you have fresh with resources!
Fiat")</f>
        <v>Chapter 60: 46.1 Interlude Weld
Shipping the Product (F.E.A.R.) 400:
Prototypes are one thing, but what about actually getting the damn thing distributed? An item or weapon doesn't help anyone if it's the only one of its kind. You will find your ability to create has increased dramatically in efficiency, letting you use the materials for three of the same items to actually make five while streamlining production lines rather quickly. As a bonus, logistics have increased enough where your shipped supplies are harder to intercept, keeping any allies you have fresh with resources!
Fiat</v>
      </c>
      <c r="B312" s="17" t="str">
        <f>IFERROR(__xludf.DUMMYFUNCTION("""COMPUTED_VALUE"""),"
")</f>
        <v>
</v>
      </c>
      <c r="C312" s="17" t="str">
        <f>IFERROR(__xludf.DUMMYFUNCTION("""COMPUTED_VALUE"""),"
")</f>
        <v>
</v>
      </c>
      <c r="D312" s="17" t="str">
        <f>IFERROR(__xludf.DUMMYFUNCTION("""COMPUTED_VALUE"""),"
")</f>
        <v>
</v>
      </c>
      <c r="E312" s="17" t="str">
        <f>IFERROR(__xludf.DUMMYFUNCTION("""COMPUTED_VALUE"""),"
")</f>
        <v>
</v>
      </c>
      <c r="F312" s="17" t="str">
        <f>IFERROR(__xludf.DUMMYFUNCTION("""COMPUTED_VALUE"""),"
")</f>
        <v>
</v>
      </c>
      <c r="G312" s="17" t="str">
        <f>IFERROR(__xludf.DUMMYFUNCTION("""COMPUTED_VALUE"""),"
")</f>
        <v>
</v>
      </c>
      <c r="H312" s="17" t="str">
        <f>IFERROR(__xludf.DUMMYFUNCTION("""COMPUTED_VALUE"""),"
")</f>
        <v>
</v>
      </c>
      <c r="I312" s="17" t="str">
        <f>IFERROR(__xludf.DUMMYFUNCTION("""COMPUTED_VALUE"""),"
")</f>
        <v>
</v>
      </c>
      <c r="J312" s="17" t="str">
        <f>IFERROR(__xludf.DUMMYFUNCTION("""COMPUTED_VALUE"""),"
")</f>
        <v>
</v>
      </c>
      <c r="K312" s="17" t="str">
        <f>IFERROR(__xludf.DUMMYFUNCTION("""COMPUTED_VALUE"""),"
")</f>
        <v>
</v>
      </c>
      <c r="L312" s="17" t="str">
        <f>IFERROR(__xludf.DUMMYFUNCTION("""COMPUTED_VALUE"""),"
")</f>
        <v>
</v>
      </c>
      <c r="M312" s="17" t="str">
        <f>IFERROR(__xludf.DUMMYFUNCTION("""COMPUTED_VALUE"""),"
")</f>
        <v>
</v>
      </c>
      <c r="N312" s="17" t="str">
        <f>IFERROR(__xludf.DUMMYFUNCTION("""COMPUTED_VALUE"""),"
")</f>
        <v>
</v>
      </c>
      <c r="O312" s="17" t="str">
        <f>IFERROR(__xludf.DUMMYFUNCTION("""COMPUTED_VALUE"""),"
")</f>
        <v>
</v>
      </c>
      <c r="P312" s="17" t="str">
        <f>IFERROR(__xludf.DUMMYFUNCTION("""COMPUTED_VALUE"""),"
")</f>
        <v>
</v>
      </c>
      <c r="Q312" s="17" t="str">
        <f>IFERROR(__xludf.DUMMYFUNCTION("""COMPUTED_VALUE"""),"
")</f>
        <v>
</v>
      </c>
      <c r="R312" s="17" t="str">
        <f>IFERROR(__xludf.DUMMYFUNCTION("""COMPUTED_VALUE"""),"
")</f>
        <v>
</v>
      </c>
      <c r="S312" s="17" t="str">
        <f>IFERROR(__xludf.DUMMYFUNCTION("""COMPUTED_VALUE"""),"
")</f>
        <v>
</v>
      </c>
      <c r="T312" s="17" t="str">
        <f>IFERROR(__xludf.DUMMYFUNCTION("""COMPUTED_VALUE"""),"
")</f>
        <v>
</v>
      </c>
      <c r="U312" s="17" t="str">
        <f>IFERROR(__xludf.DUMMYFUNCTION("""COMPUTED_VALUE"""),"
")</f>
        <v>
</v>
      </c>
      <c r="V312" s="17" t="str">
        <f>IFERROR(__xludf.DUMMYFUNCTION("""COMPUTED_VALUE"""),"
")</f>
        <v>
</v>
      </c>
      <c r="W312" s="17" t="str">
        <f>IFERROR(__xludf.DUMMYFUNCTION("""COMPUTED_VALUE"""),"
")</f>
        <v>
</v>
      </c>
      <c r="X312" s="17" t="str">
        <f>IFERROR(__xludf.DUMMYFUNCTION("""COMPUTED_VALUE"""),"
")</f>
        <v>
</v>
      </c>
      <c r="Y312" s="17" t="str">
        <f>IFERROR(__xludf.DUMMYFUNCTION("""COMPUTED_VALUE"""),"
")</f>
        <v>
</v>
      </c>
      <c r="Z312" s="17" t="str">
        <f>IFERROR(__xludf.DUMMYFUNCTION("""COMPUTED_VALUE"""),"
")</f>
        <v>
</v>
      </c>
      <c r="AA312" s="17" t="str">
        <f>IFERROR(__xludf.DUMMYFUNCTION("""COMPUTED_VALUE"""),"
")</f>
        <v>
</v>
      </c>
      <c r="AB312" s="17" t="str">
        <f>IFERROR(__xludf.DUMMYFUNCTION("""COMPUTED_VALUE"""),"
")</f>
        <v>
</v>
      </c>
      <c r="AC312" s="17" t="str">
        <f>IFERROR(__xludf.DUMMYFUNCTION("""COMPUTED_VALUE"""),"
")</f>
        <v>
</v>
      </c>
    </row>
    <row r="313">
      <c r="A313" s="17" t="str">
        <f>IFERROR(__xludf.DUMMYFUNCTION("""COMPUTED_VALUE"""),"Chapter 40: 34 Little Talks - Addendum Ethan
Scrapper (Fallout 4) 300:
You have the capability to dismantle and repurpose objects for your own creations; even ones that you might not fully understand. So long as it’s not hopelessly beyond your understandi"&amp;"ng, indestructible, or ridiculously big, you’re capable of taking most things and reducing them to their base components, salvaging any working parts with only a few days of work at the worst.
Analysis")</f>
        <v>Chapter 40: 34 Little Talks - Addendum Ethan
Scrapper (Fallout 4) 300:
You have the capability to dismantle and repurpose objects for your own creations; even ones that you might not fully understand. So long as it’s not hopelessly beyond your understanding, indestructible, or ridiculously big, you’re capable of taking most things and reducing them to their base components, salvaging any working parts with only a few days of work at the worst.
Analysis</v>
      </c>
      <c r="B313" s="17" t="str">
        <f>IFERROR(__xludf.DUMMYFUNCTION("""COMPUTED_VALUE"""),"Chapter 40: 34 Little Talks - Addendum Ethan
Starting Gear (Fallout 4) 0:
You get faction appropriate clothing (normal clothes for Drop Ins and Railroad, a uniform for BOS, lab coat for Institute, and a hodge-podge of leather and scrap metal for Raiders) "&amp;"and your choice of a 10mm pistol, brass knuckles, a security baton, a machete, or a laser pistol (regular or Institute), as well as 100 Caps
Item")</f>
        <v>Chapter 40: 34 Little Talks - Addendum Ethan
Starting Gear (Fallout 4) 0:
You get faction appropriate clothing (normal clothes for Drop Ins and Railroad, a uniform for BOS, lab coat for Institute, and a hodge-podge of leather and scrap metal for Raiders) and your choice of a 10mm pistol, brass knuckles, a security baton, a machete, or a laser pistol (regular or Institute), as well as 100 Caps
Item</v>
      </c>
      <c r="C313" s="17" t="str">
        <f>IFERROR(__xludf.DUMMYFUNCTION("""COMPUTED_VALUE"""),"
")</f>
        <v>
</v>
      </c>
      <c r="D313" s="17" t="str">
        <f>IFERROR(__xludf.DUMMYFUNCTION("""COMPUTED_VALUE"""),"
")</f>
        <v>
</v>
      </c>
      <c r="E313" s="17" t="str">
        <f>IFERROR(__xludf.DUMMYFUNCTION("""COMPUTED_VALUE"""),"
")</f>
        <v>
</v>
      </c>
      <c r="F313" s="17" t="str">
        <f>IFERROR(__xludf.DUMMYFUNCTION("""COMPUTED_VALUE"""),"
")</f>
        <v>
</v>
      </c>
      <c r="G313" s="17" t="str">
        <f>IFERROR(__xludf.DUMMYFUNCTION("""COMPUTED_VALUE"""),"
")</f>
        <v>
</v>
      </c>
      <c r="H313" s="17" t="str">
        <f>IFERROR(__xludf.DUMMYFUNCTION("""COMPUTED_VALUE"""),"
")</f>
        <v>
</v>
      </c>
      <c r="I313" s="17" t="str">
        <f>IFERROR(__xludf.DUMMYFUNCTION("""COMPUTED_VALUE"""),"
")</f>
        <v>
</v>
      </c>
      <c r="J313" s="17" t="str">
        <f>IFERROR(__xludf.DUMMYFUNCTION("""COMPUTED_VALUE"""),"
")</f>
        <v>
</v>
      </c>
      <c r="K313" s="17" t="str">
        <f>IFERROR(__xludf.DUMMYFUNCTION("""COMPUTED_VALUE"""),"
")</f>
        <v>
</v>
      </c>
      <c r="L313" s="17" t="str">
        <f>IFERROR(__xludf.DUMMYFUNCTION("""COMPUTED_VALUE"""),"
")</f>
        <v>
</v>
      </c>
      <c r="M313" s="17" t="str">
        <f>IFERROR(__xludf.DUMMYFUNCTION("""COMPUTED_VALUE"""),"
")</f>
        <v>
</v>
      </c>
      <c r="N313" s="17" t="str">
        <f>IFERROR(__xludf.DUMMYFUNCTION("""COMPUTED_VALUE"""),"
")</f>
        <v>
</v>
      </c>
      <c r="O313" s="17" t="str">
        <f>IFERROR(__xludf.DUMMYFUNCTION("""COMPUTED_VALUE"""),"
")</f>
        <v>
</v>
      </c>
      <c r="P313" s="17" t="str">
        <f>IFERROR(__xludf.DUMMYFUNCTION("""COMPUTED_VALUE"""),"
")</f>
        <v>
</v>
      </c>
      <c r="Q313" s="17" t="str">
        <f>IFERROR(__xludf.DUMMYFUNCTION("""COMPUTED_VALUE"""),"
")</f>
        <v>
</v>
      </c>
      <c r="R313" s="17" t="str">
        <f>IFERROR(__xludf.DUMMYFUNCTION("""COMPUTED_VALUE"""),"
")</f>
        <v>
</v>
      </c>
      <c r="S313" s="17" t="str">
        <f>IFERROR(__xludf.DUMMYFUNCTION("""COMPUTED_VALUE"""),"
")</f>
        <v>
</v>
      </c>
      <c r="T313" s="17" t="str">
        <f>IFERROR(__xludf.DUMMYFUNCTION("""COMPUTED_VALUE"""),"
")</f>
        <v>
</v>
      </c>
      <c r="U313" s="17" t="str">
        <f>IFERROR(__xludf.DUMMYFUNCTION("""COMPUTED_VALUE"""),"
")</f>
        <v>
</v>
      </c>
      <c r="V313" s="17" t="str">
        <f>IFERROR(__xludf.DUMMYFUNCTION("""COMPUTED_VALUE"""),"
")</f>
        <v>
</v>
      </c>
      <c r="W313" s="17" t="str">
        <f>IFERROR(__xludf.DUMMYFUNCTION("""COMPUTED_VALUE"""),"
")</f>
        <v>
</v>
      </c>
      <c r="X313" s="17" t="str">
        <f>IFERROR(__xludf.DUMMYFUNCTION("""COMPUTED_VALUE"""),"
")</f>
        <v>
</v>
      </c>
      <c r="Y313" s="17" t="str">
        <f>IFERROR(__xludf.DUMMYFUNCTION("""COMPUTED_VALUE"""),"
")</f>
        <v>
</v>
      </c>
      <c r="Z313" s="17" t="str">
        <f>IFERROR(__xludf.DUMMYFUNCTION("""COMPUTED_VALUE"""),"
")</f>
        <v>
</v>
      </c>
      <c r="AA313" s="17" t="str">
        <f>IFERROR(__xludf.DUMMYFUNCTION("""COMPUTED_VALUE"""),"
")</f>
        <v>
</v>
      </c>
      <c r="AB313" s="17" t="str">
        <f>IFERROR(__xludf.DUMMYFUNCTION("""COMPUTED_VALUE"""),"
")</f>
        <v>
</v>
      </c>
      <c r="AC313" s="17" t="str">
        <f>IFERROR(__xludf.DUMMYFUNCTION("""COMPUTED_VALUE"""),"
")</f>
        <v>
</v>
      </c>
    </row>
    <row r="314">
      <c r="A314" s="17" t="str">
        <f>IFERROR(__xludf.DUMMYFUNCTION("""COMPUTED_VALUE"""),"")</f>
        <v/>
      </c>
      <c r="B314" s="17" t="str">
        <f>IFERROR(__xludf.DUMMYFUNCTION("""COMPUTED_VALUE"""),"")</f>
        <v/>
      </c>
      <c r="C314" s="17" t="str">
        <f>IFERROR(__xludf.DUMMYFUNCTION("""COMPUTED_VALUE"""),"")</f>
        <v/>
      </c>
      <c r="D314" s="17" t="str">
        <f>IFERROR(__xludf.DUMMYFUNCTION("""COMPUTED_VALUE"""),"")</f>
        <v/>
      </c>
      <c r="E314" s="17" t="str">
        <f>IFERROR(__xludf.DUMMYFUNCTION("""COMPUTED_VALUE"""),"")</f>
        <v/>
      </c>
      <c r="F314" s="17" t="str">
        <f>IFERROR(__xludf.DUMMYFUNCTION("""COMPUTED_VALUE"""),"")</f>
        <v/>
      </c>
      <c r="G314" s="17" t="str">
        <f>IFERROR(__xludf.DUMMYFUNCTION("""COMPUTED_VALUE"""),"")</f>
        <v/>
      </c>
      <c r="H314" s="17" t="str">
        <f>IFERROR(__xludf.DUMMYFUNCTION("""COMPUTED_VALUE"""),"")</f>
        <v/>
      </c>
      <c r="I314" s="17" t="str">
        <f>IFERROR(__xludf.DUMMYFUNCTION("""COMPUTED_VALUE"""),"")</f>
        <v/>
      </c>
      <c r="J314" s="17" t="str">
        <f>IFERROR(__xludf.DUMMYFUNCTION("""COMPUTED_VALUE"""),"")</f>
        <v/>
      </c>
      <c r="K314" s="17" t="str">
        <f>IFERROR(__xludf.DUMMYFUNCTION("""COMPUTED_VALUE"""),"")</f>
        <v/>
      </c>
      <c r="L314" s="17" t="str">
        <f>IFERROR(__xludf.DUMMYFUNCTION("""COMPUTED_VALUE"""),"")</f>
        <v/>
      </c>
      <c r="M314" s="17" t="str">
        <f>IFERROR(__xludf.DUMMYFUNCTION("""COMPUTED_VALUE"""),"")</f>
        <v/>
      </c>
      <c r="N314" s="17" t="str">
        <f>IFERROR(__xludf.DUMMYFUNCTION("""COMPUTED_VALUE"""),"")</f>
        <v/>
      </c>
      <c r="O314" s="17" t="str">
        <f>IFERROR(__xludf.DUMMYFUNCTION("""COMPUTED_VALUE"""),"")</f>
        <v/>
      </c>
      <c r="P314" s="17" t="str">
        <f>IFERROR(__xludf.DUMMYFUNCTION("""COMPUTED_VALUE"""),"")</f>
        <v/>
      </c>
      <c r="Q314" s="17" t="str">
        <f>IFERROR(__xludf.DUMMYFUNCTION("""COMPUTED_VALUE"""),"")</f>
        <v/>
      </c>
      <c r="R314" s="17" t="str">
        <f>IFERROR(__xludf.DUMMYFUNCTION("""COMPUTED_VALUE"""),"")</f>
        <v/>
      </c>
      <c r="S314" s="17" t="str">
        <f>IFERROR(__xludf.DUMMYFUNCTION("""COMPUTED_VALUE"""),"")</f>
        <v/>
      </c>
      <c r="T314" s="17" t="str">
        <f>IFERROR(__xludf.DUMMYFUNCTION("""COMPUTED_VALUE"""),"")</f>
        <v/>
      </c>
      <c r="U314" s="17" t="str">
        <f>IFERROR(__xludf.DUMMYFUNCTION("""COMPUTED_VALUE"""),"")</f>
        <v/>
      </c>
      <c r="V314" s="17" t="str">
        <f>IFERROR(__xludf.DUMMYFUNCTION("""COMPUTED_VALUE"""),"")</f>
        <v/>
      </c>
      <c r="W314" s="17" t="str">
        <f>IFERROR(__xludf.DUMMYFUNCTION("""COMPUTED_VALUE"""),"")</f>
        <v/>
      </c>
      <c r="X314" s="17" t="str">
        <f>IFERROR(__xludf.DUMMYFUNCTION("""COMPUTED_VALUE"""),"")</f>
        <v/>
      </c>
      <c r="Y314" s="17" t="str">
        <f>IFERROR(__xludf.DUMMYFUNCTION("""COMPUTED_VALUE"""),"")</f>
        <v/>
      </c>
      <c r="Z314" s="17" t="str">
        <f>IFERROR(__xludf.DUMMYFUNCTION("""COMPUTED_VALUE"""),"")</f>
        <v/>
      </c>
      <c r="AA314" s="17" t="str">
        <f>IFERROR(__xludf.DUMMYFUNCTION("""COMPUTED_VALUE"""),"")</f>
        <v/>
      </c>
      <c r="AB314" s="17" t="str">
        <f>IFERROR(__xludf.DUMMYFUNCTION("""COMPUTED_VALUE"""),"")</f>
        <v/>
      </c>
      <c r="AC314" s="17" t="str">
        <f>IFERROR(__xludf.DUMMYFUNCTION("""COMPUTED_VALUE"""),"")</f>
        <v/>
      </c>
    </row>
    <row r="315">
      <c r="A315" s="17" t="str">
        <f>IFERROR(__xludf.DUMMYFUNCTION("""COMPUTED_VALUE"""),"")</f>
        <v/>
      </c>
      <c r="B315" s="17" t="str">
        <f>IFERROR(__xludf.DUMMYFUNCTION("""COMPUTED_VALUE"""),"")</f>
        <v/>
      </c>
      <c r="C315" s="17" t="str">
        <f>IFERROR(__xludf.DUMMYFUNCTION("""COMPUTED_VALUE"""),"")</f>
        <v/>
      </c>
      <c r="D315" s="17" t="str">
        <f>IFERROR(__xludf.DUMMYFUNCTION("""COMPUTED_VALUE"""),"")</f>
        <v/>
      </c>
      <c r="E315" s="17" t="str">
        <f>IFERROR(__xludf.DUMMYFUNCTION("""COMPUTED_VALUE"""),"")</f>
        <v/>
      </c>
      <c r="F315" s="17" t="str">
        <f>IFERROR(__xludf.DUMMYFUNCTION("""COMPUTED_VALUE"""),"")</f>
        <v/>
      </c>
      <c r="G315" s="17" t="str">
        <f>IFERROR(__xludf.DUMMYFUNCTION("""COMPUTED_VALUE"""),"")</f>
        <v/>
      </c>
      <c r="H315" s="17" t="str">
        <f>IFERROR(__xludf.DUMMYFUNCTION("""COMPUTED_VALUE"""),"")</f>
        <v/>
      </c>
      <c r="I315" s="17" t="str">
        <f>IFERROR(__xludf.DUMMYFUNCTION("""COMPUTED_VALUE"""),"")</f>
        <v/>
      </c>
      <c r="J315" s="17" t="str">
        <f>IFERROR(__xludf.DUMMYFUNCTION("""COMPUTED_VALUE"""),"")</f>
        <v/>
      </c>
      <c r="K315" s="17" t="str">
        <f>IFERROR(__xludf.DUMMYFUNCTION("""COMPUTED_VALUE"""),"")</f>
        <v/>
      </c>
      <c r="L315" s="17" t="str">
        <f>IFERROR(__xludf.DUMMYFUNCTION("""COMPUTED_VALUE"""),"")</f>
        <v/>
      </c>
      <c r="M315" s="17" t="str">
        <f>IFERROR(__xludf.DUMMYFUNCTION("""COMPUTED_VALUE"""),"")</f>
        <v/>
      </c>
      <c r="N315" s="17" t="str">
        <f>IFERROR(__xludf.DUMMYFUNCTION("""COMPUTED_VALUE"""),"")</f>
        <v/>
      </c>
      <c r="O315" s="17" t="str">
        <f>IFERROR(__xludf.DUMMYFUNCTION("""COMPUTED_VALUE"""),"")</f>
        <v/>
      </c>
      <c r="P315" s="17" t="str">
        <f>IFERROR(__xludf.DUMMYFUNCTION("""COMPUTED_VALUE"""),"")</f>
        <v/>
      </c>
      <c r="Q315" s="17" t="str">
        <f>IFERROR(__xludf.DUMMYFUNCTION("""COMPUTED_VALUE"""),"")</f>
        <v/>
      </c>
      <c r="R315" s="17" t="str">
        <f>IFERROR(__xludf.DUMMYFUNCTION("""COMPUTED_VALUE"""),"")</f>
        <v/>
      </c>
      <c r="S315" s="17" t="str">
        <f>IFERROR(__xludf.DUMMYFUNCTION("""COMPUTED_VALUE"""),"")</f>
        <v/>
      </c>
      <c r="T315" s="17" t="str">
        <f>IFERROR(__xludf.DUMMYFUNCTION("""COMPUTED_VALUE"""),"")</f>
        <v/>
      </c>
      <c r="U315" s="17" t="str">
        <f>IFERROR(__xludf.DUMMYFUNCTION("""COMPUTED_VALUE"""),"")</f>
        <v/>
      </c>
      <c r="V315" s="17" t="str">
        <f>IFERROR(__xludf.DUMMYFUNCTION("""COMPUTED_VALUE"""),"")</f>
        <v/>
      </c>
      <c r="W315" s="17" t="str">
        <f>IFERROR(__xludf.DUMMYFUNCTION("""COMPUTED_VALUE"""),"")</f>
        <v/>
      </c>
      <c r="X315" s="17" t="str">
        <f>IFERROR(__xludf.DUMMYFUNCTION("""COMPUTED_VALUE"""),"")</f>
        <v/>
      </c>
      <c r="Y315" s="17" t="str">
        <f>IFERROR(__xludf.DUMMYFUNCTION("""COMPUTED_VALUE"""),"")</f>
        <v/>
      </c>
      <c r="Z315" s="17" t="str">
        <f>IFERROR(__xludf.DUMMYFUNCTION("""COMPUTED_VALUE"""),"")</f>
        <v/>
      </c>
      <c r="AA315" s="17" t="str">
        <f>IFERROR(__xludf.DUMMYFUNCTION("""COMPUTED_VALUE"""),"")</f>
        <v/>
      </c>
      <c r="AB315" s="17" t="str">
        <f>IFERROR(__xludf.DUMMYFUNCTION("""COMPUTED_VALUE"""),"")</f>
        <v/>
      </c>
      <c r="AC315" s="17" t="str">
        <f>IFERROR(__xludf.DUMMYFUNCTION("""COMPUTED_VALUE"""),"")</f>
        <v/>
      </c>
    </row>
    <row r="316">
      <c r="A316" s="17" t="str">
        <f>IFERROR(__xludf.DUMMYFUNCTION("""COMPUTED_VALUE"""),"")</f>
        <v/>
      </c>
      <c r="B316" s="17" t="str">
        <f>IFERROR(__xludf.DUMMYFUNCTION("""COMPUTED_VALUE"""),"")</f>
        <v/>
      </c>
      <c r="C316" s="17" t="str">
        <f>IFERROR(__xludf.DUMMYFUNCTION("""COMPUTED_VALUE"""),"")</f>
        <v/>
      </c>
      <c r="D316" s="17" t="str">
        <f>IFERROR(__xludf.DUMMYFUNCTION("""COMPUTED_VALUE"""),"")</f>
        <v/>
      </c>
      <c r="E316" s="17" t="str">
        <f>IFERROR(__xludf.DUMMYFUNCTION("""COMPUTED_VALUE"""),"")</f>
        <v/>
      </c>
      <c r="F316" s="17" t="str">
        <f>IFERROR(__xludf.DUMMYFUNCTION("""COMPUTED_VALUE"""),"")</f>
        <v/>
      </c>
      <c r="G316" s="17" t="str">
        <f>IFERROR(__xludf.DUMMYFUNCTION("""COMPUTED_VALUE"""),"")</f>
        <v/>
      </c>
      <c r="H316" s="17" t="str">
        <f>IFERROR(__xludf.DUMMYFUNCTION("""COMPUTED_VALUE"""),"")</f>
        <v/>
      </c>
      <c r="I316" s="17" t="str">
        <f>IFERROR(__xludf.DUMMYFUNCTION("""COMPUTED_VALUE"""),"")</f>
        <v/>
      </c>
      <c r="J316" s="17" t="str">
        <f>IFERROR(__xludf.DUMMYFUNCTION("""COMPUTED_VALUE"""),"")</f>
        <v/>
      </c>
      <c r="K316" s="17" t="str">
        <f>IFERROR(__xludf.DUMMYFUNCTION("""COMPUTED_VALUE"""),"")</f>
        <v/>
      </c>
      <c r="L316" s="17" t="str">
        <f>IFERROR(__xludf.DUMMYFUNCTION("""COMPUTED_VALUE"""),"")</f>
        <v/>
      </c>
      <c r="M316" s="17" t="str">
        <f>IFERROR(__xludf.DUMMYFUNCTION("""COMPUTED_VALUE"""),"")</f>
        <v/>
      </c>
      <c r="N316" s="17" t="str">
        <f>IFERROR(__xludf.DUMMYFUNCTION("""COMPUTED_VALUE"""),"")</f>
        <v/>
      </c>
      <c r="O316" s="17" t="str">
        <f>IFERROR(__xludf.DUMMYFUNCTION("""COMPUTED_VALUE"""),"")</f>
        <v/>
      </c>
      <c r="P316" s="17" t="str">
        <f>IFERROR(__xludf.DUMMYFUNCTION("""COMPUTED_VALUE"""),"")</f>
        <v/>
      </c>
      <c r="Q316" s="17" t="str">
        <f>IFERROR(__xludf.DUMMYFUNCTION("""COMPUTED_VALUE"""),"")</f>
        <v/>
      </c>
      <c r="R316" s="17" t="str">
        <f>IFERROR(__xludf.DUMMYFUNCTION("""COMPUTED_VALUE"""),"")</f>
        <v/>
      </c>
      <c r="S316" s="17" t="str">
        <f>IFERROR(__xludf.DUMMYFUNCTION("""COMPUTED_VALUE"""),"")</f>
        <v/>
      </c>
      <c r="T316" s="17" t="str">
        <f>IFERROR(__xludf.DUMMYFUNCTION("""COMPUTED_VALUE"""),"")</f>
        <v/>
      </c>
      <c r="U316" s="17" t="str">
        <f>IFERROR(__xludf.DUMMYFUNCTION("""COMPUTED_VALUE"""),"")</f>
        <v/>
      </c>
      <c r="V316" s="17" t="str">
        <f>IFERROR(__xludf.DUMMYFUNCTION("""COMPUTED_VALUE"""),"")</f>
        <v/>
      </c>
      <c r="W316" s="17" t="str">
        <f>IFERROR(__xludf.DUMMYFUNCTION("""COMPUTED_VALUE"""),"")</f>
        <v/>
      </c>
      <c r="X316" s="17" t="str">
        <f>IFERROR(__xludf.DUMMYFUNCTION("""COMPUTED_VALUE"""),"")</f>
        <v/>
      </c>
      <c r="Y316" s="17" t="str">
        <f>IFERROR(__xludf.DUMMYFUNCTION("""COMPUTED_VALUE"""),"")</f>
        <v/>
      </c>
      <c r="Z316" s="17" t="str">
        <f>IFERROR(__xludf.DUMMYFUNCTION("""COMPUTED_VALUE"""),"")</f>
        <v/>
      </c>
      <c r="AA316" s="17" t="str">
        <f>IFERROR(__xludf.DUMMYFUNCTION("""COMPUTED_VALUE"""),"")</f>
        <v/>
      </c>
      <c r="AB316" s="17" t="str">
        <f>IFERROR(__xludf.DUMMYFUNCTION("""COMPUTED_VALUE"""),"")</f>
        <v/>
      </c>
      <c r="AC316" s="17" t="str">
        <f>IFERROR(__xludf.DUMMYFUNCTION("""COMPUTED_VALUE"""),"")</f>
        <v/>
      </c>
    </row>
    <row r="317">
      <c r="A317" s="17" t="str">
        <f>IFERROR(__xludf.DUMMYFUNCTION("""COMPUTED_VALUE"""),"Chapter 116: 83.1 Interlude Alec - Addendum Joe
Armsthrift (Fire Emblem: Awakening) 400:
Your weapons just don’t seem to break and you know how to care for them well. Even immensely fragile things are unlikely to break in your care. Guns won’t jam and s"&amp;"words never lose their edge.
Fiat")</f>
        <v>Chapter 116: 83.1 Interlude Alec - Addendum Joe
Armsthrift (Fire Emblem: Awakening) 400:
Your weapons just don’t seem to break and you know how to care for them well. Even immensely fragile things are unlikely to break in your care. Guns won’t jam and swords never lose their edge.
Fiat</v>
      </c>
      <c r="B317" s="17" t="str">
        <f>IFERROR(__xludf.DUMMYFUNCTION("""COMPUTED_VALUE"""),"
")</f>
        <v>
</v>
      </c>
      <c r="C317" s="17" t="str">
        <f>IFERROR(__xludf.DUMMYFUNCTION("""COMPUTED_VALUE"""),"
")</f>
        <v>
</v>
      </c>
      <c r="D317" s="17" t="str">
        <f>IFERROR(__xludf.DUMMYFUNCTION("""COMPUTED_VALUE"""),"
")</f>
        <v>
</v>
      </c>
      <c r="E317" s="17" t="str">
        <f>IFERROR(__xludf.DUMMYFUNCTION("""COMPUTED_VALUE"""),"
")</f>
        <v>
</v>
      </c>
      <c r="F317" s="17" t="str">
        <f>IFERROR(__xludf.DUMMYFUNCTION("""COMPUTED_VALUE"""),"
")</f>
        <v>
</v>
      </c>
      <c r="G317" s="17" t="str">
        <f>IFERROR(__xludf.DUMMYFUNCTION("""COMPUTED_VALUE"""),"
")</f>
        <v>
</v>
      </c>
      <c r="H317" s="17" t="str">
        <f>IFERROR(__xludf.DUMMYFUNCTION("""COMPUTED_VALUE"""),"
")</f>
        <v>
</v>
      </c>
      <c r="I317" s="17" t="str">
        <f>IFERROR(__xludf.DUMMYFUNCTION("""COMPUTED_VALUE"""),"
")</f>
        <v>
</v>
      </c>
      <c r="J317" s="17" t="str">
        <f>IFERROR(__xludf.DUMMYFUNCTION("""COMPUTED_VALUE"""),"
")</f>
        <v>
</v>
      </c>
      <c r="K317" s="17" t="str">
        <f>IFERROR(__xludf.DUMMYFUNCTION("""COMPUTED_VALUE"""),"
")</f>
        <v>
</v>
      </c>
      <c r="L317" s="17" t="str">
        <f>IFERROR(__xludf.DUMMYFUNCTION("""COMPUTED_VALUE"""),"
")</f>
        <v>
</v>
      </c>
      <c r="M317" s="17" t="str">
        <f>IFERROR(__xludf.DUMMYFUNCTION("""COMPUTED_VALUE"""),"
")</f>
        <v>
</v>
      </c>
      <c r="N317" s="17" t="str">
        <f>IFERROR(__xludf.DUMMYFUNCTION("""COMPUTED_VALUE"""),"
")</f>
        <v>
</v>
      </c>
      <c r="O317" s="17" t="str">
        <f>IFERROR(__xludf.DUMMYFUNCTION("""COMPUTED_VALUE"""),"
")</f>
        <v>
</v>
      </c>
      <c r="P317" s="17" t="str">
        <f>IFERROR(__xludf.DUMMYFUNCTION("""COMPUTED_VALUE"""),"
")</f>
        <v>
</v>
      </c>
      <c r="Q317" s="17" t="str">
        <f>IFERROR(__xludf.DUMMYFUNCTION("""COMPUTED_VALUE"""),"
")</f>
        <v>
</v>
      </c>
      <c r="R317" s="17" t="str">
        <f>IFERROR(__xludf.DUMMYFUNCTION("""COMPUTED_VALUE"""),"
")</f>
        <v>
</v>
      </c>
      <c r="S317" s="17" t="str">
        <f>IFERROR(__xludf.DUMMYFUNCTION("""COMPUTED_VALUE"""),"
")</f>
        <v>
</v>
      </c>
      <c r="T317" s="17" t="str">
        <f>IFERROR(__xludf.DUMMYFUNCTION("""COMPUTED_VALUE"""),"
")</f>
        <v>
</v>
      </c>
      <c r="U317" s="17" t="str">
        <f>IFERROR(__xludf.DUMMYFUNCTION("""COMPUTED_VALUE"""),"
")</f>
        <v>
</v>
      </c>
      <c r="V317" s="17" t="str">
        <f>IFERROR(__xludf.DUMMYFUNCTION("""COMPUTED_VALUE"""),"
")</f>
        <v>
</v>
      </c>
      <c r="W317" s="17" t="str">
        <f>IFERROR(__xludf.DUMMYFUNCTION("""COMPUTED_VALUE"""),"
")</f>
        <v>
</v>
      </c>
      <c r="X317" s="17" t="str">
        <f>IFERROR(__xludf.DUMMYFUNCTION("""COMPUTED_VALUE"""),"
")</f>
        <v>
</v>
      </c>
      <c r="Y317" s="17" t="str">
        <f>IFERROR(__xludf.DUMMYFUNCTION("""COMPUTED_VALUE"""),"
")</f>
        <v>
</v>
      </c>
      <c r="Z317" s="17" t="str">
        <f>IFERROR(__xludf.DUMMYFUNCTION("""COMPUTED_VALUE"""),"
")</f>
        <v>
</v>
      </c>
      <c r="AA317" s="17" t="str">
        <f>IFERROR(__xludf.DUMMYFUNCTION("""COMPUTED_VALUE"""),"
")</f>
        <v>
</v>
      </c>
      <c r="AB317" s="17" t="str">
        <f>IFERROR(__xludf.DUMMYFUNCTION("""COMPUTED_VALUE"""),"
")</f>
        <v>
</v>
      </c>
      <c r="AC317" s="17" t="str">
        <f>IFERROR(__xludf.DUMMYFUNCTION("""COMPUTED_VALUE"""),"
")</f>
        <v>
</v>
      </c>
    </row>
    <row r="318">
      <c r="A318" s="17" t="str">
        <f>IFERROR(__xludf.DUMMYFUNCTION("""COMPUTED_VALUE"""),"Chapter 38: 32 Family Fugue - Preamble Taylor - Addendum Mike
Lack of Materials (God of War) 400:
Times are tough in this land. Forces beyond knowing, monsters that roam the lands, and gods who are as petty as they are powerful. With chaos such as this, t"&amp;"here are times you may not be able to get everything of what you need. But you've learned to make do. You can get the most out of your materials, using two bars of metal where you might need four, or three hides when you needed six. Of course, if you DO h"&amp;"ave all the materials required you can use them to make your creations more effective in quality and capability as well. So maybe it doesn't hurt to put the extra mile in.
Fiat")</f>
        <v>Chapter 38: 32 Family Fugue - Preamble Taylor - Addendum Mike
Lack of Materials (God of War) 400:
Times are tough in this land. Forces beyond knowing, monsters that roam the lands, and gods who are as petty as they are powerful. With chaos such as this, there are times you may not be able to get everything of what you need. But you've learned to make do. You can get the most out of your materials, using two bars of metal where you might need four, or three hides when you needed six. Of course, if you DO have all the materials required you can use them to make your creations more effective in quality and capability as well. So maybe it doesn't hurt to put the extra mile in.
Fiat</v>
      </c>
      <c r="B318" s="17" t="str">
        <f>IFERROR(__xludf.DUMMYFUNCTION("""COMPUTED_VALUE"""),"
")</f>
        <v>
</v>
      </c>
      <c r="C318" s="17" t="str">
        <f>IFERROR(__xludf.DUMMYFUNCTION("""COMPUTED_VALUE"""),"
")</f>
        <v>
</v>
      </c>
      <c r="D318" s="17" t="str">
        <f>IFERROR(__xludf.DUMMYFUNCTION("""COMPUTED_VALUE"""),"
")</f>
        <v>
</v>
      </c>
      <c r="E318" s="17" t="str">
        <f>IFERROR(__xludf.DUMMYFUNCTION("""COMPUTED_VALUE"""),"
")</f>
        <v>
</v>
      </c>
      <c r="F318" s="17" t="str">
        <f>IFERROR(__xludf.DUMMYFUNCTION("""COMPUTED_VALUE"""),"
")</f>
        <v>
</v>
      </c>
      <c r="G318" s="17" t="str">
        <f>IFERROR(__xludf.DUMMYFUNCTION("""COMPUTED_VALUE"""),"
")</f>
        <v>
</v>
      </c>
      <c r="H318" s="17" t="str">
        <f>IFERROR(__xludf.DUMMYFUNCTION("""COMPUTED_VALUE"""),"
")</f>
        <v>
</v>
      </c>
      <c r="I318" s="17" t="str">
        <f>IFERROR(__xludf.DUMMYFUNCTION("""COMPUTED_VALUE"""),"
")</f>
        <v>
</v>
      </c>
      <c r="J318" s="17" t="str">
        <f>IFERROR(__xludf.DUMMYFUNCTION("""COMPUTED_VALUE"""),"
")</f>
        <v>
</v>
      </c>
      <c r="K318" s="17" t="str">
        <f>IFERROR(__xludf.DUMMYFUNCTION("""COMPUTED_VALUE"""),"
")</f>
        <v>
</v>
      </c>
      <c r="L318" s="17" t="str">
        <f>IFERROR(__xludf.DUMMYFUNCTION("""COMPUTED_VALUE"""),"
")</f>
        <v>
</v>
      </c>
      <c r="M318" s="17" t="str">
        <f>IFERROR(__xludf.DUMMYFUNCTION("""COMPUTED_VALUE"""),"
")</f>
        <v>
</v>
      </c>
      <c r="N318" s="17" t="str">
        <f>IFERROR(__xludf.DUMMYFUNCTION("""COMPUTED_VALUE"""),"
")</f>
        <v>
</v>
      </c>
      <c r="O318" s="17" t="str">
        <f>IFERROR(__xludf.DUMMYFUNCTION("""COMPUTED_VALUE"""),"
")</f>
        <v>
</v>
      </c>
      <c r="P318" s="17" t="str">
        <f>IFERROR(__xludf.DUMMYFUNCTION("""COMPUTED_VALUE"""),"
")</f>
        <v>
</v>
      </c>
      <c r="Q318" s="17" t="str">
        <f>IFERROR(__xludf.DUMMYFUNCTION("""COMPUTED_VALUE"""),"
")</f>
        <v>
</v>
      </c>
      <c r="R318" s="17" t="str">
        <f>IFERROR(__xludf.DUMMYFUNCTION("""COMPUTED_VALUE"""),"
")</f>
        <v>
</v>
      </c>
      <c r="S318" s="17" t="str">
        <f>IFERROR(__xludf.DUMMYFUNCTION("""COMPUTED_VALUE"""),"
")</f>
        <v>
</v>
      </c>
      <c r="T318" s="17" t="str">
        <f>IFERROR(__xludf.DUMMYFUNCTION("""COMPUTED_VALUE"""),"
")</f>
        <v>
</v>
      </c>
      <c r="U318" s="17" t="str">
        <f>IFERROR(__xludf.DUMMYFUNCTION("""COMPUTED_VALUE"""),"
")</f>
        <v>
</v>
      </c>
      <c r="V318" s="17" t="str">
        <f>IFERROR(__xludf.DUMMYFUNCTION("""COMPUTED_VALUE"""),"
")</f>
        <v>
</v>
      </c>
      <c r="W318" s="17" t="str">
        <f>IFERROR(__xludf.DUMMYFUNCTION("""COMPUTED_VALUE"""),"
")</f>
        <v>
</v>
      </c>
      <c r="X318" s="17" t="str">
        <f>IFERROR(__xludf.DUMMYFUNCTION("""COMPUTED_VALUE"""),"
")</f>
        <v>
</v>
      </c>
      <c r="Y318" s="17" t="str">
        <f>IFERROR(__xludf.DUMMYFUNCTION("""COMPUTED_VALUE"""),"
")</f>
        <v>
</v>
      </c>
      <c r="Z318" s="17" t="str">
        <f>IFERROR(__xludf.DUMMYFUNCTION("""COMPUTED_VALUE"""),"
")</f>
        <v>
</v>
      </c>
      <c r="AA318" s="17" t="str">
        <f>IFERROR(__xludf.DUMMYFUNCTION("""COMPUTED_VALUE"""),"
")</f>
        <v>
</v>
      </c>
      <c r="AB318" s="17" t="str">
        <f>IFERROR(__xludf.DUMMYFUNCTION("""COMPUTED_VALUE"""),"
")</f>
        <v>
</v>
      </c>
      <c r="AC318" s="17" t="str">
        <f>IFERROR(__xludf.DUMMYFUNCTION("""COMPUTED_VALUE"""),"
")</f>
        <v>
</v>
      </c>
    </row>
    <row r="319">
      <c r="A319" s="17" t="str">
        <f>IFERROR(__xludf.DUMMYFUNCTION("""COMPUTED_VALUE"""),"Chapter 29: 23 Renovation - Addendum Taylor
Reliable Invention (Kim Possible) 200:
Anything you construct is only broken when used improperly or purposefully targeted with attacks. The items you create do not malfunction and are completely resistant to da"&amp;"mage caused by regular usage.
Fiat")</f>
        <v>Chapter 29: 23 Renovation - Addendum Taylor
Reliable Invention (Kim Possible) 200:
Anything you construct is only broken when used improperly or purposefully targeted with attacks. The items you create do not malfunction and are completely resistant to damage caused by regular usage.
Fiat</v>
      </c>
      <c r="B319" s="17" t="str">
        <f>IFERROR(__xludf.DUMMYFUNCTION("""COMPUTED_VALUE"""),"
")</f>
        <v>
</v>
      </c>
      <c r="C319" s="17" t="str">
        <f>IFERROR(__xludf.DUMMYFUNCTION("""COMPUTED_VALUE"""),"
")</f>
        <v>
</v>
      </c>
      <c r="D319" s="17" t="str">
        <f>IFERROR(__xludf.DUMMYFUNCTION("""COMPUTED_VALUE"""),"
")</f>
        <v>
</v>
      </c>
      <c r="E319" s="17" t="str">
        <f>IFERROR(__xludf.DUMMYFUNCTION("""COMPUTED_VALUE"""),"
")</f>
        <v>
</v>
      </c>
      <c r="F319" s="17" t="str">
        <f>IFERROR(__xludf.DUMMYFUNCTION("""COMPUTED_VALUE"""),"
")</f>
        <v>
</v>
      </c>
      <c r="G319" s="17" t="str">
        <f>IFERROR(__xludf.DUMMYFUNCTION("""COMPUTED_VALUE"""),"
")</f>
        <v>
</v>
      </c>
      <c r="H319" s="17" t="str">
        <f>IFERROR(__xludf.DUMMYFUNCTION("""COMPUTED_VALUE"""),"
")</f>
        <v>
</v>
      </c>
      <c r="I319" s="17" t="str">
        <f>IFERROR(__xludf.DUMMYFUNCTION("""COMPUTED_VALUE"""),"
")</f>
        <v>
</v>
      </c>
      <c r="J319" s="17" t="str">
        <f>IFERROR(__xludf.DUMMYFUNCTION("""COMPUTED_VALUE"""),"
")</f>
        <v>
</v>
      </c>
      <c r="K319" s="17" t="str">
        <f>IFERROR(__xludf.DUMMYFUNCTION("""COMPUTED_VALUE"""),"
")</f>
        <v>
</v>
      </c>
      <c r="L319" s="17" t="str">
        <f>IFERROR(__xludf.DUMMYFUNCTION("""COMPUTED_VALUE"""),"
")</f>
        <v>
</v>
      </c>
      <c r="M319" s="17" t="str">
        <f>IFERROR(__xludf.DUMMYFUNCTION("""COMPUTED_VALUE"""),"
")</f>
        <v>
</v>
      </c>
      <c r="N319" s="17" t="str">
        <f>IFERROR(__xludf.DUMMYFUNCTION("""COMPUTED_VALUE"""),"
")</f>
        <v>
</v>
      </c>
      <c r="O319" s="17" t="str">
        <f>IFERROR(__xludf.DUMMYFUNCTION("""COMPUTED_VALUE"""),"
")</f>
        <v>
</v>
      </c>
      <c r="P319" s="17" t="str">
        <f>IFERROR(__xludf.DUMMYFUNCTION("""COMPUTED_VALUE"""),"
")</f>
        <v>
</v>
      </c>
      <c r="Q319" s="17" t="str">
        <f>IFERROR(__xludf.DUMMYFUNCTION("""COMPUTED_VALUE"""),"
")</f>
        <v>
</v>
      </c>
      <c r="R319" s="17" t="str">
        <f>IFERROR(__xludf.DUMMYFUNCTION("""COMPUTED_VALUE"""),"
")</f>
        <v>
</v>
      </c>
      <c r="S319" s="17" t="str">
        <f>IFERROR(__xludf.DUMMYFUNCTION("""COMPUTED_VALUE"""),"
")</f>
        <v>
</v>
      </c>
      <c r="T319" s="17" t="str">
        <f>IFERROR(__xludf.DUMMYFUNCTION("""COMPUTED_VALUE"""),"
")</f>
        <v>
</v>
      </c>
      <c r="U319" s="17" t="str">
        <f>IFERROR(__xludf.DUMMYFUNCTION("""COMPUTED_VALUE"""),"
")</f>
        <v>
</v>
      </c>
      <c r="V319" s="17" t="str">
        <f>IFERROR(__xludf.DUMMYFUNCTION("""COMPUTED_VALUE"""),"
")</f>
        <v>
</v>
      </c>
      <c r="W319" s="17" t="str">
        <f>IFERROR(__xludf.DUMMYFUNCTION("""COMPUTED_VALUE"""),"
")</f>
        <v>
</v>
      </c>
      <c r="X319" s="17" t="str">
        <f>IFERROR(__xludf.DUMMYFUNCTION("""COMPUTED_VALUE"""),"
")</f>
        <v>
</v>
      </c>
      <c r="Y319" s="17" t="str">
        <f>IFERROR(__xludf.DUMMYFUNCTION("""COMPUTED_VALUE"""),"
")</f>
        <v>
</v>
      </c>
      <c r="Z319" s="17" t="str">
        <f>IFERROR(__xludf.DUMMYFUNCTION("""COMPUTED_VALUE"""),"
")</f>
        <v>
</v>
      </c>
      <c r="AA319" s="17" t="str">
        <f>IFERROR(__xludf.DUMMYFUNCTION("""COMPUTED_VALUE"""),"
")</f>
        <v>
</v>
      </c>
      <c r="AB319" s="17" t="str">
        <f>IFERROR(__xludf.DUMMYFUNCTION("""COMPUTED_VALUE"""),"
")</f>
        <v>
</v>
      </c>
      <c r="AC319" s="17" t="str">
        <f>IFERROR(__xludf.DUMMYFUNCTION("""COMPUTED_VALUE"""),"
")</f>
        <v>
</v>
      </c>
    </row>
    <row r="320">
      <c r="A320" s="17" t="str">
        <f>IFERROR(__xludf.DUMMYFUNCTION("""COMPUTED_VALUE"""),"Chapter 59: 46 Review
Efficiency (Lego: Ninjango) 400:
Waste not, want not! Not with this, anyway – whether building machines or making quick moves in combat, you'll never unintentionally use more energy, materials, or flourish than you need to.
Fiat")</f>
        <v>Chapter 59: 46 Review
Efficiency (Lego: Ninjango) 400:
Waste not, want not! Not with this, anyway – whether building machines or making quick moves in combat, you'll never unintentionally use more energy, materials, or flourish than you need to.
Fiat</v>
      </c>
      <c r="B320" s="17" t="str">
        <f>IFERROR(__xludf.DUMMYFUNCTION("""COMPUTED_VALUE"""),"
")</f>
        <v>
</v>
      </c>
      <c r="C320" s="17" t="str">
        <f>IFERROR(__xludf.DUMMYFUNCTION("""COMPUTED_VALUE"""),"
")</f>
        <v>
</v>
      </c>
      <c r="D320" s="17" t="str">
        <f>IFERROR(__xludf.DUMMYFUNCTION("""COMPUTED_VALUE"""),"
")</f>
        <v>
</v>
      </c>
      <c r="E320" s="17" t="str">
        <f>IFERROR(__xludf.DUMMYFUNCTION("""COMPUTED_VALUE"""),"
")</f>
        <v>
</v>
      </c>
      <c r="F320" s="17" t="str">
        <f>IFERROR(__xludf.DUMMYFUNCTION("""COMPUTED_VALUE"""),"
")</f>
        <v>
</v>
      </c>
      <c r="G320" s="17" t="str">
        <f>IFERROR(__xludf.DUMMYFUNCTION("""COMPUTED_VALUE"""),"
")</f>
        <v>
</v>
      </c>
      <c r="H320" s="17" t="str">
        <f>IFERROR(__xludf.DUMMYFUNCTION("""COMPUTED_VALUE"""),"
")</f>
        <v>
</v>
      </c>
      <c r="I320" s="17" t="str">
        <f>IFERROR(__xludf.DUMMYFUNCTION("""COMPUTED_VALUE"""),"
")</f>
        <v>
</v>
      </c>
      <c r="J320" s="17" t="str">
        <f>IFERROR(__xludf.DUMMYFUNCTION("""COMPUTED_VALUE"""),"
")</f>
        <v>
</v>
      </c>
      <c r="K320" s="17" t="str">
        <f>IFERROR(__xludf.DUMMYFUNCTION("""COMPUTED_VALUE"""),"
")</f>
        <v>
</v>
      </c>
      <c r="L320" s="17" t="str">
        <f>IFERROR(__xludf.DUMMYFUNCTION("""COMPUTED_VALUE"""),"
")</f>
        <v>
</v>
      </c>
      <c r="M320" s="17" t="str">
        <f>IFERROR(__xludf.DUMMYFUNCTION("""COMPUTED_VALUE"""),"
")</f>
        <v>
</v>
      </c>
      <c r="N320" s="17" t="str">
        <f>IFERROR(__xludf.DUMMYFUNCTION("""COMPUTED_VALUE"""),"
")</f>
        <v>
</v>
      </c>
      <c r="O320" s="17" t="str">
        <f>IFERROR(__xludf.DUMMYFUNCTION("""COMPUTED_VALUE"""),"
")</f>
        <v>
</v>
      </c>
      <c r="P320" s="17" t="str">
        <f>IFERROR(__xludf.DUMMYFUNCTION("""COMPUTED_VALUE"""),"
")</f>
        <v>
</v>
      </c>
      <c r="Q320" s="17" t="str">
        <f>IFERROR(__xludf.DUMMYFUNCTION("""COMPUTED_VALUE"""),"
")</f>
        <v>
</v>
      </c>
      <c r="R320" s="17" t="str">
        <f>IFERROR(__xludf.DUMMYFUNCTION("""COMPUTED_VALUE"""),"
")</f>
        <v>
</v>
      </c>
      <c r="S320" s="17" t="str">
        <f>IFERROR(__xludf.DUMMYFUNCTION("""COMPUTED_VALUE"""),"
")</f>
        <v>
</v>
      </c>
      <c r="T320" s="17" t="str">
        <f>IFERROR(__xludf.DUMMYFUNCTION("""COMPUTED_VALUE"""),"
")</f>
        <v>
</v>
      </c>
      <c r="U320" s="17" t="str">
        <f>IFERROR(__xludf.DUMMYFUNCTION("""COMPUTED_VALUE"""),"
")</f>
        <v>
</v>
      </c>
      <c r="V320" s="17" t="str">
        <f>IFERROR(__xludf.DUMMYFUNCTION("""COMPUTED_VALUE"""),"
")</f>
        <v>
</v>
      </c>
      <c r="W320" s="17" t="str">
        <f>IFERROR(__xludf.DUMMYFUNCTION("""COMPUTED_VALUE"""),"
")</f>
        <v>
</v>
      </c>
      <c r="X320" s="17" t="str">
        <f>IFERROR(__xludf.DUMMYFUNCTION("""COMPUTED_VALUE"""),"
")</f>
        <v>
</v>
      </c>
      <c r="Y320" s="17" t="str">
        <f>IFERROR(__xludf.DUMMYFUNCTION("""COMPUTED_VALUE"""),"
")</f>
        <v>
</v>
      </c>
      <c r="Z320" s="17" t="str">
        <f>IFERROR(__xludf.DUMMYFUNCTION("""COMPUTED_VALUE"""),"
")</f>
        <v>
</v>
      </c>
      <c r="AA320" s="17" t="str">
        <f>IFERROR(__xludf.DUMMYFUNCTION("""COMPUTED_VALUE"""),"
")</f>
        <v>
</v>
      </c>
      <c r="AB320" s="17" t="str">
        <f>IFERROR(__xludf.DUMMYFUNCTION("""COMPUTED_VALUE"""),"
")</f>
        <v>
</v>
      </c>
      <c r="AC320" s="17" t="str">
        <f>IFERROR(__xludf.DUMMYFUNCTION("""COMPUTED_VALUE"""),"
")</f>
        <v>
</v>
      </c>
    </row>
    <row r="321">
      <c r="A321" s="17" t="str">
        <f>IFERROR(__xludf.DUMMYFUNCTION("""COMPUTED_VALUE"""),"Chapter 35: 29 Presentation - Addendum Emily
Ambrosial Artificer (Macross) 400:
So many moving parts, so many pieces to the puzzle. It's so... needless. The other tech teams are complete morons. That's why you've learned how to figure out the optimization"&amp;" of your complex machines like Veritechs. What parts you don't need, you find a way to do away with. What parts you DO need, you can use the now-extra space to improve and bolster their performance. Some will call you mad. But the only madness that will c"&amp;"ome from your work is the rage of your enemies and rivals.
Analysis")</f>
        <v>Chapter 35: 29 Presentation - Addendum Emily
Ambrosial Artificer (Macross) 400:
So many moving parts, so many pieces to the puzzle. It's so... needless. The other tech teams are complete morons. That's why you've learned how to figure out the optimization of your complex machines like Veritechs. What parts you don't need, you find a way to do away with. What parts you DO need, you can use the now-extra space to improve and bolster their performance. Some will call you mad. But the only madness that will come from your work is the rage of your enemies and rivals.
Analysis</v>
      </c>
      <c r="B321" s="17" t="str">
        <f>IFERROR(__xludf.DUMMYFUNCTION("""COMPUTED_VALUE"""),"
")</f>
        <v>
</v>
      </c>
      <c r="C321" s="17" t="str">
        <f>IFERROR(__xludf.DUMMYFUNCTION("""COMPUTED_VALUE"""),"
")</f>
        <v>
</v>
      </c>
      <c r="D321" s="17" t="str">
        <f>IFERROR(__xludf.DUMMYFUNCTION("""COMPUTED_VALUE"""),"
")</f>
        <v>
</v>
      </c>
      <c r="E321" s="17" t="str">
        <f>IFERROR(__xludf.DUMMYFUNCTION("""COMPUTED_VALUE"""),"
")</f>
        <v>
</v>
      </c>
      <c r="F321" s="17" t="str">
        <f>IFERROR(__xludf.DUMMYFUNCTION("""COMPUTED_VALUE"""),"
")</f>
        <v>
</v>
      </c>
      <c r="G321" s="17" t="str">
        <f>IFERROR(__xludf.DUMMYFUNCTION("""COMPUTED_VALUE"""),"
")</f>
        <v>
</v>
      </c>
      <c r="H321" s="17" t="str">
        <f>IFERROR(__xludf.DUMMYFUNCTION("""COMPUTED_VALUE"""),"
")</f>
        <v>
</v>
      </c>
      <c r="I321" s="17" t="str">
        <f>IFERROR(__xludf.DUMMYFUNCTION("""COMPUTED_VALUE"""),"
")</f>
        <v>
</v>
      </c>
      <c r="J321" s="17" t="str">
        <f>IFERROR(__xludf.DUMMYFUNCTION("""COMPUTED_VALUE"""),"
")</f>
        <v>
</v>
      </c>
      <c r="K321" s="17" t="str">
        <f>IFERROR(__xludf.DUMMYFUNCTION("""COMPUTED_VALUE"""),"
")</f>
        <v>
</v>
      </c>
      <c r="L321" s="17" t="str">
        <f>IFERROR(__xludf.DUMMYFUNCTION("""COMPUTED_VALUE"""),"
")</f>
        <v>
</v>
      </c>
      <c r="M321" s="17" t="str">
        <f>IFERROR(__xludf.DUMMYFUNCTION("""COMPUTED_VALUE"""),"
")</f>
        <v>
</v>
      </c>
      <c r="N321" s="17" t="str">
        <f>IFERROR(__xludf.DUMMYFUNCTION("""COMPUTED_VALUE"""),"
")</f>
        <v>
</v>
      </c>
      <c r="O321" s="17" t="str">
        <f>IFERROR(__xludf.DUMMYFUNCTION("""COMPUTED_VALUE"""),"
")</f>
        <v>
</v>
      </c>
      <c r="P321" s="17" t="str">
        <f>IFERROR(__xludf.DUMMYFUNCTION("""COMPUTED_VALUE"""),"
")</f>
        <v>
</v>
      </c>
      <c r="Q321" s="17" t="str">
        <f>IFERROR(__xludf.DUMMYFUNCTION("""COMPUTED_VALUE"""),"
")</f>
        <v>
</v>
      </c>
      <c r="R321" s="17" t="str">
        <f>IFERROR(__xludf.DUMMYFUNCTION("""COMPUTED_VALUE"""),"
")</f>
        <v>
</v>
      </c>
      <c r="S321" s="17" t="str">
        <f>IFERROR(__xludf.DUMMYFUNCTION("""COMPUTED_VALUE"""),"
")</f>
        <v>
</v>
      </c>
      <c r="T321" s="17" t="str">
        <f>IFERROR(__xludf.DUMMYFUNCTION("""COMPUTED_VALUE"""),"
")</f>
        <v>
</v>
      </c>
      <c r="U321" s="17" t="str">
        <f>IFERROR(__xludf.DUMMYFUNCTION("""COMPUTED_VALUE"""),"
")</f>
        <v>
</v>
      </c>
      <c r="V321" s="17" t="str">
        <f>IFERROR(__xludf.DUMMYFUNCTION("""COMPUTED_VALUE"""),"
")</f>
        <v>
</v>
      </c>
      <c r="W321" s="17" t="str">
        <f>IFERROR(__xludf.DUMMYFUNCTION("""COMPUTED_VALUE"""),"
")</f>
        <v>
</v>
      </c>
      <c r="X321" s="17" t="str">
        <f>IFERROR(__xludf.DUMMYFUNCTION("""COMPUTED_VALUE"""),"
")</f>
        <v>
</v>
      </c>
      <c r="Y321" s="17" t="str">
        <f>IFERROR(__xludf.DUMMYFUNCTION("""COMPUTED_VALUE"""),"
")</f>
        <v>
</v>
      </c>
      <c r="Z321" s="17" t="str">
        <f>IFERROR(__xludf.DUMMYFUNCTION("""COMPUTED_VALUE"""),"
")</f>
        <v>
</v>
      </c>
      <c r="AA321" s="17" t="str">
        <f>IFERROR(__xludf.DUMMYFUNCTION("""COMPUTED_VALUE"""),"
")</f>
        <v>
</v>
      </c>
      <c r="AB321" s="17" t="str">
        <f>IFERROR(__xludf.DUMMYFUNCTION("""COMPUTED_VALUE"""),"
")</f>
        <v>
</v>
      </c>
      <c r="AC321" s="17" t="str">
        <f>IFERROR(__xludf.DUMMYFUNCTION("""COMPUTED_VALUE"""),"
")</f>
        <v>
</v>
      </c>
    </row>
    <row r="322">
      <c r="A322" s="17" t="str">
        <f>IFERROR(__xludf.DUMMYFUNCTION("""COMPUTED_VALUE"""),"Chapter 10: 8 Aftermath
Rationing (Mad Max Gauntlet) 100:
When you don’t have much, it’s important to be careful with what you’ve got. You’re very good at saving supplies, ensuring that anything you find of use stays found and that it doesn’t get wasted b"&amp;"y accident. You’ll get every last drop of fuel from a can, and never drop some plastic tubing just because you can’t think of a use at the moment.
Fiat")</f>
        <v>Chapter 10: 8 Aftermath
Rationing (Mad Max Gauntlet) 100:
When you don’t have much, it’s important to be careful with what you’ve got. You’re very good at saving supplies, ensuring that anything you find of use stays found and that it doesn’t get wasted by accident. You’ll get every last drop of fuel from a can, and never drop some plastic tubing just because you can’t think of a use at the moment.
Fiat</v>
      </c>
      <c r="B322" s="17" t="str">
        <f>IFERROR(__xludf.DUMMYFUNCTION("""COMPUTED_VALUE"""),"
")</f>
        <v>
</v>
      </c>
      <c r="C322" s="17" t="str">
        <f>IFERROR(__xludf.DUMMYFUNCTION("""COMPUTED_VALUE"""),"
")</f>
        <v>
</v>
      </c>
      <c r="D322" s="17" t="str">
        <f>IFERROR(__xludf.DUMMYFUNCTION("""COMPUTED_VALUE"""),"
")</f>
        <v>
</v>
      </c>
      <c r="E322" s="17" t="str">
        <f>IFERROR(__xludf.DUMMYFUNCTION("""COMPUTED_VALUE"""),"
")</f>
        <v>
</v>
      </c>
      <c r="F322" s="17" t="str">
        <f>IFERROR(__xludf.DUMMYFUNCTION("""COMPUTED_VALUE"""),"
")</f>
        <v>
</v>
      </c>
      <c r="G322" s="17" t="str">
        <f>IFERROR(__xludf.DUMMYFUNCTION("""COMPUTED_VALUE"""),"
")</f>
        <v>
</v>
      </c>
      <c r="H322" s="17" t="str">
        <f>IFERROR(__xludf.DUMMYFUNCTION("""COMPUTED_VALUE"""),"
")</f>
        <v>
</v>
      </c>
      <c r="I322" s="17" t="str">
        <f>IFERROR(__xludf.DUMMYFUNCTION("""COMPUTED_VALUE"""),"
")</f>
        <v>
</v>
      </c>
      <c r="J322" s="17" t="str">
        <f>IFERROR(__xludf.DUMMYFUNCTION("""COMPUTED_VALUE"""),"
")</f>
        <v>
</v>
      </c>
      <c r="K322" s="17" t="str">
        <f>IFERROR(__xludf.DUMMYFUNCTION("""COMPUTED_VALUE"""),"
")</f>
        <v>
</v>
      </c>
      <c r="L322" s="17" t="str">
        <f>IFERROR(__xludf.DUMMYFUNCTION("""COMPUTED_VALUE"""),"
")</f>
        <v>
</v>
      </c>
      <c r="M322" s="17" t="str">
        <f>IFERROR(__xludf.DUMMYFUNCTION("""COMPUTED_VALUE"""),"
")</f>
        <v>
</v>
      </c>
      <c r="N322" s="17" t="str">
        <f>IFERROR(__xludf.DUMMYFUNCTION("""COMPUTED_VALUE"""),"
")</f>
        <v>
</v>
      </c>
      <c r="O322" s="17" t="str">
        <f>IFERROR(__xludf.DUMMYFUNCTION("""COMPUTED_VALUE"""),"
")</f>
        <v>
</v>
      </c>
      <c r="P322" s="17" t="str">
        <f>IFERROR(__xludf.DUMMYFUNCTION("""COMPUTED_VALUE"""),"
")</f>
        <v>
</v>
      </c>
      <c r="Q322" s="17" t="str">
        <f>IFERROR(__xludf.DUMMYFUNCTION("""COMPUTED_VALUE"""),"
")</f>
        <v>
</v>
      </c>
      <c r="R322" s="17" t="str">
        <f>IFERROR(__xludf.DUMMYFUNCTION("""COMPUTED_VALUE"""),"
")</f>
        <v>
</v>
      </c>
      <c r="S322" s="17" t="str">
        <f>IFERROR(__xludf.DUMMYFUNCTION("""COMPUTED_VALUE"""),"
")</f>
        <v>
</v>
      </c>
      <c r="T322" s="17" t="str">
        <f>IFERROR(__xludf.DUMMYFUNCTION("""COMPUTED_VALUE"""),"
")</f>
        <v>
</v>
      </c>
      <c r="U322" s="17" t="str">
        <f>IFERROR(__xludf.DUMMYFUNCTION("""COMPUTED_VALUE"""),"
")</f>
        <v>
</v>
      </c>
      <c r="V322" s="17" t="str">
        <f>IFERROR(__xludf.DUMMYFUNCTION("""COMPUTED_VALUE"""),"
")</f>
        <v>
</v>
      </c>
      <c r="W322" s="17" t="str">
        <f>IFERROR(__xludf.DUMMYFUNCTION("""COMPUTED_VALUE"""),"
")</f>
        <v>
</v>
      </c>
      <c r="X322" s="17" t="str">
        <f>IFERROR(__xludf.DUMMYFUNCTION("""COMPUTED_VALUE"""),"
")</f>
        <v>
</v>
      </c>
      <c r="Y322" s="17" t="str">
        <f>IFERROR(__xludf.DUMMYFUNCTION("""COMPUTED_VALUE"""),"
")</f>
        <v>
</v>
      </c>
      <c r="Z322" s="17" t="str">
        <f>IFERROR(__xludf.DUMMYFUNCTION("""COMPUTED_VALUE"""),"
")</f>
        <v>
</v>
      </c>
      <c r="AA322" s="17" t="str">
        <f>IFERROR(__xludf.DUMMYFUNCTION("""COMPUTED_VALUE"""),"
")</f>
        <v>
</v>
      </c>
      <c r="AB322" s="17" t="str">
        <f>IFERROR(__xludf.DUMMYFUNCTION("""COMPUTED_VALUE"""),"
")</f>
        <v>
</v>
      </c>
      <c r="AC322" s="17" t="str">
        <f>IFERROR(__xludf.DUMMYFUNCTION("""COMPUTED_VALUE"""),"
")</f>
        <v>
</v>
      </c>
    </row>
    <row r="323">
      <c r="A323" s="17" t="str">
        <f>IFERROR(__xludf.DUMMYFUNCTION("""COMPUTED_VALUE"""),"Chapter 79: 60 Summit Discussions
Scavenger (Megaman Zero) 400:
You have a knack for integrating junk into your systems or gear and for using them to make field repairs. After all, self-repair systems only go so far. You're good at finding compatible part"&amp;"s and jerry-rigging them for the above purposes. That buster could replace the rifle in your arm, while that torso could be scavenged from to repair your own. Though these parts might not work fully if faulty, and you can't integrate parts too different f"&amp;"rom or incompatible with whatever you're integrating it into, this allows for free upgrades and repairs, as well as self-sufficiency. Perfect for long solo assignments or just survival. Waste not, want not.
Analysis")</f>
        <v>Chapter 79: 60 Summit Discussions
Scavenger (Megaman Zero) 400:
You have a knack for integrating junk into your systems or gear and for using them to make field repairs. After all, self-repair systems only go so far. You're good at finding compatible parts and jerry-rigging them for the above purposes. That buster could replace the rifle in your arm, while that torso could be scavenged from to repair your own. Though these parts might not work fully if faulty, and you can't integrate parts too different from or incompatible with whatever you're integrating it into, this allows for free upgrades and repairs, as well as self-sufficiency. Perfect for long solo assignments or just survival. Waste not, want not.
Analysis</v>
      </c>
      <c r="B323" s="17" t="str">
        <f>IFERROR(__xludf.DUMMYFUNCTION("""COMPUTED_VALUE"""),"Chapter 79: 60 Summit Discussions
Warning (Megaman Zero) Free:
This program gives your systems or sufficiently technologically advanced gear with displays the ability to display a warning before a fight with an exceptionally tough enemy by your standards."&amp;" Said warning appears as a capitalized 'warning' in orange font accompanied with a three boop alarm sound. Though it may not be particularly helpful, it's certainly a neat thing to have. Can be turned on or off.
Ability")</f>
        <v>Chapter 79: 60 Summit Discussions
Warning (Megaman Zero) Free:
This program gives your systems or sufficiently technologically advanced gear with displays the ability to display a warning before a fight with an exceptionally tough enemy by your standards. Said warning appears as a capitalized 'warning' in orange font accompanied with a three boop alarm sound. Though it may not be particularly helpful, it's certainly a neat thing to have. Can be turned on or off.
Ability</v>
      </c>
      <c r="C323" s="17" t="str">
        <f>IFERROR(__xludf.DUMMYFUNCTION("""COMPUTED_VALUE"""),"Chapter 79: 60 Summit Discussions
Robotic Armor (Megaman Zero) Free:
You become human again. If you were a robot, that is. Upgrades will be converted into their human equivalents, if not integrated into your armor. Previous powers will be restored to thei"&amp;"r original, organic equivalents. Your robotic armor can be materialized onto your skin or clothing at will. It will remain in your warehouse otherwise. On the bright side you're unaffected by incompatibilities robots have with magic and the like. Assume s"&amp;"aid incompatibilities do not exist unless mentioned to exist. Regain your humanity and embrace yourself as you are.
Item")</f>
        <v>Chapter 79: 60 Summit Discussions
Robotic Armor (Megaman Zero) Free:
You become human again. If you were a robot, that is. Upgrades will be converted into their human equivalents, if not integrated into your armor. Previous powers will be restored to their original, organic equivalents. Your robotic armor can be materialized onto your skin or clothing at will. It will remain in your warehouse otherwise. On the bright side you're unaffected by incompatibilities robots have with magic and the like. Assume said incompatibilities do not exist unless mentioned to exist. Regain your humanity and embrace yourself as you are.
Item</v>
      </c>
      <c r="D323" s="17" t="str">
        <f>IFERROR(__xludf.DUMMYFUNCTION("""COMPUTED_VALUE"""),"
")</f>
        <v>
</v>
      </c>
      <c r="E323" s="17" t="str">
        <f>IFERROR(__xludf.DUMMYFUNCTION("""COMPUTED_VALUE"""),"
")</f>
        <v>
</v>
      </c>
      <c r="F323" s="17" t="str">
        <f>IFERROR(__xludf.DUMMYFUNCTION("""COMPUTED_VALUE"""),"
")</f>
        <v>
</v>
      </c>
      <c r="G323" s="17" t="str">
        <f>IFERROR(__xludf.DUMMYFUNCTION("""COMPUTED_VALUE"""),"
")</f>
        <v>
</v>
      </c>
      <c r="H323" s="17" t="str">
        <f>IFERROR(__xludf.DUMMYFUNCTION("""COMPUTED_VALUE"""),"
")</f>
        <v>
</v>
      </c>
      <c r="I323" s="17" t="str">
        <f>IFERROR(__xludf.DUMMYFUNCTION("""COMPUTED_VALUE"""),"
")</f>
        <v>
</v>
      </c>
      <c r="J323" s="17" t="str">
        <f>IFERROR(__xludf.DUMMYFUNCTION("""COMPUTED_VALUE"""),"
")</f>
        <v>
</v>
      </c>
      <c r="K323" s="17" t="str">
        <f>IFERROR(__xludf.DUMMYFUNCTION("""COMPUTED_VALUE"""),"
")</f>
        <v>
</v>
      </c>
      <c r="L323" s="17" t="str">
        <f>IFERROR(__xludf.DUMMYFUNCTION("""COMPUTED_VALUE"""),"
")</f>
        <v>
</v>
      </c>
      <c r="M323" s="17" t="str">
        <f>IFERROR(__xludf.DUMMYFUNCTION("""COMPUTED_VALUE"""),"
")</f>
        <v>
</v>
      </c>
      <c r="N323" s="17" t="str">
        <f>IFERROR(__xludf.DUMMYFUNCTION("""COMPUTED_VALUE"""),"
")</f>
        <v>
</v>
      </c>
      <c r="O323" s="17" t="str">
        <f>IFERROR(__xludf.DUMMYFUNCTION("""COMPUTED_VALUE"""),"
")</f>
        <v>
</v>
      </c>
      <c r="P323" s="17" t="str">
        <f>IFERROR(__xludf.DUMMYFUNCTION("""COMPUTED_VALUE"""),"
")</f>
        <v>
</v>
      </c>
      <c r="Q323" s="17" t="str">
        <f>IFERROR(__xludf.DUMMYFUNCTION("""COMPUTED_VALUE"""),"
")</f>
        <v>
</v>
      </c>
      <c r="R323" s="17" t="str">
        <f>IFERROR(__xludf.DUMMYFUNCTION("""COMPUTED_VALUE"""),"
")</f>
        <v>
</v>
      </c>
      <c r="S323" s="17" t="str">
        <f>IFERROR(__xludf.DUMMYFUNCTION("""COMPUTED_VALUE"""),"
")</f>
        <v>
</v>
      </c>
      <c r="T323" s="17" t="str">
        <f>IFERROR(__xludf.DUMMYFUNCTION("""COMPUTED_VALUE"""),"
")</f>
        <v>
</v>
      </c>
      <c r="U323" s="17" t="str">
        <f>IFERROR(__xludf.DUMMYFUNCTION("""COMPUTED_VALUE"""),"
")</f>
        <v>
</v>
      </c>
      <c r="V323" s="17" t="str">
        <f>IFERROR(__xludf.DUMMYFUNCTION("""COMPUTED_VALUE"""),"
")</f>
        <v>
</v>
      </c>
      <c r="W323" s="17" t="str">
        <f>IFERROR(__xludf.DUMMYFUNCTION("""COMPUTED_VALUE"""),"
")</f>
        <v>
</v>
      </c>
      <c r="X323" s="17" t="str">
        <f>IFERROR(__xludf.DUMMYFUNCTION("""COMPUTED_VALUE"""),"
")</f>
        <v>
</v>
      </c>
      <c r="Y323" s="17" t="str">
        <f>IFERROR(__xludf.DUMMYFUNCTION("""COMPUTED_VALUE"""),"
")</f>
        <v>
</v>
      </c>
      <c r="Z323" s="17" t="str">
        <f>IFERROR(__xludf.DUMMYFUNCTION("""COMPUTED_VALUE"""),"
")</f>
        <v>
</v>
      </c>
      <c r="AA323" s="17" t="str">
        <f>IFERROR(__xludf.DUMMYFUNCTION("""COMPUTED_VALUE"""),"
")</f>
        <v>
</v>
      </c>
      <c r="AB323" s="17" t="str">
        <f>IFERROR(__xludf.DUMMYFUNCTION("""COMPUTED_VALUE"""),"
")</f>
        <v>
</v>
      </c>
      <c r="AC323" s="17" t="str">
        <f>IFERROR(__xludf.DUMMYFUNCTION("""COMPUTED_VALUE"""),"
")</f>
        <v>
</v>
      </c>
    </row>
    <row r="324">
      <c r="A324" s="17" t="str">
        <f>IFERROR(__xludf.DUMMYFUNCTION("""COMPUTED_VALUE"""),"Chapter 43: 36 Debrief - Addendum The Bay Bulletin
Waste Not (Monster Hunter) 300:
You have found out a great secret in the blacksmithing trade - the reason that most blacksmiths usually ask for so many materials to make a certain weapon or armor isn't be"&amp;"cause its material intensive, but because they can make one for half of the materials and either sell the rest or make another to sell at a profit. The bastards! You have figured out how to use less materials to gain the same results when it comes to craf"&amp;"ting your own weapons and armor. At first it may just be an ore or two less, but with enough practice you acn reduce the amount of materials needed for a project by half (rounded down). As an added bonus, with enough practice, you have a 50% chance to not"&amp;" require high-grade or legendary materials (Rubied, Plates, etc) to make an item, provided you can supplement the build with excess materials.
Fiat")</f>
        <v>Chapter 43: 36 Debrief - Addendum The Bay Bulletin
Waste Not (Monster Hunter) 300:
You have found out a great secret in the blacksmithing trade - the reason that most blacksmiths usually ask for so many materials to make a certain weapon or armor isn't because its material intensive, but because they can make one for half of the materials and either sell the rest or make another to sell at a profit. The bastards! You have figured out how to use less materials to gain the same results when it comes to crafting your own weapons and armor. At first it may just be an ore or two less, but with enough practice you acn reduce the amount of materials needed for a project by half (rounded down). As an added bonus, with enough practice, you have a 50% chance to not require high-grade or legendary materials (Rubied, Plates, etc) to make an item, provided you can supplement the build with excess materials.
Fiat</v>
      </c>
      <c r="B324" s="17" t="str">
        <f>IFERROR(__xludf.DUMMYFUNCTION("""COMPUTED_VALUE"""),"Chapter 43: 36 Debrief - Addendum The Bay Bulletin
Weapon &amp; Item Storage Chest (Monster Hunter) Free:
An absolte must whether you're an aspiring hunter or roving trader. You get two chests - the first one is capable of storing up to 1000 individual weapon"&amp;"s, pieces of armor, and charm talismans, while the second is capable of storing up to 1000 stacks of 999 of any given healing item, monster part, ore, or item that isn't a weapon, armor piece, or talisman.
Item")</f>
        <v>Chapter 43: 36 Debrief - Addendum The Bay Bulletin
Weapon &amp; Item Storage Chest (Monster Hunter) Free:
An absolte must whether you're an aspiring hunter or roving trader. You get two chests - the first one is capable of storing up to 1000 individual weapons, pieces of armor, and charm talismans, while the second is capable of storing up to 1000 stacks of 999 of any given healing item, monster part, ore, or item that isn't a weapon, armor piece, or talisman.
Item</v>
      </c>
      <c r="C324" s="17" t="str">
        <f>IFERROR(__xludf.DUMMYFUNCTION("""COMPUTED_VALUE"""),"
")</f>
        <v>
</v>
      </c>
      <c r="D324" s="17" t="str">
        <f>IFERROR(__xludf.DUMMYFUNCTION("""COMPUTED_VALUE"""),"
")</f>
        <v>
</v>
      </c>
      <c r="E324" s="17" t="str">
        <f>IFERROR(__xludf.DUMMYFUNCTION("""COMPUTED_VALUE"""),"
")</f>
        <v>
</v>
      </c>
      <c r="F324" s="17" t="str">
        <f>IFERROR(__xludf.DUMMYFUNCTION("""COMPUTED_VALUE"""),"
")</f>
        <v>
</v>
      </c>
      <c r="G324" s="17" t="str">
        <f>IFERROR(__xludf.DUMMYFUNCTION("""COMPUTED_VALUE"""),"
")</f>
        <v>
</v>
      </c>
      <c r="H324" s="17" t="str">
        <f>IFERROR(__xludf.DUMMYFUNCTION("""COMPUTED_VALUE"""),"
")</f>
        <v>
</v>
      </c>
      <c r="I324" s="17" t="str">
        <f>IFERROR(__xludf.DUMMYFUNCTION("""COMPUTED_VALUE"""),"
")</f>
        <v>
</v>
      </c>
      <c r="J324" s="17" t="str">
        <f>IFERROR(__xludf.DUMMYFUNCTION("""COMPUTED_VALUE"""),"
")</f>
        <v>
</v>
      </c>
      <c r="K324" s="17" t="str">
        <f>IFERROR(__xludf.DUMMYFUNCTION("""COMPUTED_VALUE"""),"
")</f>
        <v>
</v>
      </c>
      <c r="L324" s="17" t="str">
        <f>IFERROR(__xludf.DUMMYFUNCTION("""COMPUTED_VALUE"""),"
")</f>
        <v>
</v>
      </c>
      <c r="M324" s="17" t="str">
        <f>IFERROR(__xludf.DUMMYFUNCTION("""COMPUTED_VALUE"""),"
")</f>
        <v>
</v>
      </c>
      <c r="N324" s="17" t="str">
        <f>IFERROR(__xludf.DUMMYFUNCTION("""COMPUTED_VALUE"""),"
")</f>
        <v>
</v>
      </c>
      <c r="O324" s="17" t="str">
        <f>IFERROR(__xludf.DUMMYFUNCTION("""COMPUTED_VALUE"""),"
")</f>
        <v>
</v>
      </c>
      <c r="P324" s="17" t="str">
        <f>IFERROR(__xludf.DUMMYFUNCTION("""COMPUTED_VALUE"""),"
")</f>
        <v>
</v>
      </c>
      <c r="Q324" s="17" t="str">
        <f>IFERROR(__xludf.DUMMYFUNCTION("""COMPUTED_VALUE"""),"
")</f>
        <v>
</v>
      </c>
      <c r="R324" s="17" t="str">
        <f>IFERROR(__xludf.DUMMYFUNCTION("""COMPUTED_VALUE"""),"
")</f>
        <v>
</v>
      </c>
      <c r="S324" s="17" t="str">
        <f>IFERROR(__xludf.DUMMYFUNCTION("""COMPUTED_VALUE"""),"
")</f>
        <v>
</v>
      </c>
      <c r="T324" s="17" t="str">
        <f>IFERROR(__xludf.DUMMYFUNCTION("""COMPUTED_VALUE"""),"
")</f>
        <v>
</v>
      </c>
      <c r="U324" s="17" t="str">
        <f>IFERROR(__xludf.DUMMYFUNCTION("""COMPUTED_VALUE"""),"
")</f>
        <v>
</v>
      </c>
      <c r="V324" s="17" t="str">
        <f>IFERROR(__xludf.DUMMYFUNCTION("""COMPUTED_VALUE"""),"
")</f>
        <v>
</v>
      </c>
      <c r="W324" s="17" t="str">
        <f>IFERROR(__xludf.DUMMYFUNCTION("""COMPUTED_VALUE"""),"
")</f>
        <v>
</v>
      </c>
      <c r="X324" s="17" t="str">
        <f>IFERROR(__xludf.DUMMYFUNCTION("""COMPUTED_VALUE"""),"
")</f>
        <v>
</v>
      </c>
      <c r="Y324" s="17" t="str">
        <f>IFERROR(__xludf.DUMMYFUNCTION("""COMPUTED_VALUE"""),"
")</f>
        <v>
</v>
      </c>
      <c r="Z324" s="17" t="str">
        <f>IFERROR(__xludf.DUMMYFUNCTION("""COMPUTED_VALUE"""),"
")</f>
        <v>
</v>
      </c>
      <c r="AA324" s="17" t="str">
        <f>IFERROR(__xludf.DUMMYFUNCTION("""COMPUTED_VALUE"""),"
")</f>
        <v>
</v>
      </c>
      <c r="AB324" s="17" t="str">
        <f>IFERROR(__xludf.DUMMYFUNCTION("""COMPUTED_VALUE"""),"
")</f>
        <v>
</v>
      </c>
      <c r="AC324" s="17" t="str">
        <f>IFERROR(__xludf.DUMMYFUNCTION("""COMPUTED_VALUE"""),"
")</f>
        <v>
</v>
      </c>
    </row>
    <row r="325">
      <c r="A325" s="17" t="str">
        <f>IFERROR(__xludf.DUMMYFUNCTION("""COMPUTED_VALUE"""),"Chapter 13: 10 Overhaul
Repair Savvy (Outlaw Star) 100:
Your skills in mechanics are top notch. Your weapons, armor, and personal equipment are all easy to repair, and maintenance of all of them takes mere minutes instead of hours.
Fiat")</f>
        <v>Chapter 13: 10 Overhaul
Repair Savvy (Outlaw Star) 100:
Your skills in mechanics are top notch. Your weapons, armor, and personal equipment are all easy to repair, and maintenance of all of them takes mere minutes instead of hours.
Fiat</v>
      </c>
      <c r="B325" s="17" t="str">
        <f>IFERROR(__xludf.DUMMYFUNCTION("""COMPUTED_VALUE"""),"
")</f>
        <v>
</v>
      </c>
      <c r="C325" s="17" t="str">
        <f>IFERROR(__xludf.DUMMYFUNCTION("""COMPUTED_VALUE"""),"
")</f>
        <v>
</v>
      </c>
      <c r="D325" s="17" t="str">
        <f>IFERROR(__xludf.DUMMYFUNCTION("""COMPUTED_VALUE"""),"
")</f>
        <v>
</v>
      </c>
      <c r="E325" s="17" t="str">
        <f>IFERROR(__xludf.DUMMYFUNCTION("""COMPUTED_VALUE"""),"
")</f>
        <v>
</v>
      </c>
      <c r="F325" s="17" t="str">
        <f>IFERROR(__xludf.DUMMYFUNCTION("""COMPUTED_VALUE"""),"
")</f>
        <v>
</v>
      </c>
      <c r="G325" s="17" t="str">
        <f>IFERROR(__xludf.DUMMYFUNCTION("""COMPUTED_VALUE"""),"
")</f>
        <v>
</v>
      </c>
      <c r="H325" s="17" t="str">
        <f>IFERROR(__xludf.DUMMYFUNCTION("""COMPUTED_VALUE"""),"
")</f>
        <v>
</v>
      </c>
      <c r="I325" s="17" t="str">
        <f>IFERROR(__xludf.DUMMYFUNCTION("""COMPUTED_VALUE"""),"
")</f>
        <v>
</v>
      </c>
      <c r="J325" s="17" t="str">
        <f>IFERROR(__xludf.DUMMYFUNCTION("""COMPUTED_VALUE"""),"
")</f>
        <v>
</v>
      </c>
      <c r="K325" s="17" t="str">
        <f>IFERROR(__xludf.DUMMYFUNCTION("""COMPUTED_VALUE"""),"
")</f>
        <v>
</v>
      </c>
      <c r="L325" s="17" t="str">
        <f>IFERROR(__xludf.DUMMYFUNCTION("""COMPUTED_VALUE"""),"
")</f>
        <v>
</v>
      </c>
      <c r="M325" s="17" t="str">
        <f>IFERROR(__xludf.DUMMYFUNCTION("""COMPUTED_VALUE"""),"
")</f>
        <v>
</v>
      </c>
      <c r="N325" s="17" t="str">
        <f>IFERROR(__xludf.DUMMYFUNCTION("""COMPUTED_VALUE"""),"
")</f>
        <v>
</v>
      </c>
      <c r="O325" s="17" t="str">
        <f>IFERROR(__xludf.DUMMYFUNCTION("""COMPUTED_VALUE"""),"
")</f>
        <v>
</v>
      </c>
      <c r="P325" s="17" t="str">
        <f>IFERROR(__xludf.DUMMYFUNCTION("""COMPUTED_VALUE"""),"
")</f>
        <v>
</v>
      </c>
      <c r="Q325" s="17" t="str">
        <f>IFERROR(__xludf.DUMMYFUNCTION("""COMPUTED_VALUE"""),"
")</f>
        <v>
</v>
      </c>
      <c r="R325" s="17" t="str">
        <f>IFERROR(__xludf.DUMMYFUNCTION("""COMPUTED_VALUE"""),"
")</f>
        <v>
</v>
      </c>
      <c r="S325" s="17" t="str">
        <f>IFERROR(__xludf.DUMMYFUNCTION("""COMPUTED_VALUE"""),"
")</f>
        <v>
</v>
      </c>
      <c r="T325" s="17" t="str">
        <f>IFERROR(__xludf.DUMMYFUNCTION("""COMPUTED_VALUE"""),"
")</f>
        <v>
</v>
      </c>
      <c r="U325" s="17" t="str">
        <f>IFERROR(__xludf.DUMMYFUNCTION("""COMPUTED_VALUE"""),"
")</f>
        <v>
</v>
      </c>
      <c r="V325" s="17" t="str">
        <f>IFERROR(__xludf.DUMMYFUNCTION("""COMPUTED_VALUE"""),"
")</f>
        <v>
</v>
      </c>
      <c r="W325" s="17" t="str">
        <f>IFERROR(__xludf.DUMMYFUNCTION("""COMPUTED_VALUE"""),"
")</f>
        <v>
</v>
      </c>
      <c r="X325" s="17" t="str">
        <f>IFERROR(__xludf.DUMMYFUNCTION("""COMPUTED_VALUE"""),"
")</f>
        <v>
</v>
      </c>
      <c r="Y325" s="17" t="str">
        <f>IFERROR(__xludf.DUMMYFUNCTION("""COMPUTED_VALUE"""),"
")</f>
        <v>
</v>
      </c>
      <c r="Z325" s="17" t="str">
        <f>IFERROR(__xludf.DUMMYFUNCTION("""COMPUTED_VALUE"""),"
")</f>
        <v>
</v>
      </c>
      <c r="AA325" s="17" t="str">
        <f>IFERROR(__xludf.DUMMYFUNCTION("""COMPUTED_VALUE"""),"
")</f>
        <v>
</v>
      </c>
      <c r="AB325" s="17" t="str">
        <f>IFERROR(__xludf.DUMMYFUNCTION("""COMPUTED_VALUE"""),"
")</f>
        <v>
</v>
      </c>
      <c r="AC325" s="17" t="str">
        <f>IFERROR(__xludf.DUMMYFUNCTION("""COMPUTED_VALUE"""),"
")</f>
        <v>
</v>
      </c>
    </row>
    <row r="326">
      <c r="A326" s="17" t="str">
        <f>IFERROR(__xludf.DUMMYFUNCTION("""COMPUTED_VALUE"""),"")</f>
        <v/>
      </c>
      <c r="B326" s="17" t="str">
        <f>IFERROR(__xludf.DUMMYFUNCTION("""COMPUTED_VALUE"""),"")</f>
        <v/>
      </c>
      <c r="C326" s="17" t="str">
        <f>IFERROR(__xludf.DUMMYFUNCTION("""COMPUTED_VALUE"""),"")</f>
        <v/>
      </c>
      <c r="D326" s="17" t="str">
        <f>IFERROR(__xludf.DUMMYFUNCTION("""COMPUTED_VALUE"""),"")</f>
        <v/>
      </c>
      <c r="E326" s="17" t="str">
        <f>IFERROR(__xludf.DUMMYFUNCTION("""COMPUTED_VALUE"""),"")</f>
        <v/>
      </c>
      <c r="F326" s="17" t="str">
        <f>IFERROR(__xludf.DUMMYFUNCTION("""COMPUTED_VALUE"""),"")</f>
        <v/>
      </c>
      <c r="G326" s="17" t="str">
        <f>IFERROR(__xludf.DUMMYFUNCTION("""COMPUTED_VALUE"""),"")</f>
        <v/>
      </c>
      <c r="H326" s="17" t="str">
        <f>IFERROR(__xludf.DUMMYFUNCTION("""COMPUTED_VALUE"""),"")</f>
        <v/>
      </c>
      <c r="I326" s="17" t="str">
        <f>IFERROR(__xludf.DUMMYFUNCTION("""COMPUTED_VALUE"""),"")</f>
        <v/>
      </c>
      <c r="J326" s="17" t="str">
        <f>IFERROR(__xludf.DUMMYFUNCTION("""COMPUTED_VALUE"""),"")</f>
        <v/>
      </c>
      <c r="K326" s="17" t="str">
        <f>IFERROR(__xludf.DUMMYFUNCTION("""COMPUTED_VALUE"""),"")</f>
        <v/>
      </c>
      <c r="L326" s="17" t="str">
        <f>IFERROR(__xludf.DUMMYFUNCTION("""COMPUTED_VALUE"""),"")</f>
        <v/>
      </c>
      <c r="M326" s="17" t="str">
        <f>IFERROR(__xludf.DUMMYFUNCTION("""COMPUTED_VALUE"""),"")</f>
        <v/>
      </c>
      <c r="N326" s="17" t="str">
        <f>IFERROR(__xludf.DUMMYFUNCTION("""COMPUTED_VALUE"""),"")</f>
        <v/>
      </c>
      <c r="O326" s="17" t="str">
        <f>IFERROR(__xludf.DUMMYFUNCTION("""COMPUTED_VALUE"""),"")</f>
        <v/>
      </c>
      <c r="P326" s="17" t="str">
        <f>IFERROR(__xludf.DUMMYFUNCTION("""COMPUTED_VALUE"""),"")</f>
        <v/>
      </c>
      <c r="Q326" s="17" t="str">
        <f>IFERROR(__xludf.DUMMYFUNCTION("""COMPUTED_VALUE"""),"")</f>
        <v/>
      </c>
      <c r="R326" s="17" t="str">
        <f>IFERROR(__xludf.DUMMYFUNCTION("""COMPUTED_VALUE"""),"")</f>
        <v/>
      </c>
      <c r="S326" s="17" t="str">
        <f>IFERROR(__xludf.DUMMYFUNCTION("""COMPUTED_VALUE"""),"")</f>
        <v/>
      </c>
      <c r="T326" s="17" t="str">
        <f>IFERROR(__xludf.DUMMYFUNCTION("""COMPUTED_VALUE"""),"")</f>
        <v/>
      </c>
      <c r="U326" s="17" t="str">
        <f>IFERROR(__xludf.DUMMYFUNCTION("""COMPUTED_VALUE"""),"")</f>
        <v/>
      </c>
      <c r="V326" s="17" t="str">
        <f>IFERROR(__xludf.DUMMYFUNCTION("""COMPUTED_VALUE"""),"")</f>
        <v/>
      </c>
      <c r="W326" s="17" t="str">
        <f>IFERROR(__xludf.DUMMYFUNCTION("""COMPUTED_VALUE"""),"")</f>
        <v/>
      </c>
      <c r="X326" s="17" t="str">
        <f>IFERROR(__xludf.DUMMYFUNCTION("""COMPUTED_VALUE"""),"")</f>
        <v/>
      </c>
      <c r="Y326" s="17" t="str">
        <f>IFERROR(__xludf.DUMMYFUNCTION("""COMPUTED_VALUE"""),"")</f>
        <v/>
      </c>
      <c r="Z326" s="17" t="str">
        <f>IFERROR(__xludf.DUMMYFUNCTION("""COMPUTED_VALUE"""),"")</f>
        <v/>
      </c>
      <c r="AA326" s="17" t="str">
        <f>IFERROR(__xludf.DUMMYFUNCTION("""COMPUTED_VALUE"""),"")</f>
        <v/>
      </c>
      <c r="AB326" s="17" t="str">
        <f>IFERROR(__xludf.DUMMYFUNCTION("""COMPUTED_VALUE"""),"")</f>
        <v/>
      </c>
      <c r="AC326" s="17" t="str">
        <f>IFERROR(__xludf.DUMMYFUNCTION("""COMPUTED_VALUE"""),"")</f>
        <v/>
      </c>
    </row>
    <row r="327">
      <c r="A327" s="17" t="str">
        <f>IFERROR(__xludf.DUMMYFUNCTION("""COMPUTED_VALUE"""),"Chapter 82: 63 Summit Conclusion
upgrades! Upgrades!! UPGRADES!!! (Red Faction) 400:
You can make it all better. By studying a piece of technology for a short while, you can come up with ways to improve its functions or fix design flaws, though you’ll sti"&amp;"ll need the related technical skills to figure out details. In addition, you can use salvaged materials in lieu of fresh parts for this task.
Analysis")</f>
        <v>Chapter 82: 63 Summit Conclusion
upgrades! Upgrades!! UPGRADES!!! (Red Faction) 400:
You can make it all better. By studying a piece of technology for a short while, you can come up with ways to improve its functions or fix design flaws, though you’ll still need the related technical skills to figure out details. In addition, you can use salvaged materials in lieu of fresh parts for this task.
Analysis</v>
      </c>
      <c r="B327" s="17" t="str">
        <f>IFERROR(__xludf.DUMMYFUNCTION("""COMPUTED_VALUE"""),"
")</f>
        <v>
</v>
      </c>
      <c r="C327" s="17" t="str">
        <f>IFERROR(__xludf.DUMMYFUNCTION("""COMPUTED_VALUE"""),"
")</f>
        <v>
</v>
      </c>
      <c r="D327" s="17" t="str">
        <f>IFERROR(__xludf.DUMMYFUNCTION("""COMPUTED_VALUE"""),"
")</f>
        <v>
</v>
      </c>
      <c r="E327" s="17" t="str">
        <f>IFERROR(__xludf.DUMMYFUNCTION("""COMPUTED_VALUE"""),"
")</f>
        <v>
</v>
      </c>
      <c r="F327" s="17" t="str">
        <f>IFERROR(__xludf.DUMMYFUNCTION("""COMPUTED_VALUE"""),"
")</f>
        <v>
</v>
      </c>
      <c r="G327" s="17" t="str">
        <f>IFERROR(__xludf.DUMMYFUNCTION("""COMPUTED_VALUE"""),"
")</f>
        <v>
</v>
      </c>
      <c r="H327" s="17" t="str">
        <f>IFERROR(__xludf.DUMMYFUNCTION("""COMPUTED_VALUE"""),"
")</f>
        <v>
</v>
      </c>
      <c r="I327" s="17" t="str">
        <f>IFERROR(__xludf.DUMMYFUNCTION("""COMPUTED_VALUE"""),"
")</f>
        <v>
</v>
      </c>
      <c r="J327" s="17" t="str">
        <f>IFERROR(__xludf.DUMMYFUNCTION("""COMPUTED_VALUE"""),"
")</f>
        <v>
</v>
      </c>
      <c r="K327" s="17" t="str">
        <f>IFERROR(__xludf.DUMMYFUNCTION("""COMPUTED_VALUE"""),"
")</f>
        <v>
</v>
      </c>
      <c r="L327" s="17" t="str">
        <f>IFERROR(__xludf.DUMMYFUNCTION("""COMPUTED_VALUE"""),"
")</f>
        <v>
</v>
      </c>
      <c r="M327" s="17" t="str">
        <f>IFERROR(__xludf.DUMMYFUNCTION("""COMPUTED_VALUE"""),"
")</f>
        <v>
</v>
      </c>
      <c r="N327" s="17" t="str">
        <f>IFERROR(__xludf.DUMMYFUNCTION("""COMPUTED_VALUE"""),"
")</f>
        <v>
</v>
      </c>
      <c r="O327" s="17" t="str">
        <f>IFERROR(__xludf.DUMMYFUNCTION("""COMPUTED_VALUE"""),"
")</f>
        <v>
</v>
      </c>
      <c r="P327" s="17" t="str">
        <f>IFERROR(__xludf.DUMMYFUNCTION("""COMPUTED_VALUE"""),"
")</f>
        <v>
</v>
      </c>
      <c r="Q327" s="17" t="str">
        <f>IFERROR(__xludf.DUMMYFUNCTION("""COMPUTED_VALUE"""),"
")</f>
        <v>
</v>
      </c>
      <c r="R327" s="17" t="str">
        <f>IFERROR(__xludf.DUMMYFUNCTION("""COMPUTED_VALUE"""),"
")</f>
        <v>
</v>
      </c>
      <c r="S327" s="17" t="str">
        <f>IFERROR(__xludf.DUMMYFUNCTION("""COMPUTED_VALUE"""),"
")</f>
        <v>
</v>
      </c>
      <c r="T327" s="17" t="str">
        <f>IFERROR(__xludf.DUMMYFUNCTION("""COMPUTED_VALUE"""),"
")</f>
        <v>
</v>
      </c>
      <c r="U327" s="17" t="str">
        <f>IFERROR(__xludf.DUMMYFUNCTION("""COMPUTED_VALUE"""),"
")</f>
        <v>
</v>
      </c>
      <c r="V327" s="17" t="str">
        <f>IFERROR(__xludf.DUMMYFUNCTION("""COMPUTED_VALUE"""),"
")</f>
        <v>
</v>
      </c>
      <c r="W327" s="17" t="str">
        <f>IFERROR(__xludf.DUMMYFUNCTION("""COMPUTED_VALUE"""),"
")</f>
        <v>
</v>
      </c>
      <c r="X327" s="17" t="str">
        <f>IFERROR(__xludf.DUMMYFUNCTION("""COMPUTED_VALUE"""),"
")</f>
        <v>
</v>
      </c>
      <c r="Y327" s="17" t="str">
        <f>IFERROR(__xludf.DUMMYFUNCTION("""COMPUTED_VALUE"""),"
")</f>
        <v>
</v>
      </c>
      <c r="Z327" s="17" t="str">
        <f>IFERROR(__xludf.DUMMYFUNCTION("""COMPUTED_VALUE"""),"
")</f>
        <v>
</v>
      </c>
      <c r="AA327" s="17" t="str">
        <f>IFERROR(__xludf.DUMMYFUNCTION("""COMPUTED_VALUE"""),"
")</f>
        <v>
</v>
      </c>
      <c r="AB327" s="17" t="str">
        <f>IFERROR(__xludf.DUMMYFUNCTION("""COMPUTED_VALUE"""),"
")</f>
        <v>
</v>
      </c>
      <c r="AC327" s="17" t="str">
        <f>IFERROR(__xludf.DUMMYFUNCTION("""COMPUTED_VALUE"""),"
")</f>
        <v>
</v>
      </c>
    </row>
    <row r="328">
      <c r="A328" s="17" t="str">
        <f>IFERROR(__xludf.DUMMYFUNCTION("""COMPUTED_VALUE"""),"Chapter 68: 53 Hard Time
Panzerkampf (Sabaton) 300:
When it comes to building war machines, yours are top-notch! A gun made by your own hand will never jam, and a tank built by you will never bog down in mud or take damage from an IED. If they want to des"&amp;"troy what you've built, they'd best bring their A-game.
Fiat")</f>
        <v>Chapter 68: 53 Hard Time
Panzerkampf (Sabaton) 300:
When it comes to building war machines, yours are top-notch! A gun made by your own hand will never jam, and a tank built by you will never bog down in mud or take damage from an IED. If they want to destroy what you've built, they'd best bring their A-game.
Fiat</v>
      </c>
      <c r="B328" s="17" t="str">
        <f>IFERROR(__xludf.DUMMYFUNCTION("""COMPUTED_VALUE"""),"Chapter 154: 104 Loose Ends
Firestorm (Sabaton) 600:
When someone absolutely, positively needs artillery good enough to reduce the greatest castle to rubble, they come to you and accept no substitutes. You can throw a cannon together from scraps and it w"&amp;"ill still outperform the best mortars of the age. Moreover, in other worlds, if you can understand the weapon, you can produce something 1.1 times as strong with the items you would find in a rubbish heap, provided they're of equal size to the device they"&amp;"'re replicating.
Fiat")</f>
        <v>Chapter 154: 104 Loose Ends
Firestorm (Sabaton) 600:
When someone absolutely, positively needs artillery good enough to reduce the greatest castle to rubble, they come to you and accept no substitutes. You can throw a cannon together from scraps and it will still outperform the best mortars of the age. Moreover, in other worlds, if you can understand the weapon, you can produce something 1.1 times as strong with the items you would find in a rubbish heap, provided they're of equal size to the device they're replicating.
Fiat</v>
      </c>
      <c r="C328" s="17" t="str">
        <f>IFERROR(__xludf.DUMMYFUNCTION("""COMPUTED_VALUE"""),"
")</f>
        <v>
</v>
      </c>
      <c r="D328" s="17" t="str">
        <f>IFERROR(__xludf.DUMMYFUNCTION("""COMPUTED_VALUE"""),"
")</f>
        <v>
</v>
      </c>
      <c r="E328" s="17" t="str">
        <f>IFERROR(__xludf.DUMMYFUNCTION("""COMPUTED_VALUE"""),"
")</f>
        <v>
</v>
      </c>
      <c r="F328" s="17" t="str">
        <f>IFERROR(__xludf.DUMMYFUNCTION("""COMPUTED_VALUE"""),"
")</f>
        <v>
</v>
      </c>
      <c r="G328" s="17" t="str">
        <f>IFERROR(__xludf.DUMMYFUNCTION("""COMPUTED_VALUE"""),"
")</f>
        <v>
</v>
      </c>
      <c r="H328" s="17" t="str">
        <f>IFERROR(__xludf.DUMMYFUNCTION("""COMPUTED_VALUE"""),"
")</f>
        <v>
</v>
      </c>
      <c r="I328" s="17" t="str">
        <f>IFERROR(__xludf.DUMMYFUNCTION("""COMPUTED_VALUE"""),"
")</f>
        <v>
</v>
      </c>
      <c r="J328" s="17" t="str">
        <f>IFERROR(__xludf.DUMMYFUNCTION("""COMPUTED_VALUE"""),"
")</f>
        <v>
</v>
      </c>
      <c r="K328" s="17" t="str">
        <f>IFERROR(__xludf.DUMMYFUNCTION("""COMPUTED_VALUE"""),"
")</f>
        <v>
</v>
      </c>
      <c r="L328" s="17" t="str">
        <f>IFERROR(__xludf.DUMMYFUNCTION("""COMPUTED_VALUE"""),"
")</f>
        <v>
</v>
      </c>
      <c r="M328" s="17" t="str">
        <f>IFERROR(__xludf.DUMMYFUNCTION("""COMPUTED_VALUE"""),"
")</f>
        <v>
</v>
      </c>
      <c r="N328" s="17" t="str">
        <f>IFERROR(__xludf.DUMMYFUNCTION("""COMPUTED_VALUE"""),"
")</f>
        <v>
</v>
      </c>
      <c r="O328" s="17" t="str">
        <f>IFERROR(__xludf.DUMMYFUNCTION("""COMPUTED_VALUE"""),"
")</f>
        <v>
</v>
      </c>
      <c r="P328" s="17" t="str">
        <f>IFERROR(__xludf.DUMMYFUNCTION("""COMPUTED_VALUE"""),"
")</f>
        <v>
</v>
      </c>
      <c r="Q328" s="17" t="str">
        <f>IFERROR(__xludf.DUMMYFUNCTION("""COMPUTED_VALUE"""),"
")</f>
        <v>
</v>
      </c>
      <c r="R328" s="17" t="str">
        <f>IFERROR(__xludf.DUMMYFUNCTION("""COMPUTED_VALUE"""),"
")</f>
        <v>
</v>
      </c>
      <c r="S328" s="17" t="str">
        <f>IFERROR(__xludf.DUMMYFUNCTION("""COMPUTED_VALUE"""),"
")</f>
        <v>
</v>
      </c>
      <c r="T328" s="17" t="str">
        <f>IFERROR(__xludf.DUMMYFUNCTION("""COMPUTED_VALUE"""),"
")</f>
        <v>
</v>
      </c>
      <c r="U328" s="17" t="str">
        <f>IFERROR(__xludf.DUMMYFUNCTION("""COMPUTED_VALUE"""),"
")</f>
        <v>
</v>
      </c>
      <c r="V328" s="17" t="str">
        <f>IFERROR(__xludf.DUMMYFUNCTION("""COMPUTED_VALUE"""),"
")</f>
        <v>
</v>
      </c>
      <c r="W328" s="17" t="str">
        <f>IFERROR(__xludf.DUMMYFUNCTION("""COMPUTED_VALUE"""),"
")</f>
        <v>
</v>
      </c>
      <c r="X328" s="17" t="str">
        <f>IFERROR(__xludf.DUMMYFUNCTION("""COMPUTED_VALUE"""),"
")</f>
        <v>
</v>
      </c>
      <c r="Y328" s="17" t="str">
        <f>IFERROR(__xludf.DUMMYFUNCTION("""COMPUTED_VALUE"""),"
")</f>
        <v>
</v>
      </c>
      <c r="Z328" s="17" t="str">
        <f>IFERROR(__xludf.DUMMYFUNCTION("""COMPUTED_VALUE"""),"
")</f>
        <v>
</v>
      </c>
      <c r="AA328" s="17" t="str">
        <f>IFERROR(__xludf.DUMMYFUNCTION("""COMPUTED_VALUE"""),"
")</f>
        <v>
</v>
      </c>
      <c r="AB328" s="17" t="str">
        <f>IFERROR(__xludf.DUMMYFUNCTION("""COMPUTED_VALUE"""),"
")</f>
        <v>
</v>
      </c>
      <c r="AC328" s="17" t="str">
        <f>IFERROR(__xludf.DUMMYFUNCTION("""COMPUTED_VALUE"""),"
")</f>
        <v>
</v>
      </c>
    </row>
    <row r="329">
      <c r="A329" s="17" t="str">
        <f>IFERROR(__xludf.DUMMYFUNCTION("""COMPUTED_VALUE"""),"")</f>
        <v/>
      </c>
      <c r="B329" s="17" t="str">
        <f>IFERROR(__xludf.DUMMYFUNCTION("""COMPUTED_VALUE"""),"")</f>
        <v/>
      </c>
      <c r="C329" s="17" t="str">
        <f>IFERROR(__xludf.DUMMYFUNCTION("""COMPUTED_VALUE"""),"")</f>
        <v/>
      </c>
      <c r="D329" s="17" t="str">
        <f>IFERROR(__xludf.DUMMYFUNCTION("""COMPUTED_VALUE"""),"")</f>
        <v/>
      </c>
      <c r="E329" s="17" t="str">
        <f>IFERROR(__xludf.DUMMYFUNCTION("""COMPUTED_VALUE"""),"")</f>
        <v/>
      </c>
      <c r="F329" s="17" t="str">
        <f>IFERROR(__xludf.DUMMYFUNCTION("""COMPUTED_VALUE"""),"")</f>
        <v/>
      </c>
      <c r="G329" s="17" t="str">
        <f>IFERROR(__xludf.DUMMYFUNCTION("""COMPUTED_VALUE"""),"")</f>
        <v/>
      </c>
      <c r="H329" s="17" t="str">
        <f>IFERROR(__xludf.DUMMYFUNCTION("""COMPUTED_VALUE"""),"")</f>
        <v/>
      </c>
      <c r="I329" s="17" t="str">
        <f>IFERROR(__xludf.DUMMYFUNCTION("""COMPUTED_VALUE"""),"")</f>
        <v/>
      </c>
      <c r="J329" s="17" t="str">
        <f>IFERROR(__xludf.DUMMYFUNCTION("""COMPUTED_VALUE"""),"")</f>
        <v/>
      </c>
      <c r="K329" s="17" t="str">
        <f>IFERROR(__xludf.DUMMYFUNCTION("""COMPUTED_VALUE"""),"")</f>
        <v/>
      </c>
      <c r="L329" s="17" t="str">
        <f>IFERROR(__xludf.DUMMYFUNCTION("""COMPUTED_VALUE"""),"")</f>
        <v/>
      </c>
      <c r="M329" s="17" t="str">
        <f>IFERROR(__xludf.DUMMYFUNCTION("""COMPUTED_VALUE"""),"")</f>
        <v/>
      </c>
      <c r="N329" s="17" t="str">
        <f>IFERROR(__xludf.DUMMYFUNCTION("""COMPUTED_VALUE"""),"")</f>
        <v/>
      </c>
      <c r="O329" s="17" t="str">
        <f>IFERROR(__xludf.DUMMYFUNCTION("""COMPUTED_VALUE"""),"")</f>
        <v/>
      </c>
      <c r="P329" s="17" t="str">
        <f>IFERROR(__xludf.DUMMYFUNCTION("""COMPUTED_VALUE"""),"")</f>
        <v/>
      </c>
      <c r="Q329" s="17" t="str">
        <f>IFERROR(__xludf.DUMMYFUNCTION("""COMPUTED_VALUE"""),"")</f>
        <v/>
      </c>
      <c r="R329" s="17" t="str">
        <f>IFERROR(__xludf.DUMMYFUNCTION("""COMPUTED_VALUE"""),"")</f>
        <v/>
      </c>
      <c r="S329" s="17" t="str">
        <f>IFERROR(__xludf.DUMMYFUNCTION("""COMPUTED_VALUE"""),"")</f>
        <v/>
      </c>
      <c r="T329" s="17" t="str">
        <f>IFERROR(__xludf.DUMMYFUNCTION("""COMPUTED_VALUE"""),"")</f>
        <v/>
      </c>
      <c r="U329" s="17" t="str">
        <f>IFERROR(__xludf.DUMMYFUNCTION("""COMPUTED_VALUE"""),"")</f>
        <v/>
      </c>
      <c r="V329" s="17" t="str">
        <f>IFERROR(__xludf.DUMMYFUNCTION("""COMPUTED_VALUE"""),"")</f>
        <v/>
      </c>
      <c r="W329" s="17" t="str">
        <f>IFERROR(__xludf.DUMMYFUNCTION("""COMPUTED_VALUE"""),"")</f>
        <v/>
      </c>
      <c r="X329" s="17" t="str">
        <f>IFERROR(__xludf.DUMMYFUNCTION("""COMPUTED_VALUE"""),"")</f>
        <v/>
      </c>
      <c r="Y329" s="17" t="str">
        <f>IFERROR(__xludf.DUMMYFUNCTION("""COMPUTED_VALUE"""),"")</f>
        <v/>
      </c>
      <c r="Z329" s="17" t="str">
        <f>IFERROR(__xludf.DUMMYFUNCTION("""COMPUTED_VALUE"""),"")</f>
        <v/>
      </c>
      <c r="AA329" s="17" t="str">
        <f>IFERROR(__xludf.DUMMYFUNCTION("""COMPUTED_VALUE"""),"")</f>
        <v/>
      </c>
      <c r="AB329" s="17" t="str">
        <f>IFERROR(__xludf.DUMMYFUNCTION("""COMPUTED_VALUE"""),"")</f>
        <v/>
      </c>
      <c r="AC329" s="17" t="str">
        <f>IFERROR(__xludf.DUMMYFUNCTION("""COMPUTED_VALUE"""),"")</f>
        <v/>
      </c>
    </row>
    <row r="330">
      <c r="A330" s="17" t="str">
        <f>IFERROR(__xludf.DUMMYFUNCTION("""COMPUTED_VALUE"""),"")</f>
        <v/>
      </c>
      <c r="B330" s="17" t="str">
        <f>IFERROR(__xludf.DUMMYFUNCTION("""COMPUTED_VALUE"""),"")</f>
        <v/>
      </c>
      <c r="C330" s="17" t="str">
        <f>IFERROR(__xludf.DUMMYFUNCTION("""COMPUTED_VALUE"""),"")</f>
        <v/>
      </c>
      <c r="D330" s="17" t="str">
        <f>IFERROR(__xludf.DUMMYFUNCTION("""COMPUTED_VALUE"""),"")</f>
        <v/>
      </c>
      <c r="E330" s="17" t="str">
        <f>IFERROR(__xludf.DUMMYFUNCTION("""COMPUTED_VALUE"""),"")</f>
        <v/>
      </c>
      <c r="F330" s="17" t="str">
        <f>IFERROR(__xludf.DUMMYFUNCTION("""COMPUTED_VALUE"""),"")</f>
        <v/>
      </c>
      <c r="G330" s="17" t="str">
        <f>IFERROR(__xludf.DUMMYFUNCTION("""COMPUTED_VALUE"""),"")</f>
        <v/>
      </c>
      <c r="H330" s="17" t="str">
        <f>IFERROR(__xludf.DUMMYFUNCTION("""COMPUTED_VALUE"""),"")</f>
        <v/>
      </c>
      <c r="I330" s="17" t="str">
        <f>IFERROR(__xludf.DUMMYFUNCTION("""COMPUTED_VALUE"""),"")</f>
        <v/>
      </c>
      <c r="J330" s="17" t="str">
        <f>IFERROR(__xludf.DUMMYFUNCTION("""COMPUTED_VALUE"""),"")</f>
        <v/>
      </c>
      <c r="K330" s="17" t="str">
        <f>IFERROR(__xludf.DUMMYFUNCTION("""COMPUTED_VALUE"""),"")</f>
        <v/>
      </c>
      <c r="L330" s="17" t="str">
        <f>IFERROR(__xludf.DUMMYFUNCTION("""COMPUTED_VALUE"""),"")</f>
        <v/>
      </c>
      <c r="M330" s="17" t="str">
        <f>IFERROR(__xludf.DUMMYFUNCTION("""COMPUTED_VALUE"""),"")</f>
        <v/>
      </c>
      <c r="N330" s="17" t="str">
        <f>IFERROR(__xludf.DUMMYFUNCTION("""COMPUTED_VALUE"""),"")</f>
        <v/>
      </c>
      <c r="O330" s="17" t="str">
        <f>IFERROR(__xludf.DUMMYFUNCTION("""COMPUTED_VALUE"""),"")</f>
        <v/>
      </c>
      <c r="P330" s="17" t="str">
        <f>IFERROR(__xludf.DUMMYFUNCTION("""COMPUTED_VALUE"""),"")</f>
        <v/>
      </c>
      <c r="Q330" s="17" t="str">
        <f>IFERROR(__xludf.DUMMYFUNCTION("""COMPUTED_VALUE"""),"")</f>
        <v/>
      </c>
      <c r="R330" s="17" t="str">
        <f>IFERROR(__xludf.DUMMYFUNCTION("""COMPUTED_VALUE"""),"")</f>
        <v/>
      </c>
      <c r="S330" s="17" t="str">
        <f>IFERROR(__xludf.DUMMYFUNCTION("""COMPUTED_VALUE"""),"")</f>
        <v/>
      </c>
      <c r="T330" s="17" t="str">
        <f>IFERROR(__xludf.DUMMYFUNCTION("""COMPUTED_VALUE"""),"")</f>
        <v/>
      </c>
      <c r="U330" s="17" t="str">
        <f>IFERROR(__xludf.DUMMYFUNCTION("""COMPUTED_VALUE"""),"")</f>
        <v/>
      </c>
      <c r="V330" s="17" t="str">
        <f>IFERROR(__xludf.DUMMYFUNCTION("""COMPUTED_VALUE"""),"")</f>
        <v/>
      </c>
      <c r="W330" s="17" t="str">
        <f>IFERROR(__xludf.DUMMYFUNCTION("""COMPUTED_VALUE"""),"")</f>
        <v/>
      </c>
      <c r="X330" s="17" t="str">
        <f>IFERROR(__xludf.DUMMYFUNCTION("""COMPUTED_VALUE"""),"")</f>
        <v/>
      </c>
      <c r="Y330" s="17" t="str">
        <f>IFERROR(__xludf.DUMMYFUNCTION("""COMPUTED_VALUE"""),"")</f>
        <v/>
      </c>
      <c r="Z330" s="17" t="str">
        <f>IFERROR(__xludf.DUMMYFUNCTION("""COMPUTED_VALUE"""),"")</f>
        <v/>
      </c>
      <c r="AA330" s="17" t="str">
        <f>IFERROR(__xludf.DUMMYFUNCTION("""COMPUTED_VALUE"""),"")</f>
        <v/>
      </c>
      <c r="AB330" s="17" t="str">
        <f>IFERROR(__xludf.DUMMYFUNCTION("""COMPUTED_VALUE"""),"")</f>
        <v/>
      </c>
      <c r="AC330" s="17" t="str">
        <f>IFERROR(__xludf.DUMMYFUNCTION("""COMPUTED_VALUE"""),"")</f>
        <v/>
      </c>
    </row>
    <row r="331">
      <c r="A331" s="17" t="str">
        <f>IFERROR(__xludf.DUMMYFUNCTION("""COMPUTED_VALUE"""),"Chapter 45: 38 Build Up - Preamble Leet - Addendum Rey
Scrapyard Skills (Swat Kats) 300:
Where others see junk, you see treasure just waiting to be utilized. You can make far more use out of scrap metal and tossed out electronics, repurposing them for man"&amp;"y different tasks. That washer machine might have the parts needed to help spin an engine turbine, or that piston tube might be JUST the right size to refashion into a grappling hook launcher... it's all in how you use it and how you repurpose things.
Fia"&amp;"t")</f>
        <v>Chapter 45: 38 Build Up - Preamble Leet - Addendum Rey
Scrapyard Skills (Swat Kats) 300:
Where others see junk, you see treasure just waiting to be utilized. You can make far more use out of scrap metal and tossed out electronics, repurposing them for many different tasks. That washer machine might have the parts needed to help spin an engine turbine, or that piston tube might be JUST the right size to refashion into a grappling hook launcher... it's all in how you use it and how you repurpose things.
Fiat</v>
      </c>
      <c r="B331" s="17" t="str">
        <f>IFERROR(__xludf.DUMMYFUNCTION("""COMPUTED_VALUE"""),"Chapter 45: 38 Build Up - Preamble Leet - Addendum Rey
Rockin' Music (Swat Kats) Free:
When you're going around or doing something awesome, you can choose to have a sick electric guitar riff or a few notes of heavy metal goodness playing as you work in al"&amp;"l your glory! ...or villainy. Either way it's sure to sound amazing.
Ability")</f>
        <v>Chapter 45: 38 Build Up - Preamble Leet - Addendum Rey
Rockin' Music (Swat Kats) Free:
When you're going around or doing something awesome, you can choose to have a sick electric guitar riff or a few notes of heavy metal goodness playing as you work in all your glory! ...or villainy. Either way it's sure to sound amazing.
Ability</v>
      </c>
      <c r="C331" s="17" t="str">
        <f>IFERROR(__xludf.DUMMYFUNCTION("""COMPUTED_VALUE"""),"
")</f>
        <v>
</v>
      </c>
      <c r="D331" s="17" t="str">
        <f>IFERROR(__xludf.DUMMYFUNCTION("""COMPUTED_VALUE"""),"
")</f>
        <v>
</v>
      </c>
      <c r="E331" s="17" t="str">
        <f>IFERROR(__xludf.DUMMYFUNCTION("""COMPUTED_VALUE"""),"
")</f>
        <v>
</v>
      </c>
      <c r="F331" s="17" t="str">
        <f>IFERROR(__xludf.DUMMYFUNCTION("""COMPUTED_VALUE"""),"
")</f>
        <v>
</v>
      </c>
      <c r="G331" s="17" t="str">
        <f>IFERROR(__xludf.DUMMYFUNCTION("""COMPUTED_VALUE"""),"
")</f>
        <v>
</v>
      </c>
      <c r="H331" s="17" t="str">
        <f>IFERROR(__xludf.DUMMYFUNCTION("""COMPUTED_VALUE"""),"
")</f>
        <v>
</v>
      </c>
      <c r="I331" s="17" t="str">
        <f>IFERROR(__xludf.DUMMYFUNCTION("""COMPUTED_VALUE"""),"
")</f>
        <v>
</v>
      </c>
      <c r="J331" s="17" t="str">
        <f>IFERROR(__xludf.DUMMYFUNCTION("""COMPUTED_VALUE"""),"
")</f>
        <v>
</v>
      </c>
      <c r="K331" s="17" t="str">
        <f>IFERROR(__xludf.DUMMYFUNCTION("""COMPUTED_VALUE"""),"
")</f>
        <v>
</v>
      </c>
      <c r="L331" s="17" t="str">
        <f>IFERROR(__xludf.DUMMYFUNCTION("""COMPUTED_VALUE"""),"
")</f>
        <v>
</v>
      </c>
      <c r="M331" s="17" t="str">
        <f>IFERROR(__xludf.DUMMYFUNCTION("""COMPUTED_VALUE"""),"
")</f>
        <v>
</v>
      </c>
      <c r="N331" s="17" t="str">
        <f>IFERROR(__xludf.DUMMYFUNCTION("""COMPUTED_VALUE"""),"
")</f>
        <v>
</v>
      </c>
      <c r="O331" s="17" t="str">
        <f>IFERROR(__xludf.DUMMYFUNCTION("""COMPUTED_VALUE"""),"
")</f>
        <v>
</v>
      </c>
      <c r="P331" s="17" t="str">
        <f>IFERROR(__xludf.DUMMYFUNCTION("""COMPUTED_VALUE"""),"
")</f>
        <v>
</v>
      </c>
      <c r="Q331" s="17" t="str">
        <f>IFERROR(__xludf.DUMMYFUNCTION("""COMPUTED_VALUE"""),"
")</f>
        <v>
</v>
      </c>
      <c r="R331" s="17" t="str">
        <f>IFERROR(__xludf.DUMMYFUNCTION("""COMPUTED_VALUE"""),"
")</f>
        <v>
</v>
      </c>
      <c r="S331" s="17" t="str">
        <f>IFERROR(__xludf.DUMMYFUNCTION("""COMPUTED_VALUE"""),"
")</f>
        <v>
</v>
      </c>
      <c r="T331" s="17" t="str">
        <f>IFERROR(__xludf.DUMMYFUNCTION("""COMPUTED_VALUE"""),"
")</f>
        <v>
</v>
      </c>
      <c r="U331" s="17" t="str">
        <f>IFERROR(__xludf.DUMMYFUNCTION("""COMPUTED_VALUE"""),"
")</f>
        <v>
</v>
      </c>
      <c r="V331" s="17" t="str">
        <f>IFERROR(__xludf.DUMMYFUNCTION("""COMPUTED_VALUE"""),"
")</f>
        <v>
</v>
      </c>
      <c r="W331" s="17" t="str">
        <f>IFERROR(__xludf.DUMMYFUNCTION("""COMPUTED_VALUE"""),"
")</f>
        <v>
</v>
      </c>
      <c r="X331" s="17" t="str">
        <f>IFERROR(__xludf.DUMMYFUNCTION("""COMPUTED_VALUE"""),"
")</f>
        <v>
</v>
      </c>
      <c r="Y331" s="17" t="str">
        <f>IFERROR(__xludf.DUMMYFUNCTION("""COMPUTED_VALUE"""),"
")</f>
        <v>
</v>
      </c>
      <c r="Z331" s="17" t="str">
        <f>IFERROR(__xludf.DUMMYFUNCTION("""COMPUTED_VALUE"""),"
")</f>
        <v>
</v>
      </c>
      <c r="AA331" s="17" t="str">
        <f>IFERROR(__xludf.DUMMYFUNCTION("""COMPUTED_VALUE"""),"
")</f>
        <v>
</v>
      </c>
      <c r="AB331" s="17" t="str">
        <f>IFERROR(__xludf.DUMMYFUNCTION("""COMPUTED_VALUE"""),"
")</f>
        <v>
</v>
      </c>
      <c r="AC331" s="17" t="str">
        <f>IFERROR(__xludf.DUMMYFUNCTION("""COMPUTED_VALUE"""),"
")</f>
        <v>
</v>
      </c>
    </row>
    <row r="332">
      <c r="A332" s="17" t="str">
        <f>IFERROR(__xludf.DUMMYFUNCTION("""COMPUTED_VALUE"""),"Chapter 32: 26 Correspondence - Addendum Rory
Simple Scientific Solution (Tenchi Muyo) 100:
Science solves everything, even the little household problems. You can create supertech improvements to common tools and appliances, up to and including automobil"&amp;"es or similar works of engineering.
Create dishwashers that can clean dishes in an instant, self heating plumbing or forcefield windowpanes that act as air conditioners.
Well established methodologies and an instinctive grasp of same allow you to draw con"&amp;"clusions or produce results incredibly fast. You halve the time it takes to gather data, compose research on some subject, or devise a test to prove/disprove something handy for when you have to figure out an enemy fortresses’s one weakness.
System")</f>
        <v>Chapter 32: 26 Correspondence - Addendum Rory
Simple Scientific Solution (Tenchi Muyo) 100:
Science solves everything, even the little household problems. You can create supertech improvements to common tools and appliances, up to and including automobiles or similar works of engineering.
Create dishwashers that can clean dishes in an instant, self heating plumbing or forcefield windowpanes that act as air conditioners.
Well established methodologies and an instinctive grasp of same allow you to draw conclusions or produce results incredibly fast. You halve the time it takes to gather data, compose research on some subject, or devise a test to prove/disprove something handy for when you have to figure out an enemy fortresses’s one weakness.
System</v>
      </c>
      <c r="B332" s="17" t="str">
        <f>IFERROR(__xludf.DUMMYFUNCTION("""COMPUTED_VALUE"""),"
")</f>
        <v>
</v>
      </c>
      <c r="C332" s="17" t="str">
        <f>IFERROR(__xludf.DUMMYFUNCTION("""COMPUTED_VALUE"""),"
")</f>
        <v>
</v>
      </c>
      <c r="D332" s="17" t="str">
        <f>IFERROR(__xludf.DUMMYFUNCTION("""COMPUTED_VALUE"""),"
")</f>
        <v>
</v>
      </c>
      <c r="E332" s="17" t="str">
        <f>IFERROR(__xludf.DUMMYFUNCTION("""COMPUTED_VALUE"""),"
")</f>
        <v>
</v>
      </c>
      <c r="F332" s="17" t="str">
        <f>IFERROR(__xludf.DUMMYFUNCTION("""COMPUTED_VALUE"""),"
")</f>
        <v>
</v>
      </c>
      <c r="G332" s="17" t="str">
        <f>IFERROR(__xludf.DUMMYFUNCTION("""COMPUTED_VALUE"""),"
")</f>
        <v>
</v>
      </c>
      <c r="H332" s="17" t="str">
        <f>IFERROR(__xludf.DUMMYFUNCTION("""COMPUTED_VALUE"""),"
")</f>
        <v>
</v>
      </c>
      <c r="I332" s="17" t="str">
        <f>IFERROR(__xludf.DUMMYFUNCTION("""COMPUTED_VALUE"""),"
")</f>
        <v>
</v>
      </c>
      <c r="J332" s="17" t="str">
        <f>IFERROR(__xludf.DUMMYFUNCTION("""COMPUTED_VALUE"""),"
")</f>
        <v>
</v>
      </c>
      <c r="K332" s="17" t="str">
        <f>IFERROR(__xludf.DUMMYFUNCTION("""COMPUTED_VALUE"""),"
")</f>
        <v>
</v>
      </c>
      <c r="L332" s="17" t="str">
        <f>IFERROR(__xludf.DUMMYFUNCTION("""COMPUTED_VALUE"""),"
")</f>
        <v>
</v>
      </c>
      <c r="M332" s="17" t="str">
        <f>IFERROR(__xludf.DUMMYFUNCTION("""COMPUTED_VALUE"""),"
")</f>
        <v>
</v>
      </c>
      <c r="N332" s="17" t="str">
        <f>IFERROR(__xludf.DUMMYFUNCTION("""COMPUTED_VALUE"""),"
")</f>
        <v>
</v>
      </c>
      <c r="O332" s="17" t="str">
        <f>IFERROR(__xludf.DUMMYFUNCTION("""COMPUTED_VALUE"""),"
")</f>
        <v>
</v>
      </c>
      <c r="P332" s="17" t="str">
        <f>IFERROR(__xludf.DUMMYFUNCTION("""COMPUTED_VALUE"""),"
")</f>
        <v>
</v>
      </c>
      <c r="Q332" s="17" t="str">
        <f>IFERROR(__xludf.DUMMYFUNCTION("""COMPUTED_VALUE"""),"
")</f>
        <v>
</v>
      </c>
      <c r="R332" s="17" t="str">
        <f>IFERROR(__xludf.DUMMYFUNCTION("""COMPUTED_VALUE"""),"
")</f>
        <v>
</v>
      </c>
      <c r="S332" s="17" t="str">
        <f>IFERROR(__xludf.DUMMYFUNCTION("""COMPUTED_VALUE"""),"
")</f>
        <v>
</v>
      </c>
      <c r="T332" s="17" t="str">
        <f>IFERROR(__xludf.DUMMYFUNCTION("""COMPUTED_VALUE"""),"
")</f>
        <v>
</v>
      </c>
      <c r="U332" s="17" t="str">
        <f>IFERROR(__xludf.DUMMYFUNCTION("""COMPUTED_VALUE"""),"
")</f>
        <v>
</v>
      </c>
      <c r="V332" s="17" t="str">
        <f>IFERROR(__xludf.DUMMYFUNCTION("""COMPUTED_VALUE"""),"
")</f>
        <v>
</v>
      </c>
      <c r="W332" s="17" t="str">
        <f>IFERROR(__xludf.DUMMYFUNCTION("""COMPUTED_VALUE"""),"
")</f>
        <v>
</v>
      </c>
      <c r="X332" s="17" t="str">
        <f>IFERROR(__xludf.DUMMYFUNCTION("""COMPUTED_VALUE"""),"
")</f>
        <v>
</v>
      </c>
      <c r="Y332" s="17" t="str">
        <f>IFERROR(__xludf.DUMMYFUNCTION("""COMPUTED_VALUE"""),"
")</f>
        <v>
</v>
      </c>
      <c r="Z332" s="17" t="str">
        <f>IFERROR(__xludf.DUMMYFUNCTION("""COMPUTED_VALUE"""),"
")</f>
        <v>
</v>
      </c>
      <c r="AA332" s="17" t="str">
        <f>IFERROR(__xludf.DUMMYFUNCTION("""COMPUTED_VALUE"""),"
")</f>
        <v>
</v>
      </c>
      <c r="AB332" s="17" t="str">
        <f>IFERROR(__xludf.DUMMYFUNCTION("""COMPUTED_VALUE"""),"
")</f>
        <v>
</v>
      </c>
      <c r="AC332" s="17" t="str">
        <f>IFERROR(__xludf.DUMMYFUNCTION("""COMPUTED_VALUE"""),"
")</f>
        <v>
</v>
      </c>
    </row>
    <row r="333">
      <c r="A333" s="17" t="str">
        <f>IFERROR(__xludf.DUMMYFUNCTION("""COMPUTED_VALUE"""),"Chapter 108: 77 Determination - Preamble Mimi
Gadgeteer (Totally Spies/Martin Mystery) 600:
Not only do you have the knowledge and resources to produce all of WOOHP and the Center's gadgets quickly and efficiently, but you'll never run out of ideas for ne"&amp;"w gadgets, and you'll be able to incorporate any other technologies you know seamlessly
System")</f>
        <v>Chapter 108: 77 Determination - Preamble Mimi
Gadgeteer (Totally Spies/Martin Mystery) 600:
Not only do you have the knowledge and resources to produce all of WOOHP and the Center's gadgets quickly and efficiently, but you'll never run out of ideas for new gadgets, and you'll be able to incorporate any other technologies you know seamlessly
System</v>
      </c>
      <c r="B333" s="17" t="str">
        <f>IFERROR(__xludf.DUMMYFUNCTION("""COMPUTED_VALUE"""),"Chapter 108: 77 Determination - Preamble Mimi
Catsuit (Totally Spies/Martin Mystery) Free:
A nearly skintight catsuit in a color of your choice.
Item")</f>
        <v>Chapter 108: 77 Determination - Preamble Mimi
Catsuit (Totally Spies/Martin Mystery) Free:
A nearly skintight catsuit in a color of your choice.
Item</v>
      </c>
      <c r="C333" s="17" t="str">
        <f>IFERROR(__xludf.DUMMYFUNCTION("""COMPUTED_VALUE"""),"
")</f>
        <v>
</v>
      </c>
      <c r="D333" s="17" t="str">
        <f>IFERROR(__xludf.DUMMYFUNCTION("""COMPUTED_VALUE"""),"
")</f>
        <v>
</v>
      </c>
      <c r="E333" s="17" t="str">
        <f>IFERROR(__xludf.DUMMYFUNCTION("""COMPUTED_VALUE"""),"
")</f>
        <v>
</v>
      </c>
      <c r="F333" s="17" t="str">
        <f>IFERROR(__xludf.DUMMYFUNCTION("""COMPUTED_VALUE"""),"
")</f>
        <v>
</v>
      </c>
      <c r="G333" s="17" t="str">
        <f>IFERROR(__xludf.DUMMYFUNCTION("""COMPUTED_VALUE"""),"
")</f>
        <v>
</v>
      </c>
      <c r="H333" s="17" t="str">
        <f>IFERROR(__xludf.DUMMYFUNCTION("""COMPUTED_VALUE"""),"
")</f>
        <v>
</v>
      </c>
      <c r="I333" s="17" t="str">
        <f>IFERROR(__xludf.DUMMYFUNCTION("""COMPUTED_VALUE"""),"
")</f>
        <v>
</v>
      </c>
      <c r="J333" s="17" t="str">
        <f>IFERROR(__xludf.DUMMYFUNCTION("""COMPUTED_VALUE"""),"
")</f>
        <v>
</v>
      </c>
      <c r="K333" s="17" t="str">
        <f>IFERROR(__xludf.DUMMYFUNCTION("""COMPUTED_VALUE"""),"
")</f>
        <v>
</v>
      </c>
      <c r="L333" s="17" t="str">
        <f>IFERROR(__xludf.DUMMYFUNCTION("""COMPUTED_VALUE"""),"
")</f>
        <v>
</v>
      </c>
      <c r="M333" s="17" t="str">
        <f>IFERROR(__xludf.DUMMYFUNCTION("""COMPUTED_VALUE"""),"
")</f>
        <v>
</v>
      </c>
      <c r="N333" s="17" t="str">
        <f>IFERROR(__xludf.DUMMYFUNCTION("""COMPUTED_VALUE"""),"
")</f>
        <v>
</v>
      </c>
      <c r="O333" s="17" t="str">
        <f>IFERROR(__xludf.DUMMYFUNCTION("""COMPUTED_VALUE"""),"
")</f>
        <v>
</v>
      </c>
      <c r="P333" s="17" t="str">
        <f>IFERROR(__xludf.DUMMYFUNCTION("""COMPUTED_VALUE"""),"
")</f>
        <v>
</v>
      </c>
      <c r="Q333" s="17" t="str">
        <f>IFERROR(__xludf.DUMMYFUNCTION("""COMPUTED_VALUE"""),"
")</f>
        <v>
</v>
      </c>
      <c r="R333" s="17" t="str">
        <f>IFERROR(__xludf.DUMMYFUNCTION("""COMPUTED_VALUE"""),"
")</f>
        <v>
</v>
      </c>
      <c r="S333" s="17" t="str">
        <f>IFERROR(__xludf.DUMMYFUNCTION("""COMPUTED_VALUE"""),"
")</f>
        <v>
</v>
      </c>
      <c r="T333" s="17" t="str">
        <f>IFERROR(__xludf.DUMMYFUNCTION("""COMPUTED_VALUE"""),"
")</f>
        <v>
</v>
      </c>
      <c r="U333" s="17" t="str">
        <f>IFERROR(__xludf.DUMMYFUNCTION("""COMPUTED_VALUE"""),"
")</f>
        <v>
</v>
      </c>
      <c r="V333" s="17" t="str">
        <f>IFERROR(__xludf.DUMMYFUNCTION("""COMPUTED_VALUE"""),"
")</f>
        <v>
</v>
      </c>
      <c r="W333" s="17" t="str">
        <f>IFERROR(__xludf.DUMMYFUNCTION("""COMPUTED_VALUE"""),"
")</f>
        <v>
</v>
      </c>
      <c r="X333" s="17" t="str">
        <f>IFERROR(__xludf.DUMMYFUNCTION("""COMPUTED_VALUE"""),"
")</f>
        <v>
</v>
      </c>
      <c r="Y333" s="17" t="str">
        <f>IFERROR(__xludf.DUMMYFUNCTION("""COMPUTED_VALUE"""),"
")</f>
        <v>
</v>
      </c>
      <c r="Z333" s="17" t="str">
        <f>IFERROR(__xludf.DUMMYFUNCTION("""COMPUTED_VALUE"""),"
")</f>
        <v>
</v>
      </c>
      <c r="AA333" s="17" t="str">
        <f>IFERROR(__xludf.DUMMYFUNCTION("""COMPUTED_VALUE"""),"
")</f>
        <v>
</v>
      </c>
      <c r="AB333" s="17" t="str">
        <f>IFERROR(__xludf.DUMMYFUNCTION("""COMPUTED_VALUE"""),"
")</f>
        <v>
</v>
      </c>
      <c r="AC333" s="17" t="str">
        <f>IFERROR(__xludf.DUMMYFUNCTION("""COMPUTED_VALUE"""),"
")</f>
        <v>
</v>
      </c>
    </row>
    <row r="334">
      <c r="A334" s="17" t="str">
        <f>IFERROR(__xludf.DUMMYFUNCTION("""COMPUTED_VALUE"""),"Chapter 69: 54 Overtime
Resources: Manufacturing Line (Valkyria Chronicles) 400:
You've always been of the opinion that technology advanced too slowly before you arrived, but now you can apply that to the physical world as well! Any building process you o"&amp;"versee, whether it be the forging of a sword or an entire tank factory, will now produce results twice as fast and with half the required materials used.
Fiat")</f>
        <v>Chapter 69: 54 Overtime
Resources: Manufacturing Line (Valkyria Chronicles) 400:
You've always been of the opinion that technology advanced too slowly before you arrived, but now you can apply that to the physical world as well! Any building process you oversee, whether it be the forging of a sword or an entire tank factory, will now produce results twice as fast and with half the required materials used.
Fiat</v>
      </c>
      <c r="B334" s="17" t="str">
        <f>IFERROR(__xludf.DUMMYFUNCTION("""COMPUTED_VALUE"""),"
")</f>
        <v>
</v>
      </c>
      <c r="C334" s="17" t="str">
        <f>IFERROR(__xludf.DUMMYFUNCTION("""COMPUTED_VALUE"""),"
")</f>
        <v>
</v>
      </c>
      <c r="D334" s="17" t="str">
        <f>IFERROR(__xludf.DUMMYFUNCTION("""COMPUTED_VALUE"""),"
")</f>
        <v>
</v>
      </c>
      <c r="E334" s="17" t="str">
        <f>IFERROR(__xludf.DUMMYFUNCTION("""COMPUTED_VALUE"""),"
")</f>
        <v>
</v>
      </c>
      <c r="F334" s="17" t="str">
        <f>IFERROR(__xludf.DUMMYFUNCTION("""COMPUTED_VALUE"""),"
")</f>
        <v>
</v>
      </c>
      <c r="G334" s="17" t="str">
        <f>IFERROR(__xludf.DUMMYFUNCTION("""COMPUTED_VALUE"""),"
")</f>
        <v>
</v>
      </c>
      <c r="H334" s="17" t="str">
        <f>IFERROR(__xludf.DUMMYFUNCTION("""COMPUTED_VALUE"""),"
")</f>
        <v>
</v>
      </c>
      <c r="I334" s="17" t="str">
        <f>IFERROR(__xludf.DUMMYFUNCTION("""COMPUTED_VALUE"""),"
")</f>
        <v>
</v>
      </c>
      <c r="J334" s="17" t="str">
        <f>IFERROR(__xludf.DUMMYFUNCTION("""COMPUTED_VALUE"""),"
")</f>
        <v>
</v>
      </c>
      <c r="K334" s="17" t="str">
        <f>IFERROR(__xludf.DUMMYFUNCTION("""COMPUTED_VALUE"""),"
")</f>
        <v>
</v>
      </c>
      <c r="L334" s="17" t="str">
        <f>IFERROR(__xludf.DUMMYFUNCTION("""COMPUTED_VALUE"""),"
")</f>
        <v>
</v>
      </c>
      <c r="M334" s="17" t="str">
        <f>IFERROR(__xludf.DUMMYFUNCTION("""COMPUTED_VALUE"""),"
")</f>
        <v>
</v>
      </c>
      <c r="N334" s="17" t="str">
        <f>IFERROR(__xludf.DUMMYFUNCTION("""COMPUTED_VALUE"""),"
")</f>
        <v>
</v>
      </c>
      <c r="O334" s="17" t="str">
        <f>IFERROR(__xludf.DUMMYFUNCTION("""COMPUTED_VALUE"""),"
")</f>
        <v>
</v>
      </c>
      <c r="P334" s="17" t="str">
        <f>IFERROR(__xludf.DUMMYFUNCTION("""COMPUTED_VALUE"""),"
")</f>
        <v>
</v>
      </c>
      <c r="Q334" s="17" t="str">
        <f>IFERROR(__xludf.DUMMYFUNCTION("""COMPUTED_VALUE"""),"
")</f>
        <v>
</v>
      </c>
      <c r="R334" s="17" t="str">
        <f>IFERROR(__xludf.DUMMYFUNCTION("""COMPUTED_VALUE"""),"
")</f>
        <v>
</v>
      </c>
      <c r="S334" s="17" t="str">
        <f>IFERROR(__xludf.DUMMYFUNCTION("""COMPUTED_VALUE"""),"
")</f>
        <v>
</v>
      </c>
      <c r="T334" s="17" t="str">
        <f>IFERROR(__xludf.DUMMYFUNCTION("""COMPUTED_VALUE"""),"
")</f>
        <v>
</v>
      </c>
      <c r="U334" s="17" t="str">
        <f>IFERROR(__xludf.DUMMYFUNCTION("""COMPUTED_VALUE"""),"
")</f>
        <v>
</v>
      </c>
      <c r="V334" s="17" t="str">
        <f>IFERROR(__xludf.DUMMYFUNCTION("""COMPUTED_VALUE"""),"
")</f>
        <v>
</v>
      </c>
      <c r="W334" s="17" t="str">
        <f>IFERROR(__xludf.DUMMYFUNCTION("""COMPUTED_VALUE"""),"
")</f>
        <v>
</v>
      </c>
      <c r="X334" s="17" t="str">
        <f>IFERROR(__xludf.DUMMYFUNCTION("""COMPUTED_VALUE"""),"
")</f>
        <v>
</v>
      </c>
      <c r="Y334" s="17" t="str">
        <f>IFERROR(__xludf.DUMMYFUNCTION("""COMPUTED_VALUE"""),"
")</f>
        <v>
</v>
      </c>
      <c r="Z334" s="17" t="str">
        <f>IFERROR(__xludf.DUMMYFUNCTION("""COMPUTED_VALUE"""),"
")</f>
        <v>
</v>
      </c>
      <c r="AA334" s="17" t="str">
        <f>IFERROR(__xludf.DUMMYFUNCTION("""COMPUTED_VALUE"""),"
")</f>
        <v>
</v>
      </c>
      <c r="AB334" s="17" t="str">
        <f>IFERROR(__xludf.DUMMYFUNCTION("""COMPUTED_VALUE"""),"
")</f>
        <v>
</v>
      </c>
      <c r="AC334" s="17" t="str">
        <f>IFERROR(__xludf.DUMMYFUNCTION("""COMPUTED_VALUE"""),"
")</f>
        <v>
</v>
      </c>
    </row>
    <row r="335">
      <c r="A335" s="17" t="str">
        <f>IFERROR(__xludf.DUMMYFUNCTION("""COMPUTED_VALUE"""),"Chapter 57: 45 Realization - Preamble Taylor
More With Less (XCOM) 300:
Through careful construction, you can remove unnecessary components and get maximum efficiency into your products. What this means, is that you can create the same quality item while "&amp;"using less resources. Items with which you have a limited supply, such as alien materials, can be stretched farther.
Fiat")</f>
        <v>Chapter 57: 45 Realization - Preamble Taylor
More With Less (XCOM) 300:
Through careful construction, you can remove unnecessary components and get maximum efficiency into your products. What this means, is that you can create the same quality item while using less resources. Items with which you have a limited supply, such as alien materials, can be stretched farther.
Fiat</v>
      </c>
      <c r="B335" s="17" t="str">
        <f>IFERROR(__xludf.DUMMYFUNCTION("""COMPUTED_VALUE"""),"
")</f>
        <v>
</v>
      </c>
      <c r="C335" s="17" t="str">
        <f>IFERROR(__xludf.DUMMYFUNCTION("""COMPUTED_VALUE"""),"
")</f>
        <v>
</v>
      </c>
      <c r="D335" s="17" t="str">
        <f>IFERROR(__xludf.DUMMYFUNCTION("""COMPUTED_VALUE"""),"
")</f>
        <v>
</v>
      </c>
      <c r="E335" s="17" t="str">
        <f>IFERROR(__xludf.DUMMYFUNCTION("""COMPUTED_VALUE"""),"
")</f>
        <v>
</v>
      </c>
      <c r="F335" s="17" t="str">
        <f>IFERROR(__xludf.DUMMYFUNCTION("""COMPUTED_VALUE"""),"
")</f>
        <v>
</v>
      </c>
      <c r="G335" s="17" t="str">
        <f>IFERROR(__xludf.DUMMYFUNCTION("""COMPUTED_VALUE"""),"
")</f>
        <v>
</v>
      </c>
      <c r="H335" s="17" t="str">
        <f>IFERROR(__xludf.DUMMYFUNCTION("""COMPUTED_VALUE"""),"
")</f>
        <v>
</v>
      </c>
      <c r="I335" s="17" t="str">
        <f>IFERROR(__xludf.DUMMYFUNCTION("""COMPUTED_VALUE"""),"
")</f>
        <v>
</v>
      </c>
      <c r="J335" s="17" t="str">
        <f>IFERROR(__xludf.DUMMYFUNCTION("""COMPUTED_VALUE"""),"
")</f>
        <v>
</v>
      </c>
      <c r="K335" s="17" t="str">
        <f>IFERROR(__xludf.DUMMYFUNCTION("""COMPUTED_VALUE"""),"
")</f>
        <v>
</v>
      </c>
      <c r="L335" s="17" t="str">
        <f>IFERROR(__xludf.DUMMYFUNCTION("""COMPUTED_VALUE"""),"
")</f>
        <v>
</v>
      </c>
      <c r="M335" s="17" t="str">
        <f>IFERROR(__xludf.DUMMYFUNCTION("""COMPUTED_VALUE"""),"
")</f>
        <v>
</v>
      </c>
      <c r="N335" s="17" t="str">
        <f>IFERROR(__xludf.DUMMYFUNCTION("""COMPUTED_VALUE"""),"
")</f>
        <v>
</v>
      </c>
      <c r="O335" s="17" t="str">
        <f>IFERROR(__xludf.DUMMYFUNCTION("""COMPUTED_VALUE"""),"
")</f>
        <v>
</v>
      </c>
      <c r="P335" s="17" t="str">
        <f>IFERROR(__xludf.DUMMYFUNCTION("""COMPUTED_VALUE"""),"
")</f>
        <v>
</v>
      </c>
      <c r="Q335" s="17" t="str">
        <f>IFERROR(__xludf.DUMMYFUNCTION("""COMPUTED_VALUE"""),"
")</f>
        <v>
</v>
      </c>
      <c r="R335" s="17" t="str">
        <f>IFERROR(__xludf.DUMMYFUNCTION("""COMPUTED_VALUE"""),"
")</f>
        <v>
</v>
      </c>
      <c r="S335" s="17" t="str">
        <f>IFERROR(__xludf.DUMMYFUNCTION("""COMPUTED_VALUE"""),"
")</f>
        <v>
</v>
      </c>
      <c r="T335" s="17" t="str">
        <f>IFERROR(__xludf.DUMMYFUNCTION("""COMPUTED_VALUE"""),"
")</f>
        <v>
</v>
      </c>
      <c r="U335" s="17" t="str">
        <f>IFERROR(__xludf.DUMMYFUNCTION("""COMPUTED_VALUE"""),"
")</f>
        <v>
</v>
      </c>
      <c r="V335" s="17" t="str">
        <f>IFERROR(__xludf.DUMMYFUNCTION("""COMPUTED_VALUE"""),"
")</f>
        <v>
</v>
      </c>
      <c r="W335" s="17" t="str">
        <f>IFERROR(__xludf.DUMMYFUNCTION("""COMPUTED_VALUE"""),"
")</f>
        <v>
</v>
      </c>
      <c r="X335" s="17" t="str">
        <f>IFERROR(__xludf.DUMMYFUNCTION("""COMPUTED_VALUE"""),"
")</f>
        <v>
</v>
      </c>
      <c r="Y335" s="17" t="str">
        <f>IFERROR(__xludf.DUMMYFUNCTION("""COMPUTED_VALUE"""),"
")</f>
        <v>
</v>
      </c>
      <c r="Z335" s="17" t="str">
        <f>IFERROR(__xludf.DUMMYFUNCTION("""COMPUTED_VALUE"""),"
")</f>
        <v>
</v>
      </c>
      <c r="AA335" s="17" t="str">
        <f>IFERROR(__xludf.DUMMYFUNCTION("""COMPUTED_VALUE"""),"
")</f>
        <v>
</v>
      </c>
      <c r="AB335" s="17" t="str">
        <f>IFERROR(__xludf.DUMMYFUNCTION("""COMPUTED_VALUE"""),"
")</f>
        <v>
</v>
      </c>
      <c r="AC335" s="17" t="str">
        <f>IFERROR(__xludf.DUMMYFUNCTION("""COMPUTED_VALUE"""),"
")</f>
        <v>
</v>
      </c>
    </row>
    <row r="336">
      <c r="A336" s="17" t="str">
        <f>IFERROR(__xludf.DUMMYFUNCTION("""COMPUTED_VALUE"""),"")</f>
        <v/>
      </c>
      <c r="B336" s="17" t="str">
        <f>IFERROR(__xludf.DUMMYFUNCTION("""COMPUTED_VALUE"""),"")</f>
        <v/>
      </c>
      <c r="C336" s="17" t="str">
        <f>IFERROR(__xludf.DUMMYFUNCTION("""COMPUTED_VALUE"""),"")</f>
        <v/>
      </c>
      <c r="D336" s="17" t="str">
        <f>IFERROR(__xludf.DUMMYFUNCTION("""COMPUTED_VALUE"""),"")</f>
        <v/>
      </c>
      <c r="E336" s="17" t="str">
        <f>IFERROR(__xludf.DUMMYFUNCTION("""COMPUTED_VALUE"""),"")</f>
        <v/>
      </c>
      <c r="F336" s="17" t="str">
        <f>IFERROR(__xludf.DUMMYFUNCTION("""COMPUTED_VALUE"""),"")</f>
        <v/>
      </c>
      <c r="G336" s="17" t="str">
        <f>IFERROR(__xludf.DUMMYFUNCTION("""COMPUTED_VALUE"""),"")</f>
        <v/>
      </c>
      <c r="H336" s="17" t="str">
        <f>IFERROR(__xludf.DUMMYFUNCTION("""COMPUTED_VALUE"""),"")</f>
        <v/>
      </c>
      <c r="I336" s="17" t="str">
        <f>IFERROR(__xludf.DUMMYFUNCTION("""COMPUTED_VALUE"""),"")</f>
        <v/>
      </c>
      <c r="J336" s="17" t="str">
        <f>IFERROR(__xludf.DUMMYFUNCTION("""COMPUTED_VALUE"""),"")</f>
        <v/>
      </c>
      <c r="K336" s="17" t="str">
        <f>IFERROR(__xludf.DUMMYFUNCTION("""COMPUTED_VALUE"""),"")</f>
        <v/>
      </c>
      <c r="L336" s="17" t="str">
        <f>IFERROR(__xludf.DUMMYFUNCTION("""COMPUTED_VALUE"""),"")</f>
        <v/>
      </c>
      <c r="M336" s="17" t="str">
        <f>IFERROR(__xludf.DUMMYFUNCTION("""COMPUTED_VALUE"""),"")</f>
        <v/>
      </c>
      <c r="N336" s="17" t="str">
        <f>IFERROR(__xludf.DUMMYFUNCTION("""COMPUTED_VALUE"""),"")</f>
        <v/>
      </c>
      <c r="O336" s="17" t="str">
        <f>IFERROR(__xludf.DUMMYFUNCTION("""COMPUTED_VALUE"""),"")</f>
        <v/>
      </c>
      <c r="P336" s="17" t="str">
        <f>IFERROR(__xludf.DUMMYFUNCTION("""COMPUTED_VALUE"""),"")</f>
        <v/>
      </c>
      <c r="Q336" s="17" t="str">
        <f>IFERROR(__xludf.DUMMYFUNCTION("""COMPUTED_VALUE"""),"")</f>
        <v/>
      </c>
      <c r="R336" s="17" t="str">
        <f>IFERROR(__xludf.DUMMYFUNCTION("""COMPUTED_VALUE"""),"")</f>
        <v/>
      </c>
      <c r="S336" s="17" t="str">
        <f>IFERROR(__xludf.DUMMYFUNCTION("""COMPUTED_VALUE"""),"")</f>
        <v/>
      </c>
      <c r="T336" s="17" t="str">
        <f>IFERROR(__xludf.DUMMYFUNCTION("""COMPUTED_VALUE"""),"")</f>
        <v/>
      </c>
      <c r="U336" s="17" t="str">
        <f>IFERROR(__xludf.DUMMYFUNCTION("""COMPUTED_VALUE"""),"")</f>
        <v/>
      </c>
      <c r="V336" s="17" t="str">
        <f>IFERROR(__xludf.DUMMYFUNCTION("""COMPUTED_VALUE"""),"")</f>
        <v/>
      </c>
      <c r="W336" s="17" t="str">
        <f>IFERROR(__xludf.DUMMYFUNCTION("""COMPUTED_VALUE"""),"")</f>
        <v/>
      </c>
      <c r="X336" s="17" t="str">
        <f>IFERROR(__xludf.DUMMYFUNCTION("""COMPUTED_VALUE"""),"")</f>
        <v/>
      </c>
      <c r="Y336" s="17" t="str">
        <f>IFERROR(__xludf.DUMMYFUNCTION("""COMPUTED_VALUE"""),"")</f>
        <v/>
      </c>
      <c r="Z336" s="17" t="str">
        <f>IFERROR(__xludf.DUMMYFUNCTION("""COMPUTED_VALUE"""),"")</f>
        <v/>
      </c>
      <c r="AA336" s="17" t="str">
        <f>IFERROR(__xludf.DUMMYFUNCTION("""COMPUTED_VALUE"""),"")</f>
        <v/>
      </c>
      <c r="AB336" s="17" t="str">
        <f>IFERROR(__xludf.DUMMYFUNCTION("""COMPUTED_VALUE"""),"")</f>
        <v/>
      </c>
      <c r="AC336" s="17" t="str">
        <f>IFERROR(__xludf.DUMMYFUNCTION("""COMPUTED_VALUE"""),"")</f>
        <v/>
      </c>
    </row>
    <row r="337">
      <c r="A337" s="17" t="str">
        <f>IFERROR(__xludf.DUMMYFUNCTION("""COMPUTED_VALUE"""),"Chapter 07: 6 Commission
Nanite Sciences (Generator Rex) 100:
You possess in depth knowledge of nanite technologies. With sufficient equipment and resources you could produce and control nanite machines, possibly even recreate the nanite event or maybe fi"&amp;"gure out how to reverse its effects. But that would take a long time of additional study of nanites out in the world, still you might be one of the few who could attempt this endeavor. You possess no knowledge of the meta-nanites, and understanding how th"&amp;"ey work is beyond your grasp
System")</f>
        <v>Chapter 07: 6 Commission
Nanite Sciences (Generator Rex) 100:
You possess in depth knowledge of nanite technologies. With sufficient equipment and resources you could produce and control nanite machines, possibly even recreate the nanite event or maybe figure out how to reverse its effects. But that would take a long time of additional study of nanites out in the world, still you might be one of the few who could attempt this endeavor. You possess no knowledge of the meta-nanites, and understanding how they work is beyond your grasp
System</v>
      </c>
      <c r="B337" s="17" t="str">
        <f>IFERROR(__xludf.DUMMYFUNCTION("""COMPUTED_VALUE"""),"Chapter 15: 12 Conference
Nanite Removal and Control (Generator Rex) 400:
Many in this world would consider this is your most important ability, you can control nanites and absorb them into yourself, reverting dangerous mutations and can help people regai"&amp;"n control of themselves. At first however this power will only work on willing targets, and will not work on incurable, especially virulent nanite infested EVOs. However with training and time, your powers can grow to circumvent these rules. Your greatest"&amp;" limitation is the fact that as you absorb nanites your reservoirs fill to the breaking point, causing dangerous flare ups and renders your abilities unstable. You can purge these nanities, but figuring out how to do so in a safe way with a large amount o"&amp;"f unstable nanites may take some effort.
After this Jump your nanites can be used to heal people, whether of wounds, diseases, or possibly even mutations or others turned into a monster. Success will vary depending on factors, a mystical curse is probably"&amp;" beyond your nanites, a really out of this world super virus might be cured, but that's iffy.
If you happen to run into other nanites in other jumps, you could control and manipulate them as well.
Ability")</f>
        <v>Chapter 15: 12 Conference
Nanite Removal and Control (Generator Rex) 400:
Many in this world would consider this is your most important ability, you can control nanites and absorb them into yourself, reverting dangerous mutations and can help people regain control of themselves. At first however this power will only work on willing targets, and will not work on incurable, especially virulent nanite infested EVOs. However with training and time, your powers can grow to circumvent these rules. Your greatest limitation is the fact that as you absorb nanites your reservoirs fill to the breaking point, causing dangerous flare ups and renders your abilities unstable. You can purge these nanities, but figuring out how to do so in a safe way with a large amount of unstable nanites may take some effort.
After this Jump your nanites can be used to heal people, whether of wounds, diseases, or possibly even mutations or others turned into a monster. Success will vary depending on factors, a mystical curse is probably beyond your nanites, a really out of this world super virus might be cured, but that's iffy.
If you happen to run into other nanites in other jumps, you could control and manipulate them as well.
Ability</v>
      </c>
      <c r="C337" s="17" t="str">
        <f>IFERROR(__xludf.DUMMYFUNCTION("""COMPUTED_VALUE"""),"
")</f>
        <v>
</v>
      </c>
      <c r="D337" s="17" t="str">
        <f>IFERROR(__xludf.DUMMYFUNCTION("""COMPUTED_VALUE"""),"
")</f>
        <v>
</v>
      </c>
      <c r="E337" s="17" t="str">
        <f>IFERROR(__xludf.DUMMYFUNCTION("""COMPUTED_VALUE"""),"
")</f>
        <v>
</v>
      </c>
      <c r="F337" s="17" t="str">
        <f>IFERROR(__xludf.DUMMYFUNCTION("""COMPUTED_VALUE"""),"
")</f>
        <v>
</v>
      </c>
      <c r="G337" s="17" t="str">
        <f>IFERROR(__xludf.DUMMYFUNCTION("""COMPUTED_VALUE"""),"
")</f>
        <v>
</v>
      </c>
      <c r="H337" s="17" t="str">
        <f>IFERROR(__xludf.DUMMYFUNCTION("""COMPUTED_VALUE"""),"
")</f>
        <v>
</v>
      </c>
      <c r="I337" s="17" t="str">
        <f>IFERROR(__xludf.DUMMYFUNCTION("""COMPUTED_VALUE"""),"
")</f>
        <v>
</v>
      </c>
      <c r="J337" s="17" t="str">
        <f>IFERROR(__xludf.DUMMYFUNCTION("""COMPUTED_VALUE"""),"
")</f>
        <v>
</v>
      </c>
      <c r="K337" s="17" t="str">
        <f>IFERROR(__xludf.DUMMYFUNCTION("""COMPUTED_VALUE"""),"
")</f>
        <v>
</v>
      </c>
      <c r="L337" s="17" t="str">
        <f>IFERROR(__xludf.DUMMYFUNCTION("""COMPUTED_VALUE"""),"
")</f>
        <v>
</v>
      </c>
      <c r="M337" s="17" t="str">
        <f>IFERROR(__xludf.DUMMYFUNCTION("""COMPUTED_VALUE"""),"
")</f>
        <v>
</v>
      </c>
      <c r="N337" s="17" t="str">
        <f>IFERROR(__xludf.DUMMYFUNCTION("""COMPUTED_VALUE"""),"
")</f>
        <v>
</v>
      </c>
      <c r="O337" s="17" t="str">
        <f>IFERROR(__xludf.DUMMYFUNCTION("""COMPUTED_VALUE"""),"
")</f>
        <v>
</v>
      </c>
      <c r="P337" s="17" t="str">
        <f>IFERROR(__xludf.DUMMYFUNCTION("""COMPUTED_VALUE"""),"
")</f>
        <v>
</v>
      </c>
      <c r="Q337" s="17" t="str">
        <f>IFERROR(__xludf.DUMMYFUNCTION("""COMPUTED_VALUE"""),"
")</f>
        <v>
</v>
      </c>
      <c r="R337" s="17" t="str">
        <f>IFERROR(__xludf.DUMMYFUNCTION("""COMPUTED_VALUE"""),"
")</f>
        <v>
</v>
      </c>
      <c r="S337" s="17" t="str">
        <f>IFERROR(__xludf.DUMMYFUNCTION("""COMPUTED_VALUE"""),"
")</f>
        <v>
</v>
      </c>
      <c r="T337" s="17" t="str">
        <f>IFERROR(__xludf.DUMMYFUNCTION("""COMPUTED_VALUE"""),"
")</f>
        <v>
</v>
      </c>
      <c r="U337" s="17" t="str">
        <f>IFERROR(__xludf.DUMMYFUNCTION("""COMPUTED_VALUE"""),"
")</f>
        <v>
</v>
      </c>
      <c r="V337" s="17" t="str">
        <f>IFERROR(__xludf.DUMMYFUNCTION("""COMPUTED_VALUE"""),"
")</f>
        <v>
</v>
      </c>
      <c r="W337" s="17" t="str">
        <f>IFERROR(__xludf.DUMMYFUNCTION("""COMPUTED_VALUE"""),"
")</f>
        <v>
</v>
      </c>
      <c r="X337" s="17" t="str">
        <f>IFERROR(__xludf.DUMMYFUNCTION("""COMPUTED_VALUE"""),"
")</f>
        <v>
</v>
      </c>
      <c r="Y337" s="17" t="str">
        <f>IFERROR(__xludf.DUMMYFUNCTION("""COMPUTED_VALUE"""),"
")</f>
        <v>
</v>
      </c>
      <c r="Z337" s="17" t="str">
        <f>IFERROR(__xludf.DUMMYFUNCTION("""COMPUTED_VALUE"""),"
")</f>
        <v>
</v>
      </c>
      <c r="AA337" s="17" t="str">
        <f>IFERROR(__xludf.DUMMYFUNCTION("""COMPUTED_VALUE"""),"
")</f>
        <v>
</v>
      </c>
      <c r="AB337" s="17" t="str">
        <f>IFERROR(__xludf.DUMMYFUNCTION("""COMPUTED_VALUE"""),"
")</f>
        <v>
</v>
      </c>
      <c r="AC337" s="17" t="str">
        <f>IFERROR(__xludf.DUMMYFUNCTION("""COMPUTED_VALUE"""),"
")</f>
        <v>
</v>
      </c>
    </row>
    <row r="338">
      <c r="A338" s="17" t="str">
        <f>IFERROR(__xludf.DUMMYFUNCTION("""COMPUTED_VALUE"""),"Chapter 33: 27 Intrusion - Addendum Hannah
Gadget Master (James Bond: 007) 300:
You’ve been trained by Major Boothroyd at the skills of his job. You’re excellent at creating and maintaining gadgets of all types. You can miniaturize nearly anything, and hi"&amp;"de things in forms that... really shouldn’t work. You can even make lasers! You’re also good at coming up with ideas for unusual methods of assassination; beheading umbrellas, flamethrower bagpipes, and the like.
System")</f>
        <v>Chapter 33: 27 Intrusion - Addendum Hannah
Gadget Master (James Bond: 007) 300:
You’ve been trained by Major Boothroyd at the skills of his job. You’re excellent at creating and maintaining gadgets of all types. You can miniaturize nearly anything, and hide things in forms that... really shouldn’t work. You can even make lasers! You’re also good at coming up with ideas for unusual methods of assassination; beheading umbrellas, flamethrower bagpipes, and the like.
System</v>
      </c>
      <c r="B338" s="17" t="str">
        <f>IFERROR(__xludf.DUMMYFUNCTION("""COMPUTED_VALUE"""),"
")</f>
        <v>
</v>
      </c>
      <c r="C338" s="17" t="str">
        <f>IFERROR(__xludf.DUMMYFUNCTION("""COMPUTED_VALUE"""),"
")</f>
        <v>
</v>
      </c>
      <c r="D338" s="17" t="str">
        <f>IFERROR(__xludf.DUMMYFUNCTION("""COMPUTED_VALUE"""),"
")</f>
        <v>
</v>
      </c>
      <c r="E338" s="17" t="str">
        <f>IFERROR(__xludf.DUMMYFUNCTION("""COMPUTED_VALUE"""),"
")</f>
        <v>
</v>
      </c>
      <c r="F338" s="17" t="str">
        <f>IFERROR(__xludf.DUMMYFUNCTION("""COMPUTED_VALUE"""),"
")</f>
        <v>
</v>
      </c>
      <c r="G338" s="17" t="str">
        <f>IFERROR(__xludf.DUMMYFUNCTION("""COMPUTED_VALUE"""),"
")</f>
        <v>
</v>
      </c>
      <c r="H338" s="17" t="str">
        <f>IFERROR(__xludf.DUMMYFUNCTION("""COMPUTED_VALUE"""),"
")</f>
        <v>
</v>
      </c>
      <c r="I338" s="17" t="str">
        <f>IFERROR(__xludf.DUMMYFUNCTION("""COMPUTED_VALUE"""),"
")</f>
        <v>
</v>
      </c>
      <c r="J338" s="17" t="str">
        <f>IFERROR(__xludf.DUMMYFUNCTION("""COMPUTED_VALUE"""),"
")</f>
        <v>
</v>
      </c>
      <c r="K338" s="17" t="str">
        <f>IFERROR(__xludf.DUMMYFUNCTION("""COMPUTED_VALUE"""),"
")</f>
        <v>
</v>
      </c>
      <c r="L338" s="17" t="str">
        <f>IFERROR(__xludf.DUMMYFUNCTION("""COMPUTED_VALUE"""),"
")</f>
        <v>
</v>
      </c>
      <c r="M338" s="17" t="str">
        <f>IFERROR(__xludf.DUMMYFUNCTION("""COMPUTED_VALUE"""),"
")</f>
        <v>
</v>
      </c>
      <c r="N338" s="17" t="str">
        <f>IFERROR(__xludf.DUMMYFUNCTION("""COMPUTED_VALUE"""),"
")</f>
        <v>
</v>
      </c>
      <c r="O338" s="17" t="str">
        <f>IFERROR(__xludf.DUMMYFUNCTION("""COMPUTED_VALUE"""),"
")</f>
        <v>
</v>
      </c>
      <c r="P338" s="17" t="str">
        <f>IFERROR(__xludf.DUMMYFUNCTION("""COMPUTED_VALUE"""),"
")</f>
        <v>
</v>
      </c>
      <c r="Q338" s="17" t="str">
        <f>IFERROR(__xludf.DUMMYFUNCTION("""COMPUTED_VALUE"""),"
")</f>
        <v>
</v>
      </c>
      <c r="R338" s="17" t="str">
        <f>IFERROR(__xludf.DUMMYFUNCTION("""COMPUTED_VALUE"""),"
")</f>
        <v>
</v>
      </c>
      <c r="S338" s="17" t="str">
        <f>IFERROR(__xludf.DUMMYFUNCTION("""COMPUTED_VALUE"""),"
")</f>
        <v>
</v>
      </c>
      <c r="T338" s="17" t="str">
        <f>IFERROR(__xludf.DUMMYFUNCTION("""COMPUTED_VALUE"""),"
")</f>
        <v>
</v>
      </c>
      <c r="U338" s="17" t="str">
        <f>IFERROR(__xludf.DUMMYFUNCTION("""COMPUTED_VALUE"""),"
")</f>
        <v>
</v>
      </c>
      <c r="V338" s="17" t="str">
        <f>IFERROR(__xludf.DUMMYFUNCTION("""COMPUTED_VALUE"""),"
")</f>
        <v>
</v>
      </c>
      <c r="W338" s="17" t="str">
        <f>IFERROR(__xludf.DUMMYFUNCTION("""COMPUTED_VALUE"""),"
")</f>
        <v>
</v>
      </c>
      <c r="X338" s="17" t="str">
        <f>IFERROR(__xludf.DUMMYFUNCTION("""COMPUTED_VALUE"""),"
")</f>
        <v>
</v>
      </c>
      <c r="Y338" s="17" t="str">
        <f>IFERROR(__xludf.DUMMYFUNCTION("""COMPUTED_VALUE"""),"
")</f>
        <v>
</v>
      </c>
      <c r="Z338" s="17" t="str">
        <f>IFERROR(__xludf.DUMMYFUNCTION("""COMPUTED_VALUE"""),"
")</f>
        <v>
</v>
      </c>
      <c r="AA338" s="17" t="str">
        <f>IFERROR(__xludf.DUMMYFUNCTION("""COMPUTED_VALUE"""),"
")</f>
        <v>
</v>
      </c>
      <c r="AB338" s="17" t="str">
        <f>IFERROR(__xludf.DUMMYFUNCTION("""COMPUTED_VALUE"""),"
")</f>
        <v>
</v>
      </c>
      <c r="AC338" s="17" t="str">
        <f>IFERROR(__xludf.DUMMYFUNCTION("""COMPUTED_VALUE"""),"
")</f>
        <v>
</v>
      </c>
    </row>
    <row r="339">
      <c r="A339" s="17" t="str">
        <f>IFERROR(__xludf.DUMMYFUNCTION("""COMPUTED_VALUE"""),"Chapter 29: 23 Renovation - Addendum Taylor
They're Like Legoes, Right? (Kerbal Space Program) 200:
There's robust engineering, and then there's modularity. Pick one. Except for you - you seem to have the gift of designing methods that allow for seamless "&amp;"mixing and matching of modular technology that lack none of the parts incompatibility and fragility you'd except from such a design paradigm. While this seems focused on Kerbin technology in specific, a little work should have you applying such a paradigm"&amp;" to all sorts of technologies...
Fiat")</f>
        <v>Chapter 29: 23 Renovation - Addendum Taylor
They're Like Legoes, Right? (Kerbal Space Program) 200:
There's robust engineering, and then there's modularity. Pick one. Except for you - you seem to have the gift of designing methods that allow for seamless mixing and matching of modular technology that lack none of the parts incompatibility and fragility you'd except from such a design paradigm. While this seems focused on Kerbin technology in specific, a little work should have you applying such a paradigm to all sorts of technologies...
Fiat</v>
      </c>
      <c r="B339" s="17" t="str">
        <f>IFERROR(__xludf.DUMMYFUNCTION("""COMPUTED_VALUE"""),"Chapter 139: 95.6 Interlude Rey
This Is How I Want It (Kerbal Space Program) 400:
Your capability of mentally designing items is vastly boosted. It's almost as if you have a mental idea space in the fashion of a construction bay with a lists of parts you "&amp;"have on hand that gives you an idea of what you can build at that moment... actually, that's pretty much what you have. As a bonus, you can mix and match parts in a manner roughly akin to legos, and giving you an idea of what would work and what wouldn't "&amp;"(and how much resources it would take to build). Mind, this doesn't mean that your mental creation will perform successfully, but it will function. As a final bonus, you can mentally hand-off the resultant creation to your Kerbals to build, and they'll do"&amp;" so without a mistake or screwup - meaning any snafu that results will be on your own head.
Ability")</f>
        <v>Chapter 139: 95.6 Interlude Rey
This Is How I Want It (Kerbal Space Program) 400:
Your capability of mentally designing items is vastly boosted. It's almost as if you have a mental idea space in the fashion of a construction bay with a lists of parts you have on hand that gives you an idea of what you can build at that moment... actually, that's pretty much what you have. As a bonus, you can mix and match parts in a manner roughly akin to legos, and giving you an idea of what would work and what wouldn't (and how much resources it would take to build). Mind, this doesn't mean that your mental creation will perform successfully, but it will function. As a final bonus, you can mentally hand-off the resultant creation to your Kerbals to build, and they'll do so without a mistake or screwup - meaning any snafu that results will be on your own head.
Ability</v>
      </c>
      <c r="C339" s="17" t="str">
        <f>IFERROR(__xludf.DUMMYFUNCTION("""COMPUTED_VALUE"""),"Chapter 139: 95.6 Interlude Rey
This Is, Actually, Rocket Science (Kerbal Space Program) Free:
You gain an instinctive grasp and understanding of Delta V and orbital mechanics.
Skill")</f>
        <v>Chapter 139: 95.6 Interlude Rey
This Is, Actually, Rocket Science (Kerbal Space Program) Free:
You gain an instinctive grasp and understanding of Delta V and orbital mechanics.
Skill</v>
      </c>
      <c r="D339" s="17" t="str">
        <f>IFERROR(__xludf.DUMMYFUNCTION("""COMPUTED_VALUE"""),"Chapter 139: 95.6 Interlude Rey
Speak English, Dammit! (Kerbal Space Program) Free:
You gain perfect understanding of Kerbals and the way they speak in thier burbling, whack-ass mix of swedish meatball chef... something. Conversely, you can pick this to h"&amp;"ave them all speak english.
Ability")</f>
        <v>Chapter 139: 95.6 Interlude Rey
Speak English, Dammit! (Kerbal Space Program) Free:
You gain perfect understanding of Kerbals and the way they speak in thier burbling, whack-ass mix of swedish meatball chef... something. Conversely, you can pick this to have them all speak english.
Ability</v>
      </c>
      <c r="E339" s="17" t="str">
        <f>IFERROR(__xludf.DUMMYFUNCTION("""COMPUTED_VALUE"""),"Chapter 139: 95.6 Interlude Rey
Some Old Friends (Kerbal Space Program) Free:
Hey, what are you - wait a minute! How did you four get in here!? Oh, well. Looks like you're going to get some help in this jump, whether you want to, or no - Bill, Bob, Jebedi"&amp;"ah, and Valentina are all up and raring to go. As a bonus, all four come with the 'I Am A Pilot, Actually' perk for free. I Am A Pilot, Actually - All the engineering and mathematics in the world doesn't mean much if you can't actually fly the damn things"&amp;". You're far from being supernatural in skill, but you're not a weekend warrior, either - you effectively have the piloting skill of Neil Armstrong when it comes to piloting rockets, spaceships, and aeroplanes
Entity")</f>
        <v>Chapter 139: 95.6 Interlude Rey
Some Old Friends (Kerbal Space Program) Free:
Hey, what are you - wait a minute! How did you four get in here!? Oh, well. Looks like you're going to get some help in this jump, whether you want to, or no - Bill, Bob, Jebediah, and Valentina are all up and raring to go. As a bonus, all four come with the 'I Am A Pilot, Actually' perk for free. I Am A Pilot, Actually - All the engineering and mathematics in the world doesn't mean much if you can't actually fly the damn things. You're far from being supernatural in skill, but you're not a weekend warrior, either - you effectively have the piloting skill of Neil Armstrong when it comes to piloting rockets, spaceships, and aeroplanes
Entity</v>
      </c>
      <c r="F339" s="17" t="str">
        <f>IFERROR(__xludf.DUMMYFUNCTION("""COMPUTED_VALUE"""),"Chapter 139: 95.6 Interlude Rey
Espirit de Kerbal (Kerbal Space Program) Free:
While you're going to have no end of volunteers of Kerbals to go into space (seriously, where the hell are they all coming from?), it's understandable that you're going to want"&amp;" a special group of Kerbals to count on in a pinch - an elite force you can trust to get the job done. Twenty Kerbals have stepped up to the plate to fill that role. This group of Kerbals doesn't seem to let mishaps keep them down; while crashes, explosio"&amp;"ns, and other shenanigans will, uh, result in Critical Kerbal Existence Failure, they'll pop back up in a week or so, right as rain and raring to go for another try. All 20 of these Kerbals will automatically gain whatever perk you purchase in this jump f"&amp;"rom the Pilot, Engineer, and Scientist perk tree - Drop-In, however, doesn't count for this. Kerbals regard such things as 'sleep', 'water', 'food', and 'oxygen' as quaint, outdated suggestions. Relevant perks: Aerospace Engineering Makes Things Go Fast. "&amp;"They're Like Legos, Right? This Is How I Want It
Entity")</f>
        <v>Chapter 139: 95.6 Interlude Rey
Espirit de Kerbal (Kerbal Space Program) Free:
While you're going to have no end of volunteers of Kerbals to go into space (seriously, where the hell are they all coming from?), it's understandable that you're going to want a special group of Kerbals to count on in a pinch - an elite force you can trust to get the job done. Twenty Kerbals have stepped up to the plate to fill that role. This group of Kerbals doesn't seem to let mishaps keep them down; while crashes, explosions, and other shenanigans will, uh, result in Critical Kerbal Existence Failure, they'll pop back up in a week or so, right as rain and raring to go for another try. All 20 of these Kerbals will automatically gain whatever perk you purchase in this jump from the Pilot, Engineer, and Scientist perk tree - Drop-In, however, doesn't count for this. Kerbals regard such things as 'sleep', 'water', 'food', and 'oxygen' as quaint, outdated suggestions. Relevant perks: Aerospace Engineering Makes Things Go Fast. They're Like Legos, Right? This Is How I Want It
Entity</v>
      </c>
      <c r="G339" s="17" t="str">
        <f>IFERROR(__xludf.DUMMYFUNCTION("""COMPUTED_VALUE"""),"Chapter 139: 95.6 Interlude Rey
Emblems (Kerbal Space Program) Free:
You'll not only find your creations and rocketships neatly emblazoned with a flag/symbol of your choice, but you'll also be able to fashion cloth emblems for Kerbals(and companions) to u"&amp;"tilize to represent various mission types. However, you'll only be able to gift the patches so made to those whom directly participated in the mission itself. While they offer no bonuses, they do make a nice keepsake and reminder of the glories you and yo"&amp;"ur Kerbals(and companions) achieved - wether it's landing on the Mun or going to the stars.
Ability")</f>
        <v>Chapter 139: 95.6 Interlude Rey
Emblems (Kerbal Space Program) Free:
You'll not only find your creations and rocketships neatly emblazoned with a flag/symbol of your choice, but you'll also be able to fashion cloth emblems for Kerbals(and companions) to utilize to represent various mission types. However, you'll only be able to gift the patches so made to those whom directly participated in the mission itself. While they offer no bonuses, they do make a nice keepsake and reminder of the glories you and your Kerbals(and companions) achieved - wether it's landing on the Mun or going to the stars.
Ability</v>
      </c>
      <c r="H339" s="17" t="str">
        <f>IFERROR(__xludf.DUMMYFUNCTION("""COMPUTED_VALUE"""),"
")</f>
        <v>
</v>
      </c>
      <c r="I339" s="17" t="str">
        <f>IFERROR(__xludf.DUMMYFUNCTION("""COMPUTED_VALUE"""),"
")</f>
        <v>
</v>
      </c>
      <c r="J339" s="17" t="str">
        <f>IFERROR(__xludf.DUMMYFUNCTION("""COMPUTED_VALUE"""),"
")</f>
        <v>
</v>
      </c>
      <c r="K339" s="17" t="str">
        <f>IFERROR(__xludf.DUMMYFUNCTION("""COMPUTED_VALUE"""),"
")</f>
        <v>
</v>
      </c>
      <c r="L339" s="17" t="str">
        <f>IFERROR(__xludf.DUMMYFUNCTION("""COMPUTED_VALUE"""),"
")</f>
        <v>
</v>
      </c>
      <c r="M339" s="17" t="str">
        <f>IFERROR(__xludf.DUMMYFUNCTION("""COMPUTED_VALUE"""),"
")</f>
        <v>
</v>
      </c>
      <c r="N339" s="17" t="str">
        <f>IFERROR(__xludf.DUMMYFUNCTION("""COMPUTED_VALUE"""),"
")</f>
        <v>
</v>
      </c>
      <c r="O339" s="17" t="str">
        <f>IFERROR(__xludf.DUMMYFUNCTION("""COMPUTED_VALUE"""),"
")</f>
        <v>
</v>
      </c>
      <c r="P339" s="17" t="str">
        <f>IFERROR(__xludf.DUMMYFUNCTION("""COMPUTED_VALUE"""),"
")</f>
        <v>
</v>
      </c>
      <c r="Q339" s="17" t="str">
        <f>IFERROR(__xludf.DUMMYFUNCTION("""COMPUTED_VALUE"""),"
")</f>
        <v>
</v>
      </c>
      <c r="R339" s="17" t="str">
        <f>IFERROR(__xludf.DUMMYFUNCTION("""COMPUTED_VALUE"""),"
")</f>
        <v>
</v>
      </c>
      <c r="S339" s="17" t="str">
        <f>IFERROR(__xludf.DUMMYFUNCTION("""COMPUTED_VALUE"""),"
")</f>
        <v>
</v>
      </c>
      <c r="T339" s="17" t="str">
        <f>IFERROR(__xludf.DUMMYFUNCTION("""COMPUTED_VALUE"""),"
")</f>
        <v>
</v>
      </c>
      <c r="U339" s="17" t="str">
        <f>IFERROR(__xludf.DUMMYFUNCTION("""COMPUTED_VALUE"""),"
")</f>
        <v>
</v>
      </c>
      <c r="V339" s="17" t="str">
        <f>IFERROR(__xludf.DUMMYFUNCTION("""COMPUTED_VALUE"""),"
")</f>
        <v>
</v>
      </c>
      <c r="W339" s="17" t="str">
        <f>IFERROR(__xludf.DUMMYFUNCTION("""COMPUTED_VALUE"""),"
")</f>
        <v>
</v>
      </c>
      <c r="X339" s="17" t="str">
        <f>IFERROR(__xludf.DUMMYFUNCTION("""COMPUTED_VALUE"""),"
")</f>
        <v>
</v>
      </c>
      <c r="Y339" s="17" t="str">
        <f>IFERROR(__xludf.DUMMYFUNCTION("""COMPUTED_VALUE"""),"
")</f>
        <v>
</v>
      </c>
      <c r="Z339" s="17" t="str">
        <f>IFERROR(__xludf.DUMMYFUNCTION("""COMPUTED_VALUE"""),"
")</f>
        <v>
</v>
      </c>
      <c r="AA339" s="17" t="str">
        <f>IFERROR(__xludf.DUMMYFUNCTION("""COMPUTED_VALUE"""),"
")</f>
        <v>
</v>
      </c>
      <c r="AB339" s="17" t="str">
        <f>IFERROR(__xludf.DUMMYFUNCTION("""COMPUTED_VALUE"""),"
")</f>
        <v>
</v>
      </c>
      <c r="AC339" s="17" t="str">
        <f>IFERROR(__xludf.DUMMYFUNCTION("""COMPUTED_VALUE"""),"
")</f>
        <v>
</v>
      </c>
    </row>
    <row r="340">
      <c r="A340" s="17" t="str">
        <f>IFERROR(__xludf.DUMMYFUNCTION("""COMPUTED_VALUE"""),"")</f>
        <v/>
      </c>
      <c r="B340" s="17" t="str">
        <f>IFERROR(__xludf.DUMMYFUNCTION("""COMPUTED_VALUE"""),"")</f>
        <v/>
      </c>
      <c r="C340" s="17" t="str">
        <f>IFERROR(__xludf.DUMMYFUNCTION("""COMPUTED_VALUE"""),"")</f>
        <v/>
      </c>
      <c r="D340" s="17" t="str">
        <f>IFERROR(__xludf.DUMMYFUNCTION("""COMPUTED_VALUE"""),"")</f>
        <v/>
      </c>
      <c r="E340" s="17" t="str">
        <f>IFERROR(__xludf.DUMMYFUNCTION("""COMPUTED_VALUE"""),"")</f>
        <v/>
      </c>
      <c r="F340" s="17" t="str">
        <f>IFERROR(__xludf.DUMMYFUNCTION("""COMPUTED_VALUE"""),"")</f>
        <v/>
      </c>
      <c r="G340" s="17" t="str">
        <f>IFERROR(__xludf.DUMMYFUNCTION("""COMPUTED_VALUE"""),"")</f>
        <v/>
      </c>
      <c r="H340" s="17" t="str">
        <f>IFERROR(__xludf.DUMMYFUNCTION("""COMPUTED_VALUE"""),"")</f>
        <v/>
      </c>
      <c r="I340" s="17" t="str">
        <f>IFERROR(__xludf.DUMMYFUNCTION("""COMPUTED_VALUE"""),"")</f>
        <v/>
      </c>
      <c r="J340" s="17" t="str">
        <f>IFERROR(__xludf.DUMMYFUNCTION("""COMPUTED_VALUE"""),"")</f>
        <v/>
      </c>
      <c r="K340" s="17" t="str">
        <f>IFERROR(__xludf.DUMMYFUNCTION("""COMPUTED_VALUE"""),"")</f>
        <v/>
      </c>
      <c r="L340" s="17" t="str">
        <f>IFERROR(__xludf.DUMMYFUNCTION("""COMPUTED_VALUE"""),"")</f>
        <v/>
      </c>
      <c r="M340" s="17" t="str">
        <f>IFERROR(__xludf.DUMMYFUNCTION("""COMPUTED_VALUE"""),"")</f>
        <v/>
      </c>
      <c r="N340" s="17" t="str">
        <f>IFERROR(__xludf.DUMMYFUNCTION("""COMPUTED_VALUE"""),"")</f>
        <v/>
      </c>
      <c r="O340" s="17" t="str">
        <f>IFERROR(__xludf.DUMMYFUNCTION("""COMPUTED_VALUE"""),"")</f>
        <v/>
      </c>
      <c r="P340" s="17" t="str">
        <f>IFERROR(__xludf.DUMMYFUNCTION("""COMPUTED_VALUE"""),"")</f>
        <v/>
      </c>
      <c r="Q340" s="17" t="str">
        <f>IFERROR(__xludf.DUMMYFUNCTION("""COMPUTED_VALUE"""),"")</f>
        <v/>
      </c>
      <c r="R340" s="17" t="str">
        <f>IFERROR(__xludf.DUMMYFUNCTION("""COMPUTED_VALUE"""),"")</f>
        <v/>
      </c>
      <c r="S340" s="17" t="str">
        <f>IFERROR(__xludf.DUMMYFUNCTION("""COMPUTED_VALUE"""),"")</f>
        <v/>
      </c>
      <c r="T340" s="17" t="str">
        <f>IFERROR(__xludf.DUMMYFUNCTION("""COMPUTED_VALUE"""),"")</f>
        <v/>
      </c>
      <c r="U340" s="17" t="str">
        <f>IFERROR(__xludf.DUMMYFUNCTION("""COMPUTED_VALUE"""),"")</f>
        <v/>
      </c>
      <c r="V340" s="17" t="str">
        <f>IFERROR(__xludf.DUMMYFUNCTION("""COMPUTED_VALUE"""),"")</f>
        <v/>
      </c>
      <c r="W340" s="17" t="str">
        <f>IFERROR(__xludf.DUMMYFUNCTION("""COMPUTED_VALUE"""),"")</f>
        <v/>
      </c>
      <c r="X340" s="17" t="str">
        <f>IFERROR(__xludf.DUMMYFUNCTION("""COMPUTED_VALUE"""),"")</f>
        <v/>
      </c>
      <c r="Y340" s="17" t="str">
        <f>IFERROR(__xludf.DUMMYFUNCTION("""COMPUTED_VALUE"""),"")</f>
        <v/>
      </c>
      <c r="Z340" s="17" t="str">
        <f>IFERROR(__xludf.DUMMYFUNCTION("""COMPUTED_VALUE"""),"")</f>
        <v/>
      </c>
      <c r="AA340" s="17" t="str">
        <f>IFERROR(__xludf.DUMMYFUNCTION("""COMPUTED_VALUE"""),"")</f>
        <v/>
      </c>
      <c r="AB340" s="17" t="str">
        <f>IFERROR(__xludf.DUMMYFUNCTION("""COMPUTED_VALUE"""),"")</f>
        <v/>
      </c>
      <c r="AC340" s="17" t="str">
        <f>IFERROR(__xludf.DUMMYFUNCTION("""COMPUTED_VALUE"""),"")</f>
        <v/>
      </c>
    </row>
    <row r="341">
      <c r="A341" s="17" t="str">
        <f>IFERROR(__xludf.DUMMYFUNCTION("""COMPUTED_VALUE"""),"")</f>
        <v/>
      </c>
      <c r="B341" s="17" t="str">
        <f>IFERROR(__xludf.DUMMYFUNCTION("""COMPUTED_VALUE"""),"")</f>
        <v/>
      </c>
      <c r="C341" s="17" t="str">
        <f>IFERROR(__xludf.DUMMYFUNCTION("""COMPUTED_VALUE"""),"")</f>
        <v/>
      </c>
      <c r="D341" s="17" t="str">
        <f>IFERROR(__xludf.DUMMYFUNCTION("""COMPUTED_VALUE"""),"")</f>
        <v/>
      </c>
      <c r="E341" s="17" t="str">
        <f>IFERROR(__xludf.DUMMYFUNCTION("""COMPUTED_VALUE"""),"")</f>
        <v/>
      </c>
      <c r="F341" s="17" t="str">
        <f>IFERROR(__xludf.DUMMYFUNCTION("""COMPUTED_VALUE"""),"")</f>
        <v/>
      </c>
      <c r="G341" s="17" t="str">
        <f>IFERROR(__xludf.DUMMYFUNCTION("""COMPUTED_VALUE"""),"")</f>
        <v/>
      </c>
      <c r="H341" s="17" t="str">
        <f>IFERROR(__xludf.DUMMYFUNCTION("""COMPUTED_VALUE"""),"")</f>
        <v/>
      </c>
      <c r="I341" s="17" t="str">
        <f>IFERROR(__xludf.DUMMYFUNCTION("""COMPUTED_VALUE"""),"")</f>
        <v/>
      </c>
      <c r="J341" s="17" t="str">
        <f>IFERROR(__xludf.DUMMYFUNCTION("""COMPUTED_VALUE"""),"")</f>
        <v/>
      </c>
      <c r="K341" s="17" t="str">
        <f>IFERROR(__xludf.DUMMYFUNCTION("""COMPUTED_VALUE"""),"")</f>
        <v/>
      </c>
      <c r="L341" s="17" t="str">
        <f>IFERROR(__xludf.DUMMYFUNCTION("""COMPUTED_VALUE"""),"")</f>
        <v/>
      </c>
      <c r="M341" s="17" t="str">
        <f>IFERROR(__xludf.DUMMYFUNCTION("""COMPUTED_VALUE"""),"")</f>
        <v/>
      </c>
      <c r="N341" s="17" t="str">
        <f>IFERROR(__xludf.DUMMYFUNCTION("""COMPUTED_VALUE"""),"")</f>
        <v/>
      </c>
      <c r="O341" s="17" t="str">
        <f>IFERROR(__xludf.DUMMYFUNCTION("""COMPUTED_VALUE"""),"")</f>
        <v/>
      </c>
      <c r="P341" s="17" t="str">
        <f>IFERROR(__xludf.DUMMYFUNCTION("""COMPUTED_VALUE"""),"")</f>
        <v/>
      </c>
      <c r="Q341" s="17" t="str">
        <f>IFERROR(__xludf.DUMMYFUNCTION("""COMPUTED_VALUE"""),"")</f>
        <v/>
      </c>
      <c r="R341" s="17" t="str">
        <f>IFERROR(__xludf.DUMMYFUNCTION("""COMPUTED_VALUE"""),"")</f>
        <v/>
      </c>
      <c r="S341" s="17" t="str">
        <f>IFERROR(__xludf.DUMMYFUNCTION("""COMPUTED_VALUE"""),"")</f>
        <v/>
      </c>
      <c r="T341" s="17" t="str">
        <f>IFERROR(__xludf.DUMMYFUNCTION("""COMPUTED_VALUE"""),"")</f>
        <v/>
      </c>
      <c r="U341" s="17" t="str">
        <f>IFERROR(__xludf.DUMMYFUNCTION("""COMPUTED_VALUE"""),"")</f>
        <v/>
      </c>
      <c r="V341" s="17" t="str">
        <f>IFERROR(__xludf.DUMMYFUNCTION("""COMPUTED_VALUE"""),"")</f>
        <v/>
      </c>
      <c r="W341" s="17" t="str">
        <f>IFERROR(__xludf.DUMMYFUNCTION("""COMPUTED_VALUE"""),"")</f>
        <v/>
      </c>
      <c r="X341" s="17" t="str">
        <f>IFERROR(__xludf.DUMMYFUNCTION("""COMPUTED_VALUE"""),"")</f>
        <v/>
      </c>
      <c r="Y341" s="17" t="str">
        <f>IFERROR(__xludf.DUMMYFUNCTION("""COMPUTED_VALUE"""),"")</f>
        <v/>
      </c>
      <c r="Z341" s="17" t="str">
        <f>IFERROR(__xludf.DUMMYFUNCTION("""COMPUTED_VALUE"""),"")</f>
        <v/>
      </c>
      <c r="AA341" s="17" t="str">
        <f>IFERROR(__xludf.DUMMYFUNCTION("""COMPUTED_VALUE"""),"")</f>
        <v/>
      </c>
      <c r="AB341" s="17" t="str">
        <f>IFERROR(__xludf.DUMMYFUNCTION("""COMPUTED_VALUE"""),"")</f>
        <v/>
      </c>
      <c r="AC341" s="17" t="str">
        <f>IFERROR(__xludf.DUMMYFUNCTION("""COMPUTED_VALUE"""),"")</f>
        <v/>
      </c>
    </row>
    <row r="342">
      <c r="A342" s="17" t="str">
        <f>IFERROR(__xludf.DUMMYFUNCTION("""COMPUTED_VALUE"""),"")</f>
        <v/>
      </c>
      <c r="B342" s="17" t="str">
        <f>IFERROR(__xludf.DUMMYFUNCTION("""COMPUTED_VALUE"""),"")</f>
        <v/>
      </c>
      <c r="C342" s="17" t="str">
        <f>IFERROR(__xludf.DUMMYFUNCTION("""COMPUTED_VALUE"""),"")</f>
        <v/>
      </c>
      <c r="D342" s="17" t="str">
        <f>IFERROR(__xludf.DUMMYFUNCTION("""COMPUTED_VALUE"""),"")</f>
        <v/>
      </c>
      <c r="E342" s="17" t="str">
        <f>IFERROR(__xludf.DUMMYFUNCTION("""COMPUTED_VALUE"""),"")</f>
        <v/>
      </c>
      <c r="F342" s="17" t="str">
        <f>IFERROR(__xludf.DUMMYFUNCTION("""COMPUTED_VALUE"""),"")</f>
        <v/>
      </c>
      <c r="G342" s="17" t="str">
        <f>IFERROR(__xludf.DUMMYFUNCTION("""COMPUTED_VALUE"""),"")</f>
        <v/>
      </c>
      <c r="H342" s="17" t="str">
        <f>IFERROR(__xludf.DUMMYFUNCTION("""COMPUTED_VALUE"""),"")</f>
        <v/>
      </c>
      <c r="I342" s="17" t="str">
        <f>IFERROR(__xludf.DUMMYFUNCTION("""COMPUTED_VALUE"""),"")</f>
        <v/>
      </c>
      <c r="J342" s="17" t="str">
        <f>IFERROR(__xludf.DUMMYFUNCTION("""COMPUTED_VALUE"""),"")</f>
        <v/>
      </c>
      <c r="K342" s="17" t="str">
        <f>IFERROR(__xludf.DUMMYFUNCTION("""COMPUTED_VALUE"""),"")</f>
        <v/>
      </c>
      <c r="L342" s="17" t="str">
        <f>IFERROR(__xludf.DUMMYFUNCTION("""COMPUTED_VALUE"""),"")</f>
        <v/>
      </c>
      <c r="M342" s="17" t="str">
        <f>IFERROR(__xludf.DUMMYFUNCTION("""COMPUTED_VALUE"""),"")</f>
        <v/>
      </c>
      <c r="N342" s="17" t="str">
        <f>IFERROR(__xludf.DUMMYFUNCTION("""COMPUTED_VALUE"""),"")</f>
        <v/>
      </c>
      <c r="O342" s="17" t="str">
        <f>IFERROR(__xludf.DUMMYFUNCTION("""COMPUTED_VALUE"""),"")</f>
        <v/>
      </c>
      <c r="P342" s="17" t="str">
        <f>IFERROR(__xludf.DUMMYFUNCTION("""COMPUTED_VALUE"""),"")</f>
        <v/>
      </c>
      <c r="Q342" s="17" t="str">
        <f>IFERROR(__xludf.DUMMYFUNCTION("""COMPUTED_VALUE"""),"")</f>
        <v/>
      </c>
      <c r="R342" s="17" t="str">
        <f>IFERROR(__xludf.DUMMYFUNCTION("""COMPUTED_VALUE"""),"")</f>
        <v/>
      </c>
      <c r="S342" s="17" t="str">
        <f>IFERROR(__xludf.DUMMYFUNCTION("""COMPUTED_VALUE"""),"")</f>
        <v/>
      </c>
      <c r="T342" s="17" t="str">
        <f>IFERROR(__xludf.DUMMYFUNCTION("""COMPUTED_VALUE"""),"")</f>
        <v/>
      </c>
      <c r="U342" s="17" t="str">
        <f>IFERROR(__xludf.DUMMYFUNCTION("""COMPUTED_VALUE"""),"")</f>
        <v/>
      </c>
      <c r="V342" s="17" t="str">
        <f>IFERROR(__xludf.DUMMYFUNCTION("""COMPUTED_VALUE"""),"")</f>
        <v/>
      </c>
      <c r="W342" s="17" t="str">
        <f>IFERROR(__xludf.DUMMYFUNCTION("""COMPUTED_VALUE"""),"")</f>
        <v/>
      </c>
      <c r="X342" s="17" t="str">
        <f>IFERROR(__xludf.DUMMYFUNCTION("""COMPUTED_VALUE"""),"")</f>
        <v/>
      </c>
      <c r="Y342" s="17" t="str">
        <f>IFERROR(__xludf.DUMMYFUNCTION("""COMPUTED_VALUE"""),"")</f>
        <v/>
      </c>
      <c r="Z342" s="17" t="str">
        <f>IFERROR(__xludf.DUMMYFUNCTION("""COMPUTED_VALUE"""),"")</f>
        <v/>
      </c>
      <c r="AA342" s="17" t="str">
        <f>IFERROR(__xludf.DUMMYFUNCTION("""COMPUTED_VALUE"""),"")</f>
        <v/>
      </c>
      <c r="AB342" s="17" t="str">
        <f>IFERROR(__xludf.DUMMYFUNCTION("""COMPUTED_VALUE"""),"")</f>
        <v/>
      </c>
      <c r="AC342" s="17" t="str">
        <f>IFERROR(__xludf.DUMMYFUNCTION("""COMPUTED_VALUE"""),"")</f>
        <v/>
      </c>
    </row>
    <row r="343">
      <c r="A343" s="17" t="str">
        <f>IFERROR(__xludf.DUMMYFUNCTION("""COMPUTED_VALUE"""),"Chapter 75: 58 Go Time - Preamble Survey
Nano-technician (Red Faction) 600:
Is it me or does “nanomachines” not sound like a word anymore? You now have a considerable talent in the field of nanotech. With time and study, you could recreate the Nanoforge, "&amp;"with dedication you could even improve on it. Keep in mind nanotech in this setting is exceptionally hard to work with, but can do anything from fixing a bridge, to disintegrating a starship, to enhancing human abilities.
System")</f>
        <v>Chapter 75: 58 Go Time - Preamble Survey
Nano-technician (Red Faction) 600:
Is it me or does “nanomachines” not sound like a word anymore? You now have a considerable talent in the field of nanotech. With time and study, you could recreate the Nanoforge, with dedication you could even improve on it. Keep in mind nanotech in this setting is exceptionally hard to work with, but can do anything from fixing a bridge, to disintegrating a starship, to enhancing human abilities.
System</v>
      </c>
      <c r="B343" s="17" t="str">
        <f>IFERROR(__xludf.DUMMYFUNCTION("""COMPUTED_VALUE"""),"Chapter 75: 58 Go Time - Preamble Survey
Recycler (Red Faction) Free:
A new annex is added to your warehouse that allows you to convert salvaged metal and electronics into ammunition, fuel, and parts for any weapons or vehicles from this setting.
Facility")</f>
        <v>Chapter 75: 58 Go Time - Preamble Survey
Recycler (Red Faction) Free:
A new annex is added to your warehouse that allows you to convert salvaged metal and electronics into ammunition, fuel, and parts for any weapons or vehicles from this setting.
Facility</v>
      </c>
      <c r="C343" s="17" t="str">
        <f>IFERROR(__xludf.DUMMYFUNCTION("""COMPUTED_VALUE"""),"Chapter 75: 58 Go Time - Preamble Survey
Sledgehammer (Red Faction) Free:
For centuries, miners have busted their butts swinging one very basic tool, The Sledgehammer. But on Mars, there’s more to this tool than meets the eye. Powered by mass-multiplier s"&amp;"ervos, this essential tool of the Red Faction pops on contact, delivering 1000lbs of kinetic force. When you swing the supercharged hammer, something is going to get leveled.
Item")</f>
        <v>Chapter 75: 58 Go Time - Preamble Survey
Sledgehammer (Red Faction) Free:
For centuries, miners have busted their butts swinging one very basic tool, The Sledgehammer. But on Mars, there’s more to this tool than meets the eye. Powered by mass-multiplier servos, this essential tool of the Red Faction pops on contact, delivering 1000lbs of kinetic force. When you swing the supercharged hammer, something is going to get leveled.
Item</v>
      </c>
      <c r="D343" s="17" t="str">
        <f>IFERROR(__xludf.DUMMYFUNCTION("""COMPUTED_VALUE"""),"Chapter 142: 97 Confrontations – Preamble Carol
Nano-Forge (Red Faction) 600:
Typically worn around the wrist, this device is an engineer’s wet dream. Using real-time scans provided by the onboard AI, the Nano-Forge emits nanites as either a proximity c"&amp;"loud or projectile globs that procedurally recreate objects nearby. This Nano-Forge is restricted to repair functionality, and it doesn’t work on biological material, but it does have the precision to recreate delicate electronics and the like.
Item")</f>
        <v>Chapter 142: 97 Confrontations – Preamble Carol
Nano-Forge (Red Faction) 600:
Typically worn around the wrist, this device is an engineer’s wet dream. Using real-time scans provided by the onboard AI, the Nano-Forge emits nanites as either a proximity cloud or projectile globs that procedurally recreate objects nearby. This Nano-Forge is restricted to repair functionality, and it doesn’t work on biological material, but it does have the precision to recreate delicate electronics and the like.
Item</v>
      </c>
      <c r="E343" s="17" t="str">
        <f>IFERROR(__xludf.DUMMYFUNCTION("""COMPUTED_VALUE"""),"
")</f>
        <v>
</v>
      </c>
      <c r="F343" s="17" t="str">
        <f>IFERROR(__xludf.DUMMYFUNCTION("""COMPUTED_VALUE"""),"
")</f>
        <v>
</v>
      </c>
      <c r="G343" s="17" t="str">
        <f>IFERROR(__xludf.DUMMYFUNCTION("""COMPUTED_VALUE"""),"
")</f>
        <v>
</v>
      </c>
      <c r="H343" s="17" t="str">
        <f>IFERROR(__xludf.DUMMYFUNCTION("""COMPUTED_VALUE"""),"
")</f>
        <v>
</v>
      </c>
      <c r="I343" s="17" t="str">
        <f>IFERROR(__xludf.DUMMYFUNCTION("""COMPUTED_VALUE"""),"
")</f>
        <v>
</v>
      </c>
      <c r="J343" s="17" t="str">
        <f>IFERROR(__xludf.DUMMYFUNCTION("""COMPUTED_VALUE"""),"
")</f>
        <v>
</v>
      </c>
      <c r="K343" s="17" t="str">
        <f>IFERROR(__xludf.DUMMYFUNCTION("""COMPUTED_VALUE"""),"
")</f>
        <v>
</v>
      </c>
      <c r="L343" s="17" t="str">
        <f>IFERROR(__xludf.DUMMYFUNCTION("""COMPUTED_VALUE"""),"
")</f>
        <v>
</v>
      </c>
      <c r="M343" s="17" t="str">
        <f>IFERROR(__xludf.DUMMYFUNCTION("""COMPUTED_VALUE"""),"
")</f>
        <v>
</v>
      </c>
      <c r="N343" s="17" t="str">
        <f>IFERROR(__xludf.DUMMYFUNCTION("""COMPUTED_VALUE"""),"
")</f>
        <v>
</v>
      </c>
      <c r="O343" s="17" t="str">
        <f>IFERROR(__xludf.DUMMYFUNCTION("""COMPUTED_VALUE"""),"
")</f>
        <v>
</v>
      </c>
      <c r="P343" s="17" t="str">
        <f>IFERROR(__xludf.DUMMYFUNCTION("""COMPUTED_VALUE"""),"
")</f>
        <v>
</v>
      </c>
      <c r="Q343" s="17" t="str">
        <f>IFERROR(__xludf.DUMMYFUNCTION("""COMPUTED_VALUE"""),"
")</f>
        <v>
</v>
      </c>
      <c r="R343" s="17" t="str">
        <f>IFERROR(__xludf.DUMMYFUNCTION("""COMPUTED_VALUE"""),"
")</f>
        <v>
</v>
      </c>
      <c r="S343" s="17" t="str">
        <f>IFERROR(__xludf.DUMMYFUNCTION("""COMPUTED_VALUE"""),"
")</f>
        <v>
</v>
      </c>
      <c r="T343" s="17" t="str">
        <f>IFERROR(__xludf.DUMMYFUNCTION("""COMPUTED_VALUE"""),"
")</f>
        <v>
</v>
      </c>
      <c r="U343" s="17" t="str">
        <f>IFERROR(__xludf.DUMMYFUNCTION("""COMPUTED_VALUE"""),"
")</f>
        <v>
</v>
      </c>
      <c r="V343" s="17" t="str">
        <f>IFERROR(__xludf.DUMMYFUNCTION("""COMPUTED_VALUE"""),"
")</f>
        <v>
</v>
      </c>
      <c r="W343" s="17" t="str">
        <f>IFERROR(__xludf.DUMMYFUNCTION("""COMPUTED_VALUE"""),"
")</f>
        <v>
</v>
      </c>
      <c r="X343" s="17" t="str">
        <f>IFERROR(__xludf.DUMMYFUNCTION("""COMPUTED_VALUE"""),"
")</f>
        <v>
</v>
      </c>
      <c r="Y343" s="17" t="str">
        <f>IFERROR(__xludf.DUMMYFUNCTION("""COMPUTED_VALUE"""),"
")</f>
        <v>
</v>
      </c>
      <c r="Z343" s="17" t="str">
        <f>IFERROR(__xludf.DUMMYFUNCTION("""COMPUTED_VALUE"""),"
")</f>
        <v>
</v>
      </c>
      <c r="AA343" s="17" t="str">
        <f>IFERROR(__xludf.DUMMYFUNCTION("""COMPUTED_VALUE"""),"
")</f>
        <v>
</v>
      </c>
      <c r="AB343" s="17" t="str">
        <f>IFERROR(__xludf.DUMMYFUNCTION("""COMPUTED_VALUE"""),"
")</f>
        <v>
</v>
      </c>
      <c r="AC343" s="17" t="str">
        <f>IFERROR(__xludf.DUMMYFUNCTION("""COMPUTED_VALUE"""),"
")</f>
        <v>
</v>
      </c>
    </row>
    <row r="344">
      <c r="A344" s="17" t="str">
        <f>IFERROR(__xludf.DUMMYFUNCTION("""COMPUTED_VALUE"""),"Chapter 31: 25 Search and Rescue - Addendum PHO
Tinkerer (RWBY) 300:
You're a whiz at maintaining, modifying and making things. Everything from Sniper Scyfles to Toaster Ovens, as long as you made it yourself or had the blueprints on hand. Unlock the sec"&amp;"ret of Variable Weapon Crafting.
System")</f>
        <v>Chapter 31: 25 Search and Rescue - Addendum PHO
Tinkerer (RWBY) 300:
You're a whiz at maintaining, modifying and making things. Everything from Sniper Scyfles to Toaster Ovens, as long as you made it yourself or had the blueprints on hand. Unlock the secret of Variable Weapon Crafting.
System</v>
      </c>
      <c r="B344" s="17" t="str">
        <f>IFERROR(__xludf.DUMMYFUNCTION("""COMPUTED_VALUE"""),"Chapter 31: 25 Search and Rescue - Addendum PHO
Aura (RWBY) Free:
You start off with an unlocked aura.
Personal")</f>
        <v>Chapter 31: 25 Search and Rescue - Addendum PHO
Aura (RWBY) Free:
You start off with an unlocked aura.
Personal</v>
      </c>
      <c r="C344" s="17" t="str">
        <f>IFERROR(__xludf.DUMMYFUNCTION("""COMPUTED_VALUE"""),"Chapter 31: 25 Search and Rescue - Addendum PHO
Dust (RWBY) Free:
Dust comes in four basic types: red fire, blue ice, green wind and yellow energy. They can be combined to make new variations.
After this jump, small amounts of Dust will appear in the War"&amp;"ehouse weekly. Enough for a firefight or two at once. Dust augmentation is found to increase the effectiveness of weaponry and ammunition.
Facility")</f>
        <v>Chapter 31: 25 Search and Rescue - Addendum PHO
Dust (RWBY) Free:
Dust comes in four basic types: red fire, blue ice, green wind and yellow energy. They can be combined to make new variations.
After this jump, small amounts of Dust will appear in the Warehouse weekly. Enough for a firefight or two at once. Dust augmentation is found to increase the effectiveness of weaponry and ammunition.
Facility</v>
      </c>
      <c r="D344" s="17" t="str">
        <f>IFERROR(__xludf.DUMMYFUNCTION("""COMPUTED_VALUE"""),"Chapter 31: 25 Search and Rescue - Addendum PHO
Variable Weapon (RWBY) Free:
It's a thing that turns into another thing! One gun and one melee weapon, together at last.
Item")</f>
        <v>Chapter 31: 25 Search and Rescue - Addendum PHO
Variable Weapon (RWBY) Free:
It's a thing that turns into another thing! One gun and one melee weapon, together at last.
Item</v>
      </c>
      <c r="E344" s="17" t="str">
        <f>IFERROR(__xludf.DUMMYFUNCTION("""COMPUTED_VALUE"""),"Chapter 31: 25 Search and Rescue - Addendum PHO
Scroll (RWBY) Free:
Think a smartphone, with terrible wilderness reception, video camera, messaging and more! Practically a passport for civilized society.
Item")</f>
        <v>Chapter 31: 25 Search and Rescue - Addendum PHO
Scroll (RWBY) Free:
Think a smartphone, with terrible wilderness reception, video camera, messaging and more! Practically a passport for civilized society.
Item</v>
      </c>
      <c r="F344" s="17" t="str">
        <f>IFERROR(__xludf.DUMMYFUNCTION("""COMPUTED_VALUE"""),"
")</f>
        <v>
</v>
      </c>
      <c r="G344" s="17" t="str">
        <f>IFERROR(__xludf.DUMMYFUNCTION("""COMPUTED_VALUE"""),"
")</f>
        <v>
</v>
      </c>
      <c r="H344" s="17" t="str">
        <f>IFERROR(__xludf.DUMMYFUNCTION("""COMPUTED_VALUE"""),"
")</f>
        <v>
</v>
      </c>
      <c r="I344" s="17" t="str">
        <f>IFERROR(__xludf.DUMMYFUNCTION("""COMPUTED_VALUE"""),"
")</f>
        <v>
</v>
      </c>
      <c r="J344" s="17" t="str">
        <f>IFERROR(__xludf.DUMMYFUNCTION("""COMPUTED_VALUE"""),"
")</f>
        <v>
</v>
      </c>
      <c r="K344" s="17" t="str">
        <f>IFERROR(__xludf.DUMMYFUNCTION("""COMPUTED_VALUE"""),"
")</f>
        <v>
</v>
      </c>
      <c r="L344" s="17" t="str">
        <f>IFERROR(__xludf.DUMMYFUNCTION("""COMPUTED_VALUE"""),"
")</f>
        <v>
</v>
      </c>
      <c r="M344" s="17" t="str">
        <f>IFERROR(__xludf.DUMMYFUNCTION("""COMPUTED_VALUE"""),"
")</f>
        <v>
</v>
      </c>
      <c r="N344" s="17" t="str">
        <f>IFERROR(__xludf.DUMMYFUNCTION("""COMPUTED_VALUE"""),"
")</f>
        <v>
</v>
      </c>
      <c r="O344" s="17" t="str">
        <f>IFERROR(__xludf.DUMMYFUNCTION("""COMPUTED_VALUE"""),"
")</f>
        <v>
</v>
      </c>
      <c r="P344" s="17" t="str">
        <f>IFERROR(__xludf.DUMMYFUNCTION("""COMPUTED_VALUE"""),"
")</f>
        <v>
</v>
      </c>
      <c r="Q344" s="17" t="str">
        <f>IFERROR(__xludf.DUMMYFUNCTION("""COMPUTED_VALUE"""),"
")</f>
        <v>
</v>
      </c>
      <c r="R344" s="17" t="str">
        <f>IFERROR(__xludf.DUMMYFUNCTION("""COMPUTED_VALUE"""),"
")</f>
        <v>
</v>
      </c>
      <c r="S344" s="17" t="str">
        <f>IFERROR(__xludf.DUMMYFUNCTION("""COMPUTED_VALUE"""),"
")</f>
        <v>
</v>
      </c>
      <c r="T344" s="17" t="str">
        <f>IFERROR(__xludf.DUMMYFUNCTION("""COMPUTED_VALUE"""),"
")</f>
        <v>
</v>
      </c>
      <c r="U344" s="17" t="str">
        <f>IFERROR(__xludf.DUMMYFUNCTION("""COMPUTED_VALUE"""),"
")</f>
        <v>
</v>
      </c>
      <c r="V344" s="17" t="str">
        <f>IFERROR(__xludf.DUMMYFUNCTION("""COMPUTED_VALUE"""),"
")</f>
        <v>
</v>
      </c>
      <c r="W344" s="17" t="str">
        <f>IFERROR(__xludf.DUMMYFUNCTION("""COMPUTED_VALUE"""),"
")</f>
        <v>
</v>
      </c>
      <c r="X344" s="17" t="str">
        <f>IFERROR(__xludf.DUMMYFUNCTION("""COMPUTED_VALUE"""),"
")</f>
        <v>
</v>
      </c>
      <c r="Y344" s="17" t="str">
        <f>IFERROR(__xludf.DUMMYFUNCTION("""COMPUTED_VALUE"""),"
")</f>
        <v>
</v>
      </c>
      <c r="Z344" s="17" t="str">
        <f>IFERROR(__xludf.DUMMYFUNCTION("""COMPUTED_VALUE"""),"
")</f>
        <v>
</v>
      </c>
      <c r="AA344" s="17" t="str">
        <f>IFERROR(__xludf.DUMMYFUNCTION("""COMPUTED_VALUE"""),"
")</f>
        <v>
</v>
      </c>
      <c r="AB344" s="17" t="str">
        <f>IFERROR(__xludf.DUMMYFUNCTION("""COMPUTED_VALUE"""),"
")</f>
        <v>
</v>
      </c>
      <c r="AC344" s="17" t="str">
        <f>IFERROR(__xludf.DUMMYFUNCTION("""COMPUTED_VALUE"""),"
")</f>
        <v>
</v>
      </c>
    </row>
    <row r="345">
      <c r="A345" s="17" t="str">
        <f>IFERROR(__xludf.DUMMYFUNCTION("""COMPUTED_VALUE"""),"Chapter 129: 92 Opened Discourse
Cybertronian Forge (Transformers) 600:
Somehow a good portion of your warehouse is now a mini cybertronian factory. This automatic factory prints out Cybertonium, a material that Transformers bodies are made out of. This i"&amp;"s a room temperature super conductor and is the basis of all Cybertronian technology. It also functions as a 3D printer, but its programming is blank ready for input.
Facility
")</f>
        <v>Chapter 129: 92 Opened Discourse
Cybertronian Forge (Transformers) 600:
Somehow a good portion of your warehouse is now a mini cybertronian factory. This automatic factory prints out Cybertonium, a material that Transformers bodies are made out of. This is a room temperature super conductor and is the basis of all Cybertronian technology. It also functions as a 3D printer, but its programming is blank ready for input.
Facility
</v>
      </c>
      <c r="B345" s="17" t="str">
        <f>IFERROR(__xludf.DUMMYFUNCTION("""COMPUTED_VALUE"""),"Chapter 129: 92 Opened Discourse
ROBOTS IN DISGUISE! - Medium Chassis (Transformers) Free:
Medium Chassis, Size: 5m (16ft 5in) to 8m (26ft 2in). You're a robot now; as such you don't need to breathe, eat, or sleep. You do require Energon to survive, witho"&amp;"ut it you'll go into stasis lock. This stasis lock last forever unless your spark (lifeforce) is extinguished or you get enough Energon back in your systems. As a Transformer your strength depends on your chassis, Small Chassis can lift 25tons (22t), Medi"&amp;"um Chassis can lift 50tons (45t), and Large Chassis can lift 100tons (90t). Transformers brain circuits are not unlike a highly advanced super computer, giving the average transformer a level of intelligence similar to that of human geniuses. Your robot b"&amp;"ody is extremely tough to damage, military grade anti- materiel weapons and Energon weapons are only thing that are capable of damaging you. Even then the average transformer can take a beating and survive.
Item
")</f>
        <v>Chapter 129: 92 Opened Discourse
ROBOTS IN DISGUISE! - Medium Chassis (Transformers) Free:
Medium Chassis, Size: 5m (16ft 5in) to 8m (26ft 2in). You're a robot now; as such you don't need to breathe, eat, or sleep. You do require Energon to survive, without it you'll go into stasis lock. This stasis lock last forever unless your spark (lifeforce) is extinguished or you get enough Energon back in your systems. As a Transformer your strength depends on your chassis, Small Chassis can lift 25tons (22t), Medium Chassis can lift 50tons (45t), and Large Chassis can lift 100tons (90t). Transformers brain circuits are not unlike a highly advanced super computer, giving the average transformer a level of intelligence similar to that of human geniuses. Your robot body is extremely tough to damage, military grade anti- materiel weapons and Energon weapons are only thing that are capable of damaging you. Even then the average transformer can take a beating and survive.
Item
</v>
      </c>
      <c r="C345" s="17" t="str">
        <f>IFERROR(__xludf.DUMMYFUNCTION("""COMPUTED_VALUE"""),"Chapter 129: 92 Opened Discourse
Altmode (Transformers) Free:
All Transformers have an Altmode which is either an animal or machine. You can turn into any animals or machine that you fits your Chassis type. You can choose to change into any animal or vehi"&amp;"cle form that you’ve seen in your previous adventures, or for the future you can scan it. For maximum size in your Alt form you take your robot form and add +2m (6ft 6in) to its maximum height or in case of planes, wingspan. Beast Wars Era Transformers ca"&amp;"n only choose animal or beast like forms, they’ve lost their ability to change into vehicles or other machines.
Ability
")</f>
        <v>Chapter 129: 92 Opened Discourse
Altmode (Transformers) Free:
All Transformers have an Altmode which is either an animal or machine. You can turn into any animals or machine that you fits your Chassis type. You can choose to change into any animal or vehicle form that you’ve seen in your previous adventures, or for the future you can scan it. For maximum size in your Alt form you take your robot form and add +2m (6ft 6in) to its maximum height or in case of planes, wingspan. Beast Wars Era Transformers can only choose animal or beast like forms, they’ve lost their ability to change into vehicles or other machines.
Ability
</v>
      </c>
      <c r="D345" s="17" t="str">
        <f>IFERROR(__xludf.DUMMYFUNCTION("""COMPUTED_VALUE"""),"Chapter 129: 92 Opened Discourse
Energon Melee Weapon (Transformers) Free:
Every bot worth their Energon has a melee weapon, these weapons like everything else runs on Energon but are very efficient and practically never run out of Energon.
Item
")</f>
        <v>Chapter 129: 92 Opened Discourse
Energon Melee Weapon (Transformers) Free:
Every bot worth their Energon has a melee weapon, these weapons like everything else runs on Energon but are very efficient and practically never run out of Energon.
Item
</v>
      </c>
      <c r="E345" s="17" t="str">
        <f>IFERROR(__xludf.DUMMYFUNCTION("""COMPUTED_VALUE"""),"Chapter 129: 92 Opened Discourse
Energon Battle Pistol (Transformers) Free:
This is a pistol. Reload required after 8 shots. Comes with 5x zoom.
Item
")</f>
        <v>Chapter 129: 92 Opened Discourse
Energon Battle Pistol (Transformers) Free:
This is a pistol. Reload required after 8 shots. Comes with 5x zoom.
Item
</v>
      </c>
      <c r="F345" s="17" t="str">
        <f>IFERROR(__xludf.DUMMYFUNCTION("""COMPUTED_VALUE"""),"Chapter 129: 92 Opened Discourse
Energon (Transformers) Free:
In your warehouse an Energon Cube appears every 24hrs. Don’t worry about your Transformers body, Post-Jump you don’t require Energon for it. Normal transformers need an Energon Cube, which is e"&amp;"quivalent of 1000 barrels of oil, every day. This is like the 4000 calories active duty soldiers take in. Beast Wars era, they can subsist off of an Energon Cube for 1 month. You can convert other forms of energy into Energon, but it’s very inefficient. A"&amp;"ny other fuel source other than Energon corrodes the systems of a Transformer, it’s like poison.
Item
")</f>
        <v>Chapter 129: 92 Opened Discourse
Energon (Transformers) Free:
In your warehouse an Energon Cube appears every 24hrs. Don’t worry about your Transformers body, Post-Jump you don’t require Energon for it. Normal transformers need an Energon Cube, which is equivalent of 1000 barrels of oil, every day. This is like the 4000 calories active duty soldiers take in. Beast Wars era, they can subsist off of an Energon Cube for 1 month. You can convert other forms of energy into Energon, but it’s very inefficient. Any other fuel source other than Energon corrodes the systems of a Transformer, it’s like poison.
Item
</v>
      </c>
      <c r="G345" s="17" t="str">
        <f>IFERROR(__xludf.DUMMYFUNCTION("""COMPUTED_VALUE"""),"Chapter 129: 92 Opened Discourse
Decepticon Terrorize! (Transformers) Free:
You've retained your robotic body, but now can switch between human and whatever form you choose and back. You'll never run out of Energon and routine maintenance is no longer a t"&amp;"hing. You can store your robotic body in your warehouse and jump into it at any point; or ride around/on top of its alternative form. Either way it's up to you which you choose, and switching out is easy as dropping off equipment.
Ability")</f>
        <v>Chapter 129: 92 Opened Discourse
Decepticon Terrorize! (Transformers) Free:
You've retained your robotic body, but now can switch between human and whatever form you choose and back. You'll never run out of Energon and routine maintenance is no longer a thing. You can store your robotic body in your warehouse and jump into it at any point; or ride around/on top of its alternative form. Either way it's up to you which you choose, and switching out is easy as dropping off equipment.
Ability</v>
      </c>
      <c r="H345" s="17" t="str">
        <f>IFERROR(__xludf.DUMMYFUNCTION("""COMPUTED_VALUE"""),"
")</f>
        <v>
</v>
      </c>
      <c r="I345" s="17" t="str">
        <f>IFERROR(__xludf.DUMMYFUNCTION("""COMPUTED_VALUE"""),"
")</f>
        <v>
</v>
      </c>
      <c r="J345" s="17" t="str">
        <f>IFERROR(__xludf.DUMMYFUNCTION("""COMPUTED_VALUE"""),"
")</f>
        <v>
</v>
      </c>
      <c r="K345" s="17" t="str">
        <f>IFERROR(__xludf.DUMMYFUNCTION("""COMPUTED_VALUE"""),"
")</f>
        <v>
</v>
      </c>
      <c r="L345" s="17" t="str">
        <f>IFERROR(__xludf.DUMMYFUNCTION("""COMPUTED_VALUE"""),"
")</f>
        <v>
</v>
      </c>
      <c r="M345" s="17" t="str">
        <f>IFERROR(__xludf.DUMMYFUNCTION("""COMPUTED_VALUE"""),"
")</f>
        <v>
</v>
      </c>
      <c r="N345" s="17" t="str">
        <f>IFERROR(__xludf.DUMMYFUNCTION("""COMPUTED_VALUE"""),"
")</f>
        <v>
</v>
      </c>
      <c r="O345" s="17" t="str">
        <f>IFERROR(__xludf.DUMMYFUNCTION("""COMPUTED_VALUE"""),"
")</f>
        <v>
</v>
      </c>
      <c r="P345" s="17" t="str">
        <f>IFERROR(__xludf.DUMMYFUNCTION("""COMPUTED_VALUE"""),"
")</f>
        <v>
</v>
      </c>
      <c r="Q345" s="17" t="str">
        <f>IFERROR(__xludf.DUMMYFUNCTION("""COMPUTED_VALUE"""),"
")</f>
        <v>
</v>
      </c>
      <c r="R345" s="17" t="str">
        <f>IFERROR(__xludf.DUMMYFUNCTION("""COMPUTED_VALUE"""),"
")</f>
        <v>
</v>
      </c>
      <c r="S345" s="17" t="str">
        <f>IFERROR(__xludf.DUMMYFUNCTION("""COMPUTED_VALUE"""),"
")</f>
        <v>
</v>
      </c>
      <c r="T345" s="17" t="str">
        <f>IFERROR(__xludf.DUMMYFUNCTION("""COMPUTED_VALUE"""),"
")</f>
        <v>
</v>
      </c>
      <c r="U345" s="17" t="str">
        <f>IFERROR(__xludf.DUMMYFUNCTION("""COMPUTED_VALUE"""),"
")</f>
        <v>
</v>
      </c>
      <c r="V345" s="17" t="str">
        <f>IFERROR(__xludf.DUMMYFUNCTION("""COMPUTED_VALUE"""),"
")</f>
        <v>
</v>
      </c>
      <c r="W345" s="17" t="str">
        <f>IFERROR(__xludf.DUMMYFUNCTION("""COMPUTED_VALUE"""),"
")</f>
        <v>
</v>
      </c>
      <c r="X345" s="17" t="str">
        <f>IFERROR(__xludf.DUMMYFUNCTION("""COMPUTED_VALUE"""),"
")</f>
        <v>
</v>
      </c>
      <c r="Y345" s="17" t="str">
        <f>IFERROR(__xludf.DUMMYFUNCTION("""COMPUTED_VALUE"""),"
")</f>
        <v>
</v>
      </c>
      <c r="Z345" s="17" t="str">
        <f>IFERROR(__xludf.DUMMYFUNCTION("""COMPUTED_VALUE"""),"
")</f>
        <v>
</v>
      </c>
      <c r="AA345" s="17" t="str">
        <f>IFERROR(__xludf.DUMMYFUNCTION("""COMPUTED_VALUE"""),"
")</f>
        <v>
</v>
      </c>
      <c r="AB345" s="17" t="str">
        <f>IFERROR(__xludf.DUMMYFUNCTION("""COMPUTED_VALUE"""),"
")</f>
        <v>
</v>
      </c>
      <c r="AC345" s="17" t="str">
        <f>IFERROR(__xludf.DUMMYFUNCTION("""COMPUTED_VALUE"""),"
")</f>
        <v>
</v>
      </c>
    </row>
    <row r="346">
      <c r="A346" s="17" t="str">
        <f>IFERROR(__xludf.DUMMYFUNCTION("""COMPUTED_VALUE"""),"Chapter 14: 11 Power Trip
Master Builder (Transformers) 400:
You’ve been programmed with mastery of Cybertronian science allowing you jury rig any tech you see, as well allowing you to quickly build even the most complex Cybertronian tech within a reasona"&amp;"ble time period. Smaller devices are almost instant, larger devices take some time and more components. However with enough material you can build a temporary space bridge. Despite your mastery of Cybertonian science, creation of a Spark and therefore int"&amp;"elligent life, organic or inorganic is beyond you.
System")</f>
        <v>Chapter 14: 11 Power Trip
Master Builder (Transformers) 400:
You’ve been programmed with mastery of Cybertronian science allowing you jury rig any tech you see, as well allowing you to quickly build even the most complex Cybertronian tech within a reasonable time period. Smaller devices are almost instant, larger devices take some time and more components. However with enough material you can build a temporary space bridge. Despite your mastery of Cybertonian science, creation of a Spark and therefore intelligent life, organic or inorganic is beyond you.
System</v>
      </c>
      <c r="B346" s="17" t="str">
        <f>IFERROR(__xludf.DUMMYFUNCTION("""COMPUTED_VALUE"""),"
")</f>
        <v>
</v>
      </c>
      <c r="C346" s="17" t="str">
        <f>IFERROR(__xludf.DUMMYFUNCTION("""COMPUTED_VALUE"""),"
")</f>
        <v>
</v>
      </c>
      <c r="D346" s="17" t="str">
        <f>IFERROR(__xludf.DUMMYFUNCTION("""COMPUTED_VALUE"""),"
")</f>
        <v>
</v>
      </c>
      <c r="E346" s="17" t="str">
        <f>IFERROR(__xludf.DUMMYFUNCTION("""COMPUTED_VALUE"""),"
")</f>
        <v>
</v>
      </c>
      <c r="F346" s="17" t="str">
        <f>IFERROR(__xludf.DUMMYFUNCTION("""COMPUTED_VALUE"""),"
")</f>
        <v>
</v>
      </c>
      <c r="G346" s="17" t="str">
        <f>IFERROR(__xludf.DUMMYFUNCTION("""COMPUTED_VALUE"""),"
")</f>
        <v>
</v>
      </c>
      <c r="H346" s="17" t="str">
        <f>IFERROR(__xludf.DUMMYFUNCTION("""COMPUTED_VALUE"""),"
")</f>
        <v>
</v>
      </c>
      <c r="I346" s="17" t="str">
        <f>IFERROR(__xludf.DUMMYFUNCTION("""COMPUTED_VALUE"""),"
")</f>
        <v>
</v>
      </c>
      <c r="J346" s="17" t="str">
        <f>IFERROR(__xludf.DUMMYFUNCTION("""COMPUTED_VALUE"""),"
")</f>
        <v>
</v>
      </c>
      <c r="K346" s="17" t="str">
        <f>IFERROR(__xludf.DUMMYFUNCTION("""COMPUTED_VALUE"""),"
")</f>
        <v>
</v>
      </c>
      <c r="L346" s="17" t="str">
        <f>IFERROR(__xludf.DUMMYFUNCTION("""COMPUTED_VALUE"""),"
")</f>
        <v>
</v>
      </c>
      <c r="M346" s="17" t="str">
        <f>IFERROR(__xludf.DUMMYFUNCTION("""COMPUTED_VALUE"""),"
")</f>
        <v>
</v>
      </c>
      <c r="N346" s="17" t="str">
        <f>IFERROR(__xludf.DUMMYFUNCTION("""COMPUTED_VALUE"""),"
")</f>
        <v>
</v>
      </c>
      <c r="O346" s="17" t="str">
        <f>IFERROR(__xludf.DUMMYFUNCTION("""COMPUTED_VALUE"""),"
")</f>
        <v>
</v>
      </c>
      <c r="P346" s="17" t="str">
        <f>IFERROR(__xludf.DUMMYFUNCTION("""COMPUTED_VALUE"""),"
")</f>
        <v>
</v>
      </c>
      <c r="Q346" s="17" t="str">
        <f>IFERROR(__xludf.DUMMYFUNCTION("""COMPUTED_VALUE"""),"
")</f>
        <v>
</v>
      </c>
      <c r="R346" s="17" t="str">
        <f>IFERROR(__xludf.DUMMYFUNCTION("""COMPUTED_VALUE"""),"
")</f>
        <v>
</v>
      </c>
      <c r="S346" s="17" t="str">
        <f>IFERROR(__xludf.DUMMYFUNCTION("""COMPUTED_VALUE"""),"
")</f>
        <v>
</v>
      </c>
      <c r="T346" s="17" t="str">
        <f>IFERROR(__xludf.DUMMYFUNCTION("""COMPUTED_VALUE"""),"
")</f>
        <v>
</v>
      </c>
      <c r="U346" s="17" t="str">
        <f>IFERROR(__xludf.DUMMYFUNCTION("""COMPUTED_VALUE"""),"
")</f>
        <v>
</v>
      </c>
      <c r="V346" s="17" t="str">
        <f>IFERROR(__xludf.DUMMYFUNCTION("""COMPUTED_VALUE"""),"
")</f>
        <v>
</v>
      </c>
      <c r="W346" s="17" t="str">
        <f>IFERROR(__xludf.DUMMYFUNCTION("""COMPUTED_VALUE"""),"
")</f>
        <v>
</v>
      </c>
      <c r="X346" s="17" t="str">
        <f>IFERROR(__xludf.DUMMYFUNCTION("""COMPUTED_VALUE"""),"
")</f>
        <v>
</v>
      </c>
      <c r="Y346" s="17" t="str">
        <f>IFERROR(__xludf.DUMMYFUNCTION("""COMPUTED_VALUE"""),"
")</f>
        <v>
</v>
      </c>
      <c r="Z346" s="17" t="str">
        <f>IFERROR(__xludf.DUMMYFUNCTION("""COMPUTED_VALUE"""),"
")</f>
        <v>
</v>
      </c>
      <c r="AA346" s="17" t="str">
        <f>IFERROR(__xludf.DUMMYFUNCTION("""COMPUTED_VALUE"""),"
")</f>
        <v>
</v>
      </c>
      <c r="AB346" s="17" t="str">
        <f>IFERROR(__xludf.DUMMYFUNCTION("""COMPUTED_VALUE"""),"
")</f>
        <v>
</v>
      </c>
      <c r="AC346" s="17" t="str">
        <f>IFERROR(__xludf.DUMMYFUNCTION("""COMPUTED_VALUE"""),"
")</f>
        <v>
</v>
      </c>
    </row>
    <row r="347">
      <c r="A347" s="17" t="str">
        <f>IFERROR(__xludf.DUMMYFUNCTION("""COMPUTED_VALUE"""),"Chapter 17: 13 Debut
Science! Mechanics (Transformers) 100: 
Your programming is focused on either Mechanics, Medical, or a field of Science (Pick One), this gives you equivalent of a Cybertronian PHD in that field of study.
System")</f>
        <v>Chapter 17: 13 Debut
Science! Mechanics (Transformers) 100: 
Your programming is focused on either Mechanics, Medical, or a field of Science (Pick One), this gives you equivalent of a Cybertronian PHD in that field of study.
System</v>
      </c>
      <c r="B347" s="17" t="str">
        <f>IFERROR(__xludf.DUMMYFUNCTION("""COMPUTED_VALUE"""),"Chapter 17: 13 Debut
Science! Engineering (Transformers) 100:
Your programming is focused on either Mechanics, Medical, or a field of Science (Pick One), this gives you equivalent of a Cybertronian PHD in that field of study.
System")</f>
        <v>Chapter 17: 13 Debut
Science! Engineering (Transformers) 100:
Your programming is focused on either Mechanics, Medical, or a field of Science (Pick One), this gives you equivalent of a Cybertronian PHD in that field of study.
System</v>
      </c>
      <c r="C347" s="17" t="str">
        <f>IFERROR(__xludf.DUMMYFUNCTION("""COMPUTED_VALUE"""),"
")</f>
        <v>
</v>
      </c>
      <c r="D347" s="17" t="str">
        <f>IFERROR(__xludf.DUMMYFUNCTION("""COMPUTED_VALUE"""),"
")</f>
        <v>
</v>
      </c>
      <c r="E347" s="17" t="str">
        <f>IFERROR(__xludf.DUMMYFUNCTION("""COMPUTED_VALUE"""),"
")</f>
        <v>
</v>
      </c>
      <c r="F347" s="17" t="str">
        <f>IFERROR(__xludf.DUMMYFUNCTION("""COMPUTED_VALUE"""),"
")</f>
        <v>
</v>
      </c>
      <c r="G347" s="17" t="str">
        <f>IFERROR(__xludf.DUMMYFUNCTION("""COMPUTED_VALUE"""),"
")</f>
        <v>
</v>
      </c>
      <c r="H347" s="17" t="str">
        <f>IFERROR(__xludf.DUMMYFUNCTION("""COMPUTED_VALUE"""),"
")</f>
        <v>
</v>
      </c>
      <c r="I347" s="17" t="str">
        <f>IFERROR(__xludf.DUMMYFUNCTION("""COMPUTED_VALUE"""),"
")</f>
        <v>
</v>
      </c>
      <c r="J347" s="17" t="str">
        <f>IFERROR(__xludf.DUMMYFUNCTION("""COMPUTED_VALUE"""),"
")</f>
        <v>
</v>
      </c>
      <c r="K347" s="17" t="str">
        <f>IFERROR(__xludf.DUMMYFUNCTION("""COMPUTED_VALUE"""),"
")</f>
        <v>
</v>
      </c>
      <c r="L347" s="17" t="str">
        <f>IFERROR(__xludf.DUMMYFUNCTION("""COMPUTED_VALUE"""),"
")</f>
        <v>
</v>
      </c>
      <c r="M347" s="17" t="str">
        <f>IFERROR(__xludf.DUMMYFUNCTION("""COMPUTED_VALUE"""),"
")</f>
        <v>
</v>
      </c>
      <c r="N347" s="17" t="str">
        <f>IFERROR(__xludf.DUMMYFUNCTION("""COMPUTED_VALUE"""),"
")</f>
        <v>
</v>
      </c>
      <c r="O347" s="17" t="str">
        <f>IFERROR(__xludf.DUMMYFUNCTION("""COMPUTED_VALUE"""),"
")</f>
        <v>
</v>
      </c>
      <c r="P347" s="17" t="str">
        <f>IFERROR(__xludf.DUMMYFUNCTION("""COMPUTED_VALUE"""),"
")</f>
        <v>
</v>
      </c>
      <c r="Q347" s="17" t="str">
        <f>IFERROR(__xludf.DUMMYFUNCTION("""COMPUTED_VALUE"""),"
")</f>
        <v>
</v>
      </c>
      <c r="R347" s="17" t="str">
        <f>IFERROR(__xludf.DUMMYFUNCTION("""COMPUTED_VALUE"""),"
")</f>
        <v>
</v>
      </c>
      <c r="S347" s="17" t="str">
        <f>IFERROR(__xludf.DUMMYFUNCTION("""COMPUTED_VALUE"""),"
")</f>
        <v>
</v>
      </c>
      <c r="T347" s="17" t="str">
        <f>IFERROR(__xludf.DUMMYFUNCTION("""COMPUTED_VALUE"""),"
")</f>
        <v>
</v>
      </c>
      <c r="U347" s="17" t="str">
        <f>IFERROR(__xludf.DUMMYFUNCTION("""COMPUTED_VALUE"""),"
")</f>
        <v>
</v>
      </c>
      <c r="V347" s="17" t="str">
        <f>IFERROR(__xludf.DUMMYFUNCTION("""COMPUTED_VALUE"""),"
")</f>
        <v>
</v>
      </c>
      <c r="W347" s="17" t="str">
        <f>IFERROR(__xludf.DUMMYFUNCTION("""COMPUTED_VALUE"""),"
")</f>
        <v>
</v>
      </c>
      <c r="X347" s="17" t="str">
        <f>IFERROR(__xludf.DUMMYFUNCTION("""COMPUTED_VALUE"""),"
")</f>
        <v>
</v>
      </c>
      <c r="Y347" s="17" t="str">
        <f>IFERROR(__xludf.DUMMYFUNCTION("""COMPUTED_VALUE"""),"
")</f>
        <v>
</v>
      </c>
      <c r="Z347" s="17" t="str">
        <f>IFERROR(__xludf.DUMMYFUNCTION("""COMPUTED_VALUE"""),"
")</f>
        <v>
</v>
      </c>
      <c r="AA347" s="17" t="str">
        <f>IFERROR(__xludf.DUMMYFUNCTION("""COMPUTED_VALUE"""),"
")</f>
        <v>
</v>
      </c>
      <c r="AB347" s="17" t="str">
        <f>IFERROR(__xludf.DUMMYFUNCTION("""COMPUTED_VALUE"""),"
")</f>
        <v>
</v>
      </c>
      <c r="AC347" s="17" t="str">
        <f>IFERROR(__xludf.DUMMYFUNCTION("""COMPUTED_VALUE"""),"
")</f>
        <v>
</v>
      </c>
    </row>
    <row r="348">
      <c r="A348" s="17" t="str">
        <f>IFERROR(__xludf.DUMMYFUNCTION("""COMPUTED_VALUE"""),"Chapter 77: 58.2 Interlude Lisa Addendum Joe
Parahuman - Tinker - Miniaturization and Efficiency (Worm) 400:
It seems that you've triggered, and gained some rather impressive powers. This is optional, you can go without becoming a parahuman if you wish. A"&amp;"lthough that means you won't be getting any impressive new abilities to help keep you alive in this world. You can only have a single parahuman power. Powers adapt to whatever capabilities you already have. Taking them into account and ensuring you can us"&amp;"e your parahuman abilities in sync with them. Assume any potential incompatibilities are handled appropriately to allow a power to still perform its intended function. All powers may be toggled on or off, and you understand their nature and how to use the"&amp;"m instinctively, if not necessarily all the different ways they could be applied creatively.
Tinker: Whereas other parahumans get the power to do incredible things, Tinkers get the ability to build incredible things. Tinkers essentially have a database of"&amp;" extremely advanced scientific data and technology in their heads, letting them build and create things far ahead of their time. This data follows a certain theme, whether that be bombs, efficiency, vehicles, or otherwise which defines what their power le"&amp;"ts them build and work with. Tinkers need resources, time, and effort to do what other parahumans can do casually, but they are incredibly adaptable, able to show up to the next fight able to completely shut down opponents that were untouchable in their l"&amp;"ast encounter, all because they can build the right tool. Within their specialty a Tinker can build nearly anything they can imagine. Tinker abilities seamlessly integrate any such knowledge of technology and science you possess, meaning you don't have to"&amp;" make any extra effort to use your powers along with any other tech based perks you might have. The knowledge you gain is basically the collected science of hundreds of advanced civilizations within your area of expertise. You don't necessary have the cap"&amp;"ability to process and sort through it all at once, but your power will continue to feed you data and knowledge relevant to your endeavors and what you're building.
Miniaturization and Efficiency - You can miniaturize anything down to levels that any sane"&amp;" man would consider impossible. A fusion reactor the size of a watch battery would be the absolute minimum of what you are capable of, and you'd be able to make it far smaller than that. Your power also makes you a master of technological efficiency, anyt"&amp;"hing you make needing barely any energy to run compared to what it should and continue to do so for a very long time. These specialties also make you a master of nanotechnology and similar pursuits. Of course you aren't barred from building something big "&amp;"like a giant robot, just that it'll be impossibly efficient and crammed full of more weapons and subsystems then should be possible.
After this jump any powers are now part of you instead of your shard/passenger, and its connection is severed completely. "&amp;"All other shard limitations are released, even if you stay, letting Tinkers mass produce their tech, precogs see the Entities and Endbringers, etc. This doesn't enhance your power, only removes things like the Manton Limit that held it back before. The sa"&amp;"me applies to your companions and anyone you bring with you.
The inability of other people to properly maintain Tinker-Tech is simply because a Tinker's shard is hard coded to make it so anything they build is too complex and advanced to learn how to prop"&amp;"erly do so in any reasonable time frame. Like trying to teach cavemen how to build and maintain modern day computers. A Tinker completely understands the science behind what they have built, but would have to write a massive document to properly explain t"&amp;"he maintenance procedures. After this jump this is no longer a problem and you can make things that are easily maintainable and mass producible by others, with the caveat that it doesn't do away with the normal issues of trying to do so. Like said caveman"&amp;" example up above. You can design things to make it much easier, with your power helping instead of hindering.
Tinker abilities give you an insanely large and advanced database of scientific knowledge and superhuman skill at employing it, all within their"&amp;" specialty. Your power will always mean that within this field you'll learn, innovate, and improve in superhuman ways, growing beyond what you start with. This scientific information can be spread and taught just like anything else you know, others simply"&amp;" don't have your impossible skill and talent at it.
It's up to you on how powers budding off works in your jumpchain. Whether they do, or don't, or there are limits to it. You don't personally control this, but you can fanwank whatever you want. Your Jump"&amp;"chain, not mine. For those of you who aren't familiar with Worm, people close and somehow important to a parahuman will have what is known as a Second-Gen Trigger. Unlike First-Generation triggers these only require very little stress, and result in power"&amp;"s that are similar if different to the original parahuman. A single Third generation trigger was confirmed in canon, happening to a five year old.
Powers do grow with time and use, but this only expands already present parameters, it doesn't allow the dev"&amp;"elopment of new ones. Range, area, precision, strength, etc all increase, but your power only does what it could always do better, not gain entirely new capabilities. For example Skitter's range for her bug control expanded with time, she learned to compr"&amp;"ehend more of her bug's senses properly, and her bugs began acting with perfect coordination to her desires with nearly zero effort on her part.
System")</f>
        <v>Chapter 77: 58.2 Interlude Lisa Addendum Joe
Parahuman - Tinker - Miniaturization and Efficiency (Worm) 400:
It seems that you've triggered, and gained some rather impressive powers. This is optional, you can go without becoming a parahuman if you wish. Although that means you won't be getting any impressive new abilities to help keep you alive in this world. You can only have a single parahuman power. Powers adapt to whatever capabilities you already have. Taking them into account and ensuring you can use your parahuman abilities in sync with them. Assume any potential incompatibilities are handled appropriately to allow a power to still perform its intended function. All powers may be toggled on or off, and you understand their nature and how to use them instinctively, if not necessarily all the different ways they could be applied creatively.
Tinker: Whereas other parahumans get the power to do incredible things, Tinkers get the ability to build incredible things. Tinkers essentially have a database of extremely advanced scientific data and technology in their heads, letting them build and create things far ahead of their time. This data follows a certain theme, whether that be bombs, efficiency, vehicles, or otherwise which defines what their power lets them build and work with. Tinkers need resources, time, and effort to do what other parahumans can do casually, but they are incredibly adaptable, able to show up to the next fight able to completely shut down opponents that were untouchable in their last encounter, all because they can build the right tool. Within their specialty a Tinker can build nearly anything they can imagine. Tinker abilities seamlessly integrate any such knowledge of technology and science you possess, meaning you don't have to make any extra effort to use your powers along with any other tech based perks you might have. The knowledge you gain is basically the collected science of hundreds of advanced civilizations within your area of expertise. You don't necessary have the capability to process and sort through it all at once, but your power will continue to feed you data and knowledge relevant to your endeavors and what you're building.
Miniaturization and Efficiency - You can miniaturize anything down to levels that any sane man would consider impossible. A fusion reactor the size of a watch battery would be the absolute minimum of what you are capable of, and you'd be able to make it far smaller than that. Your power also makes you a master of technological efficiency, anything you make needing barely any energy to run compared to what it should and continue to do so for a very long time. These specialties also make you a master of nanotechnology and similar pursuits. Of course you aren't barred from building something big like a giant robot, just that it'll be impossibly efficient and crammed full of more weapons and subsystems then should be possible.
After this jump any powers are now part of you instead of your shard/passenger, and its connection is severed completely. All other shard limitations are released, even if you stay, letting Tinkers mass produce their tech, precogs see the Entities and Endbringers, etc. This doesn't enhance your power, only removes things like the Manton Limit that held it back before. The same applies to your companions and anyone you bring with you.
The inability of other people to properly maintain Tinker-Tech is simply because a Tinker's shard is hard coded to make it so anything they build is too complex and advanced to learn how to properly do so in any reasonable time frame. Like trying to teach cavemen how to build and maintain modern day computers. A Tinker completely understands the science behind what they have built, but would have to write a massive document to properly explain the maintenance procedures. After this jump this is no longer a problem and you can make things that are easily maintainable and mass producible by others, with the caveat that it doesn't do away with the normal issues of trying to do so. Like said caveman example up above. You can design things to make it much easier, with your power helping instead of hindering.
Tinker abilities give you an insanely large and advanced database of scientific knowledge and superhuman skill at employing it, all within their specialty. Your power will always mean that within this field you'll learn, innovate, and improve in superhuman ways, growing beyond what you start with. This scientific information can be spread and taught just like anything else you know, others simply don't have your impossible skill and talent at it.
It's up to you on how powers budding off works in your jumpchain. Whether they do, or don't, or there are limits to it. You don't personally control this, but you can fanwank whatever you want. Your Jumpchain, not mine. For those of you who aren't familiar with Worm, people close and somehow important to a parahuman will have what is known as a Second-Gen Trigger. Unlike First-Generation triggers these only require very little stress, and result in powers that are similar if different to the original parahuman. A single Third generation trigger was confirmed in canon, happening to a five year old.
Powers do grow with time and use, but this only expands already present parameters, it doesn't allow the development of new ones. Range, area, precision, strength, etc all increase, but your power only does what it could always do better, not gain entirely new capabilities. For example Skitter's range for her bug control expanded with time, she learned to comprehend more of her bug's senses properly, and her bugs began acting with perfect coordination to her desires with nearly zero effort on her part.
System</v>
      </c>
      <c r="B348" s="17" t="str">
        <f>IFERROR(__xludf.DUMMYFUNCTION("""COMPUTED_VALUE"""),"Chapter 77: 58.2 Interlude Lisa Addendum Joe
Outside Context Problem (Worm) Free:
It'd be boring if you were to just die right at the start so for free you'll have a selective immunity to the powers of a few rather nasty plot device level opponents that b"&amp;"y all rights would probably want to kill you right out of the gate. Contessa, Ziz, and Zion's precog doesn't seem to be able to pick you up, instead returning a zero-sum error whenever they try to force the issue. They won't notice this until you garner e"&amp;"nough attention for them to try and then they might take further measures to see what the problem is. But at the moment you'll be safe from being instantly killed due to the threat you pose to their plans. This works on all shard/entity derived precog. Yo"&amp;"ur peculiar inter-dimensional nature just messes up their ability to predict you. Coil is an exception due to the weird nature of his power.
Personal")</f>
        <v>Chapter 77: 58.2 Interlude Lisa Addendum Joe
Outside Context Problem (Worm) Free:
It'd be boring if you were to just die right at the start so for free you'll have a selective immunity to the powers of a few rather nasty plot device level opponents that by all rights would probably want to kill you right out of the gate. Contessa, Ziz, and Zion's precog doesn't seem to be able to pick you up, instead returning a zero-sum error whenever they try to force the issue. They won't notice this until you garner enough attention for them to try and then they might take further measures to see what the problem is. But at the moment you'll be safe from being instantly killed due to the threat you pose to their plans. This works on all shard/entity derived precog. Your peculiar inter-dimensional nature just messes up their ability to predict you. Coil is an exception due to the weird nature of his power.
Personal</v>
      </c>
      <c r="C348" s="17" t="str">
        <f>IFERROR(__xludf.DUMMYFUNCTION("""COMPUTED_VALUE"""),"Chapter 77: 58.2 Interlude Lisa Addendum Joe
Tinker-Tech Cache (Worm) Free:
You get a decent sized cache of Tinker-Tech whose nature is up to you. Whether you want a large variety of computing and programming devices, an armory full of futuristic guns and"&amp;" weapons, or maybe just a ton of Tinker tools for your personal use. There is nothing crazy in here, but even basic Tinker tech is far more advanced than anything on modern earth. If you have a Tinker ability you get one purchase of this free for tech tha"&amp;"t corresponds to your specialty, giving you more than enough to get started. Note: Even the worst Tinker-Tech is hundreds of years ahead of modern day earth, and the samples you get here aren't bargain bin by any means, just not anything earth shaking.
Fa"&amp;"cility")</f>
        <v>Chapter 77: 58.2 Interlude Lisa Addendum Joe
Tinker-Tech Cache (Worm) Free:
You get a decent sized cache of Tinker-Tech whose nature is up to you. Whether you want a large variety of computing and programming devices, an armory full of futuristic guns and weapons, or maybe just a ton of Tinker tools for your personal use. There is nothing crazy in here, but even basic Tinker tech is far more advanced than anything on modern earth. If you have a Tinker ability you get one purchase of this free for tech that corresponds to your specialty, giving you more than enough to get started. Note: Even the worst Tinker-Tech is hundreds of years ahead of modern day earth, and the samples you get here aren't bargain bin by any means, just not anything earth shaking.
Facility</v>
      </c>
      <c r="D348" s="17" t="str">
        <f>IFERROR(__xludf.DUMMYFUNCTION("""COMPUTED_VALUE"""),"
")</f>
        <v>
</v>
      </c>
      <c r="E348" s="17" t="str">
        <f>IFERROR(__xludf.DUMMYFUNCTION("""COMPUTED_VALUE"""),"
")</f>
        <v>
</v>
      </c>
      <c r="F348" s="17" t="str">
        <f>IFERROR(__xludf.DUMMYFUNCTION("""COMPUTED_VALUE"""),"
")</f>
        <v>
</v>
      </c>
      <c r="G348" s="17" t="str">
        <f>IFERROR(__xludf.DUMMYFUNCTION("""COMPUTED_VALUE"""),"
")</f>
        <v>
</v>
      </c>
      <c r="H348" s="17" t="str">
        <f>IFERROR(__xludf.DUMMYFUNCTION("""COMPUTED_VALUE"""),"
")</f>
        <v>
</v>
      </c>
      <c r="I348" s="17" t="str">
        <f>IFERROR(__xludf.DUMMYFUNCTION("""COMPUTED_VALUE"""),"
")</f>
        <v>
</v>
      </c>
      <c r="J348" s="17" t="str">
        <f>IFERROR(__xludf.DUMMYFUNCTION("""COMPUTED_VALUE"""),"
")</f>
        <v>
</v>
      </c>
      <c r="K348" s="17" t="str">
        <f>IFERROR(__xludf.DUMMYFUNCTION("""COMPUTED_VALUE"""),"
")</f>
        <v>
</v>
      </c>
      <c r="L348" s="17" t="str">
        <f>IFERROR(__xludf.DUMMYFUNCTION("""COMPUTED_VALUE"""),"
")</f>
        <v>
</v>
      </c>
      <c r="M348" s="17" t="str">
        <f>IFERROR(__xludf.DUMMYFUNCTION("""COMPUTED_VALUE"""),"
")</f>
        <v>
</v>
      </c>
      <c r="N348" s="17" t="str">
        <f>IFERROR(__xludf.DUMMYFUNCTION("""COMPUTED_VALUE"""),"
")</f>
        <v>
</v>
      </c>
      <c r="O348" s="17" t="str">
        <f>IFERROR(__xludf.DUMMYFUNCTION("""COMPUTED_VALUE"""),"
")</f>
        <v>
</v>
      </c>
      <c r="P348" s="17" t="str">
        <f>IFERROR(__xludf.DUMMYFUNCTION("""COMPUTED_VALUE"""),"
")</f>
        <v>
</v>
      </c>
      <c r="Q348" s="17" t="str">
        <f>IFERROR(__xludf.DUMMYFUNCTION("""COMPUTED_VALUE"""),"
")</f>
        <v>
</v>
      </c>
      <c r="R348" s="17" t="str">
        <f>IFERROR(__xludf.DUMMYFUNCTION("""COMPUTED_VALUE"""),"
")</f>
        <v>
</v>
      </c>
      <c r="S348" s="17" t="str">
        <f>IFERROR(__xludf.DUMMYFUNCTION("""COMPUTED_VALUE"""),"
")</f>
        <v>
</v>
      </c>
      <c r="T348" s="17" t="str">
        <f>IFERROR(__xludf.DUMMYFUNCTION("""COMPUTED_VALUE"""),"
")</f>
        <v>
</v>
      </c>
      <c r="U348" s="17" t="str">
        <f>IFERROR(__xludf.DUMMYFUNCTION("""COMPUTED_VALUE"""),"
")</f>
        <v>
</v>
      </c>
      <c r="V348" s="17" t="str">
        <f>IFERROR(__xludf.DUMMYFUNCTION("""COMPUTED_VALUE"""),"
")</f>
        <v>
</v>
      </c>
      <c r="W348" s="17" t="str">
        <f>IFERROR(__xludf.DUMMYFUNCTION("""COMPUTED_VALUE"""),"
")</f>
        <v>
</v>
      </c>
      <c r="X348" s="17" t="str">
        <f>IFERROR(__xludf.DUMMYFUNCTION("""COMPUTED_VALUE"""),"
")</f>
        <v>
</v>
      </c>
      <c r="Y348" s="17" t="str">
        <f>IFERROR(__xludf.DUMMYFUNCTION("""COMPUTED_VALUE"""),"
")</f>
        <v>
</v>
      </c>
      <c r="Z348" s="17" t="str">
        <f>IFERROR(__xludf.DUMMYFUNCTION("""COMPUTED_VALUE"""),"
")</f>
        <v>
</v>
      </c>
      <c r="AA348" s="17" t="str">
        <f>IFERROR(__xludf.DUMMYFUNCTION("""COMPUTED_VALUE"""),"
")</f>
        <v>
</v>
      </c>
      <c r="AB348" s="17" t="str">
        <f>IFERROR(__xludf.DUMMYFUNCTION("""COMPUTED_VALUE"""),"
")</f>
        <v>
</v>
      </c>
      <c r="AC348" s="17" t="str">
        <f>IFERROR(__xludf.DUMMYFUNCTION("""COMPUTED_VALUE"""),"
")</f>
        <v>
</v>
      </c>
    </row>
    <row r="349">
      <c r="A349" s="17" t="str">
        <f>IFERROR(__xludf.DUMMYFUNCTION("""COMPUTED_VALUE"""),"Chapter 17: 13 Exposure
Hybridization Theory (Zoids: Legacy) 400:
So one day you had a bit of spare time after your daily Zoid admiration hour. After taking a close look at your favorite Gojulas and your favorite Mad Thunder, you decided that if the Gojul"&amp;"as could wield the Mad Thunder's Magnesser Drills like an arm weapon, you could probably reenact that scene from the show you watched two days back on the professor's hi-def television.
Those mechanics can slap on parts and scavenge however they like. You"&amp;" can literally merge two machines together into one, with twice the processing power as before. Mind you, Zoids typically won't respond well to suddenly sharing a body with another core and another mind, but you'll have ethical uses for this...right?
For "&amp;"most mundane machinery, you don't need any power source besides your own, but be careful that should you make your machine too big, the internal power supply might not be enough to feed it.
Ability")</f>
        <v>Chapter 17: 13 Exposure
Hybridization Theory (Zoids: Legacy) 400:
So one day you had a bit of spare time after your daily Zoid admiration hour. After taking a close look at your favorite Gojulas and your favorite Mad Thunder, you decided that if the Gojulas could wield the Mad Thunder's Magnesser Drills like an arm weapon, you could probably reenact that scene from the show you watched two days back on the professor's hi-def television.
Those mechanics can slap on parts and scavenge however they like. You can literally merge two machines together into one, with twice the processing power as before. Mind you, Zoids typically won't respond well to suddenly sharing a body with another core and another mind, but you'll have ethical uses for this...right?
For most mundane machinery, you don't need any power source besides your own, but be careful that should you make your machine too big, the internal power supply might not be enough to feed it.
Ability</v>
      </c>
      <c r="B349" s="17" t="str">
        <f>IFERROR(__xludf.DUMMYFUNCTION("""COMPUTED_VALUE"""),"Chapter 71: 55.1 Interlude Fleet Preamble Roy Addendum Margaret
Pre-existing Variations?! (Zoids: Legacy) Free:
(Only applicable if you already have a robot which has an animal form) Oh my…that robot of yours…I think with a bit of work, we could probably "&amp;"tune it to this new world. I wonder if that’s somehow a new breed of Zoids?... If your robot has a form that resembles any sort of animal, you can import it as a Zoid through the following formula. Cost: 0; Customization Points: 10
Item")</f>
        <v>Chapter 71: 55.1 Interlude Fleet Preamble Roy Addendum Margaret
Pre-existing Variations?! (Zoids: Legacy) Free:
(Only applicable if you already have a robot which has an animal form) Oh my…that robot of yours…I think with a bit of work, we could probably tune it to this new world. I wonder if that’s somehow a new breed of Zoids?... If your robot has a form that resembles any sort of animal, you can import it as a Zoid through the following formula. Cost: 0; Customization Points: 10
Item</v>
      </c>
      <c r="C349" s="17" t="str">
        <f>IFERROR(__xludf.DUMMYFUNCTION("""COMPUTED_VALUE"""),"Chapter 71: 55.1 Interlude Fleet Preamble Roy Addendum Margaret
Accelerator Equipment (Zoids: Legacy) 3 Customization Points:
A pair of ion boosters, slightly weaker than those used on the Liger Jaeger variant, which boost speed significantly. The cost to"&amp;" manoeuvrability is minimal, and thankfully it comes with an onboard power unit that recharges on cells.
Item")</f>
        <v>Chapter 71: 55.1 Interlude Fleet Preamble Roy Addendum Margaret
Accelerator Equipment (Zoids: Legacy) 3 Customization Points:
A pair of ion boosters, slightly weaker than those used on the Liger Jaeger variant, which boost speed significantly. The cost to manoeuvrability is minimal, and thankfully it comes with an onboard power unit that recharges on cells.
Item</v>
      </c>
      <c r="D349" s="17" t="str">
        <f>IFERROR(__xludf.DUMMYFUNCTION("""COMPUTED_VALUE"""),"Chapter 71: 55.1 Interlude Fleet Preamble Roy Addendum Margaret
Electron Shield Generators (Zoids: Legacy) 2 Customization Points:
This wide energy shield array covers over an L sized Zoid completely in any single direction and resists the effects of beam"&amp;" weapons. Can be turned on and off, but is very noticeable when on. It can be hooked up to a power unit for extra strength, but otherwise has its own onboard power
Item")</f>
        <v>Chapter 71: 55.1 Interlude Fleet Preamble Roy Addendum Margaret
Electron Shield Generators (Zoids: Legacy) 2 Customization Points:
This wide energy shield array covers over an L sized Zoid completely in any single direction and resists the effects of beam weapons. Can be turned on and off, but is very noticeable when on. It can be hooked up to a power unit for extra strength, but otherwise has its own onboard power
Item</v>
      </c>
      <c r="E349" s="17" t="str">
        <f>IFERROR(__xludf.DUMMYFUNCTION("""COMPUTED_VALUE"""),"Chapter 71: 55.1 Interlude Fleet Preamble Roy Addendum Margaret
Doppler Field Generator (Zoids: Legacy) 5 Customization Points:
Restricted to only S (small) sized Zoids. The generator allows for the Zoid’s image to be projected simultaneously in multiple "&amp;"directions. Bystanders see this as multiple copies of the same Zoid moving in sync. Unlike a ZOS core, none of the doppler projections are real however.
Item")</f>
        <v>Chapter 71: 55.1 Interlude Fleet Preamble Roy Addendum Margaret
Doppler Field Generator (Zoids: Legacy) 5 Customization Points:
Restricted to only S (small) sized Zoids. The generator allows for the Zoid’s image to be projected simultaneously in multiple directions. Bystanders see this as multiple copies of the same Zoid moving in sync. Unlike a ZOS core, none of the doppler projections are real however.
Item</v>
      </c>
      <c r="F349" s="17" t="str">
        <f>IFERROR(__xludf.DUMMYFUNCTION("""COMPUTED_VALUE"""),"
")</f>
        <v>
</v>
      </c>
      <c r="G349" s="17" t="str">
        <f>IFERROR(__xludf.DUMMYFUNCTION("""COMPUTED_VALUE"""),"
")</f>
        <v>
</v>
      </c>
      <c r="H349" s="17" t="str">
        <f>IFERROR(__xludf.DUMMYFUNCTION("""COMPUTED_VALUE"""),"
")</f>
        <v>
</v>
      </c>
      <c r="I349" s="17" t="str">
        <f>IFERROR(__xludf.DUMMYFUNCTION("""COMPUTED_VALUE"""),"
")</f>
        <v>
</v>
      </c>
      <c r="J349" s="17" t="str">
        <f>IFERROR(__xludf.DUMMYFUNCTION("""COMPUTED_VALUE"""),"
")</f>
        <v>
</v>
      </c>
      <c r="K349" s="17" t="str">
        <f>IFERROR(__xludf.DUMMYFUNCTION("""COMPUTED_VALUE"""),"
")</f>
        <v>
</v>
      </c>
      <c r="L349" s="17" t="str">
        <f>IFERROR(__xludf.DUMMYFUNCTION("""COMPUTED_VALUE"""),"
")</f>
        <v>
</v>
      </c>
      <c r="M349" s="17" t="str">
        <f>IFERROR(__xludf.DUMMYFUNCTION("""COMPUTED_VALUE"""),"
")</f>
        <v>
</v>
      </c>
      <c r="N349" s="17" t="str">
        <f>IFERROR(__xludf.DUMMYFUNCTION("""COMPUTED_VALUE"""),"
")</f>
        <v>
</v>
      </c>
      <c r="O349" s="17" t="str">
        <f>IFERROR(__xludf.DUMMYFUNCTION("""COMPUTED_VALUE"""),"
")</f>
        <v>
</v>
      </c>
      <c r="P349" s="17" t="str">
        <f>IFERROR(__xludf.DUMMYFUNCTION("""COMPUTED_VALUE"""),"
")</f>
        <v>
</v>
      </c>
      <c r="Q349" s="17" t="str">
        <f>IFERROR(__xludf.DUMMYFUNCTION("""COMPUTED_VALUE"""),"
")</f>
        <v>
</v>
      </c>
      <c r="R349" s="17" t="str">
        <f>IFERROR(__xludf.DUMMYFUNCTION("""COMPUTED_VALUE"""),"
")</f>
        <v>
</v>
      </c>
      <c r="S349" s="17" t="str">
        <f>IFERROR(__xludf.DUMMYFUNCTION("""COMPUTED_VALUE"""),"
")</f>
        <v>
</v>
      </c>
      <c r="T349" s="17" t="str">
        <f>IFERROR(__xludf.DUMMYFUNCTION("""COMPUTED_VALUE"""),"
")</f>
        <v>
</v>
      </c>
      <c r="U349" s="17" t="str">
        <f>IFERROR(__xludf.DUMMYFUNCTION("""COMPUTED_VALUE"""),"
")</f>
        <v>
</v>
      </c>
      <c r="V349" s="17" t="str">
        <f>IFERROR(__xludf.DUMMYFUNCTION("""COMPUTED_VALUE"""),"
")</f>
        <v>
</v>
      </c>
      <c r="W349" s="17" t="str">
        <f>IFERROR(__xludf.DUMMYFUNCTION("""COMPUTED_VALUE"""),"
")</f>
        <v>
</v>
      </c>
      <c r="X349" s="17" t="str">
        <f>IFERROR(__xludf.DUMMYFUNCTION("""COMPUTED_VALUE"""),"
")</f>
        <v>
</v>
      </c>
      <c r="Y349" s="17" t="str">
        <f>IFERROR(__xludf.DUMMYFUNCTION("""COMPUTED_VALUE"""),"
")</f>
        <v>
</v>
      </c>
      <c r="Z349" s="17" t="str">
        <f>IFERROR(__xludf.DUMMYFUNCTION("""COMPUTED_VALUE"""),"
")</f>
        <v>
</v>
      </c>
      <c r="AA349" s="17" t="str">
        <f>IFERROR(__xludf.DUMMYFUNCTION("""COMPUTED_VALUE"""),"
")</f>
        <v>
</v>
      </c>
      <c r="AB349" s="17" t="str">
        <f>IFERROR(__xludf.DUMMYFUNCTION("""COMPUTED_VALUE"""),"
")</f>
        <v>
</v>
      </c>
      <c r="AC349" s="17" t="str">
        <f>IFERROR(__xludf.DUMMYFUNCTION("""COMPUTED_VALUE"""),"
")</f>
        <v>
</v>
      </c>
    </row>
    <row r="350">
      <c r="A350" s="17" t="str">
        <f>IFERROR(__xludf.DUMMYFUNCTION("""COMPUTED_VALUE"""),"Chapter 28: 22 Homeward
Don't Need A Team (Ace Combat) 100:
Fighter planes are pretty complicated machines, and more often than not you need a whole crew to maintain them so that they don’t break down in the middle of a fight and doom the pilot. You know "&amp;"your plane well enough to circumvent this issue. You've got just the right idea on what needs tuning up and what needs fixing, along with having the speed to be able to fix a plane up by yourself without the need for a crew in a fraction of the time. Perf"&amp;"ormance issues are a thing of the past for you.
Fiat")</f>
        <v>Chapter 28: 22 Homeward
Don't Need A Team (Ace Combat) 100:
Fighter planes are pretty complicated machines, and more often than not you need a whole crew to maintain them so that they don’t break down in the middle of a fight and doom the pilot. You know your plane well enough to circumvent this issue. You've got just the right idea on what needs tuning up and what needs fixing, along with having the speed to be able to fix a plane up by yourself without the need for a crew in a fraction of the time. Performance issues are a thing of the past for you.
Fiat</v>
      </c>
      <c r="B350" s="17" t="str">
        <f>IFERROR(__xludf.DUMMYFUNCTION("""COMPUTED_VALUE"""),"
")</f>
        <v>
</v>
      </c>
      <c r="C350" s="17" t="str">
        <f>IFERROR(__xludf.DUMMYFUNCTION("""COMPUTED_VALUE"""),"
")</f>
        <v>
</v>
      </c>
      <c r="D350" s="17" t="str">
        <f>IFERROR(__xludf.DUMMYFUNCTION("""COMPUTED_VALUE"""),"
")</f>
        <v>
</v>
      </c>
      <c r="E350" s="17" t="str">
        <f>IFERROR(__xludf.DUMMYFUNCTION("""COMPUTED_VALUE"""),"
")</f>
        <v>
</v>
      </c>
      <c r="F350" s="17" t="str">
        <f>IFERROR(__xludf.DUMMYFUNCTION("""COMPUTED_VALUE"""),"
")</f>
        <v>
</v>
      </c>
      <c r="G350" s="17" t="str">
        <f>IFERROR(__xludf.DUMMYFUNCTION("""COMPUTED_VALUE"""),"
")</f>
        <v>
</v>
      </c>
      <c r="H350" s="17" t="str">
        <f>IFERROR(__xludf.DUMMYFUNCTION("""COMPUTED_VALUE"""),"
")</f>
        <v>
</v>
      </c>
      <c r="I350" s="17" t="str">
        <f>IFERROR(__xludf.DUMMYFUNCTION("""COMPUTED_VALUE"""),"
")</f>
        <v>
</v>
      </c>
      <c r="J350" s="17" t="str">
        <f>IFERROR(__xludf.DUMMYFUNCTION("""COMPUTED_VALUE"""),"
")</f>
        <v>
</v>
      </c>
      <c r="K350" s="17" t="str">
        <f>IFERROR(__xludf.DUMMYFUNCTION("""COMPUTED_VALUE"""),"
")</f>
        <v>
</v>
      </c>
      <c r="L350" s="17" t="str">
        <f>IFERROR(__xludf.DUMMYFUNCTION("""COMPUTED_VALUE"""),"
")</f>
        <v>
</v>
      </c>
      <c r="M350" s="17" t="str">
        <f>IFERROR(__xludf.DUMMYFUNCTION("""COMPUTED_VALUE"""),"
")</f>
        <v>
</v>
      </c>
      <c r="N350" s="17" t="str">
        <f>IFERROR(__xludf.DUMMYFUNCTION("""COMPUTED_VALUE"""),"
")</f>
        <v>
</v>
      </c>
      <c r="O350" s="17" t="str">
        <f>IFERROR(__xludf.DUMMYFUNCTION("""COMPUTED_VALUE"""),"
")</f>
        <v>
</v>
      </c>
      <c r="P350" s="17" t="str">
        <f>IFERROR(__xludf.DUMMYFUNCTION("""COMPUTED_VALUE"""),"
")</f>
        <v>
</v>
      </c>
      <c r="Q350" s="17" t="str">
        <f>IFERROR(__xludf.DUMMYFUNCTION("""COMPUTED_VALUE"""),"
")</f>
        <v>
</v>
      </c>
      <c r="R350" s="17" t="str">
        <f>IFERROR(__xludf.DUMMYFUNCTION("""COMPUTED_VALUE"""),"
")</f>
        <v>
</v>
      </c>
      <c r="S350" s="17" t="str">
        <f>IFERROR(__xludf.DUMMYFUNCTION("""COMPUTED_VALUE"""),"
")</f>
        <v>
</v>
      </c>
      <c r="T350" s="17" t="str">
        <f>IFERROR(__xludf.DUMMYFUNCTION("""COMPUTED_VALUE"""),"
")</f>
        <v>
</v>
      </c>
      <c r="U350" s="17" t="str">
        <f>IFERROR(__xludf.DUMMYFUNCTION("""COMPUTED_VALUE"""),"
")</f>
        <v>
</v>
      </c>
      <c r="V350" s="17" t="str">
        <f>IFERROR(__xludf.DUMMYFUNCTION("""COMPUTED_VALUE"""),"
")</f>
        <v>
</v>
      </c>
      <c r="W350" s="17" t="str">
        <f>IFERROR(__xludf.DUMMYFUNCTION("""COMPUTED_VALUE"""),"
")</f>
        <v>
</v>
      </c>
      <c r="X350" s="17" t="str">
        <f>IFERROR(__xludf.DUMMYFUNCTION("""COMPUTED_VALUE"""),"
")</f>
        <v>
</v>
      </c>
      <c r="Y350" s="17" t="str">
        <f>IFERROR(__xludf.DUMMYFUNCTION("""COMPUTED_VALUE"""),"
")</f>
        <v>
</v>
      </c>
      <c r="Z350" s="17" t="str">
        <f>IFERROR(__xludf.DUMMYFUNCTION("""COMPUTED_VALUE"""),"
")</f>
        <v>
</v>
      </c>
      <c r="AA350" s="17" t="str">
        <f>IFERROR(__xludf.DUMMYFUNCTION("""COMPUTED_VALUE"""),"
")</f>
        <v>
</v>
      </c>
      <c r="AB350" s="17" t="str">
        <f>IFERROR(__xludf.DUMMYFUNCTION("""COMPUTED_VALUE"""),"
")</f>
        <v>
</v>
      </c>
      <c r="AC350" s="17" t="str">
        <f>IFERROR(__xludf.DUMMYFUNCTION("""COMPUTED_VALUE"""),"
")</f>
        <v>
</v>
      </c>
    </row>
    <row r="351">
      <c r="A351" s="17" t="str">
        <f>IFERROR(__xludf.DUMMYFUNCTION("""COMPUTED_VALUE"""),"Chapter 37: 31 Consensus - Preamble PHO - Addendum Accord
Researcher (Age of Mythology) 400:
You are far faster at designing and discovering new technologies. Inspiration and breakthroughs hit you far more often.
Understanding")</f>
        <v>Chapter 37: 31 Consensus - Preamble PHO - Addendum Accord
Researcher (Age of Mythology) 400:
You are far faster at designing and discovering new technologies. Inspiration and breakthroughs hit you far more often.
Understanding</v>
      </c>
      <c r="B351" s="17" t="str">
        <f>IFERROR(__xludf.DUMMYFUNCTION("""COMPUTED_VALUE"""),"
")</f>
        <v>
</v>
      </c>
      <c r="C351" s="17" t="str">
        <f>IFERROR(__xludf.DUMMYFUNCTION("""COMPUTED_VALUE"""),"
")</f>
        <v>
</v>
      </c>
      <c r="D351" s="17" t="str">
        <f>IFERROR(__xludf.DUMMYFUNCTION("""COMPUTED_VALUE"""),"
")</f>
        <v>
</v>
      </c>
      <c r="E351" s="17" t="str">
        <f>IFERROR(__xludf.DUMMYFUNCTION("""COMPUTED_VALUE"""),"
")</f>
        <v>
</v>
      </c>
      <c r="F351" s="17" t="str">
        <f>IFERROR(__xludf.DUMMYFUNCTION("""COMPUTED_VALUE"""),"
")</f>
        <v>
</v>
      </c>
      <c r="G351" s="17" t="str">
        <f>IFERROR(__xludf.DUMMYFUNCTION("""COMPUTED_VALUE"""),"
")</f>
        <v>
</v>
      </c>
      <c r="H351" s="17" t="str">
        <f>IFERROR(__xludf.DUMMYFUNCTION("""COMPUTED_VALUE"""),"
")</f>
        <v>
</v>
      </c>
      <c r="I351" s="17" t="str">
        <f>IFERROR(__xludf.DUMMYFUNCTION("""COMPUTED_VALUE"""),"
")</f>
        <v>
</v>
      </c>
      <c r="J351" s="17" t="str">
        <f>IFERROR(__xludf.DUMMYFUNCTION("""COMPUTED_VALUE"""),"
")</f>
        <v>
</v>
      </c>
      <c r="K351" s="17" t="str">
        <f>IFERROR(__xludf.DUMMYFUNCTION("""COMPUTED_VALUE"""),"
")</f>
        <v>
</v>
      </c>
      <c r="L351" s="17" t="str">
        <f>IFERROR(__xludf.DUMMYFUNCTION("""COMPUTED_VALUE"""),"
")</f>
        <v>
</v>
      </c>
      <c r="M351" s="17" t="str">
        <f>IFERROR(__xludf.DUMMYFUNCTION("""COMPUTED_VALUE"""),"
")</f>
        <v>
</v>
      </c>
      <c r="N351" s="17" t="str">
        <f>IFERROR(__xludf.DUMMYFUNCTION("""COMPUTED_VALUE"""),"
")</f>
        <v>
</v>
      </c>
      <c r="O351" s="17" t="str">
        <f>IFERROR(__xludf.DUMMYFUNCTION("""COMPUTED_VALUE"""),"
")</f>
        <v>
</v>
      </c>
      <c r="P351" s="17" t="str">
        <f>IFERROR(__xludf.DUMMYFUNCTION("""COMPUTED_VALUE"""),"
")</f>
        <v>
</v>
      </c>
      <c r="Q351" s="17" t="str">
        <f>IFERROR(__xludf.DUMMYFUNCTION("""COMPUTED_VALUE"""),"
")</f>
        <v>
</v>
      </c>
      <c r="R351" s="17" t="str">
        <f>IFERROR(__xludf.DUMMYFUNCTION("""COMPUTED_VALUE"""),"
")</f>
        <v>
</v>
      </c>
      <c r="S351" s="17" t="str">
        <f>IFERROR(__xludf.DUMMYFUNCTION("""COMPUTED_VALUE"""),"
")</f>
        <v>
</v>
      </c>
      <c r="T351" s="17" t="str">
        <f>IFERROR(__xludf.DUMMYFUNCTION("""COMPUTED_VALUE"""),"
")</f>
        <v>
</v>
      </c>
      <c r="U351" s="17" t="str">
        <f>IFERROR(__xludf.DUMMYFUNCTION("""COMPUTED_VALUE"""),"
")</f>
        <v>
</v>
      </c>
      <c r="V351" s="17" t="str">
        <f>IFERROR(__xludf.DUMMYFUNCTION("""COMPUTED_VALUE"""),"
")</f>
        <v>
</v>
      </c>
      <c r="W351" s="17" t="str">
        <f>IFERROR(__xludf.DUMMYFUNCTION("""COMPUTED_VALUE"""),"
")</f>
        <v>
</v>
      </c>
      <c r="X351" s="17" t="str">
        <f>IFERROR(__xludf.DUMMYFUNCTION("""COMPUTED_VALUE"""),"
")</f>
        <v>
</v>
      </c>
      <c r="Y351" s="17" t="str">
        <f>IFERROR(__xludf.DUMMYFUNCTION("""COMPUTED_VALUE"""),"
")</f>
        <v>
</v>
      </c>
      <c r="Z351" s="17" t="str">
        <f>IFERROR(__xludf.DUMMYFUNCTION("""COMPUTED_VALUE"""),"
")</f>
        <v>
</v>
      </c>
      <c r="AA351" s="17" t="str">
        <f>IFERROR(__xludf.DUMMYFUNCTION("""COMPUTED_VALUE"""),"
")</f>
        <v>
</v>
      </c>
      <c r="AB351" s="17" t="str">
        <f>IFERROR(__xludf.DUMMYFUNCTION("""COMPUTED_VALUE"""),"
")</f>
        <v>
</v>
      </c>
      <c r="AC351" s="17" t="str">
        <f>IFERROR(__xludf.DUMMYFUNCTION("""COMPUTED_VALUE"""),"
")</f>
        <v>
</v>
      </c>
    </row>
    <row r="352">
      <c r="A352" s="17" t="str">
        <f>IFERROR(__xludf.DUMMYFUNCTION("""COMPUTED_VALUE"""),"Chapter 60: 46.1 Interlude Weld
Shipping the Product (F.E.A.R.) 400:
Prototypes are one thing, but what about actually getting the damn thing distributed? An item or weapon doesn't help anyone if it's the only one of its kind. You will find your ability t"&amp;"o create has increased dramatically in efficiency, letting you use the materials for three of the same items to actually make five while streamlining production lines rather quickly. As a bonus, logistics have increased enough where your shipped supplies "&amp;"are harder to intercept, keeping any allies you have fresh with resources!
Fiat")</f>
        <v>Chapter 60: 46.1 Interlude Weld
Shipping the Product (F.E.A.R.) 400:
Prototypes are one thing, but what about actually getting the damn thing distributed? An item or weapon doesn't help anyone if it's the only one of its kind. You will find your ability to create has increased dramatically in efficiency, letting you use the materials for three of the same items to actually make five while streamlining production lines rather quickly. As a bonus, logistics have increased enough where your shipped supplies are harder to intercept, keeping any allies you have fresh with resources!
Fiat</v>
      </c>
      <c r="B352" s="17" t="str">
        <f>IFERROR(__xludf.DUMMYFUNCTION("""COMPUTED_VALUE"""),"
")</f>
        <v>
</v>
      </c>
      <c r="C352" s="17" t="str">
        <f>IFERROR(__xludf.DUMMYFUNCTION("""COMPUTED_VALUE"""),"
")</f>
        <v>
</v>
      </c>
      <c r="D352" s="17" t="str">
        <f>IFERROR(__xludf.DUMMYFUNCTION("""COMPUTED_VALUE"""),"
")</f>
        <v>
</v>
      </c>
      <c r="E352" s="17" t="str">
        <f>IFERROR(__xludf.DUMMYFUNCTION("""COMPUTED_VALUE"""),"
")</f>
        <v>
</v>
      </c>
      <c r="F352" s="17" t="str">
        <f>IFERROR(__xludf.DUMMYFUNCTION("""COMPUTED_VALUE"""),"
")</f>
        <v>
</v>
      </c>
      <c r="G352" s="17" t="str">
        <f>IFERROR(__xludf.DUMMYFUNCTION("""COMPUTED_VALUE"""),"
")</f>
        <v>
</v>
      </c>
      <c r="H352" s="17" t="str">
        <f>IFERROR(__xludf.DUMMYFUNCTION("""COMPUTED_VALUE"""),"
")</f>
        <v>
</v>
      </c>
      <c r="I352" s="17" t="str">
        <f>IFERROR(__xludf.DUMMYFUNCTION("""COMPUTED_VALUE"""),"
")</f>
        <v>
</v>
      </c>
      <c r="J352" s="17" t="str">
        <f>IFERROR(__xludf.DUMMYFUNCTION("""COMPUTED_VALUE"""),"
")</f>
        <v>
</v>
      </c>
      <c r="K352" s="17" t="str">
        <f>IFERROR(__xludf.DUMMYFUNCTION("""COMPUTED_VALUE"""),"
")</f>
        <v>
</v>
      </c>
      <c r="L352" s="17" t="str">
        <f>IFERROR(__xludf.DUMMYFUNCTION("""COMPUTED_VALUE"""),"
")</f>
        <v>
</v>
      </c>
      <c r="M352" s="17" t="str">
        <f>IFERROR(__xludf.DUMMYFUNCTION("""COMPUTED_VALUE"""),"
")</f>
        <v>
</v>
      </c>
      <c r="N352" s="17" t="str">
        <f>IFERROR(__xludf.DUMMYFUNCTION("""COMPUTED_VALUE"""),"
")</f>
        <v>
</v>
      </c>
      <c r="O352" s="17" t="str">
        <f>IFERROR(__xludf.DUMMYFUNCTION("""COMPUTED_VALUE"""),"
")</f>
        <v>
</v>
      </c>
      <c r="P352" s="17" t="str">
        <f>IFERROR(__xludf.DUMMYFUNCTION("""COMPUTED_VALUE"""),"
")</f>
        <v>
</v>
      </c>
      <c r="Q352" s="17" t="str">
        <f>IFERROR(__xludf.DUMMYFUNCTION("""COMPUTED_VALUE"""),"
")</f>
        <v>
</v>
      </c>
      <c r="R352" s="17" t="str">
        <f>IFERROR(__xludf.DUMMYFUNCTION("""COMPUTED_VALUE"""),"
")</f>
        <v>
</v>
      </c>
      <c r="S352" s="17" t="str">
        <f>IFERROR(__xludf.DUMMYFUNCTION("""COMPUTED_VALUE"""),"
")</f>
        <v>
</v>
      </c>
      <c r="T352" s="17" t="str">
        <f>IFERROR(__xludf.DUMMYFUNCTION("""COMPUTED_VALUE"""),"
")</f>
        <v>
</v>
      </c>
      <c r="U352" s="17" t="str">
        <f>IFERROR(__xludf.DUMMYFUNCTION("""COMPUTED_VALUE"""),"
")</f>
        <v>
</v>
      </c>
      <c r="V352" s="17" t="str">
        <f>IFERROR(__xludf.DUMMYFUNCTION("""COMPUTED_VALUE"""),"
")</f>
        <v>
</v>
      </c>
      <c r="W352" s="17" t="str">
        <f>IFERROR(__xludf.DUMMYFUNCTION("""COMPUTED_VALUE"""),"
")</f>
        <v>
</v>
      </c>
      <c r="X352" s="17" t="str">
        <f>IFERROR(__xludf.DUMMYFUNCTION("""COMPUTED_VALUE"""),"
")</f>
        <v>
</v>
      </c>
      <c r="Y352" s="17" t="str">
        <f>IFERROR(__xludf.DUMMYFUNCTION("""COMPUTED_VALUE"""),"
")</f>
        <v>
</v>
      </c>
      <c r="Z352" s="17" t="str">
        <f>IFERROR(__xludf.DUMMYFUNCTION("""COMPUTED_VALUE"""),"
")</f>
        <v>
</v>
      </c>
      <c r="AA352" s="17" t="str">
        <f>IFERROR(__xludf.DUMMYFUNCTION("""COMPUTED_VALUE"""),"
")</f>
        <v>
</v>
      </c>
      <c r="AB352" s="17" t="str">
        <f>IFERROR(__xludf.DUMMYFUNCTION("""COMPUTED_VALUE"""),"
")</f>
        <v>
</v>
      </c>
      <c r="AC352" s="17" t="str">
        <f>IFERROR(__xludf.DUMMYFUNCTION("""COMPUTED_VALUE"""),"
")</f>
        <v>
</v>
      </c>
    </row>
    <row r="353">
      <c r="A353" s="17" t="str">
        <f>IFERROR(__xludf.DUMMYFUNCTION("""COMPUTED_VALUE"""),"Chapter 28: 22 Homeward
Most Holy Order of the Socket Wrench (Fast and Furious) 400:
You are a master mechanic. Repair and upkeep is nice, but you can go beyond the impossible and improve any vehicle. Take a van and make it beat a supercar? Put NOS inject"&amp;"ors on a bicycle (and make it work)? How bout something challenging? And anything you can build up you can tear down, too. You're a one-man chop shop and wiring a car to explode takes but a few moments and some chicken wire.
Fiat, System")</f>
        <v>Chapter 28: 22 Homeward
Most Holy Order of the Socket Wrench (Fast and Furious) 400:
You are a master mechanic. Repair and upkeep is nice, but you can go beyond the impossible and improve any vehicle. Take a van and make it beat a supercar? Put NOS injectors on a bicycle (and make it work)? How bout something challenging? And anything you can build up you can tear down, too. You're a one-man chop shop and wiring a car to explode takes but a few moments and some chicken wire.
Fiat, System</v>
      </c>
      <c r="B353" s="17" t="str">
        <f>IFERROR(__xludf.DUMMYFUNCTION("""COMPUTED_VALUE"""),"
")</f>
        <v>
</v>
      </c>
      <c r="C353" s="17" t="str">
        <f>IFERROR(__xludf.DUMMYFUNCTION("""COMPUTED_VALUE"""),"
")</f>
        <v>
</v>
      </c>
      <c r="D353" s="17" t="str">
        <f>IFERROR(__xludf.DUMMYFUNCTION("""COMPUTED_VALUE"""),"
")</f>
        <v>
</v>
      </c>
      <c r="E353" s="17" t="str">
        <f>IFERROR(__xludf.DUMMYFUNCTION("""COMPUTED_VALUE"""),"
")</f>
        <v>
</v>
      </c>
      <c r="F353" s="17" t="str">
        <f>IFERROR(__xludf.DUMMYFUNCTION("""COMPUTED_VALUE"""),"
")</f>
        <v>
</v>
      </c>
      <c r="G353" s="17" t="str">
        <f>IFERROR(__xludf.DUMMYFUNCTION("""COMPUTED_VALUE"""),"
")</f>
        <v>
</v>
      </c>
      <c r="H353" s="17" t="str">
        <f>IFERROR(__xludf.DUMMYFUNCTION("""COMPUTED_VALUE"""),"
")</f>
        <v>
</v>
      </c>
      <c r="I353" s="17" t="str">
        <f>IFERROR(__xludf.DUMMYFUNCTION("""COMPUTED_VALUE"""),"
")</f>
        <v>
</v>
      </c>
      <c r="J353" s="17" t="str">
        <f>IFERROR(__xludf.DUMMYFUNCTION("""COMPUTED_VALUE"""),"
")</f>
        <v>
</v>
      </c>
      <c r="K353" s="17" t="str">
        <f>IFERROR(__xludf.DUMMYFUNCTION("""COMPUTED_VALUE"""),"
")</f>
        <v>
</v>
      </c>
      <c r="L353" s="17" t="str">
        <f>IFERROR(__xludf.DUMMYFUNCTION("""COMPUTED_VALUE"""),"
")</f>
        <v>
</v>
      </c>
      <c r="M353" s="17" t="str">
        <f>IFERROR(__xludf.DUMMYFUNCTION("""COMPUTED_VALUE"""),"
")</f>
        <v>
</v>
      </c>
      <c r="N353" s="17" t="str">
        <f>IFERROR(__xludf.DUMMYFUNCTION("""COMPUTED_VALUE"""),"
")</f>
        <v>
</v>
      </c>
      <c r="O353" s="17" t="str">
        <f>IFERROR(__xludf.DUMMYFUNCTION("""COMPUTED_VALUE"""),"
")</f>
        <v>
</v>
      </c>
      <c r="P353" s="17" t="str">
        <f>IFERROR(__xludf.DUMMYFUNCTION("""COMPUTED_VALUE"""),"
")</f>
        <v>
</v>
      </c>
      <c r="Q353" s="17" t="str">
        <f>IFERROR(__xludf.DUMMYFUNCTION("""COMPUTED_VALUE"""),"
")</f>
        <v>
</v>
      </c>
      <c r="R353" s="17" t="str">
        <f>IFERROR(__xludf.DUMMYFUNCTION("""COMPUTED_VALUE"""),"
")</f>
        <v>
</v>
      </c>
      <c r="S353" s="17" t="str">
        <f>IFERROR(__xludf.DUMMYFUNCTION("""COMPUTED_VALUE"""),"
")</f>
        <v>
</v>
      </c>
      <c r="T353" s="17" t="str">
        <f>IFERROR(__xludf.DUMMYFUNCTION("""COMPUTED_VALUE"""),"
")</f>
        <v>
</v>
      </c>
      <c r="U353" s="17" t="str">
        <f>IFERROR(__xludf.DUMMYFUNCTION("""COMPUTED_VALUE"""),"
")</f>
        <v>
</v>
      </c>
      <c r="V353" s="17" t="str">
        <f>IFERROR(__xludf.DUMMYFUNCTION("""COMPUTED_VALUE"""),"
")</f>
        <v>
</v>
      </c>
      <c r="W353" s="17" t="str">
        <f>IFERROR(__xludf.DUMMYFUNCTION("""COMPUTED_VALUE"""),"
")</f>
        <v>
</v>
      </c>
      <c r="X353" s="17" t="str">
        <f>IFERROR(__xludf.DUMMYFUNCTION("""COMPUTED_VALUE"""),"
")</f>
        <v>
</v>
      </c>
      <c r="Y353" s="17" t="str">
        <f>IFERROR(__xludf.DUMMYFUNCTION("""COMPUTED_VALUE"""),"
")</f>
        <v>
</v>
      </c>
      <c r="Z353" s="17" t="str">
        <f>IFERROR(__xludf.DUMMYFUNCTION("""COMPUTED_VALUE"""),"
")</f>
        <v>
</v>
      </c>
      <c r="AA353" s="17" t="str">
        <f>IFERROR(__xludf.DUMMYFUNCTION("""COMPUTED_VALUE"""),"
")</f>
        <v>
</v>
      </c>
      <c r="AB353" s="17" t="str">
        <f>IFERROR(__xludf.DUMMYFUNCTION("""COMPUTED_VALUE"""),"
")</f>
        <v>
</v>
      </c>
      <c r="AC353" s="17" t="str">
        <f>IFERROR(__xludf.DUMMYFUNCTION("""COMPUTED_VALUE"""),"
")</f>
        <v>
</v>
      </c>
    </row>
    <row r="354">
      <c r="A354" s="17" t="str">
        <f>IFERROR(__xludf.DUMMYFUNCTION("""COMPUTED_VALUE"""),"Chapter 10: 8 Aftermath
Machinist (Gargoyles) 200:
You are an expert mechanic. You can rebuild and improve a helicopter in 12 hours or create a functional motorcycle from spare parts. If honed, this ability will let you make nearly anything from incredibl"&amp;"y advanced robots to nanite swarms in only a few months time.
Fiat, System")</f>
        <v>Chapter 10: 8 Aftermath
Machinist (Gargoyles) 200:
You are an expert mechanic. You can rebuild and improve a helicopter in 12 hours or create a functional motorcycle from spare parts. If honed, this ability will let you make nearly anything from incredibly advanced robots to nanite swarms in only a few months time.
Fiat, System</v>
      </c>
      <c r="B354" s="17" t="str">
        <f>IFERROR(__xludf.DUMMYFUNCTION("""COMPUTED_VALUE"""),"
")</f>
        <v>
</v>
      </c>
      <c r="C354" s="17" t="str">
        <f>IFERROR(__xludf.DUMMYFUNCTION("""COMPUTED_VALUE"""),"
")</f>
        <v>
</v>
      </c>
      <c r="D354" s="17" t="str">
        <f>IFERROR(__xludf.DUMMYFUNCTION("""COMPUTED_VALUE"""),"
")</f>
        <v>
</v>
      </c>
      <c r="E354" s="17" t="str">
        <f>IFERROR(__xludf.DUMMYFUNCTION("""COMPUTED_VALUE"""),"
")</f>
        <v>
</v>
      </c>
      <c r="F354" s="17" t="str">
        <f>IFERROR(__xludf.DUMMYFUNCTION("""COMPUTED_VALUE"""),"
")</f>
        <v>
</v>
      </c>
      <c r="G354" s="17" t="str">
        <f>IFERROR(__xludf.DUMMYFUNCTION("""COMPUTED_VALUE"""),"
")</f>
        <v>
</v>
      </c>
      <c r="H354" s="17" t="str">
        <f>IFERROR(__xludf.DUMMYFUNCTION("""COMPUTED_VALUE"""),"
")</f>
        <v>
</v>
      </c>
      <c r="I354" s="17" t="str">
        <f>IFERROR(__xludf.DUMMYFUNCTION("""COMPUTED_VALUE"""),"
")</f>
        <v>
</v>
      </c>
      <c r="J354" s="17" t="str">
        <f>IFERROR(__xludf.DUMMYFUNCTION("""COMPUTED_VALUE"""),"
")</f>
        <v>
</v>
      </c>
      <c r="K354" s="17" t="str">
        <f>IFERROR(__xludf.DUMMYFUNCTION("""COMPUTED_VALUE"""),"
")</f>
        <v>
</v>
      </c>
      <c r="L354" s="17" t="str">
        <f>IFERROR(__xludf.DUMMYFUNCTION("""COMPUTED_VALUE"""),"
")</f>
        <v>
</v>
      </c>
      <c r="M354" s="17" t="str">
        <f>IFERROR(__xludf.DUMMYFUNCTION("""COMPUTED_VALUE"""),"
")</f>
        <v>
</v>
      </c>
      <c r="N354" s="17" t="str">
        <f>IFERROR(__xludf.DUMMYFUNCTION("""COMPUTED_VALUE"""),"
")</f>
        <v>
</v>
      </c>
      <c r="O354" s="17" t="str">
        <f>IFERROR(__xludf.DUMMYFUNCTION("""COMPUTED_VALUE"""),"
")</f>
        <v>
</v>
      </c>
      <c r="P354" s="17" t="str">
        <f>IFERROR(__xludf.DUMMYFUNCTION("""COMPUTED_VALUE"""),"
")</f>
        <v>
</v>
      </c>
      <c r="Q354" s="17" t="str">
        <f>IFERROR(__xludf.DUMMYFUNCTION("""COMPUTED_VALUE"""),"
")</f>
        <v>
</v>
      </c>
      <c r="R354" s="17" t="str">
        <f>IFERROR(__xludf.DUMMYFUNCTION("""COMPUTED_VALUE"""),"
")</f>
        <v>
</v>
      </c>
      <c r="S354" s="17" t="str">
        <f>IFERROR(__xludf.DUMMYFUNCTION("""COMPUTED_VALUE"""),"
")</f>
        <v>
</v>
      </c>
      <c r="T354" s="17" t="str">
        <f>IFERROR(__xludf.DUMMYFUNCTION("""COMPUTED_VALUE"""),"
")</f>
        <v>
</v>
      </c>
      <c r="U354" s="17" t="str">
        <f>IFERROR(__xludf.DUMMYFUNCTION("""COMPUTED_VALUE"""),"
")</f>
        <v>
</v>
      </c>
      <c r="V354" s="17" t="str">
        <f>IFERROR(__xludf.DUMMYFUNCTION("""COMPUTED_VALUE"""),"
")</f>
        <v>
</v>
      </c>
      <c r="W354" s="17" t="str">
        <f>IFERROR(__xludf.DUMMYFUNCTION("""COMPUTED_VALUE"""),"
")</f>
        <v>
</v>
      </c>
      <c r="X354" s="17" t="str">
        <f>IFERROR(__xludf.DUMMYFUNCTION("""COMPUTED_VALUE"""),"
")</f>
        <v>
</v>
      </c>
      <c r="Y354" s="17" t="str">
        <f>IFERROR(__xludf.DUMMYFUNCTION("""COMPUTED_VALUE"""),"
")</f>
        <v>
</v>
      </c>
      <c r="Z354" s="17" t="str">
        <f>IFERROR(__xludf.DUMMYFUNCTION("""COMPUTED_VALUE"""),"
")</f>
        <v>
</v>
      </c>
      <c r="AA354" s="17" t="str">
        <f>IFERROR(__xludf.DUMMYFUNCTION("""COMPUTED_VALUE"""),"
")</f>
        <v>
</v>
      </c>
      <c r="AB354" s="17" t="str">
        <f>IFERROR(__xludf.DUMMYFUNCTION("""COMPUTED_VALUE"""),"
")</f>
        <v>
</v>
      </c>
      <c r="AC354" s="17" t="str">
        <f>IFERROR(__xludf.DUMMYFUNCTION("""COMPUTED_VALUE"""),"
")</f>
        <v>
</v>
      </c>
    </row>
    <row r="355">
      <c r="A355" s="17" t="str">
        <f>IFERROR(__xludf.DUMMYFUNCTION("""COMPUTED_VALUE"""),"Chapter 03: 3 First Fight
Scientist: Machinery (Girl Genius) 100:
You have a DOCTORATE! And skill in ACTUAL SCIENCE! That doesn’t need you to go crazy to work! Admittedly, it won’t break the fabric of space and time, but meh. Tradeoffs everywhere you go. "&amp;"You’re highly trained in one field, and can easily apply its principles to your work. After all, building a crazed abomination upon the natural order usually requires at least a smidgen of understanding of which bones are supposed to go where (Even if you"&amp;" end up changing them around a little). At the very least, you’re also in the genius range of standard intelligence.
Skill")</f>
        <v>Chapter 03: 3 First Fight
Scientist: Machinery (Girl Genius) 100:
You have a DOCTORATE! And skill in ACTUAL SCIENCE! That doesn’t need you to go crazy to work! Admittedly, it won’t break the fabric of space and time, but meh. Tradeoffs everywhere you go. You’re highly trained in one field, and can easily apply its principles to your work. After all, building a crazed abomination upon the natural order usually requires at least a smidgen of understanding of which bones are supposed to go where (Even if you end up changing them around a little). At the very least, you’re also in the genius range of standard intelligence.
Skill</v>
      </c>
      <c r="B355" s="17" t="str">
        <f>IFERROR(__xludf.DUMMYFUNCTION("""COMPUTED_VALUE"""),"Chapter 175: 113 Disrupted Discourse
Strong Spark (Girl Genius) 600:
Rather than having a weak Spark (Like a PEASANT who took the “Spark” Perk, which this is incompatible with) you have an extremely powerful one. You don’t limit your scientific exploratio"&amp;"ns to a single topic, but are a master of anything that meets your eye (well, at least once you’re in the Madness Place). You go further and farther than almost anyone, and when you get working, you quickly stop caring about things like “fundamental laws”"&amp;" and “nature of the universe” and ... well, pretty much anything. Warping the fabric of reality is a pretty common thing. Unfortunately, it’s also significantly harder to get OUT of the Madness Place, and you get sidetracked pretty easily as well. Last we"&amp;"ek you were trying to get a stain out of your carpet, and woke up with an army of death-ray-wielding mice obedient to your commands! MWAHAHAHA
System")</f>
        <v>Chapter 175: 113 Disrupted Discourse
Strong Spark (Girl Genius) 600:
Rather than having a weak Spark (Like a PEASANT who took the “Spark” Perk, which this is incompatible with) you have an extremely powerful one. You don’t limit your scientific explorations to a single topic, but are a master of anything that meets your eye (well, at least once you’re in the Madness Place). You go further and farther than almost anyone, and when you get working, you quickly stop caring about things like “fundamental laws” and “nature of the universe” and ... well, pretty much anything. Warping the fabric of reality is a pretty common thing. Unfortunately, it’s also significantly harder to get OUT of the Madness Place, and you get sidetracked pretty easily as well. Last week you were trying to get a stain out of your carpet, and woke up with an army of death-ray-wielding mice obedient to your commands! MWAHAHAHA
System</v>
      </c>
      <c r="C355" s="17" t="str">
        <f>IFERROR(__xludf.DUMMYFUNCTION("""COMPUTED_VALUE"""),"
")</f>
        <v>
</v>
      </c>
      <c r="D355" s="17" t="str">
        <f>IFERROR(__xludf.DUMMYFUNCTION("""COMPUTED_VALUE"""),"
")</f>
        <v>
</v>
      </c>
      <c r="E355" s="17" t="str">
        <f>IFERROR(__xludf.DUMMYFUNCTION("""COMPUTED_VALUE"""),"
")</f>
        <v>
</v>
      </c>
      <c r="F355" s="17" t="str">
        <f>IFERROR(__xludf.DUMMYFUNCTION("""COMPUTED_VALUE"""),"
")</f>
        <v>
</v>
      </c>
      <c r="G355" s="17" t="str">
        <f>IFERROR(__xludf.DUMMYFUNCTION("""COMPUTED_VALUE"""),"
")</f>
        <v>
</v>
      </c>
      <c r="H355" s="17" t="str">
        <f>IFERROR(__xludf.DUMMYFUNCTION("""COMPUTED_VALUE"""),"
")</f>
        <v>
</v>
      </c>
      <c r="I355" s="17" t="str">
        <f>IFERROR(__xludf.DUMMYFUNCTION("""COMPUTED_VALUE"""),"
")</f>
        <v>
</v>
      </c>
      <c r="J355" s="17" t="str">
        <f>IFERROR(__xludf.DUMMYFUNCTION("""COMPUTED_VALUE"""),"
")</f>
        <v>
</v>
      </c>
      <c r="K355" s="17" t="str">
        <f>IFERROR(__xludf.DUMMYFUNCTION("""COMPUTED_VALUE"""),"
")</f>
        <v>
</v>
      </c>
      <c r="L355" s="17" t="str">
        <f>IFERROR(__xludf.DUMMYFUNCTION("""COMPUTED_VALUE"""),"
")</f>
        <v>
</v>
      </c>
      <c r="M355" s="17" t="str">
        <f>IFERROR(__xludf.DUMMYFUNCTION("""COMPUTED_VALUE"""),"
")</f>
        <v>
</v>
      </c>
      <c r="N355" s="17" t="str">
        <f>IFERROR(__xludf.DUMMYFUNCTION("""COMPUTED_VALUE"""),"
")</f>
        <v>
</v>
      </c>
      <c r="O355" s="17" t="str">
        <f>IFERROR(__xludf.DUMMYFUNCTION("""COMPUTED_VALUE"""),"
")</f>
        <v>
</v>
      </c>
      <c r="P355" s="17" t="str">
        <f>IFERROR(__xludf.DUMMYFUNCTION("""COMPUTED_VALUE"""),"
")</f>
        <v>
</v>
      </c>
      <c r="Q355" s="17" t="str">
        <f>IFERROR(__xludf.DUMMYFUNCTION("""COMPUTED_VALUE"""),"
")</f>
        <v>
</v>
      </c>
      <c r="R355" s="17" t="str">
        <f>IFERROR(__xludf.DUMMYFUNCTION("""COMPUTED_VALUE"""),"
")</f>
        <v>
</v>
      </c>
      <c r="S355" s="17" t="str">
        <f>IFERROR(__xludf.DUMMYFUNCTION("""COMPUTED_VALUE"""),"
")</f>
        <v>
</v>
      </c>
      <c r="T355" s="17" t="str">
        <f>IFERROR(__xludf.DUMMYFUNCTION("""COMPUTED_VALUE"""),"
")</f>
        <v>
</v>
      </c>
      <c r="U355" s="17" t="str">
        <f>IFERROR(__xludf.DUMMYFUNCTION("""COMPUTED_VALUE"""),"
")</f>
        <v>
</v>
      </c>
      <c r="V355" s="17" t="str">
        <f>IFERROR(__xludf.DUMMYFUNCTION("""COMPUTED_VALUE"""),"
")</f>
        <v>
</v>
      </c>
      <c r="W355" s="17" t="str">
        <f>IFERROR(__xludf.DUMMYFUNCTION("""COMPUTED_VALUE"""),"
")</f>
        <v>
</v>
      </c>
      <c r="X355" s="17" t="str">
        <f>IFERROR(__xludf.DUMMYFUNCTION("""COMPUTED_VALUE"""),"
")</f>
        <v>
</v>
      </c>
      <c r="Y355" s="17" t="str">
        <f>IFERROR(__xludf.DUMMYFUNCTION("""COMPUTED_VALUE"""),"
")</f>
        <v>
</v>
      </c>
      <c r="Z355" s="17" t="str">
        <f>IFERROR(__xludf.DUMMYFUNCTION("""COMPUTED_VALUE"""),"
")</f>
        <v>
</v>
      </c>
      <c r="AA355" s="17" t="str">
        <f>IFERROR(__xludf.DUMMYFUNCTION("""COMPUTED_VALUE"""),"
")</f>
        <v>
</v>
      </c>
      <c r="AB355" s="17" t="str">
        <f>IFERROR(__xludf.DUMMYFUNCTION("""COMPUTED_VALUE"""),"
")</f>
        <v>
</v>
      </c>
      <c r="AC355" s="17" t="str">
        <f>IFERROR(__xludf.DUMMYFUNCTION("""COMPUTED_VALUE"""),"
")</f>
        <v>
</v>
      </c>
    </row>
    <row r="356">
      <c r="A356" s="17" t="str">
        <f>IFERROR(__xludf.DUMMYFUNCTION("""COMPUTED_VALUE"""),"")</f>
        <v/>
      </c>
      <c r="B356" s="17" t="str">
        <f>IFERROR(__xludf.DUMMYFUNCTION("""COMPUTED_VALUE"""),"")</f>
        <v/>
      </c>
      <c r="C356" s="17" t="str">
        <f>IFERROR(__xludf.DUMMYFUNCTION("""COMPUTED_VALUE"""),"")</f>
        <v/>
      </c>
      <c r="D356" s="17" t="str">
        <f>IFERROR(__xludf.DUMMYFUNCTION("""COMPUTED_VALUE"""),"")</f>
        <v/>
      </c>
      <c r="E356" s="17" t="str">
        <f>IFERROR(__xludf.DUMMYFUNCTION("""COMPUTED_VALUE"""),"")</f>
        <v/>
      </c>
      <c r="F356" s="17" t="str">
        <f>IFERROR(__xludf.DUMMYFUNCTION("""COMPUTED_VALUE"""),"")</f>
        <v/>
      </c>
      <c r="G356" s="17" t="str">
        <f>IFERROR(__xludf.DUMMYFUNCTION("""COMPUTED_VALUE"""),"")</f>
        <v/>
      </c>
      <c r="H356" s="17" t="str">
        <f>IFERROR(__xludf.DUMMYFUNCTION("""COMPUTED_VALUE"""),"")</f>
        <v/>
      </c>
      <c r="I356" s="17" t="str">
        <f>IFERROR(__xludf.DUMMYFUNCTION("""COMPUTED_VALUE"""),"")</f>
        <v/>
      </c>
      <c r="J356" s="17" t="str">
        <f>IFERROR(__xludf.DUMMYFUNCTION("""COMPUTED_VALUE"""),"")</f>
        <v/>
      </c>
      <c r="K356" s="17" t="str">
        <f>IFERROR(__xludf.DUMMYFUNCTION("""COMPUTED_VALUE"""),"")</f>
        <v/>
      </c>
      <c r="L356" s="17" t="str">
        <f>IFERROR(__xludf.DUMMYFUNCTION("""COMPUTED_VALUE"""),"")</f>
        <v/>
      </c>
      <c r="M356" s="17" t="str">
        <f>IFERROR(__xludf.DUMMYFUNCTION("""COMPUTED_VALUE"""),"")</f>
        <v/>
      </c>
      <c r="N356" s="17" t="str">
        <f>IFERROR(__xludf.DUMMYFUNCTION("""COMPUTED_VALUE"""),"")</f>
        <v/>
      </c>
      <c r="O356" s="17" t="str">
        <f>IFERROR(__xludf.DUMMYFUNCTION("""COMPUTED_VALUE"""),"")</f>
        <v/>
      </c>
      <c r="P356" s="17" t="str">
        <f>IFERROR(__xludf.DUMMYFUNCTION("""COMPUTED_VALUE"""),"")</f>
        <v/>
      </c>
      <c r="Q356" s="17" t="str">
        <f>IFERROR(__xludf.DUMMYFUNCTION("""COMPUTED_VALUE"""),"")</f>
        <v/>
      </c>
      <c r="R356" s="17" t="str">
        <f>IFERROR(__xludf.DUMMYFUNCTION("""COMPUTED_VALUE"""),"")</f>
        <v/>
      </c>
      <c r="S356" s="17" t="str">
        <f>IFERROR(__xludf.DUMMYFUNCTION("""COMPUTED_VALUE"""),"")</f>
        <v/>
      </c>
      <c r="T356" s="17" t="str">
        <f>IFERROR(__xludf.DUMMYFUNCTION("""COMPUTED_VALUE"""),"")</f>
        <v/>
      </c>
      <c r="U356" s="17" t="str">
        <f>IFERROR(__xludf.DUMMYFUNCTION("""COMPUTED_VALUE"""),"")</f>
        <v/>
      </c>
      <c r="V356" s="17" t="str">
        <f>IFERROR(__xludf.DUMMYFUNCTION("""COMPUTED_VALUE"""),"")</f>
        <v/>
      </c>
      <c r="W356" s="17" t="str">
        <f>IFERROR(__xludf.DUMMYFUNCTION("""COMPUTED_VALUE"""),"")</f>
        <v/>
      </c>
      <c r="X356" s="17" t="str">
        <f>IFERROR(__xludf.DUMMYFUNCTION("""COMPUTED_VALUE"""),"")</f>
        <v/>
      </c>
      <c r="Y356" s="17" t="str">
        <f>IFERROR(__xludf.DUMMYFUNCTION("""COMPUTED_VALUE"""),"")</f>
        <v/>
      </c>
      <c r="Z356" s="17" t="str">
        <f>IFERROR(__xludf.DUMMYFUNCTION("""COMPUTED_VALUE"""),"")</f>
        <v/>
      </c>
      <c r="AA356" s="17" t="str">
        <f>IFERROR(__xludf.DUMMYFUNCTION("""COMPUTED_VALUE"""),"")</f>
        <v/>
      </c>
      <c r="AB356" s="17" t="str">
        <f>IFERROR(__xludf.DUMMYFUNCTION("""COMPUTED_VALUE"""),"")</f>
        <v/>
      </c>
      <c r="AC356" s="17" t="str">
        <f>IFERROR(__xludf.DUMMYFUNCTION("""COMPUTED_VALUE"""),"")</f>
        <v/>
      </c>
    </row>
    <row r="357">
      <c r="A357" s="17" t="str">
        <f>IFERROR(__xludf.DUMMYFUNCTION("""COMPUTED_VALUE"""),"Chapter 54: 43 Ripples Aisha - Preamble Gully - Addendum Joe
Build Rome (Gundam: After Colony) 600:
You have a thing about building things- you’re damn fast, and you’re damn good. They say you can’t build 10 Mobile Suits in a week? Hah! You’ll build twice"&amp;" that much and you’ll build them to last! You simply have utter talent in the way of making things quickly enough to double production, maybe even triple production if you work at it enough, and they’ll come out with no loss of quality. In addition, these"&amp;" constructions will last- barring sudden disaster and similar, they’ll easily last several decades of constant abuse, and if they’re upkept and repaired they could even last centuries with no troubles
Fiat, System")</f>
        <v>Chapter 54: 43 Ripples Aisha - Preamble Gully - Addendum Joe
Build Rome (Gundam: After Colony) 600:
You have a thing about building things- you’re damn fast, and you’re damn good. They say you can’t build 10 Mobile Suits in a week? Hah! You’ll build twice that much and you’ll build them to last! You simply have utter talent in the way of making things quickly enough to double production, maybe even triple production if you work at it enough, and they’ll come out with no loss of quality. In addition, these constructions will last- barring sudden disaster and similar, they’ll easily last several decades of constant abuse, and if they’re upkept and repaired they could even last centuries with no troubles
Fiat, System</v>
      </c>
      <c r="B357" s="17" t="str">
        <f>IFERROR(__xludf.DUMMYFUNCTION("""COMPUTED_VALUE"""),"
")</f>
        <v>
</v>
      </c>
      <c r="C357" s="17" t="str">
        <f>IFERROR(__xludf.DUMMYFUNCTION("""COMPUTED_VALUE"""),"
")</f>
        <v>
</v>
      </c>
      <c r="D357" s="17" t="str">
        <f>IFERROR(__xludf.DUMMYFUNCTION("""COMPUTED_VALUE"""),"
")</f>
        <v>
</v>
      </c>
      <c r="E357" s="17" t="str">
        <f>IFERROR(__xludf.DUMMYFUNCTION("""COMPUTED_VALUE"""),"
")</f>
        <v>
</v>
      </c>
      <c r="F357" s="17" t="str">
        <f>IFERROR(__xludf.DUMMYFUNCTION("""COMPUTED_VALUE"""),"
")</f>
        <v>
</v>
      </c>
      <c r="G357" s="17" t="str">
        <f>IFERROR(__xludf.DUMMYFUNCTION("""COMPUTED_VALUE"""),"
")</f>
        <v>
</v>
      </c>
      <c r="H357" s="17" t="str">
        <f>IFERROR(__xludf.DUMMYFUNCTION("""COMPUTED_VALUE"""),"
")</f>
        <v>
</v>
      </c>
      <c r="I357" s="17" t="str">
        <f>IFERROR(__xludf.DUMMYFUNCTION("""COMPUTED_VALUE"""),"
")</f>
        <v>
</v>
      </c>
      <c r="J357" s="17" t="str">
        <f>IFERROR(__xludf.DUMMYFUNCTION("""COMPUTED_VALUE"""),"
")</f>
        <v>
</v>
      </c>
      <c r="K357" s="17" t="str">
        <f>IFERROR(__xludf.DUMMYFUNCTION("""COMPUTED_VALUE"""),"
")</f>
        <v>
</v>
      </c>
      <c r="L357" s="17" t="str">
        <f>IFERROR(__xludf.DUMMYFUNCTION("""COMPUTED_VALUE"""),"
")</f>
        <v>
</v>
      </c>
      <c r="M357" s="17" t="str">
        <f>IFERROR(__xludf.DUMMYFUNCTION("""COMPUTED_VALUE"""),"
")</f>
        <v>
</v>
      </c>
      <c r="N357" s="17" t="str">
        <f>IFERROR(__xludf.DUMMYFUNCTION("""COMPUTED_VALUE"""),"
")</f>
        <v>
</v>
      </c>
      <c r="O357" s="17" t="str">
        <f>IFERROR(__xludf.DUMMYFUNCTION("""COMPUTED_VALUE"""),"
")</f>
        <v>
</v>
      </c>
      <c r="P357" s="17" t="str">
        <f>IFERROR(__xludf.DUMMYFUNCTION("""COMPUTED_VALUE"""),"
")</f>
        <v>
</v>
      </c>
      <c r="Q357" s="17" t="str">
        <f>IFERROR(__xludf.DUMMYFUNCTION("""COMPUTED_VALUE"""),"
")</f>
        <v>
</v>
      </c>
      <c r="R357" s="17" t="str">
        <f>IFERROR(__xludf.DUMMYFUNCTION("""COMPUTED_VALUE"""),"
")</f>
        <v>
</v>
      </c>
      <c r="S357" s="17" t="str">
        <f>IFERROR(__xludf.DUMMYFUNCTION("""COMPUTED_VALUE"""),"
")</f>
        <v>
</v>
      </c>
      <c r="T357" s="17" t="str">
        <f>IFERROR(__xludf.DUMMYFUNCTION("""COMPUTED_VALUE"""),"
")</f>
        <v>
</v>
      </c>
      <c r="U357" s="17" t="str">
        <f>IFERROR(__xludf.DUMMYFUNCTION("""COMPUTED_VALUE"""),"
")</f>
        <v>
</v>
      </c>
      <c r="V357" s="17" t="str">
        <f>IFERROR(__xludf.DUMMYFUNCTION("""COMPUTED_VALUE"""),"
")</f>
        <v>
</v>
      </c>
      <c r="W357" s="17" t="str">
        <f>IFERROR(__xludf.DUMMYFUNCTION("""COMPUTED_VALUE"""),"
")</f>
        <v>
</v>
      </c>
      <c r="X357" s="17" t="str">
        <f>IFERROR(__xludf.DUMMYFUNCTION("""COMPUTED_VALUE"""),"
")</f>
        <v>
</v>
      </c>
      <c r="Y357" s="17" t="str">
        <f>IFERROR(__xludf.DUMMYFUNCTION("""COMPUTED_VALUE"""),"
")</f>
        <v>
</v>
      </c>
      <c r="Z357" s="17" t="str">
        <f>IFERROR(__xludf.DUMMYFUNCTION("""COMPUTED_VALUE"""),"
")</f>
        <v>
</v>
      </c>
      <c r="AA357" s="17" t="str">
        <f>IFERROR(__xludf.DUMMYFUNCTION("""COMPUTED_VALUE"""),"
")</f>
        <v>
</v>
      </c>
      <c r="AB357" s="17" t="str">
        <f>IFERROR(__xludf.DUMMYFUNCTION("""COMPUTED_VALUE"""),"
")</f>
        <v>
</v>
      </c>
      <c r="AC357" s="17" t="str">
        <f>IFERROR(__xludf.DUMMYFUNCTION("""COMPUTED_VALUE"""),"
")</f>
        <v>
</v>
      </c>
    </row>
    <row r="358">
      <c r="A358" s="17" t="str">
        <f>IFERROR(__xludf.DUMMYFUNCTION("""COMPUTED_VALUE"""),"Chapter 31: 25 Search and Rescue - Addendum PHO
Savvy Sultan (Macross) 400:
When people think of building things, they think of you. Provided you had the resources and the understanding of the technology, you could construct all manners of machines in a f"&amp;"ourth of the time it would normally take. By yourself. You're no slouch with any of your tools either, wielding them with the precision of a machine with no loss of speed. Quality and a deadline? No problem.
Fiat")</f>
        <v>Chapter 31: 25 Search and Rescue - Addendum PHO
Savvy Sultan (Macross) 400:
When people think of building things, they think of you. Provided you had the resources and the understanding of the technology, you could construct all manners of machines in a fourth of the time it would normally take. By yourself. You're no slouch with any of your tools either, wielding them with the precision of a machine with no loss of speed. Quality and a deadline? No problem.
Fiat</v>
      </c>
      <c r="B358" s="17" t="str">
        <f>IFERROR(__xludf.DUMMYFUNCTION("""COMPUTED_VALUE"""),"
")</f>
        <v>
</v>
      </c>
      <c r="C358" s="17" t="str">
        <f>IFERROR(__xludf.DUMMYFUNCTION("""COMPUTED_VALUE"""),"
")</f>
        <v>
</v>
      </c>
      <c r="D358" s="17" t="str">
        <f>IFERROR(__xludf.DUMMYFUNCTION("""COMPUTED_VALUE"""),"
")</f>
        <v>
</v>
      </c>
      <c r="E358" s="17" t="str">
        <f>IFERROR(__xludf.DUMMYFUNCTION("""COMPUTED_VALUE"""),"
")</f>
        <v>
</v>
      </c>
      <c r="F358" s="17" t="str">
        <f>IFERROR(__xludf.DUMMYFUNCTION("""COMPUTED_VALUE"""),"
")</f>
        <v>
</v>
      </c>
      <c r="G358" s="17" t="str">
        <f>IFERROR(__xludf.DUMMYFUNCTION("""COMPUTED_VALUE"""),"
")</f>
        <v>
</v>
      </c>
      <c r="H358" s="17" t="str">
        <f>IFERROR(__xludf.DUMMYFUNCTION("""COMPUTED_VALUE"""),"
")</f>
        <v>
</v>
      </c>
      <c r="I358" s="17" t="str">
        <f>IFERROR(__xludf.DUMMYFUNCTION("""COMPUTED_VALUE"""),"
")</f>
        <v>
</v>
      </c>
      <c r="J358" s="17" t="str">
        <f>IFERROR(__xludf.DUMMYFUNCTION("""COMPUTED_VALUE"""),"
")</f>
        <v>
</v>
      </c>
      <c r="K358" s="17" t="str">
        <f>IFERROR(__xludf.DUMMYFUNCTION("""COMPUTED_VALUE"""),"
")</f>
        <v>
</v>
      </c>
      <c r="L358" s="17" t="str">
        <f>IFERROR(__xludf.DUMMYFUNCTION("""COMPUTED_VALUE"""),"
")</f>
        <v>
</v>
      </c>
      <c r="M358" s="17" t="str">
        <f>IFERROR(__xludf.DUMMYFUNCTION("""COMPUTED_VALUE"""),"
")</f>
        <v>
</v>
      </c>
      <c r="N358" s="17" t="str">
        <f>IFERROR(__xludf.DUMMYFUNCTION("""COMPUTED_VALUE"""),"
")</f>
        <v>
</v>
      </c>
      <c r="O358" s="17" t="str">
        <f>IFERROR(__xludf.DUMMYFUNCTION("""COMPUTED_VALUE"""),"
")</f>
        <v>
</v>
      </c>
      <c r="P358" s="17" t="str">
        <f>IFERROR(__xludf.DUMMYFUNCTION("""COMPUTED_VALUE"""),"
")</f>
        <v>
</v>
      </c>
      <c r="Q358" s="17" t="str">
        <f>IFERROR(__xludf.DUMMYFUNCTION("""COMPUTED_VALUE"""),"
")</f>
        <v>
</v>
      </c>
      <c r="R358" s="17" t="str">
        <f>IFERROR(__xludf.DUMMYFUNCTION("""COMPUTED_VALUE"""),"
")</f>
        <v>
</v>
      </c>
      <c r="S358" s="17" t="str">
        <f>IFERROR(__xludf.DUMMYFUNCTION("""COMPUTED_VALUE"""),"
")</f>
        <v>
</v>
      </c>
      <c r="T358" s="17" t="str">
        <f>IFERROR(__xludf.DUMMYFUNCTION("""COMPUTED_VALUE"""),"
")</f>
        <v>
</v>
      </c>
      <c r="U358" s="17" t="str">
        <f>IFERROR(__xludf.DUMMYFUNCTION("""COMPUTED_VALUE"""),"
")</f>
        <v>
</v>
      </c>
      <c r="V358" s="17" t="str">
        <f>IFERROR(__xludf.DUMMYFUNCTION("""COMPUTED_VALUE"""),"
")</f>
        <v>
</v>
      </c>
      <c r="W358" s="17" t="str">
        <f>IFERROR(__xludf.DUMMYFUNCTION("""COMPUTED_VALUE"""),"
")</f>
        <v>
</v>
      </c>
      <c r="X358" s="17" t="str">
        <f>IFERROR(__xludf.DUMMYFUNCTION("""COMPUTED_VALUE"""),"
")</f>
        <v>
</v>
      </c>
      <c r="Y358" s="17" t="str">
        <f>IFERROR(__xludf.DUMMYFUNCTION("""COMPUTED_VALUE"""),"
")</f>
        <v>
</v>
      </c>
      <c r="Z358" s="17" t="str">
        <f>IFERROR(__xludf.DUMMYFUNCTION("""COMPUTED_VALUE"""),"
")</f>
        <v>
</v>
      </c>
      <c r="AA358" s="17" t="str">
        <f>IFERROR(__xludf.DUMMYFUNCTION("""COMPUTED_VALUE"""),"
")</f>
        <v>
</v>
      </c>
      <c r="AB358" s="17" t="str">
        <f>IFERROR(__xludf.DUMMYFUNCTION("""COMPUTED_VALUE"""),"
")</f>
        <v>
</v>
      </c>
      <c r="AC358" s="17" t="str">
        <f>IFERROR(__xludf.DUMMYFUNCTION("""COMPUTED_VALUE"""),"
")</f>
        <v>
</v>
      </c>
    </row>
    <row r="359">
      <c r="A359" s="17" t="str">
        <f>IFERROR(__xludf.DUMMYFUNCTION("""COMPUTED_VALUE"""),"Chapter 23: 18 Regroup
Workaholic (Sonic The Hedgehog) 300:
Sometimes you wonder how some geniuses are able to build entire armadas within days or weeks of their last defeat. You become a walking factory of production. Building in masse is something that "&amp;"comes without issue to you. That one bot that took a week to build? Now that one bot is now 5. Or roughly 3x the size it was before. How do you even have the resources to build so much you say? The hell if I know.
Fiat")</f>
        <v>Chapter 23: 18 Regroup
Workaholic (Sonic The Hedgehog) 300:
Sometimes you wonder how some geniuses are able to build entire armadas within days or weeks of their last defeat. You become a walking factory of production. Building in masse is something that comes without issue to you. That one bot that took a week to build? Now that one bot is now 5. Or roughly 3x the size it was before. How do you even have the resources to build so much you say? The hell if I know.
Fiat</v>
      </c>
      <c r="B359" s="17" t="str">
        <f>IFERROR(__xludf.DUMMYFUNCTION("""COMPUTED_VALUE"""),"
")</f>
        <v>
</v>
      </c>
      <c r="C359" s="17" t="str">
        <f>IFERROR(__xludf.DUMMYFUNCTION("""COMPUTED_VALUE"""),"
")</f>
        <v>
</v>
      </c>
      <c r="D359" s="17" t="str">
        <f>IFERROR(__xludf.DUMMYFUNCTION("""COMPUTED_VALUE"""),"
")</f>
        <v>
</v>
      </c>
      <c r="E359" s="17" t="str">
        <f>IFERROR(__xludf.DUMMYFUNCTION("""COMPUTED_VALUE"""),"
")</f>
        <v>
</v>
      </c>
      <c r="F359" s="17" t="str">
        <f>IFERROR(__xludf.DUMMYFUNCTION("""COMPUTED_VALUE"""),"
")</f>
        <v>
</v>
      </c>
      <c r="G359" s="17" t="str">
        <f>IFERROR(__xludf.DUMMYFUNCTION("""COMPUTED_VALUE"""),"
")</f>
        <v>
</v>
      </c>
      <c r="H359" s="17" t="str">
        <f>IFERROR(__xludf.DUMMYFUNCTION("""COMPUTED_VALUE"""),"
")</f>
        <v>
</v>
      </c>
      <c r="I359" s="17" t="str">
        <f>IFERROR(__xludf.DUMMYFUNCTION("""COMPUTED_VALUE"""),"
")</f>
        <v>
</v>
      </c>
      <c r="J359" s="17" t="str">
        <f>IFERROR(__xludf.DUMMYFUNCTION("""COMPUTED_VALUE"""),"
")</f>
        <v>
</v>
      </c>
      <c r="K359" s="17" t="str">
        <f>IFERROR(__xludf.DUMMYFUNCTION("""COMPUTED_VALUE"""),"
")</f>
        <v>
</v>
      </c>
      <c r="L359" s="17" t="str">
        <f>IFERROR(__xludf.DUMMYFUNCTION("""COMPUTED_VALUE"""),"
")</f>
        <v>
</v>
      </c>
      <c r="M359" s="17" t="str">
        <f>IFERROR(__xludf.DUMMYFUNCTION("""COMPUTED_VALUE"""),"
")</f>
        <v>
</v>
      </c>
      <c r="N359" s="17" t="str">
        <f>IFERROR(__xludf.DUMMYFUNCTION("""COMPUTED_VALUE"""),"
")</f>
        <v>
</v>
      </c>
      <c r="O359" s="17" t="str">
        <f>IFERROR(__xludf.DUMMYFUNCTION("""COMPUTED_VALUE"""),"
")</f>
        <v>
</v>
      </c>
      <c r="P359" s="17" t="str">
        <f>IFERROR(__xludf.DUMMYFUNCTION("""COMPUTED_VALUE"""),"
")</f>
        <v>
</v>
      </c>
      <c r="Q359" s="17" t="str">
        <f>IFERROR(__xludf.DUMMYFUNCTION("""COMPUTED_VALUE"""),"
")</f>
        <v>
</v>
      </c>
      <c r="R359" s="17" t="str">
        <f>IFERROR(__xludf.DUMMYFUNCTION("""COMPUTED_VALUE"""),"
")</f>
        <v>
</v>
      </c>
      <c r="S359" s="17" t="str">
        <f>IFERROR(__xludf.DUMMYFUNCTION("""COMPUTED_VALUE"""),"
")</f>
        <v>
</v>
      </c>
      <c r="T359" s="17" t="str">
        <f>IFERROR(__xludf.DUMMYFUNCTION("""COMPUTED_VALUE"""),"
")</f>
        <v>
</v>
      </c>
      <c r="U359" s="17" t="str">
        <f>IFERROR(__xludf.DUMMYFUNCTION("""COMPUTED_VALUE"""),"
")</f>
        <v>
</v>
      </c>
      <c r="V359" s="17" t="str">
        <f>IFERROR(__xludf.DUMMYFUNCTION("""COMPUTED_VALUE"""),"
")</f>
        <v>
</v>
      </c>
      <c r="W359" s="17" t="str">
        <f>IFERROR(__xludf.DUMMYFUNCTION("""COMPUTED_VALUE"""),"
")</f>
        <v>
</v>
      </c>
      <c r="X359" s="17" t="str">
        <f>IFERROR(__xludf.DUMMYFUNCTION("""COMPUTED_VALUE"""),"
")</f>
        <v>
</v>
      </c>
      <c r="Y359" s="17" t="str">
        <f>IFERROR(__xludf.DUMMYFUNCTION("""COMPUTED_VALUE"""),"
")</f>
        <v>
</v>
      </c>
      <c r="Z359" s="17" t="str">
        <f>IFERROR(__xludf.DUMMYFUNCTION("""COMPUTED_VALUE"""),"
")</f>
        <v>
</v>
      </c>
      <c r="AA359" s="17" t="str">
        <f>IFERROR(__xludf.DUMMYFUNCTION("""COMPUTED_VALUE"""),"
")</f>
        <v>
</v>
      </c>
      <c r="AB359" s="17" t="str">
        <f>IFERROR(__xludf.DUMMYFUNCTION("""COMPUTED_VALUE"""),"
")</f>
        <v>
</v>
      </c>
      <c r="AC359" s="17" t="str">
        <f>IFERROR(__xludf.DUMMYFUNCTION("""COMPUTED_VALUE"""),"
")</f>
        <v>
</v>
      </c>
    </row>
    <row r="360">
      <c r="A360" s="17" t="str">
        <f>IFERROR(__xludf.DUMMYFUNCTION("""COMPUTED_VALUE"""),"Chapter 44: 37 Small Tasks - Addendum Meeting Report
Time: Manufacturing Line (Valkyria Chronicles) 400:
You've always been of the opinion that technology advanced too slowly before you arrived, but now you can apply that to the physical world as well! An"&amp;"y building process you oversee, whether it be the forging of a sword or an entire tank factory, will now produce results twice as fast and with half the required materials used.
Fiat")</f>
        <v>Chapter 44: 37 Small Tasks - Addendum Meeting Report
Time: Manufacturing Line (Valkyria Chronicles) 400:
You've always been of the opinion that technology advanced too slowly before you arrived, but now you can apply that to the physical world as well! Any building process you oversee, whether it be the forging of a sword or an entire tank factory, will now produce results twice as fast and with half the required materials used.
Fiat</v>
      </c>
      <c r="B360" s="17" t="str">
        <f>IFERROR(__xludf.DUMMYFUNCTION("""COMPUTED_VALUE"""),"
")</f>
        <v>
</v>
      </c>
      <c r="C360" s="17" t="str">
        <f>IFERROR(__xludf.DUMMYFUNCTION("""COMPUTED_VALUE"""),"
")</f>
        <v>
</v>
      </c>
      <c r="D360" s="17" t="str">
        <f>IFERROR(__xludf.DUMMYFUNCTION("""COMPUTED_VALUE"""),"
")</f>
        <v>
</v>
      </c>
      <c r="E360" s="17" t="str">
        <f>IFERROR(__xludf.DUMMYFUNCTION("""COMPUTED_VALUE"""),"
")</f>
        <v>
</v>
      </c>
      <c r="F360" s="17" t="str">
        <f>IFERROR(__xludf.DUMMYFUNCTION("""COMPUTED_VALUE"""),"
")</f>
        <v>
</v>
      </c>
      <c r="G360" s="17" t="str">
        <f>IFERROR(__xludf.DUMMYFUNCTION("""COMPUTED_VALUE"""),"
")</f>
        <v>
</v>
      </c>
      <c r="H360" s="17" t="str">
        <f>IFERROR(__xludf.DUMMYFUNCTION("""COMPUTED_VALUE"""),"
")</f>
        <v>
</v>
      </c>
      <c r="I360" s="17" t="str">
        <f>IFERROR(__xludf.DUMMYFUNCTION("""COMPUTED_VALUE"""),"
")</f>
        <v>
</v>
      </c>
      <c r="J360" s="17" t="str">
        <f>IFERROR(__xludf.DUMMYFUNCTION("""COMPUTED_VALUE"""),"
")</f>
        <v>
</v>
      </c>
      <c r="K360" s="17" t="str">
        <f>IFERROR(__xludf.DUMMYFUNCTION("""COMPUTED_VALUE"""),"
")</f>
        <v>
</v>
      </c>
      <c r="L360" s="17" t="str">
        <f>IFERROR(__xludf.DUMMYFUNCTION("""COMPUTED_VALUE"""),"
")</f>
        <v>
</v>
      </c>
      <c r="M360" s="17" t="str">
        <f>IFERROR(__xludf.DUMMYFUNCTION("""COMPUTED_VALUE"""),"
")</f>
        <v>
</v>
      </c>
      <c r="N360" s="17" t="str">
        <f>IFERROR(__xludf.DUMMYFUNCTION("""COMPUTED_VALUE"""),"
")</f>
        <v>
</v>
      </c>
      <c r="O360" s="17" t="str">
        <f>IFERROR(__xludf.DUMMYFUNCTION("""COMPUTED_VALUE"""),"
")</f>
        <v>
</v>
      </c>
      <c r="P360" s="17" t="str">
        <f>IFERROR(__xludf.DUMMYFUNCTION("""COMPUTED_VALUE"""),"
")</f>
        <v>
</v>
      </c>
      <c r="Q360" s="17" t="str">
        <f>IFERROR(__xludf.DUMMYFUNCTION("""COMPUTED_VALUE"""),"
")</f>
        <v>
</v>
      </c>
      <c r="R360" s="17" t="str">
        <f>IFERROR(__xludf.DUMMYFUNCTION("""COMPUTED_VALUE"""),"
")</f>
        <v>
</v>
      </c>
      <c r="S360" s="17" t="str">
        <f>IFERROR(__xludf.DUMMYFUNCTION("""COMPUTED_VALUE"""),"
")</f>
        <v>
</v>
      </c>
      <c r="T360" s="17" t="str">
        <f>IFERROR(__xludf.DUMMYFUNCTION("""COMPUTED_VALUE"""),"
")</f>
        <v>
</v>
      </c>
      <c r="U360" s="17" t="str">
        <f>IFERROR(__xludf.DUMMYFUNCTION("""COMPUTED_VALUE"""),"
")</f>
        <v>
</v>
      </c>
      <c r="V360" s="17" t="str">
        <f>IFERROR(__xludf.DUMMYFUNCTION("""COMPUTED_VALUE"""),"
")</f>
        <v>
</v>
      </c>
      <c r="W360" s="17" t="str">
        <f>IFERROR(__xludf.DUMMYFUNCTION("""COMPUTED_VALUE"""),"
")</f>
        <v>
</v>
      </c>
      <c r="X360" s="17" t="str">
        <f>IFERROR(__xludf.DUMMYFUNCTION("""COMPUTED_VALUE"""),"
")</f>
        <v>
</v>
      </c>
      <c r="Y360" s="17" t="str">
        <f>IFERROR(__xludf.DUMMYFUNCTION("""COMPUTED_VALUE"""),"
")</f>
        <v>
</v>
      </c>
      <c r="Z360" s="17" t="str">
        <f>IFERROR(__xludf.DUMMYFUNCTION("""COMPUTED_VALUE"""),"
")</f>
        <v>
</v>
      </c>
      <c r="AA360" s="17" t="str">
        <f>IFERROR(__xludf.DUMMYFUNCTION("""COMPUTED_VALUE"""),"
")</f>
        <v>
</v>
      </c>
      <c r="AB360" s="17" t="str">
        <f>IFERROR(__xludf.DUMMYFUNCTION("""COMPUTED_VALUE"""),"
")</f>
        <v>
</v>
      </c>
      <c r="AC360" s="17" t="str">
        <f>IFERROR(__xludf.DUMMYFUNCTION("""COMPUTED_VALUE"""),"
")</f>
        <v>
</v>
      </c>
    </row>
    <row r="361">
      <c r="A361" s="17" t="str">
        <f>IFERROR(__xludf.DUMMYFUNCTION("""COMPUTED_VALUE"""),"Chapter 117: 84 Pick Up
One-Man Assembly Line (XCOM) 600:
You really liked playing with building blocks as a kid. Now that you're all grown up, the world is your playground. Your knowledge of construction and engineering is unprecedented, and making a je"&amp;"t engine from spare parts over a weekend is your idea of fun.
Fiat")</f>
        <v>Chapter 117: 84 Pick Up
One-Man Assembly Line (XCOM) 600:
You really liked playing with building blocks as a kid. Now that you're all grown up, the world is your playground. Your knowledge of construction and engineering is unprecedented, and making a jet engine from spare parts over a weekend is your idea of fun.
Fiat</v>
      </c>
      <c r="B361" s="17" t="str">
        <f>IFERROR(__xludf.DUMMYFUNCTION("""COMPUTED_VALUE"""),"
")</f>
        <v>
</v>
      </c>
      <c r="C361" s="17" t="str">
        <f>IFERROR(__xludf.DUMMYFUNCTION("""COMPUTED_VALUE"""),"
")</f>
        <v>
</v>
      </c>
      <c r="D361" s="17" t="str">
        <f>IFERROR(__xludf.DUMMYFUNCTION("""COMPUTED_VALUE"""),"
")</f>
        <v>
</v>
      </c>
      <c r="E361" s="17" t="str">
        <f>IFERROR(__xludf.DUMMYFUNCTION("""COMPUTED_VALUE"""),"
")</f>
        <v>
</v>
      </c>
      <c r="F361" s="17" t="str">
        <f>IFERROR(__xludf.DUMMYFUNCTION("""COMPUTED_VALUE"""),"
")</f>
        <v>
</v>
      </c>
      <c r="G361" s="17" t="str">
        <f>IFERROR(__xludf.DUMMYFUNCTION("""COMPUTED_VALUE"""),"
")</f>
        <v>
</v>
      </c>
      <c r="H361" s="17" t="str">
        <f>IFERROR(__xludf.DUMMYFUNCTION("""COMPUTED_VALUE"""),"
")</f>
        <v>
</v>
      </c>
      <c r="I361" s="17" t="str">
        <f>IFERROR(__xludf.DUMMYFUNCTION("""COMPUTED_VALUE"""),"
")</f>
        <v>
</v>
      </c>
      <c r="J361" s="17" t="str">
        <f>IFERROR(__xludf.DUMMYFUNCTION("""COMPUTED_VALUE"""),"
")</f>
        <v>
</v>
      </c>
      <c r="K361" s="17" t="str">
        <f>IFERROR(__xludf.DUMMYFUNCTION("""COMPUTED_VALUE"""),"
")</f>
        <v>
</v>
      </c>
      <c r="L361" s="17" t="str">
        <f>IFERROR(__xludf.DUMMYFUNCTION("""COMPUTED_VALUE"""),"
")</f>
        <v>
</v>
      </c>
      <c r="M361" s="17" t="str">
        <f>IFERROR(__xludf.DUMMYFUNCTION("""COMPUTED_VALUE"""),"
")</f>
        <v>
</v>
      </c>
      <c r="N361" s="17" t="str">
        <f>IFERROR(__xludf.DUMMYFUNCTION("""COMPUTED_VALUE"""),"
")</f>
        <v>
</v>
      </c>
      <c r="O361" s="17" t="str">
        <f>IFERROR(__xludf.DUMMYFUNCTION("""COMPUTED_VALUE"""),"
")</f>
        <v>
</v>
      </c>
      <c r="P361" s="17" t="str">
        <f>IFERROR(__xludf.DUMMYFUNCTION("""COMPUTED_VALUE"""),"
")</f>
        <v>
</v>
      </c>
      <c r="Q361" s="17" t="str">
        <f>IFERROR(__xludf.DUMMYFUNCTION("""COMPUTED_VALUE"""),"
")</f>
        <v>
</v>
      </c>
      <c r="R361" s="17" t="str">
        <f>IFERROR(__xludf.DUMMYFUNCTION("""COMPUTED_VALUE"""),"
")</f>
        <v>
</v>
      </c>
      <c r="S361" s="17" t="str">
        <f>IFERROR(__xludf.DUMMYFUNCTION("""COMPUTED_VALUE"""),"
")</f>
        <v>
</v>
      </c>
      <c r="T361" s="17" t="str">
        <f>IFERROR(__xludf.DUMMYFUNCTION("""COMPUTED_VALUE"""),"
")</f>
        <v>
</v>
      </c>
      <c r="U361" s="17" t="str">
        <f>IFERROR(__xludf.DUMMYFUNCTION("""COMPUTED_VALUE"""),"
")</f>
        <v>
</v>
      </c>
      <c r="V361" s="17" t="str">
        <f>IFERROR(__xludf.DUMMYFUNCTION("""COMPUTED_VALUE"""),"
")</f>
        <v>
</v>
      </c>
      <c r="W361" s="17" t="str">
        <f>IFERROR(__xludf.DUMMYFUNCTION("""COMPUTED_VALUE"""),"
")</f>
        <v>
</v>
      </c>
      <c r="X361" s="17" t="str">
        <f>IFERROR(__xludf.DUMMYFUNCTION("""COMPUTED_VALUE"""),"
")</f>
        <v>
</v>
      </c>
      <c r="Y361" s="17" t="str">
        <f>IFERROR(__xludf.DUMMYFUNCTION("""COMPUTED_VALUE"""),"
")</f>
        <v>
</v>
      </c>
      <c r="Z361" s="17" t="str">
        <f>IFERROR(__xludf.DUMMYFUNCTION("""COMPUTED_VALUE"""),"
")</f>
        <v>
</v>
      </c>
      <c r="AA361" s="17" t="str">
        <f>IFERROR(__xludf.DUMMYFUNCTION("""COMPUTED_VALUE"""),"
")</f>
        <v>
</v>
      </c>
      <c r="AB361" s="17" t="str">
        <f>IFERROR(__xludf.DUMMYFUNCTION("""COMPUTED_VALUE"""),"
")</f>
        <v>
</v>
      </c>
      <c r="AC361" s="17" t="str">
        <f>IFERROR(__xludf.DUMMYFUNCTION("""COMPUTED_VALUE"""),"
")</f>
        <v>
</v>
      </c>
    </row>
    <row r="362">
      <c r="A362" s="17" t="str">
        <f>IFERROR(__xludf.DUMMYFUNCTION("""COMPUTED_VALUE"""),"Chapter 35: 29 Presentation - Addendum Emily
Hangar (Ace Combat) 100:
Sure you might be able to get a fighter plane… but where are you going to store it? You can’t just leave your vehicle to the mercy of the elements, it would cause all manners of damage "&amp;"to the plane and then you might be really in a bind. That’s why if you come out of this with a plane (or end up importing one) you can obtain a hangar bay which has the tools needed to keep the plane in good shape and can stand up to most forms of weather"&amp;". It can even attach to a property or the Warehouse after your time here should it please you. For an undiscounted +100CP, this turns into an automated hangar bay with heavy arms and equipment to make repairing and moving the plane significantly easier.
F"&amp;"acility")</f>
        <v>Chapter 35: 29 Presentation - Addendum Emily
Hangar (Ace Combat) 100:
Sure you might be able to get a fighter plane… but where are you going to store it? You can’t just leave your vehicle to the mercy of the elements, it would cause all manners of damage to the plane and then you might be really in a bind. That’s why if you come out of this with a plane (or end up importing one) you can obtain a hangar bay which has the tools needed to keep the plane in good shape and can stand up to most forms of weather. It can even attach to a property or the Warehouse after your time here should it please you. For an undiscounted +100CP, this turns into an automated hangar bay with heavy arms and equipment to make repairing and moving the plane significantly easier.
Facility</v>
      </c>
      <c r="B362" s="17" t="str">
        <f>IFERROR(__xludf.DUMMYFUNCTION("""COMPUTED_VALUE"""),"Chapter 35: 29 Presentation - Addendum Emily
Basic Flight Training (Ace Combat) Free:
If you couldn't fly before, you have a basic idea of how to fly a plane now. You know how to maneuver the joystick properly, which button fires the missiles, and how to "&amp;"properly land a plane without creating a multi-million dollar pile of scrap. It won’t save you if you dive into a massive swarm of planes all by yourself, but you can learn.
Skill")</f>
        <v>Chapter 35: 29 Presentation - Addendum Emily
Basic Flight Training (Ace Combat) Free:
If you couldn't fly before, you have a basic idea of how to fly a plane now. You know how to maneuver the joystick properly, which button fires the missiles, and how to properly land a plane without creating a multi-million dollar pile of scrap. It won’t save you if you dive into a massive swarm of planes all by yourself, but you can learn.
Skill</v>
      </c>
      <c r="C362" s="17" t="str">
        <f>IFERROR(__xludf.DUMMYFUNCTION("""COMPUTED_VALUE"""),"Chapter 35: 29 Presentation - Addendum Emily
Missile Surplus (Ace Combat) Free:
Well this is odd. Any plane you pilot seems to hold an unnatural number of missiles for its type, far more than it should. You're not sure where it's getting this many missile"&amp;"s, but you'll have to restock them if you run out. The same thing happens with special weapons, though you have to have a working model to attach if you want to swap it out. The standard number of missiles thanks to 'Missile Surplus' is 150 missiles on a "&amp;"plane, barring any differences depending on the description of the weapon.
Fiat")</f>
        <v>Chapter 35: 29 Presentation - Addendum Emily
Missile Surplus (Ace Combat) Free:
Well this is odd. Any plane you pilot seems to hold an unnatural number of missiles for its type, far more than it should. You're not sure where it's getting this many missiles, but you'll have to restock them if you run out. The same thing happens with special weapons, though you have to have a working model to attach if you want to swap it out. The standard number of missiles thanks to 'Missile Surplus' is 150 missiles on a plane, barring any differences depending on the description of the weapon.
Fiat</v>
      </c>
      <c r="D362" s="17" t="str">
        <f>IFERROR(__xludf.DUMMYFUNCTION("""COMPUTED_VALUE"""),"Chapter 35: 29 Presentation - Addendum Emily
Comm Chatter (Ace Combat) Free:
While an important part of war is knowing what your opponent is up to, sometimes it’s good for puffing your ego up too. For whatever reason, your radio will occasionally catch co"&amp;"mmunications being broadcast from the enemy. This can range from important information to wild surprise at your antics. Not too useful, but good for knowing how you're doing.
Ability")</f>
        <v>Chapter 35: 29 Presentation - Addendum Emily
Comm Chatter (Ace Combat) Free:
While an important part of war is knowing what your opponent is up to, sometimes it’s good for puffing your ego up too. For whatever reason, your radio will occasionally catch communications being broadcast from the enemy. This can range from important information to wild surprise at your antics. Not too useful, but good for knowing how you're doing.
Ability</v>
      </c>
      <c r="E362" s="17" t="str">
        <f>IFERROR(__xludf.DUMMYFUNCTION("""COMPUTED_VALUE"""),"Chapter 35: 29 Presentation - Addendum Emily
Flight Suit (Ace Combat) Free:
When taking off, an important requirement of being in a plane is a flight suit so that the G-forces don’t make your organs explode. It sounds silly, but you’ll be lucky you had it"&amp;". So, have a nifty flight suit to help keep any pressure issues down while you're in the sky, on the house. It can come in any color you wish with a snazzy helmet to boot, ensuring that you’re the most glamorous pilot in the sky.
Item")</f>
        <v>Chapter 35: 29 Presentation - Addendum Emily
Flight Suit (Ace Combat) Free:
When taking off, an important requirement of being in a plane is a flight suit so that the G-forces don’t make your organs explode. It sounds silly, but you’ll be lucky you had it. So, have a nifty flight suit to help keep any pressure issues down while you're in the sky, on the house. It can come in any color you wish with a snazzy helmet to boot, ensuring that you’re the most glamorous pilot in the sky.
Item</v>
      </c>
      <c r="F362" s="17" t="str">
        <f>IFERROR(__xludf.DUMMYFUNCTION("""COMPUTED_VALUE"""),"Chapter 35: 29 Presentation - Addendum Emily
4th Generation Fighter Plane (Ace Combat) Free:
These planes have been around for some time now, and as a result some would consider these particular planes to be outdated. It’s not the most advanced machine in"&amp;" the sky, but it will get the job done when you need it. Whether it's an MiG-29OVT, an F-18, Su-27 or something else, you can be given a 4th Generation Fighter Plane to do your work and achieve what you need to achieve. Show them that the old ways still w"&amp;"ork.
Autocannon - Something of a standard on anything that flies in the air, autocannons or gatling guns on a plane’s nose can help one shoot down enemy planes or other targets by unleashing a torrent of bullets upon whatever has the misfortune of being i"&amp;"n front of your plane at the time. This option will grant a single gun with 1000 rounds.
Standard Missiles - One of the things that is noteworthy regarding just about any plane is the fact that they will carry missiles. The reason is obvious; you need mor"&amp;"e than just bullets. That’s why you have a good supply of missiles, attached to your plane and ready to fire off the moment you achieve radar lock with your plane. It’s simple, but it works. Sometimes that’s all you need.
Flare Launch System - Flares are "&amp;"fairly important when it comes to aerial combat. After all, you are in enemy airspace. Enemies will want to shoot you with missiles. Ergo, having protection against missiles would be the smart thing to do. Radar-guided missiles can be duped easily, but in"&amp;"fra-red missiles that track heat sources are a concern. Thus it is important for this flare countermeasure system to be equipped, allowing you to launch flares while you do a sharp turn and reduce engine power to dupe the missile into hitting the flare in"&amp;"stead. It’s not perfect… but it could be better than nothing.
Ejection System - You know the old saying of going down with the ship? Yeah, nuts to that. This isn’t the navy, this is the Air Force. That’s why there’s ejection equipment for when your plane "&amp;"gets shot down, assuming said plane wasn’t just instantly vaporized by whatever attacked you to begin with.
Vehicle")</f>
        <v>Chapter 35: 29 Presentation - Addendum Emily
4th Generation Fighter Plane (Ace Combat) Free:
These planes have been around for some time now, and as a result some would consider these particular planes to be outdated. It’s not the most advanced machine in the sky, but it will get the job done when you need it. Whether it's an MiG-29OVT, an F-18, Su-27 or something else, you can be given a 4th Generation Fighter Plane to do your work and achieve what you need to achieve. Show them that the old ways still work.
Autocannon - Something of a standard on anything that flies in the air, autocannons or gatling guns on a plane’s nose can help one shoot down enemy planes or other targets by unleashing a torrent of bullets upon whatever has the misfortune of being in front of your plane at the time. This option will grant a single gun with 1000 rounds.
Standard Missiles - One of the things that is noteworthy regarding just about any plane is the fact that they will carry missiles. The reason is obvious; you need more than just bullets. That’s why you have a good supply of missiles, attached to your plane and ready to fire off the moment you achieve radar lock with your plane. It’s simple, but it works. Sometimes that’s all you need.
Flare Launch System - Flares are fairly important when it comes to aerial combat. After all, you are in enemy airspace. Enemies will want to shoot you with missiles. Ergo, having protection against missiles would be the smart thing to do. Radar-guided missiles can be duped easily, but infra-red missiles that track heat sources are a concern. Thus it is important for this flare countermeasure system to be equipped, allowing you to launch flares while you do a sharp turn and reduce engine power to dupe the missile into hitting the flare instead. It’s not perfect… but it could be better than nothing.
Ejection System - You know the old saying of going down with the ship? Yeah, nuts to that. This isn’t the navy, this is the Air Force. That’s why there’s ejection equipment for when your plane gets shot down, assuming said plane wasn’t just instantly vaporized by whatever attacked you to begin with.
Vehicle</v>
      </c>
      <c r="G362" s="17" t="str">
        <f>IFERROR(__xludf.DUMMYFUNCTION("""COMPUTED_VALUE"""),"
")</f>
        <v>
</v>
      </c>
      <c r="H362" s="17" t="str">
        <f>IFERROR(__xludf.DUMMYFUNCTION("""COMPUTED_VALUE"""),"
")</f>
        <v>
</v>
      </c>
      <c r="I362" s="17" t="str">
        <f>IFERROR(__xludf.DUMMYFUNCTION("""COMPUTED_VALUE"""),"
")</f>
        <v>
</v>
      </c>
      <c r="J362" s="17" t="str">
        <f>IFERROR(__xludf.DUMMYFUNCTION("""COMPUTED_VALUE"""),"
")</f>
        <v>
</v>
      </c>
      <c r="K362" s="17" t="str">
        <f>IFERROR(__xludf.DUMMYFUNCTION("""COMPUTED_VALUE"""),"
")</f>
        <v>
</v>
      </c>
      <c r="L362" s="17" t="str">
        <f>IFERROR(__xludf.DUMMYFUNCTION("""COMPUTED_VALUE"""),"
")</f>
        <v>
</v>
      </c>
      <c r="M362" s="17" t="str">
        <f>IFERROR(__xludf.DUMMYFUNCTION("""COMPUTED_VALUE"""),"
")</f>
        <v>
</v>
      </c>
      <c r="N362" s="17" t="str">
        <f>IFERROR(__xludf.DUMMYFUNCTION("""COMPUTED_VALUE"""),"
")</f>
        <v>
</v>
      </c>
      <c r="O362" s="17" t="str">
        <f>IFERROR(__xludf.DUMMYFUNCTION("""COMPUTED_VALUE"""),"
")</f>
        <v>
</v>
      </c>
      <c r="P362" s="17" t="str">
        <f>IFERROR(__xludf.DUMMYFUNCTION("""COMPUTED_VALUE"""),"
")</f>
        <v>
</v>
      </c>
      <c r="Q362" s="17" t="str">
        <f>IFERROR(__xludf.DUMMYFUNCTION("""COMPUTED_VALUE"""),"
")</f>
        <v>
</v>
      </c>
      <c r="R362" s="17" t="str">
        <f>IFERROR(__xludf.DUMMYFUNCTION("""COMPUTED_VALUE"""),"
")</f>
        <v>
</v>
      </c>
      <c r="S362" s="17" t="str">
        <f>IFERROR(__xludf.DUMMYFUNCTION("""COMPUTED_VALUE"""),"
")</f>
        <v>
</v>
      </c>
      <c r="T362" s="17" t="str">
        <f>IFERROR(__xludf.DUMMYFUNCTION("""COMPUTED_VALUE"""),"
")</f>
        <v>
</v>
      </c>
      <c r="U362" s="17" t="str">
        <f>IFERROR(__xludf.DUMMYFUNCTION("""COMPUTED_VALUE"""),"
")</f>
        <v>
</v>
      </c>
      <c r="V362" s="17" t="str">
        <f>IFERROR(__xludf.DUMMYFUNCTION("""COMPUTED_VALUE"""),"
")</f>
        <v>
</v>
      </c>
      <c r="W362" s="17" t="str">
        <f>IFERROR(__xludf.DUMMYFUNCTION("""COMPUTED_VALUE"""),"
")</f>
        <v>
</v>
      </c>
      <c r="X362" s="17" t="str">
        <f>IFERROR(__xludf.DUMMYFUNCTION("""COMPUTED_VALUE"""),"
")</f>
        <v>
</v>
      </c>
      <c r="Y362" s="17" t="str">
        <f>IFERROR(__xludf.DUMMYFUNCTION("""COMPUTED_VALUE"""),"
")</f>
        <v>
</v>
      </c>
      <c r="Z362" s="17" t="str">
        <f>IFERROR(__xludf.DUMMYFUNCTION("""COMPUTED_VALUE"""),"
")</f>
        <v>
</v>
      </c>
      <c r="AA362" s="17" t="str">
        <f>IFERROR(__xludf.DUMMYFUNCTION("""COMPUTED_VALUE"""),"
")</f>
        <v>
</v>
      </c>
      <c r="AB362" s="17" t="str">
        <f>IFERROR(__xludf.DUMMYFUNCTION("""COMPUTED_VALUE"""),"
")</f>
        <v>
</v>
      </c>
      <c r="AC362" s="17" t="str">
        <f>IFERROR(__xludf.DUMMYFUNCTION("""COMPUTED_VALUE"""),"
")</f>
        <v>
</v>
      </c>
    </row>
    <row r="363">
      <c r="A363" s="17" t="str">
        <f>IFERROR(__xludf.DUMMYFUNCTION("""COMPUTED_VALUE"""),"")</f>
        <v/>
      </c>
      <c r="B363" s="17" t="str">
        <f>IFERROR(__xludf.DUMMYFUNCTION("""COMPUTED_VALUE"""),"")</f>
        <v/>
      </c>
      <c r="C363" s="17" t="str">
        <f>IFERROR(__xludf.DUMMYFUNCTION("""COMPUTED_VALUE"""),"")</f>
        <v/>
      </c>
      <c r="D363" s="17" t="str">
        <f>IFERROR(__xludf.DUMMYFUNCTION("""COMPUTED_VALUE"""),"")</f>
        <v/>
      </c>
      <c r="E363" s="17" t="str">
        <f>IFERROR(__xludf.DUMMYFUNCTION("""COMPUTED_VALUE"""),"")</f>
        <v/>
      </c>
      <c r="F363" s="17" t="str">
        <f>IFERROR(__xludf.DUMMYFUNCTION("""COMPUTED_VALUE"""),"")</f>
        <v/>
      </c>
      <c r="G363" s="17" t="str">
        <f>IFERROR(__xludf.DUMMYFUNCTION("""COMPUTED_VALUE"""),"")</f>
        <v/>
      </c>
      <c r="H363" s="17" t="str">
        <f>IFERROR(__xludf.DUMMYFUNCTION("""COMPUTED_VALUE"""),"")</f>
        <v/>
      </c>
      <c r="I363" s="17" t="str">
        <f>IFERROR(__xludf.DUMMYFUNCTION("""COMPUTED_VALUE"""),"")</f>
        <v/>
      </c>
      <c r="J363" s="17" t="str">
        <f>IFERROR(__xludf.DUMMYFUNCTION("""COMPUTED_VALUE"""),"")</f>
        <v/>
      </c>
      <c r="K363" s="17" t="str">
        <f>IFERROR(__xludf.DUMMYFUNCTION("""COMPUTED_VALUE"""),"")</f>
        <v/>
      </c>
      <c r="L363" s="17" t="str">
        <f>IFERROR(__xludf.DUMMYFUNCTION("""COMPUTED_VALUE"""),"")</f>
        <v/>
      </c>
      <c r="M363" s="17" t="str">
        <f>IFERROR(__xludf.DUMMYFUNCTION("""COMPUTED_VALUE"""),"")</f>
        <v/>
      </c>
      <c r="N363" s="17" t="str">
        <f>IFERROR(__xludf.DUMMYFUNCTION("""COMPUTED_VALUE"""),"")</f>
        <v/>
      </c>
      <c r="O363" s="17" t="str">
        <f>IFERROR(__xludf.DUMMYFUNCTION("""COMPUTED_VALUE"""),"")</f>
        <v/>
      </c>
      <c r="P363" s="17" t="str">
        <f>IFERROR(__xludf.DUMMYFUNCTION("""COMPUTED_VALUE"""),"")</f>
        <v/>
      </c>
      <c r="Q363" s="17" t="str">
        <f>IFERROR(__xludf.DUMMYFUNCTION("""COMPUTED_VALUE"""),"")</f>
        <v/>
      </c>
      <c r="R363" s="17" t="str">
        <f>IFERROR(__xludf.DUMMYFUNCTION("""COMPUTED_VALUE"""),"")</f>
        <v/>
      </c>
      <c r="S363" s="17" t="str">
        <f>IFERROR(__xludf.DUMMYFUNCTION("""COMPUTED_VALUE"""),"")</f>
        <v/>
      </c>
      <c r="T363" s="17" t="str">
        <f>IFERROR(__xludf.DUMMYFUNCTION("""COMPUTED_VALUE"""),"")</f>
        <v/>
      </c>
      <c r="U363" s="17" t="str">
        <f>IFERROR(__xludf.DUMMYFUNCTION("""COMPUTED_VALUE"""),"")</f>
        <v/>
      </c>
      <c r="V363" s="17" t="str">
        <f>IFERROR(__xludf.DUMMYFUNCTION("""COMPUTED_VALUE"""),"")</f>
        <v/>
      </c>
      <c r="W363" s="17" t="str">
        <f>IFERROR(__xludf.DUMMYFUNCTION("""COMPUTED_VALUE"""),"")</f>
        <v/>
      </c>
      <c r="X363" s="17" t="str">
        <f>IFERROR(__xludf.DUMMYFUNCTION("""COMPUTED_VALUE"""),"")</f>
        <v/>
      </c>
      <c r="Y363" s="17" t="str">
        <f>IFERROR(__xludf.DUMMYFUNCTION("""COMPUTED_VALUE"""),"")</f>
        <v/>
      </c>
      <c r="Z363" s="17" t="str">
        <f>IFERROR(__xludf.DUMMYFUNCTION("""COMPUTED_VALUE"""),"")</f>
        <v/>
      </c>
      <c r="AA363" s="17" t="str">
        <f>IFERROR(__xludf.DUMMYFUNCTION("""COMPUTED_VALUE"""),"")</f>
        <v/>
      </c>
      <c r="AB363" s="17" t="str">
        <f>IFERROR(__xludf.DUMMYFUNCTION("""COMPUTED_VALUE"""),"")</f>
        <v/>
      </c>
      <c r="AC363" s="17" t="str">
        <f>IFERROR(__xludf.DUMMYFUNCTION("""COMPUTED_VALUE"""),"")</f>
        <v/>
      </c>
    </row>
    <row r="364">
      <c r="A364" s="17" t="str">
        <f>IFERROR(__xludf.DUMMYFUNCTION("""COMPUTED_VALUE"""),"")</f>
        <v/>
      </c>
      <c r="B364" s="17" t="str">
        <f>IFERROR(__xludf.DUMMYFUNCTION("""COMPUTED_VALUE"""),"")</f>
        <v/>
      </c>
      <c r="C364" s="17" t="str">
        <f>IFERROR(__xludf.DUMMYFUNCTION("""COMPUTED_VALUE"""),"")</f>
        <v/>
      </c>
      <c r="D364" s="17" t="str">
        <f>IFERROR(__xludf.DUMMYFUNCTION("""COMPUTED_VALUE"""),"")</f>
        <v/>
      </c>
      <c r="E364" s="17" t="str">
        <f>IFERROR(__xludf.DUMMYFUNCTION("""COMPUTED_VALUE"""),"")</f>
        <v/>
      </c>
      <c r="F364" s="17" t="str">
        <f>IFERROR(__xludf.DUMMYFUNCTION("""COMPUTED_VALUE"""),"")</f>
        <v/>
      </c>
      <c r="G364" s="17" t="str">
        <f>IFERROR(__xludf.DUMMYFUNCTION("""COMPUTED_VALUE"""),"")</f>
        <v/>
      </c>
      <c r="H364" s="17" t="str">
        <f>IFERROR(__xludf.DUMMYFUNCTION("""COMPUTED_VALUE"""),"")</f>
        <v/>
      </c>
      <c r="I364" s="17" t="str">
        <f>IFERROR(__xludf.DUMMYFUNCTION("""COMPUTED_VALUE"""),"")</f>
        <v/>
      </c>
      <c r="J364" s="17" t="str">
        <f>IFERROR(__xludf.DUMMYFUNCTION("""COMPUTED_VALUE"""),"")</f>
        <v/>
      </c>
      <c r="K364" s="17" t="str">
        <f>IFERROR(__xludf.DUMMYFUNCTION("""COMPUTED_VALUE"""),"")</f>
        <v/>
      </c>
      <c r="L364" s="17" t="str">
        <f>IFERROR(__xludf.DUMMYFUNCTION("""COMPUTED_VALUE"""),"")</f>
        <v/>
      </c>
      <c r="M364" s="17" t="str">
        <f>IFERROR(__xludf.DUMMYFUNCTION("""COMPUTED_VALUE"""),"")</f>
        <v/>
      </c>
      <c r="N364" s="17" t="str">
        <f>IFERROR(__xludf.DUMMYFUNCTION("""COMPUTED_VALUE"""),"")</f>
        <v/>
      </c>
      <c r="O364" s="17" t="str">
        <f>IFERROR(__xludf.DUMMYFUNCTION("""COMPUTED_VALUE"""),"")</f>
        <v/>
      </c>
      <c r="P364" s="17" t="str">
        <f>IFERROR(__xludf.DUMMYFUNCTION("""COMPUTED_VALUE"""),"")</f>
        <v/>
      </c>
      <c r="Q364" s="17" t="str">
        <f>IFERROR(__xludf.DUMMYFUNCTION("""COMPUTED_VALUE"""),"")</f>
        <v/>
      </c>
      <c r="R364" s="17" t="str">
        <f>IFERROR(__xludf.DUMMYFUNCTION("""COMPUTED_VALUE"""),"")</f>
        <v/>
      </c>
      <c r="S364" s="17" t="str">
        <f>IFERROR(__xludf.DUMMYFUNCTION("""COMPUTED_VALUE"""),"")</f>
        <v/>
      </c>
      <c r="T364" s="17" t="str">
        <f>IFERROR(__xludf.DUMMYFUNCTION("""COMPUTED_VALUE"""),"")</f>
        <v/>
      </c>
      <c r="U364" s="17" t="str">
        <f>IFERROR(__xludf.DUMMYFUNCTION("""COMPUTED_VALUE"""),"")</f>
        <v/>
      </c>
      <c r="V364" s="17" t="str">
        <f>IFERROR(__xludf.DUMMYFUNCTION("""COMPUTED_VALUE"""),"")</f>
        <v/>
      </c>
      <c r="W364" s="17" t="str">
        <f>IFERROR(__xludf.DUMMYFUNCTION("""COMPUTED_VALUE"""),"")</f>
        <v/>
      </c>
      <c r="X364" s="17" t="str">
        <f>IFERROR(__xludf.DUMMYFUNCTION("""COMPUTED_VALUE"""),"")</f>
        <v/>
      </c>
      <c r="Y364" s="17" t="str">
        <f>IFERROR(__xludf.DUMMYFUNCTION("""COMPUTED_VALUE"""),"")</f>
        <v/>
      </c>
      <c r="Z364" s="17" t="str">
        <f>IFERROR(__xludf.DUMMYFUNCTION("""COMPUTED_VALUE"""),"")</f>
        <v/>
      </c>
      <c r="AA364" s="17" t="str">
        <f>IFERROR(__xludf.DUMMYFUNCTION("""COMPUTED_VALUE"""),"")</f>
        <v/>
      </c>
      <c r="AB364" s="17" t="str">
        <f>IFERROR(__xludf.DUMMYFUNCTION("""COMPUTED_VALUE"""),"")</f>
        <v/>
      </c>
      <c r="AC364" s="17" t="str">
        <f>IFERROR(__xludf.DUMMYFUNCTION("""COMPUTED_VALUE"""),"")</f>
        <v/>
      </c>
    </row>
    <row r="365">
      <c r="A365" s="17" t="str">
        <f>IFERROR(__xludf.DUMMYFUNCTION("""COMPUTED_VALUE"""),"")</f>
        <v/>
      </c>
      <c r="B365" s="17" t="str">
        <f>IFERROR(__xludf.DUMMYFUNCTION("""COMPUTED_VALUE"""),"")</f>
        <v/>
      </c>
      <c r="C365" s="17" t="str">
        <f>IFERROR(__xludf.DUMMYFUNCTION("""COMPUTED_VALUE"""),"")</f>
        <v/>
      </c>
      <c r="D365" s="17" t="str">
        <f>IFERROR(__xludf.DUMMYFUNCTION("""COMPUTED_VALUE"""),"")</f>
        <v/>
      </c>
      <c r="E365" s="17" t="str">
        <f>IFERROR(__xludf.DUMMYFUNCTION("""COMPUTED_VALUE"""),"")</f>
        <v/>
      </c>
      <c r="F365" s="17" t="str">
        <f>IFERROR(__xludf.DUMMYFUNCTION("""COMPUTED_VALUE"""),"")</f>
        <v/>
      </c>
      <c r="G365" s="17" t="str">
        <f>IFERROR(__xludf.DUMMYFUNCTION("""COMPUTED_VALUE"""),"")</f>
        <v/>
      </c>
      <c r="H365" s="17" t="str">
        <f>IFERROR(__xludf.DUMMYFUNCTION("""COMPUTED_VALUE"""),"")</f>
        <v/>
      </c>
      <c r="I365" s="17" t="str">
        <f>IFERROR(__xludf.DUMMYFUNCTION("""COMPUTED_VALUE"""),"")</f>
        <v/>
      </c>
      <c r="J365" s="17" t="str">
        <f>IFERROR(__xludf.DUMMYFUNCTION("""COMPUTED_VALUE"""),"")</f>
        <v/>
      </c>
      <c r="K365" s="17" t="str">
        <f>IFERROR(__xludf.DUMMYFUNCTION("""COMPUTED_VALUE"""),"")</f>
        <v/>
      </c>
      <c r="L365" s="17" t="str">
        <f>IFERROR(__xludf.DUMMYFUNCTION("""COMPUTED_VALUE"""),"")</f>
        <v/>
      </c>
      <c r="M365" s="17" t="str">
        <f>IFERROR(__xludf.DUMMYFUNCTION("""COMPUTED_VALUE"""),"")</f>
        <v/>
      </c>
      <c r="N365" s="17" t="str">
        <f>IFERROR(__xludf.DUMMYFUNCTION("""COMPUTED_VALUE"""),"")</f>
        <v/>
      </c>
      <c r="O365" s="17" t="str">
        <f>IFERROR(__xludf.DUMMYFUNCTION("""COMPUTED_VALUE"""),"")</f>
        <v/>
      </c>
      <c r="P365" s="17" t="str">
        <f>IFERROR(__xludf.DUMMYFUNCTION("""COMPUTED_VALUE"""),"")</f>
        <v/>
      </c>
      <c r="Q365" s="17" t="str">
        <f>IFERROR(__xludf.DUMMYFUNCTION("""COMPUTED_VALUE"""),"")</f>
        <v/>
      </c>
      <c r="R365" s="17" t="str">
        <f>IFERROR(__xludf.DUMMYFUNCTION("""COMPUTED_VALUE"""),"")</f>
        <v/>
      </c>
      <c r="S365" s="17" t="str">
        <f>IFERROR(__xludf.DUMMYFUNCTION("""COMPUTED_VALUE"""),"")</f>
        <v/>
      </c>
      <c r="T365" s="17" t="str">
        <f>IFERROR(__xludf.DUMMYFUNCTION("""COMPUTED_VALUE"""),"")</f>
        <v/>
      </c>
      <c r="U365" s="17" t="str">
        <f>IFERROR(__xludf.DUMMYFUNCTION("""COMPUTED_VALUE"""),"")</f>
        <v/>
      </c>
      <c r="V365" s="17" t="str">
        <f>IFERROR(__xludf.DUMMYFUNCTION("""COMPUTED_VALUE"""),"")</f>
        <v/>
      </c>
      <c r="W365" s="17" t="str">
        <f>IFERROR(__xludf.DUMMYFUNCTION("""COMPUTED_VALUE"""),"")</f>
        <v/>
      </c>
      <c r="X365" s="17" t="str">
        <f>IFERROR(__xludf.DUMMYFUNCTION("""COMPUTED_VALUE"""),"")</f>
        <v/>
      </c>
      <c r="Y365" s="17" t="str">
        <f>IFERROR(__xludf.DUMMYFUNCTION("""COMPUTED_VALUE"""),"")</f>
        <v/>
      </c>
      <c r="Z365" s="17" t="str">
        <f>IFERROR(__xludf.DUMMYFUNCTION("""COMPUTED_VALUE"""),"")</f>
        <v/>
      </c>
      <c r="AA365" s="17" t="str">
        <f>IFERROR(__xludf.DUMMYFUNCTION("""COMPUTED_VALUE"""),"")</f>
        <v/>
      </c>
      <c r="AB365" s="17" t="str">
        <f>IFERROR(__xludf.DUMMYFUNCTION("""COMPUTED_VALUE"""),"")</f>
        <v/>
      </c>
      <c r="AC365" s="17" t="str">
        <f>IFERROR(__xludf.DUMMYFUNCTION("""COMPUTED_VALUE"""),"")</f>
        <v/>
      </c>
    </row>
    <row r="366">
      <c r="A366" s="17" t="str">
        <f>IFERROR(__xludf.DUMMYFUNCTION("""COMPUTED_VALUE"""),"Chapter 146: 99.1 Interlude Tetra
Workshop Equipment (Bloodborne) 300:
This is actually a package deal containing a variety of workshop tools. The first tool set has some basic tools for repairing equipment and some more specialized tools for upgrading we"&amp;"aponry with varying Blood Stones.
The second set of tools allows for the slotting and removal of Blood Gems, items that as previously mentioned can greatly empower weaponry. The last set of tools allows you to etch Caryll Runes into the mind to attain th"&amp;"eir wondrous strength, or remove them just as easily.
Runesmith Caryll, student of Byrgenwerth, transcribed the inhuman utterings of the Great Ones into what are now called Caryll Runes. Etching these runes into your mind can provide a number of benefits"&amp;". Benefits can range from resisting certain types of damage, increasing resistance to various poisons or increasing stamina and vitality, among other effects. You may etch up to three runes into your mind at a time. These runes can be found scattered arou"&amp;"nd this world.
Facility")</f>
        <v>Chapter 146: 99.1 Interlude Tetra
Workshop Equipment (Bloodborne) 300:
This is actually a package deal containing a variety of workshop tools. The first tool set has some basic tools for repairing equipment and some more specialized tools for upgrading weaponry with varying Blood Stones.
The second set of tools allows for the slotting and removal of Blood Gems, items that as previously mentioned can greatly empower weaponry. The last set of tools allows you to etch Caryll Runes into the mind to attain their wondrous strength, or remove them just as easily.
Runesmith Caryll, student of Byrgenwerth, transcribed the inhuman utterings of the Great Ones into what are now called Caryll Runes. Etching these runes into your mind can provide a number of benefits. Benefits can range from resisting certain types of damage, increasing resistance to various poisons or increasing stamina and vitality, among other effects. You may etch up to three runes into your mind at a time. These runes can be found scattered around this world.
Facility</v>
      </c>
      <c r="B366" s="17" t="str">
        <f>IFERROR(__xludf.DUMMYFUNCTION("""COMPUTED_VALUE"""),"Chapter 146: 99.1 Interlude Tetra
Curious Goggles (Bloodborne) Free:
A curious pair of goggles with a leather strap, thick lenses and strange frames made of thin tubing and metal, all coming in your choice of colors. These goggles, strange as they may loo"&amp;"k, are an incredible invention allows for those who wear them to see that which evades the notice of others. To put it in simpler terms, it allows you to see things that would normally require ""Insight"", though does nothing to help perceive these things"&amp;" in other ways such as hearing or smell. Can be freely worn by anyone, allowing allies to see things they may wish they hadn't as well.
(""Insight"" - You have seen things, heard things, learned things, all very strange things. . .and its had a noticeabl"&amp;"e effect. You have lined your brain with eyes and gained the ability to perceive things others can't. Dolls will begin to talk, you can see what some would call divine beings, you can hear singing and crying you wouldn't have heard before. Even in other w"&amp;"orlds your senses may perceive that which the senses of the mundane may not. Beware, these things you can see and hear now can sometimes be a bit. . .much. Remember as well that your insight and uplifted senses allow you to learn of and perceive strange a"&amp;"nd unsettling things, things others would have a hard time believing in. Just be careful who you talk with this about, they may think you more insane than insightful. They're probably wrong though, probably. Lastly, good or bad, a side-effect of your new "&amp;"insight has cleansed your beastly idiocy and heavily weakened the beast inside.)
Item")</f>
        <v>Chapter 146: 99.1 Interlude Tetra
Curious Goggles (Bloodborne) Free:
A curious pair of goggles with a leather strap, thick lenses and strange frames made of thin tubing and metal, all coming in your choice of colors. These goggles, strange as they may look, are an incredible invention allows for those who wear them to see that which evades the notice of others. To put it in simpler terms, it allows you to see things that would normally require "Insight", though does nothing to help perceive these things in other ways such as hearing or smell. Can be freely worn by anyone, allowing allies to see things they may wish they hadn't as well.
("Insight" - You have seen things, heard things, learned things, all very strange things. . .and its had a noticeable effect. You have lined your brain with eyes and gained the ability to perceive things others can't. Dolls will begin to talk, you can see what some would call divine beings, you can hear singing and crying you wouldn't have heard before. Even in other worlds your senses may perceive that which the senses of the mundane may not. Beware, these things you can see and hear now can sometimes be a bit. . .much. Remember as well that your insight and uplifted senses allow you to learn of and perceive strange and unsettling things, things others would have a hard time believing in. Just be careful who you talk with this about, they may think you more insane than insightful. They're probably wrong though, probably. Lastly, good or bad, a side-effect of your new insight has cleansed your beastly idiocy and heavily weakened the beast inside.)
Item</v>
      </c>
      <c r="C366" s="17" t="str">
        <f>IFERROR(__xludf.DUMMYFUNCTION("""COMPUTED_VALUE"""),"
")</f>
        <v>
</v>
      </c>
      <c r="D366" s="17" t="str">
        <f>IFERROR(__xludf.DUMMYFUNCTION("""COMPUTED_VALUE"""),"
")</f>
        <v>
</v>
      </c>
      <c r="E366" s="17" t="str">
        <f>IFERROR(__xludf.DUMMYFUNCTION("""COMPUTED_VALUE"""),"
")</f>
        <v>
</v>
      </c>
      <c r="F366" s="17" t="str">
        <f>IFERROR(__xludf.DUMMYFUNCTION("""COMPUTED_VALUE"""),"
")</f>
        <v>
</v>
      </c>
      <c r="G366" s="17" t="str">
        <f>IFERROR(__xludf.DUMMYFUNCTION("""COMPUTED_VALUE"""),"
")</f>
        <v>
</v>
      </c>
      <c r="H366" s="17" t="str">
        <f>IFERROR(__xludf.DUMMYFUNCTION("""COMPUTED_VALUE"""),"
")</f>
        <v>
</v>
      </c>
      <c r="I366" s="17" t="str">
        <f>IFERROR(__xludf.DUMMYFUNCTION("""COMPUTED_VALUE"""),"
")</f>
        <v>
</v>
      </c>
      <c r="J366" s="17" t="str">
        <f>IFERROR(__xludf.DUMMYFUNCTION("""COMPUTED_VALUE"""),"
")</f>
        <v>
</v>
      </c>
      <c r="K366" s="17" t="str">
        <f>IFERROR(__xludf.DUMMYFUNCTION("""COMPUTED_VALUE"""),"
")</f>
        <v>
</v>
      </c>
      <c r="L366" s="17" t="str">
        <f>IFERROR(__xludf.DUMMYFUNCTION("""COMPUTED_VALUE"""),"
")</f>
        <v>
</v>
      </c>
      <c r="M366" s="17" t="str">
        <f>IFERROR(__xludf.DUMMYFUNCTION("""COMPUTED_VALUE"""),"
")</f>
        <v>
</v>
      </c>
      <c r="N366" s="17" t="str">
        <f>IFERROR(__xludf.DUMMYFUNCTION("""COMPUTED_VALUE"""),"
")</f>
        <v>
</v>
      </c>
      <c r="O366" s="17" t="str">
        <f>IFERROR(__xludf.DUMMYFUNCTION("""COMPUTED_VALUE"""),"
")</f>
        <v>
</v>
      </c>
      <c r="P366" s="17" t="str">
        <f>IFERROR(__xludf.DUMMYFUNCTION("""COMPUTED_VALUE"""),"
")</f>
        <v>
</v>
      </c>
      <c r="Q366" s="17" t="str">
        <f>IFERROR(__xludf.DUMMYFUNCTION("""COMPUTED_VALUE"""),"
")</f>
        <v>
</v>
      </c>
      <c r="R366" s="17" t="str">
        <f>IFERROR(__xludf.DUMMYFUNCTION("""COMPUTED_VALUE"""),"
")</f>
        <v>
</v>
      </c>
      <c r="S366" s="17" t="str">
        <f>IFERROR(__xludf.DUMMYFUNCTION("""COMPUTED_VALUE"""),"
")</f>
        <v>
</v>
      </c>
      <c r="T366" s="17" t="str">
        <f>IFERROR(__xludf.DUMMYFUNCTION("""COMPUTED_VALUE"""),"
")</f>
        <v>
</v>
      </c>
      <c r="U366" s="17" t="str">
        <f>IFERROR(__xludf.DUMMYFUNCTION("""COMPUTED_VALUE"""),"
")</f>
        <v>
</v>
      </c>
      <c r="V366" s="17" t="str">
        <f>IFERROR(__xludf.DUMMYFUNCTION("""COMPUTED_VALUE"""),"
")</f>
        <v>
</v>
      </c>
      <c r="W366" s="17" t="str">
        <f>IFERROR(__xludf.DUMMYFUNCTION("""COMPUTED_VALUE"""),"
")</f>
        <v>
</v>
      </c>
      <c r="X366" s="17" t="str">
        <f>IFERROR(__xludf.DUMMYFUNCTION("""COMPUTED_VALUE"""),"
")</f>
        <v>
</v>
      </c>
      <c r="Y366" s="17" t="str">
        <f>IFERROR(__xludf.DUMMYFUNCTION("""COMPUTED_VALUE"""),"
")</f>
        <v>
</v>
      </c>
      <c r="Z366" s="17" t="str">
        <f>IFERROR(__xludf.DUMMYFUNCTION("""COMPUTED_VALUE"""),"
")</f>
        <v>
</v>
      </c>
      <c r="AA366" s="17" t="str">
        <f>IFERROR(__xludf.DUMMYFUNCTION("""COMPUTED_VALUE"""),"
")</f>
        <v>
</v>
      </c>
      <c r="AB366" s="17" t="str">
        <f>IFERROR(__xludf.DUMMYFUNCTION("""COMPUTED_VALUE"""),"
")</f>
        <v>
</v>
      </c>
      <c r="AC366" s="17" t="str">
        <f>IFERROR(__xludf.DUMMYFUNCTION("""COMPUTED_VALUE"""),"
")</f>
        <v>
</v>
      </c>
    </row>
    <row r="367">
      <c r="A367" s="17" t="str">
        <f>IFERROR(__xludf.DUMMYFUNCTION("""COMPUTED_VALUE"""),"Chapter 48: 41 Drag Out - Preamble Chen
Armor-Shift Manufacture (Bloody Roar) 100:
A small machine - big enough to hold a massive pauldron or two - that gives any pieces of armor or clothing placed inside a specific quality: When their wearer changes form"&amp;", the armor and clothing changes form with him / her.
Item")</f>
        <v>Chapter 48: 41 Drag Out - Preamble Chen
Armor-Shift Manufacture (Bloody Roar) 100:
A small machine - big enough to hold a massive pauldron or two - that gives any pieces of armor or clothing placed inside a specific quality: When their wearer changes form, the armor and clothing changes form with him / her.
Item</v>
      </c>
      <c r="B367" s="17" t="str">
        <f>IFERROR(__xludf.DUMMYFUNCTION("""COMPUTED_VALUE"""),"Chapter 48: 41 Drag Out - Preamble Chen
Beast Change!: Inostrancevia (Bloody Roar) Free:
You can freely access your Zoanthrope form, becoming a monstrous humanoid that is a horrific combination of human and beast. Reptile, mammal, avian, amphibian, piscin"&amp;"e, it does not matter what. If it existed in Earth’s lifetime, you can choose it. (Yes, this includes Dinosaurs. No, it does not include microorganisms.)
Ability")</f>
        <v>Chapter 48: 41 Drag Out - Preamble Chen
Beast Change!: Inostrancevia (Bloody Roar) Free:
You can freely access your Zoanthrope form, becoming a monstrous humanoid that is a horrific combination of human and beast. Reptile, mammal, avian, amphibian, piscine, it does not matter what. If it existed in Earth’s lifetime, you can choose it. (Yes, this includes Dinosaurs. No, it does not include microorganisms.)
Ability</v>
      </c>
      <c r="C367" s="17" t="str">
        <f>IFERROR(__xludf.DUMMYFUNCTION("""COMPUTED_VALUE"""),"Chapter 48: 41 Drag Out - Preamble Chen
Martial Artist: Muay Thai (Bloody Roar) Free:
Pick one martial art from Earth’s history &amp; various cultures. You now know the basics of this art, as well as a few of the more advanced moves. More beneficially, you kn"&amp;"ow how to apply this martial art to your Zoanthrope form - and combine the two into a deadly style of combat. Wrestling forms and dances are also accepted if they can be theoretically used in combat.
Skill")</f>
        <v>Chapter 48: 41 Drag Out - Preamble Chen
Martial Artist: Muay Thai (Bloody Roar) Free:
Pick one martial art from Earth’s history &amp; various cultures. You now know the basics of this art, as well as a few of the more advanced moves. More beneficially, you know how to apply this martial art to your Zoanthrope form - and combine the two into a deadly style of combat. Wrestling forms and dances are also accepted if they can be theoretically used in combat.
Skill</v>
      </c>
      <c r="D367" s="17" t="str">
        <f>IFERROR(__xludf.DUMMYFUNCTION("""COMPUTED_VALUE"""),"
")</f>
        <v>
</v>
      </c>
      <c r="E367" s="17" t="str">
        <f>IFERROR(__xludf.DUMMYFUNCTION("""COMPUTED_VALUE"""),"
")</f>
        <v>
</v>
      </c>
      <c r="F367" s="17" t="str">
        <f>IFERROR(__xludf.DUMMYFUNCTION("""COMPUTED_VALUE"""),"
")</f>
        <v>
</v>
      </c>
      <c r="G367" s="17" t="str">
        <f>IFERROR(__xludf.DUMMYFUNCTION("""COMPUTED_VALUE"""),"
")</f>
        <v>
</v>
      </c>
      <c r="H367" s="17" t="str">
        <f>IFERROR(__xludf.DUMMYFUNCTION("""COMPUTED_VALUE"""),"
")</f>
        <v>
</v>
      </c>
      <c r="I367" s="17" t="str">
        <f>IFERROR(__xludf.DUMMYFUNCTION("""COMPUTED_VALUE"""),"
")</f>
        <v>
</v>
      </c>
      <c r="J367" s="17" t="str">
        <f>IFERROR(__xludf.DUMMYFUNCTION("""COMPUTED_VALUE"""),"
")</f>
        <v>
</v>
      </c>
      <c r="K367" s="17" t="str">
        <f>IFERROR(__xludf.DUMMYFUNCTION("""COMPUTED_VALUE"""),"
")</f>
        <v>
</v>
      </c>
      <c r="L367" s="17" t="str">
        <f>IFERROR(__xludf.DUMMYFUNCTION("""COMPUTED_VALUE"""),"
")</f>
        <v>
</v>
      </c>
      <c r="M367" s="17" t="str">
        <f>IFERROR(__xludf.DUMMYFUNCTION("""COMPUTED_VALUE"""),"
")</f>
        <v>
</v>
      </c>
      <c r="N367" s="17" t="str">
        <f>IFERROR(__xludf.DUMMYFUNCTION("""COMPUTED_VALUE"""),"
")</f>
        <v>
</v>
      </c>
      <c r="O367" s="17" t="str">
        <f>IFERROR(__xludf.DUMMYFUNCTION("""COMPUTED_VALUE"""),"
")</f>
        <v>
</v>
      </c>
      <c r="P367" s="17" t="str">
        <f>IFERROR(__xludf.DUMMYFUNCTION("""COMPUTED_VALUE"""),"
")</f>
        <v>
</v>
      </c>
      <c r="Q367" s="17" t="str">
        <f>IFERROR(__xludf.DUMMYFUNCTION("""COMPUTED_VALUE"""),"
")</f>
        <v>
</v>
      </c>
      <c r="R367" s="17" t="str">
        <f>IFERROR(__xludf.DUMMYFUNCTION("""COMPUTED_VALUE"""),"
")</f>
        <v>
</v>
      </c>
      <c r="S367" s="17" t="str">
        <f>IFERROR(__xludf.DUMMYFUNCTION("""COMPUTED_VALUE"""),"
")</f>
        <v>
</v>
      </c>
      <c r="T367" s="17" t="str">
        <f>IFERROR(__xludf.DUMMYFUNCTION("""COMPUTED_VALUE"""),"
")</f>
        <v>
</v>
      </c>
      <c r="U367" s="17" t="str">
        <f>IFERROR(__xludf.DUMMYFUNCTION("""COMPUTED_VALUE"""),"
")</f>
        <v>
</v>
      </c>
      <c r="V367" s="17" t="str">
        <f>IFERROR(__xludf.DUMMYFUNCTION("""COMPUTED_VALUE"""),"
")</f>
        <v>
</v>
      </c>
      <c r="W367" s="17" t="str">
        <f>IFERROR(__xludf.DUMMYFUNCTION("""COMPUTED_VALUE"""),"
")</f>
        <v>
</v>
      </c>
      <c r="X367" s="17" t="str">
        <f>IFERROR(__xludf.DUMMYFUNCTION("""COMPUTED_VALUE"""),"
")</f>
        <v>
</v>
      </c>
      <c r="Y367" s="17" t="str">
        <f>IFERROR(__xludf.DUMMYFUNCTION("""COMPUTED_VALUE"""),"
")</f>
        <v>
</v>
      </c>
      <c r="Z367" s="17" t="str">
        <f>IFERROR(__xludf.DUMMYFUNCTION("""COMPUTED_VALUE"""),"
")</f>
        <v>
</v>
      </c>
      <c r="AA367" s="17" t="str">
        <f>IFERROR(__xludf.DUMMYFUNCTION("""COMPUTED_VALUE"""),"
")</f>
        <v>
</v>
      </c>
      <c r="AB367" s="17" t="str">
        <f>IFERROR(__xludf.DUMMYFUNCTION("""COMPUTED_VALUE"""),"
")</f>
        <v>
</v>
      </c>
      <c r="AC367" s="17" t="str">
        <f>IFERROR(__xludf.DUMMYFUNCTION("""COMPUTED_VALUE"""),"
")</f>
        <v>
</v>
      </c>
    </row>
    <row r="368">
      <c r="A368" s="17" t="str">
        <f>IFERROR(__xludf.DUMMYFUNCTION("""COMPUTED_VALUE"""),"Chapter 26: 21 Closing Moves
Workshop (Bubblegum Crisis) 100:
You need tools? You have ALL the tools. Using this, you can effectively build and/or repair any damn thing in BGC, though constructing orbital shuttles might take a while. Nevermind getting aho"&amp;"ld of the plans.
Facility")</f>
        <v>Chapter 26: 21 Closing Moves
Workshop (Bubblegum Crisis) 100:
You need tools? You have ALL the tools. Using this, you can effectively build and/or repair any damn thing in BGC, though constructing orbital shuttles might take a while. Nevermind getting ahold of the plans.
Facility</v>
      </c>
      <c r="B368" s="17" t="str">
        <f>IFERROR(__xludf.DUMMYFUNCTION("""COMPUTED_VALUE"""),"Chapter 26: 21 Closing Moves
Apartment (Bubblegum Crisis) Free:
A run down, single-room apartment. Nothing special, but hey, it keeps the rain off. Don't worry too much about the rent.
Facility")</f>
        <v>Chapter 26: 21 Closing Moves
Apartment (Bubblegum Crisis) Free:
A run down, single-room apartment. Nothing special, but hey, it keeps the rain off. Don't worry too much about the rent.
Facility</v>
      </c>
      <c r="C368" s="17" t="str">
        <f>IFERROR(__xludf.DUMMYFUNCTION("""COMPUTED_VALUE"""),"
")</f>
        <v>
</v>
      </c>
      <c r="D368" s="17" t="str">
        <f>IFERROR(__xludf.DUMMYFUNCTION("""COMPUTED_VALUE"""),"
")</f>
        <v>
</v>
      </c>
      <c r="E368" s="17" t="str">
        <f>IFERROR(__xludf.DUMMYFUNCTION("""COMPUTED_VALUE"""),"
")</f>
        <v>
</v>
      </c>
      <c r="F368" s="17" t="str">
        <f>IFERROR(__xludf.DUMMYFUNCTION("""COMPUTED_VALUE"""),"
")</f>
        <v>
</v>
      </c>
      <c r="G368" s="17" t="str">
        <f>IFERROR(__xludf.DUMMYFUNCTION("""COMPUTED_VALUE"""),"
")</f>
        <v>
</v>
      </c>
      <c r="H368" s="17" t="str">
        <f>IFERROR(__xludf.DUMMYFUNCTION("""COMPUTED_VALUE"""),"
")</f>
        <v>
</v>
      </c>
      <c r="I368" s="17" t="str">
        <f>IFERROR(__xludf.DUMMYFUNCTION("""COMPUTED_VALUE"""),"
")</f>
        <v>
</v>
      </c>
      <c r="J368" s="17" t="str">
        <f>IFERROR(__xludf.DUMMYFUNCTION("""COMPUTED_VALUE"""),"
")</f>
        <v>
</v>
      </c>
      <c r="K368" s="17" t="str">
        <f>IFERROR(__xludf.DUMMYFUNCTION("""COMPUTED_VALUE"""),"
")</f>
        <v>
</v>
      </c>
      <c r="L368" s="17" t="str">
        <f>IFERROR(__xludf.DUMMYFUNCTION("""COMPUTED_VALUE"""),"
")</f>
        <v>
</v>
      </c>
      <c r="M368" s="17" t="str">
        <f>IFERROR(__xludf.DUMMYFUNCTION("""COMPUTED_VALUE"""),"
")</f>
        <v>
</v>
      </c>
      <c r="N368" s="17" t="str">
        <f>IFERROR(__xludf.DUMMYFUNCTION("""COMPUTED_VALUE"""),"
")</f>
        <v>
</v>
      </c>
      <c r="O368" s="17" t="str">
        <f>IFERROR(__xludf.DUMMYFUNCTION("""COMPUTED_VALUE"""),"
")</f>
        <v>
</v>
      </c>
      <c r="P368" s="17" t="str">
        <f>IFERROR(__xludf.DUMMYFUNCTION("""COMPUTED_VALUE"""),"
")</f>
        <v>
</v>
      </c>
      <c r="Q368" s="17" t="str">
        <f>IFERROR(__xludf.DUMMYFUNCTION("""COMPUTED_VALUE"""),"
")</f>
        <v>
</v>
      </c>
      <c r="R368" s="17" t="str">
        <f>IFERROR(__xludf.DUMMYFUNCTION("""COMPUTED_VALUE"""),"
")</f>
        <v>
</v>
      </c>
      <c r="S368" s="17" t="str">
        <f>IFERROR(__xludf.DUMMYFUNCTION("""COMPUTED_VALUE"""),"
")</f>
        <v>
</v>
      </c>
      <c r="T368" s="17" t="str">
        <f>IFERROR(__xludf.DUMMYFUNCTION("""COMPUTED_VALUE"""),"
")</f>
        <v>
</v>
      </c>
      <c r="U368" s="17" t="str">
        <f>IFERROR(__xludf.DUMMYFUNCTION("""COMPUTED_VALUE"""),"
")</f>
        <v>
</v>
      </c>
      <c r="V368" s="17" t="str">
        <f>IFERROR(__xludf.DUMMYFUNCTION("""COMPUTED_VALUE"""),"
")</f>
        <v>
</v>
      </c>
      <c r="W368" s="17" t="str">
        <f>IFERROR(__xludf.DUMMYFUNCTION("""COMPUTED_VALUE"""),"
")</f>
        <v>
</v>
      </c>
      <c r="X368" s="17" t="str">
        <f>IFERROR(__xludf.DUMMYFUNCTION("""COMPUTED_VALUE"""),"
")</f>
        <v>
</v>
      </c>
      <c r="Y368" s="17" t="str">
        <f>IFERROR(__xludf.DUMMYFUNCTION("""COMPUTED_VALUE"""),"
")</f>
        <v>
</v>
      </c>
      <c r="Z368" s="17" t="str">
        <f>IFERROR(__xludf.DUMMYFUNCTION("""COMPUTED_VALUE"""),"
")</f>
        <v>
</v>
      </c>
      <c r="AA368" s="17" t="str">
        <f>IFERROR(__xludf.DUMMYFUNCTION("""COMPUTED_VALUE"""),"
")</f>
        <v>
</v>
      </c>
      <c r="AB368" s="17" t="str">
        <f>IFERROR(__xludf.DUMMYFUNCTION("""COMPUTED_VALUE"""),"
")</f>
        <v>
</v>
      </c>
      <c r="AC368" s="17" t="str">
        <f>IFERROR(__xludf.DUMMYFUNCTION("""COMPUTED_VALUE"""),"
")</f>
        <v>
</v>
      </c>
    </row>
    <row r="369">
      <c r="A369" s="17" t="str">
        <f>IFERROR(__xludf.DUMMYFUNCTION("""COMPUTED_VALUE"""),"")</f>
        <v/>
      </c>
      <c r="B369" s="17" t="str">
        <f>IFERROR(__xludf.DUMMYFUNCTION("""COMPUTED_VALUE"""),"")</f>
        <v/>
      </c>
      <c r="C369" s="17" t="str">
        <f>IFERROR(__xludf.DUMMYFUNCTION("""COMPUTED_VALUE"""),"")</f>
        <v/>
      </c>
      <c r="D369" s="17" t="str">
        <f>IFERROR(__xludf.DUMMYFUNCTION("""COMPUTED_VALUE"""),"")</f>
        <v/>
      </c>
      <c r="E369" s="17" t="str">
        <f>IFERROR(__xludf.DUMMYFUNCTION("""COMPUTED_VALUE"""),"")</f>
        <v/>
      </c>
      <c r="F369" s="17" t="str">
        <f>IFERROR(__xludf.DUMMYFUNCTION("""COMPUTED_VALUE"""),"")</f>
        <v/>
      </c>
      <c r="G369" s="17" t="str">
        <f>IFERROR(__xludf.DUMMYFUNCTION("""COMPUTED_VALUE"""),"")</f>
        <v/>
      </c>
      <c r="H369" s="17" t="str">
        <f>IFERROR(__xludf.DUMMYFUNCTION("""COMPUTED_VALUE"""),"")</f>
        <v/>
      </c>
      <c r="I369" s="17" t="str">
        <f>IFERROR(__xludf.DUMMYFUNCTION("""COMPUTED_VALUE"""),"")</f>
        <v/>
      </c>
      <c r="J369" s="17" t="str">
        <f>IFERROR(__xludf.DUMMYFUNCTION("""COMPUTED_VALUE"""),"")</f>
        <v/>
      </c>
      <c r="K369" s="17" t="str">
        <f>IFERROR(__xludf.DUMMYFUNCTION("""COMPUTED_VALUE"""),"")</f>
        <v/>
      </c>
      <c r="L369" s="17" t="str">
        <f>IFERROR(__xludf.DUMMYFUNCTION("""COMPUTED_VALUE"""),"")</f>
        <v/>
      </c>
      <c r="M369" s="17" t="str">
        <f>IFERROR(__xludf.DUMMYFUNCTION("""COMPUTED_VALUE"""),"")</f>
        <v/>
      </c>
      <c r="N369" s="17" t="str">
        <f>IFERROR(__xludf.DUMMYFUNCTION("""COMPUTED_VALUE"""),"")</f>
        <v/>
      </c>
      <c r="O369" s="17" t="str">
        <f>IFERROR(__xludf.DUMMYFUNCTION("""COMPUTED_VALUE"""),"")</f>
        <v/>
      </c>
      <c r="P369" s="17" t="str">
        <f>IFERROR(__xludf.DUMMYFUNCTION("""COMPUTED_VALUE"""),"")</f>
        <v/>
      </c>
      <c r="Q369" s="17" t="str">
        <f>IFERROR(__xludf.DUMMYFUNCTION("""COMPUTED_VALUE"""),"")</f>
        <v/>
      </c>
      <c r="R369" s="17" t="str">
        <f>IFERROR(__xludf.DUMMYFUNCTION("""COMPUTED_VALUE"""),"")</f>
        <v/>
      </c>
      <c r="S369" s="17" t="str">
        <f>IFERROR(__xludf.DUMMYFUNCTION("""COMPUTED_VALUE"""),"")</f>
        <v/>
      </c>
      <c r="T369" s="17" t="str">
        <f>IFERROR(__xludf.DUMMYFUNCTION("""COMPUTED_VALUE"""),"")</f>
        <v/>
      </c>
      <c r="U369" s="17" t="str">
        <f>IFERROR(__xludf.DUMMYFUNCTION("""COMPUTED_VALUE"""),"")</f>
        <v/>
      </c>
      <c r="V369" s="17" t="str">
        <f>IFERROR(__xludf.DUMMYFUNCTION("""COMPUTED_VALUE"""),"")</f>
        <v/>
      </c>
      <c r="W369" s="17" t="str">
        <f>IFERROR(__xludf.DUMMYFUNCTION("""COMPUTED_VALUE"""),"")</f>
        <v/>
      </c>
      <c r="X369" s="17" t="str">
        <f>IFERROR(__xludf.DUMMYFUNCTION("""COMPUTED_VALUE"""),"")</f>
        <v/>
      </c>
      <c r="Y369" s="17" t="str">
        <f>IFERROR(__xludf.DUMMYFUNCTION("""COMPUTED_VALUE"""),"")</f>
        <v/>
      </c>
      <c r="Z369" s="17" t="str">
        <f>IFERROR(__xludf.DUMMYFUNCTION("""COMPUTED_VALUE"""),"")</f>
        <v/>
      </c>
      <c r="AA369" s="17" t="str">
        <f>IFERROR(__xludf.DUMMYFUNCTION("""COMPUTED_VALUE"""),"")</f>
        <v/>
      </c>
      <c r="AB369" s="17" t="str">
        <f>IFERROR(__xludf.DUMMYFUNCTION("""COMPUTED_VALUE"""),"")</f>
        <v/>
      </c>
      <c r="AC369" s="17" t="str">
        <f>IFERROR(__xludf.DUMMYFUNCTION("""COMPUTED_VALUE"""),"")</f>
        <v/>
      </c>
    </row>
    <row r="370">
      <c r="A370" s="17" t="str">
        <f>IFERROR(__xludf.DUMMYFUNCTION("""COMPUTED_VALUE"""),"")</f>
        <v/>
      </c>
      <c r="B370" s="17" t="str">
        <f>IFERROR(__xludf.DUMMYFUNCTION("""COMPUTED_VALUE"""),"")</f>
        <v/>
      </c>
      <c r="C370" s="17" t="str">
        <f>IFERROR(__xludf.DUMMYFUNCTION("""COMPUTED_VALUE"""),"")</f>
        <v/>
      </c>
      <c r="D370" s="17" t="str">
        <f>IFERROR(__xludf.DUMMYFUNCTION("""COMPUTED_VALUE"""),"")</f>
        <v/>
      </c>
      <c r="E370" s="17" t="str">
        <f>IFERROR(__xludf.DUMMYFUNCTION("""COMPUTED_VALUE"""),"")</f>
        <v/>
      </c>
      <c r="F370" s="17" t="str">
        <f>IFERROR(__xludf.DUMMYFUNCTION("""COMPUTED_VALUE"""),"")</f>
        <v/>
      </c>
      <c r="G370" s="17" t="str">
        <f>IFERROR(__xludf.DUMMYFUNCTION("""COMPUTED_VALUE"""),"")</f>
        <v/>
      </c>
      <c r="H370" s="17" t="str">
        <f>IFERROR(__xludf.DUMMYFUNCTION("""COMPUTED_VALUE"""),"")</f>
        <v/>
      </c>
      <c r="I370" s="17" t="str">
        <f>IFERROR(__xludf.DUMMYFUNCTION("""COMPUTED_VALUE"""),"")</f>
        <v/>
      </c>
      <c r="J370" s="17" t="str">
        <f>IFERROR(__xludf.DUMMYFUNCTION("""COMPUTED_VALUE"""),"")</f>
        <v/>
      </c>
      <c r="K370" s="17" t="str">
        <f>IFERROR(__xludf.DUMMYFUNCTION("""COMPUTED_VALUE"""),"")</f>
        <v/>
      </c>
      <c r="L370" s="17" t="str">
        <f>IFERROR(__xludf.DUMMYFUNCTION("""COMPUTED_VALUE"""),"")</f>
        <v/>
      </c>
      <c r="M370" s="17" t="str">
        <f>IFERROR(__xludf.DUMMYFUNCTION("""COMPUTED_VALUE"""),"")</f>
        <v/>
      </c>
      <c r="N370" s="17" t="str">
        <f>IFERROR(__xludf.DUMMYFUNCTION("""COMPUTED_VALUE"""),"")</f>
        <v/>
      </c>
      <c r="O370" s="17" t="str">
        <f>IFERROR(__xludf.DUMMYFUNCTION("""COMPUTED_VALUE"""),"")</f>
        <v/>
      </c>
      <c r="P370" s="17" t="str">
        <f>IFERROR(__xludf.DUMMYFUNCTION("""COMPUTED_VALUE"""),"")</f>
        <v/>
      </c>
      <c r="Q370" s="17" t="str">
        <f>IFERROR(__xludf.DUMMYFUNCTION("""COMPUTED_VALUE"""),"")</f>
        <v/>
      </c>
      <c r="R370" s="17" t="str">
        <f>IFERROR(__xludf.DUMMYFUNCTION("""COMPUTED_VALUE"""),"")</f>
        <v/>
      </c>
      <c r="S370" s="17" t="str">
        <f>IFERROR(__xludf.DUMMYFUNCTION("""COMPUTED_VALUE"""),"")</f>
        <v/>
      </c>
      <c r="T370" s="17" t="str">
        <f>IFERROR(__xludf.DUMMYFUNCTION("""COMPUTED_VALUE"""),"")</f>
        <v/>
      </c>
      <c r="U370" s="17" t="str">
        <f>IFERROR(__xludf.DUMMYFUNCTION("""COMPUTED_VALUE"""),"")</f>
        <v/>
      </c>
      <c r="V370" s="17" t="str">
        <f>IFERROR(__xludf.DUMMYFUNCTION("""COMPUTED_VALUE"""),"")</f>
        <v/>
      </c>
      <c r="W370" s="17" t="str">
        <f>IFERROR(__xludf.DUMMYFUNCTION("""COMPUTED_VALUE"""),"")</f>
        <v/>
      </c>
      <c r="X370" s="17" t="str">
        <f>IFERROR(__xludf.DUMMYFUNCTION("""COMPUTED_VALUE"""),"")</f>
        <v/>
      </c>
      <c r="Y370" s="17" t="str">
        <f>IFERROR(__xludf.DUMMYFUNCTION("""COMPUTED_VALUE"""),"")</f>
        <v/>
      </c>
      <c r="Z370" s="17" t="str">
        <f>IFERROR(__xludf.DUMMYFUNCTION("""COMPUTED_VALUE"""),"")</f>
        <v/>
      </c>
      <c r="AA370" s="17" t="str">
        <f>IFERROR(__xludf.DUMMYFUNCTION("""COMPUTED_VALUE"""),"")</f>
        <v/>
      </c>
      <c r="AB370" s="17" t="str">
        <f>IFERROR(__xludf.DUMMYFUNCTION("""COMPUTED_VALUE"""),"")</f>
        <v/>
      </c>
      <c r="AC370" s="17" t="str">
        <f>IFERROR(__xludf.DUMMYFUNCTION("""COMPUTED_VALUE"""),"")</f>
        <v/>
      </c>
    </row>
    <row r="371">
      <c r="A371" s="17" t="str">
        <f>IFERROR(__xludf.DUMMYFUNCTION("""COMPUTED_VALUE"""),"")</f>
        <v/>
      </c>
      <c r="B371" s="17" t="str">
        <f>IFERROR(__xludf.DUMMYFUNCTION("""COMPUTED_VALUE"""),"")</f>
        <v/>
      </c>
      <c r="C371" s="17" t="str">
        <f>IFERROR(__xludf.DUMMYFUNCTION("""COMPUTED_VALUE"""),"")</f>
        <v/>
      </c>
      <c r="D371" s="17" t="str">
        <f>IFERROR(__xludf.DUMMYFUNCTION("""COMPUTED_VALUE"""),"")</f>
        <v/>
      </c>
      <c r="E371" s="17" t="str">
        <f>IFERROR(__xludf.DUMMYFUNCTION("""COMPUTED_VALUE"""),"")</f>
        <v/>
      </c>
      <c r="F371" s="17" t="str">
        <f>IFERROR(__xludf.DUMMYFUNCTION("""COMPUTED_VALUE"""),"")</f>
        <v/>
      </c>
      <c r="G371" s="17" t="str">
        <f>IFERROR(__xludf.DUMMYFUNCTION("""COMPUTED_VALUE"""),"")</f>
        <v/>
      </c>
      <c r="H371" s="17" t="str">
        <f>IFERROR(__xludf.DUMMYFUNCTION("""COMPUTED_VALUE"""),"")</f>
        <v/>
      </c>
      <c r="I371" s="17" t="str">
        <f>IFERROR(__xludf.DUMMYFUNCTION("""COMPUTED_VALUE"""),"")</f>
        <v/>
      </c>
      <c r="J371" s="17" t="str">
        <f>IFERROR(__xludf.DUMMYFUNCTION("""COMPUTED_VALUE"""),"")</f>
        <v/>
      </c>
      <c r="K371" s="17" t="str">
        <f>IFERROR(__xludf.DUMMYFUNCTION("""COMPUTED_VALUE"""),"")</f>
        <v/>
      </c>
      <c r="L371" s="17" t="str">
        <f>IFERROR(__xludf.DUMMYFUNCTION("""COMPUTED_VALUE"""),"")</f>
        <v/>
      </c>
      <c r="M371" s="17" t="str">
        <f>IFERROR(__xludf.DUMMYFUNCTION("""COMPUTED_VALUE"""),"")</f>
        <v/>
      </c>
      <c r="N371" s="17" t="str">
        <f>IFERROR(__xludf.DUMMYFUNCTION("""COMPUTED_VALUE"""),"")</f>
        <v/>
      </c>
      <c r="O371" s="17" t="str">
        <f>IFERROR(__xludf.DUMMYFUNCTION("""COMPUTED_VALUE"""),"")</f>
        <v/>
      </c>
      <c r="P371" s="17" t="str">
        <f>IFERROR(__xludf.DUMMYFUNCTION("""COMPUTED_VALUE"""),"")</f>
        <v/>
      </c>
      <c r="Q371" s="17" t="str">
        <f>IFERROR(__xludf.DUMMYFUNCTION("""COMPUTED_VALUE"""),"")</f>
        <v/>
      </c>
      <c r="R371" s="17" t="str">
        <f>IFERROR(__xludf.DUMMYFUNCTION("""COMPUTED_VALUE"""),"")</f>
        <v/>
      </c>
      <c r="S371" s="17" t="str">
        <f>IFERROR(__xludf.DUMMYFUNCTION("""COMPUTED_VALUE"""),"")</f>
        <v/>
      </c>
      <c r="T371" s="17" t="str">
        <f>IFERROR(__xludf.DUMMYFUNCTION("""COMPUTED_VALUE"""),"")</f>
        <v/>
      </c>
      <c r="U371" s="17" t="str">
        <f>IFERROR(__xludf.DUMMYFUNCTION("""COMPUTED_VALUE"""),"")</f>
        <v/>
      </c>
      <c r="V371" s="17" t="str">
        <f>IFERROR(__xludf.DUMMYFUNCTION("""COMPUTED_VALUE"""),"")</f>
        <v/>
      </c>
      <c r="W371" s="17" t="str">
        <f>IFERROR(__xludf.DUMMYFUNCTION("""COMPUTED_VALUE"""),"")</f>
        <v/>
      </c>
      <c r="X371" s="17" t="str">
        <f>IFERROR(__xludf.DUMMYFUNCTION("""COMPUTED_VALUE"""),"")</f>
        <v/>
      </c>
      <c r="Y371" s="17" t="str">
        <f>IFERROR(__xludf.DUMMYFUNCTION("""COMPUTED_VALUE"""),"")</f>
        <v/>
      </c>
      <c r="Z371" s="17" t="str">
        <f>IFERROR(__xludf.DUMMYFUNCTION("""COMPUTED_VALUE"""),"")</f>
        <v/>
      </c>
      <c r="AA371" s="17" t="str">
        <f>IFERROR(__xludf.DUMMYFUNCTION("""COMPUTED_VALUE"""),"")</f>
        <v/>
      </c>
      <c r="AB371" s="17" t="str">
        <f>IFERROR(__xludf.DUMMYFUNCTION("""COMPUTED_VALUE"""),"")</f>
        <v/>
      </c>
      <c r="AC371" s="17" t="str">
        <f>IFERROR(__xludf.DUMMYFUNCTION("""COMPUTED_VALUE"""),"")</f>
        <v/>
      </c>
    </row>
    <row r="372">
      <c r="A372" s="17" t="str">
        <f>IFERROR(__xludf.DUMMYFUNCTION("""COMPUTED_VALUE"""),"Chapter 48: 41 Drag Out - Preamble Chen
Prismatic Laboratory (Fallen London) 400:
The principle of acute observation is light! And to that end, you have fashioned a workspace of lenses, liquids, critters and crystals to focus upon recreating a spectrum of"&amp;" lights fantastic. Ah, the impossible palette: those colours only seen in the Neath! You may not always produce something like it, but you will produce their inks and lenses in time.
Facility")</f>
        <v>Chapter 48: 41 Drag Out - Preamble Chen
Prismatic Laboratory (Fallen London) 400:
The principle of acute observation is light! And to that end, you have fashioned a workspace of lenses, liquids, critters and crystals to focus upon recreating a spectrum of lights fantastic. Ah, the impossible palette: those colours only seen in the Neath! You may not always produce something like it, but you will produce their inks and lenses in time.
Facility</v>
      </c>
      <c r="B372" s="17" t="str">
        <f>IFERROR(__xludf.DUMMYFUNCTION("""COMPUTED_VALUE"""),"Chapter 48: 41 Drag Out - Preamble Chen
St Andrew’s Candle (Fallen London) Free:
That candle you had so long ago. It feels heavier now, perhaps it has fed upon your sins, perhaps it too has changed as you have. St Andrew’s Candle no longer burns low, for "&amp;"indeed it resists all attempts to extinguish it. But in the case of your sudden and fatal injury, it flares in brilliant ignition, granting you ten more minutes of life and action as it burns itself down from wick to stub. It will not heal your injuries, "&amp;"but it will prevent new ones from forming. Should you survive and reverse your fatality, the candle will not and will only renew itself at the beginning of a new jump or after ten years post-spark. The light it gives is a true Neathy light, a reminder of "&amp;"your time in the Fifth City.
Item")</f>
        <v>Chapter 48: 41 Drag Out - Preamble Chen
St Andrew’s Candle (Fallen London) Free:
That candle you had so long ago. It feels heavier now, perhaps it has fed upon your sins, perhaps it too has changed as you have. St Andrew’s Candle no longer burns low, for indeed it resists all attempts to extinguish it. But in the case of your sudden and fatal injury, it flares in brilliant ignition, granting you ten more minutes of life and action as it burns itself down from wick to stub. It will not heal your injuries, but it will prevent new ones from forming. Should you survive and reverse your fatality, the candle will not and will only renew itself at the beginning of a new jump or after ten years post-spark. The light it gives is a true Neathy light, a reminder of your time in the Fifth City.
Item</v>
      </c>
      <c r="C372" s="17" t="str">
        <f>IFERROR(__xludf.DUMMYFUNCTION("""COMPUTED_VALUE"""),"Chapter 48: 41 Drag Out - Preamble Chen
Connections: Hell (Fallen London) Free:
Those amber eyed Devils have taken a shine to you. From their Westernmost halls, to the Brass Embassy on Ladybones, there’s not a tempter who doesn’t know you. Their gifts inc"&amp;"lude nevercooling brass, poisonous wine, masquerade invites, chemicals, and a few bottled souls that strayed away from the archives. Cannot take with Church.
They will send you gifts every fortnight as payment for some obscure service. Similar factions ma"&amp;"y be present in future jumps.
Item")</f>
        <v>Chapter 48: 41 Drag Out - Preamble Chen
Connections: Hell (Fallen London) Free:
Those amber eyed Devils have taken a shine to you. From their Westernmost halls, to the Brass Embassy on Ladybones, there’s not a tempter who doesn’t know you. Their gifts include nevercooling brass, poisonous wine, masquerade invites, chemicals, and a few bottled souls that strayed away from the archives. Cannot take with Church.
They will send you gifts every fortnight as payment for some obscure service. Similar factions may be present in future jumps.
Item</v>
      </c>
      <c r="D372" s="17" t="str">
        <f>IFERROR(__xludf.DUMMYFUNCTION("""COMPUTED_VALUE"""),"Chapter 48: 41 Drag Out - Preamble Chen
Connections: Rubbery Men (Fallen London) Free:
Ssaloshagosh? How do you spell that? They risk stonings and harsh glances as they make their way to your abode, but by some alien measure it is worth it. Their slimy pa"&amp;"ckages reveal amber of various colours, tiny unusual skulls and pocket change from ancient cities. Cannot take with Revolutionary.
They will send you gifts every fortnight as payment for some obscure service. Similar factions may be present in future jump"&amp;"s.
Item")</f>
        <v>Chapter 48: 41 Drag Out - Preamble Chen
Connections: Rubbery Men (Fallen London) Free:
Ssaloshagosh? How do you spell that? They risk stonings and harsh glances as they make their way to your abode, but by some alien measure it is worth it. Their slimy packages reveal amber of various colours, tiny unusual skulls and pocket change from ancient cities. Cannot take with Revolutionary.
They will send you gifts every fortnight as payment for some obscure service. Similar factions may be present in future jumps.
Item</v>
      </c>
      <c r="E372" s="17" t="str">
        <f>IFERROR(__xludf.DUMMYFUNCTION("""COMPUTED_VALUE"""),"
")</f>
        <v>
</v>
      </c>
      <c r="F372" s="17" t="str">
        <f>IFERROR(__xludf.DUMMYFUNCTION("""COMPUTED_VALUE"""),"
")</f>
        <v>
</v>
      </c>
      <c r="G372" s="17" t="str">
        <f>IFERROR(__xludf.DUMMYFUNCTION("""COMPUTED_VALUE"""),"
")</f>
        <v>
</v>
      </c>
      <c r="H372" s="17" t="str">
        <f>IFERROR(__xludf.DUMMYFUNCTION("""COMPUTED_VALUE"""),"
")</f>
        <v>
</v>
      </c>
      <c r="I372" s="17" t="str">
        <f>IFERROR(__xludf.DUMMYFUNCTION("""COMPUTED_VALUE"""),"
")</f>
        <v>
</v>
      </c>
      <c r="J372" s="17" t="str">
        <f>IFERROR(__xludf.DUMMYFUNCTION("""COMPUTED_VALUE"""),"
")</f>
        <v>
</v>
      </c>
      <c r="K372" s="17" t="str">
        <f>IFERROR(__xludf.DUMMYFUNCTION("""COMPUTED_VALUE"""),"
")</f>
        <v>
</v>
      </c>
      <c r="L372" s="17" t="str">
        <f>IFERROR(__xludf.DUMMYFUNCTION("""COMPUTED_VALUE"""),"
")</f>
        <v>
</v>
      </c>
      <c r="M372" s="17" t="str">
        <f>IFERROR(__xludf.DUMMYFUNCTION("""COMPUTED_VALUE"""),"
")</f>
        <v>
</v>
      </c>
      <c r="N372" s="17" t="str">
        <f>IFERROR(__xludf.DUMMYFUNCTION("""COMPUTED_VALUE"""),"
")</f>
        <v>
</v>
      </c>
      <c r="O372" s="17" t="str">
        <f>IFERROR(__xludf.DUMMYFUNCTION("""COMPUTED_VALUE"""),"
")</f>
        <v>
</v>
      </c>
      <c r="P372" s="17" t="str">
        <f>IFERROR(__xludf.DUMMYFUNCTION("""COMPUTED_VALUE"""),"
")</f>
        <v>
</v>
      </c>
      <c r="Q372" s="17" t="str">
        <f>IFERROR(__xludf.DUMMYFUNCTION("""COMPUTED_VALUE"""),"
")</f>
        <v>
</v>
      </c>
      <c r="R372" s="17" t="str">
        <f>IFERROR(__xludf.DUMMYFUNCTION("""COMPUTED_VALUE"""),"
")</f>
        <v>
</v>
      </c>
      <c r="S372" s="17" t="str">
        <f>IFERROR(__xludf.DUMMYFUNCTION("""COMPUTED_VALUE"""),"
")</f>
        <v>
</v>
      </c>
      <c r="T372" s="17" t="str">
        <f>IFERROR(__xludf.DUMMYFUNCTION("""COMPUTED_VALUE"""),"
")</f>
        <v>
</v>
      </c>
      <c r="U372" s="17" t="str">
        <f>IFERROR(__xludf.DUMMYFUNCTION("""COMPUTED_VALUE"""),"
")</f>
        <v>
</v>
      </c>
      <c r="V372" s="17" t="str">
        <f>IFERROR(__xludf.DUMMYFUNCTION("""COMPUTED_VALUE"""),"
")</f>
        <v>
</v>
      </c>
      <c r="W372" s="17" t="str">
        <f>IFERROR(__xludf.DUMMYFUNCTION("""COMPUTED_VALUE"""),"
")</f>
        <v>
</v>
      </c>
      <c r="X372" s="17" t="str">
        <f>IFERROR(__xludf.DUMMYFUNCTION("""COMPUTED_VALUE"""),"
")</f>
        <v>
</v>
      </c>
      <c r="Y372" s="17" t="str">
        <f>IFERROR(__xludf.DUMMYFUNCTION("""COMPUTED_VALUE"""),"
")</f>
        <v>
</v>
      </c>
      <c r="Z372" s="17" t="str">
        <f>IFERROR(__xludf.DUMMYFUNCTION("""COMPUTED_VALUE"""),"
")</f>
        <v>
</v>
      </c>
      <c r="AA372" s="17" t="str">
        <f>IFERROR(__xludf.DUMMYFUNCTION("""COMPUTED_VALUE"""),"
")</f>
        <v>
</v>
      </c>
      <c r="AB372" s="17" t="str">
        <f>IFERROR(__xludf.DUMMYFUNCTION("""COMPUTED_VALUE"""),"
")</f>
        <v>
</v>
      </c>
      <c r="AC372" s="17" t="str">
        <f>IFERROR(__xludf.DUMMYFUNCTION("""COMPUTED_VALUE"""),"
")</f>
        <v>
</v>
      </c>
    </row>
    <row r="373">
      <c r="A373" s="17" t="str">
        <f>IFERROR(__xludf.DUMMYFUNCTION("""COMPUTED_VALUE"""),"Chapter 30: 24 Tech Work - Addendum Alec
Garage (Fast and Furious) 100:
You have a nice garage and parts supply. With a few days and some elbow grease, you could basically rebuild your car or cars from the bottom up; you probably have enough parts to keep"&amp;" someone else's ride running or give it an upgrade, too.
Facility")</f>
        <v>Chapter 30: 24 Tech Work - Addendum Alec
Garage (Fast and Furious) 100:
You have a nice garage and parts supply. With a few days and some elbow grease, you could basically rebuild your car or cars from the bottom up; you probably have enough parts to keep someone else's ride running or give it an upgrade, too.
Facility</v>
      </c>
      <c r="B373" s="17" t="str">
        <f>IFERROR(__xludf.DUMMYFUNCTION("""COMPUTED_VALUE"""),"Chapter 30: 24 Tech Work - Addendum Alec
The Vehicle (Fast and Furious) Free:
This object barely deserves the title of car, at least in your opinion. A Volkswagen Beetle, a Pinto, or a Yugo, this car technically meets all the criteria and is very cheap, b"&amp;"ut it would take a master mechanic and a driving god to let it rival even the worst other racers can bring to the table.
Vehicle")</f>
        <v>Chapter 30: 24 Tech Work - Addendum Alec
The Vehicle (Fast and Furious) Free:
This object barely deserves the title of car, at least in your opinion. A Volkswagen Beetle, a Pinto, or a Yugo, this car technically meets all the criteria and is very cheap, but it would take a master mechanic and a driving god to let it rival even the worst other racers can bring to the table.
Vehicle</v>
      </c>
      <c r="C373" s="17" t="str">
        <f>IFERROR(__xludf.DUMMYFUNCTION("""COMPUTED_VALUE"""),"
")</f>
        <v>
</v>
      </c>
      <c r="D373" s="17" t="str">
        <f>IFERROR(__xludf.DUMMYFUNCTION("""COMPUTED_VALUE"""),"
")</f>
        <v>
</v>
      </c>
      <c r="E373" s="17" t="str">
        <f>IFERROR(__xludf.DUMMYFUNCTION("""COMPUTED_VALUE"""),"
")</f>
        <v>
</v>
      </c>
      <c r="F373" s="17" t="str">
        <f>IFERROR(__xludf.DUMMYFUNCTION("""COMPUTED_VALUE"""),"
")</f>
        <v>
</v>
      </c>
      <c r="G373" s="17" t="str">
        <f>IFERROR(__xludf.DUMMYFUNCTION("""COMPUTED_VALUE"""),"
")</f>
        <v>
</v>
      </c>
      <c r="H373" s="17" t="str">
        <f>IFERROR(__xludf.DUMMYFUNCTION("""COMPUTED_VALUE"""),"
")</f>
        <v>
</v>
      </c>
      <c r="I373" s="17" t="str">
        <f>IFERROR(__xludf.DUMMYFUNCTION("""COMPUTED_VALUE"""),"
")</f>
        <v>
</v>
      </c>
      <c r="J373" s="17" t="str">
        <f>IFERROR(__xludf.DUMMYFUNCTION("""COMPUTED_VALUE"""),"
")</f>
        <v>
</v>
      </c>
      <c r="K373" s="17" t="str">
        <f>IFERROR(__xludf.DUMMYFUNCTION("""COMPUTED_VALUE"""),"
")</f>
        <v>
</v>
      </c>
      <c r="L373" s="17" t="str">
        <f>IFERROR(__xludf.DUMMYFUNCTION("""COMPUTED_VALUE"""),"
")</f>
        <v>
</v>
      </c>
      <c r="M373" s="17" t="str">
        <f>IFERROR(__xludf.DUMMYFUNCTION("""COMPUTED_VALUE"""),"
")</f>
        <v>
</v>
      </c>
      <c r="N373" s="17" t="str">
        <f>IFERROR(__xludf.DUMMYFUNCTION("""COMPUTED_VALUE"""),"
")</f>
        <v>
</v>
      </c>
      <c r="O373" s="17" t="str">
        <f>IFERROR(__xludf.DUMMYFUNCTION("""COMPUTED_VALUE"""),"
")</f>
        <v>
</v>
      </c>
      <c r="P373" s="17" t="str">
        <f>IFERROR(__xludf.DUMMYFUNCTION("""COMPUTED_VALUE"""),"
")</f>
        <v>
</v>
      </c>
      <c r="Q373" s="17" t="str">
        <f>IFERROR(__xludf.DUMMYFUNCTION("""COMPUTED_VALUE"""),"
")</f>
        <v>
</v>
      </c>
      <c r="R373" s="17" t="str">
        <f>IFERROR(__xludf.DUMMYFUNCTION("""COMPUTED_VALUE"""),"
")</f>
        <v>
</v>
      </c>
      <c r="S373" s="17" t="str">
        <f>IFERROR(__xludf.DUMMYFUNCTION("""COMPUTED_VALUE"""),"
")</f>
        <v>
</v>
      </c>
      <c r="T373" s="17" t="str">
        <f>IFERROR(__xludf.DUMMYFUNCTION("""COMPUTED_VALUE"""),"
")</f>
        <v>
</v>
      </c>
      <c r="U373" s="17" t="str">
        <f>IFERROR(__xludf.DUMMYFUNCTION("""COMPUTED_VALUE"""),"
")</f>
        <v>
</v>
      </c>
      <c r="V373" s="17" t="str">
        <f>IFERROR(__xludf.DUMMYFUNCTION("""COMPUTED_VALUE"""),"
")</f>
        <v>
</v>
      </c>
      <c r="W373" s="17" t="str">
        <f>IFERROR(__xludf.DUMMYFUNCTION("""COMPUTED_VALUE"""),"
")</f>
        <v>
</v>
      </c>
      <c r="X373" s="17" t="str">
        <f>IFERROR(__xludf.DUMMYFUNCTION("""COMPUTED_VALUE"""),"
")</f>
        <v>
</v>
      </c>
      <c r="Y373" s="17" t="str">
        <f>IFERROR(__xludf.DUMMYFUNCTION("""COMPUTED_VALUE"""),"
")</f>
        <v>
</v>
      </c>
      <c r="Z373" s="17" t="str">
        <f>IFERROR(__xludf.DUMMYFUNCTION("""COMPUTED_VALUE"""),"
")</f>
        <v>
</v>
      </c>
      <c r="AA373" s="17" t="str">
        <f>IFERROR(__xludf.DUMMYFUNCTION("""COMPUTED_VALUE"""),"
")</f>
        <v>
</v>
      </c>
      <c r="AB373" s="17" t="str">
        <f>IFERROR(__xludf.DUMMYFUNCTION("""COMPUTED_VALUE"""),"
")</f>
        <v>
</v>
      </c>
      <c r="AC373" s="17" t="str">
        <f>IFERROR(__xludf.DUMMYFUNCTION("""COMPUTED_VALUE"""),"
")</f>
        <v>
</v>
      </c>
    </row>
    <row r="374">
      <c r="A374" s="17" t="str">
        <f>IFERROR(__xludf.DUMMYFUNCTION("""COMPUTED_VALUE"""),"Chapter 36: 30 Crescendo - Addendum Missy
Volcanic Forge (God of War) 300:
The Smith God's power is great, but it is not by his will alone that his works are forged. There is also his tools to consider, and with this you have one such tool. Attached to y"&amp;"our Warehouse is a small volcano, a fiery beast that will never fade and never falter. Its power is great, reducing the time you need to break down metals and minerals, reworking them into new forms while increasing their quality and inherent strengths. S"&amp;"hould you choose, you may also take a significant hit in forging time to experiment with different metals and minerals, melting and combining them to create a different, newer resource with one quality from the second object in question. Rise, craftsman. "&amp;"Rise and begin your work.
Facility")</f>
        <v>Chapter 36: 30 Crescendo - Addendum Missy
Volcanic Forge (God of War) 300:
The Smith God's power is great, but it is not by his will alone that his works are forged. There is also his tools to consider, and with this you have one such tool. Attached to your Warehouse is a small volcano, a fiery beast that will never fade and never falter. Its power is great, reducing the time you need to break down metals and minerals, reworking them into new forms while increasing their quality and inherent strengths. Should you choose, you may also take a significant hit in forging time to experiment with different metals and minerals, melting and combining them to create a different, newer resource with one quality from the second object in question. Rise, craftsman. Rise and begin your work.
Facility</v>
      </c>
      <c r="B374" s="17" t="str">
        <f>IFERROR(__xludf.DUMMYFUNCTION("""COMPUTED_VALUE"""),"
")</f>
        <v>
</v>
      </c>
      <c r="C374" s="17" t="str">
        <f>IFERROR(__xludf.DUMMYFUNCTION("""COMPUTED_VALUE"""),"
")</f>
        <v>
</v>
      </c>
      <c r="D374" s="17" t="str">
        <f>IFERROR(__xludf.DUMMYFUNCTION("""COMPUTED_VALUE"""),"
")</f>
        <v>
</v>
      </c>
      <c r="E374" s="17" t="str">
        <f>IFERROR(__xludf.DUMMYFUNCTION("""COMPUTED_VALUE"""),"
")</f>
        <v>
</v>
      </c>
      <c r="F374" s="17" t="str">
        <f>IFERROR(__xludf.DUMMYFUNCTION("""COMPUTED_VALUE"""),"
")</f>
        <v>
</v>
      </c>
      <c r="G374" s="17" t="str">
        <f>IFERROR(__xludf.DUMMYFUNCTION("""COMPUTED_VALUE"""),"
")</f>
        <v>
</v>
      </c>
      <c r="H374" s="17" t="str">
        <f>IFERROR(__xludf.DUMMYFUNCTION("""COMPUTED_VALUE"""),"
")</f>
        <v>
</v>
      </c>
      <c r="I374" s="17" t="str">
        <f>IFERROR(__xludf.DUMMYFUNCTION("""COMPUTED_VALUE"""),"
")</f>
        <v>
</v>
      </c>
      <c r="J374" s="17" t="str">
        <f>IFERROR(__xludf.DUMMYFUNCTION("""COMPUTED_VALUE"""),"
")</f>
        <v>
</v>
      </c>
      <c r="K374" s="17" t="str">
        <f>IFERROR(__xludf.DUMMYFUNCTION("""COMPUTED_VALUE"""),"
")</f>
        <v>
</v>
      </c>
      <c r="L374" s="17" t="str">
        <f>IFERROR(__xludf.DUMMYFUNCTION("""COMPUTED_VALUE"""),"
")</f>
        <v>
</v>
      </c>
      <c r="M374" s="17" t="str">
        <f>IFERROR(__xludf.DUMMYFUNCTION("""COMPUTED_VALUE"""),"
")</f>
        <v>
</v>
      </c>
      <c r="N374" s="17" t="str">
        <f>IFERROR(__xludf.DUMMYFUNCTION("""COMPUTED_VALUE"""),"
")</f>
        <v>
</v>
      </c>
      <c r="O374" s="17" t="str">
        <f>IFERROR(__xludf.DUMMYFUNCTION("""COMPUTED_VALUE"""),"
")</f>
        <v>
</v>
      </c>
      <c r="P374" s="17" t="str">
        <f>IFERROR(__xludf.DUMMYFUNCTION("""COMPUTED_VALUE"""),"
")</f>
        <v>
</v>
      </c>
      <c r="Q374" s="17" t="str">
        <f>IFERROR(__xludf.DUMMYFUNCTION("""COMPUTED_VALUE"""),"
")</f>
        <v>
</v>
      </c>
      <c r="R374" s="17" t="str">
        <f>IFERROR(__xludf.DUMMYFUNCTION("""COMPUTED_VALUE"""),"
")</f>
        <v>
</v>
      </c>
      <c r="S374" s="17" t="str">
        <f>IFERROR(__xludf.DUMMYFUNCTION("""COMPUTED_VALUE"""),"
")</f>
        <v>
</v>
      </c>
      <c r="T374" s="17" t="str">
        <f>IFERROR(__xludf.DUMMYFUNCTION("""COMPUTED_VALUE"""),"
")</f>
        <v>
</v>
      </c>
      <c r="U374" s="17" t="str">
        <f>IFERROR(__xludf.DUMMYFUNCTION("""COMPUTED_VALUE"""),"
")</f>
        <v>
</v>
      </c>
      <c r="V374" s="17" t="str">
        <f>IFERROR(__xludf.DUMMYFUNCTION("""COMPUTED_VALUE"""),"
")</f>
        <v>
</v>
      </c>
      <c r="W374" s="17" t="str">
        <f>IFERROR(__xludf.DUMMYFUNCTION("""COMPUTED_VALUE"""),"
")</f>
        <v>
</v>
      </c>
      <c r="X374" s="17" t="str">
        <f>IFERROR(__xludf.DUMMYFUNCTION("""COMPUTED_VALUE"""),"
")</f>
        <v>
</v>
      </c>
      <c r="Y374" s="17" t="str">
        <f>IFERROR(__xludf.DUMMYFUNCTION("""COMPUTED_VALUE"""),"
")</f>
        <v>
</v>
      </c>
      <c r="Z374" s="17" t="str">
        <f>IFERROR(__xludf.DUMMYFUNCTION("""COMPUTED_VALUE"""),"
")</f>
        <v>
</v>
      </c>
      <c r="AA374" s="17" t="str">
        <f>IFERROR(__xludf.DUMMYFUNCTION("""COMPUTED_VALUE"""),"
")</f>
        <v>
</v>
      </c>
      <c r="AB374" s="17" t="str">
        <f>IFERROR(__xludf.DUMMYFUNCTION("""COMPUTED_VALUE"""),"
")</f>
        <v>
</v>
      </c>
      <c r="AC374" s="17" t="str">
        <f>IFERROR(__xludf.DUMMYFUNCTION("""COMPUTED_VALUE"""),"
")</f>
        <v>
</v>
      </c>
    </row>
    <row r="375">
      <c r="A375" s="17" t="str">
        <f>IFERROR(__xludf.DUMMYFUNCTION("""COMPUTED_VALUE"""),"")</f>
        <v/>
      </c>
      <c r="B375" s="17" t="str">
        <f>IFERROR(__xludf.DUMMYFUNCTION("""COMPUTED_VALUE"""),"")</f>
        <v/>
      </c>
      <c r="C375" s="17" t="str">
        <f>IFERROR(__xludf.DUMMYFUNCTION("""COMPUTED_VALUE"""),"")</f>
        <v/>
      </c>
      <c r="D375" s="17" t="str">
        <f>IFERROR(__xludf.DUMMYFUNCTION("""COMPUTED_VALUE"""),"")</f>
        <v/>
      </c>
      <c r="E375" s="17" t="str">
        <f>IFERROR(__xludf.DUMMYFUNCTION("""COMPUTED_VALUE"""),"")</f>
        <v/>
      </c>
      <c r="F375" s="17" t="str">
        <f>IFERROR(__xludf.DUMMYFUNCTION("""COMPUTED_VALUE"""),"")</f>
        <v/>
      </c>
      <c r="G375" s="17" t="str">
        <f>IFERROR(__xludf.DUMMYFUNCTION("""COMPUTED_VALUE"""),"")</f>
        <v/>
      </c>
      <c r="H375" s="17" t="str">
        <f>IFERROR(__xludf.DUMMYFUNCTION("""COMPUTED_VALUE"""),"")</f>
        <v/>
      </c>
      <c r="I375" s="17" t="str">
        <f>IFERROR(__xludf.DUMMYFUNCTION("""COMPUTED_VALUE"""),"")</f>
        <v/>
      </c>
      <c r="J375" s="17" t="str">
        <f>IFERROR(__xludf.DUMMYFUNCTION("""COMPUTED_VALUE"""),"")</f>
        <v/>
      </c>
      <c r="K375" s="17" t="str">
        <f>IFERROR(__xludf.DUMMYFUNCTION("""COMPUTED_VALUE"""),"")</f>
        <v/>
      </c>
      <c r="L375" s="17" t="str">
        <f>IFERROR(__xludf.DUMMYFUNCTION("""COMPUTED_VALUE"""),"")</f>
        <v/>
      </c>
      <c r="M375" s="17" t="str">
        <f>IFERROR(__xludf.DUMMYFUNCTION("""COMPUTED_VALUE"""),"")</f>
        <v/>
      </c>
      <c r="N375" s="17" t="str">
        <f>IFERROR(__xludf.DUMMYFUNCTION("""COMPUTED_VALUE"""),"")</f>
        <v/>
      </c>
      <c r="O375" s="17" t="str">
        <f>IFERROR(__xludf.DUMMYFUNCTION("""COMPUTED_VALUE"""),"")</f>
        <v/>
      </c>
      <c r="P375" s="17" t="str">
        <f>IFERROR(__xludf.DUMMYFUNCTION("""COMPUTED_VALUE"""),"")</f>
        <v/>
      </c>
      <c r="Q375" s="17" t="str">
        <f>IFERROR(__xludf.DUMMYFUNCTION("""COMPUTED_VALUE"""),"")</f>
        <v/>
      </c>
      <c r="R375" s="17" t="str">
        <f>IFERROR(__xludf.DUMMYFUNCTION("""COMPUTED_VALUE"""),"")</f>
        <v/>
      </c>
      <c r="S375" s="17" t="str">
        <f>IFERROR(__xludf.DUMMYFUNCTION("""COMPUTED_VALUE"""),"")</f>
        <v/>
      </c>
      <c r="T375" s="17" t="str">
        <f>IFERROR(__xludf.DUMMYFUNCTION("""COMPUTED_VALUE"""),"")</f>
        <v/>
      </c>
      <c r="U375" s="17" t="str">
        <f>IFERROR(__xludf.DUMMYFUNCTION("""COMPUTED_VALUE"""),"")</f>
        <v/>
      </c>
      <c r="V375" s="17" t="str">
        <f>IFERROR(__xludf.DUMMYFUNCTION("""COMPUTED_VALUE"""),"")</f>
        <v/>
      </c>
      <c r="W375" s="17" t="str">
        <f>IFERROR(__xludf.DUMMYFUNCTION("""COMPUTED_VALUE"""),"")</f>
        <v/>
      </c>
      <c r="X375" s="17" t="str">
        <f>IFERROR(__xludf.DUMMYFUNCTION("""COMPUTED_VALUE"""),"")</f>
        <v/>
      </c>
      <c r="Y375" s="17" t="str">
        <f>IFERROR(__xludf.DUMMYFUNCTION("""COMPUTED_VALUE"""),"")</f>
        <v/>
      </c>
      <c r="Z375" s="17" t="str">
        <f>IFERROR(__xludf.DUMMYFUNCTION("""COMPUTED_VALUE"""),"")</f>
        <v/>
      </c>
      <c r="AA375" s="17" t="str">
        <f>IFERROR(__xludf.DUMMYFUNCTION("""COMPUTED_VALUE"""),"")</f>
        <v/>
      </c>
      <c r="AB375" s="17" t="str">
        <f>IFERROR(__xludf.DUMMYFUNCTION("""COMPUTED_VALUE"""),"")</f>
        <v/>
      </c>
      <c r="AC375" s="17" t="str">
        <f>IFERROR(__xludf.DUMMYFUNCTION("""COMPUTED_VALUE"""),"")</f>
        <v/>
      </c>
    </row>
    <row r="376">
      <c r="A376" s="17" t="str">
        <f>IFERROR(__xludf.DUMMYFUNCTION("""COMPUTED_VALUE"""),"Chapter 26: 21 Closing Moves
Civilian Equipment Package (GUNNM/Battle Angel Alita) 100:
Cramped room in the Scrapyard, basic household belongings, clothing, one Heirloom Weapon for free. If you are employed, attached is enough space to setup a workshop, c"&amp;"linic, studio or whatnot.
Facility")</f>
        <v>Chapter 26: 21 Closing Moves
Civilian Equipment Package (GUNNM/Battle Angel Alita) 100:
Cramped room in the Scrapyard, basic household belongings, clothing, one Heirloom Weapon for free. If you are employed, attached is enough space to setup a workshop, clinic, studio or whatnot.
Facility</v>
      </c>
      <c r="B376" s="17" t="str">
        <f>IFERROR(__xludf.DUMMYFUNCTION("""COMPUTED_VALUE"""),"Chapter 26: 21 Closing Moves
Heirloom Weapon (GUNNM/Battle Angel Alita) Free with Civilian Equipment Package:
Everyone in the Scrapyard carries something. Yours is a lot better than most, something that an actual professional might carry. Firearms are ill"&amp;"egal on penalty of death - but outside the Scrapyard anything goes. As an heirloom, it has seen hundreds of years of loving use and its craftsmanship compares very well to modern technology. To the right person, it could be worth a lot.
Item")</f>
        <v>Chapter 26: 21 Closing Moves
Heirloom Weapon (GUNNM/Battle Angel Alita) Free with Civilian Equipment Package:
Everyone in the Scrapyard carries something. Yours is a lot better than most, something that an actual professional might carry. Firearms are illegal on penalty of death - but outside the Scrapyard anything goes. As an heirloom, it has seen hundreds of years of loving use and its craftsmanship compares very well to modern technology. To the right person, it could be worth a lot.
Item</v>
      </c>
      <c r="C376" s="17" t="str">
        <f>IFERROR(__xludf.DUMMYFUNCTION("""COMPUTED_VALUE"""),"Chapter 26: 21 Closing Moves
Cyber-doctor Equipment Package (GUNNM/Battle Angel Alita) 200:
As Medic, plus powered tools for cyborg disassembly and repair. Bulky diagnostic computer, ten kilograms of miscellaneous spare parts, very rare compact 3D fabrica"&amp;"tor capable of milling custom components and printing or repairing circuitry. Free Rocket Hammer.
Facility")</f>
        <v>Chapter 26: 21 Closing Moves
Cyber-doctor Equipment Package (GUNNM/Battle Angel Alita) 200:
As Medic, plus powered tools for cyborg disassembly and repair. Bulky diagnostic computer, ten kilograms of miscellaneous spare parts, very rare compact 3D fabricator capable of milling custom components and printing or repairing circuitry. Free Rocket Hammer.
Facility</v>
      </c>
      <c r="D376" s="17" t="str">
        <f>IFERROR(__xludf.DUMMYFUNCTION("""COMPUTED_VALUE"""),"Chapter 26: 21 Closing Moves
Medic Equipment Package (GUNNM/Battle Angel Alita) Free with Cyber-doctor Equipment Package:
One clean blood-and-dirt-repellent jumpsuit, facemask, kit equivalent to a modern first responder’s kit. Assorted drugs and painkille"&amp;"rs, and a few roughly bound texts on mutant and human care.
Item")</f>
        <v>Chapter 26: 21 Closing Moves
Medic Equipment Package (GUNNM/Battle Angel Alita) Free with Cyber-doctor Equipment Package:
One clean blood-and-dirt-repellent jumpsuit, facemask, kit equivalent to a modern first responder’s kit. Assorted drugs and painkillers, and a few roughly bound texts on mutant and human care.
Item</v>
      </c>
      <c r="E376" s="17" t="str">
        <f>IFERROR(__xludf.DUMMYFUNCTION("""COMPUTED_VALUE"""),"Chapter 26: 21 Closing Moves
Rocket Hammer (GUNNM/Battle Angel Alita) Free with Cyber-doctor Equipment Package:
A two-handed warhammer with chisel-shaped head mounting a rocket booster that activated by a switch on the shaft. It can be disassembled and co"&amp;"mes with a rolling case and replacement parts. A rare weapon in the Scrapyard, while very difficult to control it performs superbly against heavy cyborg armour and is fully legal despite the firearms ban.
Item")</f>
        <v>Chapter 26: 21 Closing Moves
Rocket Hammer (GUNNM/Battle Angel Alita) Free with Cyber-doctor Equipment Package:
A two-handed warhammer with chisel-shaped head mounting a rocket booster that activated by a switch on the shaft. It can be disassembled and comes with a rolling case and replacement parts. A rare weapon in the Scrapyard, while very difficult to control it performs superbly against heavy cyborg armour and is fully legal despite the firearms ban.
Item</v>
      </c>
      <c r="F376" s="17" t="str">
        <f>IFERROR(__xludf.DUMMYFUNCTION("""COMPUTED_VALUE"""),"Chapter 26: 21 Closing Moves
Single Style - T’ai Chi Chuan (GUNNM/Battle Angel Alita) Free:
Solid theoretical and practical experience of a single form of personal combat. In the wasteland, what martial arts survive are pragmatic descendants of old world "&amp;"teachings. In the Scrapyard however, there are genuine schools of combat, though they are often overlooked – most human styles are ineffective against the crudest cyborg brawler, and the emphasis is to strike fast and run away faster.
T’ai Chi Chuan –This"&amp;" art is rarely taken seriously, owing to its firm rooting in qigong breathing techniques and ideas about chi, internal balance and fluid control of defence and counterattacks that have little appeal to cyborg fighters. However many elements of it have inf"&amp;"luenced the most advanced cyborg combat styles, and the therapeutic version is popular enough with the elderly that the original forms survive.
Skill")</f>
        <v>Chapter 26: 21 Closing Moves
Single Style - T’ai Chi Chuan (GUNNM/Battle Angel Alita) Free:
Solid theoretical and practical experience of a single form of personal combat. In the wasteland, what martial arts survive are pragmatic descendants of old world teachings. In the Scrapyard however, there are genuine schools of combat, though they are often overlooked – most human styles are ineffective against the crudest cyborg brawler, and the emphasis is to strike fast and run away faster.
T’ai Chi Chuan –This art is rarely taken seriously, owing to its firm rooting in qigong breathing techniques and ideas about chi, internal balance and fluid control of defence and counterattacks that have little appeal to cyborg fighters. However many elements of it have influenced the most advanced cyborg combat styles, and the therapeutic version is popular enough with the elderly that the original forms survive.
Skill</v>
      </c>
      <c r="G376" s="17" t="str">
        <f>IFERROR(__xludf.DUMMYFUNCTION("""COMPUTED_VALUE"""),"
")</f>
        <v>
</v>
      </c>
      <c r="H376" s="17" t="str">
        <f>IFERROR(__xludf.DUMMYFUNCTION("""COMPUTED_VALUE"""),"
")</f>
        <v>
</v>
      </c>
      <c r="I376" s="17" t="str">
        <f>IFERROR(__xludf.DUMMYFUNCTION("""COMPUTED_VALUE"""),"
")</f>
        <v>
</v>
      </c>
      <c r="J376" s="17" t="str">
        <f>IFERROR(__xludf.DUMMYFUNCTION("""COMPUTED_VALUE"""),"
")</f>
        <v>
</v>
      </c>
      <c r="K376" s="17" t="str">
        <f>IFERROR(__xludf.DUMMYFUNCTION("""COMPUTED_VALUE"""),"
")</f>
        <v>
</v>
      </c>
      <c r="L376" s="17" t="str">
        <f>IFERROR(__xludf.DUMMYFUNCTION("""COMPUTED_VALUE"""),"
")</f>
        <v>
</v>
      </c>
      <c r="M376" s="17" t="str">
        <f>IFERROR(__xludf.DUMMYFUNCTION("""COMPUTED_VALUE"""),"
")</f>
        <v>
</v>
      </c>
      <c r="N376" s="17" t="str">
        <f>IFERROR(__xludf.DUMMYFUNCTION("""COMPUTED_VALUE"""),"
")</f>
        <v>
</v>
      </c>
      <c r="O376" s="17" t="str">
        <f>IFERROR(__xludf.DUMMYFUNCTION("""COMPUTED_VALUE"""),"
")</f>
        <v>
</v>
      </c>
      <c r="P376" s="17" t="str">
        <f>IFERROR(__xludf.DUMMYFUNCTION("""COMPUTED_VALUE"""),"
")</f>
        <v>
</v>
      </c>
      <c r="Q376" s="17" t="str">
        <f>IFERROR(__xludf.DUMMYFUNCTION("""COMPUTED_VALUE"""),"
")</f>
        <v>
</v>
      </c>
      <c r="R376" s="17" t="str">
        <f>IFERROR(__xludf.DUMMYFUNCTION("""COMPUTED_VALUE"""),"
")</f>
        <v>
</v>
      </c>
      <c r="S376" s="17" t="str">
        <f>IFERROR(__xludf.DUMMYFUNCTION("""COMPUTED_VALUE"""),"
")</f>
        <v>
</v>
      </c>
      <c r="T376" s="17" t="str">
        <f>IFERROR(__xludf.DUMMYFUNCTION("""COMPUTED_VALUE"""),"
")</f>
        <v>
</v>
      </c>
      <c r="U376" s="17" t="str">
        <f>IFERROR(__xludf.DUMMYFUNCTION("""COMPUTED_VALUE"""),"
")</f>
        <v>
</v>
      </c>
      <c r="V376" s="17" t="str">
        <f>IFERROR(__xludf.DUMMYFUNCTION("""COMPUTED_VALUE"""),"
")</f>
        <v>
</v>
      </c>
      <c r="W376" s="17" t="str">
        <f>IFERROR(__xludf.DUMMYFUNCTION("""COMPUTED_VALUE"""),"
")</f>
        <v>
</v>
      </c>
      <c r="X376" s="17" t="str">
        <f>IFERROR(__xludf.DUMMYFUNCTION("""COMPUTED_VALUE"""),"
")</f>
        <v>
</v>
      </c>
      <c r="Y376" s="17" t="str">
        <f>IFERROR(__xludf.DUMMYFUNCTION("""COMPUTED_VALUE"""),"
")</f>
        <v>
</v>
      </c>
      <c r="Z376" s="17" t="str">
        <f>IFERROR(__xludf.DUMMYFUNCTION("""COMPUTED_VALUE"""),"
")</f>
        <v>
</v>
      </c>
      <c r="AA376" s="17" t="str">
        <f>IFERROR(__xludf.DUMMYFUNCTION("""COMPUTED_VALUE"""),"
")</f>
        <v>
</v>
      </c>
      <c r="AB376" s="17" t="str">
        <f>IFERROR(__xludf.DUMMYFUNCTION("""COMPUTED_VALUE"""),"
")</f>
        <v>
</v>
      </c>
      <c r="AC376" s="17" t="str">
        <f>IFERROR(__xludf.DUMMYFUNCTION("""COMPUTED_VALUE"""),"
")</f>
        <v>
</v>
      </c>
    </row>
    <row r="377">
      <c r="A377" s="17" t="str">
        <f>IFERROR(__xludf.DUMMYFUNCTION("""COMPUTED_VALUE"""),"")</f>
        <v/>
      </c>
      <c r="B377" s="17" t="str">
        <f>IFERROR(__xludf.DUMMYFUNCTION("""COMPUTED_VALUE"""),"")</f>
        <v/>
      </c>
      <c r="C377" s="17" t="str">
        <f>IFERROR(__xludf.DUMMYFUNCTION("""COMPUTED_VALUE"""),"")</f>
        <v/>
      </c>
      <c r="D377" s="17" t="str">
        <f>IFERROR(__xludf.DUMMYFUNCTION("""COMPUTED_VALUE"""),"")</f>
        <v/>
      </c>
      <c r="E377" s="17" t="str">
        <f>IFERROR(__xludf.DUMMYFUNCTION("""COMPUTED_VALUE"""),"")</f>
        <v/>
      </c>
      <c r="F377" s="17" t="str">
        <f>IFERROR(__xludf.DUMMYFUNCTION("""COMPUTED_VALUE"""),"")</f>
        <v/>
      </c>
      <c r="G377" s="17" t="str">
        <f>IFERROR(__xludf.DUMMYFUNCTION("""COMPUTED_VALUE"""),"")</f>
        <v/>
      </c>
      <c r="H377" s="17" t="str">
        <f>IFERROR(__xludf.DUMMYFUNCTION("""COMPUTED_VALUE"""),"")</f>
        <v/>
      </c>
      <c r="I377" s="17" t="str">
        <f>IFERROR(__xludf.DUMMYFUNCTION("""COMPUTED_VALUE"""),"")</f>
        <v/>
      </c>
      <c r="J377" s="17" t="str">
        <f>IFERROR(__xludf.DUMMYFUNCTION("""COMPUTED_VALUE"""),"")</f>
        <v/>
      </c>
      <c r="K377" s="17" t="str">
        <f>IFERROR(__xludf.DUMMYFUNCTION("""COMPUTED_VALUE"""),"")</f>
        <v/>
      </c>
      <c r="L377" s="17" t="str">
        <f>IFERROR(__xludf.DUMMYFUNCTION("""COMPUTED_VALUE"""),"")</f>
        <v/>
      </c>
      <c r="M377" s="17" t="str">
        <f>IFERROR(__xludf.DUMMYFUNCTION("""COMPUTED_VALUE"""),"")</f>
        <v/>
      </c>
      <c r="N377" s="17" t="str">
        <f>IFERROR(__xludf.DUMMYFUNCTION("""COMPUTED_VALUE"""),"")</f>
        <v/>
      </c>
      <c r="O377" s="17" t="str">
        <f>IFERROR(__xludf.DUMMYFUNCTION("""COMPUTED_VALUE"""),"")</f>
        <v/>
      </c>
      <c r="P377" s="17" t="str">
        <f>IFERROR(__xludf.DUMMYFUNCTION("""COMPUTED_VALUE"""),"")</f>
        <v/>
      </c>
      <c r="Q377" s="17" t="str">
        <f>IFERROR(__xludf.DUMMYFUNCTION("""COMPUTED_VALUE"""),"")</f>
        <v/>
      </c>
      <c r="R377" s="17" t="str">
        <f>IFERROR(__xludf.DUMMYFUNCTION("""COMPUTED_VALUE"""),"")</f>
        <v/>
      </c>
      <c r="S377" s="17" t="str">
        <f>IFERROR(__xludf.DUMMYFUNCTION("""COMPUTED_VALUE"""),"")</f>
        <v/>
      </c>
      <c r="T377" s="17" t="str">
        <f>IFERROR(__xludf.DUMMYFUNCTION("""COMPUTED_VALUE"""),"")</f>
        <v/>
      </c>
      <c r="U377" s="17" t="str">
        <f>IFERROR(__xludf.DUMMYFUNCTION("""COMPUTED_VALUE"""),"")</f>
        <v/>
      </c>
      <c r="V377" s="17" t="str">
        <f>IFERROR(__xludf.DUMMYFUNCTION("""COMPUTED_VALUE"""),"")</f>
        <v/>
      </c>
      <c r="W377" s="17" t="str">
        <f>IFERROR(__xludf.DUMMYFUNCTION("""COMPUTED_VALUE"""),"")</f>
        <v/>
      </c>
      <c r="X377" s="17" t="str">
        <f>IFERROR(__xludf.DUMMYFUNCTION("""COMPUTED_VALUE"""),"")</f>
        <v/>
      </c>
      <c r="Y377" s="17" t="str">
        <f>IFERROR(__xludf.DUMMYFUNCTION("""COMPUTED_VALUE"""),"")</f>
        <v/>
      </c>
      <c r="Z377" s="17" t="str">
        <f>IFERROR(__xludf.DUMMYFUNCTION("""COMPUTED_VALUE"""),"")</f>
        <v/>
      </c>
      <c r="AA377" s="17" t="str">
        <f>IFERROR(__xludf.DUMMYFUNCTION("""COMPUTED_VALUE"""),"")</f>
        <v/>
      </c>
      <c r="AB377" s="17" t="str">
        <f>IFERROR(__xludf.DUMMYFUNCTION("""COMPUTED_VALUE"""),"")</f>
        <v/>
      </c>
      <c r="AC377" s="17" t="str">
        <f>IFERROR(__xludf.DUMMYFUNCTION("""COMPUTED_VALUE"""),"")</f>
        <v/>
      </c>
    </row>
    <row r="378">
      <c r="A378" s="17" t="str">
        <f>IFERROR(__xludf.DUMMYFUNCTION("""COMPUTED_VALUE"""),"")</f>
        <v/>
      </c>
      <c r="B378" s="17" t="str">
        <f>IFERROR(__xludf.DUMMYFUNCTION("""COMPUTED_VALUE"""),"")</f>
        <v/>
      </c>
      <c r="C378" s="17" t="str">
        <f>IFERROR(__xludf.DUMMYFUNCTION("""COMPUTED_VALUE"""),"")</f>
        <v/>
      </c>
      <c r="D378" s="17" t="str">
        <f>IFERROR(__xludf.DUMMYFUNCTION("""COMPUTED_VALUE"""),"")</f>
        <v/>
      </c>
      <c r="E378" s="17" t="str">
        <f>IFERROR(__xludf.DUMMYFUNCTION("""COMPUTED_VALUE"""),"")</f>
        <v/>
      </c>
      <c r="F378" s="17" t="str">
        <f>IFERROR(__xludf.DUMMYFUNCTION("""COMPUTED_VALUE"""),"")</f>
        <v/>
      </c>
      <c r="G378" s="17" t="str">
        <f>IFERROR(__xludf.DUMMYFUNCTION("""COMPUTED_VALUE"""),"")</f>
        <v/>
      </c>
      <c r="H378" s="17" t="str">
        <f>IFERROR(__xludf.DUMMYFUNCTION("""COMPUTED_VALUE"""),"")</f>
        <v/>
      </c>
      <c r="I378" s="17" t="str">
        <f>IFERROR(__xludf.DUMMYFUNCTION("""COMPUTED_VALUE"""),"")</f>
        <v/>
      </c>
      <c r="J378" s="17" t="str">
        <f>IFERROR(__xludf.DUMMYFUNCTION("""COMPUTED_VALUE"""),"")</f>
        <v/>
      </c>
      <c r="K378" s="17" t="str">
        <f>IFERROR(__xludf.DUMMYFUNCTION("""COMPUTED_VALUE"""),"")</f>
        <v/>
      </c>
      <c r="L378" s="17" t="str">
        <f>IFERROR(__xludf.DUMMYFUNCTION("""COMPUTED_VALUE"""),"")</f>
        <v/>
      </c>
      <c r="M378" s="17" t="str">
        <f>IFERROR(__xludf.DUMMYFUNCTION("""COMPUTED_VALUE"""),"")</f>
        <v/>
      </c>
      <c r="N378" s="17" t="str">
        <f>IFERROR(__xludf.DUMMYFUNCTION("""COMPUTED_VALUE"""),"")</f>
        <v/>
      </c>
      <c r="O378" s="17" t="str">
        <f>IFERROR(__xludf.DUMMYFUNCTION("""COMPUTED_VALUE"""),"")</f>
        <v/>
      </c>
      <c r="P378" s="17" t="str">
        <f>IFERROR(__xludf.DUMMYFUNCTION("""COMPUTED_VALUE"""),"")</f>
        <v/>
      </c>
      <c r="Q378" s="17" t="str">
        <f>IFERROR(__xludf.DUMMYFUNCTION("""COMPUTED_VALUE"""),"")</f>
        <v/>
      </c>
      <c r="R378" s="17" t="str">
        <f>IFERROR(__xludf.DUMMYFUNCTION("""COMPUTED_VALUE"""),"")</f>
        <v/>
      </c>
      <c r="S378" s="17" t="str">
        <f>IFERROR(__xludf.DUMMYFUNCTION("""COMPUTED_VALUE"""),"")</f>
        <v/>
      </c>
      <c r="T378" s="17" t="str">
        <f>IFERROR(__xludf.DUMMYFUNCTION("""COMPUTED_VALUE"""),"")</f>
        <v/>
      </c>
      <c r="U378" s="17" t="str">
        <f>IFERROR(__xludf.DUMMYFUNCTION("""COMPUTED_VALUE"""),"")</f>
        <v/>
      </c>
      <c r="V378" s="17" t="str">
        <f>IFERROR(__xludf.DUMMYFUNCTION("""COMPUTED_VALUE"""),"")</f>
        <v/>
      </c>
      <c r="W378" s="17" t="str">
        <f>IFERROR(__xludf.DUMMYFUNCTION("""COMPUTED_VALUE"""),"")</f>
        <v/>
      </c>
      <c r="X378" s="17" t="str">
        <f>IFERROR(__xludf.DUMMYFUNCTION("""COMPUTED_VALUE"""),"")</f>
        <v/>
      </c>
      <c r="Y378" s="17" t="str">
        <f>IFERROR(__xludf.DUMMYFUNCTION("""COMPUTED_VALUE"""),"")</f>
        <v/>
      </c>
      <c r="Z378" s="17" t="str">
        <f>IFERROR(__xludf.DUMMYFUNCTION("""COMPUTED_VALUE"""),"")</f>
        <v/>
      </c>
      <c r="AA378" s="17" t="str">
        <f>IFERROR(__xludf.DUMMYFUNCTION("""COMPUTED_VALUE"""),"")</f>
        <v/>
      </c>
      <c r="AB378" s="17" t="str">
        <f>IFERROR(__xludf.DUMMYFUNCTION("""COMPUTED_VALUE"""),"")</f>
        <v/>
      </c>
      <c r="AC378" s="17" t="str">
        <f>IFERROR(__xludf.DUMMYFUNCTION("""COMPUTED_VALUE"""),"")</f>
        <v/>
      </c>
    </row>
    <row r="379">
      <c r="A379" s="17" t="str">
        <f>IFERROR(__xludf.DUMMYFUNCTION("""COMPUTED_VALUE"""),"Chapter 66: 51 Lunchtime
Crucible of Eight Trigrams (Journey to the West) 500:
A big ass crucible that can render down *most* objects into their base components. Magic and enchantments can be removed this way and used for later experiments, although this "&amp;"will take some time to accomplish and is not an exact science. You can’t use it to break down living creatures.
Facility")</f>
        <v>Chapter 66: 51 Lunchtime
Crucible of Eight Trigrams (Journey to the West) 500:
A big ass crucible that can render down *most* objects into their base components. Magic and enchantments can be removed this way and used for later experiments, although this will take some time to accomplish and is not an exact science. You can’t use it to break down living creatures.
Facility</v>
      </c>
      <c r="B379" s="17" t="str">
        <f>IFERROR(__xludf.DUMMYFUNCTION("""COMPUTED_VALUE"""),"
")</f>
        <v>
</v>
      </c>
      <c r="C379" s="17" t="str">
        <f>IFERROR(__xludf.DUMMYFUNCTION("""COMPUTED_VALUE"""),"
")</f>
        <v>
</v>
      </c>
      <c r="D379" s="17" t="str">
        <f>IFERROR(__xludf.DUMMYFUNCTION("""COMPUTED_VALUE"""),"
")</f>
        <v>
</v>
      </c>
      <c r="E379" s="17" t="str">
        <f>IFERROR(__xludf.DUMMYFUNCTION("""COMPUTED_VALUE"""),"
")</f>
        <v>
</v>
      </c>
      <c r="F379" s="17" t="str">
        <f>IFERROR(__xludf.DUMMYFUNCTION("""COMPUTED_VALUE"""),"
")</f>
        <v>
</v>
      </c>
      <c r="G379" s="17" t="str">
        <f>IFERROR(__xludf.DUMMYFUNCTION("""COMPUTED_VALUE"""),"
")</f>
        <v>
</v>
      </c>
      <c r="H379" s="17" t="str">
        <f>IFERROR(__xludf.DUMMYFUNCTION("""COMPUTED_VALUE"""),"
")</f>
        <v>
</v>
      </c>
      <c r="I379" s="17" t="str">
        <f>IFERROR(__xludf.DUMMYFUNCTION("""COMPUTED_VALUE"""),"
")</f>
        <v>
</v>
      </c>
      <c r="J379" s="17" t="str">
        <f>IFERROR(__xludf.DUMMYFUNCTION("""COMPUTED_VALUE"""),"
")</f>
        <v>
</v>
      </c>
      <c r="K379" s="17" t="str">
        <f>IFERROR(__xludf.DUMMYFUNCTION("""COMPUTED_VALUE"""),"
")</f>
        <v>
</v>
      </c>
      <c r="L379" s="17" t="str">
        <f>IFERROR(__xludf.DUMMYFUNCTION("""COMPUTED_VALUE"""),"
")</f>
        <v>
</v>
      </c>
      <c r="M379" s="17" t="str">
        <f>IFERROR(__xludf.DUMMYFUNCTION("""COMPUTED_VALUE"""),"
")</f>
        <v>
</v>
      </c>
      <c r="N379" s="17" t="str">
        <f>IFERROR(__xludf.DUMMYFUNCTION("""COMPUTED_VALUE"""),"
")</f>
        <v>
</v>
      </c>
      <c r="O379" s="17" t="str">
        <f>IFERROR(__xludf.DUMMYFUNCTION("""COMPUTED_VALUE"""),"
")</f>
        <v>
</v>
      </c>
      <c r="P379" s="17" t="str">
        <f>IFERROR(__xludf.DUMMYFUNCTION("""COMPUTED_VALUE"""),"
")</f>
        <v>
</v>
      </c>
      <c r="Q379" s="17" t="str">
        <f>IFERROR(__xludf.DUMMYFUNCTION("""COMPUTED_VALUE"""),"
")</f>
        <v>
</v>
      </c>
      <c r="R379" s="17" t="str">
        <f>IFERROR(__xludf.DUMMYFUNCTION("""COMPUTED_VALUE"""),"
")</f>
        <v>
</v>
      </c>
      <c r="S379" s="17" t="str">
        <f>IFERROR(__xludf.DUMMYFUNCTION("""COMPUTED_VALUE"""),"
")</f>
        <v>
</v>
      </c>
      <c r="T379" s="17" t="str">
        <f>IFERROR(__xludf.DUMMYFUNCTION("""COMPUTED_VALUE"""),"
")</f>
        <v>
</v>
      </c>
      <c r="U379" s="17" t="str">
        <f>IFERROR(__xludf.DUMMYFUNCTION("""COMPUTED_VALUE"""),"
")</f>
        <v>
</v>
      </c>
      <c r="V379" s="17" t="str">
        <f>IFERROR(__xludf.DUMMYFUNCTION("""COMPUTED_VALUE"""),"
")</f>
        <v>
</v>
      </c>
      <c r="W379" s="17" t="str">
        <f>IFERROR(__xludf.DUMMYFUNCTION("""COMPUTED_VALUE"""),"
")</f>
        <v>
</v>
      </c>
      <c r="X379" s="17" t="str">
        <f>IFERROR(__xludf.DUMMYFUNCTION("""COMPUTED_VALUE"""),"
")</f>
        <v>
</v>
      </c>
      <c r="Y379" s="17" t="str">
        <f>IFERROR(__xludf.DUMMYFUNCTION("""COMPUTED_VALUE"""),"
")</f>
        <v>
</v>
      </c>
      <c r="Z379" s="17" t="str">
        <f>IFERROR(__xludf.DUMMYFUNCTION("""COMPUTED_VALUE"""),"
")</f>
        <v>
</v>
      </c>
      <c r="AA379" s="17" t="str">
        <f>IFERROR(__xludf.DUMMYFUNCTION("""COMPUTED_VALUE"""),"
")</f>
        <v>
</v>
      </c>
      <c r="AB379" s="17" t="str">
        <f>IFERROR(__xludf.DUMMYFUNCTION("""COMPUTED_VALUE"""),"
")</f>
        <v>
</v>
      </c>
      <c r="AC379" s="17" t="str">
        <f>IFERROR(__xludf.DUMMYFUNCTION("""COMPUTED_VALUE"""),"
")</f>
        <v>
</v>
      </c>
    </row>
    <row r="380">
      <c r="A380" s="17" t="str">
        <f>IFERROR(__xludf.DUMMYFUNCTION("""COMPUTED_VALUE"""),"")</f>
        <v/>
      </c>
      <c r="B380" s="17" t="str">
        <f>IFERROR(__xludf.DUMMYFUNCTION("""COMPUTED_VALUE"""),"")</f>
        <v/>
      </c>
      <c r="C380" s="17" t="str">
        <f>IFERROR(__xludf.DUMMYFUNCTION("""COMPUTED_VALUE"""),"")</f>
        <v/>
      </c>
      <c r="D380" s="17" t="str">
        <f>IFERROR(__xludf.DUMMYFUNCTION("""COMPUTED_VALUE"""),"")</f>
        <v/>
      </c>
      <c r="E380" s="17" t="str">
        <f>IFERROR(__xludf.DUMMYFUNCTION("""COMPUTED_VALUE"""),"")</f>
        <v/>
      </c>
      <c r="F380" s="17" t="str">
        <f>IFERROR(__xludf.DUMMYFUNCTION("""COMPUTED_VALUE"""),"")</f>
        <v/>
      </c>
      <c r="G380" s="17" t="str">
        <f>IFERROR(__xludf.DUMMYFUNCTION("""COMPUTED_VALUE"""),"")</f>
        <v/>
      </c>
      <c r="H380" s="17" t="str">
        <f>IFERROR(__xludf.DUMMYFUNCTION("""COMPUTED_VALUE"""),"")</f>
        <v/>
      </c>
      <c r="I380" s="17" t="str">
        <f>IFERROR(__xludf.DUMMYFUNCTION("""COMPUTED_VALUE"""),"")</f>
        <v/>
      </c>
      <c r="J380" s="17" t="str">
        <f>IFERROR(__xludf.DUMMYFUNCTION("""COMPUTED_VALUE"""),"")</f>
        <v/>
      </c>
      <c r="K380" s="17" t="str">
        <f>IFERROR(__xludf.DUMMYFUNCTION("""COMPUTED_VALUE"""),"")</f>
        <v/>
      </c>
      <c r="L380" s="17" t="str">
        <f>IFERROR(__xludf.DUMMYFUNCTION("""COMPUTED_VALUE"""),"")</f>
        <v/>
      </c>
      <c r="M380" s="17" t="str">
        <f>IFERROR(__xludf.DUMMYFUNCTION("""COMPUTED_VALUE"""),"")</f>
        <v/>
      </c>
      <c r="N380" s="17" t="str">
        <f>IFERROR(__xludf.DUMMYFUNCTION("""COMPUTED_VALUE"""),"")</f>
        <v/>
      </c>
      <c r="O380" s="17" t="str">
        <f>IFERROR(__xludf.DUMMYFUNCTION("""COMPUTED_VALUE"""),"")</f>
        <v/>
      </c>
      <c r="P380" s="17" t="str">
        <f>IFERROR(__xludf.DUMMYFUNCTION("""COMPUTED_VALUE"""),"")</f>
        <v/>
      </c>
      <c r="Q380" s="17" t="str">
        <f>IFERROR(__xludf.DUMMYFUNCTION("""COMPUTED_VALUE"""),"")</f>
        <v/>
      </c>
      <c r="R380" s="17" t="str">
        <f>IFERROR(__xludf.DUMMYFUNCTION("""COMPUTED_VALUE"""),"")</f>
        <v/>
      </c>
      <c r="S380" s="17" t="str">
        <f>IFERROR(__xludf.DUMMYFUNCTION("""COMPUTED_VALUE"""),"")</f>
        <v/>
      </c>
      <c r="T380" s="17" t="str">
        <f>IFERROR(__xludf.DUMMYFUNCTION("""COMPUTED_VALUE"""),"")</f>
        <v/>
      </c>
      <c r="U380" s="17" t="str">
        <f>IFERROR(__xludf.DUMMYFUNCTION("""COMPUTED_VALUE"""),"")</f>
        <v/>
      </c>
      <c r="V380" s="17" t="str">
        <f>IFERROR(__xludf.DUMMYFUNCTION("""COMPUTED_VALUE"""),"")</f>
        <v/>
      </c>
      <c r="W380" s="17" t="str">
        <f>IFERROR(__xludf.DUMMYFUNCTION("""COMPUTED_VALUE"""),"")</f>
        <v/>
      </c>
      <c r="X380" s="17" t="str">
        <f>IFERROR(__xludf.DUMMYFUNCTION("""COMPUTED_VALUE"""),"")</f>
        <v/>
      </c>
      <c r="Y380" s="17" t="str">
        <f>IFERROR(__xludf.DUMMYFUNCTION("""COMPUTED_VALUE"""),"")</f>
        <v/>
      </c>
      <c r="Z380" s="17" t="str">
        <f>IFERROR(__xludf.DUMMYFUNCTION("""COMPUTED_VALUE"""),"")</f>
        <v/>
      </c>
      <c r="AA380" s="17" t="str">
        <f>IFERROR(__xludf.DUMMYFUNCTION("""COMPUTED_VALUE"""),"")</f>
        <v/>
      </c>
      <c r="AB380" s="17" t="str">
        <f>IFERROR(__xludf.DUMMYFUNCTION("""COMPUTED_VALUE"""),"")</f>
        <v/>
      </c>
      <c r="AC380" s="17" t="str">
        <f>IFERROR(__xludf.DUMMYFUNCTION("""COMPUTED_VALUE"""),"")</f>
        <v/>
      </c>
    </row>
    <row r="381">
      <c r="A381" s="17" t="str">
        <f>IFERROR(__xludf.DUMMYFUNCTION("""COMPUTED_VALUE"""),"Chapter 39: 33 Morning Training - Preamble James - Addendum Youth Guard
Tool Kit (Macross) 100:
Woah now, Sonny Jim! You don't expect to fix that machine with your bare fingers, do you? Don't go anywhere without the equipment you need to make sure that te"&amp;"ch keeps on trucking! A handy dandy set of tools to accommodate for maintaining Variable Fighters. This will make things easier if you want to keep things in shape or just want to poke around and see what's inside!
Item")</f>
        <v>Chapter 39: 33 Morning Training - Preamble James - Addendum Youth Guard
Tool Kit (Macross) 100:
Woah now, Sonny Jim! You don't expect to fix that machine with your bare fingers, do you? Don't go anywhere without the equipment you need to make sure that tech keeps on trucking! A handy dandy set of tools to accommodate for maintaining Variable Fighters. This will make things easier if you want to keep things in shape or just want to poke around and see what's inside!
Item</v>
      </c>
      <c r="B381" s="17" t="str">
        <f>IFERROR(__xludf.DUMMYFUNCTION("""COMPUTED_VALUE"""),"Chapter 39: 33 Morning Training - Preamble James - Addendum Youth Guard
Serene Sinatra (Macross) Free:
You're no slouch in the singing department, that's for sure. You may not be popular idol material, but no one's going to complain if you decide to sing "&amp;"along to a song or randomly bust out a tune with a voice like this. Who knows, maybe you could practice and get a little better?
Skill")</f>
        <v>Chapter 39: 33 Morning Training - Preamble James - Addendum Youth Guard
Serene Sinatra (Macross) Free:
You're no slouch in the singing department, that's for sure. You may not be popular idol material, but no one's going to complain if you decide to sing along to a song or randomly bust out a tune with a voice like this. Who knows, maybe you could practice and get a little better?
Skill</v>
      </c>
      <c r="C381" s="17" t="str">
        <f>IFERROR(__xludf.DUMMYFUNCTION("""COMPUTED_VALUE"""),"Chapter 39: 33 Morning Training - Preamble James - Addendum Youth Guard
Basic Training (Macross) Free:
Piloting a Variable Fighter can be pretty complex. There's all kinds of modes and maneuvers to worry about... with this, you won't have to worry so much"&amp;". You'll know which button does what, and you won't end up turning into a mech when you need a jet. ...but I reserve the right to laugh if you mess up anyway
Skill")</f>
        <v>Chapter 39: 33 Morning Training - Preamble James - Addendum Youth Guard
Basic Training (Macross) Free:
Piloting a Variable Fighter can be pretty complex. There's all kinds of modes and maneuvers to worry about... with this, you won't have to worry so much. You'll know which button does what, and you won't end up turning into a mech when you need a jet. ...but I reserve the right to laugh if you mess up anyway
Skill</v>
      </c>
      <c r="D381" s="17" t="str">
        <f>IFERROR(__xludf.DUMMYFUNCTION("""COMPUTED_VALUE"""),"Chapter 39: 33 Morning Training - Preamble James - Addendum Youth Guard
Space Suit (Macross) Free:
A futuristic, spandex space suit that will let you survive for 20 minutes in deep space. It's really more in case your vehicle gets stranded, but otherwise "&amp;"it's pretty darn cool looking.
Item")</f>
        <v>Chapter 39: 33 Morning Training - Preamble James - Addendum Youth Guard
Space Suit (Macross) Free:
A futuristic, spandex space suit that will let you survive for 20 minutes in deep space. It's really more in case your vehicle gets stranded, but otherwise it's pretty darn cool looking.
Item</v>
      </c>
      <c r="E381" s="17" t="str">
        <f>IFERROR(__xludf.DUMMYFUNCTION("""COMPUTED_VALUE"""),"Chapter 39: 33 Morning Training - Preamble James - Addendum Youth Guard
Basic Variable Fighter (Macross) Free:
Your good ol' Fisher Price Veritechs! They may be the beginning, but they're classics and were the groundwork for future generations. Editions l"&amp;"ike the VF-1A Valkyrie (or its other variants), the YF-4, VF-2SS or the VF-4 Lightning III are made available for your stay here. It can transform in the atmosphere and operate in space, but it cannot reach escape velocity on its own. Comes with basic arm"&amp;"aments and like all Variable Fighters can transform into a Jet, a Mech, or a 'middle' form called Guardian Mode.
Vehicle, System")</f>
        <v>Chapter 39: 33 Morning Training - Preamble James - Addendum Youth Guard
Basic Variable Fighter (Macross) Free:
Your good ol' Fisher Price Veritechs! They may be the beginning, but they're classics and were the groundwork for future generations. Editions like the VF-1A Valkyrie (or its other variants), the YF-4, VF-2SS or the VF-4 Lightning III are made available for your stay here. It can transform in the atmosphere and operate in space, but it cannot reach escape velocity on its own. Comes with basic armaments and like all Variable Fighters can transform into a Jet, a Mech, or a 'middle' form called Guardian Mode.
Vehicle, System</v>
      </c>
      <c r="F381" s="17" t="str">
        <f>IFERROR(__xludf.DUMMYFUNCTION("""COMPUTED_VALUE"""),"
")</f>
        <v>
</v>
      </c>
      <c r="G381" s="17" t="str">
        <f>IFERROR(__xludf.DUMMYFUNCTION("""COMPUTED_VALUE"""),"
")</f>
        <v>
</v>
      </c>
      <c r="H381" s="17" t="str">
        <f>IFERROR(__xludf.DUMMYFUNCTION("""COMPUTED_VALUE"""),"
")</f>
        <v>
</v>
      </c>
      <c r="I381" s="17" t="str">
        <f>IFERROR(__xludf.DUMMYFUNCTION("""COMPUTED_VALUE"""),"
")</f>
        <v>
</v>
      </c>
      <c r="J381" s="17" t="str">
        <f>IFERROR(__xludf.DUMMYFUNCTION("""COMPUTED_VALUE"""),"
")</f>
        <v>
</v>
      </c>
      <c r="K381" s="17" t="str">
        <f>IFERROR(__xludf.DUMMYFUNCTION("""COMPUTED_VALUE"""),"
")</f>
        <v>
</v>
      </c>
      <c r="L381" s="17" t="str">
        <f>IFERROR(__xludf.DUMMYFUNCTION("""COMPUTED_VALUE"""),"
")</f>
        <v>
</v>
      </c>
      <c r="M381" s="17" t="str">
        <f>IFERROR(__xludf.DUMMYFUNCTION("""COMPUTED_VALUE"""),"
")</f>
        <v>
</v>
      </c>
      <c r="N381" s="17" t="str">
        <f>IFERROR(__xludf.DUMMYFUNCTION("""COMPUTED_VALUE"""),"
")</f>
        <v>
</v>
      </c>
      <c r="O381" s="17" t="str">
        <f>IFERROR(__xludf.DUMMYFUNCTION("""COMPUTED_VALUE"""),"
")</f>
        <v>
</v>
      </c>
      <c r="P381" s="17" t="str">
        <f>IFERROR(__xludf.DUMMYFUNCTION("""COMPUTED_VALUE"""),"
")</f>
        <v>
</v>
      </c>
      <c r="Q381" s="17" t="str">
        <f>IFERROR(__xludf.DUMMYFUNCTION("""COMPUTED_VALUE"""),"
")</f>
        <v>
</v>
      </c>
      <c r="R381" s="17" t="str">
        <f>IFERROR(__xludf.DUMMYFUNCTION("""COMPUTED_VALUE"""),"
")</f>
        <v>
</v>
      </c>
      <c r="S381" s="17" t="str">
        <f>IFERROR(__xludf.DUMMYFUNCTION("""COMPUTED_VALUE"""),"
")</f>
        <v>
</v>
      </c>
      <c r="T381" s="17" t="str">
        <f>IFERROR(__xludf.DUMMYFUNCTION("""COMPUTED_VALUE"""),"
")</f>
        <v>
</v>
      </c>
      <c r="U381" s="17" t="str">
        <f>IFERROR(__xludf.DUMMYFUNCTION("""COMPUTED_VALUE"""),"
")</f>
        <v>
</v>
      </c>
      <c r="V381" s="17" t="str">
        <f>IFERROR(__xludf.DUMMYFUNCTION("""COMPUTED_VALUE"""),"
")</f>
        <v>
</v>
      </c>
      <c r="W381" s="17" t="str">
        <f>IFERROR(__xludf.DUMMYFUNCTION("""COMPUTED_VALUE"""),"
")</f>
        <v>
</v>
      </c>
      <c r="X381" s="17" t="str">
        <f>IFERROR(__xludf.DUMMYFUNCTION("""COMPUTED_VALUE"""),"
")</f>
        <v>
</v>
      </c>
      <c r="Y381" s="17" t="str">
        <f>IFERROR(__xludf.DUMMYFUNCTION("""COMPUTED_VALUE"""),"
")</f>
        <v>
</v>
      </c>
      <c r="Z381" s="17" t="str">
        <f>IFERROR(__xludf.DUMMYFUNCTION("""COMPUTED_VALUE"""),"
")</f>
        <v>
</v>
      </c>
      <c r="AA381" s="17" t="str">
        <f>IFERROR(__xludf.DUMMYFUNCTION("""COMPUTED_VALUE"""),"
")</f>
        <v>
</v>
      </c>
      <c r="AB381" s="17" t="str">
        <f>IFERROR(__xludf.DUMMYFUNCTION("""COMPUTED_VALUE"""),"
")</f>
        <v>
</v>
      </c>
      <c r="AC381" s="17" t="str">
        <f>IFERROR(__xludf.DUMMYFUNCTION("""COMPUTED_VALUE"""),"
")</f>
        <v>
</v>
      </c>
    </row>
    <row r="382">
      <c r="A382" s="17" t="str">
        <f>IFERROR(__xludf.DUMMYFUNCTION("""COMPUTED_VALUE"""),"Chapter 19: 15 Recuperation
Class and Specialization (Mass Effect) 100:
You will get enough training in your class to be considered an asset to any team. Not to the point of being a keystone. You are considered to be to a similar level when it comes to yo"&amp;"ur specialization. Specializations are various apexes that can be reached. You also get a set of gear per your two choices.
Class: Engineer
Engineers are pure technology specialists. Although they lack the implants that most other classes wield, they make"&amp;" up for it with their high-spec military grade omni-tools, capable of bypassing shields and armor or incapacitating robotic targets and some synthetics. They can deploy combat drones to harass enemies.
Specialization: Mechanic
A more purely focus Engineer"&amp;". From fighters and frigates to Mass Effect fields and automated machines, you know your way around and are aside fairly versed in mechanical theory. You might not know how to build something, but you can almost certainly figure it out with time.
Skill, S"&amp;"ystem, Item")</f>
        <v>Chapter 19: 15 Recuperation
Class and Specialization (Mass Effect) 100:
You will get enough training in your class to be considered an asset to any team. Not to the point of being a keystone. You are considered to be to a similar level when it comes to your specialization. Specializations are various apexes that can be reached. You also get a set of gear per your two choices.
Class: Engineer
Engineers are pure technology specialists. Although they lack the implants that most other classes wield, they make up for it with their high-spec military grade omni-tools, capable of bypassing shields and armor or incapacitating robotic targets and some synthetics. They can deploy combat drones to harass enemies.
Specialization: Mechanic
A more purely focus Engineer. From fighters and frigates to Mass Effect fields and automated machines, you know your way around and are aside fairly versed in mechanical theory. You might not know how to build something, but you can almost certainly figure it out with time.
Skill, System, Item</v>
      </c>
      <c r="B382" s="17" t="str">
        <f>IFERROR(__xludf.DUMMYFUNCTION("""COMPUTED_VALUE"""),"
")</f>
        <v>
</v>
      </c>
      <c r="C382" s="17" t="str">
        <f>IFERROR(__xludf.DUMMYFUNCTION("""COMPUTED_VALUE"""),"
")</f>
        <v>
</v>
      </c>
      <c r="D382" s="17" t="str">
        <f>IFERROR(__xludf.DUMMYFUNCTION("""COMPUTED_VALUE"""),"
")</f>
        <v>
</v>
      </c>
      <c r="E382" s="17" t="str">
        <f>IFERROR(__xludf.DUMMYFUNCTION("""COMPUTED_VALUE"""),"
")</f>
        <v>
</v>
      </c>
      <c r="F382" s="17" t="str">
        <f>IFERROR(__xludf.DUMMYFUNCTION("""COMPUTED_VALUE"""),"
")</f>
        <v>
</v>
      </c>
      <c r="G382" s="17" t="str">
        <f>IFERROR(__xludf.DUMMYFUNCTION("""COMPUTED_VALUE"""),"
")</f>
        <v>
</v>
      </c>
      <c r="H382" s="17" t="str">
        <f>IFERROR(__xludf.DUMMYFUNCTION("""COMPUTED_VALUE"""),"
")</f>
        <v>
</v>
      </c>
      <c r="I382" s="17" t="str">
        <f>IFERROR(__xludf.DUMMYFUNCTION("""COMPUTED_VALUE"""),"
")</f>
        <v>
</v>
      </c>
      <c r="J382" s="17" t="str">
        <f>IFERROR(__xludf.DUMMYFUNCTION("""COMPUTED_VALUE"""),"
")</f>
        <v>
</v>
      </c>
      <c r="K382" s="17" t="str">
        <f>IFERROR(__xludf.DUMMYFUNCTION("""COMPUTED_VALUE"""),"
")</f>
        <v>
</v>
      </c>
      <c r="L382" s="17" t="str">
        <f>IFERROR(__xludf.DUMMYFUNCTION("""COMPUTED_VALUE"""),"
")</f>
        <v>
</v>
      </c>
      <c r="M382" s="17" t="str">
        <f>IFERROR(__xludf.DUMMYFUNCTION("""COMPUTED_VALUE"""),"
")</f>
        <v>
</v>
      </c>
      <c r="N382" s="17" t="str">
        <f>IFERROR(__xludf.DUMMYFUNCTION("""COMPUTED_VALUE"""),"
")</f>
        <v>
</v>
      </c>
      <c r="O382" s="17" t="str">
        <f>IFERROR(__xludf.DUMMYFUNCTION("""COMPUTED_VALUE"""),"
")</f>
        <v>
</v>
      </c>
      <c r="P382" s="17" t="str">
        <f>IFERROR(__xludf.DUMMYFUNCTION("""COMPUTED_VALUE"""),"
")</f>
        <v>
</v>
      </c>
      <c r="Q382" s="17" t="str">
        <f>IFERROR(__xludf.DUMMYFUNCTION("""COMPUTED_VALUE"""),"
")</f>
        <v>
</v>
      </c>
      <c r="R382" s="17" t="str">
        <f>IFERROR(__xludf.DUMMYFUNCTION("""COMPUTED_VALUE"""),"
")</f>
        <v>
</v>
      </c>
      <c r="S382" s="17" t="str">
        <f>IFERROR(__xludf.DUMMYFUNCTION("""COMPUTED_VALUE"""),"
")</f>
        <v>
</v>
      </c>
      <c r="T382" s="17" t="str">
        <f>IFERROR(__xludf.DUMMYFUNCTION("""COMPUTED_VALUE"""),"
")</f>
        <v>
</v>
      </c>
      <c r="U382" s="17" t="str">
        <f>IFERROR(__xludf.DUMMYFUNCTION("""COMPUTED_VALUE"""),"
")</f>
        <v>
</v>
      </c>
      <c r="V382" s="17" t="str">
        <f>IFERROR(__xludf.DUMMYFUNCTION("""COMPUTED_VALUE"""),"
")</f>
        <v>
</v>
      </c>
      <c r="W382" s="17" t="str">
        <f>IFERROR(__xludf.DUMMYFUNCTION("""COMPUTED_VALUE"""),"
")</f>
        <v>
</v>
      </c>
      <c r="X382" s="17" t="str">
        <f>IFERROR(__xludf.DUMMYFUNCTION("""COMPUTED_VALUE"""),"
")</f>
        <v>
</v>
      </c>
      <c r="Y382" s="17" t="str">
        <f>IFERROR(__xludf.DUMMYFUNCTION("""COMPUTED_VALUE"""),"
")</f>
        <v>
</v>
      </c>
      <c r="Z382" s="17" t="str">
        <f>IFERROR(__xludf.DUMMYFUNCTION("""COMPUTED_VALUE"""),"
")</f>
        <v>
</v>
      </c>
      <c r="AA382" s="17" t="str">
        <f>IFERROR(__xludf.DUMMYFUNCTION("""COMPUTED_VALUE"""),"
")</f>
        <v>
</v>
      </c>
      <c r="AB382" s="17" t="str">
        <f>IFERROR(__xludf.DUMMYFUNCTION("""COMPUTED_VALUE"""),"
")</f>
        <v>
</v>
      </c>
      <c r="AC382" s="17" t="str">
        <f>IFERROR(__xludf.DUMMYFUNCTION("""COMPUTED_VALUE"""),"
")</f>
        <v>
</v>
      </c>
    </row>
    <row r="383">
      <c r="A383" s="17" t="str">
        <f>IFERROR(__xludf.DUMMYFUNCTION("""COMPUTED_VALUE"""),"Chapter 65: 50 Meantime
Launderer System (No More Heroes) 400:
You gain a new thing to place in your warehouse, and though you don’t exactly know how it works the instruction booklet says it can construct beam katanas of all different styles and usefulnes"&amp;"s if given the right components- or if you don’t have those, shoving the right raw ingredients in enough quantity to just manufacture the damn things. With enough technical knowledge, you will be able to discard the manual.
Facility, System")</f>
        <v>Chapter 65: 50 Meantime
Launderer System (No More Heroes) 400:
You gain a new thing to place in your warehouse, and though you don’t exactly know how it works the instruction booklet says it can construct beam katanas of all different styles and usefulness if given the right components- or if you don’t have those, shoving the right raw ingredients in enough quantity to just manufacture the damn things. With enough technical knowledge, you will be able to discard the manual.
Facility, System</v>
      </c>
      <c r="B383" s="17" t="str">
        <f>IFERROR(__xludf.DUMMYFUNCTION("""COMPUTED_VALUE"""),"Chapter 65: 50 Meantime
The Clothes (No More Heroes) Free:
You wouldn’t make the cover of a magazine, but you can make too many belts work with these pieces.
Item")</f>
        <v>Chapter 65: 50 Meantime
The Clothes (No More Heroes) Free:
You wouldn’t make the cover of a magazine, but you can make too many belts work with these pieces.
Item</v>
      </c>
      <c r="C383" s="17" t="str">
        <f>IFERROR(__xludf.DUMMYFUNCTION("""COMPUTED_VALUE"""),"Chapter 65: 50 Meantime
That Sword (No More Heroes) Free:
You have a basic beam katana, and by basic I really mean it’s a piece of shit. It may have a guide bar if you’re into those, though.
Item")</f>
        <v>Chapter 65: 50 Meantime
That Sword (No More Heroes) Free:
You have a basic beam katana, and by basic I really mean it’s a piece of shit. It may have a guide bar if you’re into those, though.
Item</v>
      </c>
      <c r="D383" s="17" t="str">
        <f>IFERROR(__xludf.DUMMYFUNCTION("""COMPUTED_VALUE"""),"
")</f>
        <v>
</v>
      </c>
      <c r="E383" s="17" t="str">
        <f>IFERROR(__xludf.DUMMYFUNCTION("""COMPUTED_VALUE"""),"
")</f>
        <v>
</v>
      </c>
      <c r="F383" s="17" t="str">
        <f>IFERROR(__xludf.DUMMYFUNCTION("""COMPUTED_VALUE"""),"
")</f>
        <v>
</v>
      </c>
      <c r="G383" s="17" t="str">
        <f>IFERROR(__xludf.DUMMYFUNCTION("""COMPUTED_VALUE"""),"
")</f>
        <v>
</v>
      </c>
      <c r="H383" s="17" t="str">
        <f>IFERROR(__xludf.DUMMYFUNCTION("""COMPUTED_VALUE"""),"
")</f>
        <v>
</v>
      </c>
      <c r="I383" s="17" t="str">
        <f>IFERROR(__xludf.DUMMYFUNCTION("""COMPUTED_VALUE"""),"
")</f>
        <v>
</v>
      </c>
      <c r="J383" s="17" t="str">
        <f>IFERROR(__xludf.DUMMYFUNCTION("""COMPUTED_VALUE"""),"
")</f>
        <v>
</v>
      </c>
      <c r="K383" s="17" t="str">
        <f>IFERROR(__xludf.DUMMYFUNCTION("""COMPUTED_VALUE"""),"
")</f>
        <v>
</v>
      </c>
      <c r="L383" s="17" t="str">
        <f>IFERROR(__xludf.DUMMYFUNCTION("""COMPUTED_VALUE"""),"
")</f>
        <v>
</v>
      </c>
      <c r="M383" s="17" t="str">
        <f>IFERROR(__xludf.DUMMYFUNCTION("""COMPUTED_VALUE"""),"
")</f>
        <v>
</v>
      </c>
      <c r="N383" s="17" t="str">
        <f>IFERROR(__xludf.DUMMYFUNCTION("""COMPUTED_VALUE"""),"
")</f>
        <v>
</v>
      </c>
      <c r="O383" s="17" t="str">
        <f>IFERROR(__xludf.DUMMYFUNCTION("""COMPUTED_VALUE"""),"
")</f>
        <v>
</v>
      </c>
      <c r="P383" s="17" t="str">
        <f>IFERROR(__xludf.DUMMYFUNCTION("""COMPUTED_VALUE"""),"
")</f>
        <v>
</v>
      </c>
      <c r="Q383" s="17" t="str">
        <f>IFERROR(__xludf.DUMMYFUNCTION("""COMPUTED_VALUE"""),"
")</f>
        <v>
</v>
      </c>
      <c r="R383" s="17" t="str">
        <f>IFERROR(__xludf.DUMMYFUNCTION("""COMPUTED_VALUE"""),"
")</f>
        <v>
</v>
      </c>
      <c r="S383" s="17" t="str">
        <f>IFERROR(__xludf.DUMMYFUNCTION("""COMPUTED_VALUE"""),"
")</f>
        <v>
</v>
      </c>
      <c r="T383" s="17" t="str">
        <f>IFERROR(__xludf.DUMMYFUNCTION("""COMPUTED_VALUE"""),"
")</f>
        <v>
</v>
      </c>
      <c r="U383" s="17" t="str">
        <f>IFERROR(__xludf.DUMMYFUNCTION("""COMPUTED_VALUE"""),"
")</f>
        <v>
</v>
      </c>
      <c r="V383" s="17" t="str">
        <f>IFERROR(__xludf.DUMMYFUNCTION("""COMPUTED_VALUE"""),"
")</f>
        <v>
</v>
      </c>
      <c r="W383" s="17" t="str">
        <f>IFERROR(__xludf.DUMMYFUNCTION("""COMPUTED_VALUE"""),"
")</f>
        <v>
</v>
      </c>
      <c r="X383" s="17" t="str">
        <f>IFERROR(__xludf.DUMMYFUNCTION("""COMPUTED_VALUE"""),"
")</f>
        <v>
</v>
      </c>
      <c r="Y383" s="17" t="str">
        <f>IFERROR(__xludf.DUMMYFUNCTION("""COMPUTED_VALUE"""),"
")</f>
        <v>
</v>
      </c>
      <c r="Z383" s="17" t="str">
        <f>IFERROR(__xludf.DUMMYFUNCTION("""COMPUTED_VALUE"""),"
")</f>
        <v>
</v>
      </c>
      <c r="AA383" s="17" t="str">
        <f>IFERROR(__xludf.DUMMYFUNCTION("""COMPUTED_VALUE"""),"
")</f>
        <v>
</v>
      </c>
      <c r="AB383" s="17" t="str">
        <f>IFERROR(__xludf.DUMMYFUNCTION("""COMPUTED_VALUE"""),"
")</f>
        <v>
</v>
      </c>
      <c r="AC383" s="17" t="str">
        <f>IFERROR(__xludf.DUMMYFUNCTION("""COMPUTED_VALUE"""),"
")</f>
        <v>
</v>
      </c>
    </row>
    <row r="384">
      <c r="A384" s="17" t="str">
        <f>IFERROR(__xludf.DUMMYFUNCTION("""COMPUTED_VALUE"""),"Chapter 18: 14 Debut
Diagnostic Tools (Outlaw Star) 50:
A small data display with numerous connectors and scanners, capable of letting you know what is wrong with simple technology and what advanced technology that has been programmed into it.
Item")</f>
        <v>Chapter 18: 14 Debut
Diagnostic Tools (Outlaw Star) 50:
A small data display with numerous connectors and scanners, capable of letting you know what is wrong with simple technology and what advanced technology that has been programmed into it.
Item</v>
      </c>
      <c r="B384" s="17" t="str">
        <f>IFERROR(__xludf.DUMMYFUNCTION("""COMPUTED_VALUE"""),"
")</f>
        <v>
</v>
      </c>
      <c r="C384" s="17" t="str">
        <f>IFERROR(__xludf.DUMMYFUNCTION("""COMPUTED_VALUE"""),"
")</f>
        <v>
</v>
      </c>
      <c r="D384" s="17" t="str">
        <f>IFERROR(__xludf.DUMMYFUNCTION("""COMPUTED_VALUE"""),"
")</f>
        <v>
</v>
      </c>
      <c r="E384" s="17" t="str">
        <f>IFERROR(__xludf.DUMMYFUNCTION("""COMPUTED_VALUE"""),"
")</f>
        <v>
</v>
      </c>
      <c r="F384" s="17" t="str">
        <f>IFERROR(__xludf.DUMMYFUNCTION("""COMPUTED_VALUE"""),"
")</f>
        <v>
</v>
      </c>
      <c r="G384" s="17" t="str">
        <f>IFERROR(__xludf.DUMMYFUNCTION("""COMPUTED_VALUE"""),"
")</f>
        <v>
</v>
      </c>
      <c r="H384" s="17" t="str">
        <f>IFERROR(__xludf.DUMMYFUNCTION("""COMPUTED_VALUE"""),"
")</f>
        <v>
</v>
      </c>
      <c r="I384" s="17" t="str">
        <f>IFERROR(__xludf.DUMMYFUNCTION("""COMPUTED_VALUE"""),"
")</f>
        <v>
</v>
      </c>
      <c r="J384" s="17" t="str">
        <f>IFERROR(__xludf.DUMMYFUNCTION("""COMPUTED_VALUE"""),"
")</f>
        <v>
</v>
      </c>
      <c r="K384" s="17" t="str">
        <f>IFERROR(__xludf.DUMMYFUNCTION("""COMPUTED_VALUE"""),"
")</f>
        <v>
</v>
      </c>
      <c r="L384" s="17" t="str">
        <f>IFERROR(__xludf.DUMMYFUNCTION("""COMPUTED_VALUE"""),"
")</f>
        <v>
</v>
      </c>
      <c r="M384" s="17" t="str">
        <f>IFERROR(__xludf.DUMMYFUNCTION("""COMPUTED_VALUE"""),"
")</f>
        <v>
</v>
      </c>
      <c r="N384" s="17" t="str">
        <f>IFERROR(__xludf.DUMMYFUNCTION("""COMPUTED_VALUE"""),"
")</f>
        <v>
</v>
      </c>
      <c r="O384" s="17" t="str">
        <f>IFERROR(__xludf.DUMMYFUNCTION("""COMPUTED_VALUE"""),"
")</f>
        <v>
</v>
      </c>
      <c r="P384" s="17" t="str">
        <f>IFERROR(__xludf.DUMMYFUNCTION("""COMPUTED_VALUE"""),"
")</f>
        <v>
</v>
      </c>
      <c r="Q384" s="17" t="str">
        <f>IFERROR(__xludf.DUMMYFUNCTION("""COMPUTED_VALUE"""),"
")</f>
        <v>
</v>
      </c>
      <c r="R384" s="17" t="str">
        <f>IFERROR(__xludf.DUMMYFUNCTION("""COMPUTED_VALUE"""),"
")</f>
        <v>
</v>
      </c>
      <c r="S384" s="17" t="str">
        <f>IFERROR(__xludf.DUMMYFUNCTION("""COMPUTED_VALUE"""),"
")</f>
        <v>
</v>
      </c>
      <c r="T384" s="17" t="str">
        <f>IFERROR(__xludf.DUMMYFUNCTION("""COMPUTED_VALUE"""),"
")</f>
        <v>
</v>
      </c>
      <c r="U384" s="17" t="str">
        <f>IFERROR(__xludf.DUMMYFUNCTION("""COMPUTED_VALUE"""),"
")</f>
        <v>
</v>
      </c>
      <c r="V384" s="17" t="str">
        <f>IFERROR(__xludf.DUMMYFUNCTION("""COMPUTED_VALUE"""),"
")</f>
        <v>
</v>
      </c>
      <c r="W384" s="17" t="str">
        <f>IFERROR(__xludf.DUMMYFUNCTION("""COMPUTED_VALUE"""),"
")</f>
        <v>
</v>
      </c>
      <c r="X384" s="17" t="str">
        <f>IFERROR(__xludf.DUMMYFUNCTION("""COMPUTED_VALUE"""),"
")</f>
        <v>
</v>
      </c>
      <c r="Y384" s="17" t="str">
        <f>IFERROR(__xludf.DUMMYFUNCTION("""COMPUTED_VALUE"""),"
")</f>
        <v>
</v>
      </c>
      <c r="Z384" s="17" t="str">
        <f>IFERROR(__xludf.DUMMYFUNCTION("""COMPUTED_VALUE"""),"
")</f>
        <v>
</v>
      </c>
      <c r="AA384" s="17" t="str">
        <f>IFERROR(__xludf.DUMMYFUNCTION("""COMPUTED_VALUE"""),"
")</f>
        <v>
</v>
      </c>
      <c r="AB384" s="17" t="str">
        <f>IFERROR(__xludf.DUMMYFUNCTION("""COMPUTED_VALUE"""),"
")</f>
        <v>
</v>
      </c>
      <c r="AC384" s="17" t="str">
        <f>IFERROR(__xludf.DUMMYFUNCTION("""COMPUTED_VALUE"""),"
")</f>
        <v>
</v>
      </c>
    </row>
    <row r="385">
      <c r="A385" s="17" t="str">
        <f>IFERROR(__xludf.DUMMYFUNCTION("""COMPUTED_VALUE"""),"")</f>
        <v/>
      </c>
      <c r="B385" s="17" t="str">
        <f>IFERROR(__xludf.DUMMYFUNCTION("""COMPUTED_VALUE"""),"")</f>
        <v/>
      </c>
      <c r="C385" s="17" t="str">
        <f>IFERROR(__xludf.DUMMYFUNCTION("""COMPUTED_VALUE"""),"")</f>
        <v/>
      </c>
      <c r="D385" s="17" t="str">
        <f>IFERROR(__xludf.DUMMYFUNCTION("""COMPUTED_VALUE"""),"")</f>
        <v/>
      </c>
      <c r="E385" s="17" t="str">
        <f>IFERROR(__xludf.DUMMYFUNCTION("""COMPUTED_VALUE"""),"")</f>
        <v/>
      </c>
      <c r="F385" s="17" t="str">
        <f>IFERROR(__xludf.DUMMYFUNCTION("""COMPUTED_VALUE"""),"")</f>
        <v/>
      </c>
      <c r="G385" s="17" t="str">
        <f>IFERROR(__xludf.DUMMYFUNCTION("""COMPUTED_VALUE"""),"")</f>
        <v/>
      </c>
      <c r="H385" s="17" t="str">
        <f>IFERROR(__xludf.DUMMYFUNCTION("""COMPUTED_VALUE"""),"")</f>
        <v/>
      </c>
      <c r="I385" s="17" t="str">
        <f>IFERROR(__xludf.DUMMYFUNCTION("""COMPUTED_VALUE"""),"")</f>
        <v/>
      </c>
      <c r="J385" s="17" t="str">
        <f>IFERROR(__xludf.DUMMYFUNCTION("""COMPUTED_VALUE"""),"")</f>
        <v/>
      </c>
      <c r="K385" s="17" t="str">
        <f>IFERROR(__xludf.DUMMYFUNCTION("""COMPUTED_VALUE"""),"")</f>
        <v/>
      </c>
      <c r="L385" s="17" t="str">
        <f>IFERROR(__xludf.DUMMYFUNCTION("""COMPUTED_VALUE"""),"")</f>
        <v/>
      </c>
      <c r="M385" s="17" t="str">
        <f>IFERROR(__xludf.DUMMYFUNCTION("""COMPUTED_VALUE"""),"")</f>
        <v/>
      </c>
      <c r="N385" s="17" t="str">
        <f>IFERROR(__xludf.DUMMYFUNCTION("""COMPUTED_VALUE"""),"")</f>
        <v/>
      </c>
      <c r="O385" s="17" t="str">
        <f>IFERROR(__xludf.DUMMYFUNCTION("""COMPUTED_VALUE"""),"")</f>
        <v/>
      </c>
      <c r="P385" s="17" t="str">
        <f>IFERROR(__xludf.DUMMYFUNCTION("""COMPUTED_VALUE"""),"")</f>
        <v/>
      </c>
      <c r="Q385" s="17" t="str">
        <f>IFERROR(__xludf.DUMMYFUNCTION("""COMPUTED_VALUE"""),"")</f>
        <v/>
      </c>
      <c r="R385" s="17" t="str">
        <f>IFERROR(__xludf.DUMMYFUNCTION("""COMPUTED_VALUE"""),"")</f>
        <v/>
      </c>
      <c r="S385" s="17" t="str">
        <f>IFERROR(__xludf.DUMMYFUNCTION("""COMPUTED_VALUE"""),"")</f>
        <v/>
      </c>
      <c r="T385" s="17" t="str">
        <f>IFERROR(__xludf.DUMMYFUNCTION("""COMPUTED_VALUE"""),"")</f>
        <v/>
      </c>
      <c r="U385" s="17" t="str">
        <f>IFERROR(__xludf.DUMMYFUNCTION("""COMPUTED_VALUE"""),"")</f>
        <v/>
      </c>
      <c r="V385" s="17" t="str">
        <f>IFERROR(__xludf.DUMMYFUNCTION("""COMPUTED_VALUE"""),"")</f>
        <v/>
      </c>
      <c r="W385" s="17" t="str">
        <f>IFERROR(__xludf.DUMMYFUNCTION("""COMPUTED_VALUE"""),"")</f>
        <v/>
      </c>
      <c r="X385" s="17" t="str">
        <f>IFERROR(__xludf.DUMMYFUNCTION("""COMPUTED_VALUE"""),"")</f>
        <v/>
      </c>
      <c r="Y385" s="17" t="str">
        <f>IFERROR(__xludf.DUMMYFUNCTION("""COMPUTED_VALUE"""),"")</f>
        <v/>
      </c>
      <c r="Z385" s="17" t="str">
        <f>IFERROR(__xludf.DUMMYFUNCTION("""COMPUTED_VALUE"""),"")</f>
        <v/>
      </c>
      <c r="AA385" s="17" t="str">
        <f>IFERROR(__xludf.DUMMYFUNCTION("""COMPUTED_VALUE"""),"")</f>
        <v/>
      </c>
      <c r="AB385" s="17" t="str">
        <f>IFERROR(__xludf.DUMMYFUNCTION("""COMPUTED_VALUE"""),"")</f>
        <v/>
      </c>
      <c r="AC385" s="17" t="str">
        <f>IFERROR(__xludf.DUMMYFUNCTION("""COMPUTED_VALUE"""),"")</f>
        <v/>
      </c>
    </row>
    <row r="386">
      <c r="A386" s="17" t="str">
        <f>IFERROR(__xludf.DUMMYFUNCTION("""COMPUTED_VALUE"""),"Chapter 01: 1 Introduction
Workshop: Metalworking (Personal Reality) 100:
Each purchase of this adds to your Personal Reality Workshop needed to perform specific type of craft, which is to be specified when purchase is made. It comes with a basic set of t"&amp;"ools and supplies. Good for fixing or creating all sorts of things, although any complex parts or nonstandard supplies will have to be brought in from outside. Additional purchases can add different types of Workshops to your Personal Reality or expand ex"&amp;"isting ones. Anything built in one of those workshops is fiat backed to be restored to its original condition within 48 hours if damaged or destroyed. Repeatable
Facility")</f>
        <v>Chapter 01: 1 Introduction
Workshop: Metalworking (Personal Reality) 100:
Each purchase of this adds to your Personal Reality Workshop needed to perform specific type of craft, which is to be specified when purchase is made. It comes with a basic set of tools and supplies. Good for fixing or creating all sorts of things, although any complex parts or nonstandard supplies will have to be brought in from outside. Additional purchases can add different types of Workshops to your Personal Reality or expand existing ones. Anything built in one of those workshops is fiat backed to be restored to its original condition within 48 hours if damaged or destroyed. Repeatable
Facility</v>
      </c>
      <c r="B386" s="17" t="str">
        <f>IFERROR(__xludf.DUMMYFUNCTION("""COMPUTED_VALUE"""),"Chapter 48: 41 Drag Out - Preamble Chen
Workshop: Woodworking (Personal Reality) 100:
Each purchase of this adds to your Personal Reality Workshop needed to perform specific type of craft, which is to be specified when purchase is made. It comes with a ba"&amp;"sic set of tools and supplies. Good for fixing or creating all sorts of things, although any complex parts or nonstandard supplies will have to be brought in from outside. Additional purchases can add different types of Workshops to your Personal Reality "&amp;"or expand existing ones. Anything built in one of those workshops is fiat backed to be restored to its original condition within 48 hours if damaged or destroyed. Repeatable
Facility")</f>
        <v>Chapter 48: 41 Drag Out - Preamble Chen
Workshop: Woodworking (Personal Reality) 100:
Each purchase of this adds to your Personal Reality Workshop needed to perform specific type of craft, which is to be specified when purchase is made. It comes with a basic set of tools and supplies. Good for fixing or creating all sorts of things, although any complex parts or nonstandard supplies will have to be brought in from outside. Additional purchases can add different types of Workshops to your Personal Reality or expand existing ones. Anything built in one of those workshops is fiat backed to be restored to its original condition within 48 hours if damaged or destroyed. Repeatable
Facility</v>
      </c>
      <c r="C386" s="17" t="str">
        <f>IFERROR(__xludf.DUMMYFUNCTION("""COMPUTED_VALUE"""),"Chapter 67: 52 Showtime
Workshop: Clothing (Personal Reality) 100:
Each purchase of this adds to your Personal Reality Workshop needed to perform specific type of craft, which is to be specified when purchase is made. It comes with a basic set of tools an"&amp;"d supplies. Good for fixing or creating all sorts of things, although any complex parts or nonstandard supplies will have to be brought in from outside. Additional purchases can add different types of Workshops to your Personal Reality or expand existing "&amp;"ones. Anything built in one of those workshops is fiat backed to be restored to its original condition within 48 hours if damaged or destroyed. Repeatable
Facility")</f>
        <v>Chapter 67: 52 Showtime
Workshop: Clothing (Personal Reality) 100:
Each purchase of this adds to your Personal Reality Workshop needed to perform specific type of craft, which is to be specified when purchase is made. It comes with a basic set of tools and supplies. Good for fixing or creating all sorts of things, although any complex parts or nonstandard supplies will have to be brought in from outside. Additional purchases can add different types of Workshops to your Personal Reality or expand existing ones. Anything built in one of those workshops is fiat backed to be restored to its original condition within 48 hours if damaged or destroyed. Repeatable
Facility</v>
      </c>
      <c r="D386" s="17" t="str">
        <f>IFERROR(__xludf.DUMMYFUNCTION("""COMPUTED_VALUE"""),"Chapter 85: 65 Summit Aftermath
Workshop: Electronics  (Personal Reality) 100:
Each purchase of this adds to your Personal Reality Workshop needed to perform specific type of craft, which is to be specified when purchase is made. It comes with a basic set"&amp;" of tools and supplies. Good for fixing or creating all sorts of things, although any complex parts or nonstandard supplies will have to be brought in from outside. Additional purchases can add different types of Workshops to your Personal Reality or expa"&amp;"nd existing ones. Anything built in one of those workshops is fiat backed to be restored to its original condition within 48 hours if damaged or destroyed. Repeatable
Facility")</f>
        <v>Chapter 85: 65 Summit Aftermath
Workshop: Electronics  (Personal Reality) 100:
Each purchase of this adds to your Personal Reality Workshop needed to perform specific type of craft, which is to be specified when purchase is made. It comes with a basic set of tools and supplies. Good for fixing or creating all sorts of things, although any complex parts or nonstandard supplies will have to be brought in from outside. Additional purchases can add different types of Workshops to your Personal Reality or expand existing ones. Anything built in one of those workshops is fiat backed to be restored to its original condition within 48 hours if damaged or destroyed. Repeatable
Facility</v>
      </c>
      <c r="E386" s="17" t="str">
        <f>IFERROR(__xludf.DUMMYFUNCTION("""COMPUTED_VALUE"""),"Chapter 109: 78 Consolidation
Workshop: Robotics (Personal Reality) 100:
Each purchase of this adds to your Personal Reality Workshop needed to perform specific type of craft, which is to be specified when purchase is made. It comes with a basic set of to"&amp;"ols and supplies. Good for fixing or creating all sorts of things, although any complex parts or nonstandard supplies will have to be brought in from outside. Additional purchases can add different types of Workshops to your Personal Reality or expand exi"&amp;"sting ones. Anything built in one of those workshops is fiat backed to be restored to its original condition within 48 hours if damaged or destroyed.
Facility")</f>
        <v>Chapter 109: 78 Consolidation
Workshop: Robotics (Personal Reality) 100:
Each purchase of this adds to your Personal Reality Workshop needed to perform specific type of craft, which is to be specified when purchase is made. It comes with a basic set of tools and supplies. Good for fixing or creating all sorts of things, although any complex parts or nonstandard supplies will have to be brought in from outside. Additional purchases can add different types of Workshops to your Personal Reality or expand existing ones. Anything built in one of those workshops is fiat backed to be restored to its original condition within 48 hours if damaged or destroyed.
Facility</v>
      </c>
      <c r="F386" s="17" t="str">
        <f>IFERROR(__xludf.DUMMYFUNCTION("""COMPUTED_VALUE"""),"
")</f>
        <v>
</v>
      </c>
      <c r="G386" s="17" t="str">
        <f>IFERROR(__xludf.DUMMYFUNCTION("""COMPUTED_VALUE"""),"
")</f>
        <v>
</v>
      </c>
      <c r="H386" s="17" t="str">
        <f>IFERROR(__xludf.DUMMYFUNCTION("""COMPUTED_VALUE"""),"
")</f>
        <v>
</v>
      </c>
      <c r="I386" s="17" t="str">
        <f>IFERROR(__xludf.DUMMYFUNCTION("""COMPUTED_VALUE"""),"
")</f>
        <v>
</v>
      </c>
      <c r="J386" s="17" t="str">
        <f>IFERROR(__xludf.DUMMYFUNCTION("""COMPUTED_VALUE"""),"
")</f>
        <v>
</v>
      </c>
      <c r="K386" s="17" t="str">
        <f>IFERROR(__xludf.DUMMYFUNCTION("""COMPUTED_VALUE"""),"
")</f>
        <v>
</v>
      </c>
      <c r="L386" s="17" t="str">
        <f>IFERROR(__xludf.DUMMYFUNCTION("""COMPUTED_VALUE"""),"
")</f>
        <v>
</v>
      </c>
      <c r="M386" s="17" t="str">
        <f>IFERROR(__xludf.DUMMYFUNCTION("""COMPUTED_VALUE"""),"
")</f>
        <v>
</v>
      </c>
      <c r="N386" s="17" t="str">
        <f>IFERROR(__xludf.DUMMYFUNCTION("""COMPUTED_VALUE"""),"
")</f>
        <v>
</v>
      </c>
      <c r="O386" s="17" t="str">
        <f>IFERROR(__xludf.DUMMYFUNCTION("""COMPUTED_VALUE"""),"
")</f>
        <v>
</v>
      </c>
      <c r="P386" s="17" t="str">
        <f>IFERROR(__xludf.DUMMYFUNCTION("""COMPUTED_VALUE"""),"
")</f>
        <v>
</v>
      </c>
      <c r="Q386" s="17" t="str">
        <f>IFERROR(__xludf.DUMMYFUNCTION("""COMPUTED_VALUE"""),"
")</f>
        <v>
</v>
      </c>
      <c r="R386" s="17" t="str">
        <f>IFERROR(__xludf.DUMMYFUNCTION("""COMPUTED_VALUE"""),"
")</f>
        <v>
</v>
      </c>
      <c r="S386" s="17" t="str">
        <f>IFERROR(__xludf.DUMMYFUNCTION("""COMPUTED_VALUE"""),"
")</f>
        <v>
</v>
      </c>
      <c r="T386" s="17" t="str">
        <f>IFERROR(__xludf.DUMMYFUNCTION("""COMPUTED_VALUE"""),"
")</f>
        <v>
</v>
      </c>
      <c r="U386" s="17" t="str">
        <f>IFERROR(__xludf.DUMMYFUNCTION("""COMPUTED_VALUE"""),"
")</f>
        <v>
</v>
      </c>
      <c r="V386" s="17" t="str">
        <f>IFERROR(__xludf.DUMMYFUNCTION("""COMPUTED_VALUE"""),"
")</f>
        <v>
</v>
      </c>
      <c r="W386" s="17" t="str">
        <f>IFERROR(__xludf.DUMMYFUNCTION("""COMPUTED_VALUE"""),"
")</f>
        <v>
</v>
      </c>
      <c r="X386" s="17" t="str">
        <f>IFERROR(__xludf.DUMMYFUNCTION("""COMPUTED_VALUE"""),"
")</f>
        <v>
</v>
      </c>
      <c r="Y386" s="17" t="str">
        <f>IFERROR(__xludf.DUMMYFUNCTION("""COMPUTED_VALUE"""),"
")</f>
        <v>
</v>
      </c>
      <c r="Z386" s="17" t="str">
        <f>IFERROR(__xludf.DUMMYFUNCTION("""COMPUTED_VALUE"""),"
")</f>
        <v>
</v>
      </c>
      <c r="AA386" s="17" t="str">
        <f>IFERROR(__xludf.DUMMYFUNCTION("""COMPUTED_VALUE"""),"
")</f>
        <v>
</v>
      </c>
      <c r="AB386" s="17" t="str">
        <f>IFERROR(__xludf.DUMMYFUNCTION("""COMPUTED_VALUE"""),"
")</f>
        <v>
</v>
      </c>
      <c r="AC386" s="17" t="str">
        <f>IFERROR(__xludf.DUMMYFUNCTION("""COMPUTED_VALUE"""),"
")</f>
        <v>
</v>
      </c>
    </row>
    <row r="387">
      <c r="A387" s="17" t="str">
        <f>IFERROR(__xludf.DUMMYFUNCTION("""COMPUTED_VALUE"""),"Chapter 18: 14 Debut
Micromanipulators (A Certain Scientific Railgun) 50:
These rather delicate gloves were meant for scientific purposes. They’re reinforced with small motors and electrically contracting artificial muscles to allow you to perform delicat"&amp;"e work on the scale of one millionth of a meter. While they’re definitely more suited to scientific experiments, they can be put to use in any situation that requires steady hands like aiming a rifle, conducting brain surgery, cooking, defusing a bomb, or"&amp;" even bypassing some redirection and shielding abilities.
Item")</f>
        <v>Chapter 18: 14 Debut
Micromanipulators (A Certain Scientific Railgun) 50:
These rather delicate gloves were meant for scientific purposes. They’re reinforced with small motors and electrically contracting artificial muscles to allow you to perform delicate work on the scale of one millionth of a meter. While they’re definitely more suited to scientific experiments, they can be put to use in any situation that requires steady hands like aiming a rifle, conducting brain surgery, cooking, defusing a bomb, or even bypassing some redirection and shielding abilities.
Item</v>
      </c>
      <c r="B387" s="17" t="str">
        <f>IFERROR(__xludf.DUMMYFUNCTION("""COMPUTED_VALUE"""),"
")</f>
        <v>
</v>
      </c>
      <c r="C387" s="17" t="str">
        <f>IFERROR(__xludf.DUMMYFUNCTION("""COMPUTED_VALUE"""),"
")</f>
        <v>
</v>
      </c>
      <c r="D387" s="17" t="str">
        <f>IFERROR(__xludf.DUMMYFUNCTION("""COMPUTED_VALUE"""),"
")</f>
        <v>
</v>
      </c>
      <c r="E387" s="17" t="str">
        <f>IFERROR(__xludf.DUMMYFUNCTION("""COMPUTED_VALUE"""),"
")</f>
        <v>
</v>
      </c>
      <c r="F387" s="17" t="str">
        <f>IFERROR(__xludf.DUMMYFUNCTION("""COMPUTED_VALUE"""),"
")</f>
        <v>
</v>
      </c>
      <c r="G387" s="17" t="str">
        <f>IFERROR(__xludf.DUMMYFUNCTION("""COMPUTED_VALUE"""),"
")</f>
        <v>
</v>
      </c>
      <c r="H387" s="17" t="str">
        <f>IFERROR(__xludf.DUMMYFUNCTION("""COMPUTED_VALUE"""),"
")</f>
        <v>
</v>
      </c>
      <c r="I387" s="17" t="str">
        <f>IFERROR(__xludf.DUMMYFUNCTION("""COMPUTED_VALUE"""),"
")</f>
        <v>
</v>
      </c>
      <c r="J387" s="17" t="str">
        <f>IFERROR(__xludf.DUMMYFUNCTION("""COMPUTED_VALUE"""),"
")</f>
        <v>
</v>
      </c>
      <c r="K387" s="17" t="str">
        <f>IFERROR(__xludf.DUMMYFUNCTION("""COMPUTED_VALUE"""),"
")</f>
        <v>
</v>
      </c>
      <c r="L387" s="17" t="str">
        <f>IFERROR(__xludf.DUMMYFUNCTION("""COMPUTED_VALUE"""),"
")</f>
        <v>
</v>
      </c>
      <c r="M387" s="17" t="str">
        <f>IFERROR(__xludf.DUMMYFUNCTION("""COMPUTED_VALUE"""),"
")</f>
        <v>
</v>
      </c>
      <c r="N387" s="17" t="str">
        <f>IFERROR(__xludf.DUMMYFUNCTION("""COMPUTED_VALUE"""),"
")</f>
        <v>
</v>
      </c>
      <c r="O387" s="17" t="str">
        <f>IFERROR(__xludf.DUMMYFUNCTION("""COMPUTED_VALUE"""),"
")</f>
        <v>
</v>
      </c>
      <c r="P387" s="17" t="str">
        <f>IFERROR(__xludf.DUMMYFUNCTION("""COMPUTED_VALUE"""),"
")</f>
        <v>
</v>
      </c>
      <c r="Q387" s="17" t="str">
        <f>IFERROR(__xludf.DUMMYFUNCTION("""COMPUTED_VALUE"""),"
")</f>
        <v>
</v>
      </c>
      <c r="R387" s="17" t="str">
        <f>IFERROR(__xludf.DUMMYFUNCTION("""COMPUTED_VALUE"""),"
")</f>
        <v>
</v>
      </c>
      <c r="S387" s="17" t="str">
        <f>IFERROR(__xludf.DUMMYFUNCTION("""COMPUTED_VALUE"""),"
")</f>
        <v>
</v>
      </c>
      <c r="T387" s="17" t="str">
        <f>IFERROR(__xludf.DUMMYFUNCTION("""COMPUTED_VALUE"""),"
")</f>
        <v>
</v>
      </c>
      <c r="U387" s="17" t="str">
        <f>IFERROR(__xludf.DUMMYFUNCTION("""COMPUTED_VALUE"""),"
")</f>
        <v>
</v>
      </c>
      <c r="V387" s="17" t="str">
        <f>IFERROR(__xludf.DUMMYFUNCTION("""COMPUTED_VALUE"""),"
")</f>
        <v>
</v>
      </c>
      <c r="W387" s="17" t="str">
        <f>IFERROR(__xludf.DUMMYFUNCTION("""COMPUTED_VALUE"""),"
")</f>
        <v>
</v>
      </c>
      <c r="X387" s="17" t="str">
        <f>IFERROR(__xludf.DUMMYFUNCTION("""COMPUTED_VALUE"""),"
")</f>
        <v>
</v>
      </c>
      <c r="Y387" s="17" t="str">
        <f>IFERROR(__xludf.DUMMYFUNCTION("""COMPUTED_VALUE"""),"
")</f>
        <v>
</v>
      </c>
      <c r="Z387" s="17" t="str">
        <f>IFERROR(__xludf.DUMMYFUNCTION("""COMPUTED_VALUE"""),"
")</f>
        <v>
</v>
      </c>
      <c r="AA387" s="17" t="str">
        <f>IFERROR(__xludf.DUMMYFUNCTION("""COMPUTED_VALUE"""),"
")</f>
        <v>
</v>
      </c>
      <c r="AB387" s="17" t="str">
        <f>IFERROR(__xludf.DUMMYFUNCTION("""COMPUTED_VALUE"""),"
")</f>
        <v>
</v>
      </c>
      <c r="AC387" s="17" t="str">
        <f>IFERROR(__xludf.DUMMYFUNCTION("""COMPUTED_VALUE"""),"
")</f>
        <v>
</v>
      </c>
    </row>
    <row r="388">
      <c r="A388" s="17" t="str">
        <f>IFERROR(__xludf.DUMMYFUNCTION("""COMPUTED_VALUE"""),"Chapter 128: 91 Callout
The Toolkit (Sabaton) 100:
When wielding this toolkit, you can repair devices most would think broken beyond salvation. You could find two twisted armor plates and a couple of treads and before you know it, you have a tank that's a"&amp;"s good as new.
Item")</f>
        <v>Chapter 128: 91 Callout
The Toolkit (Sabaton) 100:
When wielding this toolkit, you can repair devices most would think broken beyond salvation. You could find two twisted armor plates and a couple of treads and before you know it, you have a tank that's as good as new.
Item</v>
      </c>
      <c r="B388" s="17" t="str">
        <f>IFERROR(__xludf.DUMMYFUNCTION("""COMPUTED_VALUE"""),"Chapter 128: 91 Callout
Primo Victoria (Sabaton) Free:
In all of these cases, a CD will appear in your hand once you make your choice – a single by Sabaton in both English and Swedish concerning one of your previous adventures.
Item")</f>
        <v>Chapter 128: 91 Callout
Primo Victoria (Sabaton) Free:
In all of these cases, a CD will appear in your hand once you make your choice – a single by Sabaton in both English and Swedish concerning one of your previous adventures.
Item</v>
      </c>
      <c r="C388" s="17" t="str">
        <f>IFERROR(__xludf.DUMMYFUNCTION("""COMPUTED_VALUE"""),"
")</f>
        <v>
</v>
      </c>
      <c r="D388" s="17" t="str">
        <f>IFERROR(__xludf.DUMMYFUNCTION("""COMPUTED_VALUE"""),"
")</f>
        <v>
</v>
      </c>
      <c r="E388" s="17" t="str">
        <f>IFERROR(__xludf.DUMMYFUNCTION("""COMPUTED_VALUE"""),"
")</f>
        <v>
</v>
      </c>
      <c r="F388" s="17" t="str">
        <f>IFERROR(__xludf.DUMMYFUNCTION("""COMPUTED_VALUE"""),"
")</f>
        <v>
</v>
      </c>
      <c r="G388" s="17" t="str">
        <f>IFERROR(__xludf.DUMMYFUNCTION("""COMPUTED_VALUE"""),"
")</f>
        <v>
</v>
      </c>
      <c r="H388" s="17" t="str">
        <f>IFERROR(__xludf.DUMMYFUNCTION("""COMPUTED_VALUE"""),"
")</f>
        <v>
</v>
      </c>
      <c r="I388" s="17" t="str">
        <f>IFERROR(__xludf.DUMMYFUNCTION("""COMPUTED_VALUE"""),"
")</f>
        <v>
</v>
      </c>
      <c r="J388" s="17" t="str">
        <f>IFERROR(__xludf.DUMMYFUNCTION("""COMPUTED_VALUE"""),"
")</f>
        <v>
</v>
      </c>
      <c r="K388" s="17" t="str">
        <f>IFERROR(__xludf.DUMMYFUNCTION("""COMPUTED_VALUE"""),"
")</f>
        <v>
</v>
      </c>
      <c r="L388" s="17" t="str">
        <f>IFERROR(__xludf.DUMMYFUNCTION("""COMPUTED_VALUE"""),"
")</f>
        <v>
</v>
      </c>
      <c r="M388" s="17" t="str">
        <f>IFERROR(__xludf.DUMMYFUNCTION("""COMPUTED_VALUE"""),"
")</f>
        <v>
</v>
      </c>
      <c r="N388" s="17" t="str">
        <f>IFERROR(__xludf.DUMMYFUNCTION("""COMPUTED_VALUE"""),"
")</f>
        <v>
</v>
      </c>
      <c r="O388" s="17" t="str">
        <f>IFERROR(__xludf.DUMMYFUNCTION("""COMPUTED_VALUE"""),"
")</f>
        <v>
</v>
      </c>
      <c r="P388" s="17" t="str">
        <f>IFERROR(__xludf.DUMMYFUNCTION("""COMPUTED_VALUE"""),"
")</f>
        <v>
</v>
      </c>
      <c r="Q388" s="17" t="str">
        <f>IFERROR(__xludf.DUMMYFUNCTION("""COMPUTED_VALUE"""),"
")</f>
        <v>
</v>
      </c>
      <c r="R388" s="17" t="str">
        <f>IFERROR(__xludf.DUMMYFUNCTION("""COMPUTED_VALUE"""),"
")</f>
        <v>
</v>
      </c>
      <c r="S388" s="17" t="str">
        <f>IFERROR(__xludf.DUMMYFUNCTION("""COMPUTED_VALUE"""),"
")</f>
        <v>
</v>
      </c>
      <c r="T388" s="17" t="str">
        <f>IFERROR(__xludf.DUMMYFUNCTION("""COMPUTED_VALUE"""),"
")</f>
        <v>
</v>
      </c>
      <c r="U388" s="17" t="str">
        <f>IFERROR(__xludf.DUMMYFUNCTION("""COMPUTED_VALUE"""),"
")</f>
        <v>
</v>
      </c>
      <c r="V388" s="17" t="str">
        <f>IFERROR(__xludf.DUMMYFUNCTION("""COMPUTED_VALUE"""),"
")</f>
        <v>
</v>
      </c>
      <c r="W388" s="17" t="str">
        <f>IFERROR(__xludf.DUMMYFUNCTION("""COMPUTED_VALUE"""),"
")</f>
        <v>
</v>
      </c>
      <c r="X388" s="17" t="str">
        <f>IFERROR(__xludf.DUMMYFUNCTION("""COMPUTED_VALUE"""),"
")</f>
        <v>
</v>
      </c>
      <c r="Y388" s="17" t="str">
        <f>IFERROR(__xludf.DUMMYFUNCTION("""COMPUTED_VALUE"""),"
")</f>
        <v>
</v>
      </c>
      <c r="Z388" s="17" t="str">
        <f>IFERROR(__xludf.DUMMYFUNCTION("""COMPUTED_VALUE"""),"
")</f>
        <v>
</v>
      </c>
      <c r="AA388" s="17" t="str">
        <f>IFERROR(__xludf.DUMMYFUNCTION("""COMPUTED_VALUE"""),"
")</f>
        <v>
</v>
      </c>
      <c r="AB388" s="17" t="str">
        <f>IFERROR(__xludf.DUMMYFUNCTION("""COMPUTED_VALUE"""),"
")</f>
        <v>
</v>
      </c>
      <c r="AC388" s="17" t="str">
        <f>IFERROR(__xludf.DUMMYFUNCTION("""COMPUTED_VALUE"""),"
")</f>
        <v>
</v>
      </c>
    </row>
    <row r="389">
      <c r="A389" s="17" t="str">
        <f>IFERROR(__xludf.DUMMYFUNCTION("""COMPUTED_VALUE"""),"Chapter 36: 30 Crescendo - Addendum Missy
Workshop: Magic (Samurai Jack) 200:
A small base filled with all the equipment you’ll need to work. This lab can be used for your choice of scientific or magical research.
Facility")</f>
        <v>Chapter 36: 30 Crescendo - Addendum Missy
Workshop: Magic (Samurai Jack) 200:
A small base filled with all the equipment you’ll need to work. This lab can be used for your choice of scientific or magical research.
Facility</v>
      </c>
      <c r="B389" s="17" t="str">
        <f>IFERROR(__xludf.DUMMYFUNCTION("""COMPUTED_VALUE"""),"Chapter 63: 48 Uptime
Workshop: Science (Samurai Jack) 200:
A small base filled with all the equipment you’ll need to work. This lab can be used for your choice of scientific or magical research.
Facility")</f>
        <v>Chapter 63: 48 Uptime
Workshop: Science (Samurai Jack) 200:
A small base filled with all the equipment you’ll need to work. This lab can be used for your choice of scientific or magical research.
Facility</v>
      </c>
      <c r="C389" s="17" t="str">
        <f>IFERROR(__xludf.DUMMYFUNCTION("""COMPUTED_VALUE"""),"
")</f>
        <v>
</v>
      </c>
      <c r="D389" s="17" t="str">
        <f>IFERROR(__xludf.DUMMYFUNCTION("""COMPUTED_VALUE"""),"
")</f>
        <v>
</v>
      </c>
      <c r="E389" s="17" t="str">
        <f>IFERROR(__xludf.DUMMYFUNCTION("""COMPUTED_VALUE"""),"
")</f>
        <v>
</v>
      </c>
      <c r="F389" s="17" t="str">
        <f>IFERROR(__xludf.DUMMYFUNCTION("""COMPUTED_VALUE"""),"
")</f>
        <v>
</v>
      </c>
      <c r="G389" s="17" t="str">
        <f>IFERROR(__xludf.DUMMYFUNCTION("""COMPUTED_VALUE"""),"
")</f>
        <v>
</v>
      </c>
      <c r="H389" s="17" t="str">
        <f>IFERROR(__xludf.DUMMYFUNCTION("""COMPUTED_VALUE"""),"
")</f>
        <v>
</v>
      </c>
      <c r="I389" s="17" t="str">
        <f>IFERROR(__xludf.DUMMYFUNCTION("""COMPUTED_VALUE"""),"
")</f>
        <v>
</v>
      </c>
      <c r="J389" s="17" t="str">
        <f>IFERROR(__xludf.DUMMYFUNCTION("""COMPUTED_VALUE"""),"
")</f>
        <v>
</v>
      </c>
      <c r="K389" s="17" t="str">
        <f>IFERROR(__xludf.DUMMYFUNCTION("""COMPUTED_VALUE"""),"
")</f>
        <v>
</v>
      </c>
      <c r="L389" s="17" t="str">
        <f>IFERROR(__xludf.DUMMYFUNCTION("""COMPUTED_VALUE"""),"
")</f>
        <v>
</v>
      </c>
      <c r="M389" s="17" t="str">
        <f>IFERROR(__xludf.DUMMYFUNCTION("""COMPUTED_VALUE"""),"
")</f>
        <v>
</v>
      </c>
      <c r="N389" s="17" t="str">
        <f>IFERROR(__xludf.DUMMYFUNCTION("""COMPUTED_VALUE"""),"
")</f>
        <v>
</v>
      </c>
      <c r="O389" s="17" t="str">
        <f>IFERROR(__xludf.DUMMYFUNCTION("""COMPUTED_VALUE"""),"
")</f>
        <v>
</v>
      </c>
      <c r="P389" s="17" t="str">
        <f>IFERROR(__xludf.DUMMYFUNCTION("""COMPUTED_VALUE"""),"
")</f>
        <v>
</v>
      </c>
      <c r="Q389" s="17" t="str">
        <f>IFERROR(__xludf.DUMMYFUNCTION("""COMPUTED_VALUE"""),"
")</f>
        <v>
</v>
      </c>
      <c r="R389" s="17" t="str">
        <f>IFERROR(__xludf.DUMMYFUNCTION("""COMPUTED_VALUE"""),"
")</f>
        <v>
</v>
      </c>
      <c r="S389" s="17" t="str">
        <f>IFERROR(__xludf.DUMMYFUNCTION("""COMPUTED_VALUE"""),"
")</f>
        <v>
</v>
      </c>
      <c r="T389" s="17" t="str">
        <f>IFERROR(__xludf.DUMMYFUNCTION("""COMPUTED_VALUE"""),"
")</f>
        <v>
</v>
      </c>
      <c r="U389" s="17" t="str">
        <f>IFERROR(__xludf.DUMMYFUNCTION("""COMPUTED_VALUE"""),"
")</f>
        <v>
</v>
      </c>
      <c r="V389" s="17" t="str">
        <f>IFERROR(__xludf.DUMMYFUNCTION("""COMPUTED_VALUE"""),"
")</f>
        <v>
</v>
      </c>
      <c r="W389" s="17" t="str">
        <f>IFERROR(__xludf.DUMMYFUNCTION("""COMPUTED_VALUE"""),"
")</f>
        <v>
</v>
      </c>
      <c r="X389" s="17" t="str">
        <f>IFERROR(__xludf.DUMMYFUNCTION("""COMPUTED_VALUE"""),"
")</f>
        <v>
</v>
      </c>
      <c r="Y389" s="17" t="str">
        <f>IFERROR(__xludf.DUMMYFUNCTION("""COMPUTED_VALUE"""),"
")</f>
        <v>
</v>
      </c>
      <c r="Z389" s="17" t="str">
        <f>IFERROR(__xludf.DUMMYFUNCTION("""COMPUTED_VALUE"""),"
")</f>
        <v>
</v>
      </c>
      <c r="AA389" s="17" t="str">
        <f>IFERROR(__xludf.DUMMYFUNCTION("""COMPUTED_VALUE"""),"
")</f>
        <v>
</v>
      </c>
      <c r="AB389" s="17" t="str">
        <f>IFERROR(__xludf.DUMMYFUNCTION("""COMPUTED_VALUE"""),"
")</f>
        <v>
</v>
      </c>
      <c r="AC389" s="17" t="str">
        <f>IFERROR(__xludf.DUMMYFUNCTION("""COMPUTED_VALUE"""),"
")</f>
        <v>
</v>
      </c>
    </row>
    <row r="390">
      <c r="A390" s="17" t="str">
        <f>IFERROR(__xludf.DUMMYFUNCTION("""COMPUTED_VALUE"""),"")</f>
        <v/>
      </c>
      <c r="B390" s="17" t="str">
        <f>IFERROR(__xludf.DUMMYFUNCTION("""COMPUTED_VALUE"""),"")</f>
        <v/>
      </c>
      <c r="C390" s="17" t="str">
        <f>IFERROR(__xludf.DUMMYFUNCTION("""COMPUTED_VALUE"""),"")</f>
        <v/>
      </c>
      <c r="D390" s="17" t="str">
        <f>IFERROR(__xludf.DUMMYFUNCTION("""COMPUTED_VALUE"""),"")</f>
        <v/>
      </c>
      <c r="E390" s="17" t="str">
        <f>IFERROR(__xludf.DUMMYFUNCTION("""COMPUTED_VALUE"""),"")</f>
        <v/>
      </c>
      <c r="F390" s="17" t="str">
        <f>IFERROR(__xludf.DUMMYFUNCTION("""COMPUTED_VALUE"""),"")</f>
        <v/>
      </c>
      <c r="G390" s="17" t="str">
        <f>IFERROR(__xludf.DUMMYFUNCTION("""COMPUTED_VALUE"""),"")</f>
        <v/>
      </c>
      <c r="H390" s="17" t="str">
        <f>IFERROR(__xludf.DUMMYFUNCTION("""COMPUTED_VALUE"""),"")</f>
        <v/>
      </c>
      <c r="I390" s="17" t="str">
        <f>IFERROR(__xludf.DUMMYFUNCTION("""COMPUTED_VALUE"""),"")</f>
        <v/>
      </c>
      <c r="J390" s="17" t="str">
        <f>IFERROR(__xludf.DUMMYFUNCTION("""COMPUTED_VALUE"""),"")</f>
        <v/>
      </c>
      <c r="K390" s="17" t="str">
        <f>IFERROR(__xludf.DUMMYFUNCTION("""COMPUTED_VALUE"""),"")</f>
        <v/>
      </c>
      <c r="L390" s="17" t="str">
        <f>IFERROR(__xludf.DUMMYFUNCTION("""COMPUTED_VALUE"""),"")</f>
        <v/>
      </c>
      <c r="M390" s="17" t="str">
        <f>IFERROR(__xludf.DUMMYFUNCTION("""COMPUTED_VALUE"""),"")</f>
        <v/>
      </c>
      <c r="N390" s="17" t="str">
        <f>IFERROR(__xludf.DUMMYFUNCTION("""COMPUTED_VALUE"""),"")</f>
        <v/>
      </c>
      <c r="O390" s="17" t="str">
        <f>IFERROR(__xludf.DUMMYFUNCTION("""COMPUTED_VALUE"""),"")</f>
        <v/>
      </c>
      <c r="P390" s="17" t="str">
        <f>IFERROR(__xludf.DUMMYFUNCTION("""COMPUTED_VALUE"""),"")</f>
        <v/>
      </c>
      <c r="Q390" s="17" t="str">
        <f>IFERROR(__xludf.DUMMYFUNCTION("""COMPUTED_VALUE"""),"")</f>
        <v/>
      </c>
      <c r="R390" s="17" t="str">
        <f>IFERROR(__xludf.DUMMYFUNCTION("""COMPUTED_VALUE"""),"")</f>
        <v/>
      </c>
      <c r="S390" s="17" t="str">
        <f>IFERROR(__xludf.DUMMYFUNCTION("""COMPUTED_VALUE"""),"")</f>
        <v/>
      </c>
      <c r="T390" s="17" t="str">
        <f>IFERROR(__xludf.DUMMYFUNCTION("""COMPUTED_VALUE"""),"")</f>
        <v/>
      </c>
      <c r="U390" s="17" t="str">
        <f>IFERROR(__xludf.DUMMYFUNCTION("""COMPUTED_VALUE"""),"")</f>
        <v/>
      </c>
      <c r="V390" s="17" t="str">
        <f>IFERROR(__xludf.DUMMYFUNCTION("""COMPUTED_VALUE"""),"")</f>
        <v/>
      </c>
      <c r="W390" s="17" t="str">
        <f>IFERROR(__xludf.DUMMYFUNCTION("""COMPUTED_VALUE"""),"")</f>
        <v/>
      </c>
      <c r="X390" s="17" t="str">
        <f>IFERROR(__xludf.DUMMYFUNCTION("""COMPUTED_VALUE"""),"")</f>
        <v/>
      </c>
      <c r="Y390" s="17" t="str">
        <f>IFERROR(__xludf.DUMMYFUNCTION("""COMPUTED_VALUE"""),"")</f>
        <v/>
      </c>
      <c r="Z390" s="17" t="str">
        <f>IFERROR(__xludf.DUMMYFUNCTION("""COMPUTED_VALUE"""),"")</f>
        <v/>
      </c>
      <c r="AA390" s="17" t="str">
        <f>IFERROR(__xludf.DUMMYFUNCTION("""COMPUTED_VALUE"""),"")</f>
        <v/>
      </c>
      <c r="AB390" s="17" t="str">
        <f>IFERROR(__xludf.DUMMYFUNCTION("""COMPUTED_VALUE"""),"")</f>
        <v/>
      </c>
      <c r="AC390" s="17" t="str">
        <f>IFERROR(__xludf.DUMMYFUNCTION("""COMPUTED_VALUE"""),"")</f>
        <v/>
      </c>
    </row>
    <row r="391">
      <c r="A391" s="17" t="str">
        <f>IFERROR(__xludf.DUMMYFUNCTION("""COMPUTED_VALUE"""),"Chapter 60: 46.1 Interlude Weld
The Alchemy Machine (Shivers) 400:
Created by the legendary alchemist Louis Garcon, this mysterious machine combines modern science with principles passed down from ancient Egyptian times. Should you have any alchemic abili"&amp;"ty or knowledge, using this machine will not only drastically enhance the potency of anything you create, but also significantly boost the output. Careful experimentation may even let you learn to automate the alchemic process, allowing the machine to pro"&amp;"duce indefinitely if provided with supplies. Without such knowledge, though, expect significantly more experimentation before you achieve anything of note.
Item")</f>
        <v>Chapter 60: 46.1 Interlude Weld
The Alchemy Machine (Shivers) 400:
Created by the legendary alchemist Louis Garcon, this mysterious machine combines modern science with principles passed down from ancient Egyptian times. Should you have any alchemic ability or knowledge, using this machine will not only drastically enhance the potency of anything you create, but also significantly boost the output. Careful experimentation may even let you learn to automate the alchemic process, allowing the machine to produce indefinitely if provided with supplies. Without such knowledge, though, expect significantly more experimentation before you achieve anything of note.
Item</v>
      </c>
      <c r="B391" s="17" t="str">
        <f>IFERROR(__xludf.DUMMYFUNCTION("""COMPUTED_VALUE"""),"
")</f>
        <v>
</v>
      </c>
      <c r="C391" s="17" t="str">
        <f>IFERROR(__xludf.DUMMYFUNCTION("""COMPUTED_VALUE"""),"
")</f>
        <v>
</v>
      </c>
      <c r="D391" s="17" t="str">
        <f>IFERROR(__xludf.DUMMYFUNCTION("""COMPUTED_VALUE"""),"
")</f>
        <v>
</v>
      </c>
      <c r="E391" s="17" t="str">
        <f>IFERROR(__xludf.DUMMYFUNCTION("""COMPUTED_VALUE"""),"
")</f>
        <v>
</v>
      </c>
      <c r="F391" s="17" t="str">
        <f>IFERROR(__xludf.DUMMYFUNCTION("""COMPUTED_VALUE"""),"
")</f>
        <v>
</v>
      </c>
      <c r="G391" s="17" t="str">
        <f>IFERROR(__xludf.DUMMYFUNCTION("""COMPUTED_VALUE"""),"
")</f>
        <v>
</v>
      </c>
      <c r="H391" s="17" t="str">
        <f>IFERROR(__xludf.DUMMYFUNCTION("""COMPUTED_VALUE"""),"
")</f>
        <v>
</v>
      </c>
      <c r="I391" s="17" t="str">
        <f>IFERROR(__xludf.DUMMYFUNCTION("""COMPUTED_VALUE"""),"
")</f>
        <v>
</v>
      </c>
      <c r="J391" s="17" t="str">
        <f>IFERROR(__xludf.DUMMYFUNCTION("""COMPUTED_VALUE"""),"
")</f>
        <v>
</v>
      </c>
      <c r="K391" s="17" t="str">
        <f>IFERROR(__xludf.DUMMYFUNCTION("""COMPUTED_VALUE"""),"
")</f>
        <v>
</v>
      </c>
      <c r="L391" s="17" t="str">
        <f>IFERROR(__xludf.DUMMYFUNCTION("""COMPUTED_VALUE"""),"
")</f>
        <v>
</v>
      </c>
      <c r="M391" s="17" t="str">
        <f>IFERROR(__xludf.DUMMYFUNCTION("""COMPUTED_VALUE"""),"
")</f>
        <v>
</v>
      </c>
      <c r="N391" s="17" t="str">
        <f>IFERROR(__xludf.DUMMYFUNCTION("""COMPUTED_VALUE"""),"
")</f>
        <v>
</v>
      </c>
      <c r="O391" s="17" t="str">
        <f>IFERROR(__xludf.DUMMYFUNCTION("""COMPUTED_VALUE"""),"
")</f>
        <v>
</v>
      </c>
      <c r="P391" s="17" t="str">
        <f>IFERROR(__xludf.DUMMYFUNCTION("""COMPUTED_VALUE"""),"
")</f>
        <v>
</v>
      </c>
      <c r="Q391" s="17" t="str">
        <f>IFERROR(__xludf.DUMMYFUNCTION("""COMPUTED_VALUE"""),"
")</f>
        <v>
</v>
      </c>
      <c r="R391" s="17" t="str">
        <f>IFERROR(__xludf.DUMMYFUNCTION("""COMPUTED_VALUE"""),"
")</f>
        <v>
</v>
      </c>
      <c r="S391" s="17" t="str">
        <f>IFERROR(__xludf.DUMMYFUNCTION("""COMPUTED_VALUE"""),"
")</f>
        <v>
</v>
      </c>
      <c r="T391" s="17" t="str">
        <f>IFERROR(__xludf.DUMMYFUNCTION("""COMPUTED_VALUE"""),"
")</f>
        <v>
</v>
      </c>
      <c r="U391" s="17" t="str">
        <f>IFERROR(__xludf.DUMMYFUNCTION("""COMPUTED_VALUE"""),"
")</f>
        <v>
</v>
      </c>
      <c r="V391" s="17" t="str">
        <f>IFERROR(__xludf.DUMMYFUNCTION("""COMPUTED_VALUE"""),"
")</f>
        <v>
</v>
      </c>
      <c r="W391" s="17" t="str">
        <f>IFERROR(__xludf.DUMMYFUNCTION("""COMPUTED_VALUE"""),"
")</f>
        <v>
</v>
      </c>
      <c r="X391" s="17" t="str">
        <f>IFERROR(__xludf.DUMMYFUNCTION("""COMPUTED_VALUE"""),"
")</f>
        <v>
</v>
      </c>
      <c r="Y391" s="17" t="str">
        <f>IFERROR(__xludf.DUMMYFUNCTION("""COMPUTED_VALUE"""),"
")</f>
        <v>
</v>
      </c>
      <c r="Z391" s="17" t="str">
        <f>IFERROR(__xludf.DUMMYFUNCTION("""COMPUTED_VALUE"""),"
")</f>
        <v>
</v>
      </c>
      <c r="AA391" s="17" t="str">
        <f>IFERROR(__xludf.DUMMYFUNCTION("""COMPUTED_VALUE"""),"
")</f>
        <v>
</v>
      </c>
      <c r="AB391" s="17" t="str">
        <f>IFERROR(__xludf.DUMMYFUNCTION("""COMPUTED_VALUE"""),"
")</f>
        <v>
</v>
      </c>
      <c r="AC391" s="17" t="str">
        <f>IFERROR(__xludf.DUMMYFUNCTION("""COMPUTED_VALUE"""),"
")</f>
        <v>
</v>
      </c>
    </row>
    <row r="392">
      <c r="A392" s="17" t="str">
        <f>IFERROR(__xludf.DUMMYFUNCTION("""COMPUTED_VALUE"""),"")</f>
        <v/>
      </c>
      <c r="B392" s="17" t="str">
        <f>IFERROR(__xludf.DUMMYFUNCTION("""COMPUTED_VALUE"""),"")</f>
        <v/>
      </c>
      <c r="C392" s="17" t="str">
        <f>IFERROR(__xludf.DUMMYFUNCTION("""COMPUTED_VALUE"""),"")</f>
        <v/>
      </c>
      <c r="D392" s="17" t="str">
        <f>IFERROR(__xludf.DUMMYFUNCTION("""COMPUTED_VALUE"""),"")</f>
        <v/>
      </c>
      <c r="E392" s="17" t="str">
        <f>IFERROR(__xludf.DUMMYFUNCTION("""COMPUTED_VALUE"""),"")</f>
        <v/>
      </c>
      <c r="F392" s="17" t="str">
        <f>IFERROR(__xludf.DUMMYFUNCTION("""COMPUTED_VALUE"""),"")</f>
        <v/>
      </c>
      <c r="G392" s="17" t="str">
        <f>IFERROR(__xludf.DUMMYFUNCTION("""COMPUTED_VALUE"""),"")</f>
        <v/>
      </c>
      <c r="H392" s="17" t="str">
        <f>IFERROR(__xludf.DUMMYFUNCTION("""COMPUTED_VALUE"""),"")</f>
        <v/>
      </c>
      <c r="I392" s="17" t="str">
        <f>IFERROR(__xludf.DUMMYFUNCTION("""COMPUTED_VALUE"""),"")</f>
        <v/>
      </c>
      <c r="J392" s="17" t="str">
        <f>IFERROR(__xludf.DUMMYFUNCTION("""COMPUTED_VALUE"""),"")</f>
        <v/>
      </c>
      <c r="K392" s="17" t="str">
        <f>IFERROR(__xludf.DUMMYFUNCTION("""COMPUTED_VALUE"""),"")</f>
        <v/>
      </c>
      <c r="L392" s="17" t="str">
        <f>IFERROR(__xludf.DUMMYFUNCTION("""COMPUTED_VALUE"""),"")</f>
        <v/>
      </c>
      <c r="M392" s="17" t="str">
        <f>IFERROR(__xludf.DUMMYFUNCTION("""COMPUTED_VALUE"""),"")</f>
        <v/>
      </c>
      <c r="N392" s="17" t="str">
        <f>IFERROR(__xludf.DUMMYFUNCTION("""COMPUTED_VALUE"""),"")</f>
        <v/>
      </c>
      <c r="O392" s="17" t="str">
        <f>IFERROR(__xludf.DUMMYFUNCTION("""COMPUTED_VALUE"""),"")</f>
        <v/>
      </c>
      <c r="P392" s="17" t="str">
        <f>IFERROR(__xludf.DUMMYFUNCTION("""COMPUTED_VALUE"""),"")</f>
        <v/>
      </c>
      <c r="Q392" s="17" t="str">
        <f>IFERROR(__xludf.DUMMYFUNCTION("""COMPUTED_VALUE"""),"")</f>
        <v/>
      </c>
      <c r="R392" s="17" t="str">
        <f>IFERROR(__xludf.DUMMYFUNCTION("""COMPUTED_VALUE"""),"")</f>
        <v/>
      </c>
      <c r="S392" s="17" t="str">
        <f>IFERROR(__xludf.DUMMYFUNCTION("""COMPUTED_VALUE"""),"")</f>
        <v/>
      </c>
      <c r="T392" s="17" t="str">
        <f>IFERROR(__xludf.DUMMYFUNCTION("""COMPUTED_VALUE"""),"")</f>
        <v/>
      </c>
      <c r="U392" s="17" t="str">
        <f>IFERROR(__xludf.DUMMYFUNCTION("""COMPUTED_VALUE"""),"")</f>
        <v/>
      </c>
      <c r="V392" s="17" t="str">
        <f>IFERROR(__xludf.DUMMYFUNCTION("""COMPUTED_VALUE"""),"")</f>
        <v/>
      </c>
      <c r="W392" s="17" t="str">
        <f>IFERROR(__xludf.DUMMYFUNCTION("""COMPUTED_VALUE"""),"")</f>
        <v/>
      </c>
      <c r="X392" s="17" t="str">
        <f>IFERROR(__xludf.DUMMYFUNCTION("""COMPUTED_VALUE"""),"")</f>
        <v/>
      </c>
      <c r="Y392" s="17" t="str">
        <f>IFERROR(__xludf.DUMMYFUNCTION("""COMPUTED_VALUE"""),"")</f>
        <v/>
      </c>
      <c r="Z392" s="17" t="str">
        <f>IFERROR(__xludf.DUMMYFUNCTION("""COMPUTED_VALUE"""),"")</f>
        <v/>
      </c>
      <c r="AA392" s="17" t="str">
        <f>IFERROR(__xludf.DUMMYFUNCTION("""COMPUTED_VALUE"""),"")</f>
        <v/>
      </c>
      <c r="AB392" s="17" t="str">
        <f>IFERROR(__xludf.DUMMYFUNCTION("""COMPUTED_VALUE"""),"")</f>
        <v/>
      </c>
      <c r="AC392" s="17" t="str">
        <f>IFERROR(__xludf.DUMMYFUNCTION("""COMPUTED_VALUE"""),"")</f>
        <v/>
      </c>
    </row>
    <row r="393">
      <c r="A393" s="17" t="str">
        <f>IFERROR(__xludf.DUMMYFUNCTION("""COMPUTED_VALUE"""),"Chapter 52: 42 Incapacitated - Preamble Jeanne
Striker Artificer Toolkit (Strike Witches) 100:
Professional Quality Toolkit for sale. Never used. All the tools you need to make a Striker. Act Quick, Limited Stock. O'Malley's Tool Mart.
Item")</f>
        <v>Chapter 52: 42 Incapacitated - Preamble Jeanne
Striker Artificer Toolkit (Strike Witches) 100:
Professional Quality Toolkit for sale. Never used. All the tools you need to make a Striker. Act Quick, Limited Stock. O'Malley's Tool Mart.
Item</v>
      </c>
      <c r="B393" s="17" t="str">
        <f>IFERROR(__xludf.DUMMYFUNCTION("""COMPUTED_VALUE"""),"Chapter 52: 42 Incapacitated - Preamble Jeanne
Defensive Sign “Directional Shield” (Strike Witches) Free:
All Strike Witches are trained to produce a 2 dimensional circle of energy a short distance directly in front of them which can deflect light attacks"&amp;". You cannot fire a weapon through a shield.
System, Ability")</f>
        <v>Chapter 52: 42 Incapacitated - Preamble Jeanne
Defensive Sign “Directional Shield” (Strike Witches) Free:
All Strike Witches are trained to produce a 2 dimensional circle of energy a short distance directly in front of them which can deflect light attacks. You cannot fire a weapon through a shield.
System, Ability</v>
      </c>
      <c r="C393" s="17" t="str">
        <f>IFERROR(__xludf.DUMMYFUNCTION("""COMPUTED_VALUE"""),"Chapter 52: 42 Incapacitated - Preamble Jeanne
First Generation Striker (Strike Witches) Free:
A basic propeller driven Striker unit. Very agile but unable to break the speed barrier. Fighter
Vehicle")</f>
        <v>Chapter 52: 42 Incapacitated - Preamble Jeanne
First Generation Striker (Strike Witches) Free:
A basic propeller driven Striker unit. Very agile but unable to break the speed barrier. Fighter
Vehicle</v>
      </c>
      <c r="D393" s="17" t="str">
        <f>IFERROR(__xludf.DUMMYFUNCTION("""COMPUTED_VALUE"""),"
")</f>
        <v>
</v>
      </c>
      <c r="E393" s="17" t="str">
        <f>IFERROR(__xludf.DUMMYFUNCTION("""COMPUTED_VALUE"""),"
")</f>
        <v>
</v>
      </c>
      <c r="F393" s="17" t="str">
        <f>IFERROR(__xludf.DUMMYFUNCTION("""COMPUTED_VALUE"""),"
")</f>
        <v>
</v>
      </c>
      <c r="G393" s="17" t="str">
        <f>IFERROR(__xludf.DUMMYFUNCTION("""COMPUTED_VALUE"""),"
")</f>
        <v>
</v>
      </c>
      <c r="H393" s="17" t="str">
        <f>IFERROR(__xludf.DUMMYFUNCTION("""COMPUTED_VALUE"""),"
")</f>
        <v>
</v>
      </c>
      <c r="I393" s="17" t="str">
        <f>IFERROR(__xludf.DUMMYFUNCTION("""COMPUTED_VALUE"""),"
")</f>
        <v>
</v>
      </c>
      <c r="J393" s="17" t="str">
        <f>IFERROR(__xludf.DUMMYFUNCTION("""COMPUTED_VALUE"""),"
")</f>
        <v>
</v>
      </c>
      <c r="K393" s="17" t="str">
        <f>IFERROR(__xludf.DUMMYFUNCTION("""COMPUTED_VALUE"""),"
")</f>
        <v>
</v>
      </c>
      <c r="L393" s="17" t="str">
        <f>IFERROR(__xludf.DUMMYFUNCTION("""COMPUTED_VALUE"""),"
")</f>
        <v>
</v>
      </c>
      <c r="M393" s="17" t="str">
        <f>IFERROR(__xludf.DUMMYFUNCTION("""COMPUTED_VALUE"""),"
")</f>
        <v>
</v>
      </c>
      <c r="N393" s="17" t="str">
        <f>IFERROR(__xludf.DUMMYFUNCTION("""COMPUTED_VALUE"""),"
")</f>
        <v>
</v>
      </c>
      <c r="O393" s="17" t="str">
        <f>IFERROR(__xludf.DUMMYFUNCTION("""COMPUTED_VALUE"""),"
")</f>
        <v>
</v>
      </c>
      <c r="P393" s="17" t="str">
        <f>IFERROR(__xludf.DUMMYFUNCTION("""COMPUTED_VALUE"""),"
")</f>
        <v>
</v>
      </c>
      <c r="Q393" s="17" t="str">
        <f>IFERROR(__xludf.DUMMYFUNCTION("""COMPUTED_VALUE"""),"
")</f>
        <v>
</v>
      </c>
      <c r="R393" s="17" t="str">
        <f>IFERROR(__xludf.DUMMYFUNCTION("""COMPUTED_VALUE"""),"
")</f>
        <v>
</v>
      </c>
      <c r="S393" s="17" t="str">
        <f>IFERROR(__xludf.DUMMYFUNCTION("""COMPUTED_VALUE"""),"
")</f>
        <v>
</v>
      </c>
      <c r="T393" s="17" t="str">
        <f>IFERROR(__xludf.DUMMYFUNCTION("""COMPUTED_VALUE"""),"
")</f>
        <v>
</v>
      </c>
      <c r="U393" s="17" t="str">
        <f>IFERROR(__xludf.DUMMYFUNCTION("""COMPUTED_VALUE"""),"
")</f>
        <v>
</v>
      </c>
      <c r="V393" s="17" t="str">
        <f>IFERROR(__xludf.DUMMYFUNCTION("""COMPUTED_VALUE"""),"
")</f>
        <v>
</v>
      </c>
      <c r="W393" s="17" t="str">
        <f>IFERROR(__xludf.DUMMYFUNCTION("""COMPUTED_VALUE"""),"
")</f>
        <v>
</v>
      </c>
      <c r="X393" s="17" t="str">
        <f>IFERROR(__xludf.DUMMYFUNCTION("""COMPUTED_VALUE"""),"
")</f>
        <v>
</v>
      </c>
      <c r="Y393" s="17" t="str">
        <f>IFERROR(__xludf.DUMMYFUNCTION("""COMPUTED_VALUE"""),"
")</f>
        <v>
</v>
      </c>
      <c r="Z393" s="17" t="str">
        <f>IFERROR(__xludf.DUMMYFUNCTION("""COMPUTED_VALUE"""),"
")</f>
        <v>
</v>
      </c>
      <c r="AA393" s="17" t="str">
        <f>IFERROR(__xludf.DUMMYFUNCTION("""COMPUTED_VALUE"""),"
")</f>
        <v>
</v>
      </c>
      <c r="AB393" s="17" t="str">
        <f>IFERROR(__xludf.DUMMYFUNCTION("""COMPUTED_VALUE"""),"
")</f>
        <v>
</v>
      </c>
      <c r="AC393" s="17" t="str">
        <f>IFERROR(__xludf.DUMMYFUNCTION("""COMPUTED_VALUE"""),"
")</f>
        <v>
</v>
      </c>
    </row>
    <row r="394">
      <c r="A394" s="17" t="str">
        <f>IFERROR(__xludf.DUMMYFUNCTION("""COMPUTED_VALUE"""),"")</f>
        <v/>
      </c>
      <c r="B394" s="17" t="str">
        <f>IFERROR(__xludf.DUMMYFUNCTION("""COMPUTED_VALUE"""),"")</f>
        <v/>
      </c>
      <c r="C394" s="17" t="str">
        <f>IFERROR(__xludf.DUMMYFUNCTION("""COMPUTED_VALUE"""),"")</f>
        <v/>
      </c>
      <c r="D394" s="17" t="str">
        <f>IFERROR(__xludf.DUMMYFUNCTION("""COMPUTED_VALUE"""),"")</f>
        <v/>
      </c>
      <c r="E394" s="17" t="str">
        <f>IFERROR(__xludf.DUMMYFUNCTION("""COMPUTED_VALUE"""),"")</f>
        <v/>
      </c>
      <c r="F394" s="17" t="str">
        <f>IFERROR(__xludf.DUMMYFUNCTION("""COMPUTED_VALUE"""),"")</f>
        <v/>
      </c>
      <c r="G394" s="17" t="str">
        <f>IFERROR(__xludf.DUMMYFUNCTION("""COMPUTED_VALUE"""),"")</f>
        <v/>
      </c>
      <c r="H394" s="17" t="str">
        <f>IFERROR(__xludf.DUMMYFUNCTION("""COMPUTED_VALUE"""),"")</f>
        <v/>
      </c>
      <c r="I394" s="17" t="str">
        <f>IFERROR(__xludf.DUMMYFUNCTION("""COMPUTED_VALUE"""),"")</f>
        <v/>
      </c>
      <c r="J394" s="17" t="str">
        <f>IFERROR(__xludf.DUMMYFUNCTION("""COMPUTED_VALUE"""),"")</f>
        <v/>
      </c>
      <c r="K394" s="17" t="str">
        <f>IFERROR(__xludf.DUMMYFUNCTION("""COMPUTED_VALUE"""),"")</f>
        <v/>
      </c>
      <c r="L394" s="17" t="str">
        <f>IFERROR(__xludf.DUMMYFUNCTION("""COMPUTED_VALUE"""),"")</f>
        <v/>
      </c>
      <c r="M394" s="17" t="str">
        <f>IFERROR(__xludf.DUMMYFUNCTION("""COMPUTED_VALUE"""),"")</f>
        <v/>
      </c>
      <c r="N394" s="17" t="str">
        <f>IFERROR(__xludf.DUMMYFUNCTION("""COMPUTED_VALUE"""),"")</f>
        <v/>
      </c>
      <c r="O394" s="17" t="str">
        <f>IFERROR(__xludf.DUMMYFUNCTION("""COMPUTED_VALUE"""),"")</f>
        <v/>
      </c>
      <c r="P394" s="17" t="str">
        <f>IFERROR(__xludf.DUMMYFUNCTION("""COMPUTED_VALUE"""),"")</f>
        <v/>
      </c>
      <c r="Q394" s="17" t="str">
        <f>IFERROR(__xludf.DUMMYFUNCTION("""COMPUTED_VALUE"""),"")</f>
        <v/>
      </c>
      <c r="R394" s="17" t="str">
        <f>IFERROR(__xludf.DUMMYFUNCTION("""COMPUTED_VALUE"""),"")</f>
        <v/>
      </c>
      <c r="S394" s="17" t="str">
        <f>IFERROR(__xludf.DUMMYFUNCTION("""COMPUTED_VALUE"""),"")</f>
        <v/>
      </c>
      <c r="T394" s="17" t="str">
        <f>IFERROR(__xludf.DUMMYFUNCTION("""COMPUTED_VALUE"""),"")</f>
        <v/>
      </c>
      <c r="U394" s="17" t="str">
        <f>IFERROR(__xludf.DUMMYFUNCTION("""COMPUTED_VALUE"""),"")</f>
        <v/>
      </c>
      <c r="V394" s="17" t="str">
        <f>IFERROR(__xludf.DUMMYFUNCTION("""COMPUTED_VALUE"""),"")</f>
        <v/>
      </c>
      <c r="W394" s="17" t="str">
        <f>IFERROR(__xludf.DUMMYFUNCTION("""COMPUTED_VALUE"""),"")</f>
        <v/>
      </c>
      <c r="X394" s="17" t="str">
        <f>IFERROR(__xludf.DUMMYFUNCTION("""COMPUTED_VALUE"""),"")</f>
        <v/>
      </c>
      <c r="Y394" s="17" t="str">
        <f>IFERROR(__xludf.DUMMYFUNCTION("""COMPUTED_VALUE"""),"")</f>
        <v/>
      </c>
      <c r="Z394" s="17" t="str">
        <f>IFERROR(__xludf.DUMMYFUNCTION("""COMPUTED_VALUE"""),"")</f>
        <v/>
      </c>
      <c r="AA394" s="17" t="str">
        <f>IFERROR(__xludf.DUMMYFUNCTION("""COMPUTED_VALUE"""),"")</f>
        <v/>
      </c>
      <c r="AB394" s="17" t="str">
        <f>IFERROR(__xludf.DUMMYFUNCTION("""COMPUTED_VALUE"""),"")</f>
        <v/>
      </c>
      <c r="AC394" s="17" t="str">
        <f>IFERROR(__xludf.DUMMYFUNCTION("""COMPUTED_VALUE"""),"")</f>
        <v/>
      </c>
    </row>
    <row r="395">
      <c r="A395" s="17" t="str">
        <f>IFERROR(__xludf.DUMMYFUNCTION("""COMPUTED_VALUE"""),"Chapter 29: 23 Renovation - Addendum Taylor
Skyforge (The Elder Scrolls: Skyrim) 200:
An ancient, mysterious, eagle themed forge added to your warehouse. Any metal items crafted at the forge will be significantly harder and stronger for it. Something abo"&amp;"ut the fires.
Facility")</f>
        <v>Chapter 29: 23 Renovation - Addendum Taylor
Skyforge (The Elder Scrolls: Skyrim) 200:
An ancient, mysterious, eagle themed forge added to your warehouse. Any metal items crafted at the forge will be significantly harder and stronger for it. Something about the fires.
Facility</v>
      </c>
      <c r="B395" s="17" t="str">
        <f>IFERROR(__xludf.DUMMYFUNCTION("""COMPUTED_VALUE"""),"Chapter 29: 23 Renovation - Addendum Taylor
Standing Stone: The Lover (The Elder Scrolls: Skyrim) Free:
Those under the sign of the Lover learn all skills slightly faster than they otherwise would.
Personal")</f>
        <v>Chapter 29: 23 Renovation - Addendum Taylor
Standing Stone: The Lover (The Elder Scrolls: Skyrim) Free:
Those under the sign of the Lover learn all skills slightly faster than they otherwise would.
Personal</v>
      </c>
      <c r="C395" s="17" t="str">
        <f>IFERROR(__xludf.DUMMYFUNCTION("""COMPUTED_VALUE"""),"
")</f>
        <v>
</v>
      </c>
      <c r="D395" s="17" t="str">
        <f>IFERROR(__xludf.DUMMYFUNCTION("""COMPUTED_VALUE"""),"
")</f>
        <v>
</v>
      </c>
      <c r="E395" s="17" t="str">
        <f>IFERROR(__xludf.DUMMYFUNCTION("""COMPUTED_VALUE"""),"
")</f>
        <v>
</v>
      </c>
      <c r="F395" s="17" t="str">
        <f>IFERROR(__xludf.DUMMYFUNCTION("""COMPUTED_VALUE"""),"
")</f>
        <v>
</v>
      </c>
      <c r="G395" s="17" t="str">
        <f>IFERROR(__xludf.DUMMYFUNCTION("""COMPUTED_VALUE"""),"
")</f>
        <v>
</v>
      </c>
      <c r="H395" s="17" t="str">
        <f>IFERROR(__xludf.DUMMYFUNCTION("""COMPUTED_VALUE"""),"
")</f>
        <v>
</v>
      </c>
      <c r="I395" s="17" t="str">
        <f>IFERROR(__xludf.DUMMYFUNCTION("""COMPUTED_VALUE"""),"
")</f>
        <v>
</v>
      </c>
      <c r="J395" s="17" t="str">
        <f>IFERROR(__xludf.DUMMYFUNCTION("""COMPUTED_VALUE"""),"
")</f>
        <v>
</v>
      </c>
      <c r="K395" s="17" t="str">
        <f>IFERROR(__xludf.DUMMYFUNCTION("""COMPUTED_VALUE"""),"
")</f>
        <v>
</v>
      </c>
      <c r="L395" s="17" t="str">
        <f>IFERROR(__xludf.DUMMYFUNCTION("""COMPUTED_VALUE"""),"
")</f>
        <v>
</v>
      </c>
      <c r="M395" s="17" t="str">
        <f>IFERROR(__xludf.DUMMYFUNCTION("""COMPUTED_VALUE"""),"
")</f>
        <v>
</v>
      </c>
      <c r="N395" s="17" t="str">
        <f>IFERROR(__xludf.DUMMYFUNCTION("""COMPUTED_VALUE"""),"
")</f>
        <v>
</v>
      </c>
      <c r="O395" s="17" t="str">
        <f>IFERROR(__xludf.DUMMYFUNCTION("""COMPUTED_VALUE"""),"
")</f>
        <v>
</v>
      </c>
      <c r="P395" s="17" t="str">
        <f>IFERROR(__xludf.DUMMYFUNCTION("""COMPUTED_VALUE"""),"
")</f>
        <v>
</v>
      </c>
      <c r="Q395" s="17" t="str">
        <f>IFERROR(__xludf.DUMMYFUNCTION("""COMPUTED_VALUE"""),"
")</f>
        <v>
</v>
      </c>
      <c r="R395" s="17" t="str">
        <f>IFERROR(__xludf.DUMMYFUNCTION("""COMPUTED_VALUE"""),"
")</f>
        <v>
</v>
      </c>
      <c r="S395" s="17" t="str">
        <f>IFERROR(__xludf.DUMMYFUNCTION("""COMPUTED_VALUE"""),"
")</f>
        <v>
</v>
      </c>
      <c r="T395" s="17" t="str">
        <f>IFERROR(__xludf.DUMMYFUNCTION("""COMPUTED_VALUE"""),"
")</f>
        <v>
</v>
      </c>
      <c r="U395" s="17" t="str">
        <f>IFERROR(__xludf.DUMMYFUNCTION("""COMPUTED_VALUE"""),"
")</f>
        <v>
</v>
      </c>
      <c r="V395" s="17" t="str">
        <f>IFERROR(__xludf.DUMMYFUNCTION("""COMPUTED_VALUE"""),"
")</f>
        <v>
</v>
      </c>
      <c r="W395" s="17" t="str">
        <f>IFERROR(__xludf.DUMMYFUNCTION("""COMPUTED_VALUE"""),"
")</f>
        <v>
</v>
      </c>
      <c r="X395" s="17" t="str">
        <f>IFERROR(__xludf.DUMMYFUNCTION("""COMPUTED_VALUE"""),"
")</f>
        <v>
</v>
      </c>
      <c r="Y395" s="17" t="str">
        <f>IFERROR(__xludf.DUMMYFUNCTION("""COMPUTED_VALUE"""),"
")</f>
        <v>
</v>
      </c>
      <c r="Z395" s="17" t="str">
        <f>IFERROR(__xludf.DUMMYFUNCTION("""COMPUTED_VALUE"""),"
")</f>
        <v>
</v>
      </c>
      <c r="AA395" s="17" t="str">
        <f>IFERROR(__xludf.DUMMYFUNCTION("""COMPUTED_VALUE"""),"
")</f>
        <v>
</v>
      </c>
      <c r="AB395" s="17" t="str">
        <f>IFERROR(__xludf.DUMMYFUNCTION("""COMPUTED_VALUE"""),"
")</f>
        <v>
</v>
      </c>
      <c r="AC395" s="17" t="str">
        <f>IFERROR(__xludf.DUMMYFUNCTION("""COMPUTED_VALUE"""),"
")</f>
        <v>
</v>
      </c>
    </row>
    <row r="396">
      <c r="A396" s="17" t="str">
        <f>IFERROR(__xludf.DUMMYFUNCTION("""COMPUTED_VALUE"""),"Chapter 30: 24 Tech Work - Addendum Alec
Hidden Hideaway / Laboratory (Valkyria Chronicles) 200:
You've come into possession of a small but out of the way safe-house, providing you with a place to rest and recuperate. This place has enough supplies for 9 "&amp;"people to live for a year or so. Those who have chosen the Scientist origin however, gain an upgrade to this building in the form of an underground laboratory. It is stocked with all the necessary tools and ingredients for a secret lab in the 1930's, alon"&amp;"g with a few scattered notes on what appears to be a figure surrounded in light.
Facility")</f>
        <v>Chapter 30: 24 Tech Work - Addendum Alec
Hidden Hideaway / Laboratory (Valkyria Chronicles) 200:
You've come into possession of a small but out of the way safe-house, providing you with a place to rest and recuperate. This place has enough supplies for 9 people to live for a year or so. Those who have chosen the Scientist origin however, gain an upgrade to this building in the form of an underground laboratory. It is stocked with all the necessary tools and ingredients for a secret lab in the 1930's, along with a few scattered notes on what appears to be a figure surrounded in light.
Facility</v>
      </c>
      <c r="B396" s="17" t="str">
        <f>IFERROR(__xludf.DUMMYFUNCTION("""COMPUTED_VALUE"""),"Chapter 30: 24 Tech Work - Addendum Alec
Ragnite Container (Valkyria Chronicles) Free:
Ragnite is a valuable resource in Europa, and it is unlikely to appear in any other worlds. You receive a container that replenishes once per day. The free level gets y"&amp;"ou a box the size of a human head.
Item")</f>
        <v>Chapter 30: 24 Tech Work - Addendum Alec
Ragnite Container (Valkyria Chronicles) Free:
Ragnite is a valuable resource in Europa, and it is unlikely to appear in any other worlds. You receive a container that replenishes once per day. The free level gets you a box the size of a human head.
Item</v>
      </c>
      <c r="C396" s="17" t="str">
        <f>IFERROR(__xludf.DUMMYFUNCTION("""COMPUTED_VALUE"""),"
")</f>
        <v>
</v>
      </c>
      <c r="D396" s="17" t="str">
        <f>IFERROR(__xludf.DUMMYFUNCTION("""COMPUTED_VALUE"""),"
")</f>
        <v>
</v>
      </c>
      <c r="E396" s="17" t="str">
        <f>IFERROR(__xludf.DUMMYFUNCTION("""COMPUTED_VALUE"""),"
")</f>
        <v>
</v>
      </c>
      <c r="F396" s="17" t="str">
        <f>IFERROR(__xludf.DUMMYFUNCTION("""COMPUTED_VALUE"""),"
")</f>
        <v>
</v>
      </c>
      <c r="G396" s="17" t="str">
        <f>IFERROR(__xludf.DUMMYFUNCTION("""COMPUTED_VALUE"""),"
")</f>
        <v>
</v>
      </c>
      <c r="H396" s="17" t="str">
        <f>IFERROR(__xludf.DUMMYFUNCTION("""COMPUTED_VALUE"""),"
")</f>
        <v>
</v>
      </c>
      <c r="I396" s="17" t="str">
        <f>IFERROR(__xludf.DUMMYFUNCTION("""COMPUTED_VALUE"""),"
")</f>
        <v>
</v>
      </c>
      <c r="J396" s="17" t="str">
        <f>IFERROR(__xludf.DUMMYFUNCTION("""COMPUTED_VALUE"""),"
")</f>
        <v>
</v>
      </c>
      <c r="K396" s="17" t="str">
        <f>IFERROR(__xludf.DUMMYFUNCTION("""COMPUTED_VALUE"""),"
")</f>
        <v>
</v>
      </c>
      <c r="L396" s="17" t="str">
        <f>IFERROR(__xludf.DUMMYFUNCTION("""COMPUTED_VALUE"""),"
")</f>
        <v>
</v>
      </c>
      <c r="M396" s="17" t="str">
        <f>IFERROR(__xludf.DUMMYFUNCTION("""COMPUTED_VALUE"""),"
")</f>
        <v>
</v>
      </c>
      <c r="N396" s="17" t="str">
        <f>IFERROR(__xludf.DUMMYFUNCTION("""COMPUTED_VALUE"""),"
")</f>
        <v>
</v>
      </c>
      <c r="O396" s="17" t="str">
        <f>IFERROR(__xludf.DUMMYFUNCTION("""COMPUTED_VALUE"""),"
")</f>
        <v>
</v>
      </c>
      <c r="P396" s="17" t="str">
        <f>IFERROR(__xludf.DUMMYFUNCTION("""COMPUTED_VALUE"""),"
")</f>
        <v>
</v>
      </c>
      <c r="Q396" s="17" t="str">
        <f>IFERROR(__xludf.DUMMYFUNCTION("""COMPUTED_VALUE"""),"
")</f>
        <v>
</v>
      </c>
      <c r="R396" s="17" t="str">
        <f>IFERROR(__xludf.DUMMYFUNCTION("""COMPUTED_VALUE"""),"
")</f>
        <v>
</v>
      </c>
      <c r="S396" s="17" t="str">
        <f>IFERROR(__xludf.DUMMYFUNCTION("""COMPUTED_VALUE"""),"
")</f>
        <v>
</v>
      </c>
      <c r="T396" s="17" t="str">
        <f>IFERROR(__xludf.DUMMYFUNCTION("""COMPUTED_VALUE"""),"
")</f>
        <v>
</v>
      </c>
      <c r="U396" s="17" t="str">
        <f>IFERROR(__xludf.DUMMYFUNCTION("""COMPUTED_VALUE"""),"
")</f>
        <v>
</v>
      </c>
      <c r="V396" s="17" t="str">
        <f>IFERROR(__xludf.DUMMYFUNCTION("""COMPUTED_VALUE"""),"
")</f>
        <v>
</v>
      </c>
      <c r="W396" s="17" t="str">
        <f>IFERROR(__xludf.DUMMYFUNCTION("""COMPUTED_VALUE"""),"
")</f>
        <v>
</v>
      </c>
      <c r="X396" s="17" t="str">
        <f>IFERROR(__xludf.DUMMYFUNCTION("""COMPUTED_VALUE"""),"
")</f>
        <v>
</v>
      </c>
      <c r="Y396" s="17" t="str">
        <f>IFERROR(__xludf.DUMMYFUNCTION("""COMPUTED_VALUE"""),"
")</f>
        <v>
</v>
      </c>
      <c r="Z396" s="17" t="str">
        <f>IFERROR(__xludf.DUMMYFUNCTION("""COMPUTED_VALUE"""),"
")</f>
        <v>
</v>
      </c>
      <c r="AA396" s="17" t="str">
        <f>IFERROR(__xludf.DUMMYFUNCTION("""COMPUTED_VALUE"""),"
")</f>
        <v>
</v>
      </c>
      <c r="AB396" s="17" t="str">
        <f>IFERROR(__xludf.DUMMYFUNCTION("""COMPUTED_VALUE"""),"
")</f>
        <v>
</v>
      </c>
      <c r="AC396" s="17" t="str">
        <f>IFERROR(__xludf.DUMMYFUNCTION("""COMPUTED_VALUE"""),"
")</f>
        <v>
</v>
      </c>
    </row>
    <row r="397">
      <c r="A397" s="17" t="str">
        <f>IFERROR(__xludf.DUMMYFUNCTION("""COMPUTED_VALUE"""),"Chapter 05: 4 Recovery
Laboratorium (Light of Terra DLC 3 - A Grand Day Out) 100:
Ancient cogitators, arrays of auspex systems, and volume upon volume of documentation supply an Adept with the tools and information necessary to capably analyse a recovered"&amp;" technological artefact.
Facility")</f>
        <v>Chapter 05: 4 Recovery
Laboratorium (Light of Terra DLC 3 - A Grand Day Out) 100:
Ancient cogitators, arrays of auspex systems, and volume upon volume of documentation supply an Adept with the tools and information necessary to capably analyse a recovered technological artefact.
Facility</v>
      </c>
      <c r="B397" s="17" t="str">
        <f>IFERROR(__xludf.DUMMYFUNCTION("""COMPUTED_VALUE"""),"
")</f>
        <v>
</v>
      </c>
      <c r="C397" s="17" t="str">
        <f>IFERROR(__xludf.DUMMYFUNCTION("""COMPUTED_VALUE"""),"
")</f>
        <v>
</v>
      </c>
      <c r="D397" s="17" t="str">
        <f>IFERROR(__xludf.DUMMYFUNCTION("""COMPUTED_VALUE"""),"
")</f>
        <v>
</v>
      </c>
      <c r="E397" s="17" t="str">
        <f>IFERROR(__xludf.DUMMYFUNCTION("""COMPUTED_VALUE"""),"
")</f>
        <v>
</v>
      </c>
      <c r="F397" s="17" t="str">
        <f>IFERROR(__xludf.DUMMYFUNCTION("""COMPUTED_VALUE"""),"
")</f>
        <v>
</v>
      </c>
      <c r="G397" s="17" t="str">
        <f>IFERROR(__xludf.DUMMYFUNCTION("""COMPUTED_VALUE"""),"
")</f>
        <v>
</v>
      </c>
      <c r="H397" s="17" t="str">
        <f>IFERROR(__xludf.DUMMYFUNCTION("""COMPUTED_VALUE"""),"
")</f>
        <v>
</v>
      </c>
      <c r="I397" s="17" t="str">
        <f>IFERROR(__xludf.DUMMYFUNCTION("""COMPUTED_VALUE"""),"
")</f>
        <v>
</v>
      </c>
      <c r="J397" s="17" t="str">
        <f>IFERROR(__xludf.DUMMYFUNCTION("""COMPUTED_VALUE"""),"
")</f>
        <v>
</v>
      </c>
      <c r="K397" s="17" t="str">
        <f>IFERROR(__xludf.DUMMYFUNCTION("""COMPUTED_VALUE"""),"
")</f>
        <v>
</v>
      </c>
      <c r="L397" s="17" t="str">
        <f>IFERROR(__xludf.DUMMYFUNCTION("""COMPUTED_VALUE"""),"
")</f>
        <v>
</v>
      </c>
      <c r="M397" s="17" t="str">
        <f>IFERROR(__xludf.DUMMYFUNCTION("""COMPUTED_VALUE"""),"
")</f>
        <v>
</v>
      </c>
      <c r="N397" s="17" t="str">
        <f>IFERROR(__xludf.DUMMYFUNCTION("""COMPUTED_VALUE"""),"
")</f>
        <v>
</v>
      </c>
      <c r="O397" s="17" t="str">
        <f>IFERROR(__xludf.DUMMYFUNCTION("""COMPUTED_VALUE"""),"
")</f>
        <v>
</v>
      </c>
      <c r="P397" s="17" t="str">
        <f>IFERROR(__xludf.DUMMYFUNCTION("""COMPUTED_VALUE"""),"
")</f>
        <v>
</v>
      </c>
      <c r="Q397" s="17" t="str">
        <f>IFERROR(__xludf.DUMMYFUNCTION("""COMPUTED_VALUE"""),"
")</f>
        <v>
</v>
      </c>
      <c r="R397" s="17" t="str">
        <f>IFERROR(__xludf.DUMMYFUNCTION("""COMPUTED_VALUE"""),"
")</f>
        <v>
</v>
      </c>
      <c r="S397" s="17" t="str">
        <f>IFERROR(__xludf.DUMMYFUNCTION("""COMPUTED_VALUE"""),"
")</f>
        <v>
</v>
      </c>
      <c r="T397" s="17" t="str">
        <f>IFERROR(__xludf.DUMMYFUNCTION("""COMPUTED_VALUE"""),"
")</f>
        <v>
</v>
      </c>
      <c r="U397" s="17" t="str">
        <f>IFERROR(__xludf.DUMMYFUNCTION("""COMPUTED_VALUE"""),"
")</f>
        <v>
</v>
      </c>
      <c r="V397" s="17" t="str">
        <f>IFERROR(__xludf.DUMMYFUNCTION("""COMPUTED_VALUE"""),"
")</f>
        <v>
</v>
      </c>
      <c r="W397" s="17" t="str">
        <f>IFERROR(__xludf.DUMMYFUNCTION("""COMPUTED_VALUE"""),"
")</f>
        <v>
</v>
      </c>
      <c r="X397" s="17" t="str">
        <f>IFERROR(__xludf.DUMMYFUNCTION("""COMPUTED_VALUE"""),"
")</f>
        <v>
</v>
      </c>
      <c r="Y397" s="17" t="str">
        <f>IFERROR(__xludf.DUMMYFUNCTION("""COMPUTED_VALUE"""),"
")</f>
        <v>
</v>
      </c>
      <c r="Z397" s="17" t="str">
        <f>IFERROR(__xludf.DUMMYFUNCTION("""COMPUTED_VALUE"""),"
")</f>
        <v>
</v>
      </c>
      <c r="AA397" s="17" t="str">
        <f>IFERROR(__xludf.DUMMYFUNCTION("""COMPUTED_VALUE"""),"
")</f>
        <v>
</v>
      </c>
      <c r="AB397" s="17" t="str">
        <f>IFERROR(__xludf.DUMMYFUNCTION("""COMPUTED_VALUE"""),"
")</f>
        <v>
</v>
      </c>
      <c r="AC397" s="17" t="str">
        <f>IFERROR(__xludf.DUMMYFUNCTION("""COMPUTED_VALUE"""),"
")</f>
        <v>
</v>
      </c>
    </row>
    <row r="398">
      <c r="A398" s="17" t="str">
        <f>IFERROR(__xludf.DUMMYFUNCTION("""COMPUTED_VALUE"""),"Chapter 36: 30 Crescendo - Addendum Missy
Advanced Materials Upgrade Kit (Light of Terra 4 - Lords of the Iron Line - Warhammer 40,000) 300:
Plasteel, adamantium, armourplas, synth-leather and other sophisticated materials are used for all sorts of purpo"&amp;"ses within the Imperium and are typically far more resilient than their archaic equivalents. Archaic styles of armor are seldom effective against advanced weapons, and rarely used in any case, but many of those who hail from primitive cultures favor the s"&amp;"tyles of wargear they are accustomed to. Wrought from plasteel and armourplas instead of bronze, iron and steel, a suit of chain or plate can be a quite effective defense, often the equal of more modern armors.
Item")</f>
        <v>Chapter 36: 30 Crescendo - Addendum Missy
Advanced Materials Upgrade Kit (Light of Terra 4 - Lords of the Iron Line - Warhammer 40,000) 300:
Plasteel, adamantium, armourplas, synth-leather and other sophisticated materials are used for all sorts of purposes within the Imperium and are typically far more resilient than their archaic equivalents. Archaic styles of armor are seldom effective against advanced weapons, and rarely used in any case, but many of those who hail from primitive cultures favor the styles of wargear they are accustomed to. Wrought from plasteel and armourplas instead of bronze, iron and steel, a suit of chain or plate can be a quite effective defense, often the equal of more modern armors.
Item</v>
      </c>
      <c r="B398" s="17" t="str">
        <f>IFERROR(__xludf.DUMMYFUNCTION("""COMPUTED_VALUE"""),"
")</f>
        <v>
</v>
      </c>
      <c r="C398" s="17" t="str">
        <f>IFERROR(__xludf.DUMMYFUNCTION("""COMPUTED_VALUE"""),"
")</f>
        <v>
</v>
      </c>
      <c r="D398" s="17" t="str">
        <f>IFERROR(__xludf.DUMMYFUNCTION("""COMPUTED_VALUE"""),"
")</f>
        <v>
</v>
      </c>
      <c r="E398" s="17" t="str">
        <f>IFERROR(__xludf.DUMMYFUNCTION("""COMPUTED_VALUE"""),"
")</f>
        <v>
</v>
      </c>
      <c r="F398" s="17" t="str">
        <f>IFERROR(__xludf.DUMMYFUNCTION("""COMPUTED_VALUE"""),"
")</f>
        <v>
</v>
      </c>
      <c r="G398" s="17" t="str">
        <f>IFERROR(__xludf.DUMMYFUNCTION("""COMPUTED_VALUE"""),"
")</f>
        <v>
</v>
      </c>
      <c r="H398" s="17" t="str">
        <f>IFERROR(__xludf.DUMMYFUNCTION("""COMPUTED_VALUE"""),"
")</f>
        <v>
</v>
      </c>
      <c r="I398" s="17" t="str">
        <f>IFERROR(__xludf.DUMMYFUNCTION("""COMPUTED_VALUE"""),"
")</f>
        <v>
</v>
      </c>
      <c r="J398" s="17" t="str">
        <f>IFERROR(__xludf.DUMMYFUNCTION("""COMPUTED_VALUE"""),"
")</f>
        <v>
</v>
      </c>
      <c r="K398" s="17" t="str">
        <f>IFERROR(__xludf.DUMMYFUNCTION("""COMPUTED_VALUE"""),"
")</f>
        <v>
</v>
      </c>
      <c r="L398" s="17" t="str">
        <f>IFERROR(__xludf.DUMMYFUNCTION("""COMPUTED_VALUE"""),"
")</f>
        <v>
</v>
      </c>
      <c r="M398" s="17" t="str">
        <f>IFERROR(__xludf.DUMMYFUNCTION("""COMPUTED_VALUE"""),"
")</f>
        <v>
</v>
      </c>
      <c r="N398" s="17" t="str">
        <f>IFERROR(__xludf.DUMMYFUNCTION("""COMPUTED_VALUE"""),"
")</f>
        <v>
</v>
      </c>
      <c r="O398" s="17" t="str">
        <f>IFERROR(__xludf.DUMMYFUNCTION("""COMPUTED_VALUE"""),"
")</f>
        <v>
</v>
      </c>
      <c r="P398" s="17" t="str">
        <f>IFERROR(__xludf.DUMMYFUNCTION("""COMPUTED_VALUE"""),"
")</f>
        <v>
</v>
      </c>
      <c r="Q398" s="17" t="str">
        <f>IFERROR(__xludf.DUMMYFUNCTION("""COMPUTED_VALUE"""),"
")</f>
        <v>
</v>
      </c>
      <c r="R398" s="17" t="str">
        <f>IFERROR(__xludf.DUMMYFUNCTION("""COMPUTED_VALUE"""),"
")</f>
        <v>
</v>
      </c>
      <c r="S398" s="17" t="str">
        <f>IFERROR(__xludf.DUMMYFUNCTION("""COMPUTED_VALUE"""),"
")</f>
        <v>
</v>
      </c>
      <c r="T398" s="17" t="str">
        <f>IFERROR(__xludf.DUMMYFUNCTION("""COMPUTED_VALUE"""),"
")</f>
        <v>
</v>
      </c>
      <c r="U398" s="17" t="str">
        <f>IFERROR(__xludf.DUMMYFUNCTION("""COMPUTED_VALUE"""),"
")</f>
        <v>
</v>
      </c>
      <c r="V398" s="17" t="str">
        <f>IFERROR(__xludf.DUMMYFUNCTION("""COMPUTED_VALUE"""),"
")</f>
        <v>
</v>
      </c>
      <c r="W398" s="17" t="str">
        <f>IFERROR(__xludf.DUMMYFUNCTION("""COMPUTED_VALUE"""),"
")</f>
        <v>
</v>
      </c>
      <c r="X398" s="17" t="str">
        <f>IFERROR(__xludf.DUMMYFUNCTION("""COMPUTED_VALUE"""),"
")</f>
        <v>
</v>
      </c>
      <c r="Y398" s="17" t="str">
        <f>IFERROR(__xludf.DUMMYFUNCTION("""COMPUTED_VALUE"""),"
")</f>
        <v>
</v>
      </c>
      <c r="Z398" s="17" t="str">
        <f>IFERROR(__xludf.DUMMYFUNCTION("""COMPUTED_VALUE"""),"
")</f>
        <v>
</v>
      </c>
      <c r="AA398" s="17" t="str">
        <f>IFERROR(__xludf.DUMMYFUNCTION("""COMPUTED_VALUE"""),"
")</f>
        <v>
</v>
      </c>
      <c r="AB398" s="17" t="str">
        <f>IFERROR(__xludf.DUMMYFUNCTION("""COMPUTED_VALUE"""),"
")</f>
        <v>
</v>
      </c>
      <c r="AC398" s="17" t="str">
        <f>IFERROR(__xludf.DUMMYFUNCTION("""COMPUTED_VALUE"""),"
")</f>
        <v>
</v>
      </c>
    </row>
    <row r="399">
      <c r="A399" s="17" t="str">
        <f>IFERROR(__xludf.DUMMYFUNCTION("""COMPUTED_VALUE"""),"Chapter 67: 52 Showtime
Lathe-Wrought Armour Plating Kit (Light of Terra DLC 4 - Lords of the Iron Line) 400:
The astronomical and gravitational alignment of the Lathe worlds creates the conditions for the production of metal alloys of rare and singular p"&amp;"roperties. Lathe armour plating is strong and light, flexible enough to withstand the most powerful blows, and even resistant to intense heat or the crackling edge of a power weapon. The cost and rarity of such an upgrade is beyond the means of most indiv"&amp;"iduals, with maybe only half a dozen sets of Lathe-wrought armour upgrade kits constructed in a decade, each created under commission for a specific wearer.
Item")</f>
        <v>Chapter 67: 52 Showtime
Lathe-Wrought Armour Plating Kit (Light of Terra DLC 4 - Lords of the Iron Line) 400:
The astronomical and gravitational alignment of the Lathe worlds creates the conditions for the production of metal alloys of rare and singular properties. Lathe armour plating is strong and light, flexible enough to withstand the most powerful blows, and even resistant to intense heat or the crackling edge of a power weapon. The cost and rarity of such an upgrade is beyond the means of most individuals, with maybe only half a dozen sets of Lathe-wrought armour upgrade kits constructed in a decade, each created under commission for a specific wearer.
Item</v>
      </c>
      <c r="B399" s="17" t="str">
        <f>IFERROR(__xludf.DUMMYFUNCTION("""COMPUTED_VALUE"""),"
")</f>
        <v>
</v>
      </c>
      <c r="C399" s="17" t="str">
        <f>IFERROR(__xludf.DUMMYFUNCTION("""COMPUTED_VALUE"""),"
")</f>
        <v>
</v>
      </c>
      <c r="D399" s="17" t="str">
        <f>IFERROR(__xludf.DUMMYFUNCTION("""COMPUTED_VALUE"""),"
")</f>
        <v>
</v>
      </c>
      <c r="E399" s="17" t="str">
        <f>IFERROR(__xludf.DUMMYFUNCTION("""COMPUTED_VALUE"""),"
")</f>
        <v>
</v>
      </c>
      <c r="F399" s="17" t="str">
        <f>IFERROR(__xludf.DUMMYFUNCTION("""COMPUTED_VALUE"""),"
")</f>
        <v>
</v>
      </c>
      <c r="G399" s="17" t="str">
        <f>IFERROR(__xludf.DUMMYFUNCTION("""COMPUTED_VALUE"""),"
")</f>
        <v>
</v>
      </c>
      <c r="H399" s="17" t="str">
        <f>IFERROR(__xludf.DUMMYFUNCTION("""COMPUTED_VALUE"""),"
")</f>
        <v>
</v>
      </c>
      <c r="I399" s="17" t="str">
        <f>IFERROR(__xludf.DUMMYFUNCTION("""COMPUTED_VALUE"""),"
")</f>
        <v>
</v>
      </c>
      <c r="J399" s="17" t="str">
        <f>IFERROR(__xludf.DUMMYFUNCTION("""COMPUTED_VALUE"""),"
")</f>
        <v>
</v>
      </c>
      <c r="K399" s="17" t="str">
        <f>IFERROR(__xludf.DUMMYFUNCTION("""COMPUTED_VALUE"""),"
")</f>
        <v>
</v>
      </c>
      <c r="L399" s="17" t="str">
        <f>IFERROR(__xludf.DUMMYFUNCTION("""COMPUTED_VALUE"""),"
")</f>
        <v>
</v>
      </c>
      <c r="M399" s="17" t="str">
        <f>IFERROR(__xludf.DUMMYFUNCTION("""COMPUTED_VALUE"""),"
")</f>
        <v>
</v>
      </c>
      <c r="N399" s="17" t="str">
        <f>IFERROR(__xludf.DUMMYFUNCTION("""COMPUTED_VALUE"""),"
")</f>
        <v>
</v>
      </c>
      <c r="O399" s="17" t="str">
        <f>IFERROR(__xludf.DUMMYFUNCTION("""COMPUTED_VALUE"""),"
")</f>
        <v>
</v>
      </c>
      <c r="P399" s="17" t="str">
        <f>IFERROR(__xludf.DUMMYFUNCTION("""COMPUTED_VALUE"""),"
")</f>
        <v>
</v>
      </c>
      <c r="Q399" s="17" t="str">
        <f>IFERROR(__xludf.DUMMYFUNCTION("""COMPUTED_VALUE"""),"
")</f>
        <v>
</v>
      </c>
      <c r="R399" s="17" t="str">
        <f>IFERROR(__xludf.DUMMYFUNCTION("""COMPUTED_VALUE"""),"
")</f>
        <v>
</v>
      </c>
      <c r="S399" s="17" t="str">
        <f>IFERROR(__xludf.DUMMYFUNCTION("""COMPUTED_VALUE"""),"
")</f>
        <v>
</v>
      </c>
      <c r="T399" s="17" t="str">
        <f>IFERROR(__xludf.DUMMYFUNCTION("""COMPUTED_VALUE"""),"
")</f>
        <v>
</v>
      </c>
      <c r="U399" s="17" t="str">
        <f>IFERROR(__xludf.DUMMYFUNCTION("""COMPUTED_VALUE"""),"
")</f>
        <v>
</v>
      </c>
      <c r="V399" s="17" t="str">
        <f>IFERROR(__xludf.DUMMYFUNCTION("""COMPUTED_VALUE"""),"
")</f>
        <v>
</v>
      </c>
      <c r="W399" s="17" t="str">
        <f>IFERROR(__xludf.DUMMYFUNCTION("""COMPUTED_VALUE"""),"
")</f>
        <v>
</v>
      </c>
      <c r="X399" s="17" t="str">
        <f>IFERROR(__xludf.DUMMYFUNCTION("""COMPUTED_VALUE"""),"
")</f>
        <v>
</v>
      </c>
      <c r="Y399" s="17" t="str">
        <f>IFERROR(__xludf.DUMMYFUNCTION("""COMPUTED_VALUE"""),"
")</f>
        <v>
</v>
      </c>
      <c r="Z399" s="17" t="str">
        <f>IFERROR(__xludf.DUMMYFUNCTION("""COMPUTED_VALUE"""),"
")</f>
        <v>
</v>
      </c>
      <c r="AA399" s="17" t="str">
        <f>IFERROR(__xludf.DUMMYFUNCTION("""COMPUTED_VALUE"""),"
")</f>
        <v>
</v>
      </c>
      <c r="AB399" s="17" t="str">
        <f>IFERROR(__xludf.DUMMYFUNCTION("""COMPUTED_VALUE"""),"
")</f>
        <v>
</v>
      </c>
      <c r="AC399" s="17" t="str">
        <f>IFERROR(__xludf.DUMMYFUNCTION("""COMPUTED_VALUE"""),"
")</f>
        <v>
</v>
      </c>
    </row>
    <row r="400">
      <c r="A400" s="17" t="str">
        <f>IFERROR(__xludf.DUMMYFUNCTION("""COMPUTED_VALUE"""),"")</f>
        <v/>
      </c>
      <c r="B400" s="17" t="str">
        <f>IFERROR(__xludf.DUMMYFUNCTION("""COMPUTED_VALUE"""),"")</f>
        <v/>
      </c>
      <c r="C400" s="17" t="str">
        <f>IFERROR(__xludf.DUMMYFUNCTION("""COMPUTED_VALUE"""),"")</f>
        <v/>
      </c>
      <c r="D400" s="17" t="str">
        <f>IFERROR(__xludf.DUMMYFUNCTION("""COMPUTED_VALUE"""),"")</f>
        <v/>
      </c>
      <c r="E400" s="17" t="str">
        <f>IFERROR(__xludf.DUMMYFUNCTION("""COMPUTED_VALUE"""),"")</f>
        <v/>
      </c>
      <c r="F400" s="17" t="str">
        <f>IFERROR(__xludf.DUMMYFUNCTION("""COMPUTED_VALUE"""),"")</f>
        <v/>
      </c>
      <c r="G400" s="17" t="str">
        <f>IFERROR(__xludf.DUMMYFUNCTION("""COMPUTED_VALUE"""),"")</f>
        <v/>
      </c>
      <c r="H400" s="17" t="str">
        <f>IFERROR(__xludf.DUMMYFUNCTION("""COMPUTED_VALUE"""),"")</f>
        <v/>
      </c>
      <c r="I400" s="17" t="str">
        <f>IFERROR(__xludf.DUMMYFUNCTION("""COMPUTED_VALUE"""),"")</f>
        <v/>
      </c>
      <c r="J400" s="17" t="str">
        <f>IFERROR(__xludf.DUMMYFUNCTION("""COMPUTED_VALUE"""),"")</f>
        <v/>
      </c>
      <c r="K400" s="17" t="str">
        <f>IFERROR(__xludf.DUMMYFUNCTION("""COMPUTED_VALUE"""),"")</f>
        <v/>
      </c>
      <c r="L400" s="17" t="str">
        <f>IFERROR(__xludf.DUMMYFUNCTION("""COMPUTED_VALUE"""),"")</f>
        <v/>
      </c>
      <c r="M400" s="17" t="str">
        <f>IFERROR(__xludf.DUMMYFUNCTION("""COMPUTED_VALUE"""),"")</f>
        <v/>
      </c>
      <c r="N400" s="17" t="str">
        <f>IFERROR(__xludf.DUMMYFUNCTION("""COMPUTED_VALUE"""),"")</f>
        <v/>
      </c>
      <c r="O400" s="17" t="str">
        <f>IFERROR(__xludf.DUMMYFUNCTION("""COMPUTED_VALUE"""),"")</f>
        <v/>
      </c>
      <c r="P400" s="17" t="str">
        <f>IFERROR(__xludf.DUMMYFUNCTION("""COMPUTED_VALUE"""),"")</f>
        <v/>
      </c>
      <c r="Q400" s="17" t="str">
        <f>IFERROR(__xludf.DUMMYFUNCTION("""COMPUTED_VALUE"""),"")</f>
        <v/>
      </c>
      <c r="R400" s="17" t="str">
        <f>IFERROR(__xludf.DUMMYFUNCTION("""COMPUTED_VALUE"""),"")</f>
        <v/>
      </c>
      <c r="S400" s="17" t="str">
        <f>IFERROR(__xludf.DUMMYFUNCTION("""COMPUTED_VALUE"""),"")</f>
        <v/>
      </c>
      <c r="T400" s="17" t="str">
        <f>IFERROR(__xludf.DUMMYFUNCTION("""COMPUTED_VALUE"""),"")</f>
        <v/>
      </c>
      <c r="U400" s="17" t="str">
        <f>IFERROR(__xludf.DUMMYFUNCTION("""COMPUTED_VALUE"""),"")</f>
        <v/>
      </c>
      <c r="V400" s="17" t="str">
        <f>IFERROR(__xludf.DUMMYFUNCTION("""COMPUTED_VALUE"""),"")</f>
        <v/>
      </c>
      <c r="W400" s="17" t="str">
        <f>IFERROR(__xludf.DUMMYFUNCTION("""COMPUTED_VALUE"""),"")</f>
        <v/>
      </c>
      <c r="X400" s="17" t="str">
        <f>IFERROR(__xludf.DUMMYFUNCTION("""COMPUTED_VALUE"""),"")</f>
        <v/>
      </c>
      <c r="Y400" s="17" t="str">
        <f>IFERROR(__xludf.DUMMYFUNCTION("""COMPUTED_VALUE"""),"")</f>
        <v/>
      </c>
      <c r="Z400" s="17" t="str">
        <f>IFERROR(__xludf.DUMMYFUNCTION("""COMPUTED_VALUE"""),"")</f>
        <v/>
      </c>
      <c r="AA400" s="17" t="str">
        <f>IFERROR(__xludf.DUMMYFUNCTION("""COMPUTED_VALUE"""),"")</f>
        <v/>
      </c>
      <c r="AB400" s="17" t="str">
        <f>IFERROR(__xludf.DUMMYFUNCTION("""COMPUTED_VALUE"""),"")</f>
        <v/>
      </c>
      <c r="AC400" s="17" t="str">
        <f>IFERROR(__xludf.DUMMYFUNCTION("""COMPUTED_VALUE"""),"")</f>
        <v/>
      </c>
    </row>
    <row r="401">
      <c r="A401" s="17" t="str">
        <f>IFERROR(__xludf.DUMMYFUNCTION("""COMPUTED_VALUE"""),"Chapter 60: 46.1 Interlude Weld
Technical Certainties (Ace Combat) 400:
Some engineers are always second guessing themselves, sticking to maintenance of machines that others use. You're so sure of your skills that you're capable of altering fighter planes"&amp;" to great effect, making them noticeably better than they were fresh out of the factory. Upgrades will be easy provided you have resources, and your technical prowess will ensure your plane can serve whatever role you wish of it. You could even slave the "&amp;"controls of ground weapons to your computers, becoming a conductor of war from the skies. You might even be knowledgeable enough to build the next superweapon...
System")</f>
        <v>Chapter 60: 46.1 Interlude Weld
Technical Certainties (Ace Combat) 400:
Some engineers are always second guessing themselves, sticking to maintenance of machines that others use. You're so sure of your skills that you're capable of altering fighter planes to great effect, making them noticeably better than they were fresh out of the factory. Upgrades will be easy provided you have resources, and your technical prowess will ensure your plane can serve whatever role you wish of it. You could even slave the controls of ground weapons to your computers, becoming a conductor of war from the skies. You might even be knowledgeable enough to build the next superweapon...
System</v>
      </c>
      <c r="B401" s="17" t="str">
        <f>IFERROR(__xludf.DUMMYFUNCTION("""COMPUTED_VALUE"""),"
")</f>
        <v>
</v>
      </c>
      <c r="C401" s="17" t="str">
        <f>IFERROR(__xludf.DUMMYFUNCTION("""COMPUTED_VALUE"""),"
")</f>
        <v>
</v>
      </c>
      <c r="D401" s="17" t="str">
        <f>IFERROR(__xludf.DUMMYFUNCTION("""COMPUTED_VALUE"""),"
")</f>
        <v>
</v>
      </c>
      <c r="E401" s="17" t="str">
        <f>IFERROR(__xludf.DUMMYFUNCTION("""COMPUTED_VALUE"""),"
")</f>
        <v>
</v>
      </c>
      <c r="F401" s="17" t="str">
        <f>IFERROR(__xludf.DUMMYFUNCTION("""COMPUTED_VALUE"""),"
")</f>
        <v>
</v>
      </c>
      <c r="G401" s="17" t="str">
        <f>IFERROR(__xludf.DUMMYFUNCTION("""COMPUTED_VALUE"""),"
")</f>
        <v>
</v>
      </c>
      <c r="H401" s="17" t="str">
        <f>IFERROR(__xludf.DUMMYFUNCTION("""COMPUTED_VALUE"""),"
")</f>
        <v>
</v>
      </c>
      <c r="I401" s="17" t="str">
        <f>IFERROR(__xludf.DUMMYFUNCTION("""COMPUTED_VALUE"""),"
")</f>
        <v>
</v>
      </c>
      <c r="J401" s="17" t="str">
        <f>IFERROR(__xludf.DUMMYFUNCTION("""COMPUTED_VALUE"""),"
")</f>
        <v>
</v>
      </c>
      <c r="K401" s="17" t="str">
        <f>IFERROR(__xludf.DUMMYFUNCTION("""COMPUTED_VALUE"""),"
")</f>
        <v>
</v>
      </c>
      <c r="L401" s="17" t="str">
        <f>IFERROR(__xludf.DUMMYFUNCTION("""COMPUTED_VALUE"""),"
")</f>
        <v>
</v>
      </c>
      <c r="M401" s="17" t="str">
        <f>IFERROR(__xludf.DUMMYFUNCTION("""COMPUTED_VALUE"""),"
")</f>
        <v>
</v>
      </c>
      <c r="N401" s="17" t="str">
        <f>IFERROR(__xludf.DUMMYFUNCTION("""COMPUTED_VALUE"""),"
")</f>
        <v>
</v>
      </c>
      <c r="O401" s="17" t="str">
        <f>IFERROR(__xludf.DUMMYFUNCTION("""COMPUTED_VALUE"""),"
")</f>
        <v>
</v>
      </c>
      <c r="P401" s="17" t="str">
        <f>IFERROR(__xludf.DUMMYFUNCTION("""COMPUTED_VALUE"""),"
")</f>
        <v>
</v>
      </c>
      <c r="Q401" s="17" t="str">
        <f>IFERROR(__xludf.DUMMYFUNCTION("""COMPUTED_VALUE"""),"
")</f>
        <v>
</v>
      </c>
      <c r="R401" s="17" t="str">
        <f>IFERROR(__xludf.DUMMYFUNCTION("""COMPUTED_VALUE"""),"
")</f>
        <v>
</v>
      </c>
      <c r="S401" s="17" t="str">
        <f>IFERROR(__xludf.DUMMYFUNCTION("""COMPUTED_VALUE"""),"
")</f>
        <v>
</v>
      </c>
      <c r="T401" s="17" t="str">
        <f>IFERROR(__xludf.DUMMYFUNCTION("""COMPUTED_VALUE"""),"
")</f>
        <v>
</v>
      </c>
      <c r="U401" s="17" t="str">
        <f>IFERROR(__xludf.DUMMYFUNCTION("""COMPUTED_VALUE"""),"
")</f>
        <v>
</v>
      </c>
      <c r="V401" s="17" t="str">
        <f>IFERROR(__xludf.DUMMYFUNCTION("""COMPUTED_VALUE"""),"
")</f>
        <v>
</v>
      </c>
      <c r="W401" s="17" t="str">
        <f>IFERROR(__xludf.DUMMYFUNCTION("""COMPUTED_VALUE"""),"
")</f>
        <v>
</v>
      </c>
      <c r="X401" s="17" t="str">
        <f>IFERROR(__xludf.DUMMYFUNCTION("""COMPUTED_VALUE"""),"
")</f>
        <v>
</v>
      </c>
      <c r="Y401" s="17" t="str">
        <f>IFERROR(__xludf.DUMMYFUNCTION("""COMPUTED_VALUE"""),"
")</f>
        <v>
</v>
      </c>
      <c r="Z401" s="17" t="str">
        <f>IFERROR(__xludf.DUMMYFUNCTION("""COMPUTED_VALUE"""),"
")</f>
        <v>
</v>
      </c>
      <c r="AA401" s="17" t="str">
        <f>IFERROR(__xludf.DUMMYFUNCTION("""COMPUTED_VALUE"""),"
")</f>
        <v>
</v>
      </c>
      <c r="AB401" s="17" t="str">
        <f>IFERROR(__xludf.DUMMYFUNCTION("""COMPUTED_VALUE"""),"
")</f>
        <v>
</v>
      </c>
      <c r="AC401" s="17" t="str">
        <f>IFERROR(__xludf.DUMMYFUNCTION("""COMPUTED_VALUE"""),"
")</f>
        <v>
</v>
      </c>
    </row>
    <row r="402">
      <c r="A402" s="17" t="str">
        <f>IFERROR(__xludf.DUMMYFUNCTION("""COMPUTED_VALUE"""),"")</f>
        <v/>
      </c>
      <c r="B402" s="17" t="str">
        <f>IFERROR(__xludf.DUMMYFUNCTION("""COMPUTED_VALUE"""),"")</f>
        <v/>
      </c>
      <c r="C402" s="17" t="str">
        <f>IFERROR(__xludf.DUMMYFUNCTION("""COMPUTED_VALUE"""),"")</f>
        <v/>
      </c>
      <c r="D402" s="17" t="str">
        <f>IFERROR(__xludf.DUMMYFUNCTION("""COMPUTED_VALUE"""),"")</f>
        <v/>
      </c>
      <c r="E402" s="17" t="str">
        <f>IFERROR(__xludf.DUMMYFUNCTION("""COMPUTED_VALUE"""),"")</f>
        <v/>
      </c>
      <c r="F402" s="17" t="str">
        <f>IFERROR(__xludf.DUMMYFUNCTION("""COMPUTED_VALUE"""),"")</f>
        <v/>
      </c>
      <c r="G402" s="17" t="str">
        <f>IFERROR(__xludf.DUMMYFUNCTION("""COMPUTED_VALUE"""),"")</f>
        <v/>
      </c>
      <c r="H402" s="17" t="str">
        <f>IFERROR(__xludf.DUMMYFUNCTION("""COMPUTED_VALUE"""),"")</f>
        <v/>
      </c>
      <c r="I402" s="17" t="str">
        <f>IFERROR(__xludf.DUMMYFUNCTION("""COMPUTED_VALUE"""),"")</f>
        <v/>
      </c>
      <c r="J402" s="17" t="str">
        <f>IFERROR(__xludf.DUMMYFUNCTION("""COMPUTED_VALUE"""),"")</f>
        <v/>
      </c>
      <c r="K402" s="17" t="str">
        <f>IFERROR(__xludf.DUMMYFUNCTION("""COMPUTED_VALUE"""),"")</f>
        <v/>
      </c>
      <c r="L402" s="17" t="str">
        <f>IFERROR(__xludf.DUMMYFUNCTION("""COMPUTED_VALUE"""),"")</f>
        <v/>
      </c>
      <c r="M402" s="17" t="str">
        <f>IFERROR(__xludf.DUMMYFUNCTION("""COMPUTED_VALUE"""),"")</f>
        <v/>
      </c>
      <c r="N402" s="17" t="str">
        <f>IFERROR(__xludf.DUMMYFUNCTION("""COMPUTED_VALUE"""),"")</f>
        <v/>
      </c>
      <c r="O402" s="17" t="str">
        <f>IFERROR(__xludf.DUMMYFUNCTION("""COMPUTED_VALUE"""),"")</f>
        <v/>
      </c>
      <c r="P402" s="17" t="str">
        <f>IFERROR(__xludf.DUMMYFUNCTION("""COMPUTED_VALUE"""),"")</f>
        <v/>
      </c>
      <c r="Q402" s="17" t="str">
        <f>IFERROR(__xludf.DUMMYFUNCTION("""COMPUTED_VALUE"""),"")</f>
        <v/>
      </c>
      <c r="R402" s="17" t="str">
        <f>IFERROR(__xludf.DUMMYFUNCTION("""COMPUTED_VALUE"""),"")</f>
        <v/>
      </c>
      <c r="S402" s="17" t="str">
        <f>IFERROR(__xludf.DUMMYFUNCTION("""COMPUTED_VALUE"""),"")</f>
        <v/>
      </c>
      <c r="T402" s="17" t="str">
        <f>IFERROR(__xludf.DUMMYFUNCTION("""COMPUTED_VALUE"""),"")</f>
        <v/>
      </c>
      <c r="U402" s="17" t="str">
        <f>IFERROR(__xludf.DUMMYFUNCTION("""COMPUTED_VALUE"""),"")</f>
        <v/>
      </c>
      <c r="V402" s="17" t="str">
        <f>IFERROR(__xludf.DUMMYFUNCTION("""COMPUTED_VALUE"""),"")</f>
        <v/>
      </c>
      <c r="W402" s="17" t="str">
        <f>IFERROR(__xludf.DUMMYFUNCTION("""COMPUTED_VALUE"""),"")</f>
        <v/>
      </c>
      <c r="X402" s="17" t="str">
        <f>IFERROR(__xludf.DUMMYFUNCTION("""COMPUTED_VALUE"""),"")</f>
        <v/>
      </c>
      <c r="Y402" s="17" t="str">
        <f>IFERROR(__xludf.DUMMYFUNCTION("""COMPUTED_VALUE"""),"")</f>
        <v/>
      </c>
      <c r="Z402" s="17" t="str">
        <f>IFERROR(__xludf.DUMMYFUNCTION("""COMPUTED_VALUE"""),"")</f>
        <v/>
      </c>
      <c r="AA402" s="17" t="str">
        <f>IFERROR(__xludf.DUMMYFUNCTION("""COMPUTED_VALUE"""),"")</f>
        <v/>
      </c>
      <c r="AB402" s="17" t="str">
        <f>IFERROR(__xludf.DUMMYFUNCTION("""COMPUTED_VALUE"""),"")</f>
        <v/>
      </c>
      <c r="AC402" s="17" t="str">
        <f>IFERROR(__xludf.DUMMYFUNCTION("""COMPUTED_VALUE"""),"")</f>
        <v/>
      </c>
    </row>
    <row r="403">
      <c r="A403" s="17" t="str">
        <f>IFERROR(__xludf.DUMMYFUNCTION("""COMPUTED_VALUE"""),"")</f>
        <v/>
      </c>
      <c r="B403" s="17" t="str">
        <f>IFERROR(__xludf.DUMMYFUNCTION("""COMPUTED_VALUE"""),"")</f>
        <v/>
      </c>
      <c r="C403" s="17" t="str">
        <f>IFERROR(__xludf.DUMMYFUNCTION("""COMPUTED_VALUE"""),"")</f>
        <v/>
      </c>
      <c r="D403" s="17" t="str">
        <f>IFERROR(__xludf.DUMMYFUNCTION("""COMPUTED_VALUE"""),"")</f>
        <v/>
      </c>
      <c r="E403" s="17" t="str">
        <f>IFERROR(__xludf.DUMMYFUNCTION("""COMPUTED_VALUE"""),"")</f>
        <v/>
      </c>
      <c r="F403" s="17" t="str">
        <f>IFERROR(__xludf.DUMMYFUNCTION("""COMPUTED_VALUE"""),"")</f>
        <v/>
      </c>
      <c r="G403" s="17" t="str">
        <f>IFERROR(__xludf.DUMMYFUNCTION("""COMPUTED_VALUE"""),"")</f>
        <v/>
      </c>
      <c r="H403" s="17" t="str">
        <f>IFERROR(__xludf.DUMMYFUNCTION("""COMPUTED_VALUE"""),"")</f>
        <v/>
      </c>
      <c r="I403" s="17" t="str">
        <f>IFERROR(__xludf.DUMMYFUNCTION("""COMPUTED_VALUE"""),"")</f>
        <v/>
      </c>
      <c r="J403" s="17" t="str">
        <f>IFERROR(__xludf.DUMMYFUNCTION("""COMPUTED_VALUE"""),"")</f>
        <v/>
      </c>
      <c r="K403" s="17" t="str">
        <f>IFERROR(__xludf.DUMMYFUNCTION("""COMPUTED_VALUE"""),"")</f>
        <v/>
      </c>
      <c r="L403" s="17" t="str">
        <f>IFERROR(__xludf.DUMMYFUNCTION("""COMPUTED_VALUE"""),"")</f>
        <v/>
      </c>
      <c r="M403" s="17" t="str">
        <f>IFERROR(__xludf.DUMMYFUNCTION("""COMPUTED_VALUE"""),"")</f>
        <v/>
      </c>
      <c r="N403" s="17" t="str">
        <f>IFERROR(__xludf.DUMMYFUNCTION("""COMPUTED_VALUE"""),"")</f>
        <v/>
      </c>
      <c r="O403" s="17" t="str">
        <f>IFERROR(__xludf.DUMMYFUNCTION("""COMPUTED_VALUE"""),"")</f>
        <v/>
      </c>
      <c r="P403" s="17" t="str">
        <f>IFERROR(__xludf.DUMMYFUNCTION("""COMPUTED_VALUE"""),"")</f>
        <v/>
      </c>
      <c r="Q403" s="17" t="str">
        <f>IFERROR(__xludf.DUMMYFUNCTION("""COMPUTED_VALUE"""),"")</f>
        <v/>
      </c>
      <c r="R403" s="17" t="str">
        <f>IFERROR(__xludf.DUMMYFUNCTION("""COMPUTED_VALUE"""),"")</f>
        <v/>
      </c>
      <c r="S403" s="17" t="str">
        <f>IFERROR(__xludf.DUMMYFUNCTION("""COMPUTED_VALUE"""),"")</f>
        <v/>
      </c>
      <c r="T403" s="17" t="str">
        <f>IFERROR(__xludf.DUMMYFUNCTION("""COMPUTED_VALUE"""),"")</f>
        <v/>
      </c>
      <c r="U403" s="17" t="str">
        <f>IFERROR(__xludf.DUMMYFUNCTION("""COMPUTED_VALUE"""),"")</f>
        <v/>
      </c>
      <c r="V403" s="17" t="str">
        <f>IFERROR(__xludf.DUMMYFUNCTION("""COMPUTED_VALUE"""),"")</f>
        <v/>
      </c>
      <c r="W403" s="17" t="str">
        <f>IFERROR(__xludf.DUMMYFUNCTION("""COMPUTED_VALUE"""),"")</f>
        <v/>
      </c>
      <c r="X403" s="17" t="str">
        <f>IFERROR(__xludf.DUMMYFUNCTION("""COMPUTED_VALUE"""),"")</f>
        <v/>
      </c>
      <c r="Y403" s="17" t="str">
        <f>IFERROR(__xludf.DUMMYFUNCTION("""COMPUTED_VALUE"""),"")</f>
        <v/>
      </c>
      <c r="Z403" s="17" t="str">
        <f>IFERROR(__xludf.DUMMYFUNCTION("""COMPUTED_VALUE"""),"")</f>
        <v/>
      </c>
      <c r="AA403" s="17" t="str">
        <f>IFERROR(__xludf.DUMMYFUNCTION("""COMPUTED_VALUE"""),"")</f>
        <v/>
      </c>
      <c r="AB403" s="17" t="str">
        <f>IFERROR(__xludf.DUMMYFUNCTION("""COMPUTED_VALUE"""),"")</f>
        <v/>
      </c>
      <c r="AC403" s="17" t="str">
        <f>IFERROR(__xludf.DUMMYFUNCTION("""COMPUTED_VALUE"""),"")</f>
        <v/>
      </c>
    </row>
    <row r="404">
      <c r="A404" s="17" t="str">
        <f>IFERROR(__xludf.DUMMYFUNCTION("""COMPUTED_VALUE"""),"Chapter 24: 19 Restoration
Valuable Memories: the nature of memories (Big O) 300:
You have knowledge related to any particular concept-the construction of Megadei, the nature of memories, Bigs, or the creation of chimeras. Paradigm will have a vested inte"&amp;"rest in you, and will protect you and provide you with funds if you work for them.
Skill")</f>
        <v>Chapter 24: 19 Restoration
Valuable Memories: the nature of memories (Big O) 300:
You have knowledge related to any particular concept-the construction of Megadei, the nature of memories, Bigs, or the creation of chimeras. Paradigm will have a vested interest in you, and will protect you and provide you with funds if you work for them.
Skill</v>
      </c>
      <c r="B404" s="17" t="str">
        <f>IFERROR(__xludf.DUMMYFUNCTION("""COMPUTED_VALUE"""),"Chapter 32: 26 Correspondence - Addendum Rory
Valuable Memories:the construction of Megadei (Big O) 300:
You have knowledge related to any particular concept-the construction of Megadei, the nature of memories, Bigs, or the creation of chimeras. Paradigm "&amp;"will have a vested interest in you, and will protect you and provide you with funds if you work for them.
System")</f>
        <v>Chapter 32: 26 Correspondence - Addendum Rory
Valuable Memories:the construction of Megadei (Big O) 300:
You have knowledge related to any particular concept-the construction of Megadei, the nature of memories, Bigs, or the creation of chimeras. Paradigm will have a vested interest in you, and will protect you and provide you with funds if you work for them.
System</v>
      </c>
      <c r="C404" s="17" t="str">
        <f>IFERROR(__xludf.DUMMYFUNCTION("""COMPUTED_VALUE"""),"Chapter 46: 39 Set Up - Addendum Kenta
Valuable Memories -the creation of chimeras (Big O) 300:
You have knowledge related to any particular concept-the construction of Megadei, the nature of memories, Bigs, or the creation of chimeras. Paradigm will have"&amp;" a vested interest in you, and will protect you and provide you with funds if you work for them.
System")</f>
        <v>Chapter 46: 39 Set Up - Addendum Kenta
Valuable Memories -the creation of chimeras (Big O) 300:
You have knowledge related to any particular concept-the construction of Megadei, the nature of memories, Bigs, or the creation of chimeras. Paradigm will have a vested interest in you, and will protect you and provide you with funds if you work for them.
System</v>
      </c>
      <c r="D404" s="17" t="str">
        <f>IFERROR(__xludf.DUMMYFUNCTION("""COMPUTED_VALUE"""),"Chapter 48: 41 Drag Out - Preamble Chen
Valuable Memories: Bigs (Big O) 300:
You have knowledge related to any particular concept-the construction of Megadei, the nature of memories, Bigs, or the creation of chimeras. Paradigm will have a vested interest "&amp;"in you, and will protect you and provide you with funds if you work for them.
System")</f>
        <v>Chapter 48: 41 Drag Out - Preamble Chen
Valuable Memories: Bigs (Big O) 300:
You have knowledge related to any particular concept-the construction of Megadei, the nature of memories, Bigs, or the creation of chimeras. Paradigm will have a vested interest in you, and will protect you and provide you with funds if you work for them.
System</v>
      </c>
      <c r="E404" s="17" t="str">
        <f>IFERROR(__xludf.DUMMYFUNCTION("""COMPUTED_VALUE"""),"
")</f>
        <v>
</v>
      </c>
      <c r="F404" s="17" t="str">
        <f>IFERROR(__xludf.DUMMYFUNCTION("""COMPUTED_VALUE"""),"
")</f>
        <v>
</v>
      </c>
      <c r="G404" s="17" t="str">
        <f>IFERROR(__xludf.DUMMYFUNCTION("""COMPUTED_VALUE"""),"
")</f>
        <v>
</v>
      </c>
      <c r="H404" s="17" t="str">
        <f>IFERROR(__xludf.DUMMYFUNCTION("""COMPUTED_VALUE"""),"
")</f>
        <v>
</v>
      </c>
      <c r="I404" s="17" t="str">
        <f>IFERROR(__xludf.DUMMYFUNCTION("""COMPUTED_VALUE"""),"
")</f>
        <v>
</v>
      </c>
      <c r="J404" s="17" t="str">
        <f>IFERROR(__xludf.DUMMYFUNCTION("""COMPUTED_VALUE"""),"
")</f>
        <v>
</v>
      </c>
      <c r="K404" s="17" t="str">
        <f>IFERROR(__xludf.DUMMYFUNCTION("""COMPUTED_VALUE"""),"
")</f>
        <v>
</v>
      </c>
      <c r="L404" s="17" t="str">
        <f>IFERROR(__xludf.DUMMYFUNCTION("""COMPUTED_VALUE"""),"
")</f>
        <v>
</v>
      </c>
      <c r="M404" s="17" t="str">
        <f>IFERROR(__xludf.DUMMYFUNCTION("""COMPUTED_VALUE"""),"
")</f>
        <v>
</v>
      </c>
      <c r="N404" s="17" t="str">
        <f>IFERROR(__xludf.DUMMYFUNCTION("""COMPUTED_VALUE"""),"
")</f>
        <v>
</v>
      </c>
      <c r="O404" s="17" t="str">
        <f>IFERROR(__xludf.DUMMYFUNCTION("""COMPUTED_VALUE"""),"
")</f>
        <v>
</v>
      </c>
      <c r="P404" s="17" t="str">
        <f>IFERROR(__xludf.DUMMYFUNCTION("""COMPUTED_VALUE"""),"
")</f>
        <v>
</v>
      </c>
      <c r="Q404" s="17" t="str">
        <f>IFERROR(__xludf.DUMMYFUNCTION("""COMPUTED_VALUE"""),"
")</f>
        <v>
</v>
      </c>
      <c r="R404" s="17" t="str">
        <f>IFERROR(__xludf.DUMMYFUNCTION("""COMPUTED_VALUE"""),"
")</f>
        <v>
</v>
      </c>
      <c r="S404" s="17" t="str">
        <f>IFERROR(__xludf.DUMMYFUNCTION("""COMPUTED_VALUE"""),"
")</f>
        <v>
</v>
      </c>
      <c r="T404" s="17" t="str">
        <f>IFERROR(__xludf.DUMMYFUNCTION("""COMPUTED_VALUE"""),"
")</f>
        <v>
</v>
      </c>
      <c r="U404" s="17" t="str">
        <f>IFERROR(__xludf.DUMMYFUNCTION("""COMPUTED_VALUE"""),"
")</f>
        <v>
</v>
      </c>
      <c r="V404" s="17" t="str">
        <f>IFERROR(__xludf.DUMMYFUNCTION("""COMPUTED_VALUE"""),"
")</f>
        <v>
</v>
      </c>
      <c r="W404" s="17" t="str">
        <f>IFERROR(__xludf.DUMMYFUNCTION("""COMPUTED_VALUE"""),"
")</f>
        <v>
</v>
      </c>
      <c r="X404" s="17" t="str">
        <f>IFERROR(__xludf.DUMMYFUNCTION("""COMPUTED_VALUE"""),"
")</f>
        <v>
</v>
      </c>
      <c r="Y404" s="17" t="str">
        <f>IFERROR(__xludf.DUMMYFUNCTION("""COMPUTED_VALUE"""),"
")</f>
        <v>
</v>
      </c>
      <c r="Z404" s="17" t="str">
        <f>IFERROR(__xludf.DUMMYFUNCTION("""COMPUTED_VALUE"""),"
")</f>
        <v>
</v>
      </c>
      <c r="AA404" s="17" t="str">
        <f>IFERROR(__xludf.DUMMYFUNCTION("""COMPUTED_VALUE"""),"
")</f>
        <v>
</v>
      </c>
      <c r="AB404" s="17" t="str">
        <f>IFERROR(__xludf.DUMMYFUNCTION("""COMPUTED_VALUE"""),"
")</f>
        <v>
</v>
      </c>
      <c r="AC404" s="17" t="str">
        <f>IFERROR(__xludf.DUMMYFUNCTION("""COMPUTED_VALUE"""),"
")</f>
        <v>
</v>
      </c>
    </row>
    <row r="405">
      <c r="A405" s="17" t="str">
        <f>IFERROR(__xludf.DUMMYFUNCTION("""COMPUTED_VALUE"""),"")</f>
        <v/>
      </c>
      <c r="B405" s="17" t="str">
        <f>IFERROR(__xludf.DUMMYFUNCTION("""COMPUTED_VALUE"""),"")</f>
        <v/>
      </c>
      <c r="C405" s="17" t="str">
        <f>IFERROR(__xludf.DUMMYFUNCTION("""COMPUTED_VALUE"""),"")</f>
        <v/>
      </c>
      <c r="D405" s="17" t="str">
        <f>IFERROR(__xludf.DUMMYFUNCTION("""COMPUTED_VALUE"""),"")</f>
        <v/>
      </c>
      <c r="E405" s="17" t="str">
        <f>IFERROR(__xludf.DUMMYFUNCTION("""COMPUTED_VALUE"""),"")</f>
        <v/>
      </c>
      <c r="F405" s="17" t="str">
        <f>IFERROR(__xludf.DUMMYFUNCTION("""COMPUTED_VALUE"""),"")</f>
        <v/>
      </c>
      <c r="G405" s="17" t="str">
        <f>IFERROR(__xludf.DUMMYFUNCTION("""COMPUTED_VALUE"""),"")</f>
        <v/>
      </c>
      <c r="H405" s="17" t="str">
        <f>IFERROR(__xludf.DUMMYFUNCTION("""COMPUTED_VALUE"""),"")</f>
        <v/>
      </c>
      <c r="I405" s="17" t="str">
        <f>IFERROR(__xludf.DUMMYFUNCTION("""COMPUTED_VALUE"""),"")</f>
        <v/>
      </c>
      <c r="J405" s="17" t="str">
        <f>IFERROR(__xludf.DUMMYFUNCTION("""COMPUTED_VALUE"""),"")</f>
        <v/>
      </c>
      <c r="K405" s="17" t="str">
        <f>IFERROR(__xludf.DUMMYFUNCTION("""COMPUTED_VALUE"""),"")</f>
        <v/>
      </c>
      <c r="L405" s="17" t="str">
        <f>IFERROR(__xludf.DUMMYFUNCTION("""COMPUTED_VALUE"""),"")</f>
        <v/>
      </c>
      <c r="M405" s="17" t="str">
        <f>IFERROR(__xludf.DUMMYFUNCTION("""COMPUTED_VALUE"""),"")</f>
        <v/>
      </c>
      <c r="N405" s="17" t="str">
        <f>IFERROR(__xludf.DUMMYFUNCTION("""COMPUTED_VALUE"""),"")</f>
        <v/>
      </c>
      <c r="O405" s="17" t="str">
        <f>IFERROR(__xludf.DUMMYFUNCTION("""COMPUTED_VALUE"""),"")</f>
        <v/>
      </c>
      <c r="P405" s="17" t="str">
        <f>IFERROR(__xludf.DUMMYFUNCTION("""COMPUTED_VALUE"""),"")</f>
        <v/>
      </c>
      <c r="Q405" s="17" t="str">
        <f>IFERROR(__xludf.DUMMYFUNCTION("""COMPUTED_VALUE"""),"")</f>
        <v/>
      </c>
      <c r="R405" s="17" t="str">
        <f>IFERROR(__xludf.DUMMYFUNCTION("""COMPUTED_VALUE"""),"")</f>
        <v/>
      </c>
      <c r="S405" s="17" t="str">
        <f>IFERROR(__xludf.DUMMYFUNCTION("""COMPUTED_VALUE"""),"")</f>
        <v/>
      </c>
      <c r="T405" s="17" t="str">
        <f>IFERROR(__xludf.DUMMYFUNCTION("""COMPUTED_VALUE"""),"")</f>
        <v/>
      </c>
      <c r="U405" s="17" t="str">
        <f>IFERROR(__xludf.DUMMYFUNCTION("""COMPUTED_VALUE"""),"")</f>
        <v/>
      </c>
      <c r="V405" s="17" t="str">
        <f>IFERROR(__xludf.DUMMYFUNCTION("""COMPUTED_VALUE"""),"")</f>
        <v/>
      </c>
      <c r="W405" s="17" t="str">
        <f>IFERROR(__xludf.DUMMYFUNCTION("""COMPUTED_VALUE"""),"")</f>
        <v/>
      </c>
      <c r="X405" s="17" t="str">
        <f>IFERROR(__xludf.DUMMYFUNCTION("""COMPUTED_VALUE"""),"")</f>
        <v/>
      </c>
      <c r="Y405" s="17" t="str">
        <f>IFERROR(__xludf.DUMMYFUNCTION("""COMPUTED_VALUE"""),"")</f>
        <v/>
      </c>
      <c r="Z405" s="17" t="str">
        <f>IFERROR(__xludf.DUMMYFUNCTION("""COMPUTED_VALUE"""),"")</f>
        <v/>
      </c>
      <c r="AA405" s="17" t="str">
        <f>IFERROR(__xludf.DUMMYFUNCTION("""COMPUTED_VALUE"""),"")</f>
        <v/>
      </c>
      <c r="AB405" s="17" t="str">
        <f>IFERROR(__xludf.DUMMYFUNCTION("""COMPUTED_VALUE"""),"")</f>
        <v/>
      </c>
      <c r="AC405" s="17" t="str">
        <f>IFERROR(__xludf.DUMMYFUNCTION("""COMPUTED_VALUE"""),"")</f>
        <v/>
      </c>
    </row>
    <row r="406">
      <c r="A406" s="17" t="str">
        <f>IFERROR(__xludf.DUMMYFUNCTION("""COMPUTED_VALUE"""),"")</f>
        <v/>
      </c>
      <c r="B406" s="17" t="str">
        <f>IFERROR(__xludf.DUMMYFUNCTION("""COMPUTED_VALUE"""),"")</f>
        <v/>
      </c>
      <c r="C406" s="17" t="str">
        <f>IFERROR(__xludf.DUMMYFUNCTION("""COMPUTED_VALUE"""),"")</f>
        <v/>
      </c>
      <c r="D406" s="17" t="str">
        <f>IFERROR(__xludf.DUMMYFUNCTION("""COMPUTED_VALUE"""),"")</f>
        <v/>
      </c>
      <c r="E406" s="17" t="str">
        <f>IFERROR(__xludf.DUMMYFUNCTION("""COMPUTED_VALUE"""),"")</f>
        <v/>
      </c>
      <c r="F406" s="17" t="str">
        <f>IFERROR(__xludf.DUMMYFUNCTION("""COMPUTED_VALUE"""),"")</f>
        <v/>
      </c>
      <c r="G406" s="17" t="str">
        <f>IFERROR(__xludf.DUMMYFUNCTION("""COMPUTED_VALUE"""),"")</f>
        <v/>
      </c>
      <c r="H406" s="17" t="str">
        <f>IFERROR(__xludf.DUMMYFUNCTION("""COMPUTED_VALUE"""),"")</f>
        <v/>
      </c>
      <c r="I406" s="17" t="str">
        <f>IFERROR(__xludf.DUMMYFUNCTION("""COMPUTED_VALUE"""),"")</f>
        <v/>
      </c>
      <c r="J406" s="17" t="str">
        <f>IFERROR(__xludf.DUMMYFUNCTION("""COMPUTED_VALUE"""),"")</f>
        <v/>
      </c>
      <c r="K406" s="17" t="str">
        <f>IFERROR(__xludf.DUMMYFUNCTION("""COMPUTED_VALUE"""),"")</f>
        <v/>
      </c>
      <c r="L406" s="17" t="str">
        <f>IFERROR(__xludf.DUMMYFUNCTION("""COMPUTED_VALUE"""),"")</f>
        <v/>
      </c>
      <c r="M406" s="17" t="str">
        <f>IFERROR(__xludf.DUMMYFUNCTION("""COMPUTED_VALUE"""),"")</f>
        <v/>
      </c>
      <c r="N406" s="17" t="str">
        <f>IFERROR(__xludf.DUMMYFUNCTION("""COMPUTED_VALUE"""),"")</f>
        <v/>
      </c>
      <c r="O406" s="17" t="str">
        <f>IFERROR(__xludf.DUMMYFUNCTION("""COMPUTED_VALUE"""),"")</f>
        <v/>
      </c>
      <c r="P406" s="17" t="str">
        <f>IFERROR(__xludf.DUMMYFUNCTION("""COMPUTED_VALUE"""),"")</f>
        <v/>
      </c>
      <c r="Q406" s="17" t="str">
        <f>IFERROR(__xludf.DUMMYFUNCTION("""COMPUTED_VALUE"""),"")</f>
        <v/>
      </c>
      <c r="R406" s="17" t="str">
        <f>IFERROR(__xludf.DUMMYFUNCTION("""COMPUTED_VALUE"""),"")</f>
        <v/>
      </c>
      <c r="S406" s="17" t="str">
        <f>IFERROR(__xludf.DUMMYFUNCTION("""COMPUTED_VALUE"""),"")</f>
        <v/>
      </c>
      <c r="T406" s="17" t="str">
        <f>IFERROR(__xludf.DUMMYFUNCTION("""COMPUTED_VALUE"""),"")</f>
        <v/>
      </c>
      <c r="U406" s="17" t="str">
        <f>IFERROR(__xludf.DUMMYFUNCTION("""COMPUTED_VALUE"""),"")</f>
        <v/>
      </c>
      <c r="V406" s="17" t="str">
        <f>IFERROR(__xludf.DUMMYFUNCTION("""COMPUTED_VALUE"""),"")</f>
        <v/>
      </c>
      <c r="W406" s="17" t="str">
        <f>IFERROR(__xludf.DUMMYFUNCTION("""COMPUTED_VALUE"""),"")</f>
        <v/>
      </c>
      <c r="X406" s="17" t="str">
        <f>IFERROR(__xludf.DUMMYFUNCTION("""COMPUTED_VALUE"""),"")</f>
        <v/>
      </c>
      <c r="Y406" s="17" t="str">
        <f>IFERROR(__xludf.DUMMYFUNCTION("""COMPUTED_VALUE"""),"")</f>
        <v/>
      </c>
      <c r="Z406" s="17" t="str">
        <f>IFERROR(__xludf.DUMMYFUNCTION("""COMPUTED_VALUE"""),"")</f>
        <v/>
      </c>
      <c r="AA406" s="17" t="str">
        <f>IFERROR(__xludf.DUMMYFUNCTION("""COMPUTED_VALUE"""),"")</f>
        <v/>
      </c>
      <c r="AB406" s="17" t="str">
        <f>IFERROR(__xludf.DUMMYFUNCTION("""COMPUTED_VALUE"""),"")</f>
        <v/>
      </c>
      <c r="AC406" s="17" t="str">
        <f>IFERROR(__xludf.DUMMYFUNCTION("""COMPUTED_VALUE"""),"")</f>
        <v/>
      </c>
    </row>
    <row r="407">
      <c r="A407" s="17" t="str">
        <f>IFERROR(__xludf.DUMMYFUNCTION("""COMPUTED_VALUE"""),"Chapter 14: 11 Power Trip
Mechanic (Fast and Furious) 100:
Machines, especially ones that go fast, just speak to you. You have no problem fixing up and tuning any motor vehicle, and can rebuild them after the most devastating crashes. You can keep anythin"&amp;"g in top condition with just a few simple tools. Of course, you also need to understand the electronics, so hotwiring cars (and sometimes, alarm systems) is not a problem either.
Fiat")</f>
        <v>Chapter 14: 11 Power Trip
Mechanic (Fast and Furious) 100:
Machines, especially ones that go fast, just speak to you. You have no problem fixing up and tuning any motor vehicle, and can rebuild them after the most devastating crashes. You can keep anything in top condition with just a few simple tools. Of course, you also need to understand the electronics, so hotwiring cars (and sometimes, alarm systems) is not a problem either.
Fiat</v>
      </c>
      <c r="B407" s="17" t="str">
        <f>IFERROR(__xludf.DUMMYFUNCTION("""COMPUTED_VALUE"""),"
")</f>
        <v>
</v>
      </c>
      <c r="C407" s="17" t="str">
        <f>IFERROR(__xludf.DUMMYFUNCTION("""COMPUTED_VALUE"""),"
")</f>
        <v>
</v>
      </c>
      <c r="D407" s="17" t="str">
        <f>IFERROR(__xludf.DUMMYFUNCTION("""COMPUTED_VALUE"""),"
")</f>
        <v>
</v>
      </c>
      <c r="E407" s="17" t="str">
        <f>IFERROR(__xludf.DUMMYFUNCTION("""COMPUTED_VALUE"""),"
")</f>
        <v>
</v>
      </c>
      <c r="F407" s="17" t="str">
        <f>IFERROR(__xludf.DUMMYFUNCTION("""COMPUTED_VALUE"""),"
")</f>
        <v>
</v>
      </c>
      <c r="G407" s="17" t="str">
        <f>IFERROR(__xludf.DUMMYFUNCTION("""COMPUTED_VALUE"""),"
")</f>
        <v>
</v>
      </c>
      <c r="H407" s="17" t="str">
        <f>IFERROR(__xludf.DUMMYFUNCTION("""COMPUTED_VALUE"""),"
")</f>
        <v>
</v>
      </c>
      <c r="I407" s="17" t="str">
        <f>IFERROR(__xludf.DUMMYFUNCTION("""COMPUTED_VALUE"""),"
")</f>
        <v>
</v>
      </c>
      <c r="J407" s="17" t="str">
        <f>IFERROR(__xludf.DUMMYFUNCTION("""COMPUTED_VALUE"""),"
")</f>
        <v>
</v>
      </c>
      <c r="K407" s="17" t="str">
        <f>IFERROR(__xludf.DUMMYFUNCTION("""COMPUTED_VALUE"""),"
")</f>
        <v>
</v>
      </c>
      <c r="L407" s="17" t="str">
        <f>IFERROR(__xludf.DUMMYFUNCTION("""COMPUTED_VALUE"""),"
")</f>
        <v>
</v>
      </c>
      <c r="M407" s="17" t="str">
        <f>IFERROR(__xludf.DUMMYFUNCTION("""COMPUTED_VALUE"""),"
")</f>
        <v>
</v>
      </c>
      <c r="N407" s="17" t="str">
        <f>IFERROR(__xludf.DUMMYFUNCTION("""COMPUTED_VALUE"""),"
")</f>
        <v>
</v>
      </c>
      <c r="O407" s="17" t="str">
        <f>IFERROR(__xludf.DUMMYFUNCTION("""COMPUTED_VALUE"""),"
")</f>
        <v>
</v>
      </c>
      <c r="P407" s="17" t="str">
        <f>IFERROR(__xludf.DUMMYFUNCTION("""COMPUTED_VALUE"""),"
")</f>
        <v>
</v>
      </c>
      <c r="Q407" s="17" t="str">
        <f>IFERROR(__xludf.DUMMYFUNCTION("""COMPUTED_VALUE"""),"
")</f>
        <v>
</v>
      </c>
      <c r="R407" s="17" t="str">
        <f>IFERROR(__xludf.DUMMYFUNCTION("""COMPUTED_VALUE"""),"
")</f>
        <v>
</v>
      </c>
      <c r="S407" s="17" t="str">
        <f>IFERROR(__xludf.DUMMYFUNCTION("""COMPUTED_VALUE"""),"
")</f>
        <v>
</v>
      </c>
      <c r="T407" s="17" t="str">
        <f>IFERROR(__xludf.DUMMYFUNCTION("""COMPUTED_VALUE"""),"
")</f>
        <v>
</v>
      </c>
      <c r="U407" s="17" t="str">
        <f>IFERROR(__xludf.DUMMYFUNCTION("""COMPUTED_VALUE"""),"
")</f>
        <v>
</v>
      </c>
      <c r="V407" s="17" t="str">
        <f>IFERROR(__xludf.DUMMYFUNCTION("""COMPUTED_VALUE"""),"
")</f>
        <v>
</v>
      </c>
      <c r="W407" s="17" t="str">
        <f>IFERROR(__xludf.DUMMYFUNCTION("""COMPUTED_VALUE"""),"
")</f>
        <v>
</v>
      </c>
      <c r="X407" s="17" t="str">
        <f>IFERROR(__xludf.DUMMYFUNCTION("""COMPUTED_VALUE"""),"
")</f>
        <v>
</v>
      </c>
      <c r="Y407" s="17" t="str">
        <f>IFERROR(__xludf.DUMMYFUNCTION("""COMPUTED_VALUE"""),"
")</f>
        <v>
</v>
      </c>
      <c r="Z407" s="17" t="str">
        <f>IFERROR(__xludf.DUMMYFUNCTION("""COMPUTED_VALUE"""),"
")</f>
        <v>
</v>
      </c>
      <c r="AA407" s="17" t="str">
        <f>IFERROR(__xludf.DUMMYFUNCTION("""COMPUTED_VALUE"""),"
")</f>
        <v>
</v>
      </c>
      <c r="AB407" s="17" t="str">
        <f>IFERROR(__xludf.DUMMYFUNCTION("""COMPUTED_VALUE"""),"
")</f>
        <v>
</v>
      </c>
      <c r="AC407" s="17" t="str">
        <f>IFERROR(__xludf.DUMMYFUNCTION("""COMPUTED_VALUE"""),"
")</f>
        <v>
</v>
      </c>
    </row>
    <row r="408">
      <c r="A408" s="17" t="str">
        <f>IFERROR(__xludf.DUMMYFUNCTION("""COMPUTED_VALUE"""),"")</f>
        <v/>
      </c>
      <c r="B408" s="17" t="str">
        <f>IFERROR(__xludf.DUMMYFUNCTION("""COMPUTED_VALUE"""),"")</f>
        <v/>
      </c>
      <c r="C408" s="17" t="str">
        <f>IFERROR(__xludf.DUMMYFUNCTION("""COMPUTED_VALUE"""),"")</f>
        <v/>
      </c>
      <c r="D408" s="17" t="str">
        <f>IFERROR(__xludf.DUMMYFUNCTION("""COMPUTED_VALUE"""),"")</f>
        <v/>
      </c>
      <c r="E408" s="17" t="str">
        <f>IFERROR(__xludf.DUMMYFUNCTION("""COMPUTED_VALUE"""),"")</f>
        <v/>
      </c>
      <c r="F408" s="17" t="str">
        <f>IFERROR(__xludf.DUMMYFUNCTION("""COMPUTED_VALUE"""),"")</f>
        <v/>
      </c>
      <c r="G408" s="17" t="str">
        <f>IFERROR(__xludf.DUMMYFUNCTION("""COMPUTED_VALUE"""),"")</f>
        <v/>
      </c>
      <c r="H408" s="17" t="str">
        <f>IFERROR(__xludf.DUMMYFUNCTION("""COMPUTED_VALUE"""),"")</f>
        <v/>
      </c>
      <c r="I408" s="17" t="str">
        <f>IFERROR(__xludf.DUMMYFUNCTION("""COMPUTED_VALUE"""),"")</f>
        <v/>
      </c>
      <c r="J408" s="17" t="str">
        <f>IFERROR(__xludf.DUMMYFUNCTION("""COMPUTED_VALUE"""),"")</f>
        <v/>
      </c>
      <c r="K408" s="17" t="str">
        <f>IFERROR(__xludf.DUMMYFUNCTION("""COMPUTED_VALUE"""),"")</f>
        <v/>
      </c>
      <c r="L408" s="17" t="str">
        <f>IFERROR(__xludf.DUMMYFUNCTION("""COMPUTED_VALUE"""),"")</f>
        <v/>
      </c>
      <c r="M408" s="17" t="str">
        <f>IFERROR(__xludf.DUMMYFUNCTION("""COMPUTED_VALUE"""),"")</f>
        <v/>
      </c>
      <c r="N408" s="17" t="str">
        <f>IFERROR(__xludf.DUMMYFUNCTION("""COMPUTED_VALUE"""),"")</f>
        <v/>
      </c>
      <c r="O408" s="17" t="str">
        <f>IFERROR(__xludf.DUMMYFUNCTION("""COMPUTED_VALUE"""),"")</f>
        <v/>
      </c>
      <c r="P408" s="17" t="str">
        <f>IFERROR(__xludf.DUMMYFUNCTION("""COMPUTED_VALUE"""),"")</f>
        <v/>
      </c>
      <c r="Q408" s="17" t="str">
        <f>IFERROR(__xludf.DUMMYFUNCTION("""COMPUTED_VALUE"""),"")</f>
        <v/>
      </c>
      <c r="R408" s="17" t="str">
        <f>IFERROR(__xludf.DUMMYFUNCTION("""COMPUTED_VALUE"""),"")</f>
        <v/>
      </c>
      <c r="S408" s="17" t="str">
        <f>IFERROR(__xludf.DUMMYFUNCTION("""COMPUTED_VALUE"""),"")</f>
        <v/>
      </c>
      <c r="T408" s="17" t="str">
        <f>IFERROR(__xludf.DUMMYFUNCTION("""COMPUTED_VALUE"""),"")</f>
        <v/>
      </c>
      <c r="U408" s="17" t="str">
        <f>IFERROR(__xludf.DUMMYFUNCTION("""COMPUTED_VALUE"""),"")</f>
        <v/>
      </c>
      <c r="V408" s="17" t="str">
        <f>IFERROR(__xludf.DUMMYFUNCTION("""COMPUTED_VALUE"""),"")</f>
        <v/>
      </c>
      <c r="W408" s="17" t="str">
        <f>IFERROR(__xludf.DUMMYFUNCTION("""COMPUTED_VALUE"""),"")</f>
        <v/>
      </c>
      <c r="X408" s="17" t="str">
        <f>IFERROR(__xludf.DUMMYFUNCTION("""COMPUTED_VALUE"""),"")</f>
        <v/>
      </c>
      <c r="Y408" s="17" t="str">
        <f>IFERROR(__xludf.DUMMYFUNCTION("""COMPUTED_VALUE"""),"")</f>
        <v/>
      </c>
      <c r="Z408" s="17" t="str">
        <f>IFERROR(__xludf.DUMMYFUNCTION("""COMPUTED_VALUE"""),"")</f>
        <v/>
      </c>
      <c r="AA408" s="17" t="str">
        <f>IFERROR(__xludf.DUMMYFUNCTION("""COMPUTED_VALUE"""),"")</f>
        <v/>
      </c>
      <c r="AB408" s="17" t="str">
        <f>IFERROR(__xludf.DUMMYFUNCTION("""COMPUTED_VALUE"""),"")</f>
        <v/>
      </c>
      <c r="AC408" s="17" t="str">
        <f>IFERROR(__xludf.DUMMYFUNCTION("""COMPUTED_VALUE"""),"")</f>
        <v/>
      </c>
    </row>
    <row r="409">
      <c r="A409" s="17" t="str">
        <f>IFERROR(__xludf.DUMMYFUNCTION("""COMPUTED_VALUE"""),"Chapter 140: 96 Breakthrough
Superweapons (G.I. Joe) 600:
Your expertise covers the ever growing market of weapons of mass destruction. Giant beam weapons that can teloport people everywhere to controlling the weather, if its meant to bring a city to it"&amp;"s knees, you know about it. All of these devices however will take a massive expenditure of manpower and resources. Among rare elements that are the cornerstone of the device. Good thing you always know where to get them, good luck with getting past those"&amp;" giant worms! G. I. Joe will never let you make one...unless they need it to stop cobra's latest super weapon themselves... You repertoire of doomsday devices increases with the technology you are familiar with, you learn how to apply specialties to new s"&amp;"uper weapons. Robotics could make giant robots that grow as they eat metal. To mutagenic spores that could mutate the planet.
System")</f>
        <v>Chapter 140: 96 Breakthrough
Superweapons (G.I. Joe) 600:
Your expertise covers the ever growing market of weapons of mass destruction. Giant beam weapons that can teloport people everywhere to controlling the weather, if its meant to bring a city to its knees, you know about it. All of these devices however will take a massive expenditure of manpower and resources. Among rare elements that are the cornerstone of the device. Good thing you always know where to get them, good luck with getting past those giant worms! G. I. Joe will never let you make one...unless they need it to stop cobra's latest super weapon themselves... You repertoire of doomsday devices increases with the technology you are familiar with, you learn how to apply specialties to new super weapons. Robotics could make giant robots that grow as they eat metal. To mutagenic spores that could mutate the planet.
System</v>
      </c>
      <c r="B409" s="17" t="str">
        <f>IFERROR(__xludf.DUMMYFUNCTION("""COMPUTED_VALUE"""),"
")</f>
        <v>
</v>
      </c>
      <c r="C409" s="17" t="str">
        <f>IFERROR(__xludf.DUMMYFUNCTION("""COMPUTED_VALUE"""),"
")</f>
        <v>
</v>
      </c>
      <c r="D409" s="17" t="str">
        <f>IFERROR(__xludf.DUMMYFUNCTION("""COMPUTED_VALUE"""),"
")</f>
        <v>
</v>
      </c>
      <c r="E409" s="17" t="str">
        <f>IFERROR(__xludf.DUMMYFUNCTION("""COMPUTED_VALUE"""),"
")</f>
        <v>
</v>
      </c>
      <c r="F409" s="17" t="str">
        <f>IFERROR(__xludf.DUMMYFUNCTION("""COMPUTED_VALUE"""),"
")</f>
        <v>
</v>
      </c>
      <c r="G409" s="17" t="str">
        <f>IFERROR(__xludf.DUMMYFUNCTION("""COMPUTED_VALUE"""),"
")</f>
        <v>
</v>
      </c>
      <c r="H409" s="17" t="str">
        <f>IFERROR(__xludf.DUMMYFUNCTION("""COMPUTED_VALUE"""),"
")</f>
        <v>
</v>
      </c>
      <c r="I409" s="17" t="str">
        <f>IFERROR(__xludf.DUMMYFUNCTION("""COMPUTED_VALUE"""),"
")</f>
        <v>
</v>
      </c>
      <c r="J409" s="17" t="str">
        <f>IFERROR(__xludf.DUMMYFUNCTION("""COMPUTED_VALUE"""),"
")</f>
        <v>
</v>
      </c>
      <c r="K409" s="17" t="str">
        <f>IFERROR(__xludf.DUMMYFUNCTION("""COMPUTED_VALUE"""),"
")</f>
        <v>
</v>
      </c>
      <c r="L409" s="17" t="str">
        <f>IFERROR(__xludf.DUMMYFUNCTION("""COMPUTED_VALUE"""),"
")</f>
        <v>
</v>
      </c>
      <c r="M409" s="17" t="str">
        <f>IFERROR(__xludf.DUMMYFUNCTION("""COMPUTED_VALUE"""),"
")</f>
        <v>
</v>
      </c>
      <c r="N409" s="17" t="str">
        <f>IFERROR(__xludf.DUMMYFUNCTION("""COMPUTED_VALUE"""),"
")</f>
        <v>
</v>
      </c>
      <c r="O409" s="17" t="str">
        <f>IFERROR(__xludf.DUMMYFUNCTION("""COMPUTED_VALUE"""),"
")</f>
        <v>
</v>
      </c>
      <c r="P409" s="17" t="str">
        <f>IFERROR(__xludf.DUMMYFUNCTION("""COMPUTED_VALUE"""),"
")</f>
        <v>
</v>
      </c>
      <c r="Q409" s="17" t="str">
        <f>IFERROR(__xludf.DUMMYFUNCTION("""COMPUTED_VALUE"""),"
")</f>
        <v>
</v>
      </c>
      <c r="R409" s="17" t="str">
        <f>IFERROR(__xludf.DUMMYFUNCTION("""COMPUTED_VALUE"""),"
")</f>
        <v>
</v>
      </c>
      <c r="S409" s="17" t="str">
        <f>IFERROR(__xludf.DUMMYFUNCTION("""COMPUTED_VALUE"""),"
")</f>
        <v>
</v>
      </c>
      <c r="T409" s="17" t="str">
        <f>IFERROR(__xludf.DUMMYFUNCTION("""COMPUTED_VALUE"""),"
")</f>
        <v>
</v>
      </c>
      <c r="U409" s="17" t="str">
        <f>IFERROR(__xludf.DUMMYFUNCTION("""COMPUTED_VALUE"""),"
")</f>
        <v>
</v>
      </c>
      <c r="V409" s="17" t="str">
        <f>IFERROR(__xludf.DUMMYFUNCTION("""COMPUTED_VALUE"""),"
")</f>
        <v>
</v>
      </c>
      <c r="W409" s="17" t="str">
        <f>IFERROR(__xludf.DUMMYFUNCTION("""COMPUTED_VALUE"""),"
")</f>
        <v>
</v>
      </c>
      <c r="X409" s="17" t="str">
        <f>IFERROR(__xludf.DUMMYFUNCTION("""COMPUTED_VALUE"""),"
")</f>
        <v>
</v>
      </c>
      <c r="Y409" s="17" t="str">
        <f>IFERROR(__xludf.DUMMYFUNCTION("""COMPUTED_VALUE"""),"
")</f>
        <v>
</v>
      </c>
      <c r="Z409" s="17" t="str">
        <f>IFERROR(__xludf.DUMMYFUNCTION("""COMPUTED_VALUE"""),"
")</f>
        <v>
</v>
      </c>
      <c r="AA409" s="17" t="str">
        <f>IFERROR(__xludf.DUMMYFUNCTION("""COMPUTED_VALUE"""),"
")</f>
        <v>
</v>
      </c>
      <c r="AB409" s="17" t="str">
        <f>IFERROR(__xludf.DUMMYFUNCTION("""COMPUTED_VALUE"""),"
")</f>
        <v>
</v>
      </c>
      <c r="AC409" s="17" t="str">
        <f>IFERROR(__xludf.DUMMYFUNCTION("""COMPUTED_VALUE"""),"
")</f>
        <v>
</v>
      </c>
    </row>
    <row r="410">
      <c r="A410" s="17" t="str">
        <f>IFERROR(__xludf.DUMMYFUNCTION("""COMPUTED_VALUE"""),"")</f>
        <v/>
      </c>
      <c r="B410" s="17" t="str">
        <f>IFERROR(__xludf.DUMMYFUNCTION("""COMPUTED_VALUE"""),"")</f>
        <v/>
      </c>
      <c r="C410" s="17" t="str">
        <f>IFERROR(__xludf.DUMMYFUNCTION("""COMPUTED_VALUE"""),"")</f>
        <v/>
      </c>
      <c r="D410" s="17" t="str">
        <f>IFERROR(__xludf.DUMMYFUNCTION("""COMPUTED_VALUE"""),"")</f>
        <v/>
      </c>
      <c r="E410" s="17" t="str">
        <f>IFERROR(__xludf.DUMMYFUNCTION("""COMPUTED_VALUE"""),"")</f>
        <v/>
      </c>
      <c r="F410" s="17" t="str">
        <f>IFERROR(__xludf.DUMMYFUNCTION("""COMPUTED_VALUE"""),"")</f>
        <v/>
      </c>
      <c r="G410" s="17" t="str">
        <f>IFERROR(__xludf.DUMMYFUNCTION("""COMPUTED_VALUE"""),"")</f>
        <v/>
      </c>
      <c r="H410" s="17" t="str">
        <f>IFERROR(__xludf.DUMMYFUNCTION("""COMPUTED_VALUE"""),"")</f>
        <v/>
      </c>
      <c r="I410" s="17" t="str">
        <f>IFERROR(__xludf.DUMMYFUNCTION("""COMPUTED_VALUE"""),"")</f>
        <v/>
      </c>
      <c r="J410" s="17" t="str">
        <f>IFERROR(__xludf.DUMMYFUNCTION("""COMPUTED_VALUE"""),"")</f>
        <v/>
      </c>
      <c r="K410" s="17" t="str">
        <f>IFERROR(__xludf.DUMMYFUNCTION("""COMPUTED_VALUE"""),"")</f>
        <v/>
      </c>
      <c r="L410" s="17" t="str">
        <f>IFERROR(__xludf.DUMMYFUNCTION("""COMPUTED_VALUE"""),"")</f>
        <v/>
      </c>
      <c r="M410" s="17" t="str">
        <f>IFERROR(__xludf.DUMMYFUNCTION("""COMPUTED_VALUE"""),"")</f>
        <v/>
      </c>
      <c r="N410" s="17" t="str">
        <f>IFERROR(__xludf.DUMMYFUNCTION("""COMPUTED_VALUE"""),"")</f>
        <v/>
      </c>
      <c r="O410" s="17" t="str">
        <f>IFERROR(__xludf.DUMMYFUNCTION("""COMPUTED_VALUE"""),"")</f>
        <v/>
      </c>
      <c r="P410" s="17" t="str">
        <f>IFERROR(__xludf.DUMMYFUNCTION("""COMPUTED_VALUE"""),"")</f>
        <v/>
      </c>
      <c r="Q410" s="17" t="str">
        <f>IFERROR(__xludf.DUMMYFUNCTION("""COMPUTED_VALUE"""),"")</f>
        <v/>
      </c>
      <c r="R410" s="17" t="str">
        <f>IFERROR(__xludf.DUMMYFUNCTION("""COMPUTED_VALUE"""),"")</f>
        <v/>
      </c>
      <c r="S410" s="17" t="str">
        <f>IFERROR(__xludf.DUMMYFUNCTION("""COMPUTED_VALUE"""),"")</f>
        <v/>
      </c>
      <c r="T410" s="17" t="str">
        <f>IFERROR(__xludf.DUMMYFUNCTION("""COMPUTED_VALUE"""),"")</f>
        <v/>
      </c>
      <c r="U410" s="17" t="str">
        <f>IFERROR(__xludf.DUMMYFUNCTION("""COMPUTED_VALUE"""),"")</f>
        <v/>
      </c>
      <c r="V410" s="17" t="str">
        <f>IFERROR(__xludf.DUMMYFUNCTION("""COMPUTED_VALUE"""),"")</f>
        <v/>
      </c>
      <c r="W410" s="17" t="str">
        <f>IFERROR(__xludf.DUMMYFUNCTION("""COMPUTED_VALUE"""),"")</f>
        <v/>
      </c>
      <c r="X410" s="17" t="str">
        <f>IFERROR(__xludf.DUMMYFUNCTION("""COMPUTED_VALUE"""),"")</f>
        <v/>
      </c>
      <c r="Y410" s="17" t="str">
        <f>IFERROR(__xludf.DUMMYFUNCTION("""COMPUTED_VALUE"""),"")</f>
        <v/>
      </c>
      <c r="Z410" s="17" t="str">
        <f>IFERROR(__xludf.DUMMYFUNCTION("""COMPUTED_VALUE"""),"")</f>
        <v/>
      </c>
      <c r="AA410" s="17" t="str">
        <f>IFERROR(__xludf.DUMMYFUNCTION("""COMPUTED_VALUE"""),"")</f>
        <v/>
      </c>
      <c r="AB410" s="17" t="str">
        <f>IFERROR(__xludf.DUMMYFUNCTION("""COMPUTED_VALUE"""),"")</f>
        <v/>
      </c>
      <c r="AC410" s="17" t="str">
        <f>IFERROR(__xludf.DUMMYFUNCTION("""COMPUTED_VALUE"""),"")</f>
        <v/>
      </c>
    </row>
    <row r="411">
      <c r="A411" s="17" t="str">
        <f>IFERROR(__xludf.DUMMYFUNCTION("""COMPUTED_VALUE"""),"Chapter 47: 40 Knock Down - Preamble Gully - Addendum Emergency Alert
Anaheim Degree (Gundam UC) 200:
You have the knowledge (and the paper to prove it to people and shove in their faces to establish superiority) of how to build MS. It’s trickier than it "&amp;"looks, honestly. Weight balances, servo designs, energy reserves-it’s all down to a science and you know how to build the basics. Who knows what you can learn from a bit of hands-on training...
System")</f>
        <v>Chapter 47: 40 Knock Down - Preamble Gully - Addendum Emergency Alert
Anaheim Degree (Gundam UC) 200:
You have the knowledge (and the paper to prove it to people and shove in their faces to establish superiority) of how to build MS. It’s trickier than it looks, honestly. Weight balances, servo designs, energy reserves-it’s all down to a science and you know how to build the basics. Who knows what you can learn from a bit of hands-on training...
System</v>
      </c>
      <c r="B411" s="17" t="str">
        <f>IFERROR(__xludf.DUMMYFUNCTION("""COMPUTED_VALUE"""),"Chapter 47: 40 Knock Down - Preamble Gully - Addendum Emergency Alert
Mass Production Mobile Suit: Gun-EZ (Gundam UC) Free:
The GM. The Jegan. The Zaku II. The Gun-EZ. The Den’an Zon. They are not powerful; they are not the best of the best, for they are "&amp;"designed for the common soldier. Everyone starts out piloting one of these, just gotta work your way up. (Or like the higher-up on the faction ladders, just buy a better one.)
60mm Vulcans: These are usually head-mounted in pairs (and this comes in a pair"&amp;"), but don’t expect to win anything with these- they’re usually used against missiles, small vehicles and fragile equipment like sensors. They can’t even penetrate the armor of a Zaku II.
Beam Saber: The standard melee weapon even during the OYW, these la"&amp;"ser swords can slice through MS armor pretty well- they are swords, though, and getting close to an MS may be the toughest thing you’ll do here. You may also choose instead a pair of Heat weaponry like knives or an axe or a Heat Saber.
Vehicle")</f>
        <v>Chapter 47: 40 Knock Down - Preamble Gully - Addendum Emergency Alert
Mass Production Mobile Suit: Gun-EZ (Gundam UC) Free:
The GM. The Jegan. The Zaku II. The Gun-EZ. The Den’an Zon. They are not powerful; they are not the best of the best, for they are designed for the common soldier. Everyone starts out piloting one of these, just gotta work your way up. (Or like the higher-up on the faction ladders, just buy a better one.)
60mm Vulcans: These are usually head-mounted in pairs (and this comes in a pair), but don’t expect to win anything with these- they’re usually used against missiles, small vehicles and fragile equipment like sensors. They can’t even penetrate the armor of a Zaku II.
Beam Saber: The standard melee weapon even during the OYW, these laser swords can slice through MS armor pretty well- they are swords, though, and getting close to an MS may be the toughest thing you’ll do here. You may also choose instead a pair of Heat weaponry like knives or an axe or a Heat Saber.
Vehicle</v>
      </c>
      <c r="C411" s="17" t="str">
        <f>IFERROR(__xludf.DUMMYFUNCTION("""COMPUTED_VALUE"""),"Chapter 47: 40 Knock Down - Preamble Gully - Addendum Emergency Alert
Hangar (Gundam UC) Free:
This is an addition to the warehouse designed specifically for housing the MS and any vehicles you bought from this Jump, nothing more, nothing less. It does no"&amp;"t have space effectively for anything else. You may summon a Mobile Suit remotely, but it will take a minute to launch, a few minutes to travel and you will still have to clamber inside once it lands. The land battleship and cruiser will take much longer,"&amp;" at least 3x as long, probably more, and you cannot call and dismiss them at will- it takes time to reset. 1 day (24 hours) for a Mobile Suit or small vehicle and 3 days (72 hours) for any form of ship
Facility")</f>
        <v>Chapter 47: 40 Knock Down - Preamble Gully - Addendum Emergency Alert
Hangar (Gundam UC) Free:
This is an addition to the warehouse designed specifically for housing the MS and any vehicles you bought from this Jump, nothing more, nothing less. It does not have space effectively for anything else. You may summon a Mobile Suit remotely, but it will take a minute to launch, a few minutes to travel and you will still have to clamber inside once it lands. The land battleship and cruiser will take much longer, at least 3x as long, probably more, and you cannot call and dismiss them at will- it takes time to reset. 1 day (24 hours) for a Mobile Suit or small vehicle and 3 days (72 hours) for any form of ship
Facility</v>
      </c>
      <c r="D411" s="17" t="str">
        <f>IFERROR(__xludf.DUMMYFUNCTION("""COMPUTED_VALUE"""),"
")</f>
        <v>
</v>
      </c>
      <c r="E411" s="17" t="str">
        <f>IFERROR(__xludf.DUMMYFUNCTION("""COMPUTED_VALUE"""),"
")</f>
        <v>
</v>
      </c>
      <c r="F411" s="17" t="str">
        <f>IFERROR(__xludf.DUMMYFUNCTION("""COMPUTED_VALUE"""),"
")</f>
        <v>
</v>
      </c>
      <c r="G411" s="17" t="str">
        <f>IFERROR(__xludf.DUMMYFUNCTION("""COMPUTED_VALUE"""),"
")</f>
        <v>
</v>
      </c>
      <c r="H411" s="17" t="str">
        <f>IFERROR(__xludf.DUMMYFUNCTION("""COMPUTED_VALUE"""),"
")</f>
        <v>
</v>
      </c>
      <c r="I411" s="17" t="str">
        <f>IFERROR(__xludf.DUMMYFUNCTION("""COMPUTED_VALUE"""),"
")</f>
        <v>
</v>
      </c>
      <c r="J411" s="17" t="str">
        <f>IFERROR(__xludf.DUMMYFUNCTION("""COMPUTED_VALUE"""),"
")</f>
        <v>
</v>
      </c>
      <c r="K411" s="17" t="str">
        <f>IFERROR(__xludf.DUMMYFUNCTION("""COMPUTED_VALUE"""),"
")</f>
        <v>
</v>
      </c>
      <c r="L411" s="17" t="str">
        <f>IFERROR(__xludf.DUMMYFUNCTION("""COMPUTED_VALUE"""),"
")</f>
        <v>
</v>
      </c>
      <c r="M411" s="17" t="str">
        <f>IFERROR(__xludf.DUMMYFUNCTION("""COMPUTED_VALUE"""),"
")</f>
        <v>
</v>
      </c>
      <c r="N411" s="17" t="str">
        <f>IFERROR(__xludf.DUMMYFUNCTION("""COMPUTED_VALUE"""),"
")</f>
        <v>
</v>
      </c>
      <c r="O411" s="17" t="str">
        <f>IFERROR(__xludf.DUMMYFUNCTION("""COMPUTED_VALUE"""),"
")</f>
        <v>
</v>
      </c>
      <c r="P411" s="17" t="str">
        <f>IFERROR(__xludf.DUMMYFUNCTION("""COMPUTED_VALUE"""),"
")</f>
        <v>
</v>
      </c>
      <c r="Q411" s="17" t="str">
        <f>IFERROR(__xludf.DUMMYFUNCTION("""COMPUTED_VALUE"""),"
")</f>
        <v>
</v>
      </c>
      <c r="R411" s="17" t="str">
        <f>IFERROR(__xludf.DUMMYFUNCTION("""COMPUTED_VALUE"""),"
")</f>
        <v>
</v>
      </c>
      <c r="S411" s="17" t="str">
        <f>IFERROR(__xludf.DUMMYFUNCTION("""COMPUTED_VALUE"""),"
")</f>
        <v>
</v>
      </c>
      <c r="T411" s="17" t="str">
        <f>IFERROR(__xludf.DUMMYFUNCTION("""COMPUTED_VALUE"""),"
")</f>
        <v>
</v>
      </c>
      <c r="U411" s="17" t="str">
        <f>IFERROR(__xludf.DUMMYFUNCTION("""COMPUTED_VALUE"""),"
")</f>
        <v>
</v>
      </c>
      <c r="V411" s="17" t="str">
        <f>IFERROR(__xludf.DUMMYFUNCTION("""COMPUTED_VALUE"""),"
")</f>
        <v>
</v>
      </c>
      <c r="W411" s="17" t="str">
        <f>IFERROR(__xludf.DUMMYFUNCTION("""COMPUTED_VALUE"""),"
")</f>
        <v>
</v>
      </c>
      <c r="X411" s="17" t="str">
        <f>IFERROR(__xludf.DUMMYFUNCTION("""COMPUTED_VALUE"""),"
")</f>
        <v>
</v>
      </c>
      <c r="Y411" s="17" t="str">
        <f>IFERROR(__xludf.DUMMYFUNCTION("""COMPUTED_VALUE"""),"
")</f>
        <v>
</v>
      </c>
      <c r="Z411" s="17" t="str">
        <f>IFERROR(__xludf.DUMMYFUNCTION("""COMPUTED_VALUE"""),"
")</f>
        <v>
</v>
      </c>
      <c r="AA411" s="17" t="str">
        <f>IFERROR(__xludf.DUMMYFUNCTION("""COMPUTED_VALUE"""),"
")</f>
        <v>
</v>
      </c>
      <c r="AB411" s="17" t="str">
        <f>IFERROR(__xludf.DUMMYFUNCTION("""COMPUTED_VALUE"""),"
")</f>
        <v>
</v>
      </c>
      <c r="AC411" s="17" t="str">
        <f>IFERROR(__xludf.DUMMYFUNCTION("""COMPUTED_VALUE"""),"
")</f>
        <v>
</v>
      </c>
    </row>
    <row r="412">
      <c r="A412" s="17" t="str">
        <f>IFERROR(__xludf.DUMMYFUNCTION("""COMPUTED_VALUE"""),"Chapter 57: 45 Realization - Preamble Taylor
Always a Bigger Robot (Gurren Lagann) 600:
The design and maintenance of epic machines is your specialty. You can figure out how to build starships measuring several kilometers long or devise a way to make a mo"&amp;"untain sized mecha. You'll also have no problems getting past all the laws of physics that should make such creations impossible, perhaps Spiral Energy has something to do with it?
Fiat")</f>
        <v>Chapter 57: 45 Realization - Preamble Taylor
Always a Bigger Robot (Gurren Lagann) 600:
The design and maintenance of epic machines is your specialty. You can figure out how to build starships measuring several kilometers long or devise a way to make a mountain sized mecha. You'll also have no problems getting past all the laws of physics that should make such creations impossible, perhaps Spiral Energy has something to do with it?
Fiat</v>
      </c>
      <c r="B412" s="17" t="str">
        <f>IFERROR(__xludf.DUMMYFUNCTION("""COMPUTED_VALUE"""),"Chapter 57: 45 Realization - Preamble Taylor
Spiral Energy (Gurren Lagann) Free:
A mysterious but incredibly powerful evolutionary force that can be harnessed and manipulated by living beings. Spiral Energy can allow an individual to achieve virtually any"&amp;"thing imaginable, but in order to keep things from getting too crazy you’ll have to slowly unlock your Spiral powers over time. Initially you’ll only have enough power to pilot a Gunmen but with enough time and the right circumstances you can figure out h"&amp;"ow to generate large powerful drill weapons from your mech that are capable of easily destroying other Gunmen and can cause massive explosions. After a few years of continued use you could potentially learn how to increase your physical abilities, Intelli"&amp;"gence, and natural lifespan to superhuman levels. Once you’ve fully unlocked your Spiral power you’ll be able to live for over a thousand years, punch apart small Gunmen with your bare hands, discover and forge incredible technological wonders, and genera"&amp;"te drills and other constructs from Spiral Energy without the assistance of a mech.
Without going through any of the endgame scenarios you'll only be able achieve first arc levels of Spiral power (The feats mentioned in the description for Spiral Energy a"&amp;"nd displayed by Simon and Lordgenome during their battle at the end of the Beastmen War story arc.) until after you get your Spark and stop jumping.
Regardless of whether or not you decide to go through one of the endgame scenarios, you'll gain the abilit"&amp;"y to grant one individual in each world you go to a fraction of your Spiral Energy. The person you gift this power to can only improve if your directly train them yourself and the upper limits of their Spiral Powers cannot exceed your own.
Until you get y"&amp;"our spark using Spiral Energy will always carry the risk of triggering the Spiral Nemesis, however doing so would probably require generating the same amount of matter and energy as the entire observable universe.
System")</f>
        <v>Chapter 57: 45 Realization - Preamble Taylor
Spiral Energy (Gurren Lagann) Free:
A mysterious but incredibly powerful evolutionary force that can be harnessed and manipulated by living beings. Spiral Energy can allow an individual to achieve virtually anything imaginable, but in order to keep things from getting too crazy you’ll have to slowly unlock your Spiral powers over time. Initially you’ll only have enough power to pilot a Gunmen but with enough time and the right circumstances you can figure out how to generate large powerful drill weapons from your mech that are capable of easily destroying other Gunmen and can cause massive explosions. After a few years of continued use you could potentially learn how to increase your physical abilities, Intelligence, and natural lifespan to superhuman levels. Once you’ve fully unlocked your Spiral power you’ll be able to live for over a thousand years, punch apart small Gunmen with your bare hands, discover and forge incredible technological wonders, and generate drills and other constructs from Spiral Energy without the assistance of a mech.
Without going through any of the endgame scenarios you'll only be able achieve first arc levels of Spiral power (The feats mentioned in the description for Spiral Energy and displayed by Simon and Lordgenome during their battle at the end of the Beastmen War story arc.) until after you get your Spark and stop jumping.
Regardless of whether or not you decide to go through one of the endgame scenarios, you'll gain the ability to grant one individual in each world you go to a fraction of your Spiral Energy. The person you gift this power to can only improve if your directly train them yourself and the upper limits of their Spiral Powers cannot exceed your own.
Until you get your spark using Spiral Energy will always carry the risk of triggering the Spiral Nemesis, however doing so would probably require generating the same amount of matter and energy as the entire observable universe.
System</v>
      </c>
      <c r="C412" s="17" t="str">
        <f>IFERROR(__xludf.DUMMYFUNCTION("""COMPUTED_VALUE"""),"
")</f>
        <v>
</v>
      </c>
      <c r="D412" s="17" t="str">
        <f>IFERROR(__xludf.DUMMYFUNCTION("""COMPUTED_VALUE"""),"
")</f>
        <v>
</v>
      </c>
      <c r="E412" s="17" t="str">
        <f>IFERROR(__xludf.DUMMYFUNCTION("""COMPUTED_VALUE"""),"
")</f>
        <v>
</v>
      </c>
      <c r="F412" s="17" t="str">
        <f>IFERROR(__xludf.DUMMYFUNCTION("""COMPUTED_VALUE"""),"
")</f>
        <v>
</v>
      </c>
      <c r="G412" s="17" t="str">
        <f>IFERROR(__xludf.DUMMYFUNCTION("""COMPUTED_VALUE"""),"
")</f>
        <v>
</v>
      </c>
      <c r="H412" s="17" t="str">
        <f>IFERROR(__xludf.DUMMYFUNCTION("""COMPUTED_VALUE"""),"
")</f>
        <v>
</v>
      </c>
      <c r="I412" s="17" t="str">
        <f>IFERROR(__xludf.DUMMYFUNCTION("""COMPUTED_VALUE"""),"
")</f>
        <v>
</v>
      </c>
      <c r="J412" s="17" t="str">
        <f>IFERROR(__xludf.DUMMYFUNCTION("""COMPUTED_VALUE"""),"
")</f>
        <v>
</v>
      </c>
      <c r="K412" s="17" t="str">
        <f>IFERROR(__xludf.DUMMYFUNCTION("""COMPUTED_VALUE"""),"
")</f>
        <v>
</v>
      </c>
      <c r="L412" s="17" t="str">
        <f>IFERROR(__xludf.DUMMYFUNCTION("""COMPUTED_VALUE"""),"
")</f>
        <v>
</v>
      </c>
      <c r="M412" s="17" t="str">
        <f>IFERROR(__xludf.DUMMYFUNCTION("""COMPUTED_VALUE"""),"
")</f>
        <v>
</v>
      </c>
      <c r="N412" s="17" t="str">
        <f>IFERROR(__xludf.DUMMYFUNCTION("""COMPUTED_VALUE"""),"
")</f>
        <v>
</v>
      </c>
      <c r="O412" s="17" t="str">
        <f>IFERROR(__xludf.DUMMYFUNCTION("""COMPUTED_VALUE"""),"
")</f>
        <v>
</v>
      </c>
      <c r="P412" s="17" t="str">
        <f>IFERROR(__xludf.DUMMYFUNCTION("""COMPUTED_VALUE"""),"
")</f>
        <v>
</v>
      </c>
      <c r="Q412" s="17" t="str">
        <f>IFERROR(__xludf.DUMMYFUNCTION("""COMPUTED_VALUE"""),"
")</f>
        <v>
</v>
      </c>
      <c r="R412" s="17" t="str">
        <f>IFERROR(__xludf.DUMMYFUNCTION("""COMPUTED_VALUE"""),"
")</f>
        <v>
</v>
      </c>
      <c r="S412" s="17" t="str">
        <f>IFERROR(__xludf.DUMMYFUNCTION("""COMPUTED_VALUE"""),"
")</f>
        <v>
</v>
      </c>
      <c r="T412" s="17" t="str">
        <f>IFERROR(__xludf.DUMMYFUNCTION("""COMPUTED_VALUE"""),"
")</f>
        <v>
</v>
      </c>
      <c r="U412" s="17" t="str">
        <f>IFERROR(__xludf.DUMMYFUNCTION("""COMPUTED_VALUE"""),"
")</f>
        <v>
</v>
      </c>
      <c r="V412" s="17" t="str">
        <f>IFERROR(__xludf.DUMMYFUNCTION("""COMPUTED_VALUE"""),"
")</f>
        <v>
</v>
      </c>
      <c r="W412" s="17" t="str">
        <f>IFERROR(__xludf.DUMMYFUNCTION("""COMPUTED_VALUE"""),"
")</f>
        <v>
</v>
      </c>
      <c r="X412" s="17" t="str">
        <f>IFERROR(__xludf.DUMMYFUNCTION("""COMPUTED_VALUE"""),"
")</f>
        <v>
</v>
      </c>
      <c r="Y412" s="17" t="str">
        <f>IFERROR(__xludf.DUMMYFUNCTION("""COMPUTED_VALUE"""),"
")</f>
        <v>
</v>
      </c>
      <c r="Z412" s="17" t="str">
        <f>IFERROR(__xludf.DUMMYFUNCTION("""COMPUTED_VALUE"""),"
")</f>
        <v>
</v>
      </c>
      <c r="AA412" s="17" t="str">
        <f>IFERROR(__xludf.DUMMYFUNCTION("""COMPUTED_VALUE"""),"
")</f>
        <v>
</v>
      </c>
      <c r="AB412" s="17" t="str">
        <f>IFERROR(__xludf.DUMMYFUNCTION("""COMPUTED_VALUE"""),"
")</f>
        <v>
</v>
      </c>
      <c r="AC412" s="17" t="str">
        <f>IFERROR(__xludf.DUMMYFUNCTION("""COMPUTED_VALUE"""),"
")</f>
        <v>
</v>
      </c>
    </row>
    <row r="413">
      <c r="A413" s="17" t="str">
        <f>IFERROR(__xludf.DUMMYFUNCTION("""COMPUTED_VALUE"""),"Chapter 07: 6 Commission
Aerospace Engineering Makes Things Go Fast (Kerbal Space Program) 100:
You have an intuitive grasp on the mechanics of wind-flow, material sciences, atmospheric drag, tensile strengths, rocketry, so on and so forth, and how it app"&amp;"lies to the art of designing vehicles that traverse the sky and space.
System")</f>
        <v>Chapter 07: 6 Commission
Aerospace Engineering Makes Things Go Fast (Kerbal Space Program) 100:
You have an intuitive grasp on the mechanics of wind-flow, material sciences, atmospheric drag, tensile strengths, rocketry, so on and so forth, and how it applies to the art of designing vehicles that traverse the sky and space.
System</v>
      </c>
      <c r="B413" s="17" t="str">
        <f>IFERROR(__xludf.DUMMYFUNCTION("""COMPUTED_VALUE"""),"
")</f>
        <v>
</v>
      </c>
      <c r="C413" s="17" t="str">
        <f>IFERROR(__xludf.DUMMYFUNCTION("""COMPUTED_VALUE"""),"
")</f>
        <v>
</v>
      </c>
      <c r="D413" s="17" t="str">
        <f>IFERROR(__xludf.DUMMYFUNCTION("""COMPUTED_VALUE"""),"
")</f>
        <v>
</v>
      </c>
      <c r="E413" s="17" t="str">
        <f>IFERROR(__xludf.DUMMYFUNCTION("""COMPUTED_VALUE"""),"
")</f>
        <v>
</v>
      </c>
      <c r="F413" s="17" t="str">
        <f>IFERROR(__xludf.DUMMYFUNCTION("""COMPUTED_VALUE"""),"
")</f>
        <v>
</v>
      </c>
      <c r="G413" s="17" t="str">
        <f>IFERROR(__xludf.DUMMYFUNCTION("""COMPUTED_VALUE"""),"
")</f>
        <v>
</v>
      </c>
      <c r="H413" s="17" t="str">
        <f>IFERROR(__xludf.DUMMYFUNCTION("""COMPUTED_VALUE"""),"
")</f>
        <v>
</v>
      </c>
      <c r="I413" s="17" t="str">
        <f>IFERROR(__xludf.DUMMYFUNCTION("""COMPUTED_VALUE"""),"
")</f>
        <v>
</v>
      </c>
      <c r="J413" s="17" t="str">
        <f>IFERROR(__xludf.DUMMYFUNCTION("""COMPUTED_VALUE"""),"
")</f>
        <v>
</v>
      </c>
      <c r="K413" s="17" t="str">
        <f>IFERROR(__xludf.DUMMYFUNCTION("""COMPUTED_VALUE"""),"
")</f>
        <v>
</v>
      </c>
      <c r="L413" s="17" t="str">
        <f>IFERROR(__xludf.DUMMYFUNCTION("""COMPUTED_VALUE"""),"
")</f>
        <v>
</v>
      </c>
      <c r="M413" s="17" t="str">
        <f>IFERROR(__xludf.DUMMYFUNCTION("""COMPUTED_VALUE"""),"
")</f>
        <v>
</v>
      </c>
      <c r="N413" s="17" t="str">
        <f>IFERROR(__xludf.DUMMYFUNCTION("""COMPUTED_VALUE"""),"
")</f>
        <v>
</v>
      </c>
      <c r="O413" s="17" t="str">
        <f>IFERROR(__xludf.DUMMYFUNCTION("""COMPUTED_VALUE"""),"
")</f>
        <v>
</v>
      </c>
      <c r="P413" s="17" t="str">
        <f>IFERROR(__xludf.DUMMYFUNCTION("""COMPUTED_VALUE"""),"
")</f>
        <v>
</v>
      </c>
      <c r="Q413" s="17" t="str">
        <f>IFERROR(__xludf.DUMMYFUNCTION("""COMPUTED_VALUE"""),"
")</f>
        <v>
</v>
      </c>
      <c r="R413" s="17" t="str">
        <f>IFERROR(__xludf.DUMMYFUNCTION("""COMPUTED_VALUE"""),"
")</f>
        <v>
</v>
      </c>
      <c r="S413" s="17" t="str">
        <f>IFERROR(__xludf.DUMMYFUNCTION("""COMPUTED_VALUE"""),"
")</f>
        <v>
</v>
      </c>
      <c r="T413" s="17" t="str">
        <f>IFERROR(__xludf.DUMMYFUNCTION("""COMPUTED_VALUE"""),"
")</f>
        <v>
</v>
      </c>
      <c r="U413" s="17" t="str">
        <f>IFERROR(__xludf.DUMMYFUNCTION("""COMPUTED_VALUE"""),"
")</f>
        <v>
</v>
      </c>
      <c r="V413" s="17" t="str">
        <f>IFERROR(__xludf.DUMMYFUNCTION("""COMPUTED_VALUE"""),"
")</f>
        <v>
</v>
      </c>
      <c r="W413" s="17" t="str">
        <f>IFERROR(__xludf.DUMMYFUNCTION("""COMPUTED_VALUE"""),"
")</f>
        <v>
</v>
      </c>
      <c r="X413" s="17" t="str">
        <f>IFERROR(__xludf.DUMMYFUNCTION("""COMPUTED_VALUE"""),"
")</f>
        <v>
</v>
      </c>
      <c r="Y413" s="17" t="str">
        <f>IFERROR(__xludf.DUMMYFUNCTION("""COMPUTED_VALUE"""),"
")</f>
        <v>
</v>
      </c>
      <c r="Z413" s="17" t="str">
        <f>IFERROR(__xludf.DUMMYFUNCTION("""COMPUTED_VALUE"""),"
")</f>
        <v>
</v>
      </c>
      <c r="AA413" s="17" t="str">
        <f>IFERROR(__xludf.DUMMYFUNCTION("""COMPUTED_VALUE"""),"
")</f>
        <v>
</v>
      </c>
      <c r="AB413" s="17" t="str">
        <f>IFERROR(__xludf.DUMMYFUNCTION("""COMPUTED_VALUE"""),"
")</f>
        <v>
</v>
      </c>
      <c r="AC413" s="17" t="str">
        <f>IFERROR(__xludf.DUMMYFUNCTION("""COMPUTED_VALUE"""),"
")</f>
        <v>
</v>
      </c>
    </row>
    <row r="414">
      <c r="A414" s="17" t="str">
        <f>IFERROR(__xludf.DUMMYFUNCTION("""COMPUTED_VALUE"""),"")</f>
        <v/>
      </c>
      <c r="B414" s="17" t="str">
        <f>IFERROR(__xludf.DUMMYFUNCTION("""COMPUTED_VALUE"""),"")</f>
        <v/>
      </c>
      <c r="C414" s="17" t="str">
        <f>IFERROR(__xludf.DUMMYFUNCTION("""COMPUTED_VALUE"""),"")</f>
        <v/>
      </c>
      <c r="D414" s="17" t="str">
        <f>IFERROR(__xludf.DUMMYFUNCTION("""COMPUTED_VALUE"""),"")</f>
        <v/>
      </c>
      <c r="E414" s="17" t="str">
        <f>IFERROR(__xludf.DUMMYFUNCTION("""COMPUTED_VALUE"""),"")</f>
        <v/>
      </c>
      <c r="F414" s="17" t="str">
        <f>IFERROR(__xludf.DUMMYFUNCTION("""COMPUTED_VALUE"""),"")</f>
        <v/>
      </c>
      <c r="G414" s="17" t="str">
        <f>IFERROR(__xludf.DUMMYFUNCTION("""COMPUTED_VALUE"""),"")</f>
        <v/>
      </c>
      <c r="H414" s="17" t="str">
        <f>IFERROR(__xludf.DUMMYFUNCTION("""COMPUTED_VALUE"""),"")</f>
        <v/>
      </c>
      <c r="I414" s="17" t="str">
        <f>IFERROR(__xludf.DUMMYFUNCTION("""COMPUTED_VALUE"""),"")</f>
        <v/>
      </c>
      <c r="J414" s="17" t="str">
        <f>IFERROR(__xludf.DUMMYFUNCTION("""COMPUTED_VALUE"""),"")</f>
        <v/>
      </c>
      <c r="K414" s="17" t="str">
        <f>IFERROR(__xludf.DUMMYFUNCTION("""COMPUTED_VALUE"""),"")</f>
        <v/>
      </c>
      <c r="L414" s="17" t="str">
        <f>IFERROR(__xludf.DUMMYFUNCTION("""COMPUTED_VALUE"""),"")</f>
        <v/>
      </c>
      <c r="M414" s="17" t="str">
        <f>IFERROR(__xludf.DUMMYFUNCTION("""COMPUTED_VALUE"""),"")</f>
        <v/>
      </c>
      <c r="N414" s="17" t="str">
        <f>IFERROR(__xludf.DUMMYFUNCTION("""COMPUTED_VALUE"""),"")</f>
        <v/>
      </c>
      <c r="O414" s="17" t="str">
        <f>IFERROR(__xludf.DUMMYFUNCTION("""COMPUTED_VALUE"""),"")</f>
        <v/>
      </c>
      <c r="P414" s="17" t="str">
        <f>IFERROR(__xludf.DUMMYFUNCTION("""COMPUTED_VALUE"""),"")</f>
        <v/>
      </c>
      <c r="Q414" s="17" t="str">
        <f>IFERROR(__xludf.DUMMYFUNCTION("""COMPUTED_VALUE"""),"")</f>
        <v/>
      </c>
      <c r="R414" s="17" t="str">
        <f>IFERROR(__xludf.DUMMYFUNCTION("""COMPUTED_VALUE"""),"")</f>
        <v/>
      </c>
      <c r="S414" s="17" t="str">
        <f>IFERROR(__xludf.DUMMYFUNCTION("""COMPUTED_VALUE"""),"")</f>
        <v/>
      </c>
      <c r="T414" s="17" t="str">
        <f>IFERROR(__xludf.DUMMYFUNCTION("""COMPUTED_VALUE"""),"")</f>
        <v/>
      </c>
      <c r="U414" s="17" t="str">
        <f>IFERROR(__xludf.DUMMYFUNCTION("""COMPUTED_VALUE"""),"")</f>
        <v/>
      </c>
      <c r="V414" s="17" t="str">
        <f>IFERROR(__xludf.DUMMYFUNCTION("""COMPUTED_VALUE"""),"")</f>
        <v/>
      </c>
      <c r="W414" s="17" t="str">
        <f>IFERROR(__xludf.DUMMYFUNCTION("""COMPUTED_VALUE"""),"")</f>
        <v/>
      </c>
      <c r="X414" s="17" t="str">
        <f>IFERROR(__xludf.DUMMYFUNCTION("""COMPUTED_VALUE"""),"")</f>
        <v/>
      </c>
      <c r="Y414" s="17" t="str">
        <f>IFERROR(__xludf.DUMMYFUNCTION("""COMPUTED_VALUE"""),"")</f>
        <v/>
      </c>
      <c r="Z414" s="17" t="str">
        <f>IFERROR(__xludf.DUMMYFUNCTION("""COMPUTED_VALUE"""),"")</f>
        <v/>
      </c>
      <c r="AA414" s="17" t="str">
        <f>IFERROR(__xludf.DUMMYFUNCTION("""COMPUTED_VALUE"""),"")</f>
        <v/>
      </c>
      <c r="AB414" s="17" t="str">
        <f>IFERROR(__xludf.DUMMYFUNCTION("""COMPUTED_VALUE"""),"")</f>
        <v/>
      </c>
      <c r="AC414" s="17" t="str">
        <f>IFERROR(__xludf.DUMMYFUNCTION("""COMPUTED_VALUE"""),"")</f>
        <v/>
      </c>
    </row>
    <row r="415">
      <c r="A415" s="17" t="str">
        <f>IFERROR(__xludf.DUMMYFUNCTION("""COMPUTED_VALUE"""),"Chapter 18: 14 Debut
Fingers of Silver (Macross) 200:
While other kids were building tinker-toy creations, you were fiddling with your dad's car and doing a better job than him. By purchasing this, meddling with machines and OverTechnology is as easy as b"&amp;"reathing for you. By getting your hands on something, you can easily figure out how it works and how to copy its inner workings, provided that it wasn't just bullshit magic. The more advanced something is, the harder it may be... but with time and effort,"&amp;" you just might succeed.
Analysis")</f>
        <v>Chapter 18: 14 Debut
Fingers of Silver (Macross) 200:
While other kids were building tinker-toy creations, you were fiddling with your dad's car and doing a better job than him. By purchasing this, meddling with machines and OverTechnology is as easy as breathing for you. By getting your hands on something, you can easily figure out how it works and how to copy its inner workings, provided that it wasn't just bullshit magic. The more advanced something is, the harder it may be... but with time and effort, you just might succeed.
Analysis</v>
      </c>
      <c r="B415" s="17" t="str">
        <f>IFERROR(__xludf.DUMMYFUNCTION("""COMPUTED_VALUE"""),"
")</f>
        <v>
</v>
      </c>
      <c r="C415" s="17" t="str">
        <f>IFERROR(__xludf.DUMMYFUNCTION("""COMPUTED_VALUE"""),"
")</f>
        <v>
</v>
      </c>
      <c r="D415" s="17" t="str">
        <f>IFERROR(__xludf.DUMMYFUNCTION("""COMPUTED_VALUE"""),"
")</f>
        <v>
</v>
      </c>
      <c r="E415" s="17" t="str">
        <f>IFERROR(__xludf.DUMMYFUNCTION("""COMPUTED_VALUE"""),"
")</f>
        <v>
</v>
      </c>
      <c r="F415" s="17" t="str">
        <f>IFERROR(__xludf.DUMMYFUNCTION("""COMPUTED_VALUE"""),"
")</f>
        <v>
</v>
      </c>
      <c r="G415" s="17" t="str">
        <f>IFERROR(__xludf.DUMMYFUNCTION("""COMPUTED_VALUE"""),"
")</f>
        <v>
</v>
      </c>
      <c r="H415" s="17" t="str">
        <f>IFERROR(__xludf.DUMMYFUNCTION("""COMPUTED_VALUE"""),"
")</f>
        <v>
</v>
      </c>
      <c r="I415" s="17" t="str">
        <f>IFERROR(__xludf.DUMMYFUNCTION("""COMPUTED_VALUE"""),"
")</f>
        <v>
</v>
      </c>
      <c r="J415" s="17" t="str">
        <f>IFERROR(__xludf.DUMMYFUNCTION("""COMPUTED_VALUE"""),"
")</f>
        <v>
</v>
      </c>
      <c r="K415" s="17" t="str">
        <f>IFERROR(__xludf.DUMMYFUNCTION("""COMPUTED_VALUE"""),"
")</f>
        <v>
</v>
      </c>
      <c r="L415" s="17" t="str">
        <f>IFERROR(__xludf.DUMMYFUNCTION("""COMPUTED_VALUE"""),"
")</f>
        <v>
</v>
      </c>
      <c r="M415" s="17" t="str">
        <f>IFERROR(__xludf.DUMMYFUNCTION("""COMPUTED_VALUE"""),"
")</f>
        <v>
</v>
      </c>
      <c r="N415" s="17" t="str">
        <f>IFERROR(__xludf.DUMMYFUNCTION("""COMPUTED_VALUE"""),"
")</f>
        <v>
</v>
      </c>
      <c r="O415" s="17" t="str">
        <f>IFERROR(__xludf.DUMMYFUNCTION("""COMPUTED_VALUE"""),"
")</f>
        <v>
</v>
      </c>
      <c r="P415" s="17" t="str">
        <f>IFERROR(__xludf.DUMMYFUNCTION("""COMPUTED_VALUE"""),"
")</f>
        <v>
</v>
      </c>
      <c r="Q415" s="17" t="str">
        <f>IFERROR(__xludf.DUMMYFUNCTION("""COMPUTED_VALUE"""),"
")</f>
        <v>
</v>
      </c>
      <c r="R415" s="17" t="str">
        <f>IFERROR(__xludf.DUMMYFUNCTION("""COMPUTED_VALUE"""),"
")</f>
        <v>
</v>
      </c>
      <c r="S415" s="17" t="str">
        <f>IFERROR(__xludf.DUMMYFUNCTION("""COMPUTED_VALUE"""),"
")</f>
        <v>
</v>
      </c>
      <c r="T415" s="17" t="str">
        <f>IFERROR(__xludf.DUMMYFUNCTION("""COMPUTED_VALUE"""),"
")</f>
        <v>
</v>
      </c>
      <c r="U415" s="17" t="str">
        <f>IFERROR(__xludf.DUMMYFUNCTION("""COMPUTED_VALUE"""),"
")</f>
        <v>
</v>
      </c>
      <c r="V415" s="17" t="str">
        <f>IFERROR(__xludf.DUMMYFUNCTION("""COMPUTED_VALUE"""),"
")</f>
        <v>
</v>
      </c>
      <c r="W415" s="17" t="str">
        <f>IFERROR(__xludf.DUMMYFUNCTION("""COMPUTED_VALUE"""),"
")</f>
        <v>
</v>
      </c>
      <c r="X415" s="17" t="str">
        <f>IFERROR(__xludf.DUMMYFUNCTION("""COMPUTED_VALUE"""),"
")</f>
        <v>
</v>
      </c>
      <c r="Y415" s="17" t="str">
        <f>IFERROR(__xludf.DUMMYFUNCTION("""COMPUTED_VALUE"""),"
")</f>
        <v>
</v>
      </c>
      <c r="Z415" s="17" t="str">
        <f>IFERROR(__xludf.DUMMYFUNCTION("""COMPUTED_VALUE"""),"
")</f>
        <v>
</v>
      </c>
      <c r="AA415" s="17" t="str">
        <f>IFERROR(__xludf.DUMMYFUNCTION("""COMPUTED_VALUE"""),"
")</f>
        <v>
</v>
      </c>
      <c r="AB415" s="17" t="str">
        <f>IFERROR(__xludf.DUMMYFUNCTION("""COMPUTED_VALUE"""),"
")</f>
        <v>
</v>
      </c>
      <c r="AC415" s="17" t="str">
        <f>IFERROR(__xludf.DUMMYFUNCTION("""COMPUTED_VALUE"""),"
")</f>
        <v>
</v>
      </c>
    </row>
    <row r="416">
      <c r="A416" s="17" t="str">
        <f>IFERROR(__xludf.DUMMYFUNCTION("""COMPUTED_VALUE"""),"Chapter 03: 3 First Fight
Black Thumb (Mad Max Gauntlet) 100:
You have the skills of an expert mechanic, able to keep vehicles running even in the most inhospitable conditions. Repairing and tuning up engines is your bread and butter, even while they’re s"&amp;"till operating. You also have a feel for how to upgrade cars in more esoteric ways; hey, it takes skill to add that many spikes and not hurt the handling!
Skill")</f>
        <v>Chapter 03: 3 First Fight
Black Thumb (Mad Max Gauntlet) 100:
You have the skills of an expert mechanic, able to keep vehicles running even in the most inhospitable conditions. Repairing and tuning up engines is your bread and butter, even while they’re still operating. You also have a feel for how to upgrade cars in more esoteric ways; hey, it takes skill to add that many spikes and not hurt the handling!
Skill</v>
      </c>
      <c r="B416" s="17" t="str">
        <f>IFERROR(__xludf.DUMMYFUNCTION("""COMPUTED_VALUE"""),"
")</f>
        <v>
</v>
      </c>
      <c r="C416" s="17" t="str">
        <f>IFERROR(__xludf.DUMMYFUNCTION("""COMPUTED_VALUE"""),"
")</f>
        <v>
</v>
      </c>
      <c r="D416" s="17" t="str">
        <f>IFERROR(__xludf.DUMMYFUNCTION("""COMPUTED_VALUE"""),"
")</f>
        <v>
</v>
      </c>
      <c r="E416" s="17" t="str">
        <f>IFERROR(__xludf.DUMMYFUNCTION("""COMPUTED_VALUE"""),"
")</f>
        <v>
</v>
      </c>
      <c r="F416" s="17" t="str">
        <f>IFERROR(__xludf.DUMMYFUNCTION("""COMPUTED_VALUE"""),"
")</f>
        <v>
</v>
      </c>
      <c r="G416" s="17" t="str">
        <f>IFERROR(__xludf.DUMMYFUNCTION("""COMPUTED_VALUE"""),"
")</f>
        <v>
</v>
      </c>
      <c r="H416" s="17" t="str">
        <f>IFERROR(__xludf.DUMMYFUNCTION("""COMPUTED_VALUE"""),"
")</f>
        <v>
</v>
      </c>
      <c r="I416" s="17" t="str">
        <f>IFERROR(__xludf.DUMMYFUNCTION("""COMPUTED_VALUE"""),"
")</f>
        <v>
</v>
      </c>
      <c r="J416" s="17" t="str">
        <f>IFERROR(__xludf.DUMMYFUNCTION("""COMPUTED_VALUE"""),"
")</f>
        <v>
</v>
      </c>
      <c r="K416" s="17" t="str">
        <f>IFERROR(__xludf.DUMMYFUNCTION("""COMPUTED_VALUE"""),"
")</f>
        <v>
</v>
      </c>
      <c r="L416" s="17" t="str">
        <f>IFERROR(__xludf.DUMMYFUNCTION("""COMPUTED_VALUE"""),"
")</f>
        <v>
</v>
      </c>
      <c r="M416" s="17" t="str">
        <f>IFERROR(__xludf.DUMMYFUNCTION("""COMPUTED_VALUE"""),"
")</f>
        <v>
</v>
      </c>
      <c r="N416" s="17" t="str">
        <f>IFERROR(__xludf.DUMMYFUNCTION("""COMPUTED_VALUE"""),"
")</f>
        <v>
</v>
      </c>
      <c r="O416" s="17" t="str">
        <f>IFERROR(__xludf.DUMMYFUNCTION("""COMPUTED_VALUE"""),"
")</f>
        <v>
</v>
      </c>
      <c r="P416" s="17" t="str">
        <f>IFERROR(__xludf.DUMMYFUNCTION("""COMPUTED_VALUE"""),"
")</f>
        <v>
</v>
      </c>
      <c r="Q416" s="17" t="str">
        <f>IFERROR(__xludf.DUMMYFUNCTION("""COMPUTED_VALUE"""),"
")</f>
        <v>
</v>
      </c>
      <c r="R416" s="17" t="str">
        <f>IFERROR(__xludf.DUMMYFUNCTION("""COMPUTED_VALUE"""),"
")</f>
        <v>
</v>
      </c>
      <c r="S416" s="17" t="str">
        <f>IFERROR(__xludf.DUMMYFUNCTION("""COMPUTED_VALUE"""),"
")</f>
        <v>
</v>
      </c>
      <c r="T416" s="17" t="str">
        <f>IFERROR(__xludf.DUMMYFUNCTION("""COMPUTED_VALUE"""),"
")</f>
        <v>
</v>
      </c>
      <c r="U416" s="17" t="str">
        <f>IFERROR(__xludf.DUMMYFUNCTION("""COMPUTED_VALUE"""),"
")</f>
        <v>
</v>
      </c>
      <c r="V416" s="17" t="str">
        <f>IFERROR(__xludf.DUMMYFUNCTION("""COMPUTED_VALUE"""),"
")</f>
        <v>
</v>
      </c>
      <c r="W416" s="17" t="str">
        <f>IFERROR(__xludf.DUMMYFUNCTION("""COMPUTED_VALUE"""),"
")</f>
        <v>
</v>
      </c>
      <c r="X416" s="17" t="str">
        <f>IFERROR(__xludf.DUMMYFUNCTION("""COMPUTED_VALUE"""),"
")</f>
        <v>
</v>
      </c>
      <c r="Y416" s="17" t="str">
        <f>IFERROR(__xludf.DUMMYFUNCTION("""COMPUTED_VALUE"""),"
")</f>
        <v>
</v>
      </c>
      <c r="Z416" s="17" t="str">
        <f>IFERROR(__xludf.DUMMYFUNCTION("""COMPUTED_VALUE"""),"
")</f>
        <v>
</v>
      </c>
      <c r="AA416" s="17" t="str">
        <f>IFERROR(__xludf.DUMMYFUNCTION("""COMPUTED_VALUE"""),"
")</f>
        <v>
</v>
      </c>
      <c r="AB416" s="17" t="str">
        <f>IFERROR(__xludf.DUMMYFUNCTION("""COMPUTED_VALUE"""),"
")</f>
        <v>
</v>
      </c>
      <c r="AC416" s="17" t="str">
        <f>IFERROR(__xludf.DUMMYFUNCTION("""COMPUTED_VALUE"""),"
")</f>
        <v>
</v>
      </c>
    </row>
    <row r="417">
      <c r="A417" s="17" t="str">
        <f>IFERROR(__xludf.DUMMYFUNCTION("""COMPUTED_VALUE"""),"Chapter 184: 116.3 Interlude Crystal - Addendum Joe
A New Age of Warfare (Metal Gear) 600:
Metal Gear, a weapon capable of bringing an entire nation to its knees (in theory). Your engineering talents have extended to the point you can create these war mac"&amp;"hines, even automate them with AI, provided you have enough time and resources.
System")</f>
        <v>Chapter 184: 116.3 Interlude Crystal - Addendum Joe
A New Age of Warfare (Metal Gear) 600:
Metal Gear, a weapon capable of bringing an entire nation to its knees (in theory). Your engineering talents have extended to the point you can create these war machines, even automate them with AI, provided you have enough time and resources.
System</v>
      </c>
      <c r="B417" s="17" t="str">
        <f>IFERROR(__xludf.DUMMYFUNCTION("""COMPUTED_VALUE"""),"Chapter 184: 116.3 Interlude Crystal - Addendum Joe
Global Operations (Metal Gear) Free:
In an era of tactical espionage, a soldier can no longer trust the fight to be defined by borders or battle lines. Operations can occur anywhere on the planet, and yo"&amp;"u’ve taken the first step to prepare for that. You can speak one additional language, appropriate to your location, fluently.
Skill")</f>
        <v>Chapter 184: 116.3 Interlude Crystal - Addendum Joe
Global Operations (Metal Gear) Free:
In an era of tactical espionage, a soldier can no longer trust the fight to be defined by borders or battle lines. Operations can occur anywhere on the planet, and you’ve taken the first step to prepare for that. You can speak one additional language, appropriate to your location, fluently.
Skill</v>
      </c>
      <c r="C417" s="17" t="str">
        <f>IFERROR(__xludf.DUMMYFUNCTION("""COMPUTED_VALUE"""),"Chapter 184: 116.3 Interlude Crystal - Addendum Joe
Signature Weapon (Metal Gear) Free:
While soldiers are often expected to be familiar with a variety of weapons, everyone has a favorite. Especially in this universe, where some of the elite are defined b"&amp;"y their weapon of choice. You may import a weapon you already own into any number of weapons purchased, or simply combine purchased weapons, adding either new functionality or an alternate form to the weapon. Selecting a weapon as your signature grants th"&amp;"e following benefits:
Total familiarity of the weapon. Operating and maintaining this weapon comes as naturally as breathing to you. This won’t make you a better shot per se, but you know how the weapon behaves as well as your own limbs.
In addition to s"&amp;"tandard ammo, your warehouse can produce any ammo type that could theoretically be made for it with modern day tech. This includes unorthodox picks like shotgun sabots, mercury-filled bullets, or explosive arrows. Options without conventional ammo use hav"&amp;"e other benefits, listed with the respective weapon.
Extra bonuses to the weapon, based on your background and certain perks, these will persist if someone else is using it. R&amp;D Unit: You can't really say there are many like it, unless you're trying to be"&amp;" humble. Your signature weapon is simply a masterwork: including design and material innovations that would be cutting-edge in MGS4, parts fabricated to microscopic precision, and that intangible care of a hand-made item. The benefits of this won't match "&amp;"the other listed perk effects, but it will improve virtually every aspect of this weapon.
Item")</f>
        <v>Chapter 184: 116.3 Interlude Crystal - Addendum Joe
Signature Weapon (Metal Gear) Free:
While soldiers are often expected to be familiar with a variety of weapons, everyone has a favorite. Especially in this universe, where some of the elite are defined by their weapon of choice. You may import a weapon you already own into any number of weapons purchased, or simply combine purchased weapons, adding either new functionality or an alternate form to the weapon. Selecting a weapon as your signature grants the following benefits:
Total familiarity of the weapon. Operating and maintaining this weapon comes as naturally as breathing to you. This won’t make you a better shot per se, but you know how the weapon behaves as well as your own limbs.
In addition to standard ammo, your warehouse can produce any ammo type that could theoretically be made for it with modern day tech. This includes unorthodox picks like shotgun sabots, mercury-filled bullets, or explosive arrows. Options without conventional ammo use have other benefits, listed with the respective weapon.
Extra bonuses to the weapon, based on your background and certain perks, these will persist if someone else is using it. R&amp;D Unit: You can't really say there are many like it, unless you're trying to be humble. Your signature weapon is simply a masterwork: including design and material innovations that would be cutting-edge in MGS4, parts fabricated to microscopic precision, and that intangible care of a hand-made item. The benefits of this won't match the other listed perk effects, but it will improve virtually every aspect of this weapon.
Item</v>
      </c>
      <c r="D417" s="17" t="str">
        <f>IFERROR(__xludf.DUMMYFUNCTION("""COMPUTED_VALUE"""),"
")</f>
        <v>
</v>
      </c>
      <c r="E417" s="17" t="str">
        <f>IFERROR(__xludf.DUMMYFUNCTION("""COMPUTED_VALUE"""),"
")</f>
        <v>
</v>
      </c>
      <c r="F417" s="17" t="str">
        <f>IFERROR(__xludf.DUMMYFUNCTION("""COMPUTED_VALUE"""),"
")</f>
        <v>
</v>
      </c>
      <c r="G417" s="17" t="str">
        <f>IFERROR(__xludf.DUMMYFUNCTION("""COMPUTED_VALUE"""),"
")</f>
        <v>
</v>
      </c>
      <c r="H417" s="17" t="str">
        <f>IFERROR(__xludf.DUMMYFUNCTION("""COMPUTED_VALUE"""),"
")</f>
        <v>
</v>
      </c>
      <c r="I417" s="17" t="str">
        <f>IFERROR(__xludf.DUMMYFUNCTION("""COMPUTED_VALUE"""),"
")</f>
        <v>
</v>
      </c>
      <c r="J417" s="17" t="str">
        <f>IFERROR(__xludf.DUMMYFUNCTION("""COMPUTED_VALUE"""),"
")</f>
        <v>
</v>
      </c>
      <c r="K417" s="17" t="str">
        <f>IFERROR(__xludf.DUMMYFUNCTION("""COMPUTED_VALUE"""),"
")</f>
        <v>
</v>
      </c>
      <c r="L417" s="17" t="str">
        <f>IFERROR(__xludf.DUMMYFUNCTION("""COMPUTED_VALUE"""),"
")</f>
        <v>
</v>
      </c>
      <c r="M417" s="17" t="str">
        <f>IFERROR(__xludf.DUMMYFUNCTION("""COMPUTED_VALUE"""),"
")</f>
        <v>
</v>
      </c>
      <c r="N417" s="17" t="str">
        <f>IFERROR(__xludf.DUMMYFUNCTION("""COMPUTED_VALUE"""),"
")</f>
        <v>
</v>
      </c>
      <c r="O417" s="17" t="str">
        <f>IFERROR(__xludf.DUMMYFUNCTION("""COMPUTED_VALUE"""),"
")</f>
        <v>
</v>
      </c>
      <c r="P417" s="17" t="str">
        <f>IFERROR(__xludf.DUMMYFUNCTION("""COMPUTED_VALUE"""),"
")</f>
        <v>
</v>
      </c>
      <c r="Q417" s="17" t="str">
        <f>IFERROR(__xludf.DUMMYFUNCTION("""COMPUTED_VALUE"""),"
")</f>
        <v>
</v>
      </c>
      <c r="R417" s="17" t="str">
        <f>IFERROR(__xludf.DUMMYFUNCTION("""COMPUTED_VALUE"""),"
")</f>
        <v>
</v>
      </c>
      <c r="S417" s="17" t="str">
        <f>IFERROR(__xludf.DUMMYFUNCTION("""COMPUTED_VALUE"""),"
")</f>
        <v>
</v>
      </c>
      <c r="T417" s="17" t="str">
        <f>IFERROR(__xludf.DUMMYFUNCTION("""COMPUTED_VALUE"""),"
")</f>
        <v>
</v>
      </c>
      <c r="U417" s="17" t="str">
        <f>IFERROR(__xludf.DUMMYFUNCTION("""COMPUTED_VALUE"""),"
")</f>
        <v>
</v>
      </c>
      <c r="V417" s="17" t="str">
        <f>IFERROR(__xludf.DUMMYFUNCTION("""COMPUTED_VALUE"""),"
")</f>
        <v>
</v>
      </c>
      <c r="W417" s="17" t="str">
        <f>IFERROR(__xludf.DUMMYFUNCTION("""COMPUTED_VALUE"""),"
")</f>
        <v>
</v>
      </c>
      <c r="X417" s="17" t="str">
        <f>IFERROR(__xludf.DUMMYFUNCTION("""COMPUTED_VALUE"""),"
")</f>
        <v>
</v>
      </c>
      <c r="Y417" s="17" t="str">
        <f>IFERROR(__xludf.DUMMYFUNCTION("""COMPUTED_VALUE"""),"
")</f>
        <v>
</v>
      </c>
      <c r="Z417" s="17" t="str">
        <f>IFERROR(__xludf.DUMMYFUNCTION("""COMPUTED_VALUE"""),"
")</f>
        <v>
</v>
      </c>
      <c r="AA417" s="17" t="str">
        <f>IFERROR(__xludf.DUMMYFUNCTION("""COMPUTED_VALUE"""),"
")</f>
        <v>
</v>
      </c>
      <c r="AB417" s="17" t="str">
        <f>IFERROR(__xludf.DUMMYFUNCTION("""COMPUTED_VALUE"""),"
")</f>
        <v>
</v>
      </c>
      <c r="AC417" s="17" t="str">
        <f>IFERROR(__xludf.DUMMYFUNCTION("""COMPUTED_VALUE"""),"
")</f>
        <v>
</v>
      </c>
    </row>
    <row r="418">
      <c r="A418" s="17" t="str">
        <f>IFERROR(__xludf.DUMMYFUNCTION("""COMPUTED_VALUE"""),"")</f>
        <v/>
      </c>
      <c r="B418" s="17" t="str">
        <f>IFERROR(__xludf.DUMMYFUNCTION("""COMPUTED_VALUE"""),"")</f>
        <v/>
      </c>
      <c r="C418" s="17" t="str">
        <f>IFERROR(__xludf.DUMMYFUNCTION("""COMPUTED_VALUE"""),"")</f>
        <v/>
      </c>
      <c r="D418" s="17" t="str">
        <f>IFERROR(__xludf.DUMMYFUNCTION("""COMPUTED_VALUE"""),"")</f>
        <v/>
      </c>
      <c r="E418" s="17" t="str">
        <f>IFERROR(__xludf.DUMMYFUNCTION("""COMPUTED_VALUE"""),"")</f>
        <v/>
      </c>
      <c r="F418" s="17" t="str">
        <f>IFERROR(__xludf.DUMMYFUNCTION("""COMPUTED_VALUE"""),"")</f>
        <v/>
      </c>
      <c r="G418" s="17" t="str">
        <f>IFERROR(__xludf.DUMMYFUNCTION("""COMPUTED_VALUE"""),"")</f>
        <v/>
      </c>
      <c r="H418" s="17" t="str">
        <f>IFERROR(__xludf.DUMMYFUNCTION("""COMPUTED_VALUE"""),"")</f>
        <v/>
      </c>
      <c r="I418" s="17" t="str">
        <f>IFERROR(__xludf.DUMMYFUNCTION("""COMPUTED_VALUE"""),"")</f>
        <v/>
      </c>
      <c r="J418" s="17" t="str">
        <f>IFERROR(__xludf.DUMMYFUNCTION("""COMPUTED_VALUE"""),"")</f>
        <v/>
      </c>
      <c r="K418" s="17" t="str">
        <f>IFERROR(__xludf.DUMMYFUNCTION("""COMPUTED_VALUE"""),"")</f>
        <v/>
      </c>
      <c r="L418" s="17" t="str">
        <f>IFERROR(__xludf.DUMMYFUNCTION("""COMPUTED_VALUE"""),"")</f>
        <v/>
      </c>
      <c r="M418" s="17" t="str">
        <f>IFERROR(__xludf.DUMMYFUNCTION("""COMPUTED_VALUE"""),"")</f>
        <v/>
      </c>
      <c r="N418" s="17" t="str">
        <f>IFERROR(__xludf.DUMMYFUNCTION("""COMPUTED_VALUE"""),"")</f>
        <v/>
      </c>
      <c r="O418" s="17" t="str">
        <f>IFERROR(__xludf.DUMMYFUNCTION("""COMPUTED_VALUE"""),"")</f>
        <v/>
      </c>
      <c r="P418" s="17" t="str">
        <f>IFERROR(__xludf.DUMMYFUNCTION("""COMPUTED_VALUE"""),"")</f>
        <v/>
      </c>
      <c r="Q418" s="17" t="str">
        <f>IFERROR(__xludf.DUMMYFUNCTION("""COMPUTED_VALUE"""),"")</f>
        <v/>
      </c>
      <c r="R418" s="17" t="str">
        <f>IFERROR(__xludf.DUMMYFUNCTION("""COMPUTED_VALUE"""),"")</f>
        <v/>
      </c>
      <c r="S418" s="17" t="str">
        <f>IFERROR(__xludf.DUMMYFUNCTION("""COMPUTED_VALUE"""),"")</f>
        <v/>
      </c>
      <c r="T418" s="17" t="str">
        <f>IFERROR(__xludf.DUMMYFUNCTION("""COMPUTED_VALUE"""),"")</f>
        <v/>
      </c>
      <c r="U418" s="17" t="str">
        <f>IFERROR(__xludf.DUMMYFUNCTION("""COMPUTED_VALUE"""),"")</f>
        <v/>
      </c>
      <c r="V418" s="17" t="str">
        <f>IFERROR(__xludf.DUMMYFUNCTION("""COMPUTED_VALUE"""),"")</f>
        <v/>
      </c>
      <c r="W418" s="17" t="str">
        <f>IFERROR(__xludf.DUMMYFUNCTION("""COMPUTED_VALUE"""),"")</f>
        <v/>
      </c>
      <c r="X418" s="17" t="str">
        <f>IFERROR(__xludf.DUMMYFUNCTION("""COMPUTED_VALUE"""),"")</f>
        <v/>
      </c>
      <c r="Y418" s="17" t="str">
        <f>IFERROR(__xludf.DUMMYFUNCTION("""COMPUTED_VALUE"""),"")</f>
        <v/>
      </c>
      <c r="Z418" s="17" t="str">
        <f>IFERROR(__xludf.DUMMYFUNCTION("""COMPUTED_VALUE"""),"")</f>
        <v/>
      </c>
      <c r="AA418" s="17" t="str">
        <f>IFERROR(__xludf.DUMMYFUNCTION("""COMPUTED_VALUE"""),"")</f>
        <v/>
      </c>
      <c r="AB418" s="17" t="str">
        <f>IFERROR(__xludf.DUMMYFUNCTION("""COMPUTED_VALUE"""),"")</f>
        <v/>
      </c>
      <c r="AC418" s="17" t="str">
        <f>IFERROR(__xludf.DUMMYFUNCTION("""COMPUTED_VALUE"""),"")</f>
        <v/>
      </c>
    </row>
    <row r="419">
      <c r="A419" s="17" t="str">
        <f>IFERROR(__xludf.DUMMYFUNCTION("""COMPUTED_VALUE"""),"Chapter 123: 88 Perspectives
Mechanical Genius (Star Wars – Clone Wars) 600:
You're the leading expert at designing droids and starships. Given the right resources you could create fully autonomous starfighters with built in hyperdrives, battle droids w"&amp;"ith cheap, stronger and longer lasting shields, hover tanks as fast as landspeeders, androids indistinguishable from organics, and combat droids capable of killing jedi.
System")</f>
        <v>Chapter 123: 88 Perspectives
Mechanical Genius (Star Wars – Clone Wars) 600:
You're the leading expert at designing droids and starships. Given the right resources you could create fully autonomous starfighters with built in hyperdrives, battle droids with cheap, stronger and longer lasting shields, hover tanks as fast as landspeeders, androids indistinguishable from organics, and combat droids capable of killing jedi.
System</v>
      </c>
      <c r="B419" s="17" t="str">
        <f>IFERROR(__xludf.DUMMYFUNCTION("""COMPUTED_VALUE"""),"
")</f>
        <v>
</v>
      </c>
      <c r="C419" s="17" t="str">
        <f>IFERROR(__xludf.DUMMYFUNCTION("""COMPUTED_VALUE"""),"
")</f>
        <v>
</v>
      </c>
      <c r="D419" s="17" t="str">
        <f>IFERROR(__xludf.DUMMYFUNCTION("""COMPUTED_VALUE"""),"
")</f>
        <v>
</v>
      </c>
      <c r="E419" s="17" t="str">
        <f>IFERROR(__xludf.DUMMYFUNCTION("""COMPUTED_VALUE"""),"
")</f>
        <v>
</v>
      </c>
      <c r="F419" s="17" t="str">
        <f>IFERROR(__xludf.DUMMYFUNCTION("""COMPUTED_VALUE"""),"
")</f>
        <v>
</v>
      </c>
      <c r="G419" s="17" t="str">
        <f>IFERROR(__xludf.DUMMYFUNCTION("""COMPUTED_VALUE"""),"
")</f>
        <v>
</v>
      </c>
      <c r="H419" s="17" t="str">
        <f>IFERROR(__xludf.DUMMYFUNCTION("""COMPUTED_VALUE"""),"
")</f>
        <v>
</v>
      </c>
      <c r="I419" s="17" t="str">
        <f>IFERROR(__xludf.DUMMYFUNCTION("""COMPUTED_VALUE"""),"
")</f>
        <v>
</v>
      </c>
      <c r="J419" s="17" t="str">
        <f>IFERROR(__xludf.DUMMYFUNCTION("""COMPUTED_VALUE"""),"
")</f>
        <v>
</v>
      </c>
      <c r="K419" s="17" t="str">
        <f>IFERROR(__xludf.DUMMYFUNCTION("""COMPUTED_VALUE"""),"
")</f>
        <v>
</v>
      </c>
      <c r="L419" s="17" t="str">
        <f>IFERROR(__xludf.DUMMYFUNCTION("""COMPUTED_VALUE"""),"
")</f>
        <v>
</v>
      </c>
      <c r="M419" s="17" t="str">
        <f>IFERROR(__xludf.DUMMYFUNCTION("""COMPUTED_VALUE"""),"
")</f>
        <v>
</v>
      </c>
      <c r="N419" s="17" t="str">
        <f>IFERROR(__xludf.DUMMYFUNCTION("""COMPUTED_VALUE"""),"
")</f>
        <v>
</v>
      </c>
      <c r="O419" s="17" t="str">
        <f>IFERROR(__xludf.DUMMYFUNCTION("""COMPUTED_VALUE"""),"
")</f>
        <v>
</v>
      </c>
      <c r="P419" s="17" t="str">
        <f>IFERROR(__xludf.DUMMYFUNCTION("""COMPUTED_VALUE"""),"
")</f>
        <v>
</v>
      </c>
      <c r="Q419" s="17" t="str">
        <f>IFERROR(__xludf.DUMMYFUNCTION("""COMPUTED_VALUE"""),"
")</f>
        <v>
</v>
      </c>
      <c r="R419" s="17" t="str">
        <f>IFERROR(__xludf.DUMMYFUNCTION("""COMPUTED_VALUE"""),"
")</f>
        <v>
</v>
      </c>
      <c r="S419" s="17" t="str">
        <f>IFERROR(__xludf.DUMMYFUNCTION("""COMPUTED_VALUE"""),"
")</f>
        <v>
</v>
      </c>
      <c r="T419" s="17" t="str">
        <f>IFERROR(__xludf.DUMMYFUNCTION("""COMPUTED_VALUE"""),"
")</f>
        <v>
</v>
      </c>
      <c r="U419" s="17" t="str">
        <f>IFERROR(__xludf.DUMMYFUNCTION("""COMPUTED_VALUE"""),"
")</f>
        <v>
</v>
      </c>
      <c r="V419" s="17" t="str">
        <f>IFERROR(__xludf.DUMMYFUNCTION("""COMPUTED_VALUE"""),"
")</f>
        <v>
</v>
      </c>
      <c r="W419" s="17" t="str">
        <f>IFERROR(__xludf.DUMMYFUNCTION("""COMPUTED_VALUE"""),"
")</f>
        <v>
</v>
      </c>
      <c r="X419" s="17" t="str">
        <f>IFERROR(__xludf.DUMMYFUNCTION("""COMPUTED_VALUE"""),"
")</f>
        <v>
</v>
      </c>
      <c r="Y419" s="17" t="str">
        <f>IFERROR(__xludf.DUMMYFUNCTION("""COMPUTED_VALUE"""),"
")</f>
        <v>
</v>
      </c>
      <c r="Z419" s="17" t="str">
        <f>IFERROR(__xludf.DUMMYFUNCTION("""COMPUTED_VALUE"""),"
")</f>
        <v>
</v>
      </c>
      <c r="AA419" s="17" t="str">
        <f>IFERROR(__xludf.DUMMYFUNCTION("""COMPUTED_VALUE"""),"
")</f>
        <v>
</v>
      </c>
      <c r="AB419" s="17" t="str">
        <f>IFERROR(__xludf.DUMMYFUNCTION("""COMPUTED_VALUE"""),"
")</f>
        <v>
</v>
      </c>
      <c r="AC419" s="17" t="str">
        <f>IFERROR(__xludf.DUMMYFUNCTION("""COMPUTED_VALUE"""),"
")</f>
        <v>
</v>
      </c>
    </row>
    <row r="420">
      <c r="A420" s="17" t="str">
        <f>IFERROR(__xludf.DUMMYFUNCTION("""COMPUTED_VALUE"""),"")</f>
        <v/>
      </c>
      <c r="B420" s="17" t="str">
        <f>IFERROR(__xludf.DUMMYFUNCTION("""COMPUTED_VALUE"""),"")</f>
        <v/>
      </c>
      <c r="C420" s="17" t="str">
        <f>IFERROR(__xludf.DUMMYFUNCTION("""COMPUTED_VALUE"""),"")</f>
        <v/>
      </c>
      <c r="D420" s="17" t="str">
        <f>IFERROR(__xludf.DUMMYFUNCTION("""COMPUTED_VALUE"""),"")</f>
        <v/>
      </c>
      <c r="E420" s="17" t="str">
        <f>IFERROR(__xludf.DUMMYFUNCTION("""COMPUTED_VALUE"""),"")</f>
        <v/>
      </c>
      <c r="F420" s="17" t="str">
        <f>IFERROR(__xludf.DUMMYFUNCTION("""COMPUTED_VALUE"""),"")</f>
        <v/>
      </c>
      <c r="G420" s="17" t="str">
        <f>IFERROR(__xludf.DUMMYFUNCTION("""COMPUTED_VALUE"""),"")</f>
        <v/>
      </c>
      <c r="H420" s="17" t="str">
        <f>IFERROR(__xludf.DUMMYFUNCTION("""COMPUTED_VALUE"""),"")</f>
        <v/>
      </c>
      <c r="I420" s="17" t="str">
        <f>IFERROR(__xludf.DUMMYFUNCTION("""COMPUTED_VALUE"""),"")</f>
        <v/>
      </c>
      <c r="J420" s="17" t="str">
        <f>IFERROR(__xludf.DUMMYFUNCTION("""COMPUTED_VALUE"""),"")</f>
        <v/>
      </c>
      <c r="K420" s="17" t="str">
        <f>IFERROR(__xludf.DUMMYFUNCTION("""COMPUTED_VALUE"""),"")</f>
        <v/>
      </c>
      <c r="L420" s="17" t="str">
        <f>IFERROR(__xludf.DUMMYFUNCTION("""COMPUTED_VALUE"""),"")</f>
        <v/>
      </c>
      <c r="M420" s="17" t="str">
        <f>IFERROR(__xludf.DUMMYFUNCTION("""COMPUTED_VALUE"""),"")</f>
        <v/>
      </c>
      <c r="N420" s="17" t="str">
        <f>IFERROR(__xludf.DUMMYFUNCTION("""COMPUTED_VALUE"""),"")</f>
        <v/>
      </c>
      <c r="O420" s="17" t="str">
        <f>IFERROR(__xludf.DUMMYFUNCTION("""COMPUTED_VALUE"""),"")</f>
        <v/>
      </c>
      <c r="P420" s="17" t="str">
        <f>IFERROR(__xludf.DUMMYFUNCTION("""COMPUTED_VALUE"""),"")</f>
        <v/>
      </c>
      <c r="Q420" s="17" t="str">
        <f>IFERROR(__xludf.DUMMYFUNCTION("""COMPUTED_VALUE"""),"")</f>
        <v/>
      </c>
      <c r="R420" s="17" t="str">
        <f>IFERROR(__xludf.DUMMYFUNCTION("""COMPUTED_VALUE"""),"")</f>
        <v/>
      </c>
      <c r="S420" s="17" t="str">
        <f>IFERROR(__xludf.DUMMYFUNCTION("""COMPUTED_VALUE"""),"")</f>
        <v/>
      </c>
      <c r="T420" s="17" t="str">
        <f>IFERROR(__xludf.DUMMYFUNCTION("""COMPUTED_VALUE"""),"")</f>
        <v/>
      </c>
      <c r="U420" s="17" t="str">
        <f>IFERROR(__xludf.DUMMYFUNCTION("""COMPUTED_VALUE"""),"")</f>
        <v/>
      </c>
      <c r="V420" s="17" t="str">
        <f>IFERROR(__xludf.DUMMYFUNCTION("""COMPUTED_VALUE"""),"")</f>
        <v/>
      </c>
      <c r="W420" s="17" t="str">
        <f>IFERROR(__xludf.DUMMYFUNCTION("""COMPUTED_VALUE"""),"")</f>
        <v/>
      </c>
      <c r="X420" s="17" t="str">
        <f>IFERROR(__xludf.DUMMYFUNCTION("""COMPUTED_VALUE"""),"")</f>
        <v/>
      </c>
      <c r="Y420" s="17" t="str">
        <f>IFERROR(__xludf.DUMMYFUNCTION("""COMPUTED_VALUE"""),"")</f>
        <v/>
      </c>
      <c r="Z420" s="17" t="str">
        <f>IFERROR(__xludf.DUMMYFUNCTION("""COMPUTED_VALUE"""),"")</f>
        <v/>
      </c>
      <c r="AA420" s="17" t="str">
        <f>IFERROR(__xludf.DUMMYFUNCTION("""COMPUTED_VALUE"""),"")</f>
        <v/>
      </c>
      <c r="AB420" s="17" t="str">
        <f>IFERROR(__xludf.DUMMYFUNCTION("""COMPUTED_VALUE"""),"")</f>
        <v/>
      </c>
      <c r="AC420" s="17" t="str">
        <f>IFERROR(__xludf.DUMMYFUNCTION("""COMPUTED_VALUE"""),"")</f>
        <v/>
      </c>
    </row>
    <row r="421">
      <c r="A421" s="17" t="str">
        <f>IFERROR(__xludf.DUMMYFUNCTION("""COMPUTED_VALUE"""),"Chapter 90: 66 Review and Preparation
Titan Engineering (Titanfall) 100:
Titans are incredibly complex machines, and due to the disposable nature of their use and production, and not designed for easy repair. You've got the deft touch though, and know exa"&amp;"ctly where to tweak and shore up the structure to keep it purring like it's fresh out of the drop pod for years.
System")</f>
        <v>Chapter 90: 66 Review and Preparation
Titan Engineering (Titanfall) 100:
Titans are incredibly complex machines, and due to the disposable nature of their use and production, and not designed for easy repair. You've got the deft touch though, and know exactly where to tweak and shore up the structure to keep it purring like it's fresh out of the drop pod for years.
System</v>
      </c>
      <c r="B421" s="17" t="str">
        <f>IFERROR(__xludf.DUMMYFUNCTION("""COMPUTED_VALUE"""),"Chapter 90: 66 Review and Preparation
Titan Chassis - Medium (Titanfall) Free:
Titans. Six meter tall war machines, these humanoid automatons are probably half the reason you're here. Titan's are controlled from a cockpit that forms the torso, inside is a"&amp;" projected display that is a feed from external camera's mounted on the Titan's hull. Titans incorporate a form of force field around the Titan called a bodyshield. Invisible until a projectile is in range, the body shield slows or stops projectiles and f"&amp;"orces explosive projectiles to detonate early, significantly reducing damage to the Titan. If a bodyshield is activated too often in a short period, it can be overloaded and go offline until it recharges, making the Titan significantly more vulnerable.
Ea"&amp;"ch Titan has it’s own unique core ability and them which the rest of the Titan is generally built around, with a supporting tactical, defensive and ordnance ability. A Titan’s depends the most on it’s battery packs, of which each Titan generally has sever"&amp;"al. While the reactor may power the Titan’s ordnance and tactical abilities, the batteries are large reserve power packs that are used in self repair and to maintain structural integrity. Once all battery power is consumed, the Titan will often lose the a"&amp;"bility to walk or maintain it’s bodyshield, and easily crumble under bombardment. This makes batteries tempting targets for other Pilots to attempt to steal via a ‘rodeo’ maneuver.
Every Titan also comes equipped with it’s own internal AI, which – on the "&amp;"surface – manages all internal Titan functions, such as power, stabilization and targeting. To a Pilot, however, an AI is much more than that. It is their partner both on and off the battlefield, loyal and helpful to a fault- to the point that many Pilots"&amp;" would call their Titans ‘friend’. While of the available classes, Legion, Scorch and Ronin are loaded with male AIs and Northstar, Tone and Ion loaded with female AIs, you may choose the programmed gender of your AI as well as it’s general voice. From th"&amp;"at point on, it is a fairly blank slate as far as personality development is concerned, being designed to eventually develop an AI to compliment you- it’s Pilot.
Buying a Titan chassis does not give you a single Titan. It instead gives you the plans to co"&amp;"nstruct Titans, and during the jump, privilege to request a Titan from your faction, if you are acting in their interest or have sufficient rank, you can request a Titan more often. You get a clip on device that instantly relays coordinates to your factio"&amp;"n for a Titan drop. If one of their ships are in range, a Titan will be delivered to your location in a drop pod.
Medium – The first Titan ever developed and tested in combat, the Atlas’ design methodology has survived the ages, being built around a balan"&amp;"ce of armor and speed. With two dashes to use, medium chassis can never the less take more of a beating, and have modern day descendants in the Tone and Ion Titans.
Vehicle")</f>
        <v>Chapter 90: 66 Review and Preparation
Titan Chassis - Medium (Titanfall) Free:
Titans. Six meter tall war machines, these humanoid automatons are probably half the reason you're here. Titan's are controlled from a cockpit that forms the torso, inside is a projected display that is a feed from external camera's mounted on the Titan's hull. Titans incorporate a form of force field around the Titan called a bodyshield. Invisible until a projectile is in range, the body shield slows or stops projectiles and forces explosive projectiles to detonate early, significantly reducing damage to the Titan. If a bodyshield is activated too often in a short period, it can be overloaded and go offline until it recharges, making the Titan significantly more vulnerable.
Each Titan has it’s own unique core ability and them which the rest of the Titan is generally built around, with a supporting tactical, defensive and ordnance ability. A Titan’s depends the most on it’s battery packs, of which each Titan generally has several. While the reactor may power the Titan’s ordnance and tactical abilities, the batteries are large reserve power packs that are used in self repair and to maintain structural integrity. Once all battery power is consumed, the Titan will often lose the ability to walk or maintain it’s bodyshield, and easily crumble under bombardment. This makes batteries tempting targets for other Pilots to attempt to steal via a ‘rodeo’ maneuver.
Every Titan also comes equipped with it’s own internal AI, which – on the surface – manages all internal Titan functions, such as power, stabilization and targeting. To a Pilot, however, an AI is much more than that. It is their partner both on and off the battlefield, loyal and helpful to a fault- to the point that many Pilots would call their Titans ‘friend’. While of the available classes, Legion, Scorch and Ronin are loaded with male AIs and Northstar, Tone and Ion loaded with female AIs, you may choose the programmed gender of your AI as well as it’s general voice. From that point on, it is a fairly blank slate as far as personality development is concerned, being designed to eventually develop an AI to compliment you- it’s Pilot.
Buying a Titan chassis does not give you a single Titan. It instead gives you the plans to construct Titans, and during the jump, privilege to request a Titan from your faction, if you are acting in their interest or have sufficient rank, you can request a Titan more often. You get a clip on device that instantly relays coordinates to your faction for a Titan drop. If one of their ships are in range, a Titan will be delivered to your location in a drop pod.
Medium – The first Titan ever developed and tested in combat, the Atlas’ design methodology has survived the ages, being built around a balance of armor and speed. With two dashes to use, medium chassis can never the less take more of a beating, and have modern day descendants in the Tone and Ion Titans.
Vehicle</v>
      </c>
      <c r="C421" s="17" t="str">
        <f>IFERROR(__xludf.DUMMYFUNCTION("""COMPUTED_VALUE"""),"Chapter 90: 66 Review and Preparation
Titan Hangar (Titanfall) Free:
A sophisticated auto-factory, this attachment to the warehouse will manufacture any Titan you have the plans for. The designator now causes one of these Titans to be deployed to the poin"&amp;"t you designate in a drop pod when used. Once deployed, another Titan won't be produced until you return it to the warehouse or it is destroyed. Additionally, a Titan is now constructed once a day for free, but if you want more than one Titan per day, it "&amp;"will still construct you more if you can feed it the necessary raw materials.
Facility")</f>
        <v>Chapter 90: 66 Review and Preparation
Titan Hangar (Titanfall) Free:
A sophisticated auto-factory, this attachment to the warehouse will manufacture any Titan you have the plans for. The designator now causes one of these Titans to be deployed to the point you designate in a drop pod when used. Once deployed, another Titan won't be produced until you return it to the warehouse or it is destroyed. Additionally, a Titan is now constructed once a day for free, but if you want more than one Titan per day, it will still construct you more if you can feed it the necessary raw materials.
Facility</v>
      </c>
      <c r="D421" s="17" t="str">
        <f>IFERROR(__xludf.DUMMYFUNCTION("""COMPUTED_VALUE"""),"
")</f>
        <v>
</v>
      </c>
      <c r="E421" s="17" t="str">
        <f>IFERROR(__xludf.DUMMYFUNCTION("""COMPUTED_VALUE"""),"
")</f>
        <v>
</v>
      </c>
      <c r="F421" s="17" t="str">
        <f>IFERROR(__xludf.DUMMYFUNCTION("""COMPUTED_VALUE"""),"
")</f>
        <v>
</v>
      </c>
      <c r="G421" s="17" t="str">
        <f>IFERROR(__xludf.DUMMYFUNCTION("""COMPUTED_VALUE"""),"
")</f>
        <v>
</v>
      </c>
      <c r="H421" s="17" t="str">
        <f>IFERROR(__xludf.DUMMYFUNCTION("""COMPUTED_VALUE"""),"
")</f>
        <v>
</v>
      </c>
      <c r="I421" s="17" t="str">
        <f>IFERROR(__xludf.DUMMYFUNCTION("""COMPUTED_VALUE"""),"
")</f>
        <v>
</v>
      </c>
      <c r="J421" s="17" t="str">
        <f>IFERROR(__xludf.DUMMYFUNCTION("""COMPUTED_VALUE"""),"
")</f>
        <v>
</v>
      </c>
      <c r="K421" s="17" t="str">
        <f>IFERROR(__xludf.DUMMYFUNCTION("""COMPUTED_VALUE"""),"
")</f>
        <v>
</v>
      </c>
      <c r="L421" s="17" t="str">
        <f>IFERROR(__xludf.DUMMYFUNCTION("""COMPUTED_VALUE"""),"
")</f>
        <v>
</v>
      </c>
      <c r="M421" s="17" t="str">
        <f>IFERROR(__xludf.DUMMYFUNCTION("""COMPUTED_VALUE"""),"
")</f>
        <v>
</v>
      </c>
      <c r="N421" s="17" t="str">
        <f>IFERROR(__xludf.DUMMYFUNCTION("""COMPUTED_VALUE"""),"
")</f>
        <v>
</v>
      </c>
      <c r="O421" s="17" t="str">
        <f>IFERROR(__xludf.DUMMYFUNCTION("""COMPUTED_VALUE"""),"
")</f>
        <v>
</v>
      </c>
      <c r="P421" s="17" t="str">
        <f>IFERROR(__xludf.DUMMYFUNCTION("""COMPUTED_VALUE"""),"
")</f>
        <v>
</v>
      </c>
      <c r="Q421" s="17" t="str">
        <f>IFERROR(__xludf.DUMMYFUNCTION("""COMPUTED_VALUE"""),"
")</f>
        <v>
</v>
      </c>
      <c r="R421" s="17" t="str">
        <f>IFERROR(__xludf.DUMMYFUNCTION("""COMPUTED_VALUE"""),"
")</f>
        <v>
</v>
      </c>
      <c r="S421" s="17" t="str">
        <f>IFERROR(__xludf.DUMMYFUNCTION("""COMPUTED_VALUE"""),"
")</f>
        <v>
</v>
      </c>
      <c r="T421" s="17" t="str">
        <f>IFERROR(__xludf.DUMMYFUNCTION("""COMPUTED_VALUE"""),"
")</f>
        <v>
</v>
      </c>
      <c r="U421" s="17" t="str">
        <f>IFERROR(__xludf.DUMMYFUNCTION("""COMPUTED_VALUE"""),"
")</f>
        <v>
</v>
      </c>
      <c r="V421" s="17" t="str">
        <f>IFERROR(__xludf.DUMMYFUNCTION("""COMPUTED_VALUE"""),"
")</f>
        <v>
</v>
      </c>
      <c r="W421" s="17" t="str">
        <f>IFERROR(__xludf.DUMMYFUNCTION("""COMPUTED_VALUE"""),"
")</f>
        <v>
</v>
      </c>
      <c r="X421" s="17" t="str">
        <f>IFERROR(__xludf.DUMMYFUNCTION("""COMPUTED_VALUE"""),"
")</f>
        <v>
</v>
      </c>
      <c r="Y421" s="17" t="str">
        <f>IFERROR(__xludf.DUMMYFUNCTION("""COMPUTED_VALUE"""),"
")</f>
        <v>
</v>
      </c>
      <c r="Z421" s="17" t="str">
        <f>IFERROR(__xludf.DUMMYFUNCTION("""COMPUTED_VALUE"""),"
")</f>
        <v>
</v>
      </c>
      <c r="AA421" s="17" t="str">
        <f>IFERROR(__xludf.DUMMYFUNCTION("""COMPUTED_VALUE"""),"
")</f>
        <v>
</v>
      </c>
      <c r="AB421" s="17" t="str">
        <f>IFERROR(__xludf.DUMMYFUNCTION("""COMPUTED_VALUE"""),"
")</f>
        <v>
</v>
      </c>
      <c r="AC421" s="17" t="str">
        <f>IFERROR(__xludf.DUMMYFUNCTION("""COMPUTED_VALUE"""),"
")</f>
        <v>
</v>
      </c>
    </row>
    <row r="422">
      <c r="A422" s="17" t="str">
        <f>IFERROR(__xludf.DUMMYFUNCTION("""COMPUTED_VALUE"""),"")</f>
        <v/>
      </c>
      <c r="B422" s="17" t="str">
        <f>IFERROR(__xludf.DUMMYFUNCTION("""COMPUTED_VALUE"""),"")</f>
        <v/>
      </c>
      <c r="C422" s="17" t="str">
        <f>IFERROR(__xludf.DUMMYFUNCTION("""COMPUTED_VALUE"""),"")</f>
        <v/>
      </c>
      <c r="D422" s="17" t="str">
        <f>IFERROR(__xludf.DUMMYFUNCTION("""COMPUTED_VALUE"""),"")</f>
        <v/>
      </c>
      <c r="E422" s="17" t="str">
        <f>IFERROR(__xludf.DUMMYFUNCTION("""COMPUTED_VALUE"""),"")</f>
        <v/>
      </c>
      <c r="F422" s="17" t="str">
        <f>IFERROR(__xludf.DUMMYFUNCTION("""COMPUTED_VALUE"""),"")</f>
        <v/>
      </c>
      <c r="G422" s="17" t="str">
        <f>IFERROR(__xludf.DUMMYFUNCTION("""COMPUTED_VALUE"""),"")</f>
        <v/>
      </c>
      <c r="H422" s="17" t="str">
        <f>IFERROR(__xludf.DUMMYFUNCTION("""COMPUTED_VALUE"""),"")</f>
        <v/>
      </c>
      <c r="I422" s="17" t="str">
        <f>IFERROR(__xludf.DUMMYFUNCTION("""COMPUTED_VALUE"""),"")</f>
        <v/>
      </c>
      <c r="J422" s="17" t="str">
        <f>IFERROR(__xludf.DUMMYFUNCTION("""COMPUTED_VALUE"""),"")</f>
        <v/>
      </c>
      <c r="K422" s="17" t="str">
        <f>IFERROR(__xludf.DUMMYFUNCTION("""COMPUTED_VALUE"""),"")</f>
        <v/>
      </c>
      <c r="L422" s="17" t="str">
        <f>IFERROR(__xludf.DUMMYFUNCTION("""COMPUTED_VALUE"""),"")</f>
        <v/>
      </c>
      <c r="M422" s="17" t="str">
        <f>IFERROR(__xludf.DUMMYFUNCTION("""COMPUTED_VALUE"""),"")</f>
        <v/>
      </c>
      <c r="N422" s="17" t="str">
        <f>IFERROR(__xludf.DUMMYFUNCTION("""COMPUTED_VALUE"""),"")</f>
        <v/>
      </c>
      <c r="O422" s="17" t="str">
        <f>IFERROR(__xludf.DUMMYFUNCTION("""COMPUTED_VALUE"""),"")</f>
        <v/>
      </c>
      <c r="P422" s="17" t="str">
        <f>IFERROR(__xludf.DUMMYFUNCTION("""COMPUTED_VALUE"""),"")</f>
        <v/>
      </c>
      <c r="Q422" s="17" t="str">
        <f>IFERROR(__xludf.DUMMYFUNCTION("""COMPUTED_VALUE"""),"")</f>
        <v/>
      </c>
      <c r="R422" s="17" t="str">
        <f>IFERROR(__xludf.DUMMYFUNCTION("""COMPUTED_VALUE"""),"")</f>
        <v/>
      </c>
      <c r="S422" s="17" t="str">
        <f>IFERROR(__xludf.DUMMYFUNCTION("""COMPUTED_VALUE"""),"")</f>
        <v/>
      </c>
      <c r="T422" s="17" t="str">
        <f>IFERROR(__xludf.DUMMYFUNCTION("""COMPUTED_VALUE"""),"")</f>
        <v/>
      </c>
      <c r="U422" s="17" t="str">
        <f>IFERROR(__xludf.DUMMYFUNCTION("""COMPUTED_VALUE"""),"")</f>
        <v/>
      </c>
      <c r="V422" s="17" t="str">
        <f>IFERROR(__xludf.DUMMYFUNCTION("""COMPUTED_VALUE"""),"")</f>
        <v/>
      </c>
      <c r="W422" s="17" t="str">
        <f>IFERROR(__xludf.DUMMYFUNCTION("""COMPUTED_VALUE"""),"")</f>
        <v/>
      </c>
      <c r="X422" s="17" t="str">
        <f>IFERROR(__xludf.DUMMYFUNCTION("""COMPUTED_VALUE"""),"")</f>
        <v/>
      </c>
      <c r="Y422" s="17" t="str">
        <f>IFERROR(__xludf.DUMMYFUNCTION("""COMPUTED_VALUE"""),"")</f>
        <v/>
      </c>
      <c r="Z422" s="17" t="str">
        <f>IFERROR(__xludf.DUMMYFUNCTION("""COMPUTED_VALUE"""),"")</f>
        <v/>
      </c>
      <c r="AA422" s="17" t="str">
        <f>IFERROR(__xludf.DUMMYFUNCTION("""COMPUTED_VALUE"""),"")</f>
        <v/>
      </c>
      <c r="AB422" s="17" t="str">
        <f>IFERROR(__xludf.DUMMYFUNCTION("""COMPUTED_VALUE"""),"")</f>
        <v/>
      </c>
      <c r="AC422" s="17" t="str">
        <f>IFERROR(__xludf.DUMMYFUNCTION("""COMPUTED_VALUE"""),"")</f>
        <v/>
      </c>
    </row>
  </sheetData>
  <drawing r:id="rId1"/>
</worksheet>
</file>