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Rolls &amp; Perk Order" sheetId="1" r:id="rId4"/>
    <sheet state="visible" name="Perks as Classifed by Survey" sheetId="2" r:id="rId5"/>
    <sheet state="visible" name="Complete List of Perks" sheetId="3" r:id="rId6"/>
    <sheet state="visible" name="Perk Analysis" sheetId="4" r:id="rId7"/>
    <sheet state="visible" name="Comment Analysis" sheetId="5" r:id="rId8"/>
  </sheets>
  <definedNames/>
  <calcPr/>
  <extLst>
    <ext uri="GoogleSheetsCustomDataVersion2">
      <go:sheetsCustomData xmlns:go="http://customooxmlschemas.google.com/" r:id="rId9" roundtripDataChecksum="1J1NnRjQ8HnZo1pbSXkVLEFIcRqbys95FSEa9yZNUOo="/>
    </ext>
  </extLst>
</workbook>
</file>

<file path=xl/sharedStrings.xml><?xml version="1.0" encoding="utf-8"?>
<sst xmlns="http://schemas.openxmlformats.org/spreadsheetml/2006/main" count="2968" uniqueCount="1768">
  <si>
    <t>Chapter</t>
  </si>
  <si>
    <t>List of Rolls and Perks Gained in Chronological Order</t>
  </si>
  <si>
    <t>Rules</t>
  </si>
  <si>
    <t>1 Introduction</t>
  </si>
  <si>
    <t>Trigger Event (100): Toolkits Constellation Revealed → Workshop (Personal Reality Supplement) (100-100) + Access Key (Personal Reality Supplement) (Free) + Entrance Hall (Personal Reality Supplement) (Free) → (0)
 Roll 1 (100): ??? → Miss → (100)</t>
  </si>
  <si>
    <t>Every 2000 words of rough draft equals 100 Points.
 Every 100 Points gained, LordRoustabout will stop writing and roll dice. 
 The +C2:C6first die determines which Constellation the Perk is bought from.
 The second die determines which Perk to try to buy.
 If the number of Points available is equal to or greater then the cost of the Perk, that Perk is bought and Joe gains access to it.
 If the number of Points available is less than the cost of the Perk, then it counts as a Miss.
 Either way, any unspent points are Banked, to be used to try to improve the odds of successfully buying a Perk next time.
 If a Perk Cluster is Rolled, then a number of Perks equal to how many can be bought at once are randomly rolled, and that number of Perks are then Bought.
 The first time a Constellation has all of the included Perks acquired, the Capstone Constellation will activate.
 The second time a Constellation has all of the included Perks acquired, the Personal Reality Constellation will activate.</t>
  </si>
  <si>
    <t>2 Preparation</t>
  </si>
  <si>
    <t>Roll 2 (200): Clothing Constellation Revealed → Fashion (Highschool of the Dead) (200-200) → (0)
 Roll 3 (100): ??? → Miss → (100)
 Roll 4 (200): Quality Constellation Revealed → Bling of War (Macross) (200-100) → (100)
 Roll 5 (200): Alchemy Constellation Revealed → Alchemist (Secrets of Evermore) (200-200) → (0)</t>
  </si>
  <si>
    <t>3 First Fight</t>
  </si>
  <si>
    <t>Roll 6 (100): Vehicles Constellation Revealed → Black Thumb (Mad Max Gauntlet) (100-100) → (0)
 Roll 7 (100): Vehicles → Miss → (100)
 Roll 8 (200): Time Constellation Revealed → Scientist: Machinery (Girl Genius) (200-100) → (100)</t>
  </si>
  <si>
    <t>3.1 Interlude: Brian</t>
  </si>
  <si>
    <t>No Rolls</t>
  </si>
  <si>
    <t>4 Recovery</t>
  </si>
  <si>
    <t>Roll 9 (200): Knowledge Constellation Revealed → Not a Stupid Grunt (Mass Effect) (200-100) → (100)
 Roll 10 (200): Knowledge → Miss → (200)
 Roll 11 (300): Toolkits → Laboratorium (300-100) → (200)
 Roll 12 (300): Knowledge → Grease Monkey (300-300) → (0)
 Roll 13 (100): ??? → Miss → (100)</t>
  </si>
  <si>
    <t>5 Negotiation</t>
  </si>
  <si>
    <t>Roll 14 (200): Crafting Constellation Revealed → Smithing (200-200) → (0)</t>
  </si>
  <si>
    <t>6 Commission</t>
  </si>
  <si>
    <t>Roll 15 (100): Vehicles → Aerospace Engineering Makes Things Go Fast (Kerbal Space Program) (100-100) → (0)
 Roll 16 (100): ??? → Miss → (100)
 Roll 17 (200): Magic Constellation Revealed → Magic: Enchanting (Samurai Jack) (200-200) → (0)
 Roll 18 (100): Magic → Miss → (100)
 Roll 19 (200): Size Constellation Revealed → Nanite Sciences (Generator Rex) (200-100) → (100)</t>
  </si>
  <si>
    <t>6.1 Interlude: Taylor</t>
  </si>
  <si>
    <t>Roll 20 (200): ??? Constellation → Miss → (200)</t>
  </si>
  <si>
    <t>Format</t>
  </si>
  <si>
    <t>7 Accessory</t>
  </si>
  <si>
    <t>Roll 21 (300): Resources and Durability Constellation Revealed → Built to Last (Assassin's Creed) (300-300) → (0)
 Roll 22 (100): Vehicles → Miss → (100)
 Roll 23 (200): Quality → Decadence (Dune) (200-100) → (100)
 Roll 24 (200): Vehicles → Miss → (200)</t>
  </si>
  <si>
    <t>Roll # (Banked Points + 100): Constellation Rolled → Name of Perk Rolled (Total Points-Point Cost of Perk) + Additional Perks if Cluster is Rolled + Any Included Free Perks → (Difference of Points now Banked)</t>
  </si>
  <si>
    <t>8 Aftermath</t>
  </si>
  <si>
    <t>Roll 25 (300): Time → Machinist (Gargoyles) (300-200) → (100)
 Roll 26 (200): Resources and Durability → Rationing (Mad Max Gauntlet) (200-100) → (100)</t>
  </si>
  <si>
    <t>8.1 Interlude: Amy</t>
  </si>
  <si>
    <t>Roll 27 (200): ??? → Miss → (200)
 Roll 28 (300): ??? → Miss → (400)
 Roll 29 (400): Clothing Constellation Revealed → Life Fiber Spool (Kill la Kill) (400-400) → (0)</t>
  </si>
  <si>
    <t>9 Acquisitions</t>
  </si>
  <si>
    <t>Roll 30 (100): ??? → Miss → (100)
 Roll 31 (200): Clothing → Garment Gloves (Dodgeball) (200-200) → (0)
 Roll 32 (100): Alchemy → Alchemy (Banjo-Kazooie) (100-100) → (0)</t>
  </si>
  <si>
    <t>10 Overhaul</t>
  </si>
  <si>
    <t>Roll 33 (100): Size → Miss → (100)
 Roll 34 (200): Magitech Constellation Revealed → Mechanist (Final Fantasy VI) (200-100) → (100)
 Roll 35 (200): Resources and Durability → Repair Savvy (Outlaw Star) (200-100) → (100)
 Roll 36 (200): Alchemy → Miss → (200)
 Roll 37 (300): Quality → Stylish Mechanic (Gurren Lagann) (300-100) → (200)
 Roll 38 (300): Alchemy → Miss → (300)</t>
  </si>
  <si>
    <t>11 Power Trip</t>
  </si>
  <si>
    <t>Roll 39 (400): Alchemy → Deranged Alchemist (Van Helsing) (400-300) → (100)
 Roll 40 (200): Quality → Miss → (200)
 Roll 41 (300): Vehicles → Miss → (300)
 Roll 42 (400): Size → Master Builder (Transformers) (400-400) → (0)
 Roll 43 (100): Clothing → Miss → (100)
 Roll 44 (200): Size → Miss → (200)
 Roll 45 (300): Vehicles → Mechanic (Fast and Furious) (300-100) → (200)
 Roll 46 (300): Quality → Miss → (300)</t>
  </si>
  <si>
    <t>12 Conference</t>
  </si>
  <si>
    <t>Roll 47 (400): Size → Nanite Removal and Control (Generator Rex) (400-400) → (0)</t>
  </si>
  <si>
    <t>12.1 Interlude: Thomas</t>
  </si>
  <si>
    <t>13 Exposure</t>
  </si>
  <si>
    <t>Roll 48 (100): Magic → Miss → (100)
 Roll 49 (200): Time → Miss → (200)
 Roll 50 (300): Magitech → Miss → (300)
 Roll 51 (400): Size → Hybridization Theory (Zoids: Legacy) (400-400) → (0)
 Roll 52 (100): Clothing → Miss → (100)</t>
  </si>
  <si>
    <t>14 Debut</t>
  </si>
  <si>
    <t>Roll 53 (200): Vehicles → Fingers of Silver (Macross) (200-200) → (0)
 Roll 54 (100): Knowledge → Skills: Physics (Star Trek - TNG+DS9) (100-100) → (0)
 Roll 55 (100): Knowledge → Miss → (100)
 Roll 56 (200): Size → Science! Mechanics (Transformers) (200-100) + Science! Engineering (Transformers) (100-100) → (0)
 Roll 57 (100): Toolkits → Micromanipulators (A Certain Scientific Railgun) (100-50) + Diagnostic Tools (Outlaw Star) (50-50) → (0)
 Roll 58 (100): Magic → Miss → (100)</t>
  </si>
  <si>
    <t>15 Recuperation</t>
  </si>
  <si>
    <t>Roll 59 (200): Toolkits → Miss → (200)
 Roll 60 (300): Magitech → Miss → (300)
 Roll 61 (400): Innate Talent: Alchemist (Overlord) (400-200) + Alchemist's Laboratory (Overlord) (Free) → (200)
 Roll 62 (300): Toolkits → Class and Specialization (Mass Effect) (300-100) → (200)
 Roll 63 (300): Alchemy → Miss → (300)
 Roll 64 (400): Clothing → The Flock's Fleece (Actraiser) (400-400) → (0)</t>
  </si>
  <si>
    <t>16 Therapy</t>
  </si>
  <si>
    <t>Roll 65 (100): Time → Miss → (300)
 Roll 66 (200): Magitech → Miss → (200)
 Roll 67 (300): Quality → Beauty in the Arts (God of War) (300-200) → (100)
 Roll 68 (200): Toolkits → Miss → (200)</t>
  </si>
  <si>
    <t>16.1 Interlude Weld</t>
  </si>
  <si>
    <t>17 Confrontation</t>
  </si>
  <si>
    <t>Roll 69 (300): Crafting → High-Frequency Manufacturer (Metal Gear Rising) (300-300) → (0)
 Roll 70 (100): Vehicles → Miss → (100)
 Roll 71 (200): Time → Miss → (200)
 Roll 72 (300): Alchemy → Alchemy (Samurai Jack) (300-200) → (100)
 Roll 73 (200): Knowledge → Miss → (200)
 Roll 74 (300): Crafting → Weapon Modifications (Archer) (300-100) → (200)</t>
  </si>
  <si>
    <t>18 Regroup</t>
  </si>
  <si>
    <t>Roll 75 (300): Time → Workaholic (Sonic The Hedgehog) (300-300) → (0)
 Roll 76 (100): Crafting → Miss → (100)
 Roll 77 (200): Resources and Durability → Element Analysis (Bomberman 64: The Second Attack) (200-100) → (100)
 Roll 78 (200): Quality → Unnatural Skill: Smith (Percy Jackson) (200-200) → (0)
 Roll 79 (100): Time → Miss → (100)
 Roll 80 (200): Vehicles → Miss → (200)</t>
  </si>
  <si>
    <t>19 Restoration</t>
  </si>
  <si>
    <t>Roll 81 (300): Size → Miss → (300)
 Roll 82 (400): Crafting → Armourer (Light of Terra DLC 5 A Sky Filled With Steel - Warhammer 40,000) (400-300) → (100)
 Roll 83 (200): Knowledge → Engineering (Teen Titans) (200-100) → (100)
 Roll 84 (200): Quality → Miss → (200)
 Roll 85 (300): Alchemy → Miss → (300)
 Roll 86 (400): Vehicles → Valuable Memories: the nature of memories (Big O) (400-300) → (100)
 Roll 87 (200): Crafting → Fingers of the North Star (Cave Story) (200-200) → (0)
 Roll 88 (100): Size → Miss → (100)</t>
  </si>
  <si>
    <t>20 Offensive</t>
  </si>
  <si>
    <t>Roll 89 (200): Quality → Miss → (200)
 Roll 90 (300): Magic → Miss → (300)
 Roll 91 (400): Crafting → Engineer (Super Mario RPG) (400-300) → (100)
 Roll 92 (200): Knowledge → Miss → (200)
 Roll 93 (300): Crafting → Master Craftsman (Forgotten Realms) (300-300) → (0)</t>
  </si>
  <si>
    <t>Edits:</t>
  </si>
  <si>
    <t>[At some point, 100 points were earned → (100)]</t>
  </si>
  <si>
    <t>21 Closing Moves</t>
  </si>
  <si>
    <t>Roll 94 (200): Knowledge → Miss → (200)
 Roll 95 (300): Magic → Maliwan Intern (Borderlands) (300-200) → (100)
 Roll 96 (200): Alchemy → Miss → (200)
 Roll 97 (300): Toolkits → Workshop (Bubblegum Crisis) (300-100) + Apartment (Bubblegum Crisis) (Free) → (200)
 Roll 98 (300): Tollkits → Civilian Equipment Package (GUNNM/Battle Angel Alita) (300-100) + Heirloom Weapon (GUNNM/Battle Angel Alita) (Free) + Cyber-doctor Equipment Package (GUNNM/Battle Angel Alita) (200-200) + Medic Equipment Package (GUNNM/Battle Angel Alita) (Free) + Rocket Hammer (GUNNM/Battle Angel Alita) (Free) + Single Style - T’ai Chi Chuan (GUNNM/Battle Angel Alita) (Free) → (0)
 Roll 99 (100): Quality → Tailor Made (Career Model) (100-100) → (0)</t>
  </si>
  <si>
    <t>21.1 Interlude: Dennis</t>
  </si>
  <si>
    <t>22 Homeward</t>
  </si>
  <si>
    <t>Roll 100 (100): Knowledge → Miss → (100)
 Roll 101 (200): Time → Don't Need A Team (Ace Combat) (200-100) → (100)
 Roll 102 (200): Alchemy → Miss → (200)
 Roll 103 (300): Vehicles → Miss → (300)
 Roll 104 (400): Time → Most Holy Order of the Stocket Wrench (Fast and the Furious) (400-400) → (0)</t>
  </si>
  <si>
    <t>[At some point, 200 points were earned → (200)]</t>
  </si>
  <si>
    <t>23 Renovation - Addendum Taylor</t>
  </si>
  <si>
    <t>Roll 105 (300): Size → They're Like Legoes, Right? (Kerbal Space Program) (300-200) → (100)
 Roll 106 (200): Knowledge → Miss → (200)
 Roll 107 (300): Resources and Durability → Reliable Invention (Kim Possible) (300-200) → (100)
 Roll 108 (200): Toolkits → Skyforge (The Elder Scrolls: Skyrim) (200-200) + Standing Stone: The Lover (The Elder Scrolls: Skyrim) (Free) → (0)
 Roll 109 (100): Alchemy → Simplified Formulae (Fullmetal Alchemist) (100-100) → (0)
 Roll 110 (100): Magitech → Miss → (100)</t>
  </si>
  <si>
    <t>24 Tech Work - Addendum Alec</t>
  </si>
  <si>
    <t>Roll 111 (200): Toolkits → Hidden Hideaway / Laboratory (Valkyria Chronicles) (200-200) + Ragnite Container (Valkyria Chronicles) (Free) → (0)
 Roll 112 (100): Quality → Miss → (100)
 Roll 113 (200): Magic → Miss → (200)
 Roll 114 (300): Magic → Advanced Materials (XCOM 2) (300-200) → (100)
 Roll 115 (200): Toolkits → Garage (Fast and Furious) (200-100) + The Vehicle (Fast and Furious) (Free) → (100)
 Roll 116 (200): Knowledge → Machines, They Just Speak To Me (Firefly) (200-200) → (0)
 Roll 117 (100): Resources and Durability → Miss → (100)</t>
  </si>
  <si>
    <t>[At some point, 100 points were earned → (200)]</t>
  </si>
  <si>
    <t>25 Search and Rescue - Addendum PHO</t>
  </si>
  <si>
    <t>Roll 118 (300): Knowledge → Miss → (300)
 Roll 119 (400): Size → Miss → (400)
 Roll 120 (500): Time → Savvy Sultan (Macross) (500-400) → (100)
 Roll 121 (200): Size → Miss → (200)
 Roll 122 (300): Size → Tinkerer (RWBY) (300-300) + Aura (RWBY) (Free) + Dust (RWBY) (Free) + Variable Weapon (RWBY) (Free) + Scroll (RWBY) (Free) → (0)
 Roll 123 (100): Vehicles → Miss → (100)</t>
  </si>
  <si>
    <t>26 Correspondence - Addendum Rory</t>
  </si>
  <si>
    <t>Roll 124 (300): Magitech → Miss → (300)
 Roll 125 (400): Quality → Do One Thing At A Time (Dinotopia) (400-300) → (100)
 Roll 126 (200): Crafting → Miss → (200)
 Roll 127 (300): Vehicles → Valuable Memories:the construction of Megadei (Big O) (300-300) → (0)
 Roll 128 (100): Resources and Durability → Simple Scientific Solution (Tenchi Muyo) (100-100) → (0)</t>
  </si>
  <si>
    <t>27 Intrusion - Addendum Hannah</t>
  </si>
  <si>
    <t>Roll 129 (200): Knowledge → Xenospecialist (Gears of War) (200-200) + COG Armor (Gears of War) (Free) + Combat Boots (Gears of War) (Free) + MX8 Snub Pistol (Gears of War) (Free) + COG Tags (Gears of War) (Free) + Personal Digital Assistant (Gears of War) (Free) + Weapon Reload System (Gears of War) (Free) + Imulsion (Gears of War) (Free) → (0)
 Roll 130 (100): Crafting → Customized Weapons (XCOM) (100-100) → (0)
 Roll 131 (100): Time → Miss → (100)
 Roll 132 (200): Toolkits → Miss → (200)
 Roll 133 (300): Knowledge → Miss → (300)
 Roll 134 (400): Alchemy → Miss → (400)
 Roll 135 (500): Size → Gadget Master (007) (500-300) → (200)
 Roll 136 (300): Time → Miss → (300)
 Roll 137 (400): Crafting → Dwarven Craft (Lord of the Rings) (400-400) → (0)</t>
  </si>
  <si>
    <t>28 Preamble - Addendum Sophia</t>
  </si>
  <si>
    <t>Roll 138 (200): Knowledge → Engineer (Halo UNSC) (200-200) + Standard Neural Interface (Halo UNSC) (Free) + M274 Mongoose (Halo UNSC) (Free) + M6C Magnum (Halo UNSC) (Free) + M9 Fragmentation Grenade (Halo UNSC) (Free) + UNSC Marine Corp Battle Dress Uniform (Halo UNSC) (Free) → (0)
 Roll 139 (100): Toolkits → Miss → (100)
 Roll 140 (200): Crafting → Miss → (200)
 Roll 141 (300): Size → Miss → (300)
 Roll 142 (400): Vehicles → Miss → (400)
 Roll 143 (500): Magic → Elven Enchantment (Lord of the Rings) (500-500) → (0)
 Roll 144 (100): Magitech → Miss → (100)
 Roll 145 (200): Crafting → Miss → (200)</t>
  </si>
  <si>
    <t>[At some point, 100 points were earned → (300)]</t>
  </si>
  <si>
    <t>29 Presentation - Addendum Emily</t>
  </si>
  <si>
    <t>Roll 146 (400): Quality → Ambrosial Artificer (Macross) (400-400) → (0)
 Roll 147 (100): Toolkits → Hangar (Ace Combat) (100-100) + Basic Flight Training (Ace Combat) (Free) + Missile Surplus (Ace Combat) (Free) + Comm Chatter (Ace Combat) (Free) + Flight Suit (Ace Combat) (Free) + 4th Generation Fighter Plane (Ace Combat) (Free) → (0)
 Roll 148 (100): Alchemy → Miss → (100)
 Roll 149 (200): Size → Miss → (200)
 Roll 150 (300): Vehicles → Miss → (300)
 Roll 151 (400): Magitech → Miss → (400)
 Roll 152 (500): Crafting → The Arcane Craft (Sword and Sorcery) (500-300) → (200)</t>
  </si>
  <si>
    <t>[At some point, 200 points were earned → (400)]</t>
  </si>
  <si>
    <t>30 Crescendo - Addendum Missy</t>
  </si>
  <si>
    <t>Roll 153 (500): Magitech → Miss → (500)
 Roll 154 (600): Clothing → Juggernaut (Terraria) (600-200) → (400)
 Roll 155 (500): Magic → Miss → (500)
 Roll 156 (600): Toolkits → Advanced Materials Upgrade Kit (Light of Terra 4 - Lords of the Iron Line - Warhammer 40,000) (600-300) → (300)
 Roll 157 (400): Toolkits → Workshop (Samurai Jack) (400-200) → (200)
 Roll 158 (300): Knowledge → Build That Wall (Bastion) (300-100) + Phonograph (Bastion) (Free) → (200)
 Roll 159 (300): Alchemy → Alkahestry (Fullmetal Alchemist) (300-300) → (0)
 Roll 160 (100): Knowledge → Miss → (100)
 Roll 161 (200): Alchemy → Miss → (200)
 Roll 162 (300): Knowledge → Miss → (300)
 Roll 163 (400): Crafting → Bandit Gunsmith (Borderlands) (400-100) → (300)
 Roll 164 (400): Toolkits → Volcanic Forge (God of War) (400-300) → (100)</t>
  </si>
  <si>
    <t>[At some point, 300 points were earned → (400)]</t>
  </si>
  <si>
    <t>31 Consensus - Preamble PHO - Addendum Accord</t>
  </si>
  <si>
    <t>Roll 165 (500): Quality → Divine Child - Hephaestus (Percy Jackson) (500-400) + Old Traditions (Percy Jackson) (Free) → (100)
 Roll 166 (200): Alchemy → Miss → (200)
 Roll 167 (300): Magitech → Setup Wizard (Harry Potter) (300-200) + Wand (Harry Potter) (Free) → (100)
 Roll 168 (200): Time → Miss → (200)
 Roll 169 (300): Size → Miss → (300)
 Roll 170 (400): Knowledge → Analysis (Red Alert 3) (400-100) → (300)
 Roll 171 (400): Time → Researcher (Age of Mythology) (400-400) → (0)
 Roll 172 (100): Magic → Miss → (100)</t>
  </si>
  <si>
    <t>32 Family Fugue - Preamble Taylor - Addendum Mike</t>
  </si>
  <si>
    <t>Roll 173 (200): Time → Miss → (200)
 Roll 174 (300): Size → Miss → (300)
 Roll 175 (400): Magitech → Miss → (400)
 Roll 176 (500): Alchemy → Miss → (500)
 Roll 177 (600): Resources and Durability → Lack of Materials (God of War) (600-400) → (200)
 Roll 178 (300): Knowledge → Analysis (Adventure Time) (300-300) → (0)
 Roll 179 (100): Alchemy → Miss → (100)
 Roll 180 (200): Knowledge → Skills: Physical Sciences (Star Trek - TNG+DS9) (200-100) + Skills: Combat (Star Trek - TNG+DS9) (100-100) → (0)</t>
  </si>
  <si>
    <t>33 Morning Training - Preamble James - Addendum Youth Guard</t>
  </si>
  <si>
    <t>Roll 181 (200): Resources and Durability → Miss → (200)
 Roll 182 (300): Toolkits → Tool Kit (Macross) (300-100) + Serene Sinatra (Macross) (Free) + Basic Training (Macross) (Free) + Space Suit (Macross) (Free) + Basic Variable Fighter (Macross) (Free) → (200)
 Roll 183 (300): Magitech → Miss → (300)
 Roll 184 (400): Quality → Lathe of Heaven (Chrono Trigger) (400-400) → (0)</t>
  </si>
  <si>
    <t>34 Little Talks - Addendum Ethan</t>
  </si>
  <si>
    <t>Roll 185 (200): Clothing → Miss → (200)
 Roll 186 (300): Magic → Miss → (300)
 Roll 187 (400): Magic → Miss → (400)
 Roll 188 (500): Vehicles → Miss → (500)
 Roll 189 (600): Resources and Durability → Scrapper (Fallout 4) (600-300) + Starting Gear (Fallout 4) (Free) → (300)
 Roll 190 (400): Magitech → Miss → (400)
 Roll 191 (500): Alchemy → Advanced Formulae (Fullmetal Alchemist) (500-100) → (400)</t>
  </si>
  <si>
    <t>35 Closing Words - Addendum Chris</t>
  </si>
  <si>
    <t>Roll 192 (500): Magic → Miss → (500)
 Roll 193 (600): Resources and Durability → Robust Engineering (Dune) (600-300) → (300)
 Roll 194 (400): Vehicles → Miss → (400)
 Roll 195 (500): Clothing → Secular Skills (Red Dwarf) (500-200) → (300)
 Roll 196 (400): Knowledge → Miss → (400)
 Roll 197 (500): Magitech → Miss → (500)
 Roll 198 (600): Quality → Master Craftsman (King Arthur) (600-600) → (0)
 Roll 199 (100): Time → Miss → (100)</t>
  </si>
  <si>
    <t>35.1 Interlude Dragon - Addendum Margaret</t>
  </si>
  <si>
    <t>Roll ? (&lt;=300): Crafting → Weaponsmith (Light of Terra DLC 5 A Sky Filled With Steel - Warhammer 40,000) (&lt;=300-300) → (&lt;=0)
 Roll ? (&lt;=400): Knowledge → I Am Iron Man (Marvel Cinematic Universe) (&lt;=400-400) → (&lt;=0)
 Roll 207 (&lt;=200): ??? → ??? (&lt;=200-&lt;=0) → (200)
 8 Rolls occured during this interlude with 6 Misses and 2 Perks acquired (100 Banked + 800 - 700 Points worth of acquired Perks = 200)</t>
  </si>
  <si>
    <t>36 Debrief - Addendum The Bay Bulletin</t>
  </si>
  <si>
    <t>Roll 208 (300): Alchemy → Miss → (300)
 Roll 209 (400): Quality → Fate Finds You Interesting (Percy Jackson) (400-300) + Minor Blessing Athena - Craftsmanship (Percy Jackson) (100-100) = (0)
 Roll 210 (100): Time → Miss → (100)
 Roll 211 (200): Vehicles → Miss → (200)
 Roll 212 (300): Magitech → Miss → (300)
 Roll 213 (400): Knowledge → Miss → (400)
 Roll 214 (500): Resources and Durability → Waste Not (Monster Hunter) (500-300) + Weapon &amp; Item Storage Chest (Monster Hunter) (Free) = (200)</t>
  </si>
  <si>
    <t>37 Small Tasks - Addendum Meeting Report</t>
  </si>
  <si>
    <t>Roll 215 (300): Knowledge → Miss → (300)
 Roll 216 (400): Magitech → Miss → (400)
 Roll 217 (500): Time → Manufacturing Line (Valkyria Chronicles) (500-400) → (100)
 Roll 218 (200): Knowledge → Miss → (200)
 Roll 219 (300): Size → Miss → (300)
 Roll 220 (400): Alchemy → Alchemy (Castlevania) (400-300) → (100)
 Roll 221 (200): Magitech → Miss → (200)
 Roll 222 (300): Size → Miss → (300)</t>
  </si>
  <si>
    <t>38 Build Up - Preamble Leet - Addendum Rey</t>
  </si>
  <si>
    <t>Roll 223 (400): Clothing → Putting On The Reich (Indiana Jones) (400-200) → (200)
 Roll 224 (300): Magitech → Miss → (300)
 Roll 225 (400): Alchemy → Miss → (400)
 Roll 226 (500): Quality → Aesthetics and Flair (Bayonetta) (500-100) + Inexplicable Innuendo (Bayonetta) (Free) + Classy Contortionist (Bayonetta) (Free) → (400)
 Roll 227 (500): Magic → Heretical Adaptation (Senki Zesshou Symphogear) (500-200) + Calling Card (Senki Zesshou Symphogear) (Free) → (300)
 Roll 228 (400): Time → Miss → (400)
 Roll 229 (500): Resources and Durability → Scrapyard Skills (Swat Kats) (500-300) + Rockin' Music (Swat Kats) (Free) → (200)
 Roll 230 (300): Magitech → Miss → (300)
 Roll 231 (400): Knowledge → Valkyrian Science (Valkyria Chronicles) (400-300) → (100)
 Roll 232 (200): Size → Miss → (200)</t>
  </si>
  <si>
    <t>39 Set Up - Addendum Kenta</t>
  </si>
  <si>
    <t>Roll 233 (500): Time → Miss → (500)
 Roll 234 (600): Vehicles → Valuable Memories -the creation of chimeras (Big O) (600-300) → (300)
 Roll 235 (400): Time → Miss → (400)
 Roll 236 (500): Alchemy → Miss → (500)
 Roll 237 (600): Resources and Durability → Mauler (Command and Conquer: Tiberium Wars) (600-400) → (200)
 Roll 238 (300): Magic → Miss → (300)
 Roll 239 (400): Magitech → Technosorcery (Gargoyles) (400-400) → (0)
 Roll 240 (100): Time → Miss → (100)
 Roll 241 (200): Toolkits → Miss → (200)
 Roll 242 (300): Knowledge → Miss → (300)
 Roll 243 (400): Quality → Miss → (400)
 Roll 244 (500): Clothing → Tailor (Kill la Kill) (500-300) → (200)</t>
  </si>
  <si>
    <t>40 Knock Down - Preamble Gully - Addendum Emergency Alert</t>
  </si>
  <si>
    <t>Roll 245 (300): Toolkits → Miss → (300)
 Roll 246 (400): Magic → Miss → (400)
 Roll 247 (500): Knowledge → Miss → (500)
 Roll 248 (600): Vehicles → Anaheim Degree (Gundam UC) (600-200) + Mass Production Mobile Suit: Gun-EZ (Gundam UC) (Free) + Hangar (Gundam UC) (Free) → (400)
 Roll 249 (500): Quality → Exotic Compatibility (Gundam: After Colony) (500-400) + Leo (Gundam: After Colony) (Free) → (100)
 Roll 250 (200): Clothing → Talented: Tailoring (Inukami) (200-100) → (100)
 Roll 251 (200): Vehicles → Miss → (200)
 Roll 252 (300): Toolkits → Miss → (300)</t>
  </si>
  <si>
    <t>41 Drag Out - Preamble Chen</t>
  </si>
  <si>
    <t>Roll 253 (400): Vehicles → Miss → (400)
 Roll 254 (500): Vehicles → Valuable Memories: Bigs (Big O) (500-300) → (200)
 Roll 255 (300): Magic → That Undefinable Thing (Tales of Symphonia) (300-300) + Iconic Outfit (Tales of Symphonia) (Free) + Questionably Practical Weapon (Tales of Symphonia) (Free) → (0)
 Roll 256 (100): Alchemy → Miss → (100)
 Roll 257 (200): Magic → Miss → (200)
 Roll 258 (300): Magitech → Miss → (300)
 Roll 259 (400): Magic → Miss → (400)
 Roll 260 (500): Size → Miss → (500)
 Roll 261 (600): Toolkits → Workshop: Woodworking (Warehouse) (600-100) → (500)
 Roll 262 (600): Clothing → Sea Snail Shells (Splatoon) (600-300) → (300)
 Roll 263 (400): Toolkits → Armor-Shift Manufacture (Bloody Roar) (400-100) + Beast Change!: Inostrancevia (Bloody Roar) (Free) + Martial Artist: Muay Thai (Bloody Roar) (Free) → (300)
 Roll 264 (400): Magic → Miss → (400)
 Roll 265 (500): → Secret of Steel (History's Strongest Disciple: Kenichi) (500-400) + Katsujinken (History's Strongest Disciple: Kenichi) (Free) + Sei Ki (History's Strongest Disciple: Kenichi) (Free) + Weapons (History's Strongest Disciple: Kenichi) (Free) + Martial Arts Ninjutsu (History's Strongest Disciple: Kenichi) (Free) + Master’s Body (History's Strongest Disciple: Kenichi) (Free after 10 years) + “Sword” - Lantern Shield (History's Strongest Disciple: Kenichi) (Free) → (100)
 Roll 266 (200): Knowledge → Miss → (200)
 Roll 267 (300): Resources and Durability → Miss → (300)
 Roll 268 (400): Vehicles → Miss → (400)
 Roll 268 (500): Time → Miss → (500)
 Roll 269 (600): Toolkits → Prismatic Laboratory (Fallen London) (600-400) + St Andrew’s Candle (Fallen London) (Free) + Connections: Hell (Fallen London) (Free) + Connections: Rubbery Men (Fallen London) (Free) → (200)</t>
  </si>
  <si>
    <t>41.1 Interlude Victoria</t>
  </si>
  <si>
    <t>41.2 Interlude Vicky</t>
  </si>
  <si>
    <t>41.3 Interlude Glory Girl</t>
  </si>
  <si>
    <t>42 Incapacitated - Preamble Jeanne</t>
  </si>
  <si>
    <t>Roll 270 (300): Knowledge → Miss → (300)
 Roll 271 (400): Magitech → Miss → (400)
 Roll 272 (500): Time → Miss → (500)
 Roll 273 (600): Toolkits → Striker Artificer Toolkit (Strike Witches) (600-100) + Defensive Sign “Directional Shield” (Strike Witches) (Free) + First Generation Striker (Strike Witches) (Free) → (500)
 Roll 274 (600): Alchemy → Miss → (600)
 Roll 275 (700): Quality → Minor Blessing Hestia - Hearthfire (Percy Jackson) (700-100) + Unnatural Skill:Alchemy (Percy Jackson) (600-200) → (400)</t>
  </si>
  <si>
    <t>42.1 Interlude Neil - Preamble Tammi - Addendum Marissa</t>
  </si>
  <si>
    <t>43 Ripples Aisha - Preamble Gully - Addendum Joe</t>
  </si>
  <si>
    <t>Roll 276 (500): Magic → Talisman Trained (Inukami) (500-100) + Talisman Adept (Inukami) (400-200) → (200)
 Roll 277 (300): Size → Miss → (300)
 Roll 278 (400): Vehicles → Miss → (400)
 Roll 279 (500): Magitech → Miss → (500)
 Roll 280 (600): Time → Build Rome (Gundam: After Colony) (600-600) → (0)</t>
  </si>
  <si>
    <t>43.1 Interlude Fleet</t>
  </si>
  <si>
    <t>Roll 281 (100): ??? → Miss → (100)
 Roll 282 (200): ??? → Miss → (200)
 Roll 283 (300): ??? → Miss → (300)
 Roll 284 (400): ??? → Miss → (400)
 Roll 285 (500): Quality → Material Synthesis Science (Gundam: After Colony) (500-200) → (300)
 Roll 286 (400): ??? → Miss → (400)</t>
  </si>
  <si>
    <t>44 Awakening</t>
  </si>
  <si>
    <t>Roll 287 (500): Magitech → Miss → (500)
 Roll 288 (600): Crafting → Fixer (Light of Terra DLC 5 A Sky Filled With Steel - Warhammer 40,000) (600-300) → (300)
 Roll 289 (400): Size → Miss → (400)
 Roll 290 (500): Alchemy → Thaumaturgical Focus: Transmutation (Fate/) (500-400) + Magic Circuits (Fate/) (Free) → (100)</t>
  </si>
  <si>
    <t>45 Realization - Preamble Taylor</t>
  </si>
  <si>
    <t>Roll 291 (500): Knowledge → Miss → (500)
 Roll 292 (600): Magitech → Miss → (600)
 Roll 293 (700): Resources and Durability → More With Less (XCOM) (700-300) → (400)
 Roll 294 (500): Alchemy → Miss → (500)
 Roll 295 (600): Quality → Miss → (600)
 Roll 296 (700): Vehicles → Always a Bigger Robot (Gurren Lagann) (700-600) + Spiral Energy (Gurren Lagann) (Free) → (100)</t>
  </si>
  <si>
    <t>45.1 Interlude Uppercrust</t>
  </si>
  <si>
    <t>46 Review</t>
  </si>
  <si>
    <t>Roll 297 (200): Alchemy → Miss → (200)
 Roll 298 (300): Vehicles → Miss → (300)
 Roll 299 (400): Magitech → Miss → (400)
 Roll 300 (500): Crafting → Tempered Soul (Soul Calibur) (500-300) → (200)
 Roll 301 (300): Time → Miss → (300)
 Roll 302 (400): Alchemy → Miss → (400)
 Roll 303 (500): Quality → My Fashion Sense is Tingling (The World Ends With You) (400-50) + Natural Puppy (The World Ends With You) (500-100) + Entanglement (The World Ends With You) (Free) + Player Pin (The World Ends With You) (Free) → (400)
 Roll 304 (500): Crafting → Miss → (500)
 Roll 305 (600): Resources and Durability → Efficiency (Lego: Ninjango) (600-400) → (200)
 Roll 306 (300): Toolkits → Miss → (300)
 Roll 307 (400): Magic → Miss → (400)
 Roll 308 (500): Quality → Miss → (500)</t>
  </si>
  <si>
    <t>46.1 Interlude Weld</t>
  </si>
  <si>
    <t>Roll 309 (600): Time → Shipping the Product (F.E.A.R.) (600-400) → (200)
 Roll 310 (300): ??? → Miss → (300)
 Roll 311 (400): ??? → Miss → (400)
 Roll 312 (500): Alchemy → The Alchemy Machine (Shivers) (500-400) → (100)
 Roll 313 (200): ??? → Miss → (200)
 Roll 314 (300): ??? → Miss → (300)
 Roll 315 (400): ??? → Technical Certainties (Ace Combat) (400-400) → (0)</t>
  </si>
  <si>
    <t>46.2 Interlude Brian - Colin</t>
  </si>
  <si>
    <t>47 Downtime</t>
  </si>
  <si>
    <t>Roll 316 (100): Size → Miss → (100)
 Roll 317 (200): Knowledge → Technomage (Strike Witches) (200-200) + Bomber Jacket (Strike Witches) (Free) + Call sign (Strike Witches) (Free) → (0)
 Roll 318 (100): Magic → Miss → (100)
 Roll 319 (200): Vehicles → Miss (200)
 Roll 320 (300): Knowledge → Skills: Stealth (Star Trek - TNG+DS9) (300-100) + Skills: Medicine (Star Trek - TNG+DS9) (200-100) + Skills: Navigation (Star Trek - TNG+DS9) (100-100) → (0)
 Roll 321 (100): Clothing → Miss → (100)
 Roll 322 (200): Crafting → Miss → (200)</t>
  </si>
  <si>
    <t>48 Uptime</t>
  </si>
  <si>
    <t>Roll 323 (300): Resources and Durability → Miss → (300)
 Roll 324 (400): Knowledge → Miss → (400)
 Roll 325 (500): Resources and Durability → Salvager (Babylon 5) (500-300) → (200)
 Roll 326 (300): Alchemy → Miss → (300)
 Roll 327 (400): Magitech → Miss → (400)
 Roll 328 (500): Toolkits → Workshop: Science (Samurai Jack) (500-200) → (300)
 Roll 329 (400): Vehicles → Miss → (400)
 Roll 330 (500): Quality → Minor Blessing Artemis - Bowmanship (Percy Jackson) (500-100) + Unnatural Skill:Enchanting (Percy Jackson) (400-200) → (200)
 Roll 331 (300): Time → Miss → (300)</t>
  </si>
  <si>
    <t>49 Game Time</t>
  </si>
  <si>
    <t>Roll 332 (400): Toolkits → Miss → (400)
 Roll 333 (500): Knowledge → The Divine Machines (Lord of Light) (500-300) + Bright Spear (Lord of Light) (Free) → (200)
 Roll 334 (300): Magic → Miss → (300)
 Roll 335 (400): Magic → Elemental Mastery (Monster Hunter) (400-400) + Balance Bangle (Monster Hunter) (Free) + Starter Weapon: Bone Rod I and Mauldrone I (Monster Hunter) (Free) → (0)
 Roll 336 (100): Vehicles → Miss → (100)
 Roll 337 (200): Time → Miss → (200)</t>
  </si>
  <si>
    <t>50 Meantime</t>
  </si>
  <si>
    <t>Roll 338 (300): Quality → Minor Blessing Hera - Administration (Percy Jackson) (300-100) + Unnatural Skill: Transmutation (Percy Jackson) (200-200) → (0)
 Roll 339 (100): Magic → Miss → (100)
 Roll 340 (200): Magic → Miss → (200)
 Roll 341 (300): Knowledge → Miss → (300)
 Roll 342 (400): Toolkits → Launderer System (No More Heroes) (400-400) + The Clothes (No More Heroes) (Free) + That Sword (No More Heroes) (Free) → (0)
 Roll 343 (100): Knowledge → Miss → (100)
 Roll 344 (200): Crafting → Miss → (200)</t>
  </si>
  <si>
    <t>51 Lunchtime</t>
  </si>
  <si>
    <t>Roll 345 (300): Quality → Miss → (300)
 Roll 346 (400): Magitech → Miss → (400)
 Roll 347 (500): Knowledge → Peak ADVENT Technology (XCOM 2) (500-200) + Flack Jacket (XCOM 2) (Free) → (300)
 Roll 348 (400): Alchemy → Miss → (400)
 Roll 349 (500): Clothing → Avid Glove (Fallen London) (500-100) + Amateur Academic – Trivia (Fallen London) (Free) + Dabbling Academic – Fool Proof (Fallen London) (Free) + A Thing About Names (Fallen London) (Free) → (400)
 Roll 350 (500): Toolkits → Crucible of Eight Trigrams (Journey to the West) (500-500) → (0)</t>
  </si>
  <si>
    <t>52 Showtime</t>
  </si>
  <si>
    <t>Roll 351 (100): Size → Miss → (100)
 Roll 352 (200): Vehicles → Miss → (200)
 Roll 353 (300): Time → Miss → (300)
 Roll 354 (400): Magitech → Miss → (400)
 Roll 355 (500): Toolkits → Lathe-Wrought Armour Plating Kit (Light of Terra DLC 4 - Lords of the Iron Line) (500-400) → (100)
 Roll 356 (200): Size → Miss → (200)
 Roll 357 (300): Vehicles → Miss → (300)
 Roll 358 (400): Toolkits → Workshop: Clothing (Personal Reality Supplement) (400-100) → (300)</t>
  </si>
  <si>
    <t>53 Hard Time</t>
  </si>
  <si>
    <t>Roll 359 (400): Alchemy → Thaumaturgical Focus: Alchemy (Fate) (400-400) + Status Page (Fate) (Free) + Dapper Dressing (Fate) (Free) → (0)
 Roll 360 (100): Clothing → Miss → (100)
 Roll 361 (200): Crafting → Miss → (200)
 Roll 362 (300): Size → Miss → (300)
 Roll 363 (400): Resources and Durability → Panzerkampf (Sabaton) (400-300) → (100)
 Roll 364 (200): Vehicles → Miss → (200)</t>
  </si>
  <si>
    <t>54 Overtime</t>
  </si>
  <si>
    <t>Roll 365 (300): Magic → Miss → (300)
 Roll 366 (400): Vehicles → Miss → (400)
 Roll 367 (500): Resources and Durability → Manufacturing Line (Valkyria Chronicles) (500-400) → (100)
 Roll 368 (200): Resources and Durability → Miss → (200)
 Roll 369 (300): Time → Miss → (300)
 Roll 370 (400): Quality → Minor Blessing Aphrodite - Beauty (Percy Jackson) (400-100) + Unnatural Skill: Runes (Percy Jackson) (300-200) → (100)</t>
  </si>
  <si>
    <t>55 Processing Time</t>
  </si>
  <si>
    <t>Roll 371 (200): Alchemy → Miss → (200)
 Roll 372 (300): Magic → Miss → (300)
 Roll 373 (400): Knowledge → Miss → (400)
 Roll 374 (500): Magitech → Miss → (500)
 Roll 375 (600): Crafting → Class Jumper (Fate Servant Supplement) (600-50) + Item Construction A+++ (Fate Servant Supplement) (550-550) → (0)
 Roll 376 (100): Vehicles → Miss → (100)
 Roll 377 (200): Time → Miss → (200)
 Roll 378 (300): Size → Miss → (300)
 Roll 379 (400): Vehicles → Miss → (400)
 Roll 380 (500): Magitech → Miss → (500)</t>
  </si>
  <si>
    <t>55.1 Interlude Fleet Preamble Roy Addendum Margaret</t>
  </si>
  <si>
    <t>Roll 381 (600): Crafting → You Became A Star (Robot Unicorn Attack) (600-400) + Shoot For The Moon (Robot Unicorn Attack) (Free) + Rainbow Savior (Robot Unicorn Attack) (Free) + Unicornium Horn (Robot Unicorn Attack) (Free) + Make A Wish (Robot Unicorn Attack) (Free) + Pre-existing Variations?! (Zoids: Legacy) (Free) + Accelerator Equipment (Zoids: Legacy) (3 Customization Points) + Electron Shield Generators (Zoids: Legacy) (2 Customization Points) + Doppler Field Generator (Zoids: Legacy) (5 Customization Points) → (200)
 Roll 382 (300): ??? → Miss → (300)
 Roll 383 (400): ??? → Miss → (400)
 Roll 384 (500): ??? → Miss → (500)
 Roll 385 (600): Knowledge → Sky Machinist (Skies of Arcadia) (600-200) + Cool Flag With Logo (Skies of Arcadia) (Free) + Secret Handshake (Skies of Arcadia) (Free) → (400)
 Roll 386 (500): ??? → Miss → (500)</t>
  </si>
  <si>
    <t>56 Arrival Time</t>
  </si>
  <si>
    <t>Roll 387 (600): Magic → Infusionist (Monster Hunter) (600-600) + Felyne Comrade (Monster Hunter) (Free) → (0)
 [Felyne Comrade gains following Perks: Democracy Under the Companions (Highschool of the Dead) (Free) + Hard Target (Highschool of the Dead) (Free) + Some Of My Best Friends Are Dodgeball Players (Dodgeball) (Free) + Milkshake OR Nutrient shake - Milkshake (Dodgeball) (Free) + All I Know Is That Dyke Can Play (Dodgeball) (Free) + Form Up, Team! (Gears of War) (Free) + GOD DAMN SON OF A BITCH (Gears of War) (Free) + Action Reload (Gears of War) (Free) + Weapon Executions (Gears of War) (Free) + The Cole Train (Gears of War) (400, discounted to 200) + COG Armor (Gears of War) (Free) + Combat Boots (Gears of War) (Free) + MX8 Snub Pistol (Gears of War) (Free) + COG Tags (Gears of War) (Free) + Personal Digital Assistant (Gears of War) (Free) + Someone From Below (Gurren Lagann) (Free) + Spiral Energy (Gurren Lagann) (Free) + Band (Percy Jackson) (Free) + Old Traditions (Percy Jackson) (Free) + Divine Child - Ares (Percy Jackson) (Free) + Fate Finds You Interesting (Percy Jackson) (Free) + Legendary Implement - Stygian Iron Helmet (Percy Jackson) (Free) + Legendary Training - Berserking (Percy Jackson) (200, discounted to 100) + Glory to… Me (Percy Jackson) (800, discounted to 400) + Companion Import (Tales of Symphonia) (Free) + Warrior (Tales of Symphonia) (Free) + Weight of Breath (Tales of Symphonia) (Free) + Weight of Breath (Tales of Symphonia) (Free) + Questionably Practical Weapon - Jägerstock (Tales of Symphonia) (Free) + Companions (Strike Witches) (Free) + Defensive Sign “Directional Shield” (Strike Witches) (Free) + First generation Striker (Strike Witches) (Free) + Bomber Jacket (Strike Witches) (Free) + Call sign (Strike Witches) (Free) + Anti Tank Rifle (Strike Witches) (Free) + General Purpose Machine Gun (Strike Witches) (Free)]
 Roll 388 (100): Knowledge → Miss → (100)
 Roll 389 (200): Size → Miss → (200)
 Roll 390 (300): Magic → Miss → (300)
 Roll 391 (400): Crafting → Weapon Crafting (Devil May Cry) (400-200) + Cuh-Ray-Zee! (Devil May Cry) (Free) + Taunts (Devil May Cry) (Free) + Weapon Swapping (Devil May Cry) (Free) + Dark Slayer (Devil May Cry) (Free) + Get Set! (Devil May Cry) (Free) → (200)
 [Capstone Constellation Unlocked]
 Roll 392 (300): Knowledge → Miss → (300)</t>
  </si>
  <si>
    <t>57 Crunch Time</t>
  </si>
  <si>
    <t>Roll 393 (400): Time → Miss → (400)
 Roll 394 (500): Knowledge → Miss → (500)
 Roll 395 (600): Magic → Feel Feel It Out (F.E.A.R.) (600-600) + Paxton Fettel (F.E.A.R.) (Free) → (0)
 Roll 396 (100): Clothing → Miss → (100)
 Roll 397 (200): Alchemy → Miss → (200)
 Roll 398 (300): Size → Miss → (300)
 Roll 399 (400): Resources and Durability → Miss → (400)
 Roll 400 (500): Magitech → Miss → (500)
 Roll 401 (600): Quality → Mechanical Master (Borderlands) (600-400) + ECHO device with HUD and a melee weapon (Borderlands) (Free) + Ammunition Vending Machine (Borderlands) (Free) → (200)
 Roll 402 (300): Time → Miss → (300)
 Roll 403 (400): Alchemy → Miss → (400)
 Roll 404 (500): ??? → Miss → (500)
 Roll 405 (600): Quality → Daedalus' Student (God of War) (600-600) + Scowl of Sparta (God of War) (Free) + Attire (God of War) (Free) → (0)
 Roll 406 (100): Resources and Durability → Miss → (100)</t>
  </si>
  <si>
    <t>57.1 Interlude Scrub - Leet - Rey</t>
  </si>
  <si>
    <t>58 Go Time - Preamble Survey</t>
  </si>
  <si>
    <t>Roll 407 (200): ??? → Miss → (200)
 Roll 408 (300): ??? → Miss → (300)
 Roll 409 (400): ??? → Miss → (400)
 Roll 410 (500): ??? → Miss → (500)
 Roll 411 (600): Size Constellation → Nano-technician (Red Faction) (600-600) + Recycler (Red Faction) (Free) + Sledgehammer (Red Faction) (Free) → (0)
 [Felyne Comrade gains following Perks: Companion Import (Red Faction) (Free) + Basic Training (Red Faction) (Free Soldier) + Enforcer (Red Faction) (Free Soldier) + Sledgehammer (Red Faction) (Free)]</t>
  </si>
  <si>
    <t>58.1 Interlude Gregor Addendum Alec</t>
  </si>
  <si>
    <t>58.2 Interlude Lisa Addendum Joe</t>
  </si>
  <si>
    <t>Roll 412 (100): Vehicles → Miss → (100)
 Roll 413 (200): Magic → Miss → (200)
 Roll 414 (300): ??? → Miss → (300)
 Roll 415 (400): Knowledge → Miss → (400)
 Roll 415 (500): Magic → Miss → (500)
 Roll 415 (600): Size → Parahuman - Tinker - Miniaturization and Efficiency (Worm) (600-400) + Outside Context Problem (Worm) (Free) + Tinker-Tech Cache (Worm) (Free) → (200)
 Roll 416 (300): Time → Miss → (300)</t>
  </si>
  <si>
    <t>59 Summit Openings Addendum Uppercrust</t>
  </si>
  <si>
    <t>Roll 417 (400): Size → Miss → (400)
 Roll 418 (500): Time → Miss → (500)
 Roll 419 (600): Knowledge → Demigod Atelier (Asura's Wrath) (600-400) + Mantra Generation (Asura's Wrath) (Free) + Imposing Declaration of Title (Asura's Wrath) (Free) → (200)
 Roll 420 (300): Magic → Miss → (300)
 Roll 421 (400): Quality → Minor Blessing Hades - Ferrokinesis (Percy Jackson) (400-100) + Unnatural Skill: Music (Percy Jackson) (300-200) → (100)
 Roll 422 (200): Time → Miss → (200)</t>
  </si>
  <si>
    <t>60 Summit Discussions</t>
  </si>
  <si>
    <t>Roll 423 (300): Alchemy → Miss → (300)
 Roll 424 (400): Size → Miss → (400)
 Roll 425 (500): Magitech → Miss → (500)
 Roll 426 (600): Toolkits → Miss → (600)
 Roll 427 (700): Resources and Durability → Scavenger (Mega Man Zero) (700-400) + Warning (Mega Man Zero) (Free) + Robotic Armor (Mega Man Zero) (Free) → (300)</t>
  </si>
  <si>
    <t>61 Summit Confrontations</t>
  </si>
  <si>
    <t>Roll 428 (400): Magic → Atlantean Power Crystals (400-400) → (0)
 Roll 429 (100): Time → Miss → (100)
 Roll 430 (200): Time → Miss → (200)
 Roll 431 (300): Clothing → Fashion Nonvictim (300-200) + Flaw - Doormat (Free?) + Revival OR Reaperdom (Free?) + Revival (Free with Revival) + Reaperdom (Free with Reaper) + Pin Creation (Free- Exclusive Reaper) → (100)
 Roll 432 (200): Size → Miss → (200)</t>
  </si>
  <si>
    <t>62 Summit Consensus</t>
  </si>
  <si>
    <t>Roll 433 (300): Magic → Miss → (300)
 Roll 434 (400): Personal Reality Constellation → Storage Solutions (400-200) + Starting Space (Free) + Shelving (Free) → (200)
 Roll 435 (300): Time → Miss → (300)
 Roll 436 (400): Knowledge → Miss → (400)</t>
  </si>
  <si>
    <t>63 Summit Conclusion</t>
  </si>
  <si>
    <t>Roll 437 (500): Capstone → Shut Up! (500-50) + Mantra Affinity (450-100) + Mantra Training and Techniques (350-200) + Resplendent Wardrobe (150-50) → (100)
 Roll 438 (200): Resources and Durability → Miss → (200)
 Roll 439 (300): Time → Miss → (300)
 Roll 440 (400): Time → Miss → (400)
 Roll 441 (500): Knowledge → upgrades! Upgrades!! UPGRADES!!! (Red Faction) (500-400) → (100)</t>
  </si>
  <si>
    <t>63.1 Interlude Lauren</t>
  </si>
  <si>
    <t>64 Summit Review</t>
  </si>
  <si>
    <t>Roll 442 (200): Size → Miss → (200)
 Roll 443 (300): Resources and Durability → Miss → (300)</t>
  </si>
  <si>
    <t>65 Summit Aftermath</t>
  </si>
  <si>
    <t>Roll 444 (400): Personal Reality → Garage (Personal Reality Supplement) (400-200) + Fueling Station (Personal Reality Supplement) (200-200) → (0)
 Roll 445 (100): Magic → Miss → (100)
 Roll 446 (200): Alchemy → Miss → (200)
 Roll 447 (300): Knowledge → Miss → (300)
 Roll 448 (400): Toolkits → Workshop: Electronics (Personal Reality Supplement) (400-100) → (300)</t>
  </si>
  <si>
    <t>65.1 Interlude Taylor</t>
  </si>
  <si>
    <t>65.2 Interlude Ben</t>
  </si>
  <si>
    <t>65.3 Interlude Chubster</t>
  </si>
  <si>
    <t>65.4 Interlude Cothran</t>
  </si>
  <si>
    <t>66 Review and Preparation</t>
  </si>
  <si>
    <t>Roll 449 (400): Magic → Miss → (400)
 Roll 450 (500): Alchemy → Miss → (500)
 Roll 451 (600): Vehicles → Titan Engineering (Titanfall) (600-100) + Titan Chassis - Medium (Titanfall) (Free) + Titan Hangar (Titanfall) (Free) → (500)
 Roll 452 (600): Knowledge → Technician (Alpha Centauri) (600-400) → (200)</t>
  </si>
  <si>
    <t>67 Development Plans</t>
  </si>
  <si>
    <t>Roll 453 (300): Magitech → Miss → (300)
 Roll 454 (400): Personal Reality → The Pond (Personal Reality Supplement) (400-200) + The Meaning of Life (Personal Reality Supplement) (200-100) + The Pond-Expansion (Personal Reality Supplement) (100-50) + Neutral Lighting (Personal Reality Supplement) (Free) + Natural Lighting (Personal Reality Supplement) (50-50) → (0)
 Roll 455 (100): Size → Miss → (100)
 Roll 456 (200): Personal Reality → Pilot Simulator (Personal Reality Supplement) (200-100) → (100)</t>
  </si>
  <si>
    <t>68 Personal Training</t>
  </si>
  <si>
    <t>Roll 457 (200): Magic → Miss → (200)
 Roll 458 (300): Magitech → Miss → (300)
 Roll 459 (400): Resources and Durability → Miss → (400)
 Roll 460 (500): Knowledge → Miss → (500)
 Roll 461 (600): Capstone → Touched by the Protoculture (Macross) (600-500) → (100)</t>
  </si>
  <si>
    <t>68.1 Interlude Missy</t>
  </si>
  <si>
    <t>68.2 Interlude Alec</t>
  </si>
  <si>
    <t>68.3 Interlude Sabah</t>
  </si>
  <si>
    <t>69 Magic Instruction</t>
  </si>
  <si>
    <t>Roll 462 (200): Personal Reality → Additional Space (Personal Reality Supplement) (200-200) → (0)
 Roll 463 (100): Toolkits → Miss → (100)
 Roll 464 (200): Size → Miss → (200)
 Roll 465 (300): Personal Reality → Extranet (Personal Reality Supplement) (300-200) → (100)
 Roll 466 (200): Capstone → Bigger on the Inside (RWBY) (200-100) → (100)</t>
  </si>
  <si>
    <t>70 Media Presence</t>
  </si>
  <si>
    <t>Roll 467 (200): Quality → Miss → (200)
 Roll 468 (300): Resources and Durability → Miss → (300)
 Roll 469 (400): Personal Reality → Key Link (Personal Reality Supplement) (400-50) + Windows (Personal Reality Supplement) (350-50) → (300)</t>
  </si>
  <si>
    <t>71 Good Faith - Preamble PHO</t>
  </si>
  <si>
    <t>Roll 470 (400): Toolkits → Miss → (400)
 Roll 471 (500): Vehicles → Miss → (500)
 Roll 472 (600): Personal Reality → Trophy Room (Personal Reality Supplement) (600-50) + Shooting Range (Personal Reality Supplement) (550-50) → (500)
 Roll 473 (600): Capstone → Cyborg Hindu Godbody (Asura's Wrath) (600-400) → (200)
 Roll 474 (300): Vehicles → Miss → (300)
 Roll 475 (400): Knowledge → Technical Training (40k Redux) (400-100) → (300)
 Roll 476 (400): Resources and Durability → Miss → (400)</t>
  </si>
  <si>
    <t>72 Cakewalk</t>
  </si>
  <si>
    <t>Roll 477 (500): Personal Reality → Sky Simulator (Personal Reality) (500-100) + Fly a Kite (Personal Reality) (400-100)→ (300)
 Roll 478 (400): Magic → Miss → (400)
 Roll 479 (500): Knowledge → Miss → (500)</t>
  </si>
  <si>
    <t>73 Head Trip</t>
  </si>
  <si>
    <t>Roll 481 (700): Magitech → Mega Bomb (Chrono Trigger) (700-600) + Element: Shadow (Chrono Trigger) (Free) + Combination Attack (Chrono Trigger) (Free) → (100)
 Roll 482 (200): Magitech → Miss → (200)
 Roll 483 (300): Knowledge → Miss → (300)
 Roll 484 (400): Time → Miss → (400)
 Roll 485 (500): Personal Reality → Library (Personal Reality) (500-200) + Library Services (Personal Reality) (300-100) + Digital Database (Personal Reality) (200-100) + Starting Collection (Personal Reality) (100-100) → (0)
 [Felyne Comrade gains following Perks: Will Thee Accompany Me? (Chrono Trigger) (Free) + Element: Fire (Chrono Trigger) (Free) + Combination Attack (Chrono Trigger) (Free)]</t>
  </si>
  <si>
    <t>74 Hard Talk</t>
  </si>
  <si>
    <t>Roll 486 (100): Vehicles → Miss → (100)
 Roll 487 (200): Capstone → Miss → (200)
 Roll 488 (300): Vehicles → Miss → (300)
 Roll 489 (400): Quality → Miss → (400)
 Special! → Mental Fortress (The World Ends With You) (Free)
 Roll 490 (500): Personal Reality → Security System (Personal Reality) (Free) + Detainment (Personal Reality) (500-300) + Force Wall (Personal Reality) (200-200) → (0)
 Roll 491 (100): Vehicles → Miss → (100)
 Roll 492 (200): Knowledge → Skills: Robotics (Star Trek - TNG+DS9) (200-100) + Skills: Engineering (Star Trek - TNG+DS9) (100-100) → (0)</t>
  </si>
  <si>
    <t>74.1 Interlude Mike</t>
  </si>
  <si>
    <t>74.2 Interlude Lisa</t>
  </si>
  <si>
    <t>Roll Number 493 (100): Time → Miss → (100)
 Roll Number 494 (200): Knowledge → Miss → (200)
 Roll Number 495 (300): Capstone → Miss → (300)
 Roll Number 496 (400): Magic → Miss → (400)
 Roll Number 497 (500): Resources and Durability → Miss → (500)</t>
  </si>
  <si>
    <t>75 Wind Down</t>
  </si>
  <si>
    <t>Roll Number 498 (600): Quality → Incredibly Craftsmanship (Akame ga Kill) (600-600) + General Level Potential (Akame ga Kill) (Free) + Perfect Hair (Akame ga Kill) (Free) + Imperial Arms/Teigu (Akame ga Kill) (Free) + Simple Sturdy Weapon (Akame ga Kill) (Free) → (0)
 Roll Number 499 (100): Alchemy → Miss → (100)
 Roll Number 500 (200): Time → Miss → (200)
 Roll Number 501 (300): Resources and Durability → Miss → (300)
 Roll Number 502 (400): Knowledge → Miss → (400)
 Roll Number 503 (500): Personal Reality → Who's Got the Powa (Personal Reality Supplement) (500-100) + POWER OVERWHELMING (Personal Reality Supplement) (400-400) → (0)</t>
  </si>
  <si>
    <t>Total Points</t>
  </si>
  <si>
    <t>503 Rolls = 50,300+100 = 50,400 Points Aquired. 50,400 Points Spent</t>
  </si>
  <si>
    <t>Total Perks</t>
  </si>
  <si>
    <t>222 Perks Purchased + 124 Bonus Free Perks = 340 Perks Acquired</t>
  </si>
  <si>
    <t>Reference</t>
  </si>
  <si>
    <t>Roll Number (0): Insert → Miss → (0)</t>
  </si>
  <si>
    <t>[Felyne Comrade gains following Perks: ]</t>
  </si>
  <si>
    <t>Full List as Inferred by Canon Examples</t>
  </si>
  <si>
    <t>In Story Examples</t>
  </si>
  <si>
    <t>Designation Components</t>
  </si>
  <si>
    <t>Full Breakdown</t>
  </si>
  <si>
    <t>Shown In Story</t>
  </si>
  <si>
    <t>A</t>
  </si>
  <si>
    <t>Iso-Echo-Alpha</t>
  </si>
  <si>
    <t>Workshop: Metalwork</t>
  </si>
  <si>
    <t>Toolkits</t>
  </si>
  <si>
    <t>Null=0</t>
  </si>
  <si>
    <t>Okay, so here's how the system works as far as I can tell.
 First, you have a Three Digit Number (007, 129, 201). This number signifies the Perk that was bought in comparison to every other Perk from the Forge, so 007 would be the Seventh Perk acquired from the Forge, 129 the One Hundred Twenty Ninth Perk, and 201 the Two Hundred First Perk.
 Second, a Letter (A, E, K) which signifies the Constellation that Perk was Purchased from. So A would indicate the Perk came from the Toolkits Constellation, E the Crafting Constellation, and K the Magitech Constellation.
 Third, a two digit number (02, 14), which indicates the Perk that was bought in comparison to other Perks in its own Constellation. So 02 would be the Second Perk Purchased from its Constellation, 14 would be the Fourteenth.
 Fourth, a mathematical prefix (Iso, Quad, Null, Demi), which states how much the Perk Cost. So Iso would indicate a 100 Point Perk, Quad a 400 Point Perk, Null a 0 Point/Free Perk, Demi a 50 Point Perk or added to another to indicate +50 (Penta-Demi = 550 Point Perk)
 Sometimes, there's a Fifth part in the form of the romanized spelling of a Greek Letter (Alpha, Beta) which represents Perks that came bundled together and indicates the order in which they came, so Alpha would be the First and Beta the Second. There's also Echo, which indicates multiple Perks in a cluster that were bought simultaneously.
 Finally, there's the Perks actual name in apostrophies.
 So, as an example, The First Perk Joe Purchased, which came from the Toolkits Constellation, was the First Perk from that Constellation, Cost 100 Points, was the First of a group of bundled Perks, and which is named Workshop: Metalworking would have the following Designation:
 001-A-01-Iso-Alpha 'Workshop: Metalworking'</t>
  </si>
  <si>
    <t>A - Toolkits</t>
  </si>
  <si>
    <t>B - Knowledge</t>
  </si>
  <si>
    <t>C - Vehicles</t>
  </si>
  <si>
    <t>D - Time</t>
  </si>
  <si>
    <t>E - Crafting</t>
  </si>
  <si>
    <t>F - Clothing</t>
  </si>
  <si>
    <t>G - Magic</t>
  </si>
  <si>
    <t>H - Quality</t>
  </si>
  <si>
    <t>I - Size</t>
  </si>
  <si>
    <t>J - Resources and Durability</t>
  </si>
  <si>
    <t>K - Magitech</t>
  </si>
  <si>
    <t>L - Alchemy</t>
  </si>
  <si>
    <t>M - Capstone</t>
  </si>
  <si>
    <t>Null-Beta</t>
  </si>
  <si>
    <t>Access Key</t>
  </si>
  <si>
    <t>B</t>
  </si>
  <si>
    <t>Knowledge</t>
  </si>
  <si>
    <t>Demi=50</t>
  </si>
  <si>
    <t>008-A-02-Iso ‘Laboratorium’</t>
  </si>
  <si>
    <t>009-B-02-Tri ‘Grease Monkey’</t>
  </si>
  <si>
    <t>162-C-09-Null-Beta ‘Mass Production Mobile Suit: Gun-EZ’</t>
  </si>
  <si>
    <t>044-D-03-Tri ‘Workaholic’</t>
  </si>
  <si>
    <t>43-E-3-Iso ‘Weapon Modifications’</t>
  </si>
  <si>
    <t>002-F-01-Di ‘Fashion’</t>
  </si>
  <si>
    <t>102-G-04-Pent ‘Elven Enchantment’</t>
  </si>
  <si>
    <t>82-H-7-Tri ‘Do One Thing At A Time’</t>
  </si>
  <si>
    <t>025-I-02-Quad ‘Master Builder’</t>
  </si>
  <si>
    <t>124-J-7-Quad ‘Lack of Materials’</t>
  </si>
  <si>
    <t>N/A</t>
  </si>
  <si>
    <t>035-L-04-Di-Alpha ‘Innate Talent: Alchemist’</t>
  </si>
  <si>
    <t>Null-Gamma</t>
  </si>
  <si>
    <t>Entrance Hall</t>
  </si>
  <si>
    <t>C</t>
  </si>
  <si>
    <t>Vehicles</t>
  </si>
  <si>
    <t>Iso=100</t>
  </si>
  <si>
    <t>037-A-05-Null-Alpha ‘Class: Engineer’</t>
  </si>
  <si>
    <t>097-B-15-Null-Beta ‘Standard Neural Interface’</t>
  </si>
  <si>
    <t>163-C-10-Null-Gamma ‘Hangar’</t>
  </si>
  <si>
    <t>194-D-09-Hex ‘Build Rome’</t>
  </si>
  <si>
    <t>52-E-7-Tri ‘Masterwork Craftsman’</t>
  </si>
  <si>
    <t>160-F-08-Tri ‘Tailor’</t>
  </si>
  <si>
    <t>152-G-5-Di-Alpha ‘Heretical Adaptation’</t>
  </si>
  <si>
    <t>103-H-8-Quad ‘Ambrosial Artificer’</t>
  </si>
  <si>
    <t>027-I-03-Quad ‘Nanite Removal and Control’</t>
  </si>
  <si>
    <t>243-J-19-Tri ‘Panzerkampf’</t>
  </si>
  <si>
    <t>036-L-05-Null-Beta ‘Alchemist's Laboratory’</t>
  </si>
  <si>
    <t>F</t>
  </si>
  <si>
    <t>Di</t>
  </si>
  <si>
    <t>Fashion</t>
  </si>
  <si>
    <t>D</t>
  </si>
  <si>
    <t>Time</t>
  </si>
  <si>
    <t>Di=200</t>
  </si>
  <si>
    <t>038-A-06-Iso 'Specialization: Mechanic'</t>
  </si>
  <si>
    <t>125-B-22-Tri ‘Analysis Tools’</t>
  </si>
  <si>
    <t>200-C-12-Hex-Alpha ‘Always a Bigger Robot’</t>
  </si>
  <si>
    <t>208-D-10-Quad ‘Shipping the Product’</t>
  </si>
  <si>
    <t>93-E-8-Iso ‘Customized Weapons’</t>
  </si>
  <si>
    <t>166-F-9-Iso ‘Talented: Tailoring’</t>
  </si>
  <si>
    <t>168-G-07-Tri-Alpha ‘That Undefinable Thing’</t>
  </si>
  <si>
    <t>118-H-9-Quad-Alpha-Dash ‘Divine Child – Hephaestus’</t>
  </si>
  <si>
    <t>31-I-5-Iso-Echo ‘Science! Mechanics’</t>
  </si>
  <si>
    <t>147-L-10-Tri ‘Belmont Alchemy’</t>
  </si>
  <si>
    <t>H</t>
  </si>
  <si>
    <t>Iso</t>
  </si>
  <si>
    <t>Bling of War</t>
  </si>
  <si>
    <t>E</t>
  </si>
  <si>
    <t>Crafting</t>
  </si>
  <si>
    <t>Tri=300</t>
  </si>
  <si>
    <t>067-A-15-Di-Alpha 'Skyforge'</t>
  </si>
  <si>
    <t>201-C-13-Null-Beta ‘Spiral Energy’</t>
  </si>
  <si>
    <t>110-E-10-Tri ‘The Arcane Craft’</t>
  </si>
  <si>
    <t>261-G-15-Hex-Alpha ‘Infusionist’</t>
  </si>
  <si>
    <t>133-H-11-Quad ‘Lathe of Heaven’</t>
  </si>
  <si>
    <t>32-I-6-Iso-Echo ‘Science! Engineering’</t>
  </si>
  <si>
    <t>L</t>
  </si>
  <si>
    <t>Evermore Alchemist</t>
  </si>
  <si>
    <t>Clothing</t>
  </si>
  <si>
    <t>Quad=400</t>
  </si>
  <si>
    <t>071-A-18-Null-Beta ‘Ragnite Container’</t>
  </si>
  <si>
    <t>202-E-14-Tri ‘Tempered Soul’</t>
  </si>
  <si>
    <t>269-G-17-Hex-Alpha ‘Feel It Out’</t>
  </si>
  <si>
    <t>139-H-12-Hex ‘Master Craftsman’</t>
  </si>
  <si>
    <t>079-I-09-Null-Beta ‘Aura’</t>
  </si>
  <si>
    <t>Black Thumb</t>
  </si>
  <si>
    <t>G</t>
  </si>
  <si>
    <t>Magic</t>
  </si>
  <si>
    <t>Pent=500</t>
  </si>
  <si>
    <t>117-A-29-Tri ‘Volcanic Forge’</t>
  </si>
  <si>
    <t>247-E-15-Demi-Alpha ‘Class Crafter’</t>
  </si>
  <si>
    <t>164-H-18-Quad-Alpha ‘Exotic Compatibility’</t>
  </si>
  <si>
    <t>254-I-14-Null-Alpha ‘Pre-existing Variations?!’</t>
  </si>
  <si>
    <t>Scientist: Machinery</t>
  </si>
  <si>
    <t>Quality</t>
  </si>
  <si>
    <t>Hex=600</t>
  </si>
  <si>
    <t>183-A-39-Quad-Alpha 'Prismatic Laboratory'</t>
  </si>
  <si>
    <t>248-E-16-Pent-Demi-Beta ‘Item Construction A+++’</t>
  </si>
  <si>
    <t>176-H-20-Quad-Alpha ‘Secret of Steel’</t>
  </si>
  <si>
    <t>Not A Stupid Grunt</t>
  </si>
  <si>
    <t>I</t>
  </si>
  <si>
    <t>Size</t>
  </si>
  <si>
    <t>Alpha=1st</t>
  </si>
  <si>
    <t>185-A-41-Null-Gamma 'Connections: Hell'</t>
  </si>
  <si>
    <t>249-E-17-Quad-Alpha ‘You Became A Star’</t>
  </si>
  <si>
    <t>191-H-28-Di-Echo ‘Unnatural Skill (Alchemy)’</t>
  </si>
  <si>
    <t>Laboratorium</t>
  </si>
  <si>
    <t>J</t>
  </si>
  <si>
    <t>Resources and Durability</t>
  </si>
  <si>
    <t>Beta=2nd</t>
  </si>
  <si>
    <t>185-A-41-Null-Gamma 'Connections: Rubbery Men'</t>
  </si>
  <si>
    <t>250-E-18-Null-Beta ‘Shoot For The Moon’</t>
  </si>
  <si>
    <t>195-H-29-Di ‘Material Synthesis Science’</t>
  </si>
  <si>
    <t>Tri</t>
  </si>
  <si>
    <t>Grease Monkey</t>
  </si>
  <si>
    <t>K</t>
  </si>
  <si>
    <t>Magitech</t>
  </si>
  <si>
    <t>Gamma=3rd</t>
  </si>
  <si>
    <t>253-E-21-Null-Episilon ‘Make A Wish’</t>
  </si>
  <si>
    <t>274-H-43-Hex-Alpha ‘Daedalus' Student’</t>
  </si>
  <si>
    <t>Smithing</t>
  </si>
  <si>
    <t>Alchemy</t>
  </si>
  <si>
    <t>Delta=4th</t>
  </si>
  <si>
    <t>263-E-22-Di-Alpha ‘Weapon Crafting’</t>
  </si>
  <si>
    <t>Aerospace Engineering Makes Things Go Fast</t>
  </si>
  <si>
    <t>M</t>
  </si>
  <si>
    <t>Capstone</t>
  </si>
  <si>
    <t>Epsilon=5th</t>
  </si>
  <si>
    <t>Enchanting</t>
  </si>
  <si>
    <t>N</t>
  </si>
  <si>
    <t>Personal Reality</t>
  </si>
  <si>
    <t>Zeta=6th</t>
  </si>
  <si>
    <t>Nanite Sciences</t>
  </si>
  <si>
    <t>Eta=7th</t>
  </si>
  <si>
    <t>Built to Last</t>
  </si>
  <si>
    <t>Theta=8th</t>
  </si>
  <si>
    <t>Decadence</t>
  </si>
  <si>
    <t>Iota=9th</t>
  </si>
  <si>
    <t>Machinist</t>
  </si>
  <si>
    <t>Kappa=10th</t>
  </si>
  <si>
    <t>Rationing</t>
  </si>
  <si>
    <t>Echo=Repeating Perk</t>
  </si>
  <si>
    <t>Quad</t>
  </si>
  <si>
    <t>Life Fiber Spool</t>
  </si>
  <si>
    <t>Dash=Power Split Across Perks (I.E Divine Child + Enhancement From Fate Finds You Interesting)</t>
  </si>
  <si>
    <t>Garment Gloves</t>
  </si>
  <si>
    <t>Kazooie Alchemy</t>
  </si>
  <si>
    <t>Mechanist</t>
  </si>
  <si>
    <t>Repair Savvy</t>
  </si>
  <si>
    <t>Stylish Mechanic</t>
  </si>
  <si>
    <t>Deranged Alchemist</t>
  </si>
  <si>
    <t>Master Builder</t>
  </si>
  <si>
    <t>Mechanic</t>
  </si>
  <si>
    <t>Nanite Removal and Control</t>
  </si>
  <si>
    <t>Hybridization Theory</t>
  </si>
  <si>
    <t>Fingers of Silver</t>
  </si>
  <si>
    <t>Iso-Echo</t>
  </si>
  <si>
    <t>Skills: Physics</t>
  </si>
  <si>
    <t>Note: Some of the Canon examples don't precisely match the above explanation, but I believe that those may be typos. If Lord Roustabout says otherwise, I will correct them.</t>
  </si>
  <si>
    <t>Science! Mechanics</t>
  </si>
  <si>
    <t>Science! Engineering</t>
  </si>
  <si>
    <t>Demi</t>
  </si>
  <si>
    <t>Micromanipulators</t>
  </si>
  <si>
    <t>Here are the Errors I have Identified:
 Access Key (Personal Reality), Entrance Hall (Personal Reality), and Phonograph (Bastion) are not counted.
 What does the "Dash" in Quad-Alpha-Dash 'Divine Child – Hephaestus' Mean?
 Di-Echo ‘Unnatural Skill (Alchemy)’ should be Di-Echo 'Unnatural Skill: Alchemy'
 'Connections: Hell' and 'Connections: Rubbery Men' are counted as the same number both in the main order and the suborder.</t>
  </si>
  <si>
    <t>Diagnostic Tools</t>
  </si>
  <si>
    <t>Di-Alpha</t>
  </si>
  <si>
    <t>Innate Talent: Alchemist</t>
  </si>
  <si>
    <t>Alchemist's Laboratory</t>
  </si>
  <si>
    <t>Null-Alpha</t>
  </si>
  <si>
    <t>Class Engineer</t>
  </si>
  <si>
    <t>Iso-Beta</t>
  </si>
  <si>
    <t>Specialization: Mechanic</t>
  </si>
  <si>
    <t>The Flock's Fleece</t>
  </si>
  <si>
    <t>Beauty in the Arts</t>
  </si>
  <si>
    <t>High-Frequency Manufacturer</t>
  </si>
  <si>
    <t>Natural Alchemy</t>
  </si>
  <si>
    <t>Weapon Modifications</t>
  </si>
  <si>
    <t>Workaholic</t>
  </si>
  <si>
    <t>Element Analysis</t>
  </si>
  <si>
    <t>Di-Echo</t>
  </si>
  <si>
    <t>Unnatural Skill: Smith</t>
  </si>
  <si>
    <t>Armourer</t>
  </si>
  <si>
    <t>Engineering</t>
  </si>
  <si>
    <t>Valuable Memories: the nature of memories</t>
  </si>
  <si>
    <t>Fingers of the North Star</t>
  </si>
  <si>
    <t>Engineer</t>
  </si>
  <si>
    <t>Masterwork Craftsman</t>
  </si>
  <si>
    <t>Maliwan Intern</t>
  </si>
  <si>
    <t>Iso-Alpha</t>
  </si>
  <si>
    <t>Workshop</t>
  </si>
  <si>
    <t>Apartment</t>
  </si>
  <si>
    <t>Civilian Equipment Package</t>
  </si>
  <si>
    <t>Heirloom Weapon</t>
  </si>
  <si>
    <t>Di-Gamma</t>
  </si>
  <si>
    <t>Cyber-doctor Equipment Package</t>
  </si>
  <si>
    <t>Null-Delta</t>
  </si>
  <si>
    <t>Medic Equipment Package</t>
  </si>
  <si>
    <t>Null-Epsilon</t>
  </si>
  <si>
    <t>Rocket Hammer</t>
  </si>
  <si>
    <t>Null-Zeta</t>
  </si>
  <si>
    <t>Single Style - T’ai Chi Chuan</t>
  </si>
  <si>
    <t>Tailor Made</t>
  </si>
  <si>
    <t>Don't Need A Team</t>
  </si>
  <si>
    <t>Most Holy Order of the Socket Wrench</t>
  </si>
  <si>
    <t>They're Like Legoes, Right?</t>
  </si>
  <si>
    <t>Reliable Invention</t>
  </si>
  <si>
    <t>Skyforge</t>
  </si>
  <si>
    <t>Standing Stone: The Lover</t>
  </si>
  <si>
    <t>Simplified Formulae</t>
  </si>
  <si>
    <t>Hidden Hideaway / Laboratory</t>
  </si>
  <si>
    <t>Ragnite Container</t>
  </si>
  <si>
    <t>Advanced Materials</t>
  </si>
  <si>
    <t>Garage</t>
  </si>
  <si>
    <t>The Vehicle</t>
  </si>
  <si>
    <t>Machines, They Just Speak To Me</t>
  </si>
  <si>
    <t>Savvy Sultan</t>
  </si>
  <si>
    <t>Tri-Alpha</t>
  </si>
  <si>
    <t>Tinkerer</t>
  </si>
  <si>
    <t>Aura</t>
  </si>
  <si>
    <t>Dust</t>
  </si>
  <si>
    <t>Variable Weapon</t>
  </si>
  <si>
    <t>Scroll</t>
  </si>
  <si>
    <t>Do One Thing At A Time</t>
  </si>
  <si>
    <t>Valuable Memories: the construction of Megadei</t>
  </si>
  <si>
    <t>Simple Scientific Solution</t>
  </si>
  <si>
    <t>Xenospecialist</t>
  </si>
  <si>
    <t>COG Armor</t>
  </si>
  <si>
    <t>Combat Boots</t>
  </si>
  <si>
    <t>MX8 Snub Pistol</t>
  </si>
  <si>
    <t>COG Tags</t>
  </si>
  <si>
    <t>Personal Digital Assistant</t>
  </si>
  <si>
    <t>Null-Eta</t>
  </si>
  <si>
    <t>Weapon Reload System</t>
  </si>
  <si>
    <t>Null-Theta</t>
  </si>
  <si>
    <t>Imulsion</t>
  </si>
  <si>
    <t>Customized Weapons</t>
  </si>
  <si>
    <t>Gadget Master</t>
  </si>
  <si>
    <t>Dwarven Craft</t>
  </si>
  <si>
    <t>Space Command Engineer</t>
  </si>
  <si>
    <t>Standard Neural Interface</t>
  </si>
  <si>
    <t>M274 Mongoose</t>
  </si>
  <si>
    <t>M6C Magnum</t>
  </si>
  <si>
    <t>M9 Fragmentation Grenade</t>
  </si>
  <si>
    <t>UNSC Marine Corp Battle Dress Uniform</t>
  </si>
  <si>
    <t>Pent</t>
  </si>
  <si>
    <t>Elven Enchantment</t>
  </si>
  <si>
    <t>Ambrosial Artificer</t>
  </si>
  <si>
    <t>Hangar</t>
  </si>
  <si>
    <t>Basic Flight Training</t>
  </si>
  <si>
    <t>Missile Surplus</t>
  </si>
  <si>
    <t>Comm Chatter</t>
  </si>
  <si>
    <t>Flight Suit</t>
  </si>
  <si>
    <t>4th Generation Fighter Plane</t>
  </si>
  <si>
    <t>The Arcane Craft</t>
  </si>
  <si>
    <t>Juggernaut</t>
  </si>
  <si>
    <t>Advanced Material Upgrade Kit</t>
  </si>
  <si>
    <t>Workshop: Magic</t>
  </si>
  <si>
    <t>Build That Wall</t>
  </si>
  <si>
    <t>Phonograph</t>
  </si>
  <si>
    <t>Alkahestry</t>
  </si>
  <si>
    <t>Bandit Gunsmith</t>
  </si>
  <si>
    <t>Volcanic Forge</t>
  </si>
  <si>
    <t>Quad-Alpha-Dash</t>
  </si>
  <si>
    <t>Divine Child – Hephaestus</t>
  </si>
  <si>
    <t>Old Traditions</t>
  </si>
  <si>
    <t>Setup Wizard</t>
  </si>
  <si>
    <t>Wand</t>
  </si>
  <si>
    <t>Analysis</t>
  </si>
  <si>
    <t>Researcher</t>
  </si>
  <si>
    <t>Lack of Materials</t>
  </si>
  <si>
    <t>Analysis Tools</t>
  </si>
  <si>
    <t>Skills: Physical Sciences</t>
  </si>
  <si>
    <t>Skills: Combat</t>
  </si>
  <si>
    <t>Tool Kit</t>
  </si>
  <si>
    <t>Serene Sinatra</t>
  </si>
  <si>
    <t>Basic Training</t>
  </si>
  <si>
    <t>Space Suit</t>
  </si>
  <si>
    <t>Basic Variable Fighter</t>
  </si>
  <si>
    <t>Lathe of Heaven</t>
  </si>
  <si>
    <t>Scrapper</t>
  </si>
  <si>
    <t>Starting Gear</t>
  </si>
  <si>
    <t>Advanced Formulae</t>
  </si>
  <si>
    <t>Robust Engineering</t>
  </si>
  <si>
    <t>Secular Skills</t>
  </si>
  <si>
    <t>Hex</t>
  </si>
  <si>
    <t>Master Craftsman</t>
  </si>
  <si>
    <t>Weaponsmith</t>
  </si>
  <si>
    <t>I Am Iron Man</t>
  </si>
  <si>
    <t>Tri-Dash</t>
  </si>
  <si>
    <t>Fate Finds You Interesting</t>
  </si>
  <si>
    <t>Minor Blessing Athena – Craftsmanship</t>
  </si>
  <si>
    <t>Waste Not</t>
  </si>
  <si>
    <t>Weapon &amp; Item Storage Chest</t>
  </si>
  <si>
    <t>Manufacturing Line</t>
  </si>
  <si>
    <t>Belmont Alchemy</t>
  </si>
  <si>
    <t>Putting On The Reich</t>
  </si>
  <si>
    <t>Aesthetics and Flair</t>
  </si>
  <si>
    <t>Inexplicable Innuendo</t>
  </si>
  <si>
    <t>Classy Contortionist</t>
  </si>
  <si>
    <t>Heretical Adaptation</t>
  </si>
  <si>
    <t>Calling Card</t>
  </si>
  <si>
    <t>Scrapyard Skills</t>
  </si>
  <si>
    <t>Rockin' Music</t>
  </si>
  <si>
    <t>Valkyrian Science</t>
  </si>
  <si>
    <t>Valuable Memories: the creation of chimeras</t>
  </si>
  <si>
    <t>Mauler</t>
  </si>
  <si>
    <t>Technosorcery</t>
  </si>
  <si>
    <t>Tailor</t>
  </si>
  <si>
    <t>Anaheim Degree</t>
  </si>
  <si>
    <t>Mass Production Mobile Suit: Gun-EZ</t>
  </si>
  <si>
    <t>Quad-Alpha</t>
  </si>
  <si>
    <t>Exotic Compatibility</t>
  </si>
  <si>
    <t>Leo</t>
  </si>
  <si>
    <t>Talented: Tailoring</t>
  </si>
  <si>
    <t>Valueable Memories: Bigs</t>
  </si>
  <si>
    <t>That Undefinable Thing</t>
  </si>
  <si>
    <t>Iconic Outfit</t>
  </si>
  <si>
    <t>Questionably Practical Weapon</t>
  </si>
  <si>
    <t>Workshop: Woodworking</t>
  </si>
  <si>
    <t>Super Sea Snails</t>
  </si>
  <si>
    <t>Armor-Shift Manufacture</t>
  </si>
  <si>
    <t>Beast Change! – Inostrancevia</t>
  </si>
  <si>
    <t>Martial Artist: Muay Thai</t>
  </si>
  <si>
    <t>Secret of Steel</t>
  </si>
  <si>
    <t>Katsujinken</t>
  </si>
  <si>
    <t>Sei Ki</t>
  </si>
  <si>
    <t>Weapons</t>
  </si>
  <si>
    <t>Martial Arts Ninjutsu</t>
  </si>
  <si>
    <t>Master's Body</t>
  </si>
  <si>
    <t>"Sword" - Lantern Shield</t>
  </si>
  <si>
    <t>Prismatic Laboratory</t>
  </si>
  <si>
    <t>St Andrew's Candle</t>
  </si>
  <si>
    <t>Connections: Hell</t>
  </si>
  <si>
    <t>Null-Dela</t>
  </si>
  <si>
    <t>Connections: Rubbery Men</t>
  </si>
  <si>
    <t>Striker Artificer Toolkit</t>
  </si>
  <si>
    <t>Defensive Sign "Directional Shield"</t>
  </si>
  <si>
    <t>First Generation Striker</t>
  </si>
  <si>
    <t>Minor Blessing Hestia - Hearthfire</t>
  </si>
  <si>
    <t>Unnatural Skill: Alchemy</t>
  </si>
  <si>
    <t>Talisman Trained</t>
  </si>
  <si>
    <t>Talisman Adept</t>
  </si>
  <si>
    <t>Build Rome</t>
  </si>
  <si>
    <t>Material Synthesis Science</t>
  </si>
  <si>
    <t>Fixer</t>
  </si>
  <si>
    <t>Quad-Echo-Alpha</t>
  </si>
  <si>
    <t>Thaumaturgical Focus: Transmutation</t>
  </si>
  <si>
    <t>Magic Circuits</t>
  </si>
  <si>
    <t>More With Less</t>
  </si>
  <si>
    <t>Hex-Alpha</t>
  </si>
  <si>
    <t>Always a Bigger Robot</t>
  </si>
  <si>
    <t>Spiral Energy</t>
  </si>
  <si>
    <t>Tempered Soul</t>
  </si>
  <si>
    <t>Demi-Alpha</t>
  </si>
  <si>
    <t>My Fashion Sense is Tingling</t>
  </si>
  <si>
    <t>Natural Puppy</t>
  </si>
  <si>
    <t>Entanglement</t>
  </si>
  <si>
    <t>Player Pin</t>
  </si>
  <si>
    <t>207-J-17-Quad 'Efficiency'</t>
  </si>
  <si>
    <t>Efficiency</t>
  </si>
  <si>
    <t>Shipping the Product</t>
  </si>
  <si>
    <t>The Alchemy Machine</t>
  </si>
  <si>
    <t>Technical Certainties</t>
  </si>
  <si>
    <t>Technomage</t>
  </si>
  <si>
    <t>Bomber Jacket</t>
  </si>
  <si>
    <t>Call sign</t>
  </si>
  <si>
    <t>Skills: Stealth</t>
  </si>
  <si>
    <t>Skills: Medicine</t>
  </si>
  <si>
    <t>Skills: Navigation</t>
  </si>
  <si>
    <t>Salvager</t>
  </si>
  <si>
    <t>Workshop: Science</t>
  </si>
  <si>
    <t>Minor Blessing Artemis - Bowmanship</t>
  </si>
  <si>
    <t>Unnatural Skill: Enchanting</t>
  </si>
  <si>
    <t>The Divine Machines</t>
  </si>
  <si>
    <t>Bright Spear</t>
  </si>
  <si>
    <t>Elemental Mastery</t>
  </si>
  <si>
    <t>Balance Bangle</t>
  </si>
  <si>
    <t>Starter Weapon: Bone Rod I and Mauldrone I</t>
  </si>
  <si>
    <t>Minor Blessing Hera - Administration</t>
  </si>
  <si>
    <t>Unnatural Skill: Transmutation</t>
  </si>
  <si>
    <t>Launderer System</t>
  </si>
  <si>
    <t>The Clothes</t>
  </si>
  <si>
    <t>That Sword</t>
  </si>
  <si>
    <t>Peak ADVENT Technology</t>
  </si>
  <si>
    <t>Flack Jacket</t>
  </si>
  <si>
    <t>Avid Glove</t>
  </si>
  <si>
    <t>Amateur Academic - Triva</t>
  </si>
  <si>
    <t>Dabbling Academic - Fool Proof</t>
  </si>
  <si>
    <t>A Thing About Names</t>
  </si>
  <si>
    <t>Crucible of Eight Trigrams</t>
  </si>
  <si>
    <t>Lathe-Wrought Armour Plating Kit</t>
  </si>
  <si>
    <t>Workshop: Clothing</t>
  </si>
  <si>
    <t>Thaumaturgical Focus: Alchemy</t>
  </si>
  <si>
    <t>Status Page</t>
  </si>
  <si>
    <t>Dapper Dressing</t>
  </si>
  <si>
    <t>Panzerkampf</t>
  </si>
  <si>
    <t>Minor Blessing Aphrodite - Beauty</t>
  </si>
  <si>
    <t>Unnatural Skill: Runes</t>
  </si>
  <si>
    <t>Class Crafter</t>
  </si>
  <si>
    <t>Pent-Demi-Alpha</t>
  </si>
  <si>
    <t>Item Construction A+++</t>
  </si>
  <si>
    <t>You Became A Star</t>
  </si>
  <si>
    <t>Shoot For The Moon</t>
  </si>
  <si>
    <t>Rainbow Savior</t>
  </si>
  <si>
    <t>Unicornium Horn</t>
  </si>
  <si>
    <t>Make A Wish</t>
  </si>
  <si>
    <t>Pre-existing Variations?!</t>
  </si>
  <si>
    <t>Accelerator Equipment</t>
  </si>
  <si>
    <t>Electron Shield Generators</t>
  </si>
  <si>
    <t>Doppler Field Generator</t>
  </si>
  <si>
    <t>Sky Machinist</t>
  </si>
  <si>
    <t>Cool Flag With Logo</t>
  </si>
  <si>
    <t>Secret Handshake</t>
  </si>
  <si>
    <t>Infusionist</t>
  </si>
  <si>
    <t>Felyne Comrade</t>
  </si>
  <si>
    <t>Weapon Crafting</t>
  </si>
  <si>
    <t>Cuh-Ray-Zee!</t>
  </si>
  <si>
    <t>Taunts</t>
  </si>
  <si>
    <t>Weapon Swapping</t>
  </si>
  <si>
    <t>Dark Slayer</t>
  </si>
  <si>
    <t>Get Set!</t>
  </si>
  <si>
    <t>Feel It Out</t>
  </si>
  <si>
    <t>Paxton Fettel</t>
  </si>
  <si>
    <t>Mechanical Master</t>
  </si>
  <si>
    <t>ECHO device with HUD and a melee weapon</t>
  </si>
  <si>
    <t>Ammunition Vending Machine</t>
  </si>
  <si>
    <t>Daedalus' Student</t>
  </si>
  <si>
    <t>Scowl of Sparta</t>
  </si>
  <si>
    <t>Attire</t>
  </si>
  <si>
    <t>Nano-technician</t>
  </si>
  <si>
    <t>Recycler</t>
  </si>
  <si>
    <t>Sledgehammer</t>
  </si>
  <si>
    <t>Parahuman - Tinker - Miniaturization and Efficiency</t>
  </si>
  <si>
    <t>Outside Context Problem</t>
  </si>
  <si>
    <t>Tinker-Tech Cache</t>
  </si>
  <si>
    <t>Demigod Atelier</t>
  </si>
  <si>
    <t>Mantra Generation</t>
  </si>
  <si>
    <t>Imposing Declaration of Title</t>
  </si>
  <si>
    <t>Iso-Alpha-Echo</t>
  </si>
  <si>
    <t>Minor Blessing Hades - Ferrokinesis</t>
  </si>
  <si>
    <t>Di-Beta-Echo</t>
  </si>
  <si>
    <t>Unnatural Skill: Music</t>
  </si>
  <si>
    <t>Scavenger</t>
  </si>
  <si>
    <t>Warning</t>
  </si>
  <si>
    <t>Robotic Armor</t>
  </si>
  <si>
    <t>Atlantean Power Crystals</t>
  </si>
  <si>
    <t>Fashion Nonvictim</t>
  </si>
  <si>
    <t>Flaw - Doormat</t>
  </si>
  <si>
    <t>Verify at earliest opportunity due to weird nature of Perk</t>
  </si>
  <si>
    <t>Revival OR Reaperdom</t>
  </si>
  <si>
    <t>Revival</t>
  </si>
  <si>
    <t>Reaperdom</t>
  </si>
  <si>
    <t>Pin Creation</t>
  </si>
  <si>
    <t>Storage Solutions</t>
  </si>
  <si>
    <t>Starting Space</t>
  </si>
  <si>
    <t>Shelving</t>
  </si>
  <si>
    <t>Shut Up!</t>
  </si>
  <si>
    <t>Mantra Affinity</t>
  </si>
  <si>
    <t>Mantra Training and Techniques</t>
  </si>
  <si>
    <t>Demi-Delta</t>
  </si>
  <si>
    <t>Resplendent Wardrobe</t>
  </si>
  <si>
    <t>upgrades! Upgrades!! UPGRADES!!!</t>
  </si>
  <si>
    <t>Di-Beta</t>
  </si>
  <si>
    <t>Fueling Station</t>
  </si>
  <si>
    <t>Workshop: Electronics</t>
  </si>
  <si>
    <t>Titan Engineering</t>
  </si>
  <si>
    <t>Titan Chassis - Medium</t>
  </si>
  <si>
    <t>Titan Hangar</t>
  </si>
  <si>
    <t>Technician</t>
  </si>
  <si>
    <t>The Pond</t>
  </si>
  <si>
    <t>The Meaning of Life</t>
  </si>
  <si>
    <t>Demi-Gamma</t>
  </si>
  <si>
    <t>The Pond-Expansion</t>
  </si>
  <si>
    <t>Neutral Lighting</t>
  </si>
  <si>
    <t>Demi-Epsilon</t>
  </si>
  <si>
    <t>Natural Lighting</t>
  </si>
  <si>
    <t>Pilot Simulator</t>
  </si>
  <si>
    <t>Touched by the Protoculture</t>
  </si>
  <si>
    <t>Additional Space</t>
  </si>
  <si>
    <t>Extranet</t>
  </si>
  <si>
    <t>Bigger on the Inside</t>
  </si>
  <si>
    <t>Key Link</t>
  </si>
  <si>
    <t>Demi-Beta</t>
  </si>
  <si>
    <t>Windows</t>
  </si>
  <si>
    <t>Trophy Room</t>
  </si>
  <si>
    <t>Shooting Range</t>
  </si>
  <si>
    <t>Cyborg Hindu Godbody</t>
  </si>
  <si>
    <t>Technical Training</t>
  </si>
  <si>
    <t>Sky Simulator</t>
  </si>
  <si>
    <t>Fly a Kite</t>
  </si>
  <si>
    <t>Mega Bomb</t>
  </si>
  <si>
    <t>Element</t>
  </si>
  <si>
    <t>Combination Attack</t>
  </si>
  <si>
    <t>Library</t>
  </si>
  <si>
    <t>Library Services</t>
  </si>
  <si>
    <t>Iso-Gamma</t>
  </si>
  <si>
    <t>Digital Database</t>
  </si>
  <si>
    <t>Iso-Delta</t>
  </si>
  <si>
    <t>Starting Collection</t>
  </si>
  <si>
    <t>Null</t>
  </si>
  <si>
    <t>Mental Fortress</t>
  </si>
  <si>
    <t>Security System</t>
  </si>
  <si>
    <t>Tri-Beta</t>
  </si>
  <si>
    <t>Detainment</t>
  </si>
  <si>
    <t>Force Wall</t>
  </si>
  <si>
    <t>Skills: Robotics</t>
  </si>
  <si>
    <t>Skills: Engineering</t>
  </si>
  <si>
    <t>Incredibly Craftsmanship</t>
  </si>
  <si>
    <t>General Level Potential</t>
  </si>
  <si>
    <t>Perfect Hair</t>
  </si>
  <si>
    <t>Imperial Arms/Teigu</t>
  </si>
  <si>
    <t>Simple Sturdy Weapon</t>
  </si>
  <si>
    <t>Who's Got the Powa</t>
  </si>
  <si>
    <t>Quad-Beta</t>
  </si>
  <si>
    <t>POWER OVERWHELMING</t>
  </si>
  <si>
    <t>Toolkits Constellation</t>
  </si>
  <si>
    <t>Knowledge Constellation</t>
  </si>
  <si>
    <t>Vehicles Constellation</t>
  </si>
  <si>
    <t>Time Constellation</t>
  </si>
  <si>
    <t>Crafting Constellation</t>
  </si>
  <si>
    <t>Clothing Constellation</t>
  </si>
  <si>
    <t>Magic Constellation</t>
  </si>
  <si>
    <t>Quality Constellation</t>
  </si>
  <si>
    <t>Size Constellation</t>
  </si>
  <si>
    <t>Resources and Durability Constellation</t>
  </si>
  <si>
    <t>Magitech Constellation</t>
  </si>
  <si>
    <t>Alchemy Constellation</t>
  </si>
  <si>
    <t>Capstone Constellation</t>
  </si>
  <si>
    <t>Personal Reality Constellation</t>
  </si>
  <si>
    <t>Notes</t>
  </si>
  <si>
    <t>Workshop (Personal Reality) (100 CP) - Repeatable
 Each purchase of this adds to your Personal Reality, a Workshop needed to perform a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Purchased Workshops: 1.) Metalworking 2.) Woodworking 3.) Clothing 4.) Electronics</t>
  </si>
  <si>
    <t>Certified Tech (Fallout) (600 CP)
 You are one of the brightest minds of the 23rd Century! You now understand Pre-War science, and can even reverse-engineer existing technology to learn how it works, and how to recreate it. Plus, if you can learn the basics of truely alien science, this perk helps you master it the same way.</t>
  </si>
  <si>
    <t>Fingers of Silver (Macross) (200 CP)
 While other kids were building tinker-toy creations, you were fiddling with your dad’s car and doing a better job than him. By purchasing this, meddling with machines and OverTechnology is as easy as breathing for you. By getting your hands on something, you can easily figure out how it works and how to copy its inner workings, provided that it wasn’t just bullshit magic. The more advanced something is, the harder it may be... but with time and effort, you just might succeed.</t>
  </si>
  <si>
    <t>Don’t Need A Team (Ace Combat) (100 CP)
 Fighter planes are pretty complicated machines, and more often than not you need a whole crew to maintain them so that they don’t break down in the middle of a fight and doom the pilot. You know your plane well enough to circumvent this issue. You’ve got just the right idea on what needs tuning up and what needs fixing, along with having the speed to be able to fix a plane up by yourself without the need for a crew in a fraction of the time. Performance issues are a thing of the past for you.</t>
  </si>
  <si>
    <t>I Can Fix It! (Reborn) (300 CP)
 Technology is a wonderful thing, and you discovered that long ago. You have a knack for Flame rings and machines of all kinds, and can fix or maintain most machines. You can even improve them to beyond their normal specs. Comes with its own toolbox.</t>
  </si>
  <si>
    <t>Talented: Tailoring (Inukami) (100 CP)
 You are an expert at any non-combat related skill. Cooking? You can make a five star meal with low rate ingredients.</t>
  </si>
  <si>
    <t>Talisman Trained (Inukami) (100 CP)
 You are very skilled at using talismans. What that means is you can make them have different properties (like light or sound) and with enough time and training you can make truly devastating effects.</t>
  </si>
  <si>
    <t>Craftsman of the Gods (Viking Saga) (600 CP)
 Things you make yourself from base components gain properties far beyond what they should. Belts that increase strength several times over or a spear that never misses are well within your skill, and you will only get better.</t>
  </si>
  <si>
    <t>Gadget Master (007) (300 CP)
 You’ve been trained by Major Boothroyd at the skills of his job. You’re excellent at creating and maintaining gadgets of all types. You can miniaturize nearly anything, and hide things in forms that... really shouldn’t work. You can even make lasers! You’re also good at coming up with ideas for unusual methods of assassination; beheading umbrellas, flamethrower bagpipes, and the like.</t>
  </si>
  <si>
    <t>Waste Not (Monster Hunter) (300 CP)
 You have found out a great secret in the blacksmithing trade - the reason that most blacksmiths usually ask for so many materials to make a certain weapon or armor isn’t because its material intensive, but because they can make one for half of the materials and either sell the rest or make another to sell at a profit. The bastards! You have figured out how to use less materials to gain the same results when it comes to crafting your own weapons and armor. At first it may just be an ore or two less, but with enough practice you can reduce the amount of materials needed for a project by half (rounded down). As an added bonus, with enough practice, you have a 50% chance to not require high-grade or legendary materials (Rubied, Plates, etc) to make an item, provided you can supplement the build with excess materials.</t>
  </si>
  <si>
    <t>Setup Wizard (Harry Potter) (200 CP)
 You have a natural knack of melding technology and magic. You can easily jury-rig technology to work at Hogwarts. Your inventions could do considerable good for the magical world if they weren’t all such luddites.</t>
  </si>
  <si>
    <t>Simplified Formulae (Full Metal Alchemist) (100 CP)
 You understand the connections between parts. You can make large alchemy circles far more easily and far less complex than others. You can combine this with Advanced Formulae for multipurpose combat alchemy.</t>
  </si>
  <si>
    <t>Cyborg Hindu Godbody (Asura’s Wrath) (400 CP)
 You have a genetically, cybernetically and magically enhanced physiology, and the knowledge to propagate this technology. Your capacity to wield Mantra is enhanced, both accepting general Mantra as
 well as your primary association. This constructed body can heal itself, or be repaired by yourself or others. Your magical physiology is obvious, but always aesthetically pleasing. You can survive in space without a suit, endure planet­busting attacks with sufficient Mantra, and are otherwise ageless. This increases your maximum Mantra Level by 2.</t>
  </si>
  <si>
    <t>Second Reality (Personal Reality) (600 WP)
 If, for some reason, you feel you must have a second completely separate Personal Reality, this is for you. It includes everything that is free for the first one, but absolutely no WP is included and no Warehouse Extensions attach to it by default, nothing you buy for one Personal Reality applies to the second, and the second cannot be reached from the first unless both have Portal Link. Furthermore, all Limitations and Drawbacks apply equally to both Personal Realities, but do not provide the second Personal Reality with additional WP. Why you’d want this is entirely up to you, but frankly it’s probably a waste of points. If you think you’ve found a way to game this for some gain or end run around some rule somewhere, it won’t work.</t>
  </si>
  <si>
    <t>This means that this Perk has been Purchased</t>
  </si>
  <si>
    <t>Access Key (Personal Reality) (Free)
 This is a special key which lets you access your Personal Reality and its contents.
 When inserted into any lock on any door, the door opens to reveal a gateway into your Reality at a predetermined location within it. You are the only person who can take the key from the lock, the gateway remains open as long as the key is in the lock, and if key is ever lost or stolen you will find it in your pocket a few minutes later. You cannot close the door as long as you are inside the Personal Reality.</t>
  </si>
  <si>
    <t>Tech Expert (Starcraft) (600 CP)
 You have a full understanding of terran technology, and a proper foundation for understanding alien technology and biology, while you will never truly come to an understanding of zerg biology or protoss technology, the insight you have into them can be used to enhance other technology greatly.</t>
  </si>
  <si>
    <t>Techy (Code Geass) (250 CP)
 From Knightmares to guns, you know how to build and improve Geass tech.</t>
  </si>
  <si>
    <t>One-Man Assembly Line (XCOM) (600 CP)
 You really liked playing with building blocks as a kid. Now that you’re all grown up, the world is your playground. Your knowledge of construction and engineering is unprecedented, and making a jet engine from spare parts over a weekend is your idea of fun.</t>
  </si>
  <si>
    <t>Engineer (Super Mario RPG) (300 CP)
 You’re more adept at coming up with novel and creative objects. Any blueprint can be held perfectly in your mind without needing to draw it on paper.</t>
  </si>
  <si>
    <t>Tailor (Kill la Kill) (300 CP)
 You have the knowledge of how to safely work with life fibers, and how to make them into clothing that empowers (or inhibits) the wearer. In addition, because you know how Life Fiber uniforms work, you know their weak spots better than anyone.</t>
  </si>
  <si>
    <t>Talisman Adept (Inukami) (200 CP)
 You are much better at using talismans and can give them properties of what shape they are in. Shaped like a frog? These talismans can bounce towards their intended target.</t>
  </si>
  <si>
    <t>Expert Smithing (Ragnarok Online) (400 CP)
 It’s not just about creating the sharpest blade anymore. Improved items now have “affixes” on them based on how many times they’ve been improved. Each level will be tougher than the next to improve and require more energy/mana/souls, but the Blacksmith’s smithing ability now has no cap</t>
  </si>
  <si>
    <t>Tinkerer (RWBY) (300 CP)
 You’re a whiz at maintaining, modifying and making things. Everything from Sniper Scythes to Toaster Ovens, as long as you made it yourself or had the blueprints on hand. Unlock the secret of Variable Weapon Crafting.</t>
  </si>
  <si>
    <t>Weapon &amp; Item Storage Chest (Monster Hunter) (Free)
 An absolute must whether you’re an aspiring hunter or roving trader. You get two chests - the first one is capable of storing up to 1000 individual weapons, pieces of armor, and charm talismans, while the second is capable of storing up to 1000 stacks of 999 of any given healing item, monster part, ore, or item that isn’t a weapon, armor piece, or talisman.</t>
  </si>
  <si>
    <t>Wand (Harry Potter) (Free)
 A wand. You don’t have it yet, mind you, but you’ll get one soon enough on a trip to Ollivanders. You can choose the wood type and between one of the wand cores he produces wands with (Unicorn Hair, Dragon Heartstring and Phoenix Feather). You may instead choose a more exotic wand core (excluding Thestral Hair and limited to parts from other canonical magical creatures/beings of this world e.g. Thunderbird Tail Feather, Veela Hair, etc.) although the three previously mentioned are among the most reliable and powerful. Different cores and woods tend to act a little differently but regardless of what you choose the wand will choose you as soon as you are introduced. Different woods may alter your historical personality (for all but Drop-ins) and therefore tendencies very slightly (e.g. Cypress wands tend to choose brave people and you will as such have been a relatively brave child, Blackthorn may result in you being slightly more combative, etc.). If you already had a wand you may import it into this role and while it will keep it’s wood and core it will gain a significant loyalty boost.</t>
  </si>
  <si>
    <t>Advanced Formulae (Full Metal Alchemist) (100 CP)
 Alchemy comes to you as easily as breathing does. Your greater understanding allows you to perform more complex alchemy. You can combine this with Simplified Formulae for multipurpose combat alchemy.</t>
  </si>
  <si>
    <t>Shut Up! (Asura's Wrath) (50 CP)
 You don't have the patience for bullshit. During longwinded speeches or similar engagements that drag on and on, you will have a sense for when and how to best expedite the proceedings. You aren't required to take the chance, but you will have to live with consequences if you do. This perk cannot let you automatically kill someone, no matter how hard you can hit.</t>
  </si>
  <si>
    <t>Additional Space (Personal Reality) (200 WP) - Repeatable
 This Starting Space Upgrade expands your Personal Reality by a factor of 10 in each dimension... or rather the standard three dimensions, you rabid cheeselord. This can be purchased multiple times. Additional Space also upgrades various expansion options. The first purchase of this brings you to 64 Million Cubic Meters, then 64 Billion Cubic Meters, then 64 Trillion Cubic Meters. Earth’s volume, for reference, is 1 Hexillion Cubic Meters and it’s surface area is 510 Quadrillion Square Meters. Cover the Earth in storage facilities 100 meters high and you get 51 Quintillion Cubic Meters of Storage space.
 Number of times Purchased: 1</t>
  </si>
  <si>
    <t>This means that this Perk is Available to be Purchased</t>
  </si>
  <si>
    <t>Entrance Hall (Personal Reality) (Free)
 This is the room your Access Key opens a door to. It starts off as a 5 meter cube with blank white walls, floor, and ceiling, as some doors, one leading to the current Host Reality, the other into your Cosmic Warehouse, with additional doors leading to other extensions as these get added to your Personal Reality. Feel free to customize this Entrance Hall as you see fit. Additional Halls can, at your discretion, be linked only to certain keys or only to certain extensions. This allows you to have an entry hall just for skiing if you want.</t>
  </si>
  <si>
    <t>Machinist (Skies of Arcadia) (200 CP)
 Like the famous air pirate Centime, you know your way around machinery. You can repair or build almost anything, given time and resources.</t>
  </si>
  <si>
    <t>A New Age of Warfare (Metal Gear Solid) (600 CP)
 Metal Gear, a weapon capable of bringing an entire nation to its knees (in theory). Your engineering talents have extended to the point you can create these war machines, even automate them with AI, provided you have enough time and resources. With Box-tech you can apply these cutting-edge technologies to combat-ready gear, creating things like man-portable Railguns and Stealth Camo.</t>
  </si>
  <si>
    <t>Machinist (Gargoyles) (200 CP)
 You are an expert mechanic. You can rebuild and improve a helicopter in 12 hours or create a functional motorcycle from spare parts. If honed, this ability will let you make nearly anything from incredibly advanced robots to nanite swarms in only a few months’ time.</t>
  </si>
  <si>
    <t>Smith (Gothic) (300 CP)
 You are professional smith with all the skills to craft any tool, weapon or armor. You even know the rare smelting and forging techniques needed to work with magical ore.</t>
  </si>
  <si>
    <t>Life Fiber Spool (Kill la Kill) (400 CP)
 A medium-sized spool of Life Fiber. It’s only enough to maybe make a pair of gloves out of, but with the proper knowledge, one could create Goku Uniforms- Or enhance existing articles of clothing to be like Goku Uniforms. One spool of thread is enough to make several one-star outfits, three two-star outfits, or a single three-star outfit, assuming you have the knowledge of how to work with Life Fibers.</t>
  </si>
  <si>
    <t>Elven Enchantment (Lord of the Rings) (500 CP)
 You can enchant objects, if you pour energy into them as they are created. Some of your enchantments are useful in battle, such as swords that never dull and bows that always strike true, but most are simply to ease the life of the wearer, such as cloaks that weigh nothing and aid in hiding and water-flasks that never leak. You may also perform great workings, such as the creation of hidden doorways, given time.</t>
  </si>
  <si>
    <t>Daedalus’ student (God of War) (600 CP)
 It is one thing to work on forging mere sword and shield, but it is another to create truly marvelous wonders... for a mortal. You could make marvelous wings out of bird feathers and beeswax, capable of granting flight to anyone. Or maybe you wish to create an everchanging Labyrinth, that shifts and alters itself depending on how it moves. Regardless, your architect and forging skills have taken a dramatic increase, to the point where the things you create just may have properties and quality they normally shouldn’t have, albeit directed towards the purpose of your creations. Through your works, your will be known... but take care that the gods do not take offense with your work.</t>
  </si>
  <si>
    <t>Aura (RWBY) (Free)
 You start off with an unlocked aura.</t>
  </si>
  <si>
    <t>More With Less (XCOM) (300 CP)
 Through careful construction, you can remove unnecessary components and get maximum efficiency into your products. What this means, is that you can create the same quality item while using less resources. Items with which you have a limited supply, such as alien materials, can be stretched farther.</t>
  </si>
  <si>
    <t>Doll Maker of Bucuresti (Touhou) (200 CP)
 Being an undisputable genius in terms of mathematics and science in a realm ruled by magic tends to undermine just how impressive it is. Your ability with technology and engineering is so great that you are able to adapt to handling, repairing, modifying and even reverse-engineering completely foreign devices you have little to no background on. Your connection with both practical technologies along with magic allows for you to eventually unlock the secrets to creating magitech if given enough time to experiment.</t>
  </si>
  <si>
    <t>Alkahestry (Full Metal Alchemist) (300 CP)
 You understand how to perform basic Alkahestry, an art from Xing which can perform transmutation from a distance using linked circles, and can heal wounds of many kinds by following the pulse of the body. With practice or tutoring you can make a real skill from it.</t>
  </si>
  <si>
    <t>Mantra Affinity (Asura's Wrath) (100 CP)
 You are empowered by a single flavor of sentient emotion. When acting within the themes of your dominant Mantra, you are capable of peakhuman feats. You count as both a prayer source and an emotional source of Mantra. There are eight Mantra affinities, Wrath, Violence, Vanity, Sloth, Melancholy, Lust, Greed, and Pride. Without a Mantra Affinity, you are denied the strength of emotion, and must subsist on ordinary Mantra. By taking this perk, your safe Mantra Level is set to 2, and you always count as having a minimum of Mantral Level 1 for purposes of determining such feats.</t>
  </si>
  <si>
    <t>Adaptive Inactive Storage (Personal Reality) (300 WP)
 This Starting Space Upgrade means that your Warehouse will automatically gain a special customized storage space for anything you purchase with CP... But what’s so good about that? This storage space is inactive. That means anything in it isn’t out in a Host Reality, it isn’t out in your Personal Reality. The stuff cannot be interacted with in any way except to pull it out of Inactive Storage... if you have the space to do so. So if it doesn’t fit inside some part of your Personal Reality that can be used for storage, then that item is only accessible if you bring it out of inactive storage into a Host Reality. This allows you to decide if something like your personal continent will be subjected to whatever nastiness is in a given Host Reality. Anything can be put into inactive storage between jumps.</t>
  </si>
  <si>
    <t>This means that this Perk is Excluded from being Purchased</t>
  </si>
  <si>
    <t>Garage (Fast and Furious) (100 CP)
 You have a nice garage and parts supply. With a few days and some elbow grease, you could basically rebuild your car or cars from the bottom up; you probably have enough parts to keep someone else’s ride running or give it an upgrade, too.</t>
  </si>
  <si>
    <t>Cool Flag With Logo (Skies of Arcadia) (Free)
 Everyone needs a flag. Something to define and symbolize them, and so all in the sky will remember their legacy. It can look like anything, it’s your flag.</t>
  </si>
  <si>
    <t>Anaheim Degree (Gundam UC) (200 CP)
 You have the knowledge (and the paper to prove it to people and shove in their faces to establish superiority) of how to build MS. It’s trickier than it looks, honestly. Weight balances, servo designs, energy reserves-it’s all down to a science and you know how to build the basics. Who knows what you can learn from a bit of hands-on training...</t>
  </si>
  <si>
    <t>Most Holy Order of the Socket Wrench (Fast and Furious) (400 CP)
 You are a master mechanic. Repair and upkeep is nice, but you can go beyond the impossible and improve any vehicle. Take a van and make it beat a supercar? Put NOS injectors on a bicycle (and make it work)? How about something challenging? And anything you can build up you can tear down, too. You’re a one-man chop shop and wiring a car to explode takes but a few moments and some chicken wire.</t>
  </si>
  <si>
    <t>Dwarven Craft (Lord of the Rings) (400 CP)
 You are a master smith, able to singlehandedly run even a large forge. You can make weapons and armor that stand up to hundreds of years of continuous use, and even know how to mine and forge mystical metals such as Mithril.</t>
  </si>
  <si>
    <t>Garment Gloves (Dodgeball) (200 CP)
 These are a pair of pure white gloves. Bound to them is an intelligence with a mind for fashion: a designer, seamstress, clothier, and tailor without mortal peer. It has the ability to scry for fashion based information from international trends to precise measurements. Given materials and orders, it will industriously produce fine apparel, producing any modifications, clothing, footwear, accessories, etc that is within theoretical mortal ability. It has sufficient telekinesis to move itself and to independently suspend materials. It must be provided with materials, though it may be provided a lump sum or budget with which to magically acquire materials at cost. You may wear the gloves to channel the skills (but not powers) of the entity, perhaps even learning from it.</t>
  </si>
  <si>
    <t>Infusionist (Monster Hunter) (600 CP)
 An art form thought lost to the ages and only tangentially unlocked in the rarest of armors, you have discovered the secret to infusing and uplifting weapondry and armor past the typical point even the best blacksmith are capable of taking it. Any weapon that doesn’t have an element can be given one, and any weapon that already has one gets a great boost in power. Any armor that this is used on gets a great defensive boost, both to innate defensive capabilities and elemental resistances. This skill can apply to any weapon you have learned how to create - that blue lightsaber you made decades ago? Bet you didn’t know it had a latent affinity for ice, did you? That high frequencey blade? It now has enough heat to cauterize as it cuts. This doesn’t just apply to melee weapons either - with enough training and focus, you can create bowguns that natively shoot ice or lightning, or gunlances that fire heat beams instead of shells. The possibilities are only limited by your skill and the quality of what you have to work with.</t>
  </si>
  <si>
    <t>Scowl of Sparta (God of War) (Free)
 There are times where you are angry, or disappointed. Like, INCREDIBLY angry or disappointed. However, in these times your face may be expressing maximum dissatisfaction but you must scowl HARDER. That’s why you can have this, on me. When your face does not match the depth of the emotion you are showing, people can get a really good idea of how far you really feel just by looking at you. As a bonus, this will work for you regardless of what form you may be taking at the moment. DISAPPOINTED</t>
  </si>
  <si>
    <t>Dust (RWBY) (Free)
 Dust comes in four basic types: red fire, blue ice, green wind and yellow energy. They can be combined to make new variations.
 After this jump, small amounts of Dust will appear in the Warehouse weekly. Enough for a firefight or two at once. Dust augmentation is found to increase the effectiveness of weaponry and ammunition.</t>
  </si>
  <si>
    <t>Mauler (Command and Conquer: Tiberium Wars) (400 CP)
 You have the skills of a junkyard hound, able to make even the most heavily damaged tech work again. Even machines too battle-damaged for recovery 20 years ago can be effective under your wrench. Repurposing tech and equipment is your forte; you can turn a pneumatic screwdriver into a reasonable cannon, and heaven help your enemies if you get anywhere near mining equipment, as a power-armored mutant is quickly appearing in their future. There was even one time where you made a toaster into a reasonable facsimile of a flamethrower…</t>
  </si>
  <si>
    <t>Magitech (Banjo-Kazooie) (600 CP)
 Your technology and magical powers are always fully compatible with each other. You gain a better understanding of both machines and magic, and are quite capable of using one to supplement the other.</t>
  </si>
  <si>
    <t>Truth (Full Metal Alchemist) (800 CP)
 Choose to lose either of the four. Your voice, your dominant hand, Your non-dominant arm, or your dominant arm. In return you gain the ability to perform alchemy without a transmutation circle and your knowledge of the science is expanded to the point where you have effectively mastered both simple and advanced Formulae.</t>
  </si>
  <si>
    <t>Mantra Training and Techniques (Asura's Wrath) (200 CP)
 You have learned or been taught numerous techniques to focus and express your Mantra, rendered as supernatural martial arts and superhuman feats of agility, durability and so on. Meditative Kata can extend your natural lifespan, heal minor wounds and fight off sickness, while strikes and attacks could shatter walls. This increases your maximum Mantra level by 1.
 As an added benefit, this perk also allows you to create your own personal Mantra Form. Your first form will take approximately five years of study and meditation to fully construct, but when completed, you will be able to manifest an external mantra interface. To most people, it will look like an ornate halo, evocative of your personality and mantra affinity.
 A Mantra Form usually has a core theme, such as improved combat ability, damage resistance, speed or other such boosts. Establishing a form enhances your abilities, even beyond what a given level of Mantra would normally allow. With a mantra form active, you may easily perform superhuman physical, mental and social feats, even before the direct application of Mantra. These stances and techniques however cannot enhance stranger powers such as psychic blasts or arcane magic, short of ensuring you can survive to perform them.
 Successfully creating an initial form and manifesting it increases your capacity for Mantra by 1. Subsequent forms and other perks can increase this cap further, to a maximum of 8. You may use any mantra form you know, but you cannot stack them. Creating a new form takes ten years, times the number of forms you have already mastered.
 Your halos can be attacked however, and if knocked aside or even destroyed. If that happens, you immediately drop down to Mantra Level 3, and any excess Mantra is wasted.</t>
  </si>
  <si>
    <t>Additional Keys (Personal Reality) (50 WP) - Repeatable
 This Access Key Upgrade gives you an additional keys to your Personal Reality. These keys attune to whomever you give them to and cannot be used by anyone other than them or someone they freely and without duress or coercion of any kind allow to use the key. If they lose the key, it will return to them if they are still alive, or to you if they are currently dead. If they die in possession of the key, their body will be transported to your Medical Bay, if you have one.</t>
  </si>
  <si>
    <t>Cells with a yellow fill are free Perks paired with the closest upward non-free Perk</t>
  </si>
  <si>
    <t>The Vehicle (Fast and Furious) (Free)
 This object barely deserves the title of car, at least in your opinion. A Volkswagen Beetle, a Pinto, or a Yugo, this car technically meets all the criteria and is very cheap, but it would take a master mechanic and a driving god to let it rival even the worst other racers can bring to the table.</t>
  </si>
  <si>
    <t>Secret Handshake (Skies of Arcadia) (Free)
 Got any friends? With this, you can perform a secret handshake with them, as intricate as you’d like. It doesn’t do anything, but damn if it isn’t cool.</t>
  </si>
  <si>
    <t>Mass Production Mobile Suit: Gun-EZ (Gundam UC) (Free)
 The GM. The Jegan. The Zaku II. The Gun-EZ. The Den’an Zon. They are not powerful; they are not the best of the best, for they are designed for the common soldier. Everyone starts out piloting one of these, just gotta work your way up. (Or like the higher-up on the faction ladders, just buy a better one.)
 60mm Vulcans: These are usually head-mounted in pairs (and this comes in a pair), but don’t expect to win anything with these- they’re usually used against missiles, small vehicles and fragile equipment like sensors. They can’t even penetrate the armor of a Zaku II.
 Beam Saber: The standard melee weapon even during the OYW, these laser swords can slice through MS armor pretty well- they are swords, though, and getting close to an MS may be the toughest thing you’ll do here. You may also choose instead a pair of Heat weaponry like knives or an axe or a Heat Saber.</t>
  </si>
  <si>
    <t>We Need Reserves (Gundam AGE) (400 CP)
 When you’re fighting a war, you know what you need-you need troops, you need squadrons; you need a fully-armed army. You can’t fight a war without numbers, and so you can modify designs to give you just that-numbers. Your MS production capability will multiply to near 4x levels, with only a negligible decrease in quality. You can also, with time and patience, apply this design philosophy to other products.</t>
  </si>
  <si>
    <t>High-Frequency Manufacturer (Metal Gear Rising) (300 CP)
 A blade launderer, huh? Anyways, you can now make HF blade out of anything you want. Depending on the original craftsmanship of the weapon, it could be good or shit. But if you picked this, you probably have something in mind. Must be a physical object. No lightsabers and the like. Yes, blunt objects can become HF weapons. No, they can’t cut. They only get stronger, and can resist other HF weapons.</t>
  </si>
  <si>
    <t>Sea Snail Shells (Splatoon) (300 CP)
 You have a small breeding population of around 10 Super Sea Snails, large snails with crystalline, conical shells. The snails are hermaphroditic but and they live for around 15 years. They’re more than they seem, though-they provide an invaluable service- Their shells can be used to imbue hats, shirts, and pairs of shoes with extra Ability Slots, or reroll the abilities of a clothing item with 3 full slots. This kills the Sea Snail, but if you’re careful to keep up the population then eventually you might have an entire wardrobe of 3-slot clothing. Also, they’re delicious when cooked right.</t>
  </si>
  <si>
    <t>Felyne Comrade (Monster Hunter) (Free)
 Shortly after arriving in this world, you come across an old wyverian ladey with a backpack easily 3 times larger than herself full of meowing felynes. She insists you take one with you to help you with your chosen journey, but that is the last one she can just give away, she will have to come back with more next week. You may choose your desired color, gender, skillset and species of felyne that will accompany you on your journey, either as an assistant in your forge, a bookkeeper in your trade caravan, a fellow hunter, or simply a wandering lynian attempting to find its place in the world. While most felyne’s skills are dwarfed by even the most marginally competent human, they make up for their shortcomings with extreme enthusiasm and constant effort to get better. Counts as a companion.</t>
  </si>
  <si>
    <t>Attire (God of War) (Free)
 When in Rome! ...wait, wrong place. Ah well, the phrase still holds. You’ll be able to have a a set of Greek or Spartan outfits so that you can blend in more efficiently. It doesn’t have any extraordinary properties, but it does at least help you look the part. Assuming you’re human in appearance... but hey! If you’re a monster, you’re going to be the most trendy monster out there!</t>
  </si>
  <si>
    <t>Variable Weapon (RWBY) (Free)
 It’s a thing that turns into another thing! One gun and one melee weapon, together at last.</t>
  </si>
  <si>
    <t>Scavenger (Squirrel and Hedgehog) (400 CP)
 Thanks to those filthy communists trying to take everything (hypocrisy, anyone?), you’ve had to learn to make do on things. You can get more ’bang for your buck’ on materials and fuels, making machines last longer than they normally should. Furthermore, with crafting and building you know JUST how to use them to reduce your resource requirements. How’s THAT for ’not needing unnecessarily’ you goobers?!</t>
  </si>
  <si>
    <t>Magitech (Thundercats) (600 CP)
 The combination of magic and technology. Magitech creations are rare and difficult to make but they’re also extremely powerful and could easily function after being abandoned for hundreds of years. Some are even capable of trapping and containing souls</t>
  </si>
  <si>
    <t>Alchemy (Gothic) (300 CP)
 You can identify local plants and their properties and create magical potions. Healing and mana potions are the most common on the market, but with some unusual ingredients you might be able to create potions that permanently improve the drinker’s body. You also know how to brew or distill various alcoholic beverages.</t>
  </si>
  <si>
    <t>Resplendent Wardrobe (Asura's Wrath) (50 CP)
 You have access to an unlimited closet or the finest designers of Shinkoku Trastrium, able to properly dress your theotech empowered form in the grandest of styles. Anyone with mantra cybernetics can wear impossibly impractical clothing without any issue.</t>
  </si>
  <si>
    <t>Key Link (Personal Reality) (50 WP)
 With this Access Key Upgrade, you can now close the door while you are in the Personal Reality and use your key in a special podium in the entryway to link your Personal Reality Door to any door in your current Host Reality that you’ve previously used your Access Key on. If you have extra keys, any door opened by any of them can be accessed. You may also use a recall function to bring up a list of all the doors that have been accessed by any key, thus allowing you to follow a Companion should you so desire.</t>
  </si>
  <si>
    <t>Hangar (Ace Combat) (100 CP)
 Sure you might be able to get a fighter plane… but where are you going to store it? You can’t just leave your vehicle to the mercy of the elements, it would cause all manners of damage to the plane and then you might be really in a bind. That’s why if you come out of this with a plane (or end up importing one) you can obtain a hangar bay which has the tools needed to keep the plane in good shape and can stand up to most forms of weather. It can even attach to a property or the Warehouse after your time here should it please you. For an undiscounted +100CP, this turns into an automated hangar bay with heavy arms and equipment to make repairing and moving the plane significantly easier.</t>
  </si>
  <si>
    <t>Analysis (Red Alert 3) (100 CP)
 You can immediately identify any defects in hardware upon casual observation. This is effective on devices, Vehicles, and buildings.</t>
  </si>
  <si>
    <t>Hangar (Gundam UC) (Free)
 This is an addition to the warehouse designed specifically for housing the MS and any vehicles you bought from this Jump, nothing more, nothing less. It does not have space effectively for anything else. You may summon a Mobile Suit remotely, but it will take a minute to launch, a few minutes to travel and you will still have to clamber inside once it lands. The land battleship and cruiser will take much longer, at least 3x as long, probably more, and you cannot call and dismiss them at will- it takes time to reset. 1 day (24 hours) for a Mobile Suit or small vehicle and 3 days (72 hours) for any form of ship</t>
  </si>
  <si>
    <t>Special Attention (Gundam AGE) (400 CP)
 When you’re fighting a war, you know what you need-you need guardians, you need shields; you need a well-armed force. You can’t fight a war with a thousand scratches, and so you can modify designs to increase individual performance and quality-the biggest boon is that this only negligibly increases production times or costs, at the benefit of having much higher quality Mobile Suits. And you can apply this to other designs as well, with time.</t>
  </si>
  <si>
    <t>Bandit Gunsmith (Borderlands) (100 CP)
 You have amazing technical insight and when shown to a pile of broken weapons or energy shields you can use parts from some to reassemble others into decent condition. Don’t expect it to be pretty, but you can nail 15 repeater pistols together to make a functional shotgun, or use bits of five shields to make one that works.</t>
  </si>
  <si>
    <t>Secular Skills (Red Dwarf) (200 CP)
 Through growing up in a society in which religion tried to stem the natural instincts of the cat people towards vanity and good looks, you learned to craft amazing clothes and outfits from the most base materials and tools, and don’t worry they all will look fantastic.</t>
  </si>
  <si>
    <t>Elemental Mastery (Monster Hunter) (400 CP)
 Any elemental properties your weapon carries are significantly amplified by up to 50% depending on the quality of the weapon.</t>
  </si>
  <si>
    <t>Titan’s Blood (God of War) (500 CP)
 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t>
  </si>
  <si>
    <t>Scroll (RWBY) (Free)
 Think a smartphone, with terrible wilderness reception, video camera, messaging and more! Practically a passport for civilized society.</t>
  </si>
  <si>
    <t>Armsthrift (Fire Emblem: Awakened) (400 CP)
 Your weapons just don’t seem to break and you know how to care for them well. Even immensely fragile things are unlikely to break in your care. Guns won’t jam and swords never lose their edge</t>
  </si>
  <si>
    <t>Technosorcery (Gargoyles) (300 CP)
 Combining magic and technology is a no brainer for you. You can handily blend the two to create amazing effects like broadcasting spells over telephone lines or melding creatures together through sorcerous surgery. Very little in the field of technomagic is beyond your reach with this skill.</t>
  </si>
  <si>
    <t>Alchemy (Castlevania) (300 CP)
 Through careful experimentation and research, you’ve gained understanding of the true nature of God’s creation of the world. You may now utilize a lesser form of this art to create items of power, ranging from potions and charms to powerful weapons to drive back the forces of evil. You also understand the basics of a darker form of this art, enabling you to understand and counter evil rituals.</t>
  </si>
  <si>
    <t>Synchronicity Event (F.E.A.R.) (300 CP)
 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
 *Synchronicity Event boosts psychic powers from outside this setting by a decent amount. It’s nothing like Alma, but it’s a decent boost. At the same time, you may also unlock the following abilities:
 -Taking ’Feel It Out’ increases your understanding of technologies and different items, dramatically cutting down the time needed to analyze the object in question and improving defenses should any psionic traps be laid. You can also ’attune’ objects to better channel psionic abilities and become a powerful focus for them.</t>
  </si>
  <si>
    <t>Portal (Personal Reality) (300 WP)
 This optional extra removes the need for use of Access Key, instead allowing you to open a rectangular or circular portal that leads into your Personal Reality on any flat surface big enough to encompass the portal. You can open the portal on any surface you are in contact with or that your vehicle is in contact with... or that your vehicle will be in contact with in less than 5 seconds and within 100 meters if you don’t open the portal. The portal can be any size between 8 square meters and 80 square meters. The portal opens to the same place in your Personal Reality as the Door does and you may still use your Access Key if you want to open a door larger or smaller than the limits of the Portal. Any Companion with a copy of the key may also open such a portal. These portals open at their lowest size instantly and expand at the to maximum size over 10 seconds. This portal cannot be closed while you are inside your Personal Reality. Portals will slowly close over a period of 3 minutes if you leave them open and move more than 10 meters from one without closing it yourself, as long as you are outside your Personal Reality. This closure effect can be disabled, but you can’t open a portal if another is open.</t>
  </si>
  <si>
    <t>Basic Flight Training (Ace Combat) (Free)
 If you couldn’t fly before, you have a basic idea of how to fly a plane now. You know how to maneuver the joystick properly, which button fires the missiles, and how to properly land a plane without creating a multi-million dollar pile of scrap. It won’t save you if you dive into a massive swarm of planes all by yourself, but you can learn.</t>
  </si>
  <si>
    <t>Whispered (Full Metal Panic) (600 CP)
 Due to a Soviet experiment a while ago, you’re one of the exceptionally rare people known as the Whispered. they have an incredibly advanced knowledge of math, science, engineering, etc though each Whispered only specializes in a single area. If they take the time to learn or supplement this with other technical skills, it’s possible to potentially create Black Technology of their own.</t>
  </si>
  <si>
    <t>I Like ’em Big (Gundam AGE) (200 CP)
 Your pace continues into your preferences in MS design-along with some basic knowledge of ‘Right, so I take this bolt out and everything falls to pieces without it. Don’t touch it.’ in your head, you can make upgrades to Mobile Suits that revolve around extra armoring and utility-making replacement parts cheaper and easier to install, reinforcing plates and glass, and generally making a unit tankier and sturdier.</t>
  </si>
  <si>
    <t>Savvy Sultan (Macross) (400 CP)
 When people think of building things, they think of you. Provided you had the resources and the understanding of the technology, you could construct all manners of machines in a fourth of the time it would normally take. By yourself. You’re no slouch with any of your tools either, wielding them with the precision of a machine with no loss of speed. Quality and a deadline? No problem.</t>
  </si>
  <si>
    <t>Smithing (Wakfu) (200 CP)
 You know how to make weapons and armour from all sorts of raw materials. From scarabug wings to Blibli Tusks and Gobball hooves, you can turn just about anything you’d find in nature into genuine combat equipment! The more powerful the creature it came from, the stronger the equipment will be.</t>
  </si>
  <si>
    <t>Profession: Tailoring (World of Warcraft) (300 CP)
 Sew cloth armor and many kinds of bags using dye, thread and cloth gathered from humanoid enemies during your travels. Tailors can also fashion nets to slow enemies with, rideable flying carpets, and magical threads which empower items they are stitched into. Zen Master: At this level you’ve mastered everything from basics to advanced. Additionally you’ve expanded your knowledge of the profession beyond the mastery of both basics and advanced stuff to complete understanding of it. At this level you’re on even playing field with top 1% of your profession. Should you write down your knowledge it would easily be considered a work of art in that field.</t>
  </si>
  <si>
    <t>Balance Bangle (Monster Hunter) (Free)
 A simple leather wristband depicting a Rathalos and Tathian chasing each other’s tails, vaguely reminiscent of a yin-yang. Comfortable, unobtrusive, easy to remove, and can’t be lost or stolen. While it is worn, all offensive and defensive supernatural skills and abilities you have acquired throughout your journey that have not been purchased from your current adventure are sealed. This does not affect passive or intrinsic skills, such as eidetic memory, intelligence or willpower boosts. Meanwhile, your physical attributes will be reduced and/or equalized to a point at the apex of your chosen species. While it is on, you may speak a programmable code word or phrase to temporarily disable the sealing effect (default phrase is ’OH SHIT!’) and re-apply it at will afterwards. If you seek a challenge or simply wish to live the true Monster Hunter experience, look no further.</t>
  </si>
  <si>
    <t>Technical Expertise (Iji) (100 CP)
 You’re pretty damn impressive when it comes to all sorts of technical applications. With this, you can better modify your own weaponry, armor and augmentations. Or just be creative and accomplish tasks like rigging an elevator to catapult it’s occupants into the ceiling, turning them into paste. Fun!</t>
  </si>
  <si>
    <t>Cybertronian Forge (Transformers) (600 CP)
 Somehow a good portion of your warehouse is now a mini cybertronian factory. This automatic factory prints out Cybertonium, a material that Transformers bodies are made out of. This is a room temperature super conductor and is the basis of all Cybertronian technology. It also functions as a 3D printer, but its programming is blank ready for input.</t>
  </si>
  <si>
    <t>The Honed Edge (Pocky &amp; Rocky) (100 CP)
 With just a bit of time and polish you can restore any blade to its true sharpness, as if it were just crafted. Rust and tarnish to away with ease as well. Your tools and weapons are always in the best shape. SOME effort does need to be put into this care of course</t>
  </si>
  <si>
    <t>Moon Tech (Okami) (400 CP)
 While you aren’t granted a full of understanding of everything the Moon Tribe could do, you’ve been blessed with the basics, including the method to make the metal used in their constructions, and an intuitive understanding of the way the machinery functions. For the most part, the inner workings are mostly a mystery, though what is known is that they can run infinitely on their power source and are controlled by the spirit or divine power of the user. Examples of the greatest of their technology includes Yami’s nearly unbreakable transforming robot body, a machine that generates freezing blizzards, and spaceships. Lesser works include most non-divine creations in the item section. This talent could quickly grow into so much more if you could only get your hands on enough Moon Tribe relics to experiment with or an expert to learn from. Indeed, this is all promised to you by Yami, along with dark power unending and rule in Nippon if only you swear fealty to him and devote yourself to his goal. After all, he has already granted you so much, and without even demanding your loyalty. As a bonus, Yami will even throw in the right to manifest his markings on your body. In appearance, they’re simply a blue mirror of the celestial markings worn by Brush Gods. Try not to show it off to those few who’ve dealt with him before, as none will hesitate in slaying an agent of Yami. I’ll leave the choice up to you.</t>
  </si>
  <si>
    <t>Alchemy (Banjo-Kazooie) (100 CP)
 You are incredibly capable at mixing together mundane ingredients to create effects that can only be described as magical. For a short time, these potions can create temporary copies of you, turn you invisible, or give you shielding.</t>
  </si>
  <si>
    <t>Portal Link (Personal Reality) (300 WP)
 This Portal Upgrade allows you to open a portal from inside your Personal Reality leading to anywhere in the current Host Reality that you’ve already been to. With this upgrade, you can now close the Personal Reality Door or Portal while inside your Reality and may open up to two portals at a time. Purchasing this does not include Key Link.</t>
  </si>
  <si>
    <t>Missile Surplus (Ace Combat) (Free)
 Well this is odd. Any plane you pilot seems to hold an unnatural number of missiles for its type, far more than it should. You’re not sure where it’s getting this many missiles, but you’ll have to restock them if you run out. The same thing happens with special weapons, though you have to have a working model to attach if you want to swap it out. The standard number of missiles thanks to ’Missile Surplus’ is 150 missiles on a plane, barring any differences depending on the description of the weapon.</t>
  </si>
  <si>
    <t>Machines, They Just Speak To Me (Firefly) (200 CP)
 You have no formal schooling, but can fine-tune and repair engines with nothing but shoe polish. You don’t know what the parts are SUPPOSED to do, but you know how to make them work the way you want. You can diagnose a faulty part in the power core just by listening to the AC cycle, and can fix pretty much anything with naught but a wrench and some duct tape. It may not be pretty, and it may not last long, but it’ll work.</t>
  </si>
  <si>
    <t>Could Stand To Lose A Few Pounds (Gundam AGE) (200 CP)
 When it’s out in the cold expanses of space (away from that damn plotradiation), nothing counts more to you than having a well-toned machine. With some basic knowledge of ‘Alright, I can’t make this any thinner or it snaps like stressed knockoff plastic’, you can make upgrades to Mobile Suits that shed crucial weight, making them faster, sleeker and more humanlike in motion-cutting what you can and generally making things more able to dodge, bob and weave.</t>
  </si>
  <si>
    <t>Shipping the Product (F.E.A.R.) (400 CP)
 Prototypes are one thing, but what about actually getting the damn thing distributed? An item or weapon doesn’t help anyone if it’s the only one of its kind. You will find your ability to create has increased dramatically in efficiency, letting you use the materials for three of the same items to actually make five while streamlining production lines rather quickly. As a bonus, logistics have increased enough where your shipped supplies are harder to intercept, keeping any allies you have fresh with resources!</t>
  </si>
  <si>
    <t>Tempered Soul (Soul Calibur) (300 CP)
 You gain a innate gift for forging high-quality weaponry. The weapons you create do not appear crude in any sense of the word, and in time your skill might cause your functional weaponry to be confused for elaborate display items.</t>
  </si>
  <si>
    <t>Fashion Nonvictim (The World Ends With You) (200 CP)
 For you, there is no such thing as suffering for the sake of fashion. As long as you wear fashionable clothing, you will always be perfectly comfortable no matter the weather. You can make ill-fitting clothing look good on you with a couple subtle pins in the right places, and it’ll always be comfortable no matter how big or small it is. Even in the thick of battle, you will be no worse off for your lack of armor- So long as you wear a single piece of armor, like a shoulderpad or gauntlet, your clothes will protect you as if they were a suit of armor made of the same material.</t>
  </si>
  <si>
    <t>Starter Weapon: Bone Rod I and Mauldrone I (Monster Hunter) (Free)
 It would be needlessly cruel to throw you into this dangerous world unprepared. Here, this one is on the house. You may pick any on basic Rarity 1 starter weapon (bone or iron) of any type. Hunters get 1 of each type of basic starter weapon for free. Bone weapons have higher base damage, but relatively poor sharpness, while the inverse is true for iron weapons.</t>
  </si>
  <si>
    <t>Remodelling (Medaka Box) (600 CP)
 You can remodel living or inanimate things through training, surgery, drugs or other scientific methods. Through this you can improve their efficiency or bring out their true potential. It can bring out powers that are dormant within you, but not create new ones.</t>
  </si>
  <si>
    <t>Science! Mechanics (Transformers) (100 CP)
 Your programming is focused on either Mechanics, Medical, or a field of Science (Pick One), this gives you equivalent of a Cybertronian PHD in that field of study.</t>
  </si>
  <si>
    <t>Robust Engineering (Dune) (300 CP)
 Ten thousand years of stagnation in technology is a very long time... and now you know how to apply the lessons of those millennia to the construction of anything you have. Mass production does not exist any longer and even relatively common items are made as if masterwork quality, because aside from obvious cheap items, they have been built to last longer than the person using them. Expect anything you construct by hand to be able to last centuries, as long as you take a little extra time while you make it. With the amount of time you’re going to be around... you may need that sort of quality.</t>
  </si>
  <si>
    <t>Digitized Sorcery (Fate/Extra) (600 CP)
 The Magi of old had to adapt, converting the dying system of magecraft into something that could be used to their advantage within the Moon Cell. The results of their efforts are the Code Casts, a digital version of magecraft. Much like them, you can now convert magical systems into a technological variant. This will not be instant and will require a fair amount of research for you to accomplish, but it would let you find a new side to existing systems you possess.</t>
  </si>
  <si>
    <t>Mixing Mixtures (Banjo-Kazooie) (200 CP)
 Your created potions can bestow multiple effects you know, however mixing too many might cause surprises. You can Reliably mix up to a dozen elixirs without them interfering with the effects of each other.</t>
  </si>
  <si>
    <t>Blessed By The Gods (MCU) (300 CP)
 Asgard is a wondrous place, you know. Existing for thousands of years, with advanced magic and technology that would see them rise to become a city of gods... it is little wonder that they are both feared and praised throughout the Nine Realms. The royalty however, has a penchant for adopting strays if Loki is any indication. You have been likewise adopted by Odin and raised as a member of the royal family to be great like them. Not only have you been augmented by Asgardian magics to a truly attractive state that you would feel qualifies as an appearance booster, but you display a great willpower and determination to see your goals and plans through with a very strong learning aptitude to absorb information like a sponge beyond even Tony Stark as befitting of Odin’s adoptive child.
 -Taking ’Retro Engineer’ gives you insight into Asgardian theories in using magic in the creation of technology seamlessly, and the utilization of magic in scientific theories and technology. This allows you to make great leaps in using magitech, and eventually learn the inner workings of Asgardian ’technology’ to create works like the Bifrost or enchanted weapons that can focus abilities through them.</t>
  </si>
  <si>
    <t>Additional Portal (Personal Reality) (100 WP) - Repeatable
 This may be purchased multiple times</t>
  </si>
  <si>
    <t>Comm Chatter (Ace Combat) (Free)
 While an important part of war is knowing what your opponent is up to, sometimes it’s good for puffing your ego up too. For whatever reason, your radio will occasionally catch communications being broadcast from the enemy. This can range from important information to wild surprise at your antics. Not too useful, but good for knowing how you’re doing.</t>
  </si>
  <si>
    <t>Analysis (Adventure Time) (300 CP)
 You have the skill and insight to make powerful analytical tools. Such tools are capable of showing you the physical makeup of the things you come across, detect magic and alert you to hidden doorways.</t>
  </si>
  <si>
    <t>Mechanic (Fast and Furious) (100 CP)
 Machines, especially ones that go fast, just speak to you. You have no problem fixing up and tuning any motor vehicle, and can rebuild them after the most devastating crashes. You can keep anything in top condition with just a few simple tools. Of course, you also need to understand the electronics, so hotwiring cars (and sometimes, alarm systems) is not a problem either.</t>
  </si>
  <si>
    <t>Build Rome (Gundam: After Colony) (600 CP)
 You have a thing about building things-you’re damn fast, and you’re damn good. They say you can’t build 10Mobile Suits in a week? Hah! You’ll build twice that much and you’ll build them to last! You simply have utter talent in the way of making things quickly-enough to double production, maybe even triple production if you work at it enough, and they’ll come out with no loss of quality. In addition, these constructions will last-barring sudden disaster and similar, they’ll easily last several decades of constant abuse, and if they’re upkept and repaired they could even last centuries with no troubles.</t>
  </si>
  <si>
    <t>Blacksmithing (Golden Sun) (200 CP)
 You gain understanding of Weyard blacksmithing. While skilled in smithing typical metals, you also learn how to use strange and magica lmaterials to forge powerful enchanted weapons, equipment, and artifacts. Power is decided by your personal skill, the magic of the material involved, and the quality of your forge. Items created with materials from Weyard typically require the user to be an adept to tap into their strength.</t>
  </si>
  <si>
    <t>Flaw - Doormat (The World Ends With You) (Free?)
 The Reaper’s Game, above all else, is about personal growth. Only those who grow as a person and improve themselves are capable of freeing themselves from the game forever. Of course, in order to improve yourself, you have to have something to improve on. Here’s a little help.
 Doormat - Put simply, you’re unassertive. You speak quietly, and it’s easy to push you around - You generally go with whatever someone tells you to do, even if it’s not really in your best interests, and you rarely come up with ideas on your own. Your partner will probably get tired real fast of having to tell you to do everything.</t>
  </si>
  <si>
    <t>Maliwan Intern (Borderlands) (200 CP)
 At some point, you got lucky and figured out how Elemental Weapons really work. You know how to use them to best effect, allowing you to set enemies on fire regularly, melt people with acid bullets, and have ALL kinds of shocking adventures with electrical ammo. If you have any technical training, you can even jury-rig ways to apply elemental effects to other weapons, as well.</t>
  </si>
  <si>
    <t>Glove of the East (Binbougami ga) (300 CP)
 This hand of mine glows with an awesome power! It’s burning gri-... oh! Sorry, wrong show. This single glove comes in any color and style, and is actually quite useful! You can channel your spiritual energies through it to help you with mundane tasks; your cooking might turn out excellent, cleaning takes less work for better results, and massages work WONDERS when you hit those points. If you channel a LOT of spiritual energy, you might even imbue items and equipment to improve them and be more receptive to your spiritual/chi powers! Heart symbol optional.</t>
  </si>
  <si>
    <t>Science! Engineering (Transformers) (100 CP)
 Your programming is focused on either Mechanics, Medical, or a field of Science (Pick One), this gives you equivalent of a Cybertronian PHD in that field of study.</t>
  </si>
  <si>
    <t>Built to Last (Assassin’s Creed) (300 CP)
 Whatever you personally build, be it handheld or architectural, becomes nigh-impervious to weather, rust and time. If it gets lost or buried, you can ’feel’ it out too!</t>
  </si>
  <si>
    <t>Crystal Mechanics (Final Fantasy Type-0) (100 CP)
 The ByakkoCrystal’s blessing revolves around the synthesis and comprehension of technology using magic. After all, sufficiently advanced technology is no different from magic. You can understand the workings of advanced technology after tinkering around with it a bit. You can also replicate technology you seeby using magic, but until you’ve attempted it countless times, the end product always seems to feel a bit...lesser in comparison to the original.</t>
  </si>
  <si>
    <t>Alchemy (Samurai Jack) (200 CP)
 The ancient science of mixing specific ingredients and then infusing them with natural energy. You know how to make a wide array of potions with both beneficial and harmful effects.</t>
  </si>
  <si>
    <t>Spectre (Mass Effect) (300 CP)
 Special Tactics and Reconnaissance are agents entrusted with extraordinary authority by the Citadel Council, including the power of life and death over the inhabitants of the galaxy. They form an elite group selected from a number of different species, and their primary responsibility is to preserve galactic stability by whatever means necessary. Though they are generally considered as being above the law and have complete discretion as to the methods used to accomplish their mission, an individual’s status as a Spectre can be revoked by the Council in a case of gross misconduct. Having this makes you slightly more permanently charming and intimidating since Spectres are in equal parts romanticized and feared. It also gives you access to training that only Spectres receive. The result being that it gives you a true mastery of your chosen specialization(s). To the same extent as Military Specialization. All of your gear gets upgraded to match your status. You’ll be walking around with over ten million credits worth of gear. Only the best of the best. Your exceptional nature acts as a capstone booster for some of the 600CP perks.</t>
  </si>
  <si>
    <t>Portal Control Rod (Personal Reality) (200 WP)
 This Portal Upgrade gives you a special device very much like a laser pointer that can be summoned instantly into your hand. Instead of having to directly physically touch a surface to open a portal, all you need do is point at any appropriate surface and a portal will open at that location. To make a bigger portal, simply hold down the activation button longer. Handy if you’re running a kidnapping ring. The Rod works at up to 10 kilometers distance.</t>
  </si>
  <si>
    <t>Flight Suit (Ace Combat) (Free)
 When taking off, an important requirement of being in a plane is a flight suit so that the G-forces don’t make your organs explode. It sounds silly, but you’ll be lucky you had it. So, have a nifty flight suit to help keep any pressure issues down while you’re in the sky, on the house. It can come in any color you wish with a snazzy helmet to boot, ensuring that you’re the most glamorous pilot in the sky.</t>
  </si>
  <si>
    <t>Engineer (Halo UNSC) (200 CP)
 Yet by understanding the nature of computer systems, wouldn’t it be prudent to understand the technology those systems command? After all, what if you found yourself needing to recalibrate a Magnetic Accelerator Cannon or repair one of the dangerous Shaw-Fujikawa Translight Engines that makes faster-than-light travel possible? What if you found a cache of human weaponry that could be used if someone managed to repair it? While you don’t have the skill to create something as complex as a Shaw-Fujikawa Translight Engine, you’ll know your way around it just like much of Humanity’s 26th century technology. You might even figure out how to make small improvements to the technology if you had the time to sit down and look it over. Hopefully the Covenant give you that time.</t>
  </si>
  <si>
    <t>Valuable Memories: the construction of Megadei (Big O) (300 CP)
 You have knowledge related to any particular concept-the construction of Megadei, the nature of memories, Bigs, or the creation of chimeras. Paradigm will have a vested interest in you and will protect you and provide you with funds if you work for them.</t>
  </si>
  <si>
    <t>Workaholic (Sonic) (300 CP)
 Sometimes you wonder how some geniuses are able to build entire armadas within days or weeks of their last defeat. You become a walking factory of production. Building in masse is something that comes without issue to you. That one bot that took a week to build? Now that one bot is now 5. Or roughly 3x the size it was before. How do you even have the resources to build so much you say? The hell if I know.</t>
  </si>
  <si>
    <t>Customized Weapons (XCOM) (100 CP)
 You know that efficiency is number one, because waste is a thief. You know how to make the best designs better, and will ensure that the equipment in use is ergonomic, streamlined, and efficient.</t>
  </si>
  <si>
    <t>Revival OR Reaperdom (The World Ends With You) (Free?)
 Revival (The World Ends With You) (Free- Revival)
 Depending on what personality flaw you took, if you elect to press through and defeat it instead of becoming a Reaper you will earn an exclusive perk based upon your personality flaw.
 Doormat | Mental Fortress - Your sense of individuality and self is so strong that invasive influences find your mind impenetrable. Whether it’s Mind Control, Emotion Manipulation, Thought Reading, or any other kind of mind-messing mojo - You are the sole master of your own psyche. You can also see through outside manipulation and illusion more easily. Your art becomes famous for its originality and unique style, whatever you decide to apply this to.
 Reaperdom (The World Ends With You) (Free- Reaper)
 Or, instead, you can take the easy way out and make a bargain for power. Reaperdom comes with a number of benefits: First, you can now attune yourself to the UG or the RG as you see fit. When you’re attuned to the UG, black skeletal wings manifest from your back. Attuning yourself to the UG makes you invisible and intangible. Attuning yourself to the UG also amplifies the power of your Psychs. Secondly, you can now fight Noise (or Players) on your own using a shadowy projection. You will be able to operate both bodies independently without confusion. However, it comes with a big caveat: Your continued existence depends upon the erasure of Players. If you don’t erase any Players, then you will fade from existence after a week - So you must kill at least one Player in order to keep yourself alive. Considering that Reaper’s Games might take place weeks or even months apart, it’s generally a good idea to erase mulitple players to "bank up" your timer. If you leave this world to go to another, then you will not need to kill people to sustain yourself, but you will need to kill people to access your Reaper powers. One kill will give you access to your powers for a week. These kills can be acheived directly or indirectly - So long as people died because of your actions, then it counts.
 You also get access to exclusive Reaper perks
 Pin Creation (The World Ends With You) (Free- exclusive Reaper)
 You have unlocked the secret of creating pins. You can make custom pins with your own art on them, with the psych of your choice attached to them. You can still only use psychs you have purchased, but the pins you make will invariably be more powerful than anything you can buy.</t>
  </si>
  <si>
    <t>Enchantment? (Dragon Age) (400 CP)
 That’s odd, you seem to understand the process of inscribing lyrium runes on items, to add or enhance properties. Without lyrium, enchantments are temporary.</t>
  </si>
  <si>
    <t>Synchronicity Event (F.E.A.R.) (300 CP)
 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t>
  </si>
  <si>
    <t>Master Builder (Transformers) (400 CP)
 You’ve been programmed with mastery of Cybertronian science allowing you to jury-rig any tech you see, as well allowing you to quickly build even the most complex Cybertronian tech within a reasonable time period. Smaller devices are almost instant, larger devices take some time and more components. However with enough material you can build a temporary space bridge. Despite your mastery of Cybertronian science, creation of a Spark and therefore intelligent life, organic or inorganic is beyond you.</t>
  </si>
  <si>
    <t>Salvager (Babylon 5) (300 CP)
 When the ore runs out and the company tells the miners to leave, that’s where you really shine. It’s cheaper to leave gear to rot in an abandoned site than it is to get it into orbit, across the galaxy and set up again so there’s always something good just waiting for a new owner. With this skill you are an expert at jury rigging tech, taking it apart, stripping out the usable parts and putting them into something else. With time and effort you can puzzle out the workings of most technologies and how to integrate them into your own gear. Every day or industrial equipment might take a few moments, but bleeding edge gear will take years, even decades to understand.</t>
  </si>
  <si>
    <t>Arcane Interface (Storm Hawks) (400 CP)
 While many places and inanimate items are magical, magic itself normally requires a living thing to evoke it. Not so with this perk. You gain insight into creating a technological interface for magical items so that people not versed in magic can pick up and use them. Send a golem instruction through a PDA, or activate a portal with a TV remote. For those capable of magic, this Perk also gives insight into designing spells that manipulate technology, such as conjuring complex machines or altering computer data.</t>
  </si>
  <si>
    <t>Alchemy (Valkyrie Profile) (400 CP)
 At its most basic, alchemy is simply the creation of magic concoctions and items with a range of effects, from the mundane, such as healing items and exploding liquids, to the horrifying and illegal, such as the much feared Ghoul Powder that turns the living into mindless demons. From there, many alchemists learn the difficult and resource intensive formula for altering one material into another, and that’s where their knowledge ends. But the true potential of alchemy is that it holds the ability to manipulate life, much like necromancy manipulates the dead. With the right knowledge, an alchemist can experiment and create horrible monsters and abominations, even imbuing them with magic and other mystical abilities, or even create a perfect simulacra of human. The one thing outside of Alchemy’s power is the creation of souls, so their creations may be alive or even think, but they don’t truly feel the way a natural creature would. There’s nothing preventing an alchemist with knowledge of other disciplines from transferring a soul into an empty vessel, however. On the other hand, there is much more to to alchemy that nobody has yet uncovered, and further research can uncover further uses of alchemy.</t>
  </si>
  <si>
    <t>Box-tech (Metal Gear Solid) (400 CP)
 Cardboard boxes that can produce a smoke cloud? Check. Poison Cigars? Check. A mine-detector the size of a Walkman? Check. Building the sort of gadgets that MGS protagonists rely on is your thing.
 From A New Age of Warfare:
 With Box-tech you can apply these cutting-edge technologies to combat-ready gear, creating things like man-portable Railguns and Stealth Camo.</t>
  </si>
  <si>
    <t>Free Portal (Personal Reality) (100 WP)
 This Portal Upgrade removes the limitation on a portal having to be opened on a flat surface... or on any surface at all. It also allows you to open the portals to any part of your Personal Reality simply by picturing where you want the portal to open. Without the Control Rod, the portals must be opened within 2 meters of you.</t>
  </si>
  <si>
    <t>4th Generation Fighter Plane (Ace Combat) (Free)
 These planes have been around for some time now, and as a result some would consider these particular planes to be outdated. It’s not the most advanced machine in the sky, but it will get the job done when you need it. Whether it’s an MiG-29OVT, an F-18, Su-27 or something else, you can be given a 4th Generation Fighter Plane to do your work and achieve what you need to achieve. Show them that the old ways still work.</t>
  </si>
  <si>
    <t>Standard Neural Interface (Halo UNSC) (Free)
 As the requirements of war and militarized technology moved forward, the requirements it puts upon its soldiers was likewise changed. This is one such example, being a brain implant that all members of the UNSC obtain upon entering service. It carries a multitude of functions, integrating with armor worn to provide a heads-up display directly into one’s optic nerve instead of on the helmet screen while providing an IFF tag for allied soldiers. Such implants are small enough that there is no visible signs outside the body, and sometimes people have forgotten they even had it until its functions come up.</t>
  </si>
  <si>
    <t>Valuable Memories: the nature of memories (Big O) (300 CP)
 You have knowledge related to any particular concept-the construction of Megadei, the nature of memories, Bigs, or the creation of chimeras. Paradigm will have a vested interest in you and will protect you and provide you with funds if you work for them.</t>
  </si>
  <si>
    <t>Researcher (Age of Mythology) (400 CP)
 You are far faster at designing and discovering new technologies. Inspiration and breakthroughs hit you far more often</t>
  </si>
  <si>
    <t>Weapon Crafting (Devil May Cry) (200 CP)
 Alright, so you fancy yourself a weapons dealer, huh? Well now you know the ins and outs of every single tool made for killing that you get your crafty little hands on. Swords, handguns, axes, sniper rifles, spears, rocket launchers, it’ll all come naturally to you, and you will be able to create these weapons or even improve them with your own custom designs. And to make it even a better deal, you know how to modify a weapon to have unlimited ammunition capability. So go nuts, buddy. You’ve earned it.</t>
  </si>
  <si>
    <t>Fashion (Highschool of the Dead) (200 CP)
 Your clothing and entire body acquire defensive properties equal to the most superior protective items you have currently equipped. Emphasis on protective item- an iron or steel ring won’t give you metal-tough skin- the minimum is things like knee pads from extreme sports, helmets- even an apron would count, though all that’d do is protect you from the dangers of a kitchen...</t>
  </si>
  <si>
    <t>Lesser Magicks (Lone Wolf) (700 CP)
 These are the beginning magicks of the Shianti. ShiantiOrigin who select this ability can choose four skills off of this list after paying the cost of the perk. Non ShiantiOrigin can choose three after paying the cost. Additional skills are 100 CP per skill beyond the number allotted by your origin. Using the Moonstone will enhance the strength and utility of spells from these disciplines.
 Sorcery–This power allows a wizard to transform his thoughts and desires into magical energy. Focusing your energies will allow you to create magical shields or move objects. 
 Enchantment–Enchantment enables a wizard to charm or beguile other creatures, and create illusions in the minds of others. 
 Elementalism–Minor control over the natural elements of Air, Fire, Earth, and Water. Using this ability requires a trance state. Also, spirits of the Elemental Plane may not understand your request and might answer your call for aid in the manner you did not intend. 
 Alchemy–The ability to create potions and solutions to effect objects and individuals. 
 Prophecy–Through the use of a meditative state, a wizard can foretell the future. The clarity of the foretelling is tied to the wizard’s knowledge of the object or individual in question. Asking about someone or something you know will give more detail than someone or something unknown.
 Psychomancy–The ability to see and read the past by laying hands on an object. Results may be cryptic, and magic can be used to create intentionally misleading results. 
 Evocation–The ability to contact the spirit realm and speak with the dead. Spirits communed with may be hostile, requiring the wizard to ward himself, and spirits will require the wizard to perform a task in exchange for any aid rendered. Failing to accomplish the agreed upon task may result in the wizard losing his life.</t>
  </si>
  <si>
    <t>Soul Smith (Dark Souls) (300 CP)
 Well for one, this makes you a pretty good blacksmith with an emphasis on repair, able to repair most normal weapons, armor and trinkets with the right materials and a bit of time. You’re also pretty good at forging and upgrading normal weapons and armor. There is more to this craft than you would first think, as Smiths in this world are capable of several unique acts .In this land, smiths can use special stones to imbue weapons with various types of power, such as Fire or Lightning, during the forging process. Given enough time and practice, they can even forge powerful souls into their handiwork to create unique and often times powerful equipment. While this skill doesn’t make you the best in the world at this craft, it gives you a solid foundation with room to improve.</t>
  </si>
  <si>
    <t>Parahuman - Tinker - Miniaturization and Efficiency (Worm) (400 CP)
 It seems that you’ve triggered, and gained some rather impressive powers. This is optional, you can go without becoming a parahuman if you wish. Although that means you won’t be getting any impressive new abilities to help keep you alive in this world. You can only have a single parahuman power. Powers adapt to whatever capabilities you already have. Taking them into account and ensuring you can use your parahuman abilities in sync with them. Assume any potential incompatibilities are handled appropriately to allow a power to still perform its intended function. All powers may be toggled on or off, and you understand their nature and how to use them instinctively, if not necessarily all the different ways they could be applied creatively.
 Tinker: Whereas other parahumans get the power to do incredible things, Tinkers get the ability to build incredible things. Tinkers essentially have a database of extremely advanced scientific data and technology in their heads, letting them build and create things far ahead of their time. This data follows a certain theme, whether that be bombs, efficiency, vehicles, or otherwise which defines what their power lets them build and work with. Tinkers need resources, time, and effort to do what other parahumans can do casually, but they are incredibly adaptable, able to show up to the next fight able to completely shut down opponents that were untouchable in their last encounter, all because they can build the right tool. Within their specialty a Tinker can build nearly anything they can imagine. Tinker abilities seamlessly integrate any such knowledge of technology and science you possess, meaning you don’t have to make any extra effort to use your powers along with any other tech based perks you might have. The knowledge you gain is basically the collected science of hundreds of advanced civilizations within your area of expertise. You don’t necessary have the capability to process and sort through it all at once, but your power will continue to feed you data and knowledge relevant to your endeavors and what you’re building.
 Miniaturization and Efficiency - You can miniaturize anything down to levels that any sane man would consider impossible. A fusion reactor the size of a watch battery would be the absolute minimum of what you are capable of, and you’d be able to make it far smaller than that. Your power also makes you a master of technological efficiency, anything you make needing barely any energy to run compared to what it should and continue to do so for a very long time. These specialties also make you a master of nanotechnology and similar pursuits. Of course you aren’t barred from building something big like a giant robot, just that it’ll be impossibly efficient and crammed full of more weapons and subsystems then should be possible.
 After this jump any powers are now part of you instead of your shard/passenger, and its connection is severed completely. All other shard limitations are released, even if you stay, letting Tinkers mass produce their tech, precogs see the Entities and Endbringers, etc. This doesn’t enhance your power, only removes things like the Manton Limit that held it back before. The same applies to your companions and anyone you bring with you.
 The inability of other people to properly maintain Tinker-Tech is simply because a Tinker’s shard is hard coded to make it so anything they build is too complex and advanced to learn how to properly do so in any reasonable time frame. Like trying to teach cavemen how to build and maintain modern day computers. A Tinker completely understands the science behind what they have built, but would have to write a massive document to properly explain the maintenance procedures. After this jump this is no longer a problem and you can make things that are easily maintainable and mass producible by others, with the caveat that it doesn’t do away with the normal issues of trying to do so. Like said caveman example up above. You can design things to make it much easier, with your power helping instead of hindering.
 Tinker abilities give you an insanely large and advanced database of scientific knowledge and superhuman skill at employing it, all within their specialty. Your power will always mean that within this field you’ll learn, innovate, and improve in superhuman ways, growing beyond what you start with. This scientific information can be spread and taught just like anything else you know, others simply don’t have your impossible skill and talent at it.
 It’s up to you on how powers budding off works in your jumpchain. Whether they do, or don’t, or there are limits to it. You don’t personally control this, but you can fanwank whatever you want. Your Jumpchain, not mine. For those of you who aren’t familiar with Worm, people close and somehow important to a parahuman will have what is known as a Second-Gen Trigger. Unlike First-Generation triggers these only require very little stress, and result in powers that are similar if different to the original parahuman. A single Third generation trigger was confirmed in canon, happening to a five year old.
 Powers do grow with time and use, but this only expands already present parameters, it doesn’t allow the development of new ones. Range, area, precision, strength, etc all increase, but your power only does what it could always do better, not gain entirely new capabilities. For example Skitter’s range for her bug control expanded with time, she learned to comprehend more of her bug’s senses properly, and her bugs began acting with perfect coordination to her desires with nearly zero effort on her part.</t>
  </si>
  <si>
    <t>Crimson Weapons (Etrian Odyssey) (300 CP)
 When you look at the various giblets you carve off of the monsters of the labyrinth, you find many of their parts are suitable for crafting weapons and armor. In fact, they’re usually outright superior to regular materials. With time and effort, you could make just about anything you pry off of a monster into something useful. You could turn a lion’s claws into a wicked-sharp sword, or a pair of horns into an excellent bow.</t>
  </si>
  <si>
    <t>The Magic of Science (The Witcher) (600 CP)
 You can resolve the issues between magic and science, and while this does not increase your magical or scientific ability, you are able to make quite a few discoveries by combining the two and experimenting</t>
  </si>
  <si>
    <t>Alchemy (World of Warcraft) (300 CP)
 Mix potions, elixirs, flasks, oils and other alchemical substances into vials using herbs and other reagents. Your concoctions can rejuvenate, enhance attributes, or provide any number of other useful (or not-so-useful) effects. High level alchemists can also transmute essences and metals into other essences and metals. Alchemists can specialize as a Master of Potions, or a Master of Transmutation. Zen Master: At this level you’ve mastered everything from basics to advanced. Additionally you’ve expanded your knowledge of the profession beyond the mastery of both basics and advanced stuff to complete understanding of it. At this level you’re on even playing field with top 1% of your profession. Should you write down your knowledge it would easily be considered a work of art in that field.</t>
  </si>
  <si>
    <t>Monstrous Strength (Percy Jackson) (100 CP)
 Whether by oddity of birth, ancestry, or mystical experiments you have gained an inhuman form. On the plus side this boosts your physical abilities in proportion to how obviously unnatural your current form is. Generally your form will be some terrifying fusion of various aspects of animals and humans, it is your choice on the particulars though. This boost also applies to other monster discounted perks. Generally you can interact with mortals without their notice so long as you stick to actions that can be reasonably explained by the Mist but even then most of those familiar with the true nature of the world will be able to spot various tells.</t>
  </si>
  <si>
    <t>Portal Aperture (Personal Reality) (100 WP) - Repeatable
 This Portal Upgrade allows you to shrink your portals down to planck scale or open them up to 8,000 square meters and increases the rate of expansion / contraction by a factor of 10. Additional Purchases will increase the maximum portal size to 80,000, then to 800,000, then to 8 million square meters. The expansion / contraction rate increases by a factor of 10 each time. The Portal shrinks to functionally no size, absolutely no size, and then conceptually no size. If you need it smaller than that, a fifth purchase will make it memetically as small as the number of fucks I give on the subject.</t>
  </si>
  <si>
    <t>Architect’s Eye (LOSS) (600 CP)
 Every structure has a purpose, a reason for being. When it comes to buildings you know exactly what to do and how to do it. This makes building stable, good looking, and comfortable buildings. This also extends to being able to know the who, what, when, where, and why of any non-weaponized structure. This expands the more you learn about other cultures, places, science, and technology. Eventually learn to build things to withstand black holes or places with non-euclidian geometry etc and not compromise your end goal [allowing something to survive in it]. This also lets you spot weak points, flaws, and exploits in design as well.</t>
  </si>
  <si>
    <t>M274 Mongoose (Halo UNSC) (Free)
 Some vehicles just weren’t designed for combat in mind… at least that’s what one would think upon seeing an all-terrain vehicle like this. Being designed to go over nearly any terrain without much difficulty and able to carry an additional passenger on the back in a pinch, the Mongoose is one of the fastest land vehicles in the UNSC. It’s highly effective in regards to rapid transportation, reconnaissance and swift tactical versatility. The downsides? Its light mass and lack of armor means it can be unwieldy at times and can be taken out rather easily.</t>
  </si>
  <si>
    <t>Valuable Memories: Bigs (Big O) (300 CP)
 You have knowledge related to any particular concept-the construction of Megadei, the nature of memories, Bigs, or the creation of chimeras. Paradigm will have a vested interest in you and will protect you and provide you with funds if you work for them.</t>
  </si>
  <si>
    <t>Scientist: Machinery (Girl Genius) (100 CP)
 You have a DOCTORATE! And skill in ACTUAL SCIENCE! That doesn’t need you to go crazy to work! Admittedly, it won’t break the fabric of space and time, but meh. Tradeoffs everywhere you go. You’re highly trained in one field, and can easily apply its principles to your work. After all, building a crazed abomination upon the natural order usually requires at least a smidgen of understanding of which bones are supposed to go where (Even if you end up changing them around a little). At the very least, you’re also in the genius range of standard intelligence.</t>
  </si>
  <si>
    <t>Cuh-Ray-Zee! (Devil May Cry) (Free)
 The moment you step into the world of Devil May Cry, you, and anyone you brought with you, will have the innate potential to do incredibly amazing stuff all day long, pal. However, it will take great skill and effort to pull off anything like blocking attacks with the back of your hand, or playing an air guitar that actually produces audible sound for others to hear. But never fear, if you train hard enough, and git gud enough, you too will be able to deflect bullets with other bullets, destroy buildings by spouting out innuendos, and become a worthy disciple of my ways. And yes, you totally get to see your rank whenever you’re doing anything.</t>
  </si>
  <si>
    <t>Juggernaut (Terraria) (200 CP)
 Your armor is a lot more effective at doing what it does just by the sheer virtue of it being latched onto and wrapped around your fleshy bits. Not to get too far into the math of it, your armor is about half-again more effective than it would be otherwise.</t>
  </si>
  <si>
    <t>Profession: Enchanting (World of Warcraft) (300 CP)
 Imbue all manner of equitable items with magical properties and enhancements using dusts, essences and shards gained by disenchanting (breaking down) magical items that are no longer useful. Enchanters can also make a few low-level wands, as well as oils that can be applied to weapons providing a temporary magical buff. You also have the ability to create “Inscriptions” which act as enchantments for your skills &amp; abilities. Zen Master: At this level you’ve mastered everything from basics to advanced. Additionally you’ve expanded your knowledge of the profession beyond the mastery of both basics and advanced stuff to complete understanding of it. At this level you’re on even playing field with top 1% of your profession. Should you write down your knowledge it would easily be considered a work of art in that field.</t>
  </si>
  <si>
    <t>Master Craftsman (King Arthur) (600 CP)
 Thanks to being taught by faeries anything you make by hand is a great deal better than anything regular human can make. Armor is nearly indestructible and lighter than it should be, blades are sharper, blunt weapons have more force behind them, bows and crossbows can shoot farther and are easier to pull back. Even mundane items like baskets work better, though you can’t give items mystical powers without being a wizard or something.</t>
  </si>
  <si>
    <t>Outside Context Problem (Worm) (Free)
 It’d be boring if you were to just die right at the start so for free you’ll have a selective immunity to the powers of a few rather nasty plot device level opponents that by all rights would probably want to kill you right out of the gate. Contessa, Ziz, and Zion’s precog doesn’t seem to be able to pick you up, instead returning a zero-sum error whenever they try to force the issue. They won’t notice this until you garner enough attention for them to try and then they might take further measures to see what the problem is. But at the moment you’ll be safe from being instantly killed due to the threat you pose to their plans. This works on all shard/entity derived precog. Your peculiar inter-dimensional nature just messes up their ability to predict you. Coil is an exception due to the weird nature of his power.</t>
  </si>
  <si>
    <t>Lack of Materials (God of War) (400 CP)
 Times are tough in this land. Forces beyond knowing, monsters that roam the lands, and gods who are as petty as they are powerful. With chaos such as this, there are times you may not be able to get everything of what you need. But you’ve learned to make do. You can get the most out of your materials, using two bars of metal where you might need four, or three hides when you needed six. Of course, if you DO have all the materials required you can use them to make your creations more effective in quality and capability as well. So maybe it doesn’t hurt to put the extra mile in.</t>
  </si>
  <si>
    <t>Device Meister (Lyrical Nanoha) (600 CP)
 This is the real treasure of the TSAB’s technological capabilities - mixing the use of magic and technology in order to create Devices that can channel the energy outwards. You have a complete knowledge of how to build and maintain Devices, along with how to program AI for said Devices to use. While you can construct most Devices and similar items presented here, the ability to make Unison Devices isn’t included here - you’ll have to learn that one on your own, and many have tried and failed to do so in the past. You could, with some experimentation, combine different magical systems into Devices together, especially with the help of ‘Similar Principles’ to streamline the process...it will take some trial and error, but you could apply these principles and Devices to other systems if you work at it enough.</t>
  </si>
  <si>
    <t>Alchemy (Masters of Magic) (200 CP)
 While all wizards are capable of converting gold to mana, and vice versa, the process is very inefficient for them, losing half of the value in the process. You can do it perfectly, without any loss, making it potentially feasible for you to power your magic through taxation, for example. In future jumps, this will provide a boost to alchemical abilities, especially those converting one substance into another. You only retain the ability to convert gold to mana (and vice versa) in future jumps if you purchase this ability, which would provide one way to obtain mana in the future.</t>
  </si>
  <si>
    <t>Glory to...: Me (Percy Jackson) (800 CP)
 Your divinely related abilities are all massively enhanced to the point that you could fight on par with some mid-tier gods. Using your powers is instinctual and nearly as easy as breathing. Also you gain benefits from your divine parent’s more obscure domains. A child of Hades might find themselves able to call up wealth and ghosts interchangeably while one of Apollo could burn his foes and heal his allies with his mere presence. Using your abilities extensively is tiring though and you should be careful not to wear yourself out too much by summoning a natural disaster where something smaller would’ve worked just as well. Generally the stronger your parent or other source of abilities the more you will get to work with, a child of a minor deity will probably get less but get some additional ways to interact with their parent’s domain. Generally a demigod can fight on par with a non combat focused god of a rank equivalent to their parents with this.</t>
  </si>
  <si>
    <t>Security System (Personal Reality) (100 WP)
 Anybody coming in and out of your Personal Reality is now checked for any authorization you’ve given them to access it; and should anything about said authorization (or a lack of it) raise any flags in the system, then you will receive a warning about it. This allows you to define just what sorts of authorization different individuals can have to access your Personality Reality, anything from No Access through Temporary Access and Limited Access to Unlimited Access is possible. All this does is notify you. It does not stop them on its own. A Keyholder’s Access cannot be limited by the Security System. Only hand out Keys to those you trust implicitly.</t>
  </si>
  <si>
    <t>Scanner (Iji) (200 CP)
 Serves a number of purposes. Primarily, allows you to determine the location of all living creatures within a large radius around the user, although this might be blocked by certain defenses or stealth abilities. Also capable of determining molecular structure and provides blueprints when scanning objects.</t>
  </si>
  <si>
    <t>M6C Magnum (Halo UNSC) (Free)
 Something of a standard issue to the UNSC Marine forces, the M6C is a semiautomatic, recoil-operated, magazine-fed handgun that fires 12.7×40mm (.50 caliber) Semi-Armor Piercing, High-Penetration rounds. While it does considerable amounts of damage towards flesh-based infantry, Covenant energy shielding might pose a problem and so this weapon is often relegated to a defensive role.</t>
  </si>
  <si>
    <t>Valuable Memories: the creation of chimeras (Big O) (300 CP)
 You have knowledge related to any particular concept-the construction of Megadei, the nature of memories, Bigs, or the creation of chimeras. Paradigm will have a vested interest in you and will protect you and provide you with funds if you work for them.</t>
  </si>
  <si>
    <t>Strong Spark (Girl Genius) (600 CP)
 Rather than having a weak Spark (Like a PEASANT who took the “Spark” Perk, which this is incompatible with) you have an extremely powerful one. You don’t limit your scientific explorations to a single topic, but are a master of anything that meets your eye (well, at least once you’re in the Madness Place). You go further and farther than almost anyone, and when you get working, you quickly stop caring about things like “fundamental laws” and “nature of the universe” and ... well, pretty much anything. Warping the fabric of reality is a pretty common thing. Unfortunately, it’s also significantly harder to get OUT of the Madness Place, and you get sidetracked pretty easily as well. Last week you were trying to get a stain out of your carpet, and woke up with an army of death-ray-wielding mice obedient to your commands! MWAHAHAHA.</t>
  </si>
  <si>
    <t>Taunts (Devil May Cry) (Free)
 Your mother was a hamster, and your father smelled of elderberries! You are able to come up with witty dialogue, insults, jokes, and one-liners on the fly. Now, taunting does three very useful things. First, it will boost your Style rating. I know, I know, that’s amazing, and awesome, and all that. Second, taunting pisses off your enemies. A lot. So much that they’ll try to stomp your pretty little face in. While this may seem like a bad thing, it can also be good for you, as the dumbass you’re fighting will make a mistake in their rage. And thirdly, a successful taunt will help you get your game on and replenish your stamina. You won’t be able to run entirely on smack-talking suckers while you rip them a new rectal cavity, but it will definitely ensure that you’ll be able to fight for hours, sustained only by the power of your quips.</t>
  </si>
  <si>
    <t>Avid Glove (Fallen London) (100 CP)
 A miracle of surgery and tailoring, though it may bite any hands shaken. Who can say no to another set of eyes and fingers?</t>
  </si>
  <si>
    <t>Solar Harnessing (Mysterious Cities of Gold) (400 CP)
 You can construct articles of technology that harness the power of the sun for their functions or upgrade existing devices to do so. Man-portable weapons should be a breeze, but larger constructions will take more time and effort.</t>
  </si>
  <si>
    <t>Tinker-Tech Cache (Worm) (Free)
 You get a decent sized cache of Tinker-Tech whose nature is up to you. Whether you want a large variety of computing and programming devices, an armory full of futuristic guns and weapons, or maybe just a ton of Tinker tools for your personal use. There is nothing crazy in here, but even basic Tinker tech is far more advanced than anything on modern earth. If you have a Tinker ability you get one purchase of this free for tech that corresponds to your specialty, giving you more than enough to get started. Note: Even the worst Tinker-Tech is hundreds of years ahead of modern day earth, and the samples you get here aren’t bargain bin by any means, just not anything earth shaking.</t>
  </si>
  <si>
    <t>Repair Savvy (Outlaw Star) (100 CP)
 Your skills in mechanics are top notch. Your weapons, armor, and personal equipment are all easy to repair, and maintenance of all of them takes mere minutes instead of hours.</t>
  </si>
  <si>
    <t>Assault Manadrive (Final Fantasy XIII) (200 CP)
 The higher ups gave you a manadrive, which you saw fit to attach with offensive spells. This manadrive allows you to attach up to intermediate level offensive spells –it will cast them autonomously freeing you up to do something else. You can designate its targeting systems appropriate to the spell. It won’t add effects the spell does not already have.</t>
  </si>
  <si>
    <t>Alchemy Knowledge (Golden Sun) (100 CP)
 Alchemy was sealed long ago, but you’ve spent your entire life researching what little is left of its secrets, and the society of the ancients that used it. While mostly theory, this knowledge could serve you well should you seek out the ancient’s settlements, or perhaps in greater ways in the years to come.</t>
  </si>
  <si>
    <t>Glory to...: The Legion (Percy Jackson) (800 CP)
 Through a quick ceremony of sharing blood and declaring yourself blood brothers with a friend you may grant them a portion of your powers from this jump, you may selectively grant them some of your powers or all of them. Each bond formed dilutes the powers slightly, while it won’t be too noticeable with just you and a couple friends you probably shouldn’t try for an entire army unless you’re willing to deal with the powers being very weak in individuals. Those bonded with you also gain flawless teamwork and the ability to share senses with eachother. You may renounce any of these bonds with a moment’s concentration.</t>
  </si>
  <si>
    <t>Detainment (Personal Reality) (300 WP)
 This Security System Upgrade ensures that anybody without correct access authorization who attempts to break into your warehouse automatically gets detained in temporary cells, which are accessed through temporary doors in your Entrance Hall. The cells are not fiat-backed to hold everyone. If you’d have to exert yourself to fight someone, then the cells aren’t going to hold them for long, at least without any upgrades. Detainment will attempt to work on anything that manifests anywhere in your warehouse without proper clearance... as well as anything that had proper clearance and is now clearly a threat. A Keyholder cannot be detained.</t>
  </si>
  <si>
    <t>Class and Specialization (Mass Effect) (100 CP)
 You will get enough training in your class to be considered an asset to any team. Not to the point of being a keystone. You are considered to be to a similar level when it comes to your specialization. Specializations are various apexes that can be reached. You also get a set of gear per your two choices.
 Class: Engineer
 Engineers are pure technology specialists. Although they lack the implants that most other classes wield, they make up for it with their high-spec military grade omni-tools, capable of bypassing shields and armor or incapacitating robotic targets and some synthetics. They can deploy combat drones to harass enemies.
 Specialization: Mechanic
 A more purely focus Engineer. From fighters and frigates to Mass Effect fields and automated machines, you know your way around and are aside fairly versed in mechanical theory. You might not know how to build something, but you can almost certainly figure it out with time.</t>
  </si>
  <si>
    <t>M9 Fragmentation Grenade (Halo UNSC) (Free)
 When you can’t shoot them, blow them up. Coming with a hard metal casing that’s meant to break apart upon the explosion, this grenade has a safety feature in that it must hit a hard surface after it has been primed before it can detonate, ensuring that it does not explode in the user’s hand. It can also come with a ‘spoon’ so that it must leave the user’s hand before it explodes as well. Either way, a small button on the ‘handle’ is the method of priming these grenades.</t>
  </si>
  <si>
    <t>The Good Doctor (Captain Harlock) (600 CP)
 With enough time and materials, the greatest works of this day and age will all be by your hand. Refueling stations disguised as meteors, rapiers that double as laser guns, or even a ship as magnificent as the Arcadia – all these might bear your name. Where to get the materials, though?</t>
  </si>
  <si>
    <t>Manufacturing Line (Valkyria Chronicles) (400 CP)
 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t>
  </si>
  <si>
    <t>Weapon Swapping (Devil May Cry) (Free)
 The ability to swap between your weapons in the middle of battle. These weapons are stored in a pocket dimension known only to you, and can be switched instantly with but a thought.</t>
  </si>
  <si>
    <t>Amateur Academic – Trivia (Fallen London) (Free)
 A classical training in grammar, logic and rhetoric. You could fit in with the learned and flighty. This has given your memory a boost, entire books can be memorized.</t>
  </si>
  <si>
    <t>Moon Orb (Dark Cloud) (300 CP)
 The core of the proposed Moon Giant project, it radiates a significant amount of energy, and appears to harvest energy from the light of the moon. Expose to sufficient light -and it’ll charge up like a battery, enough to power large automatons for a substantially long amount of time. Well, you could also use it as a night light...but is that a really good way to use it?</t>
  </si>
  <si>
    <t>Nanite sciences (Generator Rex) (100 CP)
 You possess in depth knowledge of nanite technologies. With sufficient equipment and resources you could produce and control nanite machines, possibly even recreate the nanite event or maybe figure out how to reverse its effects. But that would take a long time of additional study of nanites out in the world, still you might be one of the few who could attempt this endeavor. You possess no knowledge of the meta-nanites, and understanding how they work is beyond your grasp.</t>
  </si>
  <si>
    <t>Gadgeteer (Totally Spies) (600 CP)
 Not only do you have the knowledge and resources to produce all of WOOHP and the Center’s gadgets quickly and efficiently, but you’ll never run out of ideas for new gadgets, and you’ll be able to incorporate any other technologies you know seamlessly.</t>
  </si>
  <si>
    <t>Defence Manadrive (Final Fantasy XIII) (200 CP)
 The higher ups gave you a manadrive, which you saw fit to attach with defensive spells. This manadrive allows you to attach up to intermediate level defensive spells –it will cast them autonomously freeing you up to do something else. It also has smart targeting that you can program into it. It won’t add effects the spell does not already have.</t>
  </si>
  <si>
    <t>Alchemy (Kingdoms of Amalur: Reckoning) (100 CP)
 Your brothers and sisters in battle often need a health potion after a hard fight, and you have always been there to help out. You are a capable alchemist able to work with almost any ingredient to make potions with the effects you need, and find substitutes for absent ingredients. Some more potent potions still stump you, though, and inventing new recipes is beyond you.</t>
  </si>
  <si>
    <t>Bigger on the Inside (RWBY) (100 CP)
 A book teaching miniaturization techniques. Starts with Bazookas into bottles, leads into Cars into cupholders. They still weigh the same, unfortunately. A master of this knows how to miniaturize around living things! It’s very uncomfortable for them, so they won’t stay like that.</t>
  </si>
  <si>
    <t>Force Wall (Personal Reality) (200 WP)
 This adds a a force-field to the entrances and exits to your Personal Reality. Nothing unauthorized can pass through these force-fields. The field is fully permeable to anything authorized. A Keyholder’s Access cannot be blocked by these fields. Be aware, some enemies might conceivably be able to enter your Personal Reality without technically ‘passing through’ these force-fields. I don’t know, but don’t assume the Force Wall is utterly infallible. It is also potentially possible that you or your companions might bring something seemingly harmless into your Reality that turns out to be some kind of threat.</t>
  </si>
  <si>
    <t>Tool Kit (Macross) (100 CP)
 Woah now, Sonny Jim! You don’t expect to fix that machine with your bare fingers, do you? Don’t go anywhere without the equipment you need to make sure that tech keeps on trucking! A handy dandy set of tools to accommodate for maintaining Variable Fighters. This will make things easier if you want to keep things in shape or just want to poke around and see what’s inside!</t>
  </si>
  <si>
    <t>UNSC Marine Corp Battle Dress Uniform (Halo UNSC) (Free)
 The kind of armor you will generally see on the rank-and-file troopers, this model has seen a great deal of use and has been spotted since the early days of the Insurrection. It comes with a CH252 Helmet that has a basic heads-up display to keep track of ammunition and your targeting reticle along with a flashlight and radio system, strong boots and fatigues to keep one protected from the elements while having quite a few pockets to keep things in, and ballistics armor over the torso, shoulder and shin. Ballistic armor may optionally include thighs, groin, and forearms as well for the cautious types. This armor provides good resistance against ballistic ammunition but does little against Covenant plasma rounds. Perhaps you could become skilled at dodging oncoming fire. This armor comes in any camouflage color scheme of your choice.</t>
  </si>
  <si>
    <t>Technical Certainties (Ace Combat) (400 CP)
 Some engineers are always second guessing themselves, sticking to maintenance of machines that others use. You’re so sure of your skills that you’re capable of altering fighter planes to great effect, making them noticeably better than they were fresh out of the factory. Upgrades will be easy provided you have resources, and your technical prowess will ensure your plane can serve whatever role you wish of it. You could even slave the controls of ground weapons to your computers, becoming a conductor of war from the skies. You might even be knowledgeable enough to build the next superweapon...</t>
  </si>
  <si>
    <t>Dark Slayer (Devil May Cry) (Free)
 Dark Slayer Style is essentially an evolved form of Trickster, in that it’s based around movement, but rather than simply dashing, Dark Slayer is all about teleporting in quick short-ranger bursts. However, the biggest change from Trickster is the ability to summon swords outta nowhere. Got your attention now, didn’t I? Yep, you can effectively create copies of any weapon that you’ve seen before, from swords, to axes, to giant homing two-sided Shuriken. I will never understand where Nero got that idea from. You can wield them or shoot ’em at your enemies in countless different ways. Make it rain pointy swordy death from above, surround your opponent with them, shoot them all out in rapid succession faster than even a minigun, and much, much more. However, these weapons are often pretty subpar compared to the original, unless you’re very familiar with the weapon, or have trained extensively in the replication of weapons. Now, I know this Style’s name might sound a bit dark and edgy, but it was my brother’s own personal Style, rest his soul, and he was kinda going through a phase at the time. A dickish, emo, power hungry phase. So just cut him some slack and bear with it. Besides, it actually does sound pretty cool. Comes with free Get Set!</t>
  </si>
  <si>
    <t>Dabbling Academic – Fool Proof (Fallen London) (Free)
 Not only must one learn and understand, but to understand at a level that even laymen can comprehend. Your knowledge can be taught to those far below you.</t>
  </si>
  <si>
    <t>Ars Magus Creation (Blazblue) (100 CP)
 You have basic education in the creation and modification of Ars Magus. You understand how they work and how to create non-combat Grimoires, though you require time and resources in order to do so.</t>
  </si>
  <si>
    <t>Aesthetics and Flair (Bayonetta) (100 CP)
 A gun isn’t quite a gun until it LOOKS good, you know? It’s supposed to be classy, make you look amazing just for having it. Likewise, that sword could use a bit of badass styling to it. When you create your weapons, you can make them look DAMNED good even on an off day. Expect any weapon creator to envy you, and those who die by your weapons to count themselves lucky as they perish to such beautiful art.</t>
  </si>
  <si>
    <t>Nanite Removal and Control (Generator Rex) (400 CP)
 Many in this world would consider this is your most important ability, you can control nanites and absorb them into yourself, reverting dangerous mutations and can help people regain control of themselves. At first however this power will only work on willing targets, and will not work on incurable, especially virulent nanite infested EVOs. However with training and time, your powers can grow to circumvent these rules. Your greatest limitation is the fact that as you absorb nanites your reservoirs fill to the breaking point, causing dangerous flare ups and renders your abilities unstable. You can purge these nanities, but figuring out how to do so in a safe way with a large amount of unstable nanites may take some effort. After this Jump your nanites can be used to heal people, whether of wounds, diseases, or possibly even mutations or others turned into a monster. Success will vary depending on factors, a mystical curse is probably beyond your nanites, a really out of this world super virus might be cured, but that’s iffy. If you happen to run into other nanites in other jumps, you could control and manipulate them as well.</t>
  </si>
  <si>
    <t>Panzerkampf (Sabaton) (300 CP)
 When it comes to building war machines, yours are top-notch! A gun made by your own hand will never jam, and a tank built by you will never bog down in mud or take damage from an IED. If they want to destroy what you’ve built, they’d best bring their A-game.</t>
  </si>
  <si>
    <t>Antimatter Manipulation Principle (Final Fantasy XIII) (200 CP)
 You understand the science at work behind Cocoon’s technology. You may not have the equipment to reproduce it, but you can manipulate gravity to a limited degree even without it –enough to save you from falls. With the suitable tools however, you could make all sorts of equipment and mechanical wonders, even up to graviton cores that can maintain giant aerial defense platforms.</t>
  </si>
  <si>
    <t>Alchemist (Farscape) (600 CP)
 Your knowledge of plants, animals, and chemicals allows you to mix up all sorts of different compounds. Finding cures to rare diseases, synthesizing fuel, and creating powerful hallucinogens, among other things, is a breeze for you.</t>
  </si>
  <si>
    <t>Implanted Relic (Senki Zesshou Symphogear) (400 CP)
 Somehow, perhaps through an accident, a relic has become embedded in a part of your body. While this doesn’t prevent you from using other relics you will find that your synchronization coefficient with that Relic has increased tenfold, making the blowback from Swan Songs and other exhaustive features far less severe, with Swan Songs only tiring you immensely. This Relic seems to be reacting differently than seen with Human-Relic Fusion Specimen no. 1, Hibiki Tachibana and Gungnir. It seems to be merging with your body far better than Gungnir ever did, not threatening your life and eventually resolving into something similar to what was achieved by Finé herself with the Nehushtan Armor. The Relic that has been implanted is one of the ones associated with your Origin, but once again you may pay 100cp to change it to a different one.
 With Pagan Science – Looking through some of the notes made by Finé’s reincarnation, you manage to glean the mechanism behind the energy-mass converter used to create the armor of a Symphogear. While you would still need a Relic to make a proper Symphogear, you can use this to store armor and weapons in the form of a small necklace, simply requiring that the user be able to sing the activation song to use.</t>
  </si>
  <si>
    <t>Partition Plan (Personal Reality) (100 WP)
 This Force Wall Upgrade allows you to set up internal force-fields throughout your Personal Reality. If you have Central Control, they can even be customized with different levels of security. Be aware, a Keyholder’s access cannot be be blocked by these fields.</t>
  </si>
  <si>
    <t>Serene Sinatra (Macross) (Free)
 You’re no slouch in the singing department, that’s for sure. You may not be popular idol material, but no one’s going to complain if you decide to sing along to a song or randomly bust out a tune with a voice like this. Who knows, maybe you could practice and get a little better?</t>
  </si>
  <si>
    <t>Erudition (Halo UNSC) (600 CP)
 Ever since the rise of Dr. Catherine Halsey, many were on the lookout for who might become the next intellectual prodigy. Someone who was able to perform as well as she could, someone who could help turn the tide of the war. With this, that someone is now you. Your cognitive capabilities are on par with the good doctor now, making you exceptionally well-versed in nearly all modern human sciences while holding specialties in at least a few fields. Of course, thanks to that you are also rather exceptional at reverse-engineering technology, which allows you to do such things like obtain working knowledge of the mechanics behind Covenant technology and even begin to understand the ’hows’ behind some of the mundane pieces of Forerunner technology currently littering the galaxy. Perhaps you could eventually reclaim them.</t>
  </si>
  <si>
    <t>Mechanical Genius (The Clone Wars) (600 CP)
 You’re the leading expert at designing droids and starships. Given the right resources you could create fully autonomous starfighters with built in hyperdrives, battle droids with cheap, stronger and longer lasting shields, hover tanks as fast as landspeeders, androids indistinguishable from organics, and combat droids capable of killing jedi.</t>
  </si>
  <si>
    <t>Get Set! (Devil May Cry) (Free)
 You now have the ability to style your hair in whatever form you wish, whenever you wish, with just your bare hands. Is your hair not long enough or too short for the style you want? No problem, just run your hands through it a couple times, and it’ll adjust. Don’t ask me how it works. It just does.</t>
  </si>
  <si>
    <t>A Thing About Names (Fallen London) (Free)
 Following the example of HRH Queen Vic- I mean the Traitor Empress, many citizens of the Neath have taken to calling themselves the Adjectival Noun. Prominent individuals include the Fidgeting Writer, the Sardonic Singer, the Amused Lordship and so on. It is fashionable to do so, though choosing not to do so is a choice in itself. The name chosen will become the title others refer you as.</t>
  </si>
  <si>
    <t>Armagus Creation (Blazblue) (300 CP)
 Requires Ars Magus Creation! You have advanced education in the creation and modification of Ars Armagus. Armagus on the whole are dangerous and unstable weapons if they’re used by someone who doesn’t know what they’re doing, and creating them is no less dangerous because even one glimpse into the Boundary is enough to shred a man’s sanity permanently. However, anything you make will invariably be better than anything you can buy in a store or on the black market.</t>
  </si>
  <si>
    <t>Inexplicable Innuendo (Bayonetta) (Free)
 You’re not sure how, but just by being here you’ve gotten the jive of things. Any time you want to come off as sexy or just talk in a lightheartedly dirty manner, it’s easy as pie for you. Want to make some people squirm with an implication? Done. You can even implement this in your battle quips, throwing them off their game for that moment of distraction you need.</t>
  </si>
  <si>
    <t>Nano-Technician (Red Faction) (600 CP)
 Is it me or does “nanomachines” not sound like a word anymore? You now have a considerable talent in the field of nanotech. With time and study, you could recreate the Nanoforge, with dedication you could even improve on it. Keep in mind nanotech in this setting is exceptionally hard to work with, but can do anything from fixing a bridge, to disintegrating a starship, to enhancing human abilities.</t>
  </si>
  <si>
    <t>Firestorm (Sabaton) (600 CP)
 When someone absolutely, positively needs artillery good enough to reduce the greatest castle to rubble, they come to you and accept no substitutes. You can throw a cannon together from scraps and it will still outperform the best mortars of the age. Moreover, in other worlds, if you can understand the weapon, you can produce something 1.1 times as strong with the items you would find in a rubbish heap, provided they’re of equal size to the device they’re replicating.</t>
  </si>
  <si>
    <t>Antimatter Temporal Principle (Final Fantasy XIII-3) (200 CP)
 The same antimatter manipulation principle developed by the scientists of ancient Academia was banned by the Fal’Cie Pandaemonium in the recent years, and all its researchers –vanished. After careful research, you’ve come to realize why. Through extensive manipulation, Chaos itself can be controlled with AMP, and while the degree of control you can exert on it is limited –even you can stop time for five seconds at will. However, you also move at a reduced pace, as the sheer effort of manifesting this unnatural phenomenon drains you in more ways than simply energy. After trying this twice in rapid succession, you found yourself completely drained, but if you alone could perform such a feat even significant support from any piece of ancient AMP technology –then perhaps the Fal’Cie banned it out of fear that it would evolve to something greater...Without this research available, and with most of the team lost, you wonder if it would have been impossible otherwise to reconstruct this technology. After all, only the significant presence of Chaos provoked the research to begin with, long after Gran Pulse had fallen.</t>
  </si>
  <si>
    <t>Innate Talent: Alchemist (Overlord: Light Novel) (200 CP)
 You are capable of brewing potions with magical effects. You can easily create ‘true’ healing potions that provide instantaneous healing rather than healing-over-time, and can make potions for any ‘buffing’ spells you know that are in the ranked magic system such as flight, invisibility, increased magic resistance, physical boosts, and so on. Obviously you must actually know a spell in order to make a potion with that spells effect. Additionally to make use of this talent you must actually have the means to make the potions in the first place such as an alchemist’s lab or, for slimes, your own body.</t>
  </si>
  <si>
    <t>All Spark Chosen (Transformers) (500 CP)
 You’ve been selected by All Spark to be Transformer Jesus-Buddha, you’ll become much more likeable and charismatic able to talk your way out of most situations with ease. Additionally the All Spark has given you an insight on life itself this gives you vast amount of wisdom that rivals the greatest Philosopher-Kings. Additionally with the secrets of life in your mind allowing you to create a Spark. Sparks take time to nurture only one every 9 months can be created and machines implanted with a spark become sentient but their mind is like a child’s which will “grow up” in 1 month.</t>
  </si>
  <si>
    <t>Lofty Loft (Personal Reality) (100 WP)
 Is it depressing having your home surrounded by storage space? You gain an area the same size as your starting space that is reserved entirely for housing and luxury facilities, such as pools and sports fields. It is situated either next to your Cosmic Warehouse or above your Cosmic Warehouse. Separate purchases of Additional Space applied to it instead of Cosmic Warehouse can be used to expand it. You’ll have to decide if Warehouse mods from jumps are applied to the Lofty Loft or the Cosmic Warehouse.</t>
  </si>
  <si>
    <t>Basic Training (Macross) (Free)
 Piloting a Variable Fighter can be pretty complex. There’s all kinds of modes and maneuvers to worry about... with this, you won’t have to worry so much. You’ll know which button does what, and you won’t end up turning into a mech when you need a jet. ...but I reserve the right to laugh if you mess up anyway</t>
  </si>
  <si>
    <t>Not A Stupid Grunt (Mass Effect) (100 CP)
 That you are not. You are smart enough to be the foremost scientist in your field. This doesn’t make you so, but you could get there on your own with not a terrible amount of effort. Still not as smart as a drell, but hey, who is?</t>
  </si>
  <si>
    <t>Always a Bigger Robot (Gurren Lagann) (600 CP)
 The design and maintenance of epic machines is your specialty. You can figure out how to build starships measuring several kilometers long or devise a way to make a mountain sized mecha. You’ll also have no problems getting past all the laws of physics that should make such creations impossible, perhaps Spiral Energy has something to do with it?</t>
  </si>
  <si>
    <t>Weapon Modifications (Archer) (100 CP)
 You design and modify weapons with flair, creativity, and skill.</t>
  </si>
  <si>
    <t>Coordinated Outfits (Kingdom of Loathing) (200 CP)
 It seems that having a theme to your clothing has increased its power. Either that or everyone’s crazy about your sharp outfit.</t>
  </si>
  <si>
    <t>Celestial Technology (Darksiders) (400 CP)
 Though they are not makers, the angels are a force of creation. this perk grants you their knowledge in supernatural technology they use. Holy armor, lances that shoot beams of light and all manner of technology that repels darkness and creatures of evil. You also become more skilled in the use of holy weapons.</t>
  </si>
  <si>
    <t>Classy Contortionist (Bayonetta) (Free)
 Um... this is something. You’ve got an innate sense of posing that you can utilize, whether it be to show off your sexiness or simply throw people off their game. It’s got all kinds of applications, and no matter what you’re always going to look good. Throw it into your battle styles or something.</t>
  </si>
  <si>
    <t>Recycler (Red Faction) (Free)
 A new annex is added to your warehouse that allows you to convert salvaged metal and electronics into ammunition, fuel, and parts for any weapons or vehicles from this setting.</t>
  </si>
  <si>
    <t>Super Scientific Solution (Tenchi Muyo) (100 CP)
 Science solves everything, even the little household problems. You can create supertech improvements to common tools and appliances, up to and including automobiles or similar works of engineering. Create dishwashers that can clean dishes in an instant, self heating plumbing or forcefield window panes that act as air conditioners.
 Well established methodologies and an instinctive grasp of same allow you to draw conclusions or produce results incredibly fast. You halve the time it takes to gather data, compose research on some subject, or devise a test to prove/disprove something- handy for when you have to figure out an enemy fortresses’ one weakness.</t>
  </si>
  <si>
    <t>Crimson Saint (Maoyuu Hero and Demon King) (600 CP)
 With sufficient analysis, Magic is simply Science by another name. A spell that causes plants to grow simply increases the flow of nutrients. A machine that generates a static field to generate an electric shock attack is the same as a lightning bolt spell. With this perk, you can comprehend the link that exists between Science and Magic, and with the proper time and resources reproduce a piece of technology as a magical spell or reproduce a magical effect as a piece of technology. For example, you could take a lightbulb, analyze it, understand how it works in its entirety, then create a magical spell that produces the same amount of light when an equivalent amount of magical power is fed into it. There are a few caveats here, however. First, you must be capable of already replicating the magical effect, spell, or piece of technology on your own, as this power only lets you reproduce a magical or technological effect in its equivalent technological or magical form. If you weren’t able to reproduce a magical effect using magic or a technological effect using technology in the first place, this perk will not let you reproduce them in the opposite manner now. Comprehension alone won’t cut it, the ability to already reproduce the effects is necessary. Second, complexity of the magic or technology you wish to reproduce a converted equivalent of is conserved across systems, so the amount of time necessary to reproduce the equivalent in the opposing system will be, at minimum, the same amount of time it would take to reproduce the equivalent in the same system. A highly sophisticated though reproducible multi-layered magic construct or spell will result in an equally complex technological creation that will be equally or more difficult to understand, use, and replicate. Third, the limitations of the magic or technology are carried over. If you were incapable of using a piece of tech or magic, you will be incapable of using its equivalent. A spell that creates an Elemental without true sentience will not create a thinking, self-upgrading AI in its technological equivalent, though reproducing an AI as a magic construct or a self-aware thinking magical construct as a technological entity WILL. If a magical entity or technological construct has a soul, so would its equivalent, but you would already have to be capable of reproducing said soul in the original system. And fourth, converted technology or magic that you give to others will function only if both A:Either you or them (Doesn’t have to be both) would be capable of using the original magic or technology, and B: That if a piece of magic or tech requires energy to function, then an appropriate amount of energy is provided to fuel the magic or tech. Draw off a battery or mana capacitor, have it draw off the person’s own mana reserves if they have them, have it draw off ambient energy in the air. One way or another, an amount of energy equivalent to the original power requirements must be supplied</t>
  </si>
  <si>
    <t>Alchemist’s Laboratory (Overlord) (Free)
 A fully fitted and supplied alchemist’s laboratory ready for your use. It comes with the highest quality supplies and equipment required to make magical potions, allowing you to make potions to emulate the effect of any spell you know that could be reasonably made into a potion via alchemy (assuming you know alchemy, at least). The equipment will automatically upgrade itself relative to your own personal skill level, so the more skilled you are the better it will be to reflect that. Reagents for common potions restock themselves automatically on a regular basis.</t>
  </si>
  <si>
    <t>Matrix of Leadership (Transformers) (500 CP)
 You’ve become a Prime! Greatly increases your physical abilities by huge amounts &amp; increases your ability to lead to the point where you can lead an entire faction without much trouble.</t>
  </si>
  <si>
    <t>Environmental Controls (Personal Reality) (200 WP)
 Not only does this allow you to control the temperature inside your Personal Reality... it allows you to change the temperature, humidity, ambient noise, gravity, and airflow to any and all parts of your Personal Reality independently. Want a one meter cube of freezing cold nothingness surrounded on all sides by temperatures that would be fitting for soup? Go for it. This can change the gravity from 0.00001 gees all the way up to 8 gees, the temperature anywhere from -40 °C all the way up to 180 °C. Comes with a tablet that has all the system controls you’ll need and a big ol’ box of wireless thermostats. The direction of gravity can be easily manipulated in whole or part of your Reality. So if you want to build a Labyrinth style room with doors and stairs going every-which-way, feel free.</t>
  </si>
  <si>
    <t>Space Suit (Macross) (Free)
 A futuristic, spandex space suit that will let you survive for 20 minutes in deep space. It’s really more in case your vehicle gets stranded, but otherwise it’s pretty darn cool looking.</t>
  </si>
  <si>
    <t>Technomage (Strike Witches) (200 CP)
 Strike Witches generally rely on service crews to tune and repair their striker, but not you. You’ll be able to do the job much better and be able to modify your Striker to aid you focus your speed, defense or attack if you have offensive magical abilities. If you have technology from other jumps, you’ll be able to incorporate them into your striker and with enough time make one from scratch.</t>
  </si>
  <si>
    <t>Spiral Energy (Gurren Lagann) (Free)
 A mysterious but incredibly powerful evolutionary force that can be harnessed and manipulated by living beings. Spiral Energy can allow an individual to achieve virtually anything imaginable, but in order to keep things from getting too crazy you’ll have to slowly unlock your Spiral powers over time. Initially you’ll only have enough power to pilot a Gunmen but with enough time and the right circumstances you can figure out how to generate large powerful drill weapons from your mech that are capable of easily destroying other Gunmen and can cause massive explosions. After a few years of continued use you could potentially learn how to increase your physical abilities, Intelligence, and natural lifespan to superhuman levels. Once you’ve fully unlocked your Spiral power you’ll be able to live for over a thousand years, punch apart small Gunmen with your bare hands, discover and forge incredible technological wonders, and generate drills and other constructs from Spiral Energy without the assistance of a mech.
 Without going through any of the endgame scenarios you’ll only be able achieve first arc levels of Spiral power (The feats mentioned in the description for Spiral Energy and displayed by Simon and Lordgenome during their battle at the end of the Beastmen War story arc.) until after you get your Spark and stop jumping.
 Regardless of whether or not you decide to go through one of the endgame scenarios, you’ll gain the ability to grant one individual in each world you go to a fraction of your Spiral Energy. The person you gift this power to can only improve if your directly train them yourself and the upper limits of their Spiral Powers cannot exceed your own.
 Until you get your spark using Spiral Energy will always carry the risk of triggering the Spiral Nemesis, however doing so would probably require generating the same amount of matter and energy as the entire observable universe.</t>
  </si>
  <si>
    <t>Armourer (Light of Terra DLC 5 A Sky Filled With Steel – Warhammer 40,000) (300 CP)
 A mental database containing information on the most common types of armour found in the Necromunda Hive and how to build, repair and maintain them. While this doesn’t sound impressive, it is worth pointing out there are countless billions of people dwelling within the hive, and they have been here for millenia - the list of things counted as common at one time or another ranges from Power Armour in the distant past to the more common hammered metal plates made by local Gangers to the standard Imperial Guard Carapace Armour. Don’t expect to start churning out Adetus Astartes Power Armour the second you get this though - the infrastructure to build the infrastructure to build the infrastructure to build the armour was lost to ruin a long time ago. There’s a reason the Space Marines use suits thousands of years old.</t>
  </si>
  <si>
    <t>The Flock’s Fleece (Actraiser) (400 CP)
 Men and women have not wandered the wilds naked since the long-gone days of the Garden. Whether they knew it or not, the act of clothing oneself is one that at once protects and isolates. A shirt or a robe is a metaphorical armor against the elements, against shame and against the prying eyes of others. You are such a skilled craftsman that you can take the ’metaphorical’ part out of the equation. You’re a one-person clothing creator and tailor, able to take the raw materials of silk, cotton, wool and hide...and then with almost no tools produce wondrous clothing, fitted just right for anyone who dares try the garments on. They’re protective vestments against the harsh elements, able to keep people in comfortable condition be they in the deserts of Kasandora or the icy plains of Northwall. Not only that, but people who wear them find that they’ll be kept safer from the claws of beasts or the swords of their enemies, acting as a light chain-mail mesh despite being soft and maneuverable fabric.</t>
  </si>
  <si>
    <t>Maker’s Prodigy (Darksiders) (600 CP)
 The makers decide to teach you the ways of creation and you may choose to become their pupil, they will teach you how to create magical artifacts, imbue places and objects with power and even how to create magical constructs with sentience. Regardless if you spend the time learning from them or not, you will find you learn future skills related to creation, enchantment and forging will come to you as if they were second nature, waiting to be remembered.</t>
  </si>
  <si>
    <t>Sledgehammer (Red Faction) (Free)
 For centuries, miners have busted their butts swinging one very basic tool, The Sledgehammer. But on Mars, there’s more to this tool than meets the eye. Powered by mass-multiplier servos, this essential tool of the Red Faction pops on contact, delivering 1000lbs of kinetic force. When you swing the supercharged hammer, something is going to get leveled.</t>
  </si>
  <si>
    <t>Efficiency (Lego: Ninjago) (400 CP)
 Waste not, want not! Not with this, anyway – whether building machines or making quick moves in combat, you’ll never unintentionally use more energy, materials, or flourish than you need to.</t>
  </si>
  <si>
    <t>Mechanist (Final Fantasy VI) (100 CP)
 You know how regular technology and magitek function and can repair it if it breaks down. You’ll still need the tools and supplies, but at least with this you’ll know what you’re doing with mechanical technology. This knowledge can be used to build basic examples of it too, but don’t expect to be able to copy anything too complex without getting your hands on the blueprints.</t>
  </si>
  <si>
    <t>Alchemist (The Mighty Boosh) (400 CP)
 The final, most powerful skill of the Shamans. The ability to brew potions and craft poultices that can create strange magical effects. While you can make some powerful stuff, up to the level of a pint of Shaman Juice, you still have to deal with the issue of logistics. You need to have the right ingredients on hand, and the right amount of time to brew it properly. Also this perk gives you amazing knowledge regarding how to properly create various kinds of alcohol from different base ingredients.</t>
  </si>
  <si>
    <t>Touched by the Protoculture (Macross) (500 CP)
 The Protoculture were a powerful group, having been the creators of the Zentraedi, and having fought off the Protodeviln in their time. They could terraform entire worlds, traverse the galaxy in seconds, and were the first advanced humanoid civilization to exist... and now in some way, you carry their legacy. Along with the ability to understand a species’ culture and the paths they could take for evolution, you now have an understanding of ’Space Fold’ technology, which allows faster-than-light communication and the generation of micro-wormholes to traverse space in a much faster method.</t>
  </si>
  <si>
    <t>Improved Regulation (Personal Reality) (400 WP)
 Unhappy with the limits of Environmental Controls? This gives you a much greater range. How much greater? You can control the ambient noise level to generate sounds anywhere between -10 decibels and 160 decibels. Temperature-wise, you can range from absolute zero to 15,000 degrees. Gravity-wise, you can completely negate gravity or ramp it up to what is common on the surface of a neutron star. Humidity? Anywhere from 0% to 150%. That’s not a very dense fog, that’s active rainfall... though this last requires Pipes, Pipes, Pipes or a very large amount of water in your Personal Reality. As for airflow, you can have F-5 scale winds if you really want them. Hell, go nuts, have the kind of winds only seen in gas giants, the kinds that make an F-5 tornado seem placid. Think Coriolis Winds in excess of 800 kilometers an hour.</t>
  </si>
  <si>
    <t>Basic Variable Fighter (Macross) (Free)
 Your good ol’ Fisher Price Veritechs! They may be the beginning, but they’re classics and were the groundwork for future generations. Editions like the VF-1A Valkyrie (or its other variants), the YF-4, VF-2SS or the VF-4 Lightning III are made available for your stay here. It can transform in the atmosphere and operate in space, but it cannot reach escape velocity on its own. Comes with basic armaments and like all Variable Fighters can transform into a Jet, a Mech, or a ’middle’ form called Guardian Mode.</t>
  </si>
  <si>
    <t>Bomber Jacket (Strike Witches) (Free)
 Discount Army Surplus offering customised bomber jacket for free to any and all of our STRIKE WITCH HEROS. Call through and give your Regiment, Call-sign and Address and will mail out in a day with Regiment patch and Call-sign embodied. Go get ’em girls! Ph: 123-456-7890</t>
  </si>
  <si>
    <t>MT Engineering (Armored Core Classic) (400 CP)
 Theoretical and practical knowledge of MT design, construction and programming. Simpler machines than ACs and much more suitable for mass production, they’re the workhorse of megascale construction and the backbone of security and military forces. Your skills could earn a pretty cushy job at any of the megas. Being giant robots, these need literal tons of material and lots of labor to make. You could contract out for construction, but the simplest use for this is to design MTs for some corp instead. Also, this perk alone doesn’t make you good enough to design or build really top-of-the-line MTs, the kind that might rival ACs.</t>
  </si>
  <si>
    <t>Fixer (Light of Terra) (300 CP)
 This Schema contains a massive database filled with the countless bits of equipment the denizens of Necromunda Hive Primus have bought, found, built, stolen or obtained by other means over the centuries since the Hive was founded. Inexplicably it also seems to contain an extremely rare, extremely valuable and extremely heretical to own database detailing how to build and maintain Admech servitors and cybernetic parts.</t>
  </si>
  <si>
    <t>Putting On The Reich (Indiana Jones) (200 CP)
 They may fear your tenacity. They may hate your cause. They may even oppose your beliefs. But one thing remains constant: A begrudging respect for the aura of organization and sharpness you give off. You have an excellent sense of how to design uniforms that not only are intimidating and show the power of your group, but are also fashionable and make your group look organized, official in a way. It’s time to show them who’s Boss.</t>
  </si>
  <si>
    <t>Maker (Darksiders) (1200 CP)
 You gain an alternate form of a maker, broad, Immensely strong and around 12 feet tall. You also gain supernatural powers of creation, able to make impossible things from practically nothing. Though it may take many years of practice, you will be able to master the art of crafting life from clay, Forge magic spells from ideas of the mind, and matter from nothing. Creator’s spark: If you ascend and receive a Planeswalkers spark, you will find your knowledge of crafting ectends unto the impossible and the laws of reality. You may eventually create new worlds from the void and forge new forces such as a unique form of magic or entropy as you create the new plane.</t>
  </si>
  <si>
    <t>Nanoforge (Red Faction) (600 CP)
 Typically worn around the wrist, this device is an engineer’s wet dream. Using real-time scans provided by the onboard AI, the Nano-Forge emits nanites as either a proximity cloud or projectile globs that procedurally recreate objects nearby. This Nano-Forge is restricted to repair functionality, and it doesn’t work on biological material, but it does have the precision to recreate delicate electronics and the like.</t>
  </si>
  <si>
    <t>Reuseable Resources (Anno 2070) (200 CP)
 Recycling requires effort. There is always a loss - in terms of energy, in terms of time, in terms of effort, in terms of materials. Your faction’s knowledge of materials science has minimized this loss to the utmost; When destroying buildings, recovering crashed vehicles, or decommissioning equipment, you always recover the same amount of material put into it’s construction, ripe for being re-applied to other tasks.</t>
  </si>
  <si>
    <t>Magitek Mastery (Final Fantasy VI) (600 CP)
 In essence, magitek is simply the use of magical energies as a power and fuel source for technology. Your understanding of that outstrips anyone elses, and you can now apply this principle to any technology you own. By altering your devices to use something magical in nature, such as a magicite stone, an enchanted item, or just raw magical energy, you can enhance it in every single way and give it unique properties. A suit of armor would become much harder, lighter, and more agile than before, perhaps even boosting the physical abilities of the wearer in line with the magical power source. From there, the armor could make more esoteric uses of the magic, such as casting spells on its own based around the sort of magic infused into it automatically or at the wearer’s prompting. This isn’t some measly effect restricted to the mundane or basic, no, magic can infused into any sort of technological device to enhance its functionality and give it a partially magical nature and powers. Even life may be infused with magitek technology like this, not only as cybernetics but directly as well. In this situation, it behaves a bit differently. The magic integrates itself into their body, becoming a natural part of them, allowing them access to that magic system and enhancing them physically, but they must grow into it. They start at a much weaker level, where they have to practice and develop their connection to this magic to realize it fully. There’s no upper limit to them beyond what the magic’s system is capable of, but it can take time, and you can instead choose to infuse living things with a larger amount of magic to grant them greater magical ability much more quickly. Unfortunately, this can have dangerous side effects, as giving them too much to handle at once can lead to mental instability or even insanity, the severity rapidly scaling upwards the more initial energy put in.</t>
  </si>
  <si>
    <t>Equivalent Exchange (Minecraft) (600 CP)
 You are a powerful Alchemist, able to infuse a Diamond with the power of Redstone and Glowstone to make a Philosopher’s Stone. With such a stone in hand, you’ll be able to create a Transmutation Tablet, allowing you to instantly convert matter from one form to another, possibly even converting ordinary dirt to valuable Diamonds... or even compressing the Diamonds further into Dark Matter or Red Matter. Combining your transmutation skills with these exotic and vastly expensive forms of matter, you’ll be able to produce Alchemical Chests with incredible volume, indestructible equipment with immense power, energy collector systems to generate additional resources from nothingness, and potentially become nearly immortal, burning vast quantities of resources instead of taking wounds. Your powers are all incredibly expensive to use, and you won’t be able to max them out in your time here (especially if you don’t have any advantages in harvesting resources!), but the raw potential of this path exceeds all others</t>
  </si>
  <si>
    <t>Neutral Lighting (Personal Reality) (Free)
 These lights are nothing special, It's a color-neutral, source neutral ambient lighting system. It's not really that bright… think early twilight gloom, but if you want better, install it.</t>
  </si>
  <si>
    <t>Striker Artificer Toolkit (Strike Witches) (100 CP)
 Professional Quality Toolkit for sale. Never used. All the tools you need to make a Striker. Act Quick, Limited Stock. O’Malley’s Tool Mart.</t>
  </si>
  <si>
    <t>Call sign (Strike Witches) (Free)
 Attention all military personnel, due to the recent alliances several documents of low importance have gone missing. It is important that you announce your call sign to your direct superior as soon as possible. All your comrades will know you by it, and if you don’t tell us one will simply be appointed to you during your next Sortie.</t>
  </si>
  <si>
    <t>AC Engineering (Armored Core Classic) (400 CP)
 Like MT Engineering, but for ACs and any associated equipment, from weapons to radar systems. ACs are all built for combat. They’re modular in design and thus very versatile, and their specs let an AC match a small army of average MTs in the hands of the right pilot</t>
  </si>
  <si>
    <t>Weaponsmith (Light of Terra) (300 CP)
 To weaponry what Armourer is to protective gear, this is a massive database of the various tools of mayhem the denizens of the Necromunda hive have wielded against each other. While the high tech equipment possible may seem nice, do not underestimate the value of low tech weaponry. Crafting a plasma pistol and crafting a bayonet require wildly different sets of skills, and all too often people who have one assume they have the other, to their chagrin.</t>
  </si>
  <si>
    <t>Tailor Made (Skullduggery Pleasant) (200 CP)
 You have the knowledge of how to weave magic into clothes, making them incredibly durable and protective. They’re capable of protecting the wearer from most things, including bullets, knives, magic, extreme heat, and large amounts of blunt-force trauma. They also look damn stylish.</t>
  </si>
  <si>
    <t>Crafting (Geneforge) (300 CP)
 There are various things that can only be created through the use of essence and hard work. Shaped equipment, puresteel, certain complicated tools and devices, and certain materials used in enchanting. You can work all of them, producing high quality goods from basic ore and hard work.</t>
  </si>
  <si>
    <t>Soulcraft (Demons’ Souls) (600 CP)
 With the souls of strong opponents, you may forge great weapons and armor out of them. Of course you can craft with lesser souls but the product won’t be that great. The weaker souls can only be used to upgrade things instead. You instinctively understand how to use anything you made.</t>
  </si>
  <si>
    <t>Sohon (Legacy of the Aldenata) (400 CP)
 Sohon is the semi-spiritual technique used by the Indowy to build all the best Galactic technology (like, for example, ACS). Sohon adepts are incredibly rare; of all 18 trillion Indowy, only a few hundred have the potential to become a user of Sohon at all. A Sohon adept mentally controls nanites in a special tank to “grow” the technology under their direction, allowing for chemical structures and molecular formations that... really shouldn’t happen. While you’ll never be a true adept (never ranking, for example, among human Mentats), you can at least utilize the basics, allowing you to repair Galactic tech and, with a lot of time and effort, maybe make a little of your own.</t>
  </si>
  <si>
    <t>Artificial Alloys (Anno 2070) (600 CP)
 Naturally occurring substances can offer a good start point for the development of new and innovative machinery and technology. However, often times these natural resources have limitations - whether it be rarity, difficulty of acquisition, and so on. In such cases, science steps to the fore, fashioning new materials unseen by nature to do that which mother nature started. This ability allows, with enough time and research invested, to create substances that mimic those found in nature, albeit manufactured artificially. While this new artificial substances do not surpass the original, it can for all purposes be substituted by it with no drawbacks. However, the material must still be manufactured - but, once the process is known, other factions, civilizations, and individuals, by following the process, can also create the artificial material. This ability works post-jump, even for materials that do not naturally occur in the new universe.</t>
  </si>
  <si>
    <t>Magitech Augmentation Theories, 14th (Final Fantasy XIV) (200 CP)
 The Garlean use of Magitek doesn’t just end with automatons. Many of the weapons, armor, and even day today objects have benefited from the implementation of magitek. Inside this textbook is a collection of theories and applications that have been tested and improved. You could most likely learn from these theories and apply the principles of magitek to any inanimate object .We’ve seen from live samples that Magitek doesn’t just enhance the magical properties of an item –it seems to add in neat little quirks like transformation sequences and magic resistant coatings as well. It’s likely you could scale this up to high levels with a substantial amount of further analysis.</t>
  </si>
  <si>
    <t>Alchemist (Secrets of Evermore) (200 CP)
 Considered a lost art, the science of Alchemy has reawakened in Evermore, and you’ve been trained in its use. By combining ordinary ingredients together using an alchemical formula, you can transform them into effects that can only be described as magic. You know both Light Alchemy, the art of healing or protection, and Dark Alchemy, the art of attacking. While it’s theoretically possible to learn Alchemy at a later point in Evermore, this will let you skip the training and get straight to the mixing and casting, and will make you significantly better at it to boot.</t>
  </si>
  <si>
    <t>Natural Lighting (Personal Reality) (50 WP)
 Completely natural lighting that looks and feels and functions as good as the real thing (sun, moon, or starlight). Comes with sectional dimmer switches and can be sourceless or from any lamplike object you bring into the Personal Reality. Purchasing this upgrades all sources of lighting you bring in, even things like TVs and Computer Monitors to be perfectly safe and naturally adjusting for minimal eye-strain. This replaces Neutral Lighting and does not require any power source.’</t>
  </si>
  <si>
    <t>Defensive Sign “Directional Shield” (Strike Witches) (Free)
 All Strike Witches are trained to produce a 2 dimensional circle of energy a short distance directly in front of them which can deflect light attacks. You cannot fire a weapon through a shield.</t>
  </si>
  <si>
    <t>Ancient Knowledge (Mysterious Cities of Gold) (100 CP)
 You know how to operate the devices left behind by the ancient solar empires – if you can find them.</t>
  </si>
  <si>
    <t>Core Competence (Armored Core Classic) (900 CP)
 You are one of the world’s best mech engineers; the corporations would literally kill to have you on payroll. High-performance MTs that compete evenly with ACs are now feasible- these are a bit cheaper and simpler to build than ACs, at the cost of far less customizability. Or, with even more work- probably most of your time in this jump- you might even come up with some sort of next-gen AC that chumps fellow ACs the way ACs chump their MT predecessors. Just don’t expect to walk away from the job easily... that non-compete clause is murder</t>
  </si>
  <si>
    <t>Class Jumper | Item Construction A+++ (Fate Servant Supplement) (600 CP)
 Class Jumper (Fate Servant Supplement) (50 CP)
 The Anomalous class. Possibly a hero of another world or many worlds. There is no common denominator to this class. It is the most unpredictable of the classes. They gain no base stats (Strength, Endurance, Agility, Mana, and Luck) above the E Rank base level (E x10 the human peak.). They gain a discount on one stat of their choice. They gain one Skill of their choice as their Class Skill (Territory Creation). Jumper also can pick Personalised Class Name for free. You get one C rank Skill (Magecraft) free and receive an E rank for free in any Class Skill you have according to your bought Class. You receive one C rank Noble Phantasm for free.
 Territory Creation E - This skill allows the servant to build a special terrain that is advantageous to oneself as a magus. A Territory allows the creator to cast stronger spells at a reduced cost, with the effects increasing as the rank does
 Magecraft C - Knowledge about modern Thaumaturgy
 Noble Phantasm C - Works of Timeless Eternity: Mystic Forge, Anti-Unit (self)
 Item Construction A+++ (Fate Servant Supplement) (550 CP)
 Item Construction is a Caster-class Skill. It is the Skill to manufacture magical items, from implements of war to items for daily use. Also, this Skill requires time to gather components and manufacture items.</t>
  </si>
  <si>
    <t>Requiem of souls (Jade Cocoon) (200 CP)
 You have been taught the sacred song of the Cocoon Masters, which allows you to soothe a Minion’s raging heart. By playing this song to a weakened monster, you can capture it inside of an empty cocoon. The more damaged the creature is, and the more skillful your playing, the more likely you are to capture it. You can play the song again to release them, but by itself the Requiem will not make them loyal to you. This gives you basic proficiency in a musical instrument of your choice.</t>
  </si>
  <si>
    <t>Glyph Magic (Thief) (600 CP)
 You’ve been trained in the secret art of glyph magic. By writing it down on a surface you can activate the magic. Eventually your skill might grow to the point where you can "draw" in the air. There are Battle Glyphs that are utilized in battle, such as attacking or for defensive purposes like invisibility. Utility Glyphs allow you to augment something, such as augmenting a statue with animation, or closing another glyph. Stationary Glyphsare permanent they allow things like locking a door, or a chair to the ground, or perhaps even opening a secret door. These are just some the possibilities that were presented in the games, but perhaps you will find creative uses for all these glyphs. Additionally you’ve been granted the secrets of the transformation glyphs used for “Glyph Enhanced” perk, allowing you to enhance those that serve under you.</t>
  </si>
  <si>
    <t>Sage (Demons’ Souls) (600 CP)
 In magic you have few equals, many of them brilliant prodigies much like yourself. Your intelligence improves the damages of your spells. With study you can turn great souls into powerful spells to be used. Weaker souls can be used to improve your magic.</t>
  </si>
  <si>
    <t>Weapons Recombination Template (Final Fantasy XIII-2) (200 CP)
 The shady dealer (Actually it seems like everything he’s offered so far is shady) just shrugs when you pick this up. Apparently, it binds two weapons together, and allows you to shapeshift the weapon between either form. You’re not quite sure how it works, but he demonstrates it to you by showing you how a bow can shift into a sword. You can’t help but notice that it also turned into a Moogle afterwards...but apparently yours won’t do that. Unless you throw a Moogle into the mix. Wait...does that mean...</t>
  </si>
  <si>
    <t>Reliable Invention (Kim Possible) (200 CP)
 Anything you construct is only broken when used improperly or purposefully targeted with attacks. The items you create do not malfunction and are completely resistant to damage caused by regular usage.</t>
  </si>
  <si>
    <t>Magitek (Final Fantasy XIV) (100 CP)
 Basic blueprints taken from our scouts in the Garlean Empire, these blueprints are marked for all sorts of military craft, ranging from battle suits to light cruisers. The problem of course, is that you’re going to have to find the right materials to make this in the first place –then there’s the matter of finding the ceruleum necessary to fuel it. The mechanics believe that it is possible to substitute ceruleum with another type of energy with sufficient charge, but you’ll have to tinker with the systems yourself in order to make that adaptation.</t>
  </si>
  <si>
    <t>Formula formulator (Secrets of Evermore) (600 CP)
 Learning new alchemical formulas is pretty easy once you’ve got the basics down. You, on the other hand, can do something much more difficult, and much more impressive. With careful experimentation and tinkering, you can create your own formulas, allowing you to unleash entirely new alchemical effects nobody’s ever seen before. Stronger or more useful effects will generally require rarer ingredients, and they usually need to relate to the effect in some metaphorical way, but as long as you keep those rules in mind you’ll be coming up with new alchemy in no time.</t>
  </si>
  <si>
    <t>Who’s Got the Powa (Personal Reality) (100 WP)
 This provides enough electricity to power a city the size of New York City or London, forever, with nary a brown out or power fluctuation ever. It also comes with all the basic wiring hookups, surge protectors, outlets, circuit-breakers, routers, etc you might need... but you’ll probably want to get a qualified electrician in at some point... or pick up a companion who does that kind of thing. Purchase of this supplies all facilities inside your Personal Reality with electrical hookups.</t>
  </si>
  <si>
    <t>First Generation Striker (Strike Witches) (Free)
 A basic propeller driven Striker unit. Very agile but unable to break the speed barrier. Fighter</t>
  </si>
  <si>
    <t>Gadgeteering (Blazblue) (300 CP)
 Ars Magus aren’t the solution to every problem, and more often than not end up causing more than they solve. You have training in "Traditional" science, and can create purely mechanical devices and weapons, such as magnetism-powered gauntlets.</t>
  </si>
  <si>
    <t>Superweapons (G.I. Joe) (600 CP)
 Your expertise covers the every growing market of weapons of mass destruction. Giant beam weapons that can teleport people everywhere to controlling the weather, if its meant to bring a city to its knees, you know about it. All of these devices however will take a massive expenditure of manpower and resources. Among rare elements that are the cornerstone of the device. Good thing you always know where to get them, good luck with getting past those giant worms!</t>
  </si>
  <si>
    <t>Craftsman (Dorf Fortress) (100 CP)
 You gain the needed knowledge to perform a particular craft be it farming, cooking, leather working or so on. This Perk can be taken multiple times to better prepare you for what is to come.</t>
  </si>
  <si>
    <t>Weave (Jade Cocoon) (100 CP)
 You are now an expert weaver. Doesn’t sound like much, right? Remember that the silk spun from magical creatures’ cocoons was so beautiful that King Karis murdered his own son over it. They have some REALLY good silk here in Parel is what I’m saying, and you are a master of working with it.</t>
  </si>
  <si>
    <t>Mechanical Master (Borderlands) (400 CP)
 You are a master armsmith and roboticist. You can build and maintain standard weapons and shields with ease, and if you put some effort into understanding it you could probably make E-Tech your bitch. Further, you can make temporary Digistruct items, though they tend to explode after brief use. If you find the right components, you might even be able to modify good stuff into truly unique weapons; some might call them Legendary. Though for some reason they always look kind of pearly.</t>
  </si>
  <si>
    <t>Hybridization Theory (Zoids: Legacy) (400 CP)
 So one day you had a bit of spare time after your daily Zoid admiration hour. After taking a close look at your favorite Gojulas and your favorite Mad Thunder, you decided that if the Gojulas could wield the Mad Thunder’s Magnesser Drills like an arm weapon, you could probably reenact that scene from the show you watched two days back on the professor’s hi-def television. Those mechanics can slap on parts and scavenge however they like. You can literally merge two machines together into one, with twice the processing power as before. Mind you, Zoids typically won’t respond well to suddenly sharing a body with another core and another mind, but you’ll have ethical uses for this...right? For most mundane machinery, you don’t need any power source besides your own, but be careful that should you make your machine too big, the internal power supply might not be enough to feed it.</t>
  </si>
  <si>
    <t>Scavenger (Megaman Zero) (400 CP)
 You have a knack for integrating junk into your systems or gear and for using them to make field repairs. After all, self-repair systems only go so far. You’re good at finding compatible parts and at jerry-rigging them for the above purposes. That buster could replace the rifle in your arm, while that torso could be scavenged from to repair your own. Though these parts might not work fully if faulty, and you can’t integrate parts too different from or incompatible with whatever you’re integrating it into, this allows for free upgrades and repairs, as well as self-sufficiency. Perfect for long solo assignments or just survival. Waste not, want not.</t>
  </si>
  <si>
    <t>The Legions (Final Fantasy XIV) (500 CP)
 It is crucial to know your enemy if you are to emerge victorious, and the sheer size of the Garlean Empire means there is a substantial amount to study and develop from. From those who have defected from the Garlean Empire, you and the other research groups have been able to glean a substantial amount of knowledge, but there’s still more out there. If you choose to pursue this, you would be best served if you personally knew some Garleans. Each time you take this, your understanding of Magitek improves, as well as how Garleans operate in general. Distribute this knowledge well – and you may be doing much more to prepare than Eorzea than you’d think. With your improved understanding, the ability and output of Magitek that you procure or produce also improves – as well as Eorzea’s ability to fight off the Garlean Imperial Legions.</t>
  </si>
  <si>
    <t>Deranged Alchemist (Van Helsing) (300 CP)
 You have mastered the medieval forerunner of chemistry, and know the transformation of matter via elaborate rituals and mysticism on top of your scientific approach. The greatest secrets of Alchemy still elude you, such as the fabled Panacea, but that can be found in due time. (Hint: Nobody’s found it. At all.) However, you are capable of transmutation of many materials (although it requires that said materials be the same base) and can create Homunculi from following Paracelsus’ studies into alchemy.</t>
  </si>
  <si>
    <t>POWER OVERWHELMING (Personal Reality) (400 WP)
 Not enough power? Okay, this Who’s Got the Powa Upgrade means that your Personal Reality is now hooked up to the full power of a Sol-Class Star encased in a Dyson Sphere. Congratulations, you’re now a Kardashev II civilization. If this isn’t enough power, you need an intervention.</t>
  </si>
  <si>
    <t>Ars Creation Tools (Blazblue) (200 CP)
 Tools required to make Ars Magus and Ars Armagus. Without these, creating such things would be impossible, because creating the converter to let the user manipulate Seithr requires these specialized tools for the process to work properly.</t>
  </si>
  <si>
    <t>Independent Innovation (Gundam AGE) (600 CP)
 When it comes down to it, you have to take all the advantages you can get-when you get a chance, you take it. This will help. By analyzing foreign or enemy technology, you can not only pinpoint the pillars of ‘Yes, this is why this works like that’, but also find out what they were lacking. You might have to change a few parts of the original design, but overall you can improve on your foe’s failings from data samples and examples alone. Make your Legilis to the foe’s AGE-3.</t>
  </si>
  <si>
    <t>Tech Mastermind (Lost Planet) (600 CP)
 You know the insides of almost every VS and the guts of all your weaponry, and can fix them up to full standard and even beyond basic stuff like patching armor-hell, weld 2 VS together, I’m sure you’ll make something great out of it. You also can make just about any sort of technology or weaponry VS-compatible, and you can-with much, much strife-do the difficult task of working on Harmonizer technology.</t>
  </si>
  <si>
    <t>You Became A Star (Robot Unicorn Attack) (400 CP)
 You’ve gained insight into the process of using rainbows to harness Unicornium without having it explode in your face. With it, you can build your own robot unicorns or other rainbow creatures. Once your initial adventure here concludes successfully you will be taught by an expert wishsmith on everything you might need to know to construct Wishes and design your own upgrades for them.</t>
  </si>
  <si>
    <t>Silk Spinning (Jade Cocoon) (200 CP)
 With a prayer to Elhrim, you can purify a Firefly Cocoon (a cocoon filled with a monster using the Requiem of Souls perk above) and spin it into silk. This kills the monster but produces truly breathtaking silk. The stronger the monster, the better quality of silk is produced. The strongest Minions could produce silk fit for a god. Who knows what you could make from the monsters you might find out there on distant worlds?</t>
  </si>
  <si>
    <t>Universally Upgradeable (Dead Space) (400 CP)
 It’s always easier to make better things from better materials, and your knowledge of far-future engineering is top-notch, meaning that all of the things you make are all that much better for it. Aside from being able to upgrade parts, tools, and weapons further, and make better base parts for tools and weapons, you can apply the bonuses of Infinitely Customizable to things other than tools and weapons, breaking anything down into classes of modular parts and swapping them around to your heart’s content. This nearly obviates every part of the process of retro-fitting older creations with newer parts, aside from the actual manual labor and time.</t>
  </si>
  <si>
    <t>ECHO device with HUD and a melee weapon (Borderlands) (Free)
 ECHO Recorders are portable audio recording devices with a number of visible controls on the unit. They appear to have a gain potentiometer, a one band/octave real-time analyser, and an adjustable microphone. Several other buttons presumably provide the basic functions of playing and recording audio data.</t>
  </si>
  <si>
    <t>Pre-existing Variations?! (Zoids: Legacy) (Free)
 (Only applicable if you already have a robot which has an animal form) Oh my…that robot of yours…I think with a bit of work, we could probably tune it to this new world. I wonder if that’s somehow a new breed of Zoids?... If your robot has a form that resembles any sort of animal, you can import it as a Zoid through the following formula. Cost: 0; Customization Points: 10</t>
  </si>
  <si>
    <t>Warning (Megaman Zero) (Free)
 This program gives your systems or sufficiently technologically advanced gear with displays the ability to display a warning before a fight with an exceptionally tough enemy by your standards. Said warning appears as a capitalized ’warning’ in orange font accompanied with a three boop alarm sound. Though it may not be particularly helpful, it’s certainly a neat thing to have. Can be turned on or off.</t>
  </si>
  <si>
    <t>Garlond Ironworks buff (Final Fantasy XIV) (Free)
 Your existing Magitek creations are improved vastly in performance – and for Machinists, Cid has tinkered with your creations, showing you techniques to improve them to some degree.</t>
  </si>
  <si>
    <t>Trigram Knowledge and Manipulation (Journey to the West) (600 CP)
 Alchemy and matter manipulation with the understanding of the 8 trigrams to represent the fundamental forces of reality and how to represent and enforce change using these. Let me break this one down for you. It’s like FMA alchemy but with less focus on direct creation and more turning one thing into another of a similar size, including living things. However it cannot create life where there once was none and it requires you to write out a short formula describing the change to make it happen. Feel free to turn sand into water, sheep into boulders and anything else you can think of.</t>
  </si>
  <si>
    <t>Tashi Station (Personal Reality) (200 WP)
 Did someone say ‘Power Converters’? This Upgrade to Who’s Got the Powa means that your generator now pumps out any esoteric energy type your Personal Reality’s equipment or city-like objects might need by converting some of its electricity into whatever, be that mana, anbaric power, natural gas, ether, the power of love, or the power of rock and roll. How, you ask? FIAT, BITCHES! (insert Air-Guitar Solo Here)</t>
  </si>
  <si>
    <t>Micromanipulators (A Certain Scientific Railgun) (50 CP)
 These rather delicate gloves were meant for scientific purposes. They’re reinforced with small motors and electrically contracting artificial muscles to allow you to perform delicate work on the scale of one millionth of a meter. While they’re definitely more suited to scientific experiments, they can be put to use in any situation that requires steady hands like aiming a rifle, conducting brain surgery, cooking, defusing a bomb, or even bypassing some redirection and shielding abilities.</t>
  </si>
  <si>
    <t>Build That Wall (Bastion) (100 CP)
 You know the basics of Caelondian technology. You understand how to harness the semi-mystical power of Cores and turn it into usable Mantic energy, to power basic machinery, short-range flying machines, computers, and a variety of other uses. More interestingly, you can use Core power to reinforce existing structures, running a Matic current through it to enhance whatever physical properties it possesses - usually durability, though other uses are possible. This is what allowed structures like the Rippling Wall and the Bastion to survive the Calamity as well as they did. You also gain basic skill for mundane construction.</t>
  </si>
  <si>
    <t>Field Meister (Five Star Stories) (400 CP)
 Ordinary Meisters have sponsors and workshops lined with tools and mortar headdscraps. After all, that’s their job –to build and tune the mortar he adds which form the backbone of literally every single army in the Joker Cluster. Naturally, they’re highly demanded –especially the ones who have made a name for themselves. You’re not quite there yet, but whereas others have fame, you have talent. While no one will say it to you outright, in reality a lot of people are rather envious of your abilities as a Meister. Perhaps your lack of obfuscating memories made it earlier for you to adapt to the necessary qualities to become one –but your potential as a Meister is so strong that you could tune and repair a MH even in the middle of a battlefield with nothing other than a plasma torch and some scrap metal. Frankly, you could probably rig up a temporary workshop just with stray tools lying about –but it’s probably best not to tempt fate by setting up permanent shop in the middle of the battlefield!</t>
  </si>
  <si>
    <t>Shoot For The Moon (Robot Unicorn Attack) (Free)
 You gain a bonus to jump height, and can even manage to make a second jump off of nothing but air at half the height of your first leap. When you jump through the air, your tail causes a trail of rainbows to form behind you. If you decide to alter the style of your mane and tail through customization, the trail you leave behind will be cosmetically altered to match.</t>
  </si>
  <si>
    <t>Magic: Enchanting (Samurai Jack) (200 CP)
 You can grant magical properties to weapons by marking them with ancient runes. Right now you only know how to give weapons elemental properties, but you can learn more enchantments by studying other enchanted and magical weapons.</t>
  </si>
  <si>
    <t>Ammunition Vending Machine (Borderlands) (Free)
 You do get one bonus reward for surviving this hellhole; an ammunition vending machine mysteriously appears in your Warehouse (perhaps Marcus is trying to franchise to other universes?). You can buy ammunition for any of your Borderlands weaponry there, but it only accepts dollars, so not every world will have money you can use. You can try counterfeit dollars if you wish, but the machine probably won’t accept them, and it’s totally willing to shoot you for trying to cheat it.</t>
  </si>
  <si>
    <t>Accelerator Equipment (Zoids: Legacy) (3 Customization Points)
 A pair of ion boosters, slightly weaker than those used on the Liger Jaeger variant, which boost speed significantly. The cost to manoeuvrability is minimal, and thankfully it comes with an onboard power unit that recharges on cells.</t>
  </si>
  <si>
    <t>Robotic Armor (Megaman Zero) (Free)
 You become human again. If you were a robot, that is. Upgrades will be converted into their human equivalents, if not integrated into your armor. Previous powers will be restored to their original, organic equivalents. Your robotic armor can be materialized onto your skin or clothing at will. It will remain in your warehouse otherwise. On the bright side you’re unaffected by incompatibilities robots have with magic and the like. Assume said incompatibilities do not exist unless mentioned to exist. Regain your humanity and embrace yourself as you are.</t>
  </si>
  <si>
    <t>Ruins of the Last Age (Final Fantasy XIV) (100 CP)
 Your scholars have been working on compiling the entire list of known ruins, and the list is at your disposal. Most of these old ruins probably won’t have much inside them, but you never know what kind of information or relic you’ll find. When you realize that the most prominent ancient civilization was old Allag, it’ll explain why a substantial amount of the relics you obtain are related. It does help with your ability to interact with Allag technology though.</t>
  </si>
  <si>
    <t>Thaumaturgical Focus: Transmutation (Fate/) (400 CP)
 There exist many special arts within magecraft, and now you have gained the knowledge of one of them. There are many schools of magic to specialize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t>
  </si>
  <si>
    <t>Pipes Pipes Pipes (Personal Reality) (100 WP)
 Purchasing this provides your Warehouse with enough plumbing fixtures to turn the entire volume of your Personal Reality into one massive pool... or anything below that. This provides clean running water with any reasonably common additives you like (chlorine, glacial milk, fluoride), but does not provide a limitless supply, nor does it heat the water. By default, the amount of water this system can produce per day is 1 billion liters or one megaton of water or a block of water 100 meters on a side, and the default temperature of this water is 25 degrees Celsius. It can support any civilian infrastructure on the same scale as Mexico City or Tokyo. Comes only with the basic hookups. You’ll need a plumber to do the actual piping. We hear Mario’s very good. Bathrooms not included. Purchasing this supplies all facilities inside your Personal Reality with water feeds, and if you’ve Got the Powa, it will supply hot and cold running water as well.</t>
  </si>
  <si>
    <t>AGE System (Gundam AGE) (600 CP)
 This is a 3-part package deal, so you’re getting more bang for your buck. First is the AGE Device, which is a massive data-storage unit that contains the Asuno’s research data (though for you it starts only with what Flit managed to create and gather before the series start) and the blueprints for the Gundam’s armor. It also acts as a key-none of the other parts of this system will operate without it. Next is the AGE Builder, which is an extremely fast 3-D printer (able to make a Mobile Suit rifle in seconds) and continuously collects data from the AGE Device and AGE System. The AGE System is a data collection program that can be installed onto a Mobile Suit and acts as a unique OS. It will collect data and evolve along with its pilot, researching ‘solutions’ to problems, coming in the form of the Wear Parts, arm and legs designed to improve and counter situations. The Wear Parts are flown to the AGE Gundams in battle using the AMEMBO ( one of which is included with this purchase) and swapped mid-battle, though with a different design you could remove the AMEMBO from the equation entirely. This is a highly advanced system, one that can collect, analyze, improve, build and conquer many situations. A Mobile Suit equipped with the AGE System will have a bright letter on its front, defaulting to a blue ‘A’-as a bonus, you may change the coloring and the letter to whatever you wish at any time.</t>
  </si>
  <si>
    <t>Phonograph (Bastion) (Free)
 An old-fashioned hand-cranked phonograph. Very sturdy, gives much higher-quality sound than you’d expect. Has a single record with the full OST for the Bastion game, as well as several additional Caelondian and Ura folk songs.</t>
  </si>
  <si>
    <t>PT theory 101 (Super Robot Wars OG) (100 CP)
 You’ve been around robots long enough to know the basics behind their engineering, at least in regards to the structure and reasoning behind the more common mechs, including the Earth Federation’s standard Gespensts, and the TLI’s Grungust Type 1: the example of the average Super Robot. Weapon knowledge also included in regards to both, which is basically ballistics and some small degree of beam weaponry.</t>
  </si>
  <si>
    <t>Rainbow Savior (Robot Unicorn Attack) (Free)
 We won’t leave you defenseless in this world. At will you can make use of a rainbow dash attack that will easily explode any fallen stars or enemies between you and your goal. You are still vulnerable from above, below, to the sides, and from the rear. This only can be used to attack whatever is directly in front of you.</t>
  </si>
  <si>
    <t>Transcendence (Ragnarok Online) (200 CP)
 Transcendence, the act of rebirth, allows for the expansion from second job upwards to yet another profession above that. Each class has its own transcendent class, as seen in the table below. Furthermore however, the act of transcendence carries its own effects. The Mastersmith can socket items –allowing him to add “slots” where modifications can be implemented onto items. While intended for cards, these can be used for other modifications which need slots if need be.(but effectiveness may be reduced)</t>
  </si>
  <si>
    <t>Ambrosial Artificer (Macross) (400 CP)
 So many moving parts, so many pieces to the puzzle. It’s so... needless. The other tech teams are complete morons. That’s why you’ve learned how to figure out the optimization of your complex machines like Veritechs. What parts you don’t need, you find a way to do away with. What parts you DO need, you can use the now-extra space to improve and bolster their performance. Some will call you mad. But the only madness that will come from your work is the rage of your enemies and rivals.</t>
  </si>
  <si>
    <t>Electron Shield Generators (Zoids: Legacy) (2 Customization Points)
 This wide energy shield array covers over an L sized Zoid completely in any single direction and resists the effects of beam weapons. Can be turned on and off, but is very noticeable when on. It can be hooked up to a power unit for extra strength, but otherwise has its own onboard power</t>
  </si>
  <si>
    <t>Mythology (Final Fantasy XIV) (100 CP)
 With the last age just having come to an end, the legends haven’t started to come about yet, but there are plenty of tales from the ages further in the past. The vast store of Allagan Tomestones the Scholars are collecting is at your disposal, though they’d prefer if you didn’t just take it. With all this expertise at your fingertips, your ability to handle Allagan technology is sure to improve – and you’ll be able to recognize mythical creatures and objects as well.</t>
  </si>
  <si>
    <t>Magic Circuits (Fate/) (Free)
 You receive 20 magic circuits, each of the highest quality, upon entering the jump. These circuits are used to control both Od and Mana, internal and external magical energy respectively, and allow the use of magecraft. The more circuits you have, the more prana you get to play with.</t>
  </si>
  <si>
    <t>Waterworld (Personal Reality) (300 WP)
 This Pipes Pipes Pipes Upgrade provides you with all the water you’ll ever need. Every day this massive Hydrocore Tap can generate enough H2O in any natural form to cover Luna in seas 10 meters deep... let’s call it 500,000,000 cubic kilometers of water. Of course, throughput is going to be a bitch, so the Hydrocore comes with a Global targeting computer and up to a million hoses each capable of pumping out 500 cubic kilometers of water a day... or 5.8 million tons of water a second... or 29 times the flow rate of the Amazon River... each. If this isn’t enough water for you, you might be obsessed.</t>
  </si>
  <si>
    <t>Orgel of Origins (Ar Tonelico) (500 CP)
 A copy of the original Song Science device. A handheld music box that plays a very carefully calibrated song. It is made of Parameno and Grathnode -and got hot pretty quickly. Enjoy your white hole generator -this is what powers the entire tower, including the antigravity generators, weather control, and giant beam cannons. All of it. It’s an infinite energy generator, with a very high output. Unless you buy both this and Song Science, replicating it is nearly impossible, with both it is tricky.</t>
  </si>
  <si>
    <t>upgrades! Upgrades!! UPGRADES!!! (Red Faction) (400 CP)
 You can make it all better. By studying a piece of technology for a short while, you can come up with ways to improve its functions or fix design flaws, though you’ll still need the related technical skills to figure out details. In addition, you can use salvaged materials in lieu of fresh parts for this task.</t>
  </si>
  <si>
    <t>Alpha Documents (Super Robot Wars OG) (600 CP)
 The whole kit-and-caboodle of the Earth Federation’s current research, all in your head (or documented physically/digitally, your choice). Highlights include: the T-Link System to enhance psychic capability, the Black Hole Engine and the Gravicon system involve the manipulation of gravity for both energy and combat usage, the Tesla Drive: a device capable of enabling flight in battleships that can also be miniaturized to allow robots to fly, and the other systems and engineering for the Gespensts up to the MKIII "Alteisen" and MKIV "Weissreiter", the Huckebeins up to the Mark III, the Grungusts up to Type 3, and the Lion series models up to the Astelion.Of course some of this does require EOT resources, so you may be limited in what you can do when you don’t have these resources, you might be able to substitute them with the right materials, given time and research.</t>
  </si>
  <si>
    <t>Unicornium Horn (Robot Unicorn Attack) (Free)
 The first comes free, but additional purchases can grant you more horns. All Wishes come with a built-in horn of the finest craftsmanship. Additional purchases can provide you with an extra horn, or increase the size and destructive capabilities of your initial horn.</t>
  </si>
  <si>
    <t>Artifice (Avernum) (300 CP)
 You have a gift for the creation of powerful magical items. As True Artifacts their magic won’t ever run out, or at the very least won’t run out for a very long time. What you can make is limited to your knowledge, your imagination, and your resources.</t>
  </si>
  <si>
    <t>Decadence (Dune) (100 CP)
 You have the skills to sacrifice neither form nor function when you design, create, or arrange things, which is especially important in a society whose upper crust values opulence the way this society does --after all, the Emperor’s throne is carved out of a single massive gemstone. Whether it’s interior decorating, crafting a knife or sword, building furniture or a vehicle... you can make it appeal perfectly to the most crass or the upper crust. You can also figure out the optimal decor for any purpose or environment, which includes the best places to hide discreet surveillance devices.</t>
  </si>
  <si>
    <t>Doppler Field Generator (Zoids: Legacy) (5 Customization Points)
 Restricted to only S (small) sized Zoids. The generator allows for the Zoid’s image to be projected simultaneously in multiple directions. Bystanders see this as multiple copies of the same Zoid moving in sync. Unlike a ZOS core, none of the doppler projections are real however.</t>
  </si>
  <si>
    <t>Scrapyard Skills (Swat Kats) (300 CP)
 Where others see junk, you see treasure just waiting to be utilized. You can make far more use out of scrap metal and tossed out electronics, repurposing them for many different tasks. That washer machine might have the parts needed to help spin an engine turbine, or that piston tube might be JUST the right size to refashion into a grappling hook launcher... it’s all in how you use it and how you repurpose things.</t>
  </si>
  <si>
    <t>Azys Lla data (Final Fantasy XIV) (100 CP)
 As the Curator explains, the use of Magitek was just a fact of life in the days of old Allag. As such, many of the workshops and tools you’ll find in Azys Lla are capable of tuning your Magitek and other elements of technology to an all new level. You’ll find that any technological element you use has all of their parameters increased slightly. Maybe when the war is over, it would be a good idea to come back and take another look around.</t>
  </si>
  <si>
    <t>Thaumaturgical Focus: Alchemy (Fate/) (400 CP)
 There exist many special arts within magecraft, and now you have gained the knowledge of one of them. There are many schools of magic to specialize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t>
  </si>
  <si>
    <t>Dynamic Waterworks (Personal Reality) (100 WP)
 This is a strange one, but say you have an infinite source of some liquid and you want it pumped from wherever you source it through your Personal Reality, this Pipes Pipes Pipes Upgrade is for you. The plumbing hookups for your Reality now support up to six additional inputs from sources you must personally supply, and run those feeds through your Reality. If you have Central Control, they can even be mixed in precise ratios at each distribution point. So, say you had an infinite supply of cocoa and an infinite supply of peppermint schnapps... you could set the system to dispense cocoa from all the brown faucets, peppermint schnapps from all the red &amp; white faucets, and spiked hot chocolate toddies from the brown &amp; red faucets... and could even tell it to make the mix in your office stronger than the mix in the staff break-room. While this can be combined with Water World to a degree, that degree is only to use the hose network to dispense a reasonably vast quantity of ‘unlimited liquid x’... say enough chocolate to make a small river... not to flood the planet... unless your source for that unlimited liquid specifies ‘absolutely unlimited’... generally speaking, if it’s for personal or even industrial use... it’s not good enough. Global usage at the very limit required for full Water World Integration.</t>
  </si>
  <si>
    <t>Diagnostic Tools (Outlaw Star) (50 CP)
 A small data display with numerous connectors and scanners, capable of letting you know what is wrong with simple technology and what advanced technology that has been programmed into it.</t>
  </si>
  <si>
    <t>Hard Science (Raildex Science) (600 CP)
 You have knowledge of Academy City’s science and technology to rival a scientist with a doctorate and several years of experience under his belt. you are much more intelligent, analytical, and can easily keep your cool under pressure and rein in your emotions. You also gain a Doctorate’s worth of Regular Scientific knowledge in the discipline of your Choice. You know the inner workings of recoil mitigating systems and powered armor, but your true specialty is the Esper creation and development process. Given enough time, you might just figure out a way to get rid of the randomness inherent in the process and give x person y ability. Training an Esper to help them reach their maximum potential is child’s play.</t>
  </si>
  <si>
    <t>Titan Engineering (Titanfall) (100 CP)
 Titans are incredibly complex machines, and due to the disposable nature of their use and production, and not designed for easy repair. You’ve got the deft touch though, and know exactly where to tweak and shore up the structure to keep it purring like it’s fresh out of the drop pod for years.</t>
  </si>
  <si>
    <t>Make A Wish (Robot Unicorn Attack) (Free)
 You can take whichever three Wishes you’d like to use. All Wishes are equally effective at defeating obstacles and traversing the realm.
 Unicorn: The classic wish! Though mostly horse-like in appearance it has some key differences such as rainbows, being a robot, and a horn.
 Mother-flipping Sabretooth Tiger: So cool it’s awesome. Plain stripes? How about rainbow stripes? Great shiny metal teeth too, which like all Unicornium resists rusting.
 Dragon: Large and stylish wings set this Wish apart from the competition. Unfortunately, they are just for show and not actually flight capable.</t>
  </si>
  <si>
    <t>Minor Enchantment (Gunnerkrigg Court) (200 CP)
 Make boots that will always fit or makeups that change to your whims. These magical tricks have a very wide range of applications but will generally not be on a very grand scale; though the utility from walking on walls is not to be denied.</t>
  </si>
  <si>
    <t>Chosen of Death (Lord of Light) (600 CP)
 Great Yama, Death-god, has seen you clearly and bade you enter the Vasty Hall of Death, to serve as his partner in creation. Not merely revealing his secrets of science -you are his equal in the arts. Your creativity is that which may forge ten unique treasures each day, or mass produce legends. Design of all forms of weapons, armors, vehicles, and utilities comes to you with blinding light and strength of inspiration. With this position comes the virtual guarantee of rebirth in your next life, as a Demigod of the forge.</t>
  </si>
  <si>
    <t>Nanotech Wizard (Ratchet &amp; Clank) (200 CP)
 You acquire a basic understanding of the nanotech of this universe. Use it to fix yourself up when you get hurt, or use it on others. If integrated with weapons or armor, it gives them the capacity to upgrade over time and to potentially change their abilities.</t>
  </si>
  <si>
    <t>Rockin’ Music (Swat Kats) (Free)
 When you’re going around or doing something awesome, you can choose to have a sick electric guitar riff or a few notes of heavy metal goodness playing as you work in all your glory! ...or villainy. Either way it’s sure to sound amazing.</t>
  </si>
  <si>
    <t>Mega Bomb (Chrono Trigger) (600 CP)
 Magic and Technology are both capable of some pretty fantastic things. So why not put them together, and see what happens? You now understand the secret to integrating magic seamlessly into your mechanical devices, enabling you to create devices like bombs powered with fire magic or medkits that use healing magic. While initially your devices will be one-shots that rely on a magical charge you have to deliver, in time, you’ll learn how to make much more advanced fusions, such machines that run on magical power sources, or automated spellcasting devices. In the end, the only limit is your skill with machinery and magic.</t>
  </si>
  <si>
    <t>Status Page (Fate) (Free)
 A natural boon given to all masters, you have the ability to view the abilities of your servant and other beings in the form of an RPG statistics page. While this does not give you any information you do not already know, it does put it into an easily understandable format.</t>
  </si>
  <si>
    <t>Storage Solutions (Personal Reality) (200 WP)
 Your Personal Reality now has a specialized set of construction automatons which can produce the appropriate storage option for anything you know how to safely contain. These golems could make protective cases for your collectables, display cases for your pet universe, or just endless crates to stuff the preserved heads of everyone who has ever crossed you. All such storage items are fiat-backed never to weaken or wear out and can easily integrate any form of security you might have. All will be clearly labeled.</t>
  </si>
  <si>
    <t>Kinesis/Stasis Module (Dead Space) (200 CP)
 Ah, technology, the best part of the future. The Kinesis Module projects an artificial gravity field from an emitter pad on the palm of the hand it’s mounted on. Much like the name might imply, this field allows you to lift objects; smaller objects hover about a foot in front of your palm, whereas larger objects, most of which must be specifically modified to work with it and are typically on tracks or rails, move as close to you as they are able. You can manipulate these objects with your hand, and even throw them with a surprising amount of force, enough to penetrate a body with a bone spike and nail it to a steel wall. Stasis, on the other hand, as its name might imply, creates a temporal stasis field of a certain volume around the targeted object. It affects both organic and inorganic material, including living creatures, and has no problem with irregularly-shaped objects, flowing out around the targeted object.</t>
  </si>
  <si>
    <t>Xenoarchaeologist (Stargate SG-1) (600 CP)
 For whatever reason, understanding the civilizations of old means you’re able to understand alien technology a lot better. You may not know everything off the bat, but upon first sight you have an idea of what it was meant for... and the longer you look at it, the more information you can glean. Fiddling with it will let you familiarize yourself with it more quickly.</t>
  </si>
  <si>
    <t>Titan Chassis - Medium (Titanfall) (Free)
 Titans. Six meter tall war machines, these humanoid automatons are probably half the reason you're here. Titan's are controlled from a cockpit that forms the torso, inside is a projected display that is a feed from external camera's mounted on the Titan's hull. Titans incorporate a form of force field around the Titan called a bodyshield. Invisible until a projectile is in range, the body shield slows or stops projectiles and forces explosive projectiles to detonate early, significantly reducing damage to the Titan. If a bodyshield is activated too often in a short period, it can be overloaded and go offline until it recharges, making the Titan significantly more vulnerable.
 Each Titan has it's own unique core ability and them which the rest of the Titan is generally built around, with a supporting tactical, defensive and ordnance ability. A Titan's depends the most on it's battery packs, of which each Titan generally has several. While the reactor may power the Titan's ordnance and tactical abilities, the batteries are large reserve power packs that are used in self repair and to maintain structural integrity. Once all battery power is consumed, the Titan will often lose the ability to walk or maintain it's bodyshield, and easily crumble under bombardment. This makes batteries tempting targets for other Pilots to attempt to steal via a 'rodeo' maneuver.
 Every Titan also comes equipped with it's own internal AI, which – on the surface – manages all internal Titan functions, such as power, stabilization and targeting. To a Pilot, however, an AI is much more than that. It is their partner both on and off the battlefield, loyal and helpful to a fault- to the point that many Pilots would call their Titans 'friend'. While of the available classes, Legion, Scorch and Ronin are loaded with male AIs and Northstar, Tone and Ion loaded with female AIs, you may choose the programmed gender of your AI as well as it's general voice. From that point on, it is a fairly blank slate as far as personality development is concerned, being designed to eventually develop an AI to compliment you- it's Pilot.
 Buying a Titan chassis does not give you a single Titan. It instead gives you the plans to construct Titans, and during the jump, privilege to request a Titan from your faction, if you are acting in their interest or have sufficient rank, you can request a Titan more often. You get a clip on device that instantly relays coordinates to your faction for a Titan drop. If one of their ships are in range, a Titan will be delivered to your location in a drop pod.
 Medium – The first Titan ever developed and tested in combat, the Atlas' design methodology has survived the ages, being built around a balance of armor and speed. With two dashes to use, medium chassis can never the less take more of a beating, and have modern day descendants in the Tone and Ion Titans.</t>
  </si>
  <si>
    <t>Blacksmithing (World of Warcraft) (300 CP)
 Smith various melee weapons, mail and plate armor, and other useful trade goods like skeleton keys, shield-spikes and weapon chains to prevent disarming. Blacksmiths can also make various stones to provide temporary physical buffs to weapons. Zen Master: At this level you’ve mastered everything from basics to advanced. Additionally you’ve expanded your knowledge of the profession beyond the mastery of both basics and advanced stuff to complete understanding of it. At this level you’re on even playing field with top 1% of your profession. Should you write down your knowledge it would easily be considered a work of art in that field.</t>
  </si>
  <si>
    <t>Blood Artisan Plus (Bloodborne) (600 CP)
 You have been granted an experienced artisan’s knowledge on crafting things out of blood. This is basically an overall improved version of Blood Artisan, allowing you to craft more potent Blood Vials, larger Blood Stones and even Blood Gems. Blood Gems are supernatural gems formed from blood that can be slotted into weapons to give them a variety of special abilities. Some Blood Gems can make an edge sharper, or a tip pointer. Other gems can bathe a weapon in fire, poison or electricity to make them more effective against certain enemies. Some gems can even increase your strength or dexterity while wielding the weapon it’s slotted in. Their magical powers can be stacked, to an extent at least. This means you may slot up to three different Blood Gems in the same weapon, though no more. Blood Gems can be slotted and removed with special equipment.</t>
  </si>
  <si>
    <t>Bling of War (Macross) (100 CP)
 It’s one thing to have a weapon or vehicle of mass destruction, capable of rending an entire ground force or a squadron to shame. It’s another to make it look so damn good your enemies would not dare get near it if they had a lick of sense. By purchasing this perk, you can design your equipment to look much more stylish and carry a ’theme’ you prefer. This can range from the clothes you wear, to the weapons you wield, to even the vehicles you pilot into battle. It’s all about style.</t>
  </si>
  <si>
    <t>Prototyper (Polity) (600 CP)
 You’re more than capable of inventing new and novel systems that integrate existing technologies in startlingly effective ways. Any fool can make a laser or a missile bigger; what you do is combine different technologies in new and inventive ways - they thought Tenkian was a genius? Well he’s got nothing on you. Whoever though putting a shear-field on a missile was going to work? Here, you’ll find inspiration for combining the Polity’s technologies in new ways – hardfields, antimatter devices, artificial gravity, AI subminds, Under-space tech, all the neat stuff – even Pradortech. The technology of the Jain, Csorians and Atheter are still beyond you, however. After this jump, your inspiration works to combine different technologies from completely differentorigins into new devices, and removes the restriction on Jain/Csorian/Atheter tech.</t>
  </si>
  <si>
    <t>Element Analysis (Bomberman 64: The Second Attack) (100 CP)
 With a little elbow grease, you can easily identify the elemental composition of ANY material and with the right resources, break it down to its base elements for further use.</t>
  </si>
  <si>
    <t>Guru (Chrono Trigger) (600 CP)
 Back in the glory days of Zeal, “Guru” was a title reserved only for the most skilled and knowledgeable of their mages and scientists. You might not be there yet, but when I’m done with you, you’ll be well on your way to deserving the title. Magic is akin to a science to you, letting you delve into the secrets of sorcery the same way a physicist would unlock the secrets of the atom. This also includes learning how to apply magical knowledge like an engineer does the sciences, letting you come up with breathtaking magical wonders. The Blackbird, the Mammon Machine, the Ocean Palace - who knows what you’ll add to that list of legends.</t>
  </si>
  <si>
    <t>Dapper Dressing (Fate) (Free)
 What is a magus without style? A priest without his robe? A jumper without their outfit? Taking this allows you to create your own fabulous outfit, or take a copy of an existing outfit from any Type Moon character. This may be purchased multiple times.</t>
  </si>
  <si>
    <t>Starting Space (Personal Reality) (Free)
 Your Personal Reality starts out with volume of 80 x 80 x 10 meters, so 6,400 square meters of floor space or 64,000 cubic meters of storage volume. In the archaic and silly ’Imperial’ measuring system this translates to 262.5 x 262.5 x 32.8 feet, so 68,889 square feet or 2,260,138 cubic feet.</t>
  </si>
  <si>
    <t>The Toolkit (Sabaton) (100 CP)
 When wielding this toolkit, you can repair devices most would think broken beyond salvation. You could find two twisted armor plates and a couple of treads and before you know it, you have a tank that’s as good as new.</t>
  </si>
  <si>
    <t>Engineering (Dead Space) (100 CP)
 You’re a real Mr. Fix-It, y’know? Malfunctioning fuel intake? Easy. Faulty asteroid defense cannon? Turn it off, then on again. Non-responsive communications array? Shuffle the working emitters around a bit so they’re symmetrical. Undead monstrosities? Depends on what you mean by, "fix." Does using a rivet gun to blow them apart count? Yes? Then we’re good.</t>
  </si>
  <si>
    <t>Titan Hangar (Titanfall) (Free)
 A sophisticated auto-factory, this attachment to the warehouse will manufacture any Titan you have the plans for. The designator now causes one of these Titans to be deployed to the point you designate in a drop pod when used. Once deployed, another Titan won't be produced until you return it to the warehouse or it is destroyed. Additionally, a Titan is now constructed once a day for free, but if you want more than one Titan per day, it will still construct you more if you can feed it the necessary raw materials.</t>
  </si>
  <si>
    <t>Infinitely Customizable (Dead Space) (200 CP)
 It’s not that your guns are bad, by any stretch of the imagination, it’s just that they could be so, so much better. And now you can actually do that. In this world, tools and weapons are aided by nano-scale circuitry, which leaves a lot of room for improvement, typically in the form of power nodes being welded into specific places to provide extra power to certain subsystems of the weapon, to increase power output, ammo count/efficiency, and even unlock special abilities, like setting enemies on fire, or exploding violently. As an added benefit, you also get the ability to break weapons and tools down into parts-specifically frames, tools, tips, accessories, and upgrade chips, see the Notes section for more information-and reconfigure them to your liking. You can even upgrade those parts individually using power nodes.</t>
  </si>
  <si>
    <t>Weapon Absorption (Dark Cloud) (200 CP)
 Were the Moon People the ones who developed weapons as they exist in the world today? Perhaps, with their technological expertise, they tampered with such things -but we may well never know. Your weapons modified with this will adapt the concept of "experience", allowing them to grow as more enemies are defeated with them. As more enemies are defeated, you can absorb other weapons into the base template -improving the qualities of the original weapon.</t>
  </si>
  <si>
    <t>Material Synthesis Science (Gundam: After Colony) (200 CP)
 You know a few things about getting your own materials, but you also have a bit of know-how about how the people here get such quality materials. Normally, you know how to forge, quench and mold materials into more high quality specimens, but you have a specialization in Zero-Gravity Material Synthesis as well-in microgravity conditions, you can create much more effective materials thanks to the limitations of gravity being removed.</t>
  </si>
  <si>
    <t>They’re Like Legoes, Right? (Kerbal Space Program) (200 CP)
 There’s robust engineering, and then there’s modularity. Pick one. Except for you - you seem to have the gift of designing methods that allow for seamless mixing and matching of modular technology that lack none of the parts incompatibility and fragility you’d except from such a design paradigm. While this seems focused on Kerbin technology in specific, a little work should have you applying such a paradigm to all sorts of technologies...</t>
  </si>
  <si>
    <t>Harmless Extraction (Final Fantasy XIV) (200 CP)
 With hempen yarn and animal skins in shorter supply since the catastrophe, you and other craftsman have had to adapt your practices in order to keep the orders met. Practices to minimize the amount of animals killed, to make the most out of that which you have on hand are all crucial nowadays as resources grow scarcer. While the animals still aren’t too comfortable with it, with this magic you can weave together a copy of their skin or wool, while only taking a small portion of what they have. It doesn’t really feel right, but at least the animal is still alive! It’ll take time, but what you’ve taken will slowly grow back.</t>
  </si>
  <si>
    <t>Tech Wizard (Devil Survivor) (100 CP)
 You’re really good with machines. You just sort of understand how they work, better than most. But not just regular machinery, no. You’ve learned how magitech works too, to a certain extent. COMPs are incredibly powerful tools, allowing users to summon demons, learn magic, go beyond normal human limits, and fight on the same level as demons. You can’t build one yet, but you’ve figured out how they work, and even how to modify the coding to a certain extent. Won’t the Shomonkai be surprised to find out they’re no longer safe from their own toys?</t>
  </si>
  <si>
    <t>Creation Prodigy (Ar Tonelico) (300 CP)
 Grathmelding is an artificial magic created as a safer alternative to Song Science by the Goddess Eolia. By combining items via ritual alchemical methods with a Grathnode crystal, the immense Silver Horn wrapped around the tower detects the signal emitted and computes a burst of transmutation magic in response. This ranges from creating magic swords, mechanical armour, advanced prosthetics, healing potions, guided missiles, all the way up to airships and extremely powerful emergent creations beyond the knowledge of Eolia herself. You can divine a deeper logic behind the often-bizarre recipes and have much better odds when devising new Recipes. For those who live away from Ar Tonelico, Synthesis is the more scientific form of the same process. You’re just as good at this.</t>
  </si>
  <si>
    <t>Shelving (Personal Reality) (Free)
 Basic metal shelves to keep your goods on, the kind you find in industrial big box stores, sized for pallets and numbered for sorting. You’ll get up to as many as will suit your initial space allotment, but if you don’t take all of them, you’ll need to buy more on your own… they sell them at most business supply warehouses, ironically enough.</t>
  </si>
  <si>
    <t>Volcanic Forge (God of War) (300 CP)
 The Smith God’s power is great, but it is not by his will alone that his works are forged. There is also his tools to consider, and with this you have one such tool. Attached to your Warehouse is a small volcano, a fiery beast that will never fade and never falter. Its power is great, reducing the time you need to break down metals and minerals, reworking them into new forms while increasing their quality and inherent strengths. Should you choose, you may also take a significant hit in forging time to experiment with different metals and minerals, melting and combining them to create a different, newer resource with one quality from the second object in question. Rise, craftsman. Rise and begin your work.</t>
  </si>
  <si>
    <t>The Divine Machines (Lord of Light) (300 CP)
 Many and varied are the wonders of the Gods. From the Vasty Hall of Death, Yama brings forth Thunder Chariot and Bright Spear, Trident of Destruction and Wand of Universal Fire. In Heaven, there is an elegant statue with eight arms that plays the lute when addressed, and endless machines that keep all in perfect stasis. The elementary forms of these great sciences and artefacts are laid bare to you, and you may service and understand the technology of this world. While great innovations and the wonders forged by Yama might escape you, you have a solid basis that escapes the vast majority of men and gods in the world -sufficient to greatly impress those who understand the value of such things. With this you also gain one artefact costing 200 CP or less for free.</t>
  </si>
  <si>
    <t>"Extensive Research Notes" (White Knight Chronicles) (1200 CP)
 Not a modification to your Knight itself, no. This is instead a pile of research journals filled with numerous notes and schematics detailing the processes behind the creation and modification of Knights, Knight Weapons and Knight’s Arcs. The journals mention an ancient school of magic used to craft these weapons of war, but it bears a heavy resemblance to another school that seems very familiar. . .</t>
  </si>
  <si>
    <t>Gunsmith (Alpha Protocol) (100 CP)
 People always forget that all Guns need some sort of maintenance, thankfully unlike other people you know and can easily maintain as well repair most modern guns, and you also got a solid basis for learning how to maintain and repair or customize almost any gun that you can get your hands on, in fact your skill right now is good enough that you can at least ensure that whatever gun you clean up and maintain personally will never jam for whatever reason, who knows what you will be able to do in the future.</t>
  </si>
  <si>
    <t>Weapon Synthesis (Dark Cloud) (600 CP)
 By now, you’ve probably come to realize that the weapons in this world are quite peculiar. We’re not talking about the Slingshot that speaks to you by the way, the Fairy King had a hand in that one. How does one crystallize a weapon? We’re honestly not quite sure, though the magic seems to be consistent with the Atlamillia’s properties. The crystals are surely a handy way to store the weapons -but you can also use them to merge into other inanimate objects, passing down a single property of the crystallized weapon as it were.</t>
  </si>
  <si>
    <t>Exotic Compatibility (Gundam: After Colony) (400 CP)
 You have a way of working with quirky and strange materials-in your hands and machinery, it assumes the forging and abilities of plain Iron until you begin building with it. You also can integrate exotic materials into your constructions a lot easier, and if you don’t know what a material is or what it can do, you’re very good at researching applications and properties of said materials. This research could also go into things such as improving production numbers and similar.</t>
  </si>
  <si>
    <t>This Is How I Want It (Kerbal Space Program) (400 CP)
 Your capability of mentally designing items is vastly boosted. It’s almost as if you have a mental idea space in the fashion of a construction bay with a lists of parts you have on hand that gives you an idea of what you can build at that moment... actually, that’s pretty much what you have. As a bonus, you can mix and match parts in a manner roughly akin to legos, and giving you an idea of what would work and what wouldn’t (and how much resources it would take to build). Mind, this doesn’t mean that your mental creation will perform successfully, but it will function. As a final bonus, you can mentally hand-off the resultant creation to your Kerbals to build, and they’ll do so without a mistake or screwup - meaning any snafu that results will be on your own head.</t>
  </si>
  <si>
    <t>Extraction efficiency (Final Fantasy XIV) (100 CP)
 Judging from the state of Eorzea, the Carpenters and other tradesmen here have long since improved the efficiency of their resource collecting processes. From the record books, while the presence of Aether has helped a great deal, the harvesting practices put into place played a large part as to why the natural landscape is still the way it is today. Adopting those same practices, you’ve improved on the harvesting efficiency for all manners of things, not just restricted to trees -but other plant life as well. So at least the plant doesn’t simply die off after one round.</t>
  </si>
  <si>
    <t>Technomage (Libriomancer) (200 CP)
 While not a magic user per-se you have the unique ability to make magic and technology play along together in just the right kind of way. Perhaps you can take a fictional operating system out of a book and install it on a real computer. Or create a self-replicating swarm of nanomachines from a sliver of magically created tissue. Whatever it is, you can do it and are likely to be the envy of your magical peers</t>
  </si>
  <si>
    <t>Synthesis (Atelier: Arland Trilogy) (400 CP)
 Synthesis is the most basic art of the alchemist and deals with the creation of items, usually through simple mixing, though sometimes synthesis can be a complex sequence of magical and chemical reactions. All alchemists learn this to some degree. Seeing as you’re an alchemist, the synthesis of items should really be second nature to you. That being said, even if you’re already an expert, there’s nothing saying that you don’thave room to improve further. Also there is no reason why we can’t help you improve, if you’re willing to put in the effort to learn. !!!Not sure if the ranks stack but I’m saying they do!!! Rank 0: The basics of synthesis, learning how to make basic potions and food without proper ingredients is still pretty helpful. Sure, you won’t be making anything high quality anytime soon, but at least you can make something safely edible from refuse material. It still won’t be “good” for you, but it won’t kill you. Rank 1: Don’t like the looks of what you’ve made? No matter, just give it a makeover! You can substitute the appearance of what you’ve made with something else similar to it in nature. Of course, appearances are exactly that, so don’t expect the function of your item to change. Rank 2: Enhancing what is already present, the items that you create will often possess some small trait related to its original function, generally acting as a sort of minor boost. The nature of the trait will never go against the intended purpose of the item –apotion that normally heals health may also help recover a small bit of your magic. Rank 3: Practice makes perfect, and you’re still a long ways away from perfect. Each time you make that same item, the quality of the product increases, resulting in increased magnitude of the intended effects. Though the gains will diminish the more you create a single item, you’ll find that by the time you reach the plateau you’ll have nearly twice the original effect.</t>
  </si>
  <si>
    <t>Central Control (Personal Reality) (100 WP)
 This optional purchase hooks your Personal Reality up with a Smart Pseudo-Intelligent Computer System that tracks the location and condition of all items brought into the Personal Reality. It will share that information with you or anyone you authorize to use the system. They do not have to have a key and you can set up varying levels of access. Central Control can also recall your companions to the Personal Reality if you have Portal and command it to or they are killed and you’ve set up automated recall. It can open your Personal Reality Door from the inside if you’ve given it permission to do so, but will only admit those it believes will assist you. It can only open doors on which Access Key has been used on, but the key need not be still in that door for the door to be opened.</t>
  </si>
  <si>
    <t>Armor-Shift Manufacture (Bloody Roar) (100 CP)
 A small machine - big enough to hold a massive pauldron or two - that gives any pieces of armor or clothing placed inside a specific quality: When their wearer changes form, the armor and clothing changes form with them.</t>
  </si>
  <si>
    <t>Bright Spear (Lord of Light) (Free)
 One and one-half span of silver is this spear, attuned to your brainwaves and taking flight at your will. It strikes faster than any arrow, and vibrates through any shield - shaking clean of gore before its return to your hand. It may also move to intercept arrows and blows, as well as carry you aloft at speeds to outpace the finest horse.</t>
  </si>
  <si>
    <t>Black Thumb (Mad Max Gauntlet) (100 CP)
 You have the skills of an expert mechanic, able to keep vehicles running even in the most inhospitable conditions. Repairing and tuning up engines is your bread and butter, even while they’re still operating. You also have a feel for how to upgrade cars in more esoteric ways; hey, it takes skill to add that many spikes and not hurt the handling!</t>
  </si>
  <si>
    <t>Master Craftsman (Forgotten Realms) (300 CP)
 You are exceptionally skilled at crafting things. At your worst, your results are masterwork.</t>
  </si>
  <si>
    <t>Leo (Gundam: After Colony) (Free)
 This is an adorable, lovable little scrapper we call the Leo, and it’s actually fairly decent for a Mook- it’s got armor enough to survive a few shots from its own gun, it’s able to be modified with little trouble (adding a space-movement backpack or shoulder cannons) and it doesn’t have restricted hands. Still, it’s just a Mook, but can you resist the needy stare of this cutie?</t>
  </si>
  <si>
    <t>Rapid Growth (Final Fantasy XIV) (200 CP)
 You can’t afford to wait years for a forest to regrow! By the time that forest grows to a state where it’s ready for harvest, you won’t even need the lumber to build your house anymore! No, in order to make it in time for harvest this season, you’re going to need to draw on some more potent forces.It might be a little bit dangerous to use Aether in such a fashion, but by imbuing the saplings with concentrated Aether, you’ve successfully sped up the growth rate of the trees -to a point where you can harvest them again. Well, unfortunately, the trees did grow a bit bigger than normal, but you expect that’s just a normal side effect from using concentrated Aether to grow things.</t>
  </si>
  <si>
    <t>Technomancy (Mage: The Awakening) (400 CP)
 Using technology with magic is not a new practice, especially since technology has existed since man first made fire, or tied a stone to a stick and called it a spear. While there are many other mages who purport to merge technology and magic, you do so with such seamless efficiency that it is nearly impossible to tell where technology ends and magic begins. You could tie the triggering of a spell to a computer program, having it take effect when someone tries to open it. Or perhaps you could use your magic to improve the quality of machines, increasing their speed, effectiveness and overall power. Perhaps you could even write out a grimoire, a repository of magical knowledge into a simple graphing calculator. What everyou do, it will likely be creative and never seen before as the disparate disciplines are masterfully merged under your guidance.</t>
  </si>
  <si>
    <t>Efficiency (Atelier: Arland Trilogy) (600 CP)
 As you grow in your skills as a crafter, you’ll start to see more and more requests being handed your way. Before long, you’re going to realize that you don’t have all the time in the world to make everything that is requested of you, and that’s when it becomes all the more important to complete your assignments efficiently. Efficiency isn’t just a matter of time management –it’s about managing waste, reducing redundancies, and above all –improving yourself. Yes, you’ll learn how to reduce the amount of wasteful choices you have to make –but should you apply yourself to this, there’s a lot more to efficiency than what you’ll learn by scratching the surface. All it depends on is whether you’re disciplined enough to follow through. Rank 0: As advertised, you’ll learn how to reduce the amount of waste produced during your crafting process. Achieving a 1:1 conversion will not be possible with this alone, but being able to turn the waste product into a desired product can go a long ways to making synthesis more manageable. Rank 1: You can use less of an item, you won’t need to make as much. The effect of any item that you craft is increased slightly from its original magnitude, and their durations are again increased slightly. It will take you a little longer than usual to create items –but that’s an acceptable sacrifice.</t>
  </si>
  <si>
    <t>Your Robots (Personal Reality) (200 WP)
 This Central Control Upgrade provides you with an automated sorting system that sorts and automatically retrieves anything stored in your Personal Reality. These Robots are completely upgradeable and programmable, so you can keep them out of key areas or tell them not to disturb certain potentially explosive experiments if you want. You get twenty of them and instructions on how to make more.</t>
  </si>
  <si>
    <t>Beast Change!: Inostrancevia (Bloody Roar) (Free)
 You can freely access your Zoanthrope form, becoming a monstrous humanoid that is a horrific combination of human and beast. Reptile, mammal, avian, amphibian, piscine, it does not matter what. If it existed in Earth’s lifetime, you can choose it. (Yes, this includes Dinosaurs. No, it does not include microorganisms.)</t>
  </si>
  <si>
    <t>Skills: Combat (Star Trek – TNG+DS9) (100 CP)
 Hand to hand fighting is an ancient and quintessential skill for every soldier no matter what time period.</t>
  </si>
  <si>
    <t>Consummate Knowledge (Ring of Red) (100 CP)
 You know everything there is to know about repairing, maintaining, and fueling AFWs. This includes a working knowledge of diesel engines, pneumatic systems, ranged and melee weapon systems, among others.</t>
  </si>
  <si>
    <t>Smithing (Thundercats 2011) (200 CP)
 The ancient art of working with metal to forge weapons and armor. You know how to make beautiful equipment that can survive countless battles and you could even forge a legendary weapon if you dedicated enough time to it, although it’d probably take at least several years to complete.</t>
  </si>
  <si>
    <t>Minor blessings (Percy Jackson) (100 CP) - Repeatable
 For one reason or another you’ve got a god who cares slightly about you and has seen fit to grant you some minor boon within their domains. Choose one god from any pantheon and gain a minor boon from them. The god will care slightly about you but unless you go on to further distinguish yourself it will be more of a minor interest in your affairs than someone they feel the need to help (Effectively think a diminished version of one ability a demigod might have, think minor ones are stuff along the lines of breathing water, lucid dreaming, or appropriate vague extra senses, useful but nothing especially major). This can be taken multiple times.
 Purchased Blessings: 1.) Athena – Craftsmanship, 2.) Hestia – Hearthfire, 3.) Artemis – Bowmanship, 4.) Hera – Administration, 5.) Aphrodite - Beauty, 6.) Hades - Ferrokinesis</t>
  </si>
  <si>
    <t>Cold Fires (Final Fantasy XIV) (200 CP)
 The hotter the fire, the easier the metal is to form -but too hot, and the metal will simply melt away. That’s always been a conundrum which you had to solve. The mages however, have a different solution for your problem. By imbuing fire with Aether, you can reach the conditions necessary for forging at far lower temperatures than normal. Similarly, the intensity of any fire spell you cast is significantly increased</t>
  </si>
  <si>
    <t>Alchemization (SBURB) (400 CP)
 Alchemization is strange business, creating punch cards, double punching and overlapping them to combine items into entirely new items. It’s quite an amazing process, but sometimes unpredictable, and without care you could end up with exceptionally silly results. You however, are something else. The moment you get access to an Alchemitter, you will be the most fashionable and deadly kid in paradox space. All of the style will belong to you. In addition to instinctively knowing how to find the best combinations for outfits, weapons, and such things, you’ll find it also easy to make useful tools such as a Captaroid Camera, to use things in alchemy without having to actually put it into a sylladex. Handy if you want to duplicate your brain, or something too large to fit. In general, if alchemizing something is possible, you’ll be able to think of way to do it.</t>
  </si>
  <si>
    <t>Maintenance Systems (Personal Reality) (100 WP)
 This upgrades Your Robots so that instead of just sorting and fetching they now automatically upgrade with all tech production and repair skills you gain and now provide basic cleaning and maintenance services for anything in your Personal Reality that you know how to fix or repair. They are going to be practically invisible unless you look for them.</t>
  </si>
  <si>
    <t>Martial Artist: Muay Thai (Bloody Roar) (Free)
 Pick one martial art from Earth’s history &amp; various cultures. You now know the basics of this art, as well as a few of the more advanced moves. More beneficially, you know how to apply this martial art to your Zoanthrope form - and combine the two into a deadly style of combat. Wrestling forms and dances are also accepted if they can be theoretically used in combat.</t>
  </si>
  <si>
    <t>Skills: Stealth (Star Trek – TNG+DS9) (100 CP)
 Your ability to sneak around unnoticed. This will help you take down enemies unnoticed, infiltrate secure facilities, and steal thing without being detected.</t>
  </si>
  <si>
    <t>Swiss Army Engineer (Ring of Red) (600 CP)
 Most AFWs are designed by whole teams of engineers spending months, if not years, getting all the complicated systems to work together just right. But you can do it all on your own. You know how to build all AFW types from the ground up and don’t have to worry about all the tedious fine-tuning most do. With further research and some time, you’re confident that you can incorporate weaponry from other Jumps, albeit in a grungy, era-appropriate way.</t>
  </si>
  <si>
    <t>Crafting Genius (Final Fantasy XI) (300 CP)
 You are adept with using the synthesis system to create any items or consumables which adventurers use on a regular basis, such as armor and potions. To a lesser extent, this also makes you a jack of all trades when it comes to mundane means of crafting similar items. Your work tends to be of high quality relative to the rest of the setting</t>
  </si>
  <si>
    <t>Feel It Out (F.E.A.R.) (600 CP)
 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t>
  </si>
  <si>
    <t>Unnatural Skill (Percy Jackson) (200 CP) - Repeatable
 Whether from your heritage or just being that good you’ve got one particular mundane skill that your feats which border on supernatural. Whether you’re a smith on the level of the Cyclopes, a near prescient tactician or a swordsman who is nigh unstoppable with a blade your feats will be legendary. You are on a level within your skill such that only other beings of legend can hope to match you. This may be taken multiple times. You may not choose magic but you may choose a particular application of magic if you have it already (so curses, enchanting might work, more specific gets a bigger boost).
 Purchased Skills: 1.) Smith, 2.) Alchemy, 3.) Enchanting, 4.) Transmutation, 5.) Runes, 6.) Music</t>
  </si>
  <si>
    <t>Composition Analysis (Final Fantasy XIV) (100 CP)
 "Before you get to work, you need to know what it is you’re dealing with!" -that was the first lesson you were taught when you started this discipline. Certainly, your mentor was right. Without knowing what you’re working with, you’re simply courting with catastrophe. With a bit of help from the Aether tools you have, you can discern the properties of any material you’re working with -enough to know if there’s an occupational hazard involved with handling them. But with sufficient practice and a discerning eye, you can figure out what any item is made up of.</t>
  </si>
  <si>
    <t>Alchemical Expertise (eXceed) (600 CP)
 Alchemy is the ancient art of drawing power from mystic artifacts. Unlike some variations of it you may have seen already, its core principle is imbuement and extraction. First, one must select an object with a useful quality, then they must understand this object fully through study. Then, through this understanding, one may refine this quality into a free-floating concept. This concept may then be applied to a useful vessel, which will benefit from such. For example, one may learn all that there is about a fighter jet, to the point of being capable of explaining everything about it and its operation and function with absolute certainty no matter what circumstances befall it. Then, one may reduce this particular jet to its Flight alone. One could then add its Flight to a suit of armor. An alchemist could then tap into the concept of Flight within it to soar. One could do the same to an industrial electromagnetic order to acquire the concept of Magnetic Attraction, or even a living being in order to acquire the concept of Self-Replication. However, one may only bind two concepts to any given object, and they may not be removed once set.</t>
  </si>
  <si>
    <t>Extranet (Personal Reality) (200 WP)
 This handy add on connects your Personal Reality with the local Data Networks of the Universe you’re currently in... not only that, but it gets the kind of performance only really ever seen by ISPs at their hubs. If your current Reality of Residence does not have a Data Network, this will connect to the nearest equivalent.. yes, even if that is nothing more than a town gossip and a local library.</t>
  </si>
  <si>
    <t>Skyforge (The Elder Scrolls: Skyrim) (200 CP)
 An ancient, mysterious, eagle themed forge added to your warehouse. Any metal items crafted at the forge will be significantly harder and stronger for it. Something about the fires.</t>
  </si>
  <si>
    <t>Skills: Weapons (Star Trek – TNG+DS9) (100 CP)
 Knowledge in the operation and repair of personal and mounted weaponry.</t>
  </si>
  <si>
    <t>Aerospace Engineering Makes Things Go Fast (Kerbal Space Program) (100 CP)
 You have an intuitive grasp on the mechanics of wind-flow, material sciences, atmospheric drag, tensile strengths, rocketry, so on and so forth, and how it applies to the art of designing vehicles that traverse the sky and space.</t>
  </si>
  <si>
    <t>Blessing of Dundr (The Banner Saga) (400 CP)
 You received the blessing of Dundr as he left the world, and received the boon of the god of smithing and knowledge. You gain godly talent in learning how to smith and can weave stories that capture and entertain people on equal footing of the greatest bards.</t>
  </si>
  <si>
    <t>Paxton Fettel (F.E.A.R.) (Free)
 There can be some pretty odd names people take up in places, and if you have an improper name it could lead to getting teased or ill-thought of. Not anymore! With this little bonus you could have any strange-sounding name and people would treat you as seriously as they would anyone else. That’s the key part, ’as serious as anyone else’.</t>
  </si>
  <si>
    <t>Divine Child – Hephaestus (Percy Jackson) (400 CP)
 You are the direct child of a god of your associated pantheon and gain various benefits from this. You gain lesser manifestations of your parent’s domains as well as generally being better than an ordinary mortal. You may take most any god as your parent but to take one of the heads of a pantheon as a parent you must take the "Fate finds you interesting" drawback receiving no points for it (you can also do this with a lesser god to get greater powers). Generally this will give you insight into and some control over your divine parent’s domains, a son of Poseidon for example can control water and ships, talk to horses, cause minor earthquakes and is empowered within water.</t>
  </si>
  <si>
    <t>Acquester (Spiral Knights) (100 CP)
 In times of crisis and desperation, resources become too precious to use on anything other than necessities. The spiral Order has had to save all their supplies to repair their ship, so you’ve had to make do on the field. you know how to look for your own resources, remaining self-sufficient in the field through using scavanged items as supplies for anything ranging from simple maintenance to complex construction. Power Cores, Blighted Bones, or even Goo Drops can be used as spare parts or more. With what you’ve learnt, these days you don’t just survive, you thrive. Whether it’s machines that power the Constructs or the way that Wolver’s fur burns, you’ve learned to figure out what separates useful resources from useless refuse. The world keeps spinning, knight. Keep up or die.</t>
  </si>
  <si>
    <t>Master Synthesist (Kingdom Hearts) (600 CP)
 To make a sword you normally need metal, a tool to shape it, and a forge to heatthe metal. Not you though, you can take strange and esoteric materials and magically combine them into a health potion, or a ring that increases your durability. Once you’ve gotten the hang of it you’ll be able to turn the rare materials you’ve collected into powerful items, weapons that can turn the tide of many a battle. A few examples are making arrowguns that shoot homing laser arrows and can combine to fire a giant bouncing blast, a stringed instrument that can make water dance to your tune to form aqueous duplicates to attack with, or even a deck of cards than can temporarily trap the loser of a game of chance in card form. The greatest expressions of this craft, Save the King, Save the Queen, and the Ultima Weapon, will require years of experience, and some resources so rare you’ll be lucky to find enough even if you scour all the worlds you can. The rarity and power of the materials used will impact the final quality and properties of the finished product.</t>
  </si>
  <si>
    <t>VOWP Cellular Service (Personal Reality) (200 WP)
 This Extranet upgrade hooks your Personal Reality up with Voice Over Warehouse Protocol Cellular Service, and provides you with fiat backed cellphones that are guaranteed to connect to the Personal Reality or to any other cell phone on the service... regardless of what Reality those phones are connected to at the current moment. You gain a vending machine that vends Nokia dumb-phones, iPhones up to 8, and Galaxy S7 smartphones, plus any cell phone (or similar) you supply it with a copy of, as well as SIM cards or the equivalent for other phones. These phones will work just fine no matter where you find yourself, but be careful as they’re just as durable as normal ones and will need to be replaced should they get damaged or destroyed. They must be charged as normal, but get extremely good battery life.</t>
  </si>
  <si>
    <t>Standing Stone: The Lover (The Elder Scrolls: Skyrim) (Free)
 Those under the sign of the Lover learn all skills slightly faster than they otherwise would.</t>
  </si>
  <si>
    <t>Skills: Espionage (Star Trek – TNG+DS9) (100 CP)
 Manipulation, subterfuge and information gathering skills that are essential for every good spy.</t>
  </si>
  <si>
    <t>Workshop Artisan (Bloodborne) (300 CP)
 As if taught at the long gone workshop, you seem to possess knowledge and skill with many of their crafting techniques. You have been granted the knowledge and skills needed to both repair and even create your own Trick Weapons and Hunter’s Tools. Trick Weapons are weapons with a variety of special abilities relating to their form. The most common type of Trick Weapons are those that can transform in some manner. An example being swords that can lock into specialized sheaths in order to become different weapons, sometimes radically so. Not to say transformation is the only ability, there are also melee weapons with guns attached, and maces that can be charged with unnatural blue electricity to deal massive damage. Hunter’s Tools are pieces of equipment with special abilities activated by using Blood Bullets or Quicksilver Bullets as a medium. Hunter’s Tools are usually supernatural items that have been made to work using a Blood/Quicksilver Bullet medium, such as the Beast Roar, a beast’s claw that when activated, allows the wielder to roar like a beast. Some Hunter’s Tools are completely manmade as well, though this is a relative minority. Basically, you now know how to convert things into being activated and powered by Blood Bullets and Quicksilver Bullets. Doing so allows anyone to use them, even if they are completely mundane beings, so long as they have the bullets mentioned above on their person. When making Hunter’s Tools, remember that the more power something requires, the bullets the wielder will need. These skills granted to you may be honed over time, just as any other skill can.</t>
  </si>
  <si>
    <t>Old Traditions (Percy Jackson) (Free)
 You are knowledgeable in the ways of the ancient civilization corresponding to whatever mythology you’re most connected with. You can read their languages, know the proper ways to honor the gods, and have a decent grasp of their mythology. Otherwise unassociated Drop-ins may choose any one ancient culture to know of. You may purchase this multiple times, each time gaining insight into a new culture.</t>
  </si>
  <si>
    <t>Rationing (Mad Max Gauntlet) (100 CP)
 When you don’t have much, it’s important to be careful with what you’ve got. You’re very good at saving supplies, ensuring that anything you find of use stays found and that it doesn’t get wasted by accident. You’ll get every last drop of fuel from a can, and never drop some plastic tubing just because you can’t think of a use at the moment.</t>
  </si>
  <si>
    <t>Basic Nutrition (Personal Reality) (100 WP)
 This option provides a basic (if minimalist) food delivery for you and all companions (metered for a normal human dietary requirement). This delivery comes once a week and is the kind of thing you’d buy on a very strict budget; Ramen, Peanut Butter, Generic Cereal, Dry Beans, Eggs, Tofu, Fresh Common Fruits &amp; Veggies, Canned Fruits &amp; Veggies, Dry Pasta, Salt, Pepper, Milk, Bottled Water, Rice, Flour, Butter, Barley, etc. (Note, you cannot sell the Salt or Pepper for money.) Essentially the purchasing power of 50 dollars US a week per person.</t>
  </si>
  <si>
    <t>Mythical Forge (Jade Empire) (300 CP)
 You have obtained a forge capable of creating gems, as well as upgrading any of your weapons to their fullest potential. The staff known as Golden Star can become Tien’s Justice, the sword known as Fortune’s Favorite can become the Demon Sword. Furthermore, this forge can upgrade your own weapons, increasing the skill it takes to use them, but enhancing their abilities by 50% ... provided you are willing to think of a cool name and backstory for them. The forge is a stickler for tradition.</t>
  </si>
  <si>
    <t>Skills: Medicine (Star Trek – TNG+DS9) (100 CP)
 Training and knowledge in First-aid, diseases, surgery, anatomy, health and nutrition. You’re a fully qualified doctor of the 24th century.</t>
  </si>
  <si>
    <t>Fingers of the North Star (Cave Story) (200 CP)
 You have a natural talent with machinery, and this extends to firearms creation. You can disassemble, analyze, and reassemble any projectile weapon you come across, and you have the ability to create unique, one of a kind guns that utilizes odd and esoteric technology. You also gain a free ’stamp’ you can apply to any weapon you create, to show it’s your work. Upgrading existing weapons is a breeze as well.</t>
  </si>
  <si>
    <t>That Undefinable Thing (Tales of Symphonia) (300 CP)
 Even if you can’t describe it, you can still manipulate it. You can now make physical tools and containers for souls, as well as gaining the knowledge of how to use the soul as a power source for magic, machinery, and living bodies. Given proper resources (raw souls), you can create Exspheres and Key Crests- which can then power the things mentioned in your place. Anything powered by their user’s soul is known intimately to them, inhabited by the soul the same way a body is inhabited by a soul. It becomes in all ways an extension of the self, for good or ill. While the soul is infinite, it can be diminished and grown. Take care.</t>
  </si>
  <si>
    <t>Fate Finds You Interesting (Percy Jackson) (300 CP)
 You must take the "Fate finds you interesting" drawback receiving no points for it (you can also do this with a lesser god to get greater powers).
 (This boosts the power of Divine Child)</t>
  </si>
  <si>
    <t>Scrapper (Fallout 4) (300 CP)
 You have the capability to dismantle and repurpose objects for your own creations; even ones that you might not fully understand. So long as it’s not hopelessly beyond your understanding, indestructible, or ridiculously big, you’re capable of taking most things and reducing them to their base components, salvaging any working parts with only a few days of work at the worst.</t>
  </si>
  <si>
    <t>A Little Less Basic (Personal Reality) (200 WP)
 Although not a huge improvement, this raises the basic food allotment to what can be expected for a middle class working family’s budget. You can set it to the kinds of things your home culture might buy... or simply set it to a random sampling of various cultures’ food purchases. Honestly, it’s fascinating seeing what people buy. Check out Hungry Planet if you can. This is effectively 150 dollars US a week per person, adjusted for cost of living and whatnot. You have very limited brand control.</t>
  </si>
  <si>
    <t>Workshop (Bubblegum Crisis) (100 CP)
 You need tools? You have ALL the tools. Using this, you can effectively build and/or repair any damn thing in BGC, though constructing orbital shuttles might take a while. Never mind getting ahold of the plans. Can act as an independent location or as an upgrade/attachment to Canyon Garage or Underground Hideout.</t>
  </si>
  <si>
    <t>Skills: Robotics (Star Trek – TNG+DS9) (100 CP)
 A combined study of mechanical engineering, and computer science. You learn how to make a wide array of machines, and you could even figure out Android or Borg technology if you studied it enough.</t>
  </si>
  <si>
    <t>Gadgetron License (Ratchet &amp; Clank) (600 CP)
 Okay, here we go. You know how to craft the various kinds of weapons and armors this jump is famous for. Anything from a blaster all the way up to a RYNO, you have a pretty good idea how to invent, make and maintain. Not just gadgetron, but megacorp tech is also fair game. You know it all, just please use this information responsibly. It’s pretty crazy.</t>
  </si>
  <si>
    <t>Iconic Outfit (Tales of Symphonia) (Free)
 This outfit is rugged, stylish, and undeniably YOU.</t>
  </si>
  <si>
    <t>Beauty in the Arts (God of War) (200 CP)
 The Greeks and their gods have an eye for the aesthetics of their surroundings. Whether it is the statues around them, or the floors they walk upon, or the things they carry and wield, it is better if it is appealing. Your ability to design any of your crafts has increased with this knowledge, able to appeal to form without sacrificing function. Regardless of what you create, it’s going to look good enough that the gods might take notice... might. Whether this is a good thing, or a bad thing is for you to decide.</t>
  </si>
  <si>
    <t>Starting Gear (Fallout 4) (Free)
 You get faction appropriate clothing (normal clothes for Drop Ins and Railroad, a uniform for BOS, lab coat for Institute, and a hodge-podge of leather and scrap metal for Raiders) and your choice of a 10mm pistol, brass knuckles, a security baton, a machete, or a laser pistol (regular or Institute), as well as 100 Caps</t>
  </si>
  <si>
    <t>A Lot Less (Personal Reality) (200 WP)
 This A Little Less Basic Upgrade gives you specific cultural (rural France in the 1880s, Moscow under the communists, biblical israel, etc.) and general purchasing breakdown (X% grains, Y% junk food, Z% fresh fruits, etc.) plus raises the food budget to 300 US dollars purchasing power per person per week. Each week you can change what kind of food delivery you get and where it comes from, including any culture you’ve jumped into along your travels. This still does not give you direct control of what you get, just a general batch of stuff that fits your requirements. You can specify brands you’d like, however.</t>
  </si>
  <si>
    <t>Apartment (Bubblegum Crisis) (Free)
 A run down, single-room apartment. Nothing special, but hey, it keeps the rain off. Don’t worry too much about the rent.</t>
  </si>
  <si>
    <t>Skills: Physics (Star Trek – TNG+DS9) (100 CP)
 How the universe works. The law of gravity, the conservation of matter &amp; energy, quantum physics, etc. Remember though, there are dozens of creatures in this universe that defy the laws of human physics, so you may want to try and rewrite a few of these books while your here.</t>
  </si>
  <si>
    <t>Crystal Metallurgy (Final Fantasy XIV) (400 CP)
 You figure that it would only be a matter of time until somebody attempted to forge a suit of armor out of crystal. Frankly, with the materials available and the tools there, it’s more of a surprise that it hasn’t happened already. Of course when you actually try it, you’ll realize why -the magic surrounding the crystals is simply too strong to be forged using traditional means. But if traditional means won’t work, that just tells you that you need to employ more esoteric means of forging. Forging not with traditional fire, but with the concentrated essence of Aether and fire crystals, you can bring to life a suit of armor with crystal alone -retaining its Aether collecting properties, and magnifying the effects of spells all around it. Perhaps with time, you might be able to make golems with this...</t>
  </si>
  <si>
    <t>Questionably Practical Weapon (Tales of Symphonia) (Free)
 You’re fighting with that? Really? And merchants will sell you more and more deadly upgrades? If you want this can be a well crafted mundane weapon instead.</t>
  </si>
  <si>
    <t>Aesthetics (Anno 2070) (100 CP)
 Others may be able to do what you do, but you? You make it look GOOD. Really, REALLY good. All buildings you construct now have a distinctive architectural flair that marks them as yours and yours alone. Even a simple wooden shack you build will have people nodding matter-of-factly and recognizing the design like a nation’s flag, if they’ve had experience with you before. In addition, purely aesthetic construction - landscaped bays, parks, covered walkways, promenades - are not only cheaper to build, but require little to no upkeep.</t>
  </si>
  <si>
    <t>Basic Accommodations (Personal Reality) (50 WP)
 This provides minimalist accommodations for you and each companion. Essentially the same thing you’d get in Basic Training in the military. A barracks with a bunk and a locker and a camp toilet. If you bought Plumbing, this improves to include a communal shower and toilets. In fact, someone need not be a companion for this to work. Anyone you allow into your Personal Reality will be allotted a similar level of basic living quarters, thus allowing you to turn your Personal Reality into a refugee center if you like. If you have Basic Nutrition, this will provide any such guests as you may invite into your Personal Reality with very basic food equal to 1200 Kcal a day, totally vegetarian. This can support up to a maximum of 1 person for every 4 cubic meters of space in your warehouse per day.</t>
  </si>
  <si>
    <t>Laboratorium (Light of Terra DLC 3 – A Grand Day Out) (100 CP)
 Ancient cogitators, arrays of auspex systems, and volume upon volume of documentation supply an Adept with the tools and information necessary to capably analyze a recovered technological artefact.</t>
  </si>
  <si>
    <t>Skills: Physical Sciences (Star Trek – TNG+DS9) (100 CP)
 Understanding of the natural laws which govern the physical world. Biology, chemistry, geology and ecology. Again, you may want to rewrite a few of these books while you’re here.</t>
  </si>
  <si>
    <t>The Arcane Craft (Sword and Sorcery) (300 CP)
 As much as you might look down upon brutes and barbarians who know only how to break bone and spill blood, you and the warriors of this land have one thing in common. You require the tools of your trade. You know all the methods and ways to bind arcane and mysterious forces into physical vessels. Rings, staves, talismans, warded stone towers, and even more. These items allow the channeling of such forces to work your will, capturing, bending, and shaping the worlds invisible tides to enable works of sorcery and occult splendor. The strength of these items and their effects rely on your skill, knowledge, and power. Of course should you yourself be a font of such forces from your varied lives then you would be surely capable of building the focuses and talismans to augment and amplify your power. The world rewards men for diligent labor. It would behoove you to refine this art to get everything you can out of it. This also includes the skill to use such items, even those not made by your hand should you have the ability to reveal their secrets.</t>
  </si>
  <si>
    <t>Magitek Mastery (Final Fantasy VI) (600 CP)
 In essence, magitek is simply the use of magical energies as a power and fuel source for technology. Your understanding of that outstrips anyone else, and you can now apply this principle to any technology you own. By altering your devices to use something magical in nature, such as a magicite stone, an enchanted item, or just raw magical energy, you can enhance it in every single way and give it unique properties. A suit of armor would become much harder, lighter, and more agile than before, perhaps even boosting the physical abilities of the wearer in line with the magical power source. From there, the armor could make more esoteric uses of the magic, such as casting spells on its own based around the sort of magic infused into it automatically or at the wearer’s prompting. This isn’t some measly effect restricted to the mundane or basic, no, magic can infused into any sort of technological device to enhance its functionality and give it a partially magical nature and powers. Even life may be infused with magitek technology like this, not only as cybernetics but directly as well. In this situation, it behaves a bit differently. The magic integrates itself into their body, becoming a natural part of them, allowing them access to that magic system and enhancing them physically, but they must grow into it. They start at a much weaker level, where they have to practice and develop their connection to this magic to realize it fully. There’s no upper limit to them beyond what the magic’s system is capable of, but it can take time, and you can instead choose to infuse living things with a larger amount of magic to grant them greater magical ability much more quickly. Unfortunately, this can have dangerous side effects, as giving them too much to handle at once can lead to mental instability or even insanity, the severity rapidly scaling upwards the more initial energy put in.</t>
  </si>
  <si>
    <t>Tailor Made (Career Model) (100 CP)
 You are a brilliant designer and can ensure objects you create are always looking fantastic, aesthetically pleasing and the like. Making something look good no longer takes any time or effort- you can focus entirely on function, and whatever you make will look outstanding</t>
  </si>
  <si>
    <t>Temporal Controls (Personal Reality) (200 WP)
 This Personal Reality Option gives you control over how fast time flows in your Personal Reality while you’re not there. The default is 1:1, but with this you can dial it anywhere from 1:10 to 10:1. Remember, this doesn’t work when you’re in the warehouse.</t>
  </si>
  <si>
    <t>Lathe-Wrought Armour Plating Kit (Light of Terra) (400 CP)
 The astronomical and gravitational alignment of the Lathe worlds creates the conditions for the production of metal alloys of rare and singular properties. Lathe armour plating is strong and light, flexible enough to withstand the most powerful blows, and even resistant to intense heat or the crackling edge of a power weapon. The cost and rarity of such an upgrade is beyond the means of most individuals, with maybe only half a dozen sets of Lathe-wrought armour upgrade kits constructed in a decade, each created under commission for a specific wearer.</t>
  </si>
  <si>
    <t>Skills: Engineering (Star Trek – TNG+DS9) (100 CP)
 You’ve been trained in the maintenance and repair of Starships. Not only do you have a significant amount of mechanical and computer knowledge, but you also know a great deal about physics.</t>
  </si>
  <si>
    <t>Inner Linings (Final Fantasy XIV) (100 CP)
 A customer came to you one day with a strange request for you to make a leather jacket which would be thinner, enough so that it would take multiple jackets to equal the bulk and weight of a normal jacket. As strange as that request was, when you watched him enchant the various jackets it suddenly made sense. Instead of trying to enchant a single jacket multiple times, he would wear multiple jackets enchanted once. But you can improve on that idea. Instead of attempting to craft multiple thinner jackets, you’ve opened up inner linings in existing pieces of work. As you predicted, while the ease of stacking enchantments has gone up, the overall durability of the item has dropped by a bit. Perhaps with time and better materials, you could rectify the second point. Having so many inner linings also helps quite a bit when it comes to deeper pockets, which is a nice side effect</t>
  </si>
  <si>
    <t>Pure Art (Destiny) (Free)
 The visual arts may not be your thing, but that doesn’t mean you can’t be good at it. With this, you will be able to adorn any object you possess with paint or some other kind of marker and make it look good. You can paint armor, vehicles and weapons. Depending on what you portray, it could evoke different emotions. From fear to inspiration. You must have some skill at drawing or painting, and something to draw or paint with.</t>
  </si>
  <si>
    <t>Stasis (Personal Reality) (200 WP)
 This Upgrade for Temporal Controls allows you to set chambers to total temporal stasis if you like... or set your entire Personal Reality to Temporal Stasis while you’re not there.</t>
  </si>
  <si>
    <t>Advanced Materials Upgrade Kit (Light of Terra) (300 CP)
 Plasteel, adamantium, armourplas, synth-leather and other sophisticated materials are used for all sorts of purposes within the Imperium and are typically far more resilient than their archaic equivalents. Archaic styles of armor are seldom effective against advanced weapons, and rarely used in any case, but many of those who hail from primitive cultures favor the styles of wargear they are accustomed to. Wrought from plasteel and armourplas instead of bronze, iron and steel, a suit of chain or plate can be a quite effective defense, often the equal of more modern armors.</t>
  </si>
  <si>
    <t>Skills: Communications (Star Trek – TNG+DS9) (100 CP)
 You’re fully versed in reading and operating digital transmissions and sensors. You also have training in linguistics in and diplomacy.</t>
  </si>
  <si>
    <t>Material Hybridization (Final Fantasy XIV) (400 CP)
 Hybrid materials are the newest and hippest thing to come to Eorzea, since the presence of stolen Garlean magitek technology showed up. Now Alchemists all over Eorzea have been experimenting with this stolen technology, trying to reverse engineer the material and fundamentals behind the creation of such things. A worthy venture, and one from which you’ve perfected the art of making hybrid materials. Not a matter of making alloys, but making ores and fabrics enchanted with the elements, creating resources fundamentally tied with the Aether. firemetal, watermetal, the hybridization is limited only by the complexity of the element, and the nature of the material. You can’t expect to succeed every time, but you’ll never succeed if you don’t try.</t>
  </si>
  <si>
    <t>My Fashion Sense is Tingling (The World Ends With You) (50)
 You have an impeccable sense of fashion. You can make an appealing outfit out of just about anything. In addition, you will always have an innate knowledge of what is fashionable in the area wherever you go, allowing you to remain on top of your game no matter where you are. In fact, you’ll usually be a trendsetter.</t>
  </si>
  <si>
    <t>Sectional Time (Personal Reality) (200 WP)
 This Upgrade to Temporal Controls means you can now install fast or slow time chambers inside your Personal Reality. These can be anything from 1:100 to 100:1 and you are allowed to make use of them, but the time spent inside such an accelerated or decelerated chamber still counts only as the amount of time that passed in the host reality. Stasis still cannot be used while you’re inside the Personal Reality for obvious reasons. You age at the rate you’re personally experiencing time.</t>
  </si>
  <si>
    <t>Crucible of Eight Trigrams (Journey to the West) (500 CP)
 A big ass crucible that can render down *most* objects into their base components. Magic and enchantments can be removed this way and used for later experiments, although this will take some time to accomplish and is not an exact science. You can’t use it to break down living creatures.</t>
  </si>
  <si>
    <t>Skills: Piloting (Star Trek – TNG+DS9) (100 CP)
 How to operate starships and other space worthy vessels like shuttles and Runabouts.</t>
  </si>
  <si>
    <t>Self-Made Shopkeeper (Recettear) (600 CP)
 On the quest to stock your shop with truly unique wares, you’ve learned a skill to fuse items, on a level that no mere shopkeeper could manage by themselves. Anybody can sell a pineapple or a banana, but only you can sell a pinenana! Ok fine, it’s actually not that simple. The Fusion spell taught to you works well on items which have the same inherent properties, in the case of two fruits, or two swords, and so forth. Shopkeepers can rejoice that the value of the final product is the additive sum of both ingredients, but only one item can serve as a base, while the other item is consumed. That pineapple that I used as a base for demonstration...well now it can be peeled like a banana. That’s handy, right? For any item that this is applied to, it will retain a single trait from the sacrificed item. It’s almost as if you were breeding items. On second thought that probably isn’t the best comparison to be making.</t>
  </si>
  <si>
    <t>Natural Puppy (The World Ends With You) (100 CP)
 Natural Puppy is a brand full of clean and simple clothing with soft colors and modest designs. Their clothing offers good resistances to status ailments and defensive bonuses. Works best for those with the Doormat flaw.
 Natural Puppy offers a lot of ranged options for Players, and has the best Force Rounds pins available as well as the exclusive Entanglement psych.</t>
  </si>
  <si>
    <t>Eternalizer Level 1 (Personal Reality) (200 WP)
 This Temporal Controls Upgrade keeps anything you bring into your warehouse from decaying or aging unless it is a living organism more complex than a normal insect. If combined the Security System (yes, we know it’s free, but you might not have taken it for some reason), this will auto-detect any kind of pest species or lifeform and stop them from maturing at all. Thus no mold growth, no larval maturation, etc. You’ll still have to hunt down and kill any individual bugs or beasties, but they won’t reproduce.</t>
  </si>
  <si>
    <t>Launderer System (No More Heroes) (400 CP)
 You gain a new thing to place in your warehouse, and though you don’t exactly know how it works the instruction booklet says it can construct beam katanas of all different styles and usefulness if given the right components-or if you don’t have those, shoving the right raw ingredients in enough quantity to just manufacture the damn things. With enough technical knowledge, you will be able to discard the manual</t>
  </si>
  <si>
    <t>Skills: Navigation (Star Trek – TNG+DS9) (100 CP)
 Training in how to locate your position and plot courses. You can navigate both with a computer, and without one using astronomy.</t>
  </si>
  <si>
    <t>Artificer (Masters of Magic) (200 CP)
 You begin the game already knowing the magics to create enchanted items (other wizards can eventually acquire them) and artifacts. Additionally, these items cost half as much for you to make, and take half the time. This allows you to equip heros you hire in the early game. In future jumps, this will provide a slight boost to the creation time and a reduction to the creation cost of magical items</t>
  </si>
  <si>
    <t>Entanglement (The World Ends With You) (Free)
 Allows the user to create a chain between two designated points. Enemies hit by the chain (or who run into it) take damage and suffer Defense Break.</t>
  </si>
  <si>
    <t>Eternalizer Level 2 (Personal Reality) (200 WP)
 This Eternalizaer Upgrade means that nothing inside your Personal Reality ever ages unless you actively want it to. Thus, your wines and cheeses can age, but your books won’t. If you have Maintenance Systems, the Personal Reality will auto-detect the exact right degree of aging for anything within and never allow it to age past that unless you specifically instruct it to do so. Why? Because with the Eternalizer, you could leave a slice of bread out on the counter for a billion years and it wouldn’t go stale... stale bread is useful if you want to make good french toast. All non-authorized lifeforms can be automatically aged to dust, assuming they would normally die of old age, though this doesn’t work on anything more advanced than a baseline human.</t>
  </si>
  <si>
    <t>The Clothes (No More Heroes) (Free)
 You wouldn’t make the cover of a magazine, but you can make too many belts work with these pieces.</t>
  </si>
  <si>
    <t>Demigod Atelier (Asura’s Wrath) (400 CP)
 You know the secret science of Mantra technology and can build custom devices that are powered by prayer or emotion. Further, you can enhance or upgrade items from other jumps to use this same power source. If you take Cyborg Hindu Godbody, you may construct Demigod cybernetics for other people. After the jump concludes, you may also build Mantra Reactors. Demigod Atelier allows you to create any mantra-powered or integrated device, up to and including the vast fleets of Shinkoku Tratstrium, the heavenly vessels of the divine armies, and even the anti-Gohmaplatform Brahmastra. The latter however would require millennia of effort, and was never completed even in the scope of the original setting.</t>
  </si>
  <si>
    <t>Atlantean Power Crystals (Shivers) (400 CP)
 Originally discovered by noted psychic Edward Layce, these shining golden gems draw power from the limitless energy from the Sun. When properly harnessed, these crystals can provide enough energy to power an entire city, and if more could be produced, perhaps even a civilization. But be wary, for Atlantis itself once relied on these crystals, and their misuse directly led to that ancient city sinking beneath the waves.</t>
  </si>
  <si>
    <t>Player Pin (The World Ends With You) (Free)
 Everyone gets a Player Pin for free, which lets them scan the surface thoughts of people in the RG. Protects against thought-reading.</t>
  </si>
  <si>
    <t>Recyclotron (Personal Reality) (200 WP)
 This option adds a matter recycler to your Personal Reality, which will break down any biological waste into compost, clean all water run through it, and transform any non-organics back into their basic compounds or elements. The Recyclotron can handle the waste output of a major city like Paris or Mumbai. If you have Maintenance Systems, they will dump garbage into it for you.</t>
  </si>
  <si>
    <t>That Sword (No More Heroes) (Free)
 You have a basic beam katana, and by basic I really mean it’s a piece of shit. It may have a guide bar if you’re into those, though.</t>
  </si>
  <si>
    <t>Mantra Generation (Asura’s Wrath) (Free)
 A being with a soul (you do have a soul, right?) can generate Mantra by prayer or feeling emotion. This mantra can be utilized by devices powered by Mantra Technology, or the Demigods of Shinkoku Trastrium.</t>
  </si>
  <si>
    <t>Augment Blade System (Dark Cloud 2) (200 CP)
 A warrior needs a trusty weapon, and with blacksmiths in short supply, it seems that most people have taken to modifying and improving their own equipment. The main technique the survivors in this world seem to use allows weapons to grow as individuals might –learning from experience gained in live combat. For as long as you continue to wield a weapon and use it, it will grow in terms of all its basic qualities, including traits like durability, strength, and ease of use. Should you switch weapons or pass your weapon on to another, the growth will stop until you pick that weapon back up again to focus on it. However, it will retain any experience it has already accumulated, so there’s no worry of your work being lost over time.</t>
  </si>
  <si>
    <t>Clothing Skinner (Aion) (100 CP)
 This magic device allows you to take the look of one set of clothing and apply it to another set of clothing. Want to have full plate armor that looks like a tuxedo? This will allow you to do that.</t>
  </si>
  <si>
    <t>Fabricator (Personal Reality) (200 WP)
 This Recyclotron Upgrade turns any raw materials harvested by the Recyclotron into anything you have a blueprint for. Adding a blueprint is as simple as tossing a sample of any item you know how to make into the Recyclotron. Anything made by the fabricator will be a perfect physical copy of what was dumped into it. This does not include any metaphysical properties and you’ll have to supply all required materials.</t>
  </si>
  <si>
    <t>Workshop: Magic (Samurai Jack) (200 CP)
 A small base filled with all the equipment you’ll need to work. This lab can be used for your choice of scientific or magical research.</t>
  </si>
  <si>
    <t>Imposing Declaration of Title (Asura’s Wrath) (Free)
 Whenever you do something dramatic or just something really badass, perception of you changes for a splitsecond. Observers see the title or highconcept description of your current state or action as awesome block characters superimposed on their vision. This applies to named attacks/combat maneuvers, legendary weapons, companions and so on.</t>
  </si>
  <si>
    <t>Heretical Adaptation (Senki Zesshou Symphogear) (200 CP)
 Symphogears are, in essence, a Relic adapted into a combat system for it’s ability to generate massive amounts of energy that can be formatted into a certain kind of matter through a generic mass-energy converter. However, they also have the ability to ’evolve’ overtime, gaining additional armor and improvements to features such as onboard thrusters. With a bit of study, it might be possible to apply this adaptive behavior to other materials, encouraging them to improve themselves over time.</t>
  </si>
  <si>
    <t>Armsfusion Crafter (Aion) (400 CP)
 This magical machine will merge any two weapons or pieces of armor placed into it into a single weapon or piece of armor. The two items need not be weapons or armor, but the must be similar. The machine is roughly the size of a coffin. When used the items merge so that it keeps the superior properties of each without stacking old properties. (For example sword A has +5 str. Sword B has +3 str as well as deals lightning damage. The resulting sword would have +5 str and lightning dmg.)</t>
  </si>
  <si>
    <t>Reality Extruder (Personal Reality) (100 WP)
 This allows you to manifest anything attached to your Personal Reality into the Host Reality, but doing so creates a physical link between the two realities that doesn’t require an Access Key to open. It could be a door in the back of a wardrobe, or a locked service closet, but if it’s opened, others will be able to come inside. This does not bypass any defenses you might set up, but anyone who enters via one of these links will be treated as baseline authorized by your forcefield unless clearly hostile. Anything extruded will be treated as native to the host reality even if it clearly couldn’t be (see lamp-posts in Narnia). Yes, this means you can have the entrance to your PR look like a Phone Booth if you have a phone booth in your Warehouse. Comes with a free phone booth. Extruder only works to the current Host Reality and you cannot connect to previous Host Realities through an Extrusion.</t>
  </si>
  <si>
    <t>Workshop: Science (Samurai Jack) (200 CP)
 A small base filled with all the equipment you’ll need to work. This lab can be used for your choice of scientific or magical research.</t>
  </si>
  <si>
    <t>Grease Monkey (Bubblegum Crisis) (300 CP)
 What can you fix or build? What CAN’T you fix or build? Nothing, that’s what. From hyper-cars to Buma, computers to Hardsuits, with the right tools and enough time and experiments, you can build it all, weaponry included.</t>
  </si>
  <si>
    <t>Calling Card (Senki Zesshou Symphogear) (Free)
 You spent a lot of time coming up with your combat techniques. It’s only fair to name them! When you make an attack that’s above par, time almost seems to freeze for a second, and all those onlooking instinctively recognize the name and intended theme of the technique. This effect can be toggled.</t>
  </si>
  <si>
    <t>Transmogrification (World of Warcraft) (Free)
 Have a set of armor that you like? Yet you like another set of armor’s stats? Well don’t fret! Transmog machine is here! What is it? It looks like a giant washing machine, you can feed any two sets of armor (Head, Chest, Legs, Boots, &amp; Gloves) and choose which one is spit out. The new armor will be best of both worlds. It’ll have the superior stats of the one item, and looks of the other. However the downside is that the other item is destroyed. However both items are in a database so you can always transmog the look. Don’t bother taking it apart and trying to figure out how it works, because there’s no answer. It just works.</t>
  </si>
  <si>
    <t>Hallowed Earth (Personal Reality) (400 WP)
 Every inch of your Personal Reality is sanctified. By who? Well... you, I guess. All those within (besides you obviously) are subject to a constant minor blessing that persists for up to a day after leaving that makes them a little luckier and healthier. In D&amp;D terms, a general +1 Morale bonus. Those who worship you as divine may show up here when they die or see visions of you in this, your place of power... though these visions may be merely metaphors for what lies within if they lack the mental or cultural framework to understand. With Linked Portals you may appear anywhere inside your Personal Reality without having to walk there and with Eye Spy you are aware of everything that happens in this Reality. With Central Control, you are constantly aware of the contents of the PR.</t>
  </si>
  <si>
    <t>Hidden Hideaway/Laboratory (Valkyria Chronicles) (200 CP)
 You’ve come into possession of a small but out of the way safe-house, providing you with a place to rest and recuperate. This place has enough supplies for 9 people to live for a year or so. Those who have chosen the Scientist origin however, gain an upgrade to this building in the form of an underground laboratory. It is stocked with all the necessary tools and ingredients for a secret lab in the 1930’s, along with a few scattered notes on what appears to be a figure surrounded in light.</t>
  </si>
  <si>
    <t>The Plecian Tome (Light of Terra) (500 CP)
 The Pleician Tome is a portable font of certain archives, templates and pieces of ancient lore, created by a senior Tech-priest of the Adeptus Mechanicus and used by Techmarines. Even to a trained eye, the information is a seemingly random collection, with no easy means of navigation, and so it takes much study to glean anything relevant to a particular task. Indeed, only those with a wide knowledge of Machine Spirits and engine lore have any hope of understanding the information contained within, however, those with patience and the appropriate skills can find secrets of great use within the datacore, secrets dating back to the fabled Dark Age of Technology.</t>
  </si>
  <si>
    <t>Advanced Materials (XCOM 2) (200 CP)
 As you experiment the physics and rules of a world ideas for new materials come to you. Elements and compounds from different universes often follow the same rules after all, so it should be theoretically possible to mix them. While you are developing new materials for your projects you will instinctively know whether or not materials will be compatible with each other and roughly how strong they will be. You will not know the exact ratio or procedure you will need to perform to fabricate these exotic materials, and it’s not guaranteed that every material will be compatible with each other, but development will be made a lot easier.</t>
  </si>
  <si>
    <t>Stylish Mechanic (Gurren Lagann) (100 CP)
 In addition to knowing how to repair and create mechanical devices you also have quite a knack at making anything you work on look good. Any time you fix something it’ll end up clean and pleasant to look at, and you can easily come up with humorous or awe-inspiring designs for vehicles and devices.</t>
  </si>
  <si>
    <t>Sky Simulator (50 WP)
 This replaces your boring drab ceiling with a completely realistic sky simulation… or a non-realistic sky simulation if you prefer the universe to look like something out of a Bosch painting. Since this means you won’t have a ceiling to attach anything to, all your lighting options now come with Street Lamps. Note that this does not add any height to your Personal Reality.</t>
  </si>
  <si>
    <t>Ragnite Container (Valkyria Chronicles) (Free)
 Ragnite is a valuable resource in Europa, and it is unlikely to appear in any other worlds. You receive a container that replenishes once per day. The free level gets you a box the size of a human head.</t>
  </si>
  <si>
    <t>The Maddest Science Yet! (Tenchi Muyo) (800 CP)
 You can create supertech wonders, past mere conveniences into legitimately useful things like advanced starships, ray guns and miraculous devices. You can also enhance technology from other jumps with this skill. Note that trying to build an FTL starship from scratch on an undeveloped world will probably take ten years...</t>
  </si>
  <si>
    <t>Form and Function (Final Fantasy XIV) (400 CP)
 A while back, you overheard something your customers had said -about cloth and leather being insufficient to protect them out in the wilderness of Eorzea. You have to admit that they do have a bit of a point. Cloth and leather might be far more comfortable than a suit of plate armor, but functionally they protect substantially less. But maybe if you could use a different material, things might be different? The principle of this weave is the same as when you made inner linings. But whereas inner linings allowed you to split open layers in order to weave enchantments and magic inside, now you have folded layer upon layer with inlaid crystals to attain a weave that can withstand blows just as well as a suit of plate might. The amount of crystals you need for the process is substantial -but the magic is ultimately necessary, so that you don’t leave a single imperfection which may ruin the final product, and also so that it doesn’t end up looking bulky and cumbersome. Objects that you craft with the same principle exhibit durability several times stronger than what you would have expected from an equivalent of similar weight.</t>
  </si>
  <si>
    <t>Fly a Kite (Personal Reality) (100 WP)
 While this doesn’t add any usable height to your Personal Reality, it means that all the sky space is free for use for flying kites or hot air ballooning or just recreationally flying around in. Comes with realistic clouds if you have Environmental Controls.</t>
  </si>
  <si>
    <t>Soul of the Forge (World of Warcraft) (200 CP)
 This spirit that manifests as a small, cyclopean golem made of molten metal and shards, the Soul of the Forge dwells within the workshops and smithies of metalworkers. So long as it is content, all who work within that forge’s walls will find their creations blessed: The individual pieces, parts, and techniques required coming together that much easier, and the end result being that much more splendid.’ In order for the Soul of the Forge to dwell, one also requires a small kiln to house the spirit.</t>
  </si>
  <si>
    <t>Inventor (Futurama) (600 CP)
 You are a brilliant (if eccentric) Inventor. You can (within reason) create nearly anything you can imagine if you put in the time. You have a cabinet full of doomsday devices and would be more than capable of slapping together Reverse Scuba Suits for fish or Death Clocks.</t>
  </si>
  <si>
    <t>Innovator (Final Fantasy XIV) (200 CP)
 You’ll never make a name for yourself if you can’t innovate -and sometimes, innovation requires you to take risks and make mistakes, even ones which might be catastrophic. It takes effort to gain experience, and it takes courage to put in effort -but you’ve also got a bit of beginner’s luck whenever you start trying to produce something new. You’re far more likely to succeed -and consequently far less likely to fail if you go in completely blind, but more importantly than that, you’re not likely to come up with a completely useless product in the end.</t>
  </si>
  <si>
    <t>Realistic Ground Cover (50 WP)
 Sick and tired of linoleum or concrete? This is the one for you. Now your Personal Reality floor can be turned into any naturally occurring terrain type, in sections, or roads and paths of your design. Any dirt or dust that would be created by this is magically taken care of… unless you don’t want it to be.</t>
  </si>
  <si>
    <t>Orb Design Plans (Swat Kats) (800 CP)
 Well... this is curious. The design plans for a Micro-Brain Repair Unit... this won’t show up for some time, but it is quite useful nonetheless. Once assembled, it will have the ability to scan and repair any damaged machinery it comes across, simply by using the materials around it. The more advanced the machine is, the longer it will take... but it will do its job. Even more concerningly, it has the ability to learn and adapt itself, assimilating machinery to create a more grand body. It may come with existential issues... are you sure you want this?</t>
  </si>
  <si>
    <t>Reverse Engineering (Sekirei) (400 CP)
 Bizarre alien technology, super-robots, genetic engineering. You might not know these disciplines, but with just a single example to test to destruction, you should be able to figure out how it (used) to work, how to apply the principles to new tech, and with a few projects under your belt, remake the original!</t>
  </si>
  <si>
    <t>Deity’s Weapon (Warrior’s Orochi) (100 CP)
 Naturally, your aura is not your only tool, and neither is it just for show. By imbuing a portion of your aura into a tool, you can turn it into a weapon capable of eating through physical and magical barriers alike. Naturally, as you’re infusing a portion of your mystic nature into the tool, with time it will grow to possess magical qualities as well. With a sufficient amount of time passing, you could very well find yourself bearing a mystic weapon, one that has naturally absorbed enough mystic force to rival the greatest of magical weapons. With enough time, all that energy would be enough to make it a weapon of yore. Just don’t expect it to happen anytime soon.</t>
  </si>
  <si>
    <t>Dig It (Personal Reality) (100 WP)
 You now have 40 meters of foundation material under your RGC. Why? Gardening? Graves? Whatever. It’s just rocks and dirt down there, but all buildings you buy in this supplement have perfectly decent foundations installed under them. If you bought the Underside, all that space is digable too. You might even find some weird or cool stuff buried. Nothing amazing, but you’ll be amused.</t>
  </si>
  <si>
    <t>Workshop Equipment (Bloodborne) (300 CP)
 This is actually a package deal containing a variety of workshop tools. The first tool set has some basic tools for repairing equipment and some more specialized tools for upgrading weaponry with varying Blood Stones. The second set of tools allows for the slotting and removal of Blood Gems, items that as previously mentioned can greatly empower weaponry. The last set of tools allows you to etch Caryll Runes into the mind to attain their wondrous strength, or remove them just as easily. Runesmith Caryll, student of Byrgenwerth, transcribed the inhuman utterings of the Great Ones into what are now called Caryll Runes. Etching these runes into your mind can provide a number of benefits. Benefits can range from resisting certain types of damage, increasing resistance to various poisons or increasing stamina and vitality, among other effects. You may etch up to three runes into your mind at a time. These runes can be found scattered around this world.</t>
  </si>
  <si>
    <t>Xenospecialist (Gears of War) (200 CP)
 The problem with fighting and violence is that it’s no place for an egghead, and as a result valuable information could be lost to a wayward grenade before study. You’ve taken it upon yourself to bring that knowledge back, and as such you have an easier time understanding alien language and technology. It won’t give you instant knowledge, but as you study further you will find it becomes easier to comprehend.</t>
  </si>
  <si>
    <t>Weapon synthesis (Warrior’s Orochi) (200 CP)
 Out there in the Dimensional World, you might not be able to find a blacksmith, in which case, it would probably be good to learn the skill yourself. Forging a spear or a sword? Well anybody can learn that from any blacksmith, here we’re going to teach you how to perform weapon synthesis. Yes, it’s not blacksmithing as you would expect. So, that weapon of yours. It looks completely serviceable, right? Battle worthy probably, probably killed off great swathes of foot soldiers? There’s no need to sharpen it, but what about its inherent qualities? You know that magic enchantment on it? Or that spell it seems to cast every once in a while? Our form of blacksmithing works on those innate properties and spells instead. We don’t strengthen the exterior; we strengthen what’s inside, and bring the potential of that weapon up even higher. That low-level ice spell your sword casts? Yeah, let’s work at it until it casts a stream of frost. It’s going to take a while, but anything worth doing is going to take time. Better live with that fact.</t>
  </si>
  <si>
    <t>Treeline (Personal Reality) (200 WP)
 Walls getting you down? Well, you’re in luck. Not only does this replace your walls with trees, there’s actually a bit of a forest out there. Not useable for storage, but you can walk through the woods or cut down trees at the edge of the line for lumber or firewood. Any trees cut down regrow overnight and the stumps can never be cleared. You can walk as far into the woods as you like, but you’ll eventually come out on the other side of your Personal Reality. The trees are a mix of common trees from Earth and you can customize them to your liking with sliders to control how many pines, oaks, poplars, palms, apple trees, etc. The trees will naturally cycle through a year over the course of a year.</t>
  </si>
  <si>
    <t>Civilian Equipment Package (GUNNM/Battle Angel Alita) (100 CP)
 Cramped room in the Scrapyard, basic household belongings, clothing, one Heirloom Weapon for free. If you are employed, attached is enough space to setup a workshop, clinic, studio or whatnot.</t>
  </si>
  <si>
    <t>COG Armor (Gears of War) (Free)
 Standard issue armor that’s made of multiple metal plates. On the back of the suit is a magnetic ’holster’, that resembles a general infantry backpack, allowing people to carry two weapons on their backs. The armor provides medium protection against damage (multiple assault rifle shots only bruise the wearer), but will not withstand concentrated or sustained gunfire. Helmet optional.</t>
  </si>
  <si>
    <t>Fixer Upper (Dark Cloud 2) (200 CP)
 When they put you through an apprenticeship, the first thing they did was to tell you to take apart a train. Then put it back together again. Then they repeated the process, removing parts bit by bit, and yet every time you still managed to put the train back together. Eventually you’ve come to realize that you can repair things -all while removing any extraneous parts to ensure that the efficiency of a machine is optimized. Machines that you’ve tinkered with...don’t seem to need as much to work as others might.</t>
  </si>
  <si>
    <t>Wildlife (Personal Reality) (100 WP)
 This Treeline upgrade adds in small forest creatures like rabbits, squirrels, wolves, and bears. Ferrets too, but they’re not actually wild-animals... except the black-foot ferret, which is. Oh, yeah. birds too, I guess. And bugs... but only mostly harmless ones. Bees yes, Wasps no.</t>
  </si>
  <si>
    <t>Heirloom Weapon (GUNNM/Battle Angel Alita) (Free)
 Everyone in the Scrapyard carries something. Yours is a lot better than most, something that an actual professional might carry. Firearms are illegal on penalty of death - but outside the Scrapyard anything goes. As an heirloom, it has seen hundreds of years of loving use and its craftsmanship compares very well to modern technology. To the right person, it could be worth a lot.</t>
  </si>
  <si>
    <t>Combat Boots (Gears of War) (Free)
 They’re thick, they’re heavy, and they’ll serve you well. Along with giving excellent comfort and protection from the myriad of terrains you’ll find here, they’re also very handy for stomping the heads of enemies like watermelons at a comedian show.</t>
  </si>
  <si>
    <t>Mythril Coating (Dissidia) (200 CP)
 In many realms throughout the rift, mythril has always been an element of reputable worth. With the powers of the rift however, this mythril coating has been charged somewhat. Able to be applied onto both weapons and armor, items coated with this will be constantly charged with magical energy. As a consequence of this, the affected item allows one to sustain energy draining forms for twice as long, and improves their power slightly.</t>
  </si>
  <si>
    <t>The Pond (Personal Reality) (200 WP) - Repeatable
 One of the four walls of your Personal Reality has been replaced with a water feature. This is essentially a pond, but you can give it tides and or waves, make it fresh or salt, and give it a beach if you like. If you buy the Garage option, it comes with a Marina for your boats and a second entry zone so you can drive your boats out into the host reality. For -50WP each, can be expanded to additional walls.
 Number of times Purchased: 2</t>
  </si>
  <si>
    <t>Cyber-doctor Equipment Package (GUNNM/Battle Angel Alita) (200 CP)
 As Medic, plus powered tools for cyborg disassembly and repair. Bulky diagnostic computer, ten kilograms of miscellaneous spare parts, very rare compact 3D fabricator capable of milling custom components and printing or repairing circuitry. Free Rocket Hammer.</t>
  </si>
  <si>
    <t>MX8 Snub Pistol (Gears of War) (Free)
 The standard sidearm for all COG soldiers, this weapon makes up for its low damage and small 12-round magazine through a high rate of fire and its impressive accuracy. Expect to find ammo for it everywhere. Weapon purchases will grant a small stockpile of them inside your warehouse to equip your allies with.</t>
  </si>
  <si>
    <t>Accessory Machine (Spiral Knights) (200 CP)
 It is one thing to go out into the world and do a Knight’s duty, but it is another to look the part. This machine is special, allowing you to create cosmetic pieces or effects and bind them to your equipment to improve their appearance, though this requires resources. Nothing really comes free, after all. Armor pieces, auras, or even cosmetic wings... go ahead. Express yourself. Let your creativity flow.</t>
  </si>
  <si>
    <t>The Meaning of Life (Personal Reality) (100 WP)
 This The Pond Upgrade adds in fish and shellfish and pondweed/seaweed to your pond. Also the occasional duck or swan or other waterfowl. Maybe some frogs or lizards or small reptilians, but nothing dangerous... unless you bought a specific limitation.</t>
  </si>
  <si>
    <t>Medic Equipment Package (GUNNM/Battle Angel Alita) (Free)
 One clean blood-and-dirt-repellent jumpsuit, facemask, kit equivalent to a modern first responder’s kit. Assorted drugs and painkillers, and a few roughly bound texts on mutant and human care.</t>
  </si>
  <si>
    <t>COG Tags (Gears of War) (Free)
 A form of identification that takes the form of a necklace with small gear-shaped tags. They will have whatever identification you desire upon them.</t>
  </si>
  <si>
    <t>Incredibly Craftsmanship (Akame ga Kill) (600 CP)
 While the method of creating Teigu is long lost you are able to create things almost at their level, with some research and a couple other skilled people you might even be able to recreate the lost arts that created the Teigu long ago. You also have all the skills to repair Teigu or other incredible items from near destruction.</t>
  </si>
  <si>
    <t>Entrance Hall (Personal Reality) (50 WP) - Repeatable
 This is the room your Access Key opens a door to. It starts off as a 5 meter cube with blank white walls, floor, and ceiling, as some doors, one leading to the current Host Reality, the other into your Cosmic Warehouse, with additional doors leading to other extensions as these get added to your Personal Reality. Feel free to customize this Entrance Hall as you see fit. Additional Halls can, at your discretion, be linked only to certain keys or only to certain extensions. This allows you to have an entry hall just for skiing if you want.</t>
  </si>
  <si>
    <t>Rocket Hammer (GUNNM/Battle Angel Alita) (Free)
 A two-handed warhammer with chisel-shaped head mounting a rocket booster that activated by a switch on the shaft. It can be disassembled and comes with a rolling case and replacement parts. A rare weapon in the Scrapyard, while very difficult to control it performs superbly against heavy cyborg armour and is fully legal despite the firearms ban.</t>
  </si>
  <si>
    <t>Personal Digital Assistant (Gears of War) (Free)
 There is still a reliance on technology, even if the war with the Locust make things... problematic. With this, you’ll have an easier time with Command and keeping track of your data.</t>
  </si>
  <si>
    <t>Lathe of Heaven (Chrono Trigger) (400 CP)
 We’re always going to need weapons, so the way I see it, you might as well get good at making them. Now? You’ll be able to give old man Melchior a run for his money. Swords, guns, armor, even sunglasses - if it’s worn or wielded, you can make it a masterpiece. You’ll also learn how to make use of any material, bringing out its best qualities and minimizing its weaknesses. You could make bone sharper than steel, gold sturdier than titanium, and take a legendary material nobody’s ever seen before, and figure out how to forge it, what to alloy it with, and how to craft that alloy into an impossibly sharp sword or some amazing shades.</t>
  </si>
  <si>
    <t>Medical Bay (Personal Reality) (200 WP)
 Fully functional medical bay that can fix up anything that still has a pulse or equivalent. Does Dentistry too. Also provides detailed accounting of person’s medical history. This will not repair genetic defects or replace / repair cybernetics and possesses no ability to differentiate between beneficial and harmful nanites or implants without you providing that information to the system. Works on animals as well. By ‘Fix Up’ we mean complete repair to full function, not patch up.</t>
  </si>
  <si>
    <t>Single Style - T’ai Chi Chuan (GUNNM/Battle Angel Alita) (Free)
 Solid theoretical and practical experience of a single form of personal combat. In the wasteland, what martial arts survive are pragmatic descendants of old world teachings. In the Scrapyard however, there are genuine schools of combat, though they are often overlooked – most human styles are ineffective against the crudest cyborg brawler, and the emphasis is to strike fast and run away faster.
 T’ai Chi Chuan –This art is rarely taken seriously, owing to its firm rooting in qigong breathing techniques and ideas about chi, internal balance and fluid control of defence and counterattacks that have little appeal to cyborg fighters. However many elements of it have influenced the most advanced cyborg combat styles, and the therapeutic version is popular enough with the elderly that the original forms survive.</t>
  </si>
  <si>
    <t>Weapon Reload System (Gears of War) (Free)
 You will also gain a weapon reload system inside the warehouse for the unique weapons you may have purchased from this jump.</t>
  </si>
  <si>
    <t>Secret of Steel (History’s Strongest Disciple: Kenichi) (400 CP)
 An illustrated guide created by the greatest master of weapons the world has ever known. It keenly details the techniques, methods and set-up required to create weapons using traditional Japanese techniques. This text goes beyond that however, and if the directions are followed perfectly it can be used to forge weapons, armor, and tools that are far better than anything that could possibly be made even with the most advanced metallurgic technology. Objects created—while still composed of steel—will be significantly stronger than steel and can withstand blows from a Martial Arts Master. Blades made using these techniques will be preternaturally sharp, able to cut through stone, steel and perhaps even more with proper strength and training. Such bladed weapons will almost never lose their edge and require virtually no maintenance. Armor made using these techniques is nearly indestructible and will never rust or corrode. Normal tools will work with such efficiency that even primitive tools can accomplish feats of scale equivalent to highly advanced modern technology. For example, a scythe made with these techniques could harvest an entire field in the same amount of time as a combine harvester or a simple hoe could do the work of a tractor-towed plough.</t>
  </si>
  <si>
    <t>Counseling Bay (Personal Reality) (200 WP)
 And how does that make you feel? Helps you work through any issue. A couch, and solid light therapist are included, but not mandatory.</t>
  </si>
  <si>
    <t>Alchemical Foundry (Endless Legend) (50 CP)
 You gain the equipment needed to extract, process, and refine Titanium and Glassteel. It exacts about one ingot a week.</t>
  </si>
  <si>
    <t>Imulsion (Gears of War) (Free)
 Upon completion of this jump, you gain a small pump in your Warehouse that can supply you with fifty gallons worth of Imulsion per month. Do be careful when handling this, especially around other biological organisms.</t>
  </si>
  <si>
    <t>Katsujinken (History’s Strongest Disciple: Kenichi) (Free)
 Those who follow the path of “Katsujinken” or “life giving fist” hold that the true purpose of martial arts is to protect those who cannot protect themselves and improve the lives of those around them. People who follow this viewpoint view the death of their opponent as tantamount to defeat and shun those who purposefully kill. By embarking on this path, you develop a kind and calm demeanor, capable of setting just about anyone at ease. So long as you hold to this philosophy, you will be able to have a brief but significant dialogue with your opponent before any act of open combat.</t>
  </si>
  <si>
    <t>Cybernetics Bay (Personal Reality) (200 WP)
 This Medical Bay Upgrade allows your Medical Bay to repair and replace damaged cybernetic and biomedical implants. All CyBay installed cybernetics have fiat backing.</t>
  </si>
  <si>
    <t>Mythic forge (Endless Legend) (150 CP)
 You possess the tools to gather, refine, and process Mithrite and Hyperium. Good luck finding it, much less finding some that others haven’t already claimed.</t>
  </si>
  <si>
    <t>Valkyrian Science (Valkyria Chronicles) (300 CP)
 Somehow, you’ve gained some of the knowledge that the Valkyrur used to possess, giving you the skill and ability to graft Ragnite machinery on a level far above any modern human. At first, you’d only be able to create replica’s of the Valkyrian weapons, but with many years of study it might be possible to recreate the Valkyrur themselves.</t>
  </si>
  <si>
    <t>Sei Ki (History’s Strongest Disciple: Kenichi) (Free)
 Ki is the life force, energy or breath that flows through all living things. Martial artists harness their Ki to perform amazing feats of strength and abilities, with master’s able to channel their Ki into effects that are truly superhuman.
 Those who utilize Sei Ki seek to focus their Ki inwards. In battle this results in an inner calm and centeredness that lends itself well to thoughtful action and awareness of surroundings. Those who have Sei Ki will be able to master techniques that do not rely on power or anger but on wits, talent and skill. Sei users will be more likely to come up with new inventive solutions in combat and will frequently have moments of insight that may turn an unwinnable battle in their favor.</t>
  </si>
  <si>
    <t>Nano-Medical Lab (Personal Reality) (100 WP)
 This Medical Bay Upgrade allows the Medical Bay to tell exactly what every nanoscale contaminant inside a living body does and, optionally, remove them without causing harm to the host. The NML can also replicate and administer Medical and Augmentation Nanites as long as you have the materials and requisite know how. All NML administered Nanites have fiat-backing.</t>
  </si>
  <si>
    <t>Dust Refinery (Endless Legend) (100 CP)
 Able to infuse Dust with new life, the Refinery is the staple of Dust Enchantment. While Dust infused iron is common, it pales compared to the Dust enchantments this refinery allows. Allows for the crafting of Foci and magic rings, talismans, insignias, and tomes.</t>
  </si>
  <si>
    <t>I am Iron Man (MCU) (400 CP)
 You’re not the ACTUAL Iron Man, but you could make a fairly decent knock-off. Power armors, sonic cannons, holographic interface, laser weapons, repulsor technology, you have the knowledge to build these things and more. Furthermore, you can think of different upgrades and modifications to adapt to different situations much easier than normal when presented with a problem that’s hampered your technological progress.</t>
  </si>
  <si>
    <t>Weapons (History’s Strongest Disciple: Kenichi) (Free)
 Martial artists who embark on the path of weapons will seek to master a physical implement to augment their fighting style. These tend to be much more lethal than unarmed fighters, but are at a disadvantage when disarmed or caught without their weapon. Whenever you fight with a weapon corresponding to your martial art, you will find that you consistently deal more damage and are more accurate with your strikes than if you fought unarmed.</t>
  </si>
  <si>
    <t>Bio-Synthesis Lab (Personal Reality) (100 WP)
 This Medical Bay Upgrade covers all serums, viruses, bacteriological agents, and other chemical, genetic, or retroviral repair and boosting sciences, giving the results fiat-backing. Does not provide any knowledge base.</t>
  </si>
  <si>
    <t>Arcane Smelter (Endless Legend) (100 CP)
 A self-contained device used to extract, process, and refine Palladium and Adamantium. A must have for the smith on the go.</t>
  </si>
  <si>
    <t>Retro-Engineer (MCU) (600 CP)
 Your understanding of technology is so great that you’ve even learned to get into the basics of tinkering with alien technologies. As long as you take the time to study something and experiment properly, you’ll eventually figure out a method for that tech you found. Whether it’s taking that weird glowing thing and powering your machines with it, or dismantling an alien robot and putting it into a gun, you’ll figure out a use for something as long as you put in time. As a bonus, you’re skilled enough in research and experimentation that you’re far less likely to break what you’re studying on accident.</t>
  </si>
  <si>
    <t>Martial Arts Ninjutsu (History’s Strongest Disciple: Kenichi) (Free)
 All who enter this world know at the very least the basics of their chosen martial art as well as its various strengths and weaknesses. The more styles you choose to study, the longer it will take to incorporate them into a cohesive and usable whole. You may also choose any real­world martial art not listed here if you so desire. You will however remain a novice in your style unless you can somehow obtain a master or worthy sparring partner.
 Ninjutsu­ A martial art believed to have once been practiced by the shinobi of Japan. This style is based primarily around precision, stealth and deception. Its users are particularly skilled at kneading their ki, allowing them to engage in maneuvers and techniques that to the untrained eye appear like magic. It is both an unarmed and armed martial art.</t>
  </si>
  <si>
    <t>Body Mod Pod (Personal Reality) (100 WP)
 Ever wanted to run a Companion or friend through the Body Mod? Now you can. Have fun. This pod is infinitely reusable as long as each person only uses it once. People using this get access to the same Body Mod Supplement as you used. You can’t use this to run yourself through Body Mod again. Anything that lacks a humanoid form can be given one by this machine.</t>
  </si>
  <si>
    <t>Alchemy Workshop (Endless Legend) (100 CP)
 Build into a wagon, this full-scale workshop allows for scientific research in the field, and provides all the tools the aspiring researcher needs to learn about the world they are in. Just don’t blow yourself up or blind anyone, ok?</t>
  </si>
  <si>
    <t>Etoria Disciple (Final Fantasy XII) (100 CP)
 The art of Etoria, the technology which allowed for the creation of things like airships, has always fascinated you. You’ve noticed patterns in technology, and armed with that knowledge you adapt to new technology quickly. Your teacher has given you a skystone -the key to building your own airship in time, and you’ll have no lack of resources.</t>
  </si>
  <si>
    <t>Master’s Body (History’s Strongest Disciple: Kenichi) (Free after 10 years)
 You possess the body of a master. You are very near tireless, capable of fighting for days without sleep and only limited food. You never run out of breath, and will still be able to engage in vigorous physical activity even after extreme exercise. You now have access to a limitless logarithmic growth of your physical strength, durability, speed and agility.</t>
  </si>
  <si>
    <t>Housing Complex (Personal Reality) (200 WP)
 Having space for all your Companions and Followers can be tricky. Sure, you could pay to have some houses built, but with this option you and each Companion and every child of yours or of a Companion gains their own bedroom. Every three bedrooms gain a full bathroom and your bedroom has a master bath. It’s not luxurious by any means, but this house (or houses) have 1 kitchen &amp; dining room, 2 half baths, two general purpose rooms (offices, living rooms, game rooms), a few of small closets, and a pantry for every 6 people. Individual rooms tailor themselves to the general likes of the individual and come with basic but not quality furniture. Companions who decide to share a room can cause their rooms to merge to create a larger room, but each basic room defaults to 4 meters by 5 meters by 3 meters. Non-bedrooms are on the small side but large enough to function. Floors are basic linoleum and walls are basic low grade paint. Appliances and fixtures are pretty bare bones and the walls are little more than plywood and wood frame. The bedrooms don’t have closets. Any other Personal Reality Extensions can be made part of the Housing Complex or kept separated. Each house must have a kitchen. That’s the rule. No more houses than total number of kitchens. A house may, of course, have more than one kitchen.</t>
  </si>
  <si>
    <t>The Alchemy Machine (Shivers) (400 CP)
 Created by the legendary alchemist Louis Garcon, this mysterious machine combines modern science with principles passed down from ancient Egyptian times. Should you have any alchemic ability or knowledge, using this machine will not only drastically enhance the potency of anything you create, but also significantly boost the output. Careful experimentation may even let you learn to automate the alchemic process, allowing the machine to produce indefinitely if provided with supplies. Without such knowledge, though, expect significantly more experimentation before you achieve anything of note.</t>
  </si>
  <si>
    <t>Holy Forge (Hellgate London) (200 CP)
 You know how to craft the Holy Power Armor of the Templars, Each suit of armor is customized for the user. All suits increase strength and speed, however Common personal suit augmentations include Anchor spikes (that form from hands or feet), Hammer Fist (lock your gauntlets into a hammer), camouflage screening, and 360 HUD in the helmet.</t>
  </si>
  <si>
    <t>“Sword” - Lantern Shield (History’s Strongest Disciple: Kenichi) (Free)
 You receive a “sword”. Not necessarily a literal sword; rather a tool that you carry into battle and which you place your heart, soul and trust in.
 If you selected weapon however, you receive your choice of melee weapon. It acts and functions as though it were created using the “Secret of Steel” making it more durable than most weapons formed using modern metallurgic techniques. As you grow in skill the weapon will as well, allowing you to hit slightly harder, swing slightly faster and strike with greater accuracy than you would with any other mundane weapon. By the time you have reached master status, you will be able to use this weapon with robotic precision, able to cut or break through a modern tank. Of course without this weapon you will be unable to do nearly half of those things, but that is the price paid when one embarks on the path of weapons. You may instead choose an existing weapon you have to receive this benefits, but it must be compatible with your martial art.</t>
  </si>
  <si>
    <t>Rooms for Cheap (Personal Reality) (50 WP) - Repeatable
 If you feel you need more rooms for whatever reason, say to add a pillow lounge to every house, you may purchase them here. Every purchase of this adds an additional room for every kitchen... but you don’t have to be even in the distribution. If you want a special guardsmen building, you could stick 10 rooms together to make a giant barracks. Everytime this generates a fourth room for you, it also generates a bathroom. Every 200 rooms generated by any number of copies of Rooms for Cheap will generate an industrial food preparation venue (i,e, a mess hall). Unlike other options for Housing, if you choose not to assign these rooms to your main Housing, you can spin them off into their own extension or attach them to other extensions you might have as long as that extension allows storage.</t>
  </si>
  <si>
    <t>The Mixing Cauldron (Atelier: Arland Trilogy) (100 CP)
 Every Alchemists’ trusty tool, the mixing cauldron is basically the alchemist’s work desk and research station combined into one. With this, no potion is out of reach –though it isn’t uncommon to find that some alchemists’ will create...other things from their cauldrons, and one would be foolish to presume that a cauldron can’t be improved...</t>
  </si>
  <si>
    <t>Technician (Alpha Cenaturi) (400 CP)
 Learning has become easier for you now, especially in the field of natural science and engineering, you absorb and retain information like a sponge and can mix and match theory and experience with much greater skill.</t>
  </si>
  <si>
    <t>Engineering Iteration (Sunrider) (400 CP)
 The highly analytical mind of a prototype can always see a way to improve something. Even with existing materials and techniques, there is always a slightly better way for you to manufacture a certain part or lubricate a joint. The improvements you make to your devices are noticeable and potentially endless, but you quickly find yourself at the mercy of diminishing returns. You can expect the first 50% worth of improvements to be reasonably attainable and up to 75% expensive, but beyond that it becomes prohibitively expensive.</t>
  </si>
  <si>
    <t>Upscale Housing (Personal Reality) (100 WP)
 This Housing Complex Upgrade makes a number of minor changes to the above. Floors are now either carpeted or wood paneled, walls are wallpapered, rooms are 50% larger, the cut off for additional rooms is lowered to every five and the furniture is decent. Kitchen Appliances, bathroom fixtures, closet doors... everything is improved a bit. The walls are now drywall and metal frame with insulation. Not soundproof, but better. Closets are now adequate and installed in each bedroom. Every two bedrooms besides the master bedroom share a bathroom and every two kitchens spawns a new master bedroom. Master Bedrooms now have one walk-in closet each.</t>
  </si>
  <si>
    <t>Melting pot (Atelier: Arland Trilogy) (100 CP)
 It’s not uncommon to find that certain ingredients will not mix well just as attempting to stack too many enchantments into a potion can prove disastrous. In an attempt to mitigate this, the melting pot was constructed with a higher rate of mixing. This directly translates to a higher degree of homogenization, but you’ll have to understand that to maintain this level of mixing you need to have a higher energy source than just a fire under the cauldron. It does allow you to blend some ingredients that normally would not mix however, though the results may still not be as optimal as you would hope.</t>
  </si>
  <si>
    <t>Engineering (Teen Titans) (100 CP)
 You’re a master mechanic and an expert at building robots and other technological devices. You also have a fair bit of knowledge about hacking into computers.</t>
  </si>
  <si>
    <t>Do One Thing At A Time (Dinotopia) (300 CP)
 When you focus yourself on doing a single task, your skill and efficiency doubles. Material requirements are unaffected, but time taken is halved and quality is doubled.</t>
  </si>
  <si>
    <t>Luxury Housing (200 WP)
 This Housing Complex Upgrade does everything that Upscale Housing does and does it better; high end luxury rugs, lush carpets, parquet wood floors, wood paneled walls, high end furniture, rooms are twice as large as the base, and the cut off for additional rooms is lowered to every four persons. Appliances and Fixtures are very nice and stylish now and the walls are quite soundproof. Closests are now a respectable size. Bedrooms get their own bathrooms. Every kitchen spawns a new Master Bedroom which is now a personal suite (sitting room, bedroom, two walk-in closets each, bathroom with separate whirlpool bath and shower.) If you have an incremental purchase scheme, you do not get a refund if you bought Upscale Housing first. Luxury Housing does not require Upscale to be purchased first.</t>
  </si>
  <si>
    <t>Spirit Pyroxene (Atelier: Arland Trilogy) (100 CP)
 No one quite knows where this pyroxene came from, but it has a very definitive effect on the items that it forms a component of. The mystical power inside the pyroxene seems to carry over into the items that it forms –at least a portion of the power does, and the crafted items became more conductive towards spiritual magic of a large variety.</t>
  </si>
  <si>
    <t>Orokin Tech (Warframe) (400 CP)
 Few have ever reached the innovation and technological prowess of the Orokin Empire... their gold and ivory exteriors hiding minds as sharp as steel. Likewise, the golden trim of their technology hid an advancement that continues to elude the majority of the System to this day. It eludes you no longer, the secrets of Orokin technology present in your mind. You’ll be capable of augmenting technology significantly, increasing its capabilities at the same time and granting a durability that will last millennia. Perhaps in time, the secrets of the creation process will be yours to covet and yours alone, basked in the light of science and superior intellect.</t>
  </si>
  <si>
    <t>Opulent Housing (300 WP)
 This Housing Complex Upgrade does everything that Luxury does and does it better. Rooms are frankly too big, fixtures and furniture are all unique handcrafted pieces, the walls have murals, the floor mosaics... everything isn’t just top of the line, it passed that miles back. High Ceilings, beautiful feng shui, custom decor for each room... huge closets. Additional Rooms generated every three persons. All Bedrooms are now Master Bedrooms and come with ensuite saunas, day spas, and personal office with reading nook. If you have an incremental purchase scheme, you do not get a refund if you bought Upscale Housing or Luxury Housing first. Opulent does not require Upscale or Luxury to be bought first.</t>
  </si>
  <si>
    <t>Goldberg Formula (Atelier: Arland Trilogy) (100 CP)
 There are times when making things overly complex can be problematic. Then there are times when making things overly complex can be outright awesome. Your cauldron really shouldn’t be called a cauldron anymore. Synthesis isn’t a matter of tossing in ingredients and brewing. Your cauldron is a part of a system, a large chain of components and contraptions which ultimately will create a potion – likely of higher quality. But you’ll likely have no clue how it works. Due to the nature of this set up, you’ll find that the cauldron will follow along with you in a containment chamber of its own – and though it initially resembles a cottage…should the contraption chain grow bigger (and it will!) the cottage will also increase in size.</t>
  </si>
  <si>
    <t>An Order To Things (Gunnerkrigg Court) (800 CP)
 You can understand how things fit together in abstract or practical ways. Understand how somebody lives (and where they would hide things) by how they set the items around their dwelling, deduce feelings from handwriting, grow a robot, decipher languages too complex for normal humans. Though things that you seek to make happen, rather than deduce where or how it happened, are much harder to pull off. You can see how someone else grew a robot but doing it yourself would take experimenting and progress, though these things move much faster than you.</t>
  </si>
  <si>
    <t>Seraglio (Personal Reality) (200 WP)
 Do you want an old fashioned Harem? Or just to have a place in your Warehouse that looks like you might have a Harem? This is for you. A huge open courtyard surrounded by room-sized alcoves perfect for crafts and sleeping or maybe a little fun. The area is always pleasant, beautifully scented and full of soft music and laughter, and everyone in it always seems extra beautiful and well groomed. It is a place of enjoyment and contemplation, a place to get away from the world, and time spent here relaxing always takes 1/10th the amount of real time that it seemed to take. Comes with a large central fountain that has water that smells of roses or honeysuckle and tastes as sweet as summer dew.</t>
  </si>
  <si>
    <t>Daisy Chain (Atelier: Arland Trilogy) (200 CP)
 Interested in large scale alchemy? Well, between this and a core reactor, you’ll have yourself a veritable alchemy workshop. Granted, in reality this just sets up a series of mini cauldrons which will automatically adopt specific arrangements to facilitate more complex, multi-tiered synthesis reactions – but it’ll boost your synthesis rates immensely, and ensure that easier recipes won’t fail! Of course…you could have each cauldron act autonomously – but really they work best in unison with every other unit. Due to the number of cauldrons created, a large part of the containment chamber is occupied by cauldrons as they move about and get down to business. Thankfully, you can still move about and organize the cauldrons – though they’re a fair bit more autonomous than before. Each cauldron seems to exhibit the same effects as your original cauldron, and it isn’t out of the realm of possibility to add more cauldrons – though it’ll be a time consuming process.</t>
  </si>
  <si>
    <t>Technical Training (40k Redux) (100 CP)
 Skill in using and maintaining 40k tech, does not apply to Ancient or Alien technology.</t>
  </si>
  <si>
    <t>Nursery (Personal Reality) (100 WP)
 Planning on starting a family? Just enjoy collecting infants? Either way, this Housing Upgrade is for you. The nursery Comes with all the equipment needed to deal with a (theoretically transfinite) number of infants and toddlers. It even has uterine replicators just in case no one wants to get fat or have to deal with all the pushing and screaming. The Nursery Upgrade will either be a stand alone facility or will hook each house up with its own smaller nursery. If you have food supplies, they will be adapted to the optimal dietary needs of the children, and packaged into child-friendly packages. If you have robots, diaper-changing robots will be included. Otherwise, the furniture in the nursery is dependant on the quality of your housing and is guaranteed child-safe and friendly.</t>
  </si>
  <si>
    <t>The Vortex (Atelier: Arland Trilogy) (200 CP)
 The amount of energy required to keep this going will be tremendous, but if you toss anything into there – it will blend. Instead of functioning like a batch system, the Cauldron operates continually, and will actively remember the last effect from the last ingredient which was put in. It’s also possible for it to store an effect, but this requires you to have a constant supply of the reagent necessary to provide that effect. A cauldron useful for expert alchemists, one should take care if this is combined with any other extensive modifications.</t>
  </si>
  <si>
    <t>Arch-Magos (40k Redux) (500 CP)
 Skill in using and repairing arcane technologies including Archeotech and Xenotech.</t>
  </si>
  <si>
    <t>Grand Dining Hall (Personal Reality) (200 WP)
 This Housing Upgrade provides you with your own personal Valhalla, which absorbs all food purchases you have made and displays them on platters and sideboards, always perfectly fresh, always at the ideal temperature. The hall is enormous, as large as the number of guests would need, with room left for dancing and fighting and contests of prowess and might. Always clean and decorated to your current tastes.</t>
  </si>
  <si>
    <t>Workshop (Dark Cloud 2) (100 CP)
 A small workshop for Mechanics that is geared largely towards building small machines, medium machines...and well, massive machines as well. You’ll have to adjust the tools accordingly yourself for different machines, but the workshop will scale to fit what machines you put into it. Will slowly repair any machines placed inside</t>
  </si>
  <si>
    <t>Connecting Doors (Personal Reality) (200 WP) - Repeatable
 These doors come in pairs and can connect any two parts of your Personal Reality... or one part of your Personal Reality and anywhere else you install it... You must be physically at the location you desire to install it and once installed the Door cannot be removed by anyone or anything. The link remains and requires no key to open, no matter where you go. This means that the reality you installed the door in progresses on the Personal Reality’s internal Clock, even after you leave it, even if the door is currently closed. It also means that those on the other side can open the door without your permission, so be careful where you put it. Breaking the Connection can only be done by taking a -100 CP hit to your starting CP in another jump and causes the Connection to decay over the course of that jump. You get your door back at the end of the jump... if you haven’t changed your mind. If you do... no CP refund. Sorry.</t>
  </si>
  <si>
    <t>Prismatic Laboratory (Fallen London) (400 CP)
 The principle of acute observation is light! And to that end, you have fashioned a workspace of lenses, liquids, critters and crystals to focus upon recreating a spectrum of lights fantastic. Ah, the impossible palette: those colors only seen in the Neath! You may not always produce something like it, but you will produce their inks and lenses in time.</t>
  </si>
  <si>
    <t>Damaged Microchip (Terminator) (800 CP)
 While this looks like the damaged CPU from the first Terminator that Cyberdyne used to help build Skynet, it is actually a storage device. This contains information on just about everything that Skynet has ever produced. From the modified T-1 and small Hunter Killers, to the T3000 and Large Hunter Killer Tanks and Walkers. Even information on how to build an AI as advanced as Skynet is in here, along with Time Travel technology. The problem is, not only is the coding not understandable by the average computer, but the damage to it has eliminated some coding. Nothing vital to the schematics, but it is now even harder to piece the information together. It is unlikely to get all of the information out without 100 years of work</t>
  </si>
  <si>
    <t>Workshop (Personal Reality) (100 WP) - Repeatable
 Each purchase of this adds to your Personal Reality Workshop needed to perform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t>
  </si>
  <si>
    <t>St Andrew’s Candle (Fallen London) (Free)
 That candle you had so long ago. It feels heavier now, perhaps it has fed upon your sins, perhaps it too has changed as you have. St Andrew’s Candle no longer burns low, for indeed it resists all attempts to extinguish it. But in the case of your sudden and fatal injury, it flares in brilliant ignition, granting you ten more minutes of life and action as it burns itself down from wick to stub. It will not heal your injuries, but it will prevent new ones from forming. Should you survive and reverse your fatality, the candle will not and will only renew itself at the beginning of a new jump or after ten years post-spark. The light it gives is a true Neathy light, a reminder of your time in the Fifth City.</t>
  </si>
  <si>
    <t>What’s This Do? (Titanfall) (200 CP)
 The technology used in the frontier can be so complex and advanced it takes years for even the most brilliant minds to understand. Really now? That’s good, you needed something to do after lunch today. Now, even if your in a dropship in the middle of a fire fight, you can decipher the inner workings of technology so long as you have the controls to scre- I mean analyze.</t>
  </si>
  <si>
    <t>Office (Personal Reality) (50 WP) - Repeatable
 A personal office specifically for you, so that you can perform your white collar paper-shuffling in relative privacy. A decent sized office, it comes with all the basic supplies and equipment, such as notepads, paper clips, ink pens, filing cabinets and a desk. If you purchased Computer Hub it comes equipped with computer equipment as well. If you have VOWP it has a phone with an outside line that always direct dials whoever you want to reach in your current Host Reality... even if they don’t have a phone... you may not use this ability to locate them or translocate to their location or tag them with any power or ability or technology. You can ask them where they are, but they don’t have to tell you. This office has the effect of slightly boosting your focus, reading speed, reading comprehension, and retention rate, but only as long as you’re alone in it. Alternatively, it can be set up as a cubicle farm with 20 individual cubicles.. but honestly... why would you? If you do, each cubicle gets a potted plant, an executive desk toy involving magnets or chrome balls, and a japanese lucky cat statue sized to fit on a desk. All are completely mundane. Additional purchases are allowed, each adding the next Fibonacci number of offices (or 20 cubicles per office). Thus, the second purchase will get you a second office, while the third purchase will get you 2 more offices, and the fourth will get you 3 offices and the fifth will get you 5 offices... please tell me you aren’t seriously going to waste WP on OFFICE SPACE? What part of ‘Keep this entertaining’ escaped you, CPA Man!?</t>
  </si>
  <si>
    <t>Connections: Hell (Fallen London) (Free)
 Those amber eyed Devils have taken a shine to you. From their Westernmost halls, to the Brass Embassy on Ladybones, there’s not a tempter who doesn’t know you. Their gifts include nevercooling brass, poisonous wine, masquerade invites, chemicals, and a few bottled souls that strayed away from the archives. Cannot take with Church.
 They will send you gifts every fortnight as payment for some obscure service. Similar factions may be present in future jumps.</t>
  </si>
  <si>
    <t>Xenotechnology (STALKER) (400 CP)
 You have a very technical mind and you’ve been able to apply your theoretical degree in physics to good use. You’re able to incorporate artifacts and pieces of artifacts into any technological devices you may know how to build with a lot less spontaneous death and irradiation than you normally would. This allows you to build things like featherlight power armor, accelerated gauss rifles and other technological marvels.</t>
  </si>
  <si>
    <t>Library (Personal Reality) (200 WP)
 A place to keep all the books and writings you and your companions might create or gather throughout your adventures, with all of them kept in pristine condition and automatically sorted based on your selected scheme, no matter how harebrained. Comes with reading area that has an effect of slightly boosting concentration, reading speed, comprehension, and retention rate.</t>
  </si>
  <si>
    <t>Connections: Rubbery Men (Fallen London) (Free)
 Ssaloshagosh? How do you spell that? They risk stonings and harsh glances as they make their way to your abode, but by some alien measure it is worth it. Their slimy packages reveal amber of various colours, tiny unusual skulls and pocket change from ancient cities. Cannot take with Revolutionary.
 They will send you gifts every fortnight as payment for some obscure service. Similar factions may be present in future jumps.</t>
  </si>
  <si>
    <t>Technician (Spiral Knights) (200 CP)
 The tech knights of the spiral order are experienced mechanics, but are often not as experienced in weapon usage. Only a few, known as Technicians, have quick thinking and bravery necessary to utilize their skills in combat situations. You are a prime example of this truth, having learnt to use your skills out in the field within the fires of combat. your skills range from making quick repairs to creating, maintaining, and even rapidly dismantling complex mechanical constructs, even something as complicated as a battlepod. Needless to say, your skill in disabling locks, deploying turrets for some much-needed suppressive firepower, repairing the armor of your squad mates, and the like are greatly appreciated by your squad mates and essential to survival within a world of machines.</t>
  </si>
  <si>
    <t>Library Services (Personal Reality) (100 WP)
 This Library Upgrade means that any written text that you add to your library, assuming you or any member of your team possesses the ability to translate it, will gain an appendix that includes all idiomatic word usage, cultural or historical references, and even scholarly explanations of the author’s background and possible inspirations. All such notes will be written from a scholastic, in setting standpoint, as if written by a learned scholar writing from no more than a single century in the future from the time the original work was created. Additionally, if you request a specific book translated into a different language, it will be produced within 24 hours, and the translation will be written by an expert native speaker of both languages. Cover art for the new version will be similarly translated. You or a member of your team must know both languages to a high fluent level for this translation service to work properly.</t>
  </si>
  <si>
    <t>Alchemy Machine (Spiral Knights) (200 CP)
 A personal Variation of the machine you’ll come to see all over cradle. This one allows for a degree of experimentation that none of the other machines will, and is capable of accepting a great variety of materials without taking any damage. You’ll be able to tweak existing recipes, or even come up with new ones altogether with enough time. Who knows, you might stumble on something good.</t>
  </si>
  <si>
    <t>Core Competence (Spiral Knights) (400 CP)
 The Cradle is a dangerous place for the Spiral Order, and not only due to it’s indigenous wildlife. There are too many unknowns, too many variables to be comfortable with. That is why it falls to people like you, One of the most naturally gifted researchers within the Order, to increase the odds of safety. Your attention to detail has increased dramatically, letting you pick out and recognize patterns in the construction and design of machinery much more quickly than others. Understanding these patterns has given you incredible insights into technology found in the Cadle and in the Gremlin bases, along with how it can compare and blend with technology of the Order you are so familiar with... and your own, which you are even more familiar with. When the Order finally reaches The Core, perhaps you will be one of the most likely members of it to unlock the secrets held within.</t>
  </si>
  <si>
    <t>Digital Database (Personal Reality) (100 WP)
 This Library Upgrade automatically digitizes every text that enters your Personal Reality, even if it’s already in digital format, and does so safely (spells will contain the correct symbols but not power, memetic or conceptual texts will be rendered harmless). The entire contents of your Library are now completely searchable, indexed, and intelligently cross-referenced, allowing far easier use and accessibility.</t>
  </si>
  <si>
    <t>Alchemy Machines (SBURB) (100 CP)
 These machines will be the basis for your use of Alchemy, with which you can create and combine a multitude of useful items throughout your time here, and perhaps beyond that... as long as you have Grist to pay for what you want to Make. Since these are necessary to even start your game, they’re even free... beyond the cost in Grist to construct them of course. But if you want to spend some of your CP here, you can start with a fully upgraded variant, gaining every upgrade made to this equipment during the story of Homestuck immediately, without the cost of grist going up at all or having to spend time fiddling around to get them.</t>
  </si>
  <si>
    <t>Pagan Science (Senki Zesshou Symphogear) (600 CP)
 You’ve managed to uncover some of the secrets of old, the very same knowledge that underlies ’Sakurai Theory’, the theoretical basis of the Symphogear system. With this knowledge, many of the more mysterious functions of the Symphogears become clear. You can repair and install new functions into Symphogears, that manipulate existing features, like forcing a berserk state or tuning it to raise synchronization coefficients. What’s more, your glimpses into Sakurai theory indicate some possibilities of inducing Human-Relic fusion, but to complete the theory you’ll need an existing test subject...</t>
  </si>
  <si>
    <t>Starting Collection (Personal Reality) (100 WP) - Repeatable
 This Library Upgrade gets you pre-stocked with books you would expect to find in an average town or school library, with a nice spread of books on a variety of topics and in a language of your choice. This comes with 10,000 individual fiction titles and three times that number non-fiction titles covering all normal real-world subjects. Most of the books will be best sellers or classics (80%) and will cover the last hundred and fifty years or so. The other 20% will be more esoteric works, but seldom anything particularly obscure or rare. In addition to scholarly works and literature, you’ll also get a periodicals section similar to that of a town library, containing several thousand assorted magazines and newspapers. This can be purchased up to five times, each time increasing the number of titles in all three categories (fiction, non-fiction, periodicals) by a factor of ten. Additional purchases only cost 50 WP. This is the only Library Upgrade that includes fiction from ‘the real world’.</t>
  </si>
  <si>
    <t>Fitting into a Mould: Scientist (Gravity Rush) (400 CP)
 In a world where “magic” is essentially limited to a few, science is the only tool that can be used as an equalizer. So your job here in researching and developing new technology may be essentially what’s needed in order to keep humanity going. Well, that’s the motivation that sounds noble anyways. In practice, much of what you’re going to do here might be of more use to you than the common folk in Hekseville. For one thing you’ll be very well versed in Nevi adaptation technology by the end of your time here, as well as constructing technology necessary for the control and manipulation of gravity. Can’t say that won’t come in handy...considering both the Nevi and the Shifters are quite possibly the biggest threats to the city in the eyes of some.</t>
  </si>
  <si>
    <t>Expanded Collection (Personal Reality) (50 WP) - Repeatable
 This Library Upgrade specializes your library in a specific way, adding books on specific topics, things that you would expect in specialized university libraries. Each purchase of this comes with 60,000 specific titles in the language of your choice (even if such works have never been published in your selected language). The more specific a topic you pick, the more specific these books will be. So picking Biology as topic will get you books ranging from everything on animals, plants, anatomy, genetics, microbiology and ecology, while picking entomology as topic will give you extremely detailed books about different types of insects, their physiology, and so on. Choosing a specific culture multiplies the number of titles gained by the square root of the number of centuries that culture has existed. Extinct cultures do not generate this bonus. The subject must be one from the real world, but do remember that there are thousands and thousands of real world books on the occult, so it’s not unlikely you can find what you like. Each expansion also comes with specialized journals, magazines, and other periodicals on the topics. This does not include fiction. For each purchase of this Upgrade, once per month, you can request a very specific sub-topic related to the core topic (e.g. architecture... of the Louvre, history... of trade on the Yangtze, quiltmaking in the 1880s, etc.). You’ll receive a dozen books on the subject... assuming a dozen such books exist in the real world and are reasonably available (not unique or exceptionally rare).</t>
  </si>
  <si>
    <t>Peak ADVENT Technology (XCOM 2) (200 CP)
 Before you defected you were working in some of the most top secret black projects any human had access to. You have an encyclopaedic knowledge of all ADVENT technology, minus some of the genetic manipulation techniques and basically anything that would give away ADVENTs dark secrets.</t>
  </si>
  <si>
    <t>Esoteric Collection (Personal Reality) (100 WP) - Repeatable
 This Library Upgrade is functionally identical to Expanded Collection, but it is not limited to real world subjects. To be eligible, a subject must be one that is widely known in any setting you have visited. This can include fiction, but only fiction from universes you visit.</t>
  </si>
  <si>
    <t>Flack Jacket (XCOM 2) (Free)
 A set of pre-invasion armour that offers some protection from gunfire and plasma weapons. Comes in a verity of patterns and styles</t>
  </si>
  <si>
    <t>Classroom (Personal Reality) (50 WP) - Repeatable
 This provides your Reality with a large classroom for you and your companions to use for teaching and learning new things. It is outfitted with all the basic classroom equipment like tables and writing board. If you’ve Got the Powa, this includes A/V setups and personal computers, and with Pipes, Pipes, Pipes it includes lab equipment. With any of the Food Options it includes cooking tutorial equipment, with a MedBay it includes first aid and medical education supplies, with workshops it includes a teaching workshop of the same kind. Whenever you acquire new technology that could be beneficial to teaching, the Classroom automatically updates to include it if you have Central Control. Also provides basic supplies for all students and slightly boosts teaching aptitude for the teacher, as well as learning speed and concentration for students. All possible safety equipment is automatically installed at no extra cost. Each classroom can seat up to 50 students comfortably. If you have Jump Recording, the classroom can replay all previous classes for new students.</t>
  </si>
  <si>
    <t>Hands of Icarus (Heaven’s Lost Property) (100 CP)
 You have an understanding of how to use the advanced technology of Synapse. While you’re not sure of the ’how’ or ’why’ the device operates, you can operate any Synapse-made machinery with ease. Past this jump, you know how to use (though not how to make) any basic technological devices (point-and-click devices, guns, switches, etc.) you would otherwise require training or re-education for, no matter how alien or new it is to you.</t>
  </si>
  <si>
    <t>Gym (Personal Reality) (100 WP)
 This provides your Personal Reality with a large open training room for physical exercise. It comes with exercise equipment that can be used to train almost anyone dedicated enough to the limits of their potential (as long as that potential is no more than 150% of peak human potential) fitness. It can be easily converted into a sparring pit. If you have Robots, this includes extremely durable sparring automatons to learn from in your pit. Anybody using the Gym will find that training physical abilities is slightly less fatiguing than it otherwise would be.</t>
  </si>
  <si>
    <t>Arena (Personal Reality) (300 WP)
 This Gym Upgrade that Requires Central Control and Robots removes the limiter on what can be trained and now it can be used to train anyone to any physical potential they might have. The sparring pit is now outfitted with duplodroids, sparring partners that can duplicate the fighting strength and style of anyone you’ve ever fought... or even combine enemies and styles to attempt to throw you curves. Every fight you’ve ever been in and every fight you’re in from now on can be replayed by the Arena. Fights in the Arena are never fatal, like Pokemon Battles, they only result in KOs.</t>
  </si>
  <si>
    <t>The Big Pool (Personal Reality) (50 WP)
 This requires Pipes, Pipes, Pipes. An Olympic Water Park (diving pool, swimming pools, warm-up pools, etc) is added to your Personal Reality. The pools upgrade with all the newest tech if you have Central Control.</t>
  </si>
  <si>
    <t>The Bigger Pool (Personal Reality) (50 WP)
 This Big Pool Upgrade adds a lazy river and an entire indoor beach complex to your Aquadome. You know, like they have in Japan. Because those things are absolutely titanic, the footprint of this will not be taken from your available area unless you’ve bought three or more size upgrades to your Starting Size. Don’t try to store things in here... they’ll get very wet and sandy.</t>
  </si>
  <si>
    <t>Let’s Have Fun (Personal Reality) (100 WP)
 This Big Pool Upgrade adds waterfalls, jumping decks, and other similar stuff for your pool complex, including a wave pool and a dozen different water slides of the kind you’d find at the best water parks. This includes small coves for more private types of fun, or massaging pool for relaxing water massages.</t>
  </si>
  <si>
    <t>Wellness Centre (Personal Reality) (100 WP)
 This provides your Personal Reality with a size-adjustable complex in which you and your companions, followers and hangers-on can enjoy private or semi-private massages and other types of spa pampering. It’s fully equipped with all the most useless and pointless ‘therapy’ types, but it requires purchase of Servant Quarters to keep it staffed, otherwise you’ll need to come up with your own solution to get it staffed. This requires Environmental Controls, Water, and Electricity.</t>
  </si>
  <si>
    <t>Bath and Body Works (Personal Reality) (50 WP)
 What’s a Wellness Centre without a Spa and Roman Baths? This Upgrade to the above facility provides you with a huge sauna (with or without large burly Russians or Finns to beat you with leaves) including a large snowdrift and ice pond to jump into after your steam, as well as a dozen different Roman-style, Japanese-Style, and Chinese-Style bathing pools of all different temperatures to relax in. Guaranteed to be cleaner than clean and extremely foggy.</t>
  </si>
  <si>
    <t>Trophy Room (Personal Reality) (50 WP)
 A spacious chamber set up for you to aesthetically showcase the various trophies and rewards you will gather on your chain. It keeps them safe and from causing harm or from decaying.</t>
  </si>
  <si>
    <t>Entertainment Room (Personal Reality) (200 WP)
 Keeping yourself busy isn’t always easy, and sometimes you just want to relax and listen to some music or watch a movie. This is for you. A six room complex is added to your Personal Reality. Each room is an almost perfect movie theatre, music room, video-gaming theatre, sound stage, or miniature live theatre. There are 24 comfortable chairs in each (the exact level of luxury depends on your housing level). A popcorn and generic candy vendor and off-brand soda dispenser (self-service) are provided at the basic, but will upgrade to name-brands with any housing upgrade.</t>
  </si>
  <si>
    <t>Kit and Kaboodle (Personal Reality) (50 WP)
 There’s not much purpose in having a sound-stage if you don’t have recording equipment and instruments. While not the best, this Entertainment Room Upgrade provides you with professional grade musical instruments of any kind found on Earth, and a professional mixing board and easy to follow instructions on how to make best use of it. The instruments from this can’t be removed from the Warehouse without the Extruder.</t>
  </si>
  <si>
    <t>Auditorium (Personal Reality) (50 WP)
 This Entertainment Room Upgrade adds an auditorium to your complex with stage for bigger productions and comfortable seating for viewers. the Auditorium can seat up to 400 in comfort and the followspots always follow, the lights always change on cue, and the props and sets are always in the proper order and condition.</t>
  </si>
  <si>
    <t>Costume Closet (Personal Reality) (50 WP)
 This Entertainment Room Upgrade adds a closet full of costumes, exactly what you need to perform your various acts or routines. The contents will adjust to the wearer and will be as comfortable as reasonable. They’re self-cleaning and self-repairing, but they cannot be removed from the Warehouse without the Extruder.</t>
  </si>
  <si>
    <t>Game Room (Personal Reality) (200 WP)
 So much free time, so little to do. This room is the answer to that. Not only is it equipped with 6 networked PCs customized for gaming circa the year you came from, it has up to 12 real world gaming consoles and any gaming network required to connect them. The furniture matches your general housing level but will always be at least comfy beanbags. In addition to the PCs and Consoles, you’ll also get a dozen real world arcade cabinets (up to four of the same machine may be counted as a single machine for multiplayer games), a pool table, a billiards table, a two lane bowling alley, a darts set up, and up to six other game specific tables, including table top board games and RPGs. The room comes with a mini-fridge and microwave if you have Powa. And a room for games wouldn’t be very much use without games, so you may select 250 games from the real world to have up to 6 copies each of, and you gain 6 copies of any one new game from the real world or any setting you’ve been to (all DLC or expansions included) every month. Free of charge. No magical or other-wise powered games included. If you also have the Entertainment Room the two can be combined to turn the rooms into personal gaming rooms using the Game Room equipment.</t>
  </si>
  <si>
    <t>Pilot Simulator (Personal Reality) (100 WP)
 This adds a high tech simulator to your Personal Reality that perfectly replicates the experience of driving, piloting, or otherwise operating any vehicle that exists in your Original Reality or any Host Reality you’ve ever visited. Up to 20 people can use the same simulator for larger vehicles and there are 12 total simulators which can be linked together to make much larger simulations or team practices. Best of all, this allows you and your companion do any required testing for various driving and piloting licenses. Licenses given with this are accepted in all jumps as long you’d qualify to that locale’s basic competence level. (For instance, it’s much much harder to get a Finnish Driver’s License than a French one.)</t>
  </si>
  <si>
    <t>Shooting Range (Personal Reality) (50 WP)
 This adds a high tech shooting range to your Personal Reality so that you and your companions can to practice your marksmanship in a safe environment. The Shooting Range comes with a fully functional but harmless copy of any weapon you’re familiar with. They have the exact same weight, balance, and accuracy. These duplicates are colored like nerf weapons so you don’t get them confused if you accidentally take them out of the Range. If you also have the Underside or Arena, you automatically get a self reconfiguring laser-tag arena. If you have both you automatically get an urban combat training course, and if you have the Woods, you get an outdoor shooting range / wilderness combat training ground. If you have Weather Control, you can change the terrain and climate inside this zone. Said zones’ size depends on how much space you have. If you’re running with only Starting Size, your Laser-Tag Arenas are going to be 40 m on a side and 2 stories tall. Every size expansion applies to the arenas as well, doubling the height and multiplying the footprint by x100 (400 m x 400 m x 4 stories, 4 km x 4 km x 8 stories, 40 km x 40 km by 16 stories, and so on.)</t>
  </si>
  <si>
    <t>Garage (Personal Reality) (200 WP)
 A garage for you to place into your vehicles, automatically adjusting to meet with their requirements. Any sort of land, air, or space based personal vehicles (up to the size of 12 meters long, 6 meters wide, and 4 meters tall). The Garage has room for up to 40 such vehicles, with every increase in your Starting Size also increasing the number of slots by a factor of 5. The Garage comes with its own entry room and a set of adaptors which can turn garage doors (even non-automatic ones) into Personal Reality Portals. These adaptors respond to the presence of a Key Holder and open the way into the parking area. If you also have the Pond, this installs a Marina which comes with special adaptors for boat slots. Boat slots do not worry about the draft or masts of the boats you part in them, only the distance from the waterline to the top of the primary hull. Each size increase of the total Personal Reality also increases the maximum size of each vehicle slot by a factor of 5 (60x30x20, 300x150x100, 1500x750x500, etc.).</t>
  </si>
  <si>
    <t>Fuelling Station (Personal Reality) (200 WP)
 This Garage Upgrade has two levels. The first provides all your vehicles with any standard mundane fuel and costs 50 WP. The second level, which costs an additional 150 WP, will fuel any vehicle you have no matter how esoteric the fuel might be, although said fuel can be used only to fuel your vehicles. Attempts to use it for other means may have terrible consequences.</t>
  </si>
  <si>
    <t>Garage Upgrade (Personal Reality) (50 WP)
 Boosts each slot by a factor of 10.</t>
  </si>
  <si>
    <t>Parking Station (Personal Reality) (100 WP)
 This Garage Upgrade adds 8 additional parking stations to your garage, multiplied by 5 for every Starting Size Increase you purchased above.</t>
  </si>
  <si>
    <t>The Big Garage (Personal Reality) (300 WP)
 Have some vehicles that don’t exactly fit in the Garage? Say... The Enterprise? Light of Terra? Dahak? A Galacti World Ship? The Big Garage can handle it. You start with 4 dry docks, each large enough to house, well, anything. Each additional Starting Size increment doubles the number of dry docks.</t>
  </si>
  <si>
    <t>Garden (Personal Reality) (100 WP)
 A garden in your Personal Reality, small place filled with aesthetically pleasing flowers, bushes, trees and decorations like fountains and garden gnomes. Comes with benches for you to sit on and relax, with birds singing from branches and butterflies fluttering around. Perfect for a bit of a break away from hassle of busy life.</t>
  </si>
  <si>
    <t>Park (Personal Reality) (50 WP)
 This Garden Upgrade turns it into a park, with paths through it that are perfect for running and skating, and grassy areas ideal for throwing around some frisbee. Maybe you could hang a hammock among these trees?</t>
  </si>
  <si>
    <t>Meditating Corner (Personal Reality) (50 WP)
 This Garden Upgrade adds several hidden corners and alcoves that are perfect for meditation, being calm and relaxing. You’re guaranteed never to be unduly disturbed while meditating in one of these spots and time spent meditating is quadrupled.</t>
  </si>
  <si>
    <t>Courts (Personal Reality) (50 WP)
 While the Park is great, not all varieties of sports can be freely played on open grass. Soccer and football might be possible with some personalized rules or some chalk, but games like tennis and basketball are probably right out. With this Garden upgrade you’ll find a couple of tennis courts, handball courts, and a basketball court have been added for you and your companions to enjoy playing all sorts of games.</t>
  </si>
  <si>
    <t>Mall (Personal Reality) (100 WP)
 You now have an entire mall in your Personal Reality, which starts out with 15 average-sized shops. These shops include at least one bookshop, one pet shop, one drug store with pharmacy, three clothing stores, one shoe store, one computer &amp; games shop, one grocery store and one fast food restaurant. You can pick the general theme of the five remaining shops within the mall yourself or leave it to chance. Merchandise sold in these shops is comparable to merchandise normally sold in shops in your current jump. Any currency available in your current Host Reality is required to make purchases in these shops. The mall is kept clean and filled with merchandise by automated system, unless you’ve purchased Servant Quarters, in which case it gets staffed by additional servants.... alternatively, if you and your companions have children, you may require them to staff the shops to earn an allowance. No shops that could not normally be found in your Origin Reality. A shop from one Host Reality may be locked in so that it won’t change when you leave that Host Reality. If you ever decide to change it, that shop will close immediately and a new one will take its place at the start of your next jump. All such stores have limited daily stock, and no storage space for more... but they’ll restock popular items daily and less popular items weekly. If something doesn’t sell, they’ll eventually stop carrying it, but there is never a ‘oh, you buy this much often! We jack up price!’ function. If you’re an ass, you can charge everyone who isn’t you a tax on anything they buy here, but you’re taxing your friends and followers.</t>
  </si>
  <si>
    <t>More for More (Personal Reality) (50 WP) - Repeatable
 This Mall Upgrade adds an additional five shops to your mall, or upgrades the existing shops from low end common shops to upscale shops or from upscale to high end shops. Think the difference between a working class neighborhood mall and a white collar neighborhood and one in a highly affluent neighborhood mall.</t>
  </si>
  <si>
    <t>Mall of All (Personal Reality) (100 WP) - Repeatable
 This More for More Upgrade requires you to have bought More for More enough times to have 65 Shops in your Mall... and doubles the number of shops. This can be bought as many times as you like, and each time it adds twenty restaurants to your mall. They will be 10 common eateries (fast food, cookies, ice cream), 5 cafes, 3 mid-scale, and 2 upscale. Nothing that would get a Michelin Star, but something on the order of an expensive chain steakhouse or fancy french restaurant.</t>
  </si>
  <si>
    <t>Jump Topic (Personal Reality) (200 WP)
 After every jump concludes, your mall gains a general store specific to that jump’s reality that carries commonly available consumer goods and pre-packed food items indicative of that reality’s cuisine. Think convenience store bentos or carry out chinese food. Also carries spare parts for mundane equipment from that reality. If you’ve used More for More to upgrade the general level of your shops, the Jump Topics will also be improved, carrying higher end goods and food.</t>
  </si>
  <si>
    <t>Greenhouse (Personal Reality) (100 WP)
 A greenhouse in which you can now grow some of your own vegetables and fruits. I hear that strawberries are especially popular this season. The Greenhouse requires Pipes, Pipes, Pipes and either Natural Lighting or Powa. It is set up for soil-ponics, hydroponics, or aeroponics and is contained in a separate structure that has a footprint of exactly half your Starting Size in all dimensions. Any increase in size to your main space multiplies your Greenhouse’s space by a factor of 5.</t>
  </si>
  <si>
    <t>Seeds and Seedlings (Personal Reality) (50 WP)
 This Greenhouse Upgrade provides you with a package once a year that contains a random assortment of seeds and seedlings for you to plant in your Greenhouse. Has enough seeds and seedlings to fill half of your Greenhouse and they’re chosen (and labeled) from all the Host Realities you’ve visited, though all are relatively normal plants for their Host Reality.</t>
  </si>
  <si>
    <t>Arsenal (Personal Reality) (200 WP)
 Placing your battle armor and sword right next to your wedding dress rarely appears all that practical, so with this purchase an armoury gets added to your Personal Reality, into which you can place your battle armors and your weapons, and same for your companions. Content placed into armoury will be sorted for easy access and will be kept in pristine condition, always cleaned when placed back and minor damages automatically repaired, although for bigger types of damages you’ll have to figure out something by yourself. If you have Portals, you can summon your equipment through any portal you open.</t>
  </si>
  <si>
    <t>Menagerie (Personal Reality) (200 WP)
 During your Jumpchain adventures you will undoubtedly acquire a plethora of animals, be they pets, mounts, or livestock. Everything from dogs and cats to horses, oxen, emu, or chocobos... Unfortunately, such animals need space... often a great deal of it it. Well, this improvement provides your Personal Reality with a nearly perfect place for each of them to go and a steady supply of feed and drink. Each Animal receives a spacious living area in your Menagerie, something large enough and varied enough that they’ll be able to exercise and amuse themselves. While this area is not boundless, and it cannot be used for storage or exploited for resources, it will mimic their natural environment and can cover dozens or hundreds of square kilometers. Multiple animals can share an environment if they, in fact, can share an environment (zebras and lions for instance). The area of your Menagerie is not taken from your Starting Size and is completely separate, but each purchase of Additional Space increases the total number of environments by 10 and you start with 10, each of which maxes out at the size of Portugal.</t>
  </si>
  <si>
    <t>Windows (Personal Reality) (50 WP)
 Rooms in your Personal Reality receive windows which look out onto some scenery of the current Jump. The view can be customized per room, but can’t be used for spying purposes or to view private moments.</t>
  </si>
  <si>
    <t>Windows of Nostalgia (Personal Reality) (50 WP)
 This Windows Upgrade now lets you set Windows to show scenes from previous jumps, although limited to views that happened during those Jumps’ durations, nothing that happened before or afterwards.</t>
  </si>
  <si>
    <t>Computer Hub (Personal Reality) (50 WP)
 A top-of-the-line mainframe / supercomputer with basic additional equipment, like scanners (2D and 3D, standard- and poster-sized) and printers (color, black and white, bulk printer, 3D printer, blueprint-printer), and binding equipment. Perfectly assimilates any upgrades done to it. Comes with operating system of your choice, be it Windows, Linux, Android, iOS, etc. You and each companion receive their own personal desktop computer, laptop, and tablet. With the Extranet, all the computers in the Personal Reality are linked via an internal Intranet as well. If you have Central Control and Robots, they’re linked into the Intranet. All printing supplies (filament, paper, ink) must be supplied by the Jumper, but if you have the Mall, you can always find a print supply shop within without having to assign one of your slots to it.</t>
  </si>
  <si>
    <t>Music Collection (Personal Reality) (50 WP) - Repeatable
 You receive a collection of 500 albums (EPS or LPS) based on personalized criteria such as genre, artists, or themes (big band, love songs, acapella, etc.). Liner-notes, sheet-music, and creator commentary / explanations are provided, as well as live performances, remixes, and covers. Total guaranteed run time not to be less than 2,000 hours. Every month you’ll get a new album. This can be purchased multiple times and only music from previous Host Realities is available. If you find that, upon listening to an album for the first time that you do not like it, it will be replaced... but since perfect memory perks are a dime a dozen, asking for a replacement will result in a mental block being placed over the music. You’ll still be able to remember you heard that album and didn’t enjoy it, but not the actual music. This block is fiat backed until you hear the album again someplace else or gain your spark.</t>
  </si>
  <si>
    <t>Movie &amp; TV Series Collection (Personal Reality) (50 WP) - Repeatable
 Functionally identical to the Music Collection, but instead containing 15,000 hours of recorded passive visual media, all in a format your systems can play. All are available in their original languages, with subtitles that are below the bottom of the image and high visibility, with commentary explaining any cultural or production notes, with creator and actor commentary where possible, and with perfectly done dubbing into a language you speak like a native... or rather all languages you speak like a native... and this dubbing sounds exactly like the original actors. Every month you’ll receive 12 hours of new media.</t>
  </si>
  <si>
    <t>Eye Spy (Personal Reality) (100 WP)
 Are you a peeping tom? Or are you simply hypervigilant? Well, with this PR Enhancement, you can now view anything happening in your Personal Reality, or anything that’s happened in the last day, PR Time. Keyholder Companions can establish blackout zones around themselves, blocking out your ability to view the room they’re in or an area 20 meters radius around them. You’ll be notified whenever they do so. With Jump Recording below, the one day limit is removed and you can view anything that has ever happened in your Personal Reality.</t>
  </si>
  <si>
    <t>Jump Recording (Personal Reality) (200 WP)
 You’re now the star of your very own reality TV program! Invisible, intangible cameras follow you everywhere and record everything that you and your companions do. These recordings are then edited for maximum viewability and compiled and cross indexed. What happens next depends on if you bought the limitation ‘Big Benefactor’. If you did, you get this for free. If you didn’t, you have to pay for it. Either way, you get the copies of the footage, both raw and edited. If you have Big Benefactor... you also get the edited footage of the show that they made for it, audience feedback figures, and all the rest. (See Big Benefactor for details.) Does not come with any equipment suitable for watching the footage.</t>
  </si>
  <si>
    <t>Purchased</t>
  </si>
  <si>
    <t>Reality</t>
  </si>
  <si>
    <t>Total</t>
  </si>
  <si>
    <t>Other</t>
  </si>
  <si>
    <t>Available</t>
  </si>
  <si>
    <t>Excluded</t>
  </si>
  <si>
    <t>Extra</t>
  </si>
  <si>
    <t>Bonus
 Free Perks</t>
  </si>
  <si>
    <t>Repeatable
 Perks</t>
  </si>
  <si>
    <t>Repeatable
 Available</t>
  </si>
  <si>
    <t>Repeatable
 Purchased</t>
  </si>
  <si>
    <t>Chapter - Site</t>
  </si>
  <si>
    <t>Chapter Comment
Number</t>
  </si>
  <si>
    <t>Total Comment
Number</t>
  </si>
  <si>
    <t>Chapter Comment
Word Count</t>
  </si>
  <si>
    <t>Total Comment
Word Count</t>
  </si>
  <si>
    <t>Chapter - AO3</t>
  </si>
  <si>
    <t>Chapter - SV</t>
  </si>
  <si>
    <t>1 - AO3</t>
  </si>
  <si>
    <t>1 - SV</t>
  </si>
  <si>
    <t>2 - AO3</t>
  </si>
  <si>
    <t>2 - SV</t>
  </si>
  <si>
    <t>3 - AO3</t>
  </si>
  <si>
    <t>3 - SV</t>
  </si>
  <si>
    <t>3.1 - AO3</t>
  </si>
  <si>
    <t>3.1 - SV</t>
  </si>
  <si>
    <t>4 - AO3</t>
  </si>
  <si>
    <t>4 - SV</t>
  </si>
  <si>
    <t>5 - AO3</t>
  </si>
  <si>
    <t>5 - SV</t>
  </si>
  <si>
    <t>6 - AO3</t>
  </si>
  <si>
    <t>6 - SV</t>
  </si>
  <si>
    <t>6.1 - AO3</t>
  </si>
  <si>
    <t>6.1 - SV</t>
  </si>
  <si>
    <t>7 - AO3</t>
  </si>
  <si>
    <t>7 - SV</t>
  </si>
  <si>
    <t>8 - AO3</t>
  </si>
  <si>
    <t>8 - SV</t>
  </si>
  <si>
    <t>8.1 - AO3</t>
  </si>
  <si>
    <t>8.1 - SV</t>
  </si>
  <si>
    <t>9 - AO3</t>
  </si>
  <si>
    <t>9 - SV</t>
  </si>
  <si>
    <t>10 - AO3</t>
  </si>
  <si>
    <t>10 - SV</t>
  </si>
  <si>
    <t>11 - AO3</t>
  </si>
  <si>
    <t>11 - SV</t>
  </si>
  <si>
    <t>12 - AO3</t>
  </si>
  <si>
    <t>12 - SV</t>
  </si>
  <si>
    <t>12.1 - AO3</t>
  </si>
  <si>
    <t>12.1 - SV</t>
  </si>
  <si>
    <t>13 - AO3</t>
  </si>
  <si>
    <t>13 - SV</t>
  </si>
  <si>
    <t>14 - AO3</t>
  </si>
  <si>
    <t>14 - SV</t>
  </si>
  <si>
    <t>15 - AO3</t>
  </si>
  <si>
    <t>15 - SV</t>
  </si>
  <si>
    <t>16 - AO3</t>
  </si>
  <si>
    <t>16 - SV</t>
  </si>
  <si>
    <t>16.1 - AO3</t>
  </si>
  <si>
    <t>16.1 - SV</t>
  </si>
  <si>
    <t>16.2 - Jumpchain Abilities by Cost - AO3</t>
  </si>
  <si>
    <t>17 - SV</t>
  </si>
  <si>
    <t>17 - AO3</t>
  </si>
  <si>
    <t>18 - SV</t>
  </si>
  <si>
    <t>18 - AO3</t>
  </si>
  <si>
    <t>19 - SV</t>
  </si>
  <si>
    <t>19 - AO3</t>
  </si>
  <si>
    <t>20 - SV</t>
  </si>
  <si>
    <t>20 - AO3</t>
  </si>
  <si>
    <t>21 - SV</t>
  </si>
  <si>
    <t>21 - AO3</t>
  </si>
  <si>
    <t>21.1 - SV</t>
  </si>
  <si>
    <t>21.1 - AO3</t>
  </si>
  <si>
    <t>21.2 - Jumpchain Abilities by Constellation - SV</t>
  </si>
  <si>
    <t>22 - AO3</t>
  </si>
  <si>
    <t>22 - SV</t>
  </si>
  <si>
    <t>23 - AO3</t>
  </si>
  <si>
    <t>23 - SV</t>
  </si>
  <si>
    <t>24 - AO3</t>
  </si>
  <si>
    <t>24 - SV</t>
  </si>
  <si>
    <t>25 - AO3</t>
  </si>
  <si>
    <t>25 - SV</t>
  </si>
  <si>
    <t>26 - AO3</t>
  </si>
  <si>
    <t>26 - SV</t>
  </si>
  <si>
    <t>27 - AO3</t>
  </si>
  <si>
    <t>27 - SV</t>
  </si>
  <si>
    <t>28 - AO3</t>
  </si>
  <si>
    <t>28 - SV</t>
  </si>
  <si>
    <t>29 - AO3</t>
  </si>
  <si>
    <t>29 - SV</t>
  </si>
  <si>
    <t>30 - AO3</t>
  </si>
  <si>
    <t>30 - SV</t>
  </si>
  <si>
    <t>31 - AO3</t>
  </si>
  <si>
    <t>31 - SV</t>
  </si>
  <si>
    <t>32 - AO3</t>
  </si>
  <si>
    <t>32 - SV</t>
  </si>
  <si>
    <t>33 - AO3</t>
  </si>
  <si>
    <t>33 - SV</t>
  </si>
  <si>
    <t>34 - AO3</t>
  </si>
  <si>
    <t>34 - SV</t>
  </si>
  <si>
    <t>35 - AO3</t>
  </si>
  <si>
    <t>35 - SV</t>
  </si>
  <si>
    <t>Jumpchain Abilities by Cost - AO3</t>
  </si>
  <si>
    <t>35.1 - AO3</t>
  </si>
  <si>
    <t>35.1 - SV</t>
  </si>
  <si>
    <t>36 - AO3</t>
  </si>
  <si>
    <t>36 - SV</t>
  </si>
  <si>
    <t>37 - AO3</t>
  </si>
  <si>
    <t>37 - SV</t>
  </si>
  <si>
    <t>38 - AO3</t>
  </si>
  <si>
    <t>38 - SV</t>
  </si>
  <si>
    <t>39 - AO3</t>
  </si>
  <si>
    <t>39 - SV</t>
  </si>
  <si>
    <t>40 - AO3</t>
  </si>
  <si>
    <t>40 - SV</t>
  </si>
  <si>
    <t>41 - AO3</t>
  </si>
  <si>
    <t>41 - SV</t>
  </si>
  <si>
    <t>41.1 - AO3</t>
  </si>
  <si>
    <t>41.1 - SV</t>
  </si>
  <si>
    <t>41.2 - AO3</t>
  </si>
  <si>
    <t>41.2 - SV</t>
  </si>
  <si>
    <t>41.3 - AO3</t>
  </si>
  <si>
    <t>41.3 - SV</t>
  </si>
  <si>
    <t>42 - AO3</t>
  </si>
  <si>
    <t>42 - SV</t>
  </si>
  <si>
    <t>42.1 - AO3</t>
  </si>
  <si>
    <t>42.1 - SV</t>
  </si>
  <si>
    <t>43 - AO3</t>
  </si>
  <si>
    <t>43 - SV</t>
  </si>
  <si>
    <t>Jumpchain Abilities by Constellation - SV</t>
  </si>
  <si>
    <t>43.1 - AO3</t>
  </si>
  <si>
    <t>43.1 - SV</t>
  </si>
  <si>
    <t>44 - AO3</t>
  </si>
  <si>
    <t>44 - SV</t>
  </si>
  <si>
    <t>45 - AO3</t>
  </si>
  <si>
    <t>45 - SV</t>
  </si>
  <si>
    <t>45.1 - AO3</t>
  </si>
  <si>
    <t>45.1 - SV</t>
  </si>
  <si>
    <t>46 - AO3</t>
  </si>
  <si>
    <t>46 - SV</t>
  </si>
  <si>
    <t>46.1 - AO3</t>
  </si>
  <si>
    <t>46.1 - SV</t>
  </si>
  <si>
    <t>46.2 - AO3</t>
  </si>
  <si>
    <t>46.2 - SV</t>
  </si>
  <si>
    <t>47 - AO3</t>
  </si>
  <si>
    <t>47 - SV</t>
  </si>
  <si>
    <t>48 - AO3</t>
  </si>
  <si>
    <t>48 - SV</t>
  </si>
  <si>
    <t>49 - AO3</t>
  </si>
  <si>
    <t>49 - SV</t>
  </si>
  <si>
    <t>50 - AO3</t>
  </si>
  <si>
    <t>50 - SV</t>
  </si>
  <si>
    <t>51 - AO3</t>
  </si>
  <si>
    <t>51 - SV</t>
  </si>
  <si>
    <t>52 - AO3</t>
  </si>
  <si>
    <t>52 - SV</t>
  </si>
  <si>
    <t>53 - AO3</t>
  </si>
  <si>
    <t>53 - SV</t>
  </si>
  <si>
    <t>54 - AO3</t>
  </si>
  <si>
    <t>54 - SV</t>
  </si>
  <si>
    <t>55 - AO3</t>
  </si>
  <si>
    <t>55 - SV</t>
  </si>
  <si>
    <t>55.1 - AO3</t>
  </si>
  <si>
    <t>55.1 - SV</t>
  </si>
  <si>
    <t>56 - AO3</t>
  </si>
  <si>
    <t>56 - SV</t>
  </si>
  <si>
    <t>57 - AO3</t>
  </si>
  <si>
    <t>57 - SV</t>
  </si>
  <si>
    <t>57.1 - AO3</t>
  </si>
  <si>
    <t>57.1 - SV</t>
  </si>
  <si>
    <t>58 - AO3</t>
  </si>
  <si>
    <t>58 - SV</t>
  </si>
  <si>
    <t>58.1 - AO3</t>
  </si>
  <si>
    <t>58.1 - SV</t>
  </si>
  <si>
    <t>58.2 - AO3</t>
  </si>
  <si>
    <t>58.2 - SV</t>
  </si>
  <si>
    <t>59 - AO3</t>
  </si>
  <si>
    <t>59 - SV</t>
  </si>
  <si>
    <t>60 - AO3</t>
  </si>
  <si>
    <t>60 - SV</t>
  </si>
  <si>
    <t>61 - AO3</t>
  </si>
  <si>
    <t>61 - SV</t>
  </si>
  <si>
    <t>62 - AO3</t>
  </si>
  <si>
    <t>62 - SV</t>
  </si>
  <si>
    <t>63 - AO3</t>
  </si>
  <si>
    <t>63 - SV</t>
  </si>
  <si>
    <t>63.1 - AO3</t>
  </si>
  <si>
    <t>63.1 - SV</t>
  </si>
  <si>
    <t>64 - AO3</t>
  </si>
  <si>
    <t>64 - SV</t>
  </si>
  <si>
    <t>65 - AO3</t>
  </si>
  <si>
    <t>65 - SV</t>
  </si>
  <si>
    <t>65.1 - AO3</t>
  </si>
  <si>
    <t>65.1 - SV</t>
  </si>
  <si>
    <t>65.2 - AO3</t>
  </si>
  <si>
    <t>65.2 - SV</t>
  </si>
  <si>
    <t>65.3 - AO3</t>
  </si>
  <si>
    <t>65.3 - SV</t>
  </si>
  <si>
    <t>65.4 - AO3</t>
  </si>
  <si>
    <t>65.4 - SV</t>
  </si>
  <si>
    <t>66 - AO3</t>
  </si>
  <si>
    <t>66 - SV</t>
  </si>
  <si>
    <t>67 - AO3</t>
  </si>
  <si>
    <t>67 - SV</t>
  </si>
  <si>
    <t>68 - AO3</t>
  </si>
  <si>
    <t>68 - SV</t>
  </si>
  <si>
    <t>68.1 - AO3</t>
  </si>
  <si>
    <t>68.1 - SV</t>
  </si>
  <si>
    <t>68.2 - AO3</t>
  </si>
  <si>
    <t>68.2 - SV</t>
  </si>
  <si>
    <t>68.3 - AO3</t>
  </si>
  <si>
    <t>68.3 - SV</t>
  </si>
  <si>
    <t>69 - AO3</t>
  </si>
  <si>
    <t>69 - SV</t>
  </si>
  <si>
    <t>70 - AO3</t>
  </si>
  <si>
    <t>70 - SV</t>
  </si>
  <si>
    <t>71 - AO3</t>
  </si>
  <si>
    <t>71- SV</t>
  </si>
  <si>
    <t>72 - AO3</t>
  </si>
  <si>
    <t>72 - SV</t>
  </si>
  <si>
    <t>73 - AO3</t>
  </si>
  <si>
    <t>73 - SV</t>
  </si>
  <si>
    <t>74 - AO3</t>
  </si>
  <si>
    <t>74 - SV</t>
  </si>
  <si>
    <t>74.1 - AO3</t>
  </si>
  <si>
    <t>74.1 - SV</t>
  </si>
  <si>
    <t>74.2 - AO3</t>
  </si>
  <si>
    <t>74.2 - SV</t>
  </si>
  <si>
    <t>75 - AO3</t>
  </si>
  <si>
    <t>75 - SV</t>
  </si>
  <si>
    <t>76 - AO3</t>
  </si>
  <si>
    <t>76 - SV</t>
  </si>
  <si>
    <t>76.1 - AO3</t>
  </si>
  <si>
    <t>76.1 - SV</t>
  </si>
  <si>
    <t>76.2 - AO3</t>
  </si>
  <si>
    <t>76.2 - SV</t>
  </si>
  <si>
    <t>77 - AO3</t>
  </si>
  <si>
    <t>77 - SV</t>
  </si>
  <si>
    <t>78 - AO3</t>
  </si>
  <si>
    <t>78 - SV</t>
  </si>
  <si>
    <t>79 - AO3</t>
  </si>
  <si>
    <t>79 - SV</t>
  </si>
  <si>
    <t>80 - AO3</t>
  </si>
  <si>
    <t>80 - SV</t>
  </si>
  <si>
    <t>81 - AO3</t>
  </si>
  <si>
    <t>81 - SV</t>
  </si>
  <si>
    <t>82 - AO3</t>
  </si>
  <si>
    <t>82 - SV</t>
  </si>
  <si>
    <t>82.1 - AO3</t>
  </si>
  <si>
    <t>82.1 - SV</t>
  </si>
  <si>
    <t>83 - AO3</t>
  </si>
  <si>
    <t>83 - SV</t>
  </si>
  <si>
    <t>83.1 - AO3</t>
  </si>
  <si>
    <t>83.1 - SV</t>
  </si>
  <si>
    <t>84 - AO3</t>
  </si>
  <si>
    <t>84 - SV</t>
  </si>
  <si>
    <t>85 - AO3</t>
  </si>
  <si>
    <t>85 - SV</t>
  </si>
  <si>
    <t>85.1 - AO3</t>
  </si>
  <si>
    <t>85.1 - SV</t>
  </si>
  <si>
    <t>86 - AO3</t>
  </si>
  <si>
    <t>86 - SV</t>
  </si>
  <si>
    <t>87 - AO3 -----&gt; Continue from here</t>
  </si>
  <si>
    <t>87 - SV</t>
  </si>
  <si>
    <t>87.1 - AO3</t>
  </si>
  <si>
    <t>87.1 - SV</t>
  </si>
  <si>
    <t>88 - AO3</t>
  </si>
  <si>
    <t>88 - SV</t>
  </si>
  <si>
    <t>88.1 - AO3</t>
  </si>
  <si>
    <t>88.1 - SV</t>
  </si>
  <si>
    <t>89 - AO3</t>
  </si>
  <si>
    <t>89 - SV</t>
  </si>
  <si>
    <t>89.1 - AO3</t>
  </si>
  <si>
    <t>89.1 - SV</t>
  </si>
  <si>
    <t>90 - AO3</t>
  </si>
  <si>
    <t>90 - SV</t>
  </si>
  <si>
    <t>91 - AO3</t>
  </si>
  <si>
    <t>91 - SV</t>
  </si>
  <si>
    <t>92 - AO3</t>
  </si>
  <si>
    <t>92 - SV</t>
  </si>
  <si>
    <t>93 - AO3</t>
  </si>
  <si>
    <t>93 - SV</t>
  </si>
  <si>
    <t xml:space="preserve">94 - AO3
</t>
  </si>
  <si>
    <t xml:space="preserve">94 - SV
</t>
  </si>
  <si>
    <t>94.1 - AO3</t>
  </si>
  <si>
    <t>94.1 - SV</t>
  </si>
  <si>
    <t>95 - AO3</t>
  </si>
  <si>
    <t>95 - SV</t>
  </si>
  <si>
    <t>95.1 - AO3</t>
  </si>
  <si>
    <t>95.1 - SV</t>
  </si>
  <si>
    <t>95.2 - AO3</t>
  </si>
  <si>
    <t>95.2 - SV</t>
  </si>
  <si>
    <t>ECF - 1 - AO3</t>
  </si>
  <si>
    <t>95.3 - AO3</t>
  </si>
  <si>
    <t>95.3 - SV</t>
  </si>
  <si>
    <t>95.4 - AO3</t>
  </si>
  <si>
    <t>95.4 - SV</t>
  </si>
  <si>
    <t>95.5 - AO3</t>
  </si>
  <si>
    <t>95.5 - SV</t>
  </si>
  <si>
    <t>95.6 - AO3</t>
  </si>
  <si>
    <t>95.6 - SV</t>
  </si>
  <si>
    <t>96 - AO3</t>
  </si>
  <si>
    <t>96 - SV</t>
  </si>
  <si>
    <t>96.1 - AO3</t>
  </si>
  <si>
    <t>96.1 - SV</t>
  </si>
  <si>
    <t>97 - AO3</t>
  </si>
  <si>
    <t>97 - SV</t>
  </si>
  <si>
    <t>98 - AO3</t>
  </si>
  <si>
    <t>98 - SV</t>
  </si>
  <si>
    <t>98.1 - AO3</t>
  </si>
  <si>
    <t>98.1 - SV</t>
  </si>
  <si>
    <t>99 - AO3</t>
  </si>
  <si>
    <t>99 - SV</t>
  </si>
  <si>
    <t>99.1 - AO3</t>
  </si>
  <si>
    <t>99.1 - SV</t>
  </si>
  <si>
    <t>99.2 - AO3</t>
  </si>
  <si>
    <t>99.2 - SV</t>
  </si>
  <si>
    <t>99.3 - AO3</t>
  </si>
  <si>
    <t>99.3 - SV</t>
  </si>
  <si>
    <t>100 - AO3</t>
  </si>
  <si>
    <t>100 - SV</t>
  </si>
  <si>
    <t>100.1 - AO3</t>
  </si>
  <si>
    <t>100.1 - SV</t>
  </si>
  <si>
    <t>101 - AO3</t>
  </si>
  <si>
    <t>101 - SV</t>
  </si>
  <si>
    <t>102 - AO3</t>
  </si>
  <si>
    <t>102 - SV</t>
  </si>
  <si>
    <t>103 - AO3</t>
  </si>
  <si>
    <t>103 - SV</t>
  </si>
  <si>
    <t>104 - AO3</t>
  </si>
  <si>
    <t>104 - SV</t>
  </si>
  <si>
    <t>104.1 - AO3</t>
  </si>
  <si>
    <t>104.1 - SV</t>
  </si>
  <si>
    <t>104.2 - AO3</t>
  </si>
  <si>
    <t>104.2 - SV</t>
  </si>
  <si>
    <t>105 - AO3</t>
  </si>
  <si>
    <t>105 - SV</t>
  </si>
  <si>
    <t>ECF - 2 - AO3</t>
  </si>
  <si>
    <t>ECF - 2 - SV</t>
  </si>
  <si>
    <t>106 - AO3</t>
  </si>
  <si>
    <t>106 - SV</t>
  </si>
  <si>
    <t>107 - AO3</t>
  </si>
  <si>
    <t>107 - SV</t>
  </si>
  <si>
    <t>108 - AO3</t>
  </si>
  <si>
    <t>108 - SV</t>
  </si>
  <si>
    <t>108.1 - AO3</t>
  </si>
  <si>
    <t>108.1 - SV</t>
  </si>
  <si>
    <t>108.2 - AO3</t>
  </si>
  <si>
    <t>108.2 - SV</t>
  </si>
  <si>
    <t>108.3 - AO3</t>
  </si>
  <si>
    <t>108.3 - SV</t>
  </si>
  <si>
    <t>109 - AO3</t>
  </si>
  <si>
    <t>109 - SV</t>
  </si>
  <si>
    <t>109.1 - AO3</t>
  </si>
  <si>
    <t>109.1 - SV</t>
  </si>
  <si>
    <t>110 - AO3</t>
  </si>
  <si>
    <t>110 - SV</t>
  </si>
  <si>
    <t>110.1 - AO3</t>
  </si>
  <si>
    <t>110.1 - SV</t>
  </si>
  <si>
    <t>110.2 - AO3</t>
  </si>
  <si>
    <t>110.2 - SV</t>
  </si>
  <si>
    <t>110.3 - AO3</t>
  </si>
  <si>
    <t>110.3 - SV</t>
  </si>
  <si>
    <t>111 - AO3</t>
  </si>
  <si>
    <t>111 - SV</t>
  </si>
  <si>
    <t>111.1 - AO3</t>
  </si>
  <si>
    <t>111.1 - SV</t>
  </si>
  <si>
    <t>111.2 - AO3</t>
  </si>
  <si>
    <t>111.2 - SV</t>
  </si>
  <si>
    <t>111.3 - AO3</t>
  </si>
  <si>
    <t>111.3 - SV</t>
  </si>
  <si>
    <t>112 - AO3</t>
  </si>
  <si>
    <t>112 - SV</t>
  </si>
  <si>
    <t>Last Checked: 12/5/23</t>
  </si>
  <si>
    <t>Last Checked: 2/23/25</t>
  </si>
  <si>
    <t>87 - AO3</t>
  </si>
  <si>
    <t>ECF - 1 - SV</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</si>
</sst>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000000"/>
      <name val="&quot;Times New Roman&quot;"/>
    </font>
    <font>
      <sz val="11.0"/>
      <color theme="1"/>
      <name val="Times New Roman"/>
    </font>
    <font>
      <sz val="11.0"/>
      <color rgb="FF000000"/>
      <name val="&quot;Times New Roman&quot;"/>
    </font>
    <font/>
    <font>
      <color theme="1"/>
      <name val="Times New Roman"/>
    </font>
    <font>
      <b/>
      <sz val="11.0"/>
      <color rgb="FF000000"/>
      <name val="Calibri"/>
    </font>
    <font>
      <sz val="11.0"/>
      <color rgb="FF000000"/>
      <name val="Calibri"/>
    </font>
    <font>
      <b/>
      <strike/>
      <sz val="11.0"/>
      <color rgb="FF000000"/>
      <name val="&quot;Times New Roman&quot;"/>
    </font>
    <font>
      <color theme="1"/>
      <name val="Calibri"/>
      <scheme val="minor"/>
    </font>
    <font>
      <b/>
      <sz val="11.0"/>
      <color theme="1"/>
      <name val="&quot;Times New Roman&quot;"/>
    </font>
    <font>
      <b/>
      <sz val="12.0"/>
      <color theme="1"/>
      <name val="Times New Roman"/>
    </font>
    <font>
      <b/>
      <sz val="12.0"/>
      <color rgb="FF000000"/>
      <name val="Times New Roman"/>
    </font>
  </fonts>
  <fills count="10">
    <fill>
      <patternFill patternType="none"/>
    </fill>
    <fill>
      <patternFill patternType="lightGray"/>
    </fill>
    <fill>
      <patternFill patternType="solid">
        <fgColor rgb="FF00B050"/>
        <bgColor rgb="FF00B050"/>
      </patternFill>
    </fill>
    <fill>
      <patternFill patternType="solid">
        <fgColor rgb="FFFFFF00"/>
        <bgColor rgb="FFFFFF00"/>
      </patternFill>
    </fill>
    <fill>
      <patternFill patternType="solid">
        <fgColor rgb="FFFFFFFF"/>
        <bgColor rgb="FFFFFFFF"/>
      </patternFill>
    </fill>
    <fill>
      <patternFill patternType="solid">
        <fgColor rgb="FF00B0F0"/>
        <bgColor rgb="FF00B0F0"/>
      </patternFill>
    </fill>
    <fill>
      <patternFill patternType="solid">
        <fgColor rgb="FFFF0000"/>
        <bgColor rgb="FFFF0000"/>
      </patternFill>
    </fill>
    <fill>
      <patternFill patternType="solid">
        <fgColor theme="0"/>
        <bgColor theme="0"/>
      </patternFill>
    </fill>
    <fill>
      <patternFill patternType="solid">
        <fgColor theme="5"/>
        <bgColor theme="5"/>
      </patternFill>
    </fill>
    <fill>
      <patternFill patternType="solid">
        <fgColor rgb="FF274E13"/>
        <bgColor rgb="FF274E13"/>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bottom style="thin">
        <color rgb="FF000000"/>
      </bottom>
    </border>
    <border>
      <left style="thin">
        <color rgb="FF000000"/>
      </left>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left" shrinkToFit="0" vertical="top" wrapText="1"/>
    </xf>
    <xf borderId="0" fillId="0" fontId="3" numFmtId="0" xfId="0" applyAlignment="1" applyFont="1">
      <alignment horizontal="center" readingOrder="0"/>
    </xf>
    <xf borderId="0" fillId="0" fontId="3" numFmtId="0" xfId="0" applyAlignment="1" applyFont="1">
      <alignment horizontal="left" readingOrder="0" shrinkToFit="0" vertical="top" wrapText="1"/>
    </xf>
    <xf borderId="0" fillId="0" fontId="3" numFmtId="0" xfId="0" applyAlignment="1" applyFont="1">
      <alignment horizontal="left" readingOrder="0" vertical="top"/>
    </xf>
    <xf borderId="0" fillId="0" fontId="1" numFmtId="0" xfId="0" applyAlignment="1" applyFont="1">
      <alignment horizontal="left" readingOrder="0" shrinkToFit="0" vertical="top" wrapText="1"/>
    </xf>
    <xf borderId="0" fillId="0" fontId="3" numFmtId="0" xfId="0" applyAlignment="1" applyFont="1">
      <alignment horizontal="left" vertical="top"/>
    </xf>
    <xf borderId="0" fillId="0" fontId="3" numFmtId="0" xfId="0" applyAlignment="1" applyFont="1">
      <alignment horizontal="center" readingOrder="0" shrinkToFit="0" wrapText="0"/>
    </xf>
    <xf borderId="0" fillId="0" fontId="3" numFmtId="0" xfId="0" applyAlignment="1" applyFont="1">
      <alignment horizontal="center" shrinkToFit="0" wrapText="0"/>
    </xf>
    <xf borderId="0" fillId="0" fontId="0" numFmtId="0" xfId="0" applyAlignment="1" applyFont="1">
      <alignment horizontal="center" shrinkToFit="0" vertical="center" wrapText="1"/>
    </xf>
    <xf borderId="1" fillId="2" fontId="1" numFmtId="0" xfId="0" applyAlignment="1" applyBorder="1" applyFill="1" applyFont="1">
      <alignment horizontal="left" readingOrder="0" shrinkToFit="0" wrapText="0"/>
    </xf>
    <xf borderId="2" fillId="2" fontId="1" numFmtId="0" xfId="0" applyAlignment="1" applyBorder="1" applyFont="1">
      <alignment horizontal="left" readingOrder="0" shrinkToFit="0" wrapText="0"/>
    </xf>
    <xf borderId="3" fillId="2" fontId="1" numFmtId="0" xfId="0" applyAlignment="1" applyBorder="1" applyFont="1">
      <alignment horizontal="center" readingOrder="0" shrinkToFit="0" wrapText="0"/>
    </xf>
    <xf borderId="3" fillId="0" fontId="4" numFmtId="0" xfId="0" applyBorder="1" applyFont="1"/>
    <xf borderId="2" fillId="0" fontId="4" numFmtId="0" xfId="0" applyBorder="1" applyFont="1"/>
    <xf borderId="2" fillId="2" fontId="1" numFmtId="0" xfId="0" applyAlignment="1" applyBorder="1" applyFont="1">
      <alignment horizontal="center" readingOrder="0" shrinkToFit="0" wrapText="0"/>
    </xf>
    <xf borderId="0" fillId="0" fontId="5" numFmtId="0" xfId="0" applyFont="1"/>
    <xf borderId="4" fillId="0" fontId="3" numFmtId="0" xfId="0" applyAlignment="1" applyBorder="1" applyFont="1">
      <alignment horizontal="left" readingOrder="0" shrinkToFit="0" wrapText="0"/>
    </xf>
    <xf borderId="1" fillId="0" fontId="1" numFmtId="0" xfId="0" applyAlignment="1" applyBorder="1" applyFont="1">
      <alignment horizontal="left" shrinkToFit="0" wrapText="0"/>
    </xf>
    <xf borderId="5" fillId="0" fontId="3" numFmtId="0" xfId="0" applyAlignment="1" applyBorder="1" applyFont="1">
      <alignment horizontal="left" readingOrder="0" shrinkToFit="0" wrapText="0"/>
    </xf>
    <xf borderId="1" fillId="0" fontId="3" numFmtId="0" xfId="0" applyAlignment="1" applyBorder="1" applyFont="1">
      <alignment horizontal="left" readingOrder="0" shrinkToFit="0" wrapText="0"/>
    </xf>
    <xf borderId="5" fillId="0" fontId="1" numFmtId="0" xfId="0" applyAlignment="1" applyBorder="1" applyFont="1">
      <alignment horizontal="left" readingOrder="0" shrinkToFit="0" wrapText="0"/>
    </xf>
    <xf borderId="6" fillId="0" fontId="3" numFmtId="0" xfId="0" applyAlignment="1" applyBorder="1" applyFont="1">
      <alignment horizontal="left" readingOrder="0" vertical="top"/>
    </xf>
    <xf borderId="5" fillId="0" fontId="1" numFmtId="0" xfId="0" applyAlignment="1" applyBorder="1" applyFont="1">
      <alignment horizontal="center" readingOrder="0" shrinkToFit="0" wrapText="0"/>
    </xf>
    <xf borderId="5" fillId="0" fontId="6" numFmtId="0" xfId="0" applyAlignment="1" applyBorder="1" applyFont="1">
      <alignment horizontal="center" readingOrder="0" shrinkToFit="0" wrapText="0"/>
    </xf>
    <xf borderId="4" fillId="0" fontId="3" numFmtId="0" xfId="0" applyAlignment="1" applyBorder="1" applyFont="1">
      <alignment horizontal="left" shrinkToFit="0" wrapText="0"/>
    </xf>
    <xf borderId="5" fillId="0" fontId="6" numFmtId="0" xfId="0" applyAlignment="1" applyBorder="1" applyFont="1">
      <alignment horizontal="left" readingOrder="0" shrinkToFit="0" wrapText="0"/>
    </xf>
    <xf borderId="6" fillId="0" fontId="4" numFmtId="0" xfId="0" applyBorder="1" applyFont="1"/>
    <xf borderId="5" fillId="0" fontId="3" numFmtId="0" xfId="0" applyAlignment="1" applyBorder="1" applyFont="1">
      <alignment horizontal="center" readingOrder="0" shrinkToFit="0" wrapText="0"/>
    </xf>
    <xf borderId="5" fillId="0" fontId="3" numFmtId="0" xfId="0" applyAlignment="1" applyBorder="1" applyFont="1">
      <alignment horizontal="center" shrinkToFit="0" wrapText="0"/>
    </xf>
    <xf borderId="5" fillId="0" fontId="3" numFmtId="0" xfId="0" applyAlignment="1" applyBorder="1" applyFont="1">
      <alignment horizontal="center" shrinkToFit="0" wrapText="0"/>
    </xf>
    <xf borderId="5" fillId="0" fontId="7" numFmtId="0" xfId="0" applyAlignment="1" applyBorder="1" applyFont="1">
      <alignment shrinkToFit="0" vertical="bottom" wrapText="0"/>
    </xf>
    <xf borderId="5" fillId="0" fontId="7" numFmtId="0" xfId="0" applyAlignment="1" applyBorder="1" applyFont="1">
      <alignment shrinkToFit="0" vertical="bottom" wrapText="0"/>
    </xf>
    <xf borderId="5" fillId="0" fontId="3" numFmtId="0" xfId="0" applyAlignment="1" applyBorder="1" applyFont="1">
      <alignment horizontal="left" shrinkToFit="0" vertical="top" wrapText="0"/>
    </xf>
    <xf borderId="5" fillId="0" fontId="1" numFmtId="0" xfId="0" applyAlignment="1" applyBorder="1" applyFont="1">
      <alignment horizontal="left" shrinkToFit="0" wrapText="0"/>
    </xf>
    <xf borderId="5" fillId="0" fontId="1" numFmtId="0" xfId="0" applyAlignment="1" applyBorder="1" applyFont="1">
      <alignment horizontal="left" shrinkToFit="0" wrapText="0"/>
    </xf>
    <xf borderId="6" fillId="0" fontId="1" numFmtId="0" xfId="0" applyAlignment="1" applyBorder="1" applyFont="1">
      <alignment horizontal="left" readingOrder="0"/>
    </xf>
    <xf borderId="4" fillId="0" fontId="4" numFmtId="0" xfId="0" applyBorder="1" applyFont="1"/>
    <xf borderId="4" fillId="0" fontId="3" numFmtId="0" xfId="0" applyAlignment="1" applyBorder="1" applyFont="1">
      <alignment readingOrder="0" shrinkToFit="0" vertical="bottom" wrapText="0"/>
    </xf>
    <xf borderId="5" fillId="0" fontId="3" numFmtId="0" xfId="0" applyAlignment="1" applyBorder="1" applyFont="1">
      <alignment vertical="top"/>
    </xf>
    <xf borderId="5" fillId="0" fontId="1" numFmtId="0" xfId="0" applyAlignment="1" applyBorder="1" applyFont="1">
      <alignment horizontal="center" shrinkToFit="0" wrapText="0"/>
    </xf>
    <xf borderId="4" fillId="0" fontId="3" numFmtId="0" xfId="0" applyAlignment="1" applyBorder="1" applyFont="1">
      <alignment horizontal="center" shrinkToFit="0" wrapText="0"/>
    </xf>
    <xf borderId="7" fillId="0" fontId="3" numFmtId="0" xfId="0" applyAlignment="1" applyBorder="1" applyFont="1">
      <alignment horizontal="left" readingOrder="0" shrinkToFit="0" wrapText="0"/>
    </xf>
    <xf borderId="6" fillId="0" fontId="3" numFmtId="0" xfId="0" applyAlignment="1" applyBorder="1" applyFont="1">
      <alignment horizontal="left" readingOrder="0" shrinkToFit="0" wrapText="0"/>
    </xf>
    <xf borderId="8" fillId="0" fontId="3" numFmtId="0" xfId="0" applyAlignment="1" applyBorder="1" applyFont="1">
      <alignment horizontal="left" readingOrder="0" shrinkToFit="0" wrapText="0"/>
    </xf>
    <xf borderId="1" fillId="0" fontId="3" numFmtId="0" xfId="0" applyAlignment="1" applyBorder="1" applyFont="1">
      <alignment readingOrder="0" vertical="bottom"/>
    </xf>
    <xf borderId="2" fillId="0" fontId="3" numFmtId="0" xfId="0" applyAlignment="1" applyBorder="1" applyFont="1">
      <alignment horizontal="right" readingOrder="0" vertical="bottom"/>
    </xf>
    <xf borderId="2" fillId="0" fontId="3" numFmtId="0" xfId="0" applyAlignment="1" applyBorder="1" applyFont="1">
      <alignment readingOrder="0" vertical="bottom"/>
    </xf>
    <xf borderId="4" fillId="0" fontId="3" numFmtId="0" xfId="0" applyAlignment="1" applyBorder="1" applyFont="1">
      <alignment readingOrder="0" vertical="bottom"/>
    </xf>
    <xf borderId="5" fillId="0" fontId="3" numFmtId="0" xfId="0" applyAlignment="1" applyBorder="1" applyFont="1">
      <alignment horizontal="right" readingOrder="0" vertical="bottom"/>
    </xf>
    <xf borderId="5" fillId="0" fontId="3" numFmtId="0" xfId="0" applyAlignment="1" applyBorder="1" applyFont="1">
      <alignment readingOrder="0" vertical="bottom"/>
    </xf>
    <xf borderId="4" fillId="3" fontId="1" numFmtId="0" xfId="0" applyAlignment="1" applyBorder="1" applyFill="1" applyFont="1">
      <alignment horizontal="left" readingOrder="0" shrinkToFit="0" wrapText="0"/>
    </xf>
    <xf borderId="2" fillId="0" fontId="3" numFmtId="0" xfId="0" applyAlignment="1" applyBorder="1" applyFont="1">
      <alignment horizontal="left" readingOrder="0" shrinkToFit="0" wrapText="0"/>
    </xf>
    <xf borderId="5" fillId="0" fontId="3" numFmtId="0" xfId="0" applyAlignment="1" applyBorder="1" applyFont="1">
      <alignment horizontal="left" shrinkToFit="0" wrapText="0"/>
    </xf>
    <xf borderId="1" fillId="4" fontId="1" numFmtId="0" xfId="0" applyAlignment="1" applyBorder="1" applyFill="1" applyFont="1">
      <alignment horizontal="center" shrinkToFit="0" wrapText="1"/>
    </xf>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1" fillId="4" fontId="3" numFmtId="0" xfId="0" applyAlignment="1" applyBorder="1" applyFont="1">
      <alignment horizontal="left" shrinkToFit="0" vertical="top" wrapText="1"/>
    </xf>
    <xf borderId="1" fillId="2" fontId="3" numFmtId="0" xfId="0" applyAlignment="1" applyBorder="1" applyFont="1">
      <alignment horizontal="left" readingOrder="0" shrinkToFit="0" vertical="top" wrapText="1"/>
    </xf>
    <xf borderId="1" fillId="5" fontId="3" numFmtId="0" xfId="0" applyAlignment="1" applyBorder="1" applyFill="1" applyFont="1">
      <alignment horizontal="left" readingOrder="0" shrinkToFit="0" vertical="top" wrapText="1"/>
    </xf>
    <xf borderId="1" fillId="6" fontId="3" numFmtId="0" xfId="0" applyAlignment="1" applyBorder="1" applyFill="1" applyFont="1">
      <alignment horizontal="left" readingOrder="0" shrinkToFit="0" vertical="top" wrapText="1"/>
    </xf>
    <xf borderId="1" fillId="0" fontId="3" numFmtId="0" xfId="0" applyAlignment="1" applyBorder="1" applyFont="1">
      <alignment horizontal="left" shrinkToFit="0" vertical="top" wrapText="1"/>
    </xf>
    <xf borderId="1" fillId="3" fontId="3" numFmtId="0" xfId="0" applyAlignment="1" applyBorder="1" applyFont="1">
      <alignment horizontal="left" readingOrder="0" shrinkToFit="0" vertical="top" wrapText="1"/>
    </xf>
    <xf borderId="1" fillId="2" fontId="1" numFmtId="0" xfId="0" applyAlignment="1" applyBorder="1" applyFont="1">
      <alignment horizontal="left" readingOrder="0" shrinkToFit="0" vertical="top" wrapText="1"/>
    </xf>
    <xf borderId="1" fillId="7" fontId="2" numFmtId="0" xfId="0" applyAlignment="1" applyBorder="1" applyFill="1" applyFont="1">
      <alignment horizontal="left" shrinkToFit="0" vertical="top" wrapText="1"/>
    </xf>
    <xf borderId="1" fillId="0" fontId="2" numFmtId="0" xfId="0" applyAlignment="1" applyBorder="1" applyFont="1">
      <alignment horizontal="left" shrinkToFit="0" vertical="top" wrapText="1"/>
    </xf>
    <xf borderId="1" fillId="2" fontId="1" numFmtId="0" xfId="0" applyAlignment="1" applyBorder="1" applyFont="1">
      <alignment horizontal="center" readingOrder="0" shrinkToFit="0" vertical="center" wrapText="0"/>
    </xf>
    <xf borderId="2" fillId="2" fontId="1" numFmtId="0" xfId="0" applyAlignment="1" applyBorder="1" applyFont="1">
      <alignment horizontal="center" readingOrder="0" shrinkToFit="0" vertical="center" wrapText="0"/>
    </xf>
    <xf borderId="2" fillId="2" fontId="8" numFmtId="0" xfId="0" applyAlignment="1" applyBorder="1" applyFont="1">
      <alignment horizontal="center" readingOrder="0" shrinkToFit="0" vertical="center" wrapText="0"/>
    </xf>
    <xf borderId="0" fillId="0" fontId="3" numFmtId="0" xfId="0" applyAlignment="1" applyFont="1">
      <alignment horizontal="center" shrinkToFit="0" vertical="center" wrapText="0"/>
    </xf>
    <xf borderId="0" fillId="0" fontId="9" numFmtId="0" xfId="0" applyAlignment="1" applyFont="1">
      <alignment horizontal="center" vertical="center"/>
    </xf>
    <xf borderId="4" fillId="2" fontId="1" numFmtId="0" xfId="0" applyAlignment="1" applyBorder="1" applyFont="1">
      <alignment horizontal="center" readingOrder="0" shrinkToFit="0" vertical="center" wrapText="0"/>
    </xf>
    <xf borderId="5" fillId="0" fontId="3" numFmtId="0" xfId="0" applyAlignment="1" applyBorder="1" applyFont="1">
      <alignment horizontal="center" readingOrder="0" shrinkToFit="0" vertical="center" wrapText="0"/>
    </xf>
    <xf borderId="5" fillId="8" fontId="3" numFmtId="0" xfId="0" applyAlignment="1" applyBorder="1" applyFill="1" applyFont="1">
      <alignment horizontal="center" readingOrder="0" shrinkToFit="0" vertical="center" wrapText="0"/>
    </xf>
    <xf borderId="9" fillId="2" fontId="1" numFmtId="0" xfId="0" applyAlignment="1" applyBorder="1" applyFont="1">
      <alignment horizontal="center" readingOrder="0" shrinkToFit="0" vertical="center" wrapText="0"/>
    </xf>
    <xf borderId="4" fillId="0" fontId="3" numFmtId="0" xfId="0" applyAlignment="1" applyBorder="1" applyFont="1">
      <alignment horizontal="center" readingOrder="0" shrinkToFit="0" vertical="center" wrapText="0"/>
    </xf>
    <xf borderId="0" fillId="0" fontId="1" numFmtId="0" xfId="0" applyAlignment="1" applyFont="1">
      <alignment horizontal="center" shrinkToFit="0" vertical="center" wrapText="0"/>
    </xf>
    <xf borderId="1" fillId="5" fontId="1" numFmtId="0" xfId="0" applyAlignment="1" applyBorder="1" applyFont="1">
      <alignment horizontal="center" readingOrder="0" shrinkToFit="0" vertical="center" wrapText="0"/>
    </xf>
    <xf borderId="2" fillId="5" fontId="1" numFmtId="0" xfId="0" applyAlignment="1" applyBorder="1" applyFont="1">
      <alignment horizontal="center" readingOrder="0" shrinkToFit="0" vertical="center" wrapText="0"/>
    </xf>
    <xf borderId="2" fillId="5" fontId="8" numFmtId="0" xfId="0" applyAlignment="1" applyBorder="1" applyFont="1">
      <alignment horizontal="center" readingOrder="0" shrinkToFit="0" vertical="center" wrapText="0"/>
    </xf>
    <xf borderId="4" fillId="5" fontId="1" numFmtId="0" xfId="0" applyAlignment="1" applyBorder="1" applyFont="1">
      <alignment horizontal="center" readingOrder="0" shrinkToFit="0" vertical="center" wrapText="0"/>
    </xf>
    <xf borderId="1" fillId="6" fontId="1" numFmtId="0" xfId="0" applyAlignment="1" applyBorder="1" applyFont="1">
      <alignment horizontal="center" readingOrder="0" shrinkToFit="0" vertical="center" wrapText="0"/>
    </xf>
    <xf borderId="2" fillId="6" fontId="1" numFmtId="0" xfId="0" applyAlignment="1" applyBorder="1" applyFont="1">
      <alignment horizontal="center" readingOrder="0" shrinkToFit="0" vertical="center" wrapText="0"/>
    </xf>
    <xf borderId="2" fillId="6" fontId="8" numFmtId="0" xfId="0" applyAlignment="1" applyBorder="1" applyFont="1">
      <alignment horizontal="center" readingOrder="0" shrinkToFit="0" vertical="center" wrapText="0"/>
    </xf>
    <xf borderId="4" fillId="6" fontId="1" numFmtId="0" xfId="0" applyAlignment="1" applyBorder="1" applyFont="1">
      <alignment horizontal="center" readingOrder="0" shrinkToFit="0" vertical="center" wrapText="0"/>
    </xf>
    <xf borderId="1" fillId="3" fontId="1" numFmtId="0" xfId="0" applyAlignment="1" applyBorder="1" applyFont="1">
      <alignment horizontal="center" readingOrder="0" shrinkToFit="0" vertical="center" wrapText="0"/>
    </xf>
    <xf borderId="2" fillId="3" fontId="1" numFmtId="0" xfId="0" applyAlignment="1" applyBorder="1" applyFont="1">
      <alignment horizontal="center" readingOrder="0" shrinkToFit="0" vertical="center" wrapText="0"/>
    </xf>
    <xf borderId="2" fillId="3" fontId="8" numFmtId="0" xfId="0" applyAlignment="1" applyBorder="1" applyFont="1">
      <alignment horizontal="center" readingOrder="0" shrinkToFit="0" vertical="center" wrapText="0"/>
    </xf>
    <xf borderId="4" fillId="3" fontId="10" numFmtId="0" xfId="0" applyAlignment="1" applyBorder="1" applyFont="1">
      <alignment horizontal="center" readingOrder="0" vertical="center"/>
    </xf>
    <xf borderId="4" fillId="3" fontId="1" numFmtId="0" xfId="0" applyAlignment="1" applyBorder="1" applyFont="1">
      <alignment horizontal="center" readingOrder="0" vertical="center"/>
    </xf>
    <xf borderId="0" fillId="9" fontId="11" numFmtId="0" xfId="0" applyAlignment="1" applyFill="1" applyFont="1">
      <alignment horizontal="left"/>
    </xf>
    <xf borderId="1" fillId="0" fontId="12" numFmtId="0" xfId="0" applyAlignment="1" applyBorder="1" applyFont="1">
      <alignment horizontal="left" readingOrder="0" vertical="top"/>
    </xf>
    <xf borderId="1" fillId="0" fontId="11" numFmtId="0" xfId="0" applyAlignment="1" applyBorder="1" applyFont="1">
      <alignment readingOrder="0" vertical="top"/>
    </xf>
    <xf borderId="1" fillId="0" fontId="11" numFmtId="0" xfId="0" applyAlignment="1" applyBorder="1" applyFont="1">
      <alignment vertical="top"/>
    </xf>
    <xf borderId="1" fillId="0" fontId="12" numFmtId="0" xfId="0" applyAlignment="1" applyBorder="1" applyFont="1">
      <alignment horizontal="left" vertical="top"/>
    </xf>
    <xf borderId="1" fillId="0" fontId="11" numFmtId="0" xfId="0" applyAlignment="1" applyBorder="1" applyFont="1">
      <alignment horizontal="left" readingOrder="0"/>
    </xf>
    <xf borderId="1" fillId="0" fontId="11" numFmtId="0" xfId="0" applyAlignment="1" applyBorder="1" applyFont="1">
      <alignment horizontal="left"/>
    </xf>
    <xf borderId="1" fillId="0" fontId="11" numFmtId="0" xfId="0" applyAlignment="1" applyBorder="1" applyFont="1">
      <alignment vertical="bottom"/>
    </xf>
    <xf borderId="1" fillId="0" fontId="11" numFmtId="0" xfId="0" applyAlignment="1" applyBorder="1" applyFont="1">
      <alignment vertical="bottom"/>
    </xf>
    <xf borderId="1" fillId="0" fontId="11" numFmtId="0" xfId="0" applyAlignment="1" applyBorder="1" applyFont="1">
      <alignment horizontal="left" readingOrder="0" vertical="bottom"/>
    </xf>
    <xf borderId="1" fillId="0" fontId="11" numFmtId="0" xfId="0" applyAlignment="1" applyBorder="1" applyFont="1">
      <alignment readingOrder="0" vertical="bottom"/>
    </xf>
    <xf borderId="1" fillId="0" fontId="12" numFmtId="0" xfId="0" applyAlignment="1" applyBorder="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14"/>
    <col customWidth="1" min="2" max="2" width="111.14"/>
    <col customWidth="1" min="3" max="3" width="52.29"/>
    <col customWidth="1" min="4" max="6" width="8.86"/>
    <col customWidth="1" min="7" max="26" width="8.71"/>
  </cols>
  <sheetData>
    <row r="1" ht="14.25" customHeight="1">
      <c r="A1" s="1" t="s">
        <v>0</v>
      </c>
      <c r="B1" s="2" t="s">
        <v>1</v>
      </c>
      <c r="C1" s="1" t="s">
        <v>2</v>
      </c>
      <c r="D1" s="3"/>
      <c r="E1" s="3"/>
      <c r="F1" s="3"/>
      <c r="G1" s="3"/>
      <c r="H1" s="3"/>
      <c r="I1" s="3"/>
      <c r="J1" s="3"/>
      <c r="K1" s="3"/>
      <c r="L1" s="3"/>
      <c r="M1" s="3"/>
      <c r="N1" s="3"/>
      <c r="O1" s="3"/>
      <c r="P1" s="3"/>
      <c r="Q1" s="3"/>
      <c r="R1" s="3"/>
      <c r="S1" s="3"/>
      <c r="T1" s="3"/>
      <c r="U1" s="3"/>
      <c r="V1" s="3"/>
      <c r="W1" s="3"/>
      <c r="X1" s="3"/>
      <c r="Y1" s="3"/>
      <c r="Z1" s="3"/>
    </row>
    <row r="2" ht="41.25" customHeight="1">
      <c r="A2" s="4" t="s">
        <v>3</v>
      </c>
      <c r="B2" s="5" t="s">
        <v>4</v>
      </c>
      <c r="C2" s="6" t="s">
        <v>5</v>
      </c>
      <c r="D2" s="3"/>
      <c r="E2" s="3"/>
      <c r="F2" s="3"/>
      <c r="G2" s="3"/>
      <c r="H2" s="3"/>
      <c r="I2" s="3"/>
      <c r="J2" s="3"/>
      <c r="K2" s="3"/>
      <c r="L2" s="3"/>
      <c r="M2" s="3"/>
      <c r="N2" s="3"/>
      <c r="O2" s="3"/>
      <c r="P2" s="3"/>
      <c r="Q2" s="3"/>
      <c r="R2" s="3"/>
      <c r="S2" s="3"/>
      <c r="T2" s="3"/>
      <c r="U2" s="3"/>
      <c r="V2" s="3"/>
      <c r="W2" s="3"/>
      <c r="X2" s="3"/>
      <c r="Y2" s="3"/>
      <c r="Z2" s="3"/>
    </row>
    <row r="3" ht="14.25" customHeight="1">
      <c r="A3" s="4" t="s">
        <v>6</v>
      </c>
      <c r="B3" s="5" t="s">
        <v>7</v>
      </c>
      <c r="D3" s="3"/>
      <c r="E3" s="3"/>
      <c r="F3" s="3"/>
      <c r="G3" s="3"/>
      <c r="H3" s="3"/>
      <c r="I3" s="3"/>
      <c r="J3" s="3"/>
      <c r="K3" s="3"/>
      <c r="L3" s="3"/>
      <c r="M3" s="3"/>
      <c r="N3" s="3"/>
      <c r="O3" s="3"/>
      <c r="P3" s="3"/>
      <c r="Q3" s="3"/>
      <c r="R3" s="3"/>
      <c r="S3" s="3"/>
      <c r="T3" s="3"/>
      <c r="U3" s="3"/>
      <c r="V3" s="3"/>
      <c r="W3" s="3"/>
      <c r="X3" s="3"/>
      <c r="Y3" s="3"/>
      <c r="Z3" s="3"/>
    </row>
    <row r="4" ht="14.25" customHeight="1">
      <c r="A4" s="4" t="s">
        <v>8</v>
      </c>
      <c r="B4" s="5" t="s">
        <v>9</v>
      </c>
      <c r="D4" s="3"/>
      <c r="E4" s="3"/>
      <c r="F4" s="3"/>
      <c r="G4" s="3"/>
      <c r="H4" s="3"/>
      <c r="I4" s="3"/>
      <c r="J4" s="3"/>
      <c r="K4" s="3"/>
      <c r="L4" s="3"/>
      <c r="M4" s="3"/>
      <c r="N4" s="3"/>
      <c r="O4" s="3"/>
      <c r="P4" s="3"/>
      <c r="Q4" s="3"/>
      <c r="R4" s="3"/>
      <c r="S4" s="3"/>
      <c r="T4" s="3"/>
      <c r="U4" s="3"/>
      <c r="V4" s="3"/>
      <c r="W4" s="3"/>
      <c r="X4" s="3"/>
      <c r="Y4" s="3"/>
      <c r="Z4" s="3"/>
    </row>
    <row r="5" ht="14.25" customHeight="1">
      <c r="A5" s="4" t="s">
        <v>10</v>
      </c>
      <c r="B5" s="7" t="s">
        <v>11</v>
      </c>
      <c r="D5" s="3"/>
      <c r="E5" s="3"/>
      <c r="F5" s="3"/>
      <c r="G5" s="3"/>
      <c r="H5" s="3"/>
      <c r="I5" s="3"/>
      <c r="J5" s="3"/>
      <c r="K5" s="3"/>
      <c r="L5" s="3"/>
      <c r="M5" s="3"/>
      <c r="N5" s="3"/>
      <c r="O5" s="3"/>
      <c r="P5" s="3"/>
      <c r="Q5" s="3"/>
      <c r="R5" s="3"/>
      <c r="S5" s="3"/>
      <c r="T5" s="3"/>
      <c r="U5" s="3"/>
      <c r="V5" s="3"/>
      <c r="W5" s="3"/>
      <c r="X5" s="3"/>
      <c r="Y5" s="3"/>
      <c r="Z5" s="3"/>
    </row>
    <row r="6" ht="14.25" customHeight="1">
      <c r="A6" s="4" t="s">
        <v>12</v>
      </c>
      <c r="B6" s="5" t="s">
        <v>13</v>
      </c>
      <c r="D6" s="3"/>
      <c r="E6" s="3"/>
      <c r="F6" s="3"/>
      <c r="G6" s="3"/>
      <c r="H6" s="3"/>
      <c r="I6" s="3"/>
      <c r="J6" s="3"/>
      <c r="K6" s="3"/>
      <c r="L6" s="3"/>
      <c r="M6" s="3"/>
      <c r="N6" s="3"/>
      <c r="O6" s="3"/>
      <c r="P6" s="3"/>
      <c r="Q6" s="3"/>
      <c r="R6" s="3"/>
      <c r="S6" s="3"/>
      <c r="T6" s="3"/>
      <c r="U6" s="3"/>
      <c r="V6" s="3"/>
      <c r="W6" s="3"/>
      <c r="X6" s="3"/>
      <c r="Y6" s="3"/>
      <c r="Z6" s="3"/>
    </row>
    <row r="7" ht="14.25" customHeight="1">
      <c r="A7" s="4" t="s">
        <v>14</v>
      </c>
      <c r="B7" s="5" t="s">
        <v>15</v>
      </c>
      <c r="D7" s="3"/>
      <c r="E7" s="3"/>
      <c r="F7" s="3"/>
      <c r="G7" s="3"/>
      <c r="H7" s="3"/>
      <c r="I7" s="3"/>
      <c r="J7" s="3"/>
      <c r="K7" s="3"/>
      <c r="L7" s="3"/>
      <c r="M7" s="3"/>
      <c r="N7" s="3"/>
      <c r="O7" s="3"/>
      <c r="P7" s="3"/>
      <c r="Q7" s="3"/>
      <c r="R7" s="3"/>
      <c r="S7" s="3"/>
      <c r="T7" s="3"/>
      <c r="U7" s="3"/>
      <c r="V7" s="3"/>
      <c r="W7" s="3"/>
      <c r="X7" s="3"/>
      <c r="Y7" s="3"/>
      <c r="Z7" s="3"/>
    </row>
    <row r="8" ht="14.25" customHeight="1">
      <c r="A8" s="4" t="s">
        <v>16</v>
      </c>
      <c r="B8" s="5" t="s">
        <v>17</v>
      </c>
      <c r="D8" s="3"/>
      <c r="E8" s="3"/>
      <c r="F8" s="3"/>
      <c r="G8" s="3"/>
      <c r="H8" s="3"/>
      <c r="I8" s="3"/>
      <c r="J8" s="3"/>
      <c r="K8" s="3"/>
      <c r="L8" s="3"/>
      <c r="M8" s="3"/>
      <c r="N8" s="3"/>
      <c r="O8" s="3"/>
      <c r="P8" s="3"/>
      <c r="Q8" s="3"/>
      <c r="R8" s="3"/>
      <c r="S8" s="3"/>
      <c r="T8" s="3"/>
      <c r="U8" s="3"/>
      <c r="V8" s="3"/>
      <c r="W8" s="3"/>
      <c r="X8" s="3"/>
      <c r="Y8" s="3"/>
      <c r="Z8" s="3"/>
    </row>
    <row r="9" ht="14.25" customHeight="1">
      <c r="A9" s="4" t="s">
        <v>18</v>
      </c>
      <c r="B9" s="5" t="s">
        <v>19</v>
      </c>
      <c r="C9" s="1" t="s">
        <v>20</v>
      </c>
      <c r="D9" s="3"/>
      <c r="E9" s="3"/>
      <c r="F9" s="3"/>
      <c r="G9" s="3"/>
      <c r="H9" s="3"/>
      <c r="I9" s="3"/>
      <c r="J9" s="3"/>
      <c r="K9" s="3"/>
      <c r="L9" s="3"/>
      <c r="M9" s="3"/>
      <c r="N9" s="3"/>
      <c r="O9" s="3"/>
      <c r="P9" s="3"/>
      <c r="Q9" s="3"/>
      <c r="R9" s="3"/>
      <c r="S9" s="3"/>
      <c r="T9" s="3"/>
      <c r="U9" s="3"/>
      <c r="V9" s="3"/>
      <c r="W9" s="3"/>
      <c r="X9" s="3"/>
      <c r="Y9" s="3"/>
      <c r="Z9" s="3"/>
    </row>
    <row r="10" ht="14.25" customHeight="1">
      <c r="A10" s="4" t="s">
        <v>21</v>
      </c>
      <c r="B10" s="5" t="s">
        <v>22</v>
      </c>
      <c r="C10" s="6" t="s">
        <v>23</v>
      </c>
      <c r="D10" s="3"/>
      <c r="E10" s="3"/>
      <c r="F10" s="3"/>
      <c r="G10" s="3"/>
      <c r="H10" s="3"/>
      <c r="I10" s="3"/>
      <c r="J10" s="3"/>
      <c r="K10" s="3"/>
      <c r="L10" s="3"/>
      <c r="M10" s="3"/>
      <c r="N10" s="3"/>
      <c r="O10" s="3"/>
      <c r="P10" s="3"/>
      <c r="Q10" s="3"/>
      <c r="R10" s="3"/>
      <c r="S10" s="3"/>
      <c r="T10" s="3"/>
      <c r="U10" s="3"/>
      <c r="V10" s="3"/>
      <c r="W10" s="3"/>
      <c r="X10" s="3"/>
      <c r="Y10" s="3"/>
      <c r="Z10" s="3"/>
    </row>
    <row r="11" ht="14.25" customHeight="1">
      <c r="A11" s="4" t="s">
        <v>24</v>
      </c>
      <c r="B11" s="5" t="s">
        <v>25</v>
      </c>
      <c r="C11" s="8"/>
      <c r="D11" s="3"/>
      <c r="E11" s="3"/>
      <c r="F11" s="3"/>
      <c r="G11" s="3"/>
      <c r="H11" s="3"/>
      <c r="I11" s="3"/>
      <c r="J11" s="3"/>
      <c r="K11" s="3"/>
      <c r="L11" s="3"/>
      <c r="M11" s="3"/>
      <c r="N11" s="3"/>
      <c r="O11" s="3"/>
      <c r="P11" s="3"/>
      <c r="Q11" s="3"/>
      <c r="R11" s="3"/>
      <c r="S11" s="3"/>
      <c r="T11" s="3"/>
      <c r="U11" s="3"/>
      <c r="V11" s="3"/>
      <c r="W11" s="3"/>
      <c r="X11" s="3"/>
      <c r="Y11" s="3"/>
      <c r="Z11" s="3"/>
    </row>
    <row r="12" ht="14.25" customHeight="1">
      <c r="A12" s="4" t="s">
        <v>26</v>
      </c>
      <c r="B12" s="5" t="s">
        <v>27</v>
      </c>
      <c r="C12" s="8"/>
      <c r="D12" s="3"/>
      <c r="E12" s="3"/>
      <c r="F12" s="3"/>
      <c r="G12" s="3"/>
      <c r="H12" s="3"/>
      <c r="I12" s="3"/>
      <c r="J12" s="3"/>
      <c r="K12" s="3"/>
      <c r="L12" s="3"/>
      <c r="M12" s="3"/>
      <c r="N12" s="3"/>
      <c r="O12" s="3"/>
      <c r="P12" s="3"/>
      <c r="Q12" s="3"/>
      <c r="R12" s="3"/>
      <c r="S12" s="3"/>
      <c r="T12" s="3"/>
      <c r="U12" s="3"/>
      <c r="V12" s="3"/>
      <c r="W12" s="3"/>
      <c r="X12" s="3"/>
      <c r="Y12" s="3"/>
      <c r="Z12" s="3"/>
    </row>
    <row r="13" ht="14.25" customHeight="1">
      <c r="A13" s="4" t="s">
        <v>28</v>
      </c>
      <c r="B13" s="5" t="s">
        <v>29</v>
      </c>
      <c r="C13" s="8"/>
      <c r="D13" s="3"/>
      <c r="E13" s="3"/>
      <c r="F13" s="3"/>
      <c r="G13" s="3"/>
      <c r="H13" s="3"/>
      <c r="I13" s="3"/>
      <c r="J13" s="3"/>
      <c r="K13" s="3"/>
      <c r="L13" s="3"/>
      <c r="M13" s="3"/>
      <c r="N13" s="3"/>
      <c r="O13" s="3"/>
      <c r="P13" s="3"/>
      <c r="Q13" s="3"/>
      <c r="R13" s="3"/>
      <c r="S13" s="3"/>
      <c r="T13" s="3"/>
      <c r="U13" s="3"/>
      <c r="V13" s="3"/>
      <c r="W13" s="3"/>
      <c r="X13" s="3"/>
      <c r="Y13" s="3"/>
      <c r="Z13" s="3"/>
    </row>
    <row r="14" ht="14.25" customHeight="1">
      <c r="A14" s="4" t="s">
        <v>30</v>
      </c>
      <c r="B14" s="5" t="s">
        <v>31</v>
      </c>
      <c r="C14" s="8"/>
      <c r="D14" s="3"/>
      <c r="E14" s="3"/>
      <c r="F14" s="3"/>
      <c r="G14" s="3"/>
      <c r="H14" s="3"/>
      <c r="I14" s="3"/>
      <c r="J14" s="3"/>
      <c r="K14" s="3"/>
      <c r="L14" s="3"/>
      <c r="M14" s="3"/>
      <c r="N14" s="3"/>
      <c r="O14" s="3"/>
      <c r="P14" s="3"/>
      <c r="Q14" s="3"/>
      <c r="R14" s="3"/>
      <c r="S14" s="3"/>
      <c r="T14" s="3"/>
      <c r="U14" s="3"/>
      <c r="V14" s="3"/>
      <c r="W14" s="3"/>
      <c r="X14" s="3"/>
      <c r="Y14" s="3"/>
      <c r="Z14" s="3"/>
    </row>
    <row r="15" ht="14.25" customHeight="1">
      <c r="A15" s="4" t="s">
        <v>32</v>
      </c>
      <c r="B15" s="5" t="s">
        <v>33</v>
      </c>
      <c r="C15" s="8"/>
      <c r="D15" s="3"/>
      <c r="E15" s="3"/>
      <c r="F15" s="3"/>
      <c r="G15" s="3"/>
      <c r="H15" s="3"/>
      <c r="I15" s="3"/>
      <c r="J15" s="3"/>
      <c r="K15" s="3"/>
      <c r="L15" s="3"/>
      <c r="M15" s="3"/>
      <c r="N15" s="3"/>
      <c r="O15" s="3"/>
      <c r="P15" s="3"/>
      <c r="Q15" s="3"/>
      <c r="R15" s="3"/>
      <c r="S15" s="3"/>
      <c r="T15" s="3"/>
      <c r="U15" s="3"/>
      <c r="V15" s="3"/>
      <c r="W15" s="3"/>
      <c r="X15" s="3"/>
      <c r="Y15" s="3"/>
      <c r="Z15" s="3"/>
    </row>
    <row r="16" ht="14.25" customHeight="1">
      <c r="A16" s="4" t="s">
        <v>34</v>
      </c>
      <c r="B16" s="5" t="s">
        <v>35</v>
      </c>
      <c r="C16" s="8"/>
      <c r="D16" s="3"/>
      <c r="E16" s="3"/>
      <c r="F16" s="3"/>
      <c r="G16" s="3"/>
      <c r="H16" s="3"/>
      <c r="I16" s="3"/>
      <c r="J16" s="3"/>
      <c r="K16" s="3"/>
      <c r="L16" s="3"/>
      <c r="M16" s="3"/>
      <c r="N16" s="3"/>
      <c r="O16" s="3"/>
      <c r="P16" s="3"/>
      <c r="Q16" s="3"/>
      <c r="R16" s="3"/>
      <c r="S16" s="3"/>
      <c r="T16" s="3"/>
      <c r="U16" s="3"/>
      <c r="V16" s="3"/>
      <c r="W16" s="3"/>
      <c r="X16" s="3"/>
      <c r="Y16" s="3"/>
      <c r="Z16" s="3"/>
    </row>
    <row r="17" ht="14.25" customHeight="1">
      <c r="A17" s="4" t="s">
        <v>36</v>
      </c>
      <c r="B17" s="7" t="s">
        <v>11</v>
      </c>
      <c r="C17" s="8"/>
      <c r="D17" s="3"/>
      <c r="E17" s="3"/>
      <c r="F17" s="3"/>
      <c r="G17" s="3"/>
      <c r="H17" s="3"/>
      <c r="I17" s="3"/>
      <c r="J17" s="3"/>
      <c r="K17" s="3"/>
      <c r="L17" s="3"/>
      <c r="M17" s="3"/>
      <c r="N17" s="3"/>
      <c r="O17" s="3"/>
      <c r="P17" s="3"/>
      <c r="Q17" s="3"/>
      <c r="R17" s="3"/>
      <c r="S17" s="3"/>
      <c r="T17" s="3"/>
      <c r="U17" s="3"/>
      <c r="V17" s="3"/>
      <c r="W17" s="3"/>
      <c r="X17" s="3"/>
      <c r="Y17" s="3"/>
      <c r="Z17" s="3"/>
    </row>
    <row r="18" ht="14.25" customHeight="1">
      <c r="A18" s="4" t="s">
        <v>37</v>
      </c>
      <c r="B18" s="5" t="s">
        <v>38</v>
      </c>
      <c r="C18" s="8"/>
      <c r="D18" s="3"/>
      <c r="E18" s="3"/>
      <c r="F18" s="3"/>
      <c r="G18" s="3"/>
      <c r="H18" s="3"/>
      <c r="I18" s="3"/>
      <c r="J18" s="3"/>
      <c r="K18" s="3"/>
      <c r="L18" s="3"/>
      <c r="M18" s="3"/>
      <c r="N18" s="3"/>
      <c r="O18" s="3"/>
      <c r="P18" s="3"/>
      <c r="Q18" s="3"/>
      <c r="R18" s="3"/>
      <c r="S18" s="3"/>
      <c r="T18" s="3"/>
      <c r="U18" s="3"/>
      <c r="V18" s="3"/>
      <c r="W18" s="3"/>
      <c r="X18" s="3"/>
      <c r="Y18" s="3"/>
      <c r="Z18" s="3"/>
    </row>
    <row r="19" ht="14.25" customHeight="1">
      <c r="A19" s="4" t="s">
        <v>39</v>
      </c>
      <c r="B19" s="5" t="s">
        <v>40</v>
      </c>
      <c r="C19" s="8"/>
      <c r="D19" s="3"/>
      <c r="E19" s="3"/>
      <c r="F19" s="3"/>
      <c r="G19" s="3"/>
      <c r="H19" s="3"/>
      <c r="I19" s="3"/>
      <c r="J19" s="3"/>
      <c r="K19" s="3"/>
      <c r="L19" s="3"/>
      <c r="M19" s="3"/>
      <c r="N19" s="3"/>
      <c r="O19" s="3"/>
      <c r="P19" s="3"/>
      <c r="Q19" s="3"/>
      <c r="R19" s="3"/>
      <c r="S19" s="3"/>
      <c r="T19" s="3"/>
      <c r="U19" s="3"/>
      <c r="V19" s="3"/>
      <c r="W19" s="3"/>
      <c r="X19" s="3"/>
      <c r="Y19" s="3"/>
      <c r="Z19" s="3"/>
    </row>
    <row r="20" ht="14.25" customHeight="1">
      <c r="A20" s="4" t="s">
        <v>41</v>
      </c>
      <c r="B20" s="5" t="s">
        <v>42</v>
      </c>
      <c r="C20" s="8"/>
      <c r="D20" s="3"/>
      <c r="E20" s="3"/>
      <c r="F20" s="3"/>
      <c r="G20" s="3"/>
      <c r="H20" s="3"/>
      <c r="I20" s="3"/>
      <c r="J20" s="3"/>
      <c r="K20" s="3"/>
      <c r="L20" s="3"/>
      <c r="M20" s="3"/>
      <c r="N20" s="3"/>
      <c r="O20" s="3"/>
      <c r="P20" s="3"/>
      <c r="Q20" s="3"/>
      <c r="R20" s="3"/>
      <c r="S20" s="3"/>
      <c r="T20" s="3"/>
      <c r="U20" s="3"/>
      <c r="V20" s="3"/>
      <c r="W20" s="3"/>
      <c r="X20" s="3"/>
      <c r="Y20" s="3"/>
      <c r="Z20" s="3"/>
    </row>
    <row r="21" ht="14.25" customHeight="1">
      <c r="A21" s="4" t="s">
        <v>43</v>
      </c>
      <c r="B21" s="5" t="s">
        <v>44</v>
      </c>
      <c r="C21" s="8"/>
      <c r="D21" s="3"/>
      <c r="E21" s="3"/>
      <c r="F21" s="3"/>
      <c r="G21" s="3"/>
      <c r="H21" s="3"/>
      <c r="I21" s="3"/>
      <c r="J21" s="3"/>
      <c r="K21" s="3"/>
      <c r="L21" s="3"/>
      <c r="M21" s="3"/>
      <c r="N21" s="3"/>
      <c r="O21" s="3"/>
      <c r="P21" s="3"/>
      <c r="Q21" s="3"/>
      <c r="R21" s="3"/>
      <c r="S21" s="3"/>
      <c r="T21" s="3"/>
      <c r="U21" s="3"/>
      <c r="V21" s="3"/>
      <c r="W21" s="3"/>
      <c r="X21" s="3"/>
      <c r="Y21" s="3"/>
      <c r="Z21" s="3"/>
    </row>
    <row r="22" ht="14.25" customHeight="1">
      <c r="A22" s="4" t="s">
        <v>45</v>
      </c>
      <c r="B22" s="7" t="s">
        <v>11</v>
      </c>
      <c r="C22" s="8"/>
      <c r="D22" s="3"/>
      <c r="E22" s="3"/>
      <c r="F22" s="3"/>
      <c r="G22" s="3"/>
      <c r="H22" s="3"/>
      <c r="I22" s="3"/>
      <c r="J22" s="3"/>
      <c r="K22" s="3"/>
      <c r="L22" s="3"/>
      <c r="M22" s="3"/>
      <c r="N22" s="3"/>
      <c r="O22" s="3"/>
      <c r="P22" s="3"/>
      <c r="Q22" s="3"/>
      <c r="R22" s="3"/>
      <c r="S22" s="3"/>
      <c r="T22" s="3"/>
      <c r="U22" s="3"/>
      <c r="V22" s="3"/>
      <c r="W22" s="3"/>
      <c r="X22" s="3"/>
      <c r="Y22" s="3"/>
      <c r="Z22" s="3"/>
    </row>
    <row r="23" ht="14.25" customHeight="1">
      <c r="A23" s="4" t="s">
        <v>46</v>
      </c>
      <c r="B23" s="5" t="s">
        <v>47</v>
      </c>
      <c r="C23" s="8"/>
      <c r="D23" s="3"/>
      <c r="E23" s="3"/>
      <c r="F23" s="3"/>
      <c r="G23" s="3"/>
      <c r="H23" s="3"/>
      <c r="I23" s="3"/>
      <c r="J23" s="3"/>
      <c r="K23" s="3"/>
      <c r="L23" s="3"/>
      <c r="M23" s="3"/>
      <c r="N23" s="3"/>
      <c r="O23" s="3"/>
      <c r="P23" s="3"/>
      <c r="Q23" s="3"/>
      <c r="R23" s="3"/>
      <c r="S23" s="3"/>
      <c r="T23" s="3"/>
      <c r="U23" s="3"/>
      <c r="V23" s="3"/>
      <c r="W23" s="3"/>
      <c r="X23" s="3"/>
      <c r="Y23" s="3"/>
      <c r="Z23" s="3"/>
    </row>
    <row r="24" ht="14.25" customHeight="1">
      <c r="A24" s="4" t="s">
        <v>48</v>
      </c>
      <c r="B24" s="5" t="s">
        <v>49</v>
      </c>
      <c r="C24" s="8"/>
      <c r="D24" s="3"/>
      <c r="E24" s="3"/>
      <c r="F24" s="3"/>
      <c r="G24" s="3"/>
      <c r="H24" s="3"/>
      <c r="I24" s="3"/>
      <c r="J24" s="3"/>
      <c r="K24" s="3"/>
      <c r="L24" s="3"/>
      <c r="M24" s="3"/>
      <c r="N24" s="3"/>
      <c r="O24" s="3"/>
      <c r="P24" s="3"/>
      <c r="Q24" s="3"/>
      <c r="R24" s="3"/>
      <c r="S24" s="3"/>
      <c r="T24" s="3"/>
      <c r="U24" s="3"/>
      <c r="V24" s="3"/>
      <c r="W24" s="3"/>
      <c r="X24" s="3"/>
      <c r="Y24" s="3"/>
      <c r="Z24" s="3"/>
    </row>
    <row r="25" ht="14.25" customHeight="1">
      <c r="A25" s="4" t="s">
        <v>50</v>
      </c>
      <c r="B25" s="5" t="s">
        <v>51</v>
      </c>
      <c r="C25" s="8"/>
      <c r="D25" s="3"/>
      <c r="E25" s="3"/>
      <c r="F25" s="3"/>
      <c r="G25" s="3"/>
      <c r="H25" s="3"/>
      <c r="I25" s="3"/>
      <c r="J25" s="3"/>
      <c r="K25" s="3"/>
      <c r="L25" s="3"/>
      <c r="M25" s="3"/>
      <c r="N25" s="3"/>
      <c r="O25" s="3"/>
      <c r="P25" s="3"/>
      <c r="Q25" s="3"/>
      <c r="R25" s="3"/>
      <c r="S25" s="3"/>
      <c r="T25" s="3"/>
      <c r="U25" s="3"/>
      <c r="V25" s="3"/>
      <c r="W25" s="3"/>
      <c r="X25" s="3"/>
      <c r="Y25" s="3"/>
      <c r="Z25" s="3"/>
    </row>
    <row r="26" ht="14.25" customHeight="1">
      <c r="A26" s="4" t="s">
        <v>52</v>
      </c>
      <c r="B26" s="5" t="s">
        <v>53</v>
      </c>
      <c r="C26" s="8"/>
      <c r="D26" s="3"/>
      <c r="E26" s="3"/>
      <c r="F26" s="3"/>
      <c r="G26" s="3"/>
      <c r="H26" s="3"/>
      <c r="I26" s="3"/>
      <c r="J26" s="3"/>
      <c r="K26" s="3"/>
      <c r="L26" s="3"/>
      <c r="M26" s="3"/>
      <c r="N26" s="3"/>
      <c r="O26" s="3"/>
      <c r="P26" s="3"/>
      <c r="Q26" s="3"/>
      <c r="R26" s="3"/>
      <c r="S26" s="3"/>
      <c r="T26" s="3"/>
      <c r="U26" s="3"/>
      <c r="V26" s="3"/>
      <c r="W26" s="3"/>
      <c r="X26" s="3"/>
      <c r="Y26" s="3"/>
      <c r="Z26" s="3"/>
    </row>
    <row r="27" ht="14.25" customHeight="1">
      <c r="A27" s="4" t="s">
        <v>54</v>
      </c>
      <c r="B27" s="7" t="s">
        <v>55</v>
      </c>
      <c r="C27" s="8"/>
      <c r="D27" s="3"/>
      <c r="E27" s="3"/>
      <c r="F27" s="3"/>
      <c r="G27" s="3"/>
      <c r="H27" s="3"/>
      <c r="I27" s="3"/>
      <c r="J27" s="3"/>
      <c r="K27" s="3"/>
      <c r="L27" s="3"/>
      <c r="M27" s="3"/>
      <c r="N27" s="3"/>
      <c r="O27" s="3"/>
      <c r="P27" s="3"/>
      <c r="Q27" s="3"/>
      <c r="R27" s="3"/>
      <c r="S27" s="3"/>
      <c r="T27" s="3"/>
      <c r="U27" s="3"/>
      <c r="V27" s="3"/>
      <c r="W27" s="3"/>
      <c r="X27" s="3"/>
      <c r="Y27" s="3"/>
      <c r="Z27" s="3"/>
    </row>
    <row r="28" ht="14.25" customHeight="1">
      <c r="A28" s="4" t="s">
        <v>56</v>
      </c>
      <c r="B28" s="5" t="s">
        <v>57</v>
      </c>
      <c r="C28" s="8"/>
      <c r="D28" s="3"/>
      <c r="E28" s="3"/>
      <c r="F28" s="3"/>
      <c r="G28" s="3"/>
      <c r="H28" s="3"/>
      <c r="I28" s="3"/>
      <c r="J28" s="3"/>
      <c r="K28" s="3"/>
      <c r="L28" s="3"/>
      <c r="M28" s="3"/>
      <c r="N28" s="3"/>
      <c r="O28" s="3"/>
      <c r="P28" s="3"/>
      <c r="Q28" s="3"/>
      <c r="R28" s="3"/>
      <c r="S28" s="3"/>
      <c r="T28" s="3"/>
      <c r="U28" s="3"/>
      <c r="V28" s="3"/>
      <c r="W28" s="3"/>
      <c r="X28" s="3"/>
      <c r="Y28" s="3"/>
      <c r="Z28" s="3"/>
    </row>
    <row r="29" ht="14.25" customHeight="1">
      <c r="A29" s="4" t="s">
        <v>58</v>
      </c>
      <c r="B29" s="7" t="s">
        <v>11</v>
      </c>
      <c r="C29" s="8"/>
      <c r="D29" s="3"/>
      <c r="E29" s="3"/>
      <c r="F29" s="3"/>
      <c r="G29" s="3"/>
      <c r="H29" s="3"/>
      <c r="I29" s="3"/>
      <c r="J29" s="3"/>
      <c r="K29" s="3"/>
      <c r="L29" s="3"/>
      <c r="M29" s="3"/>
      <c r="N29" s="3"/>
      <c r="O29" s="3"/>
      <c r="P29" s="3"/>
      <c r="Q29" s="3"/>
      <c r="R29" s="3"/>
      <c r="S29" s="3"/>
      <c r="T29" s="3"/>
      <c r="U29" s="3"/>
      <c r="V29" s="3"/>
      <c r="W29" s="3"/>
      <c r="X29" s="3"/>
      <c r="Y29" s="3"/>
      <c r="Z29" s="3"/>
    </row>
    <row r="30" ht="14.25" customHeight="1">
      <c r="A30" s="4" t="s">
        <v>59</v>
      </c>
      <c r="B30" s="5" t="s">
        <v>60</v>
      </c>
      <c r="C30" s="8"/>
      <c r="D30" s="3"/>
      <c r="E30" s="3"/>
      <c r="F30" s="3"/>
      <c r="G30" s="3"/>
      <c r="H30" s="3"/>
      <c r="I30" s="3"/>
      <c r="J30" s="3"/>
      <c r="K30" s="3"/>
      <c r="L30" s="3"/>
      <c r="M30" s="3"/>
      <c r="N30" s="3"/>
      <c r="O30" s="3"/>
      <c r="P30" s="3"/>
      <c r="Q30" s="3"/>
      <c r="R30" s="3"/>
      <c r="S30" s="3"/>
      <c r="T30" s="3"/>
      <c r="U30" s="3"/>
      <c r="V30" s="3"/>
      <c r="W30" s="3"/>
      <c r="X30" s="3"/>
      <c r="Y30" s="3"/>
      <c r="Z30" s="3"/>
    </row>
    <row r="31" ht="14.25" customHeight="1">
      <c r="A31" s="4" t="s">
        <v>54</v>
      </c>
      <c r="B31" s="7" t="s">
        <v>61</v>
      </c>
      <c r="C31" s="8"/>
      <c r="D31" s="3"/>
      <c r="E31" s="3"/>
      <c r="F31" s="3"/>
      <c r="G31" s="3"/>
      <c r="H31" s="3"/>
      <c r="I31" s="3"/>
      <c r="J31" s="3"/>
      <c r="K31" s="3"/>
      <c r="L31" s="3"/>
      <c r="M31" s="3"/>
      <c r="N31" s="3"/>
      <c r="O31" s="3"/>
      <c r="P31" s="3"/>
      <c r="Q31" s="3"/>
      <c r="R31" s="3"/>
      <c r="S31" s="3"/>
      <c r="T31" s="3"/>
      <c r="U31" s="3"/>
      <c r="V31" s="3"/>
      <c r="W31" s="3"/>
      <c r="X31" s="3"/>
      <c r="Y31" s="3"/>
      <c r="Z31" s="3"/>
    </row>
    <row r="32" ht="14.25" customHeight="1">
      <c r="A32" s="4" t="s">
        <v>62</v>
      </c>
      <c r="B32" s="5" t="s">
        <v>63</v>
      </c>
      <c r="C32" s="8"/>
      <c r="D32" s="3"/>
      <c r="E32" s="3"/>
      <c r="F32" s="3"/>
      <c r="G32" s="3"/>
      <c r="H32" s="3"/>
      <c r="I32" s="3"/>
      <c r="J32" s="3"/>
      <c r="K32" s="3"/>
      <c r="L32" s="3"/>
      <c r="M32" s="3"/>
      <c r="N32" s="3"/>
      <c r="O32" s="3"/>
      <c r="P32" s="3"/>
      <c r="Q32" s="3"/>
      <c r="R32" s="3"/>
      <c r="S32" s="3"/>
      <c r="T32" s="3"/>
      <c r="U32" s="3"/>
      <c r="V32" s="3"/>
      <c r="W32" s="3"/>
      <c r="X32" s="3"/>
      <c r="Y32" s="3"/>
      <c r="Z32" s="3"/>
    </row>
    <row r="33" ht="14.25" customHeight="1">
      <c r="A33" s="4" t="s">
        <v>64</v>
      </c>
      <c r="B33" s="5" t="s">
        <v>65</v>
      </c>
      <c r="C33" s="8"/>
      <c r="D33" s="3"/>
      <c r="E33" s="3"/>
      <c r="F33" s="3"/>
      <c r="G33" s="3"/>
      <c r="H33" s="3"/>
      <c r="I33" s="3"/>
      <c r="J33" s="3"/>
      <c r="K33" s="3"/>
      <c r="L33" s="3"/>
      <c r="M33" s="3"/>
      <c r="N33" s="3"/>
      <c r="O33" s="3"/>
      <c r="P33" s="3"/>
      <c r="Q33" s="3"/>
      <c r="R33" s="3"/>
      <c r="S33" s="3"/>
      <c r="T33" s="3"/>
      <c r="U33" s="3"/>
      <c r="V33" s="3"/>
      <c r="W33" s="3"/>
      <c r="X33" s="3"/>
      <c r="Y33" s="3"/>
      <c r="Z33" s="3"/>
    </row>
    <row r="34" ht="14.25" customHeight="1">
      <c r="A34" s="4" t="s">
        <v>54</v>
      </c>
      <c r="B34" s="7" t="s">
        <v>66</v>
      </c>
      <c r="C34" s="8"/>
      <c r="D34" s="3"/>
      <c r="E34" s="3"/>
      <c r="F34" s="3"/>
      <c r="G34" s="3"/>
      <c r="H34" s="3"/>
      <c r="I34" s="3"/>
      <c r="J34" s="3"/>
      <c r="K34" s="3"/>
      <c r="L34" s="3"/>
      <c r="M34" s="3"/>
      <c r="N34" s="3"/>
      <c r="O34" s="3"/>
      <c r="P34" s="3"/>
      <c r="Q34" s="3"/>
      <c r="R34" s="3"/>
      <c r="S34" s="3"/>
      <c r="T34" s="3"/>
      <c r="U34" s="3"/>
      <c r="V34" s="3"/>
      <c r="W34" s="3"/>
      <c r="X34" s="3"/>
      <c r="Y34" s="3"/>
      <c r="Z34" s="3"/>
    </row>
    <row r="35" ht="14.25" customHeight="1">
      <c r="A35" s="4" t="s">
        <v>67</v>
      </c>
      <c r="B35" s="5" t="s">
        <v>68</v>
      </c>
      <c r="C35" s="8"/>
      <c r="D35" s="3"/>
      <c r="E35" s="3"/>
      <c r="F35" s="3"/>
      <c r="G35" s="3"/>
      <c r="H35" s="3"/>
      <c r="I35" s="3"/>
      <c r="J35" s="3"/>
      <c r="K35" s="3"/>
      <c r="L35" s="3"/>
      <c r="M35" s="3"/>
      <c r="N35" s="3"/>
      <c r="O35" s="3"/>
      <c r="P35" s="3"/>
      <c r="Q35" s="3"/>
      <c r="R35" s="3"/>
      <c r="S35" s="3"/>
      <c r="T35" s="3"/>
      <c r="U35" s="3"/>
      <c r="V35" s="3"/>
      <c r="W35" s="3"/>
      <c r="X35" s="3"/>
      <c r="Y35" s="3"/>
      <c r="Z35" s="3"/>
    </row>
    <row r="36" ht="14.25" customHeight="1">
      <c r="A36" s="4" t="s">
        <v>54</v>
      </c>
      <c r="B36" s="7" t="s">
        <v>66</v>
      </c>
      <c r="C36" s="8"/>
      <c r="D36" s="3"/>
      <c r="E36" s="3"/>
      <c r="F36" s="3"/>
      <c r="G36" s="3"/>
      <c r="H36" s="3"/>
      <c r="I36" s="3"/>
      <c r="J36" s="3"/>
      <c r="K36" s="3"/>
      <c r="L36" s="3"/>
      <c r="M36" s="3"/>
      <c r="N36" s="3"/>
      <c r="O36" s="3"/>
      <c r="P36" s="3"/>
      <c r="Q36" s="3"/>
      <c r="R36" s="3"/>
      <c r="S36" s="3"/>
      <c r="T36" s="3"/>
      <c r="U36" s="3"/>
      <c r="V36" s="3"/>
      <c r="W36" s="3"/>
      <c r="X36" s="3"/>
      <c r="Y36" s="3"/>
      <c r="Z36" s="3"/>
    </row>
    <row r="37" ht="14.25" customHeight="1">
      <c r="A37" s="4" t="s">
        <v>69</v>
      </c>
      <c r="B37" s="5" t="s">
        <v>70</v>
      </c>
      <c r="C37" s="8"/>
      <c r="D37" s="3"/>
      <c r="E37" s="3"/>
      <c r="F37" s="3"/>
      <c r="G37" s="3"/>
      <c r="H37" s="3"/>
      <c r="I37" s="3"/>
      <c r="J37" s="3"/>
      <c r="K37" s="3"/>
      <c r="L37" s="3"/>
      <c r="M37" s="3"/>
      <c r="N37" s="3"/>
      <c r="O37" s="3"/>
      <c r="P37" s="3"/>
      <c r="Q37" s="3"/>
      <c r="R37" s="3"/>
      <c r="S37" s="3"/>
      <c r="T37" s="3"/>
      <c r="U37" s="3"/>
      <c r="V37" s="3"/>
      <c r="W37" s="3"/>
      <c r="X37" s="3"/>
      <c r="Y37" s="3"/>
      <c r="Z37" s="3"/>
    </row>
    <row r="38" ht="14.25" customHeight="1">
      <c r="A38" s="4" t="s">
        <v>54</v>
      </c>
      <c r="B38" s="7" t="s">
        <v>55</v>
      </c>
      <c r="C38" s="8"/>
      <c r="D38" s="3"/>
      <c r="E38" s="3"/>
      <c r="F38" s="3"/>
      <c r="G38" s="3"/>
      <c r="H38" s="3"/>
      <c r="I38" s="3"/>
      <c r="J38" s="3"/>
      <c r="K38" s="3"/>
      <c r="L38" s="3"/>
      <c r="M38" s="3"/>
      <c r="N38" s="3"/>
      <c r="O38" s="3"/>
      <c r="P38" s="3"/>
      <c r="Q38" s="3"/>
      <c r="R38" s="3"/>
      <c r="S38" s="3"/>
      <c r="T38" s="3"/>
      <c r="U38" s="3"/>
      <c r="V38" s="3"/>
      <c r="W38" s="3"/>
      <c r="X38" s="3"/>
      <c r="Y38" s="3"/>
      <c r="Z38" s="3"/>
    </row>
    <row r="39" ht="14.25" customHeight="1">
      <c r="A39" s="4" t="s">
        <v>71</v>
      </c>
      <c r="B39" s="5" t="s">
        <v>72</v>
      </c>
      <c r="C39" s="8"/>
      <c r="D39" s="3"/>
      <c r="E39" s="3"/>
      <c r="F39" s="3"/>
      <c r="G39" s="3"/>
      <c r="H39" s="3"/>
      <c r="I39" s="3"/>
      <c r="J39" s="3"/>
      <c r="K39" s="3"/>
      <c r="L39" s="3"/>
      <c r="M39" s="3"/>
      <c r="N39" s="3"/>
      <c r="O39" s="3"/>
      <c r="P39" s="3"/>
      <c r="Q39" s="3"/>
      <c r="R39" s="3"/>
      <c r="S39" s="3"/>
      <c r="T39" s="3"/>
      <c r="U39" s="3"/>
      <c r="V39" s="3"/>
      <c r="W39" s="3"/>
      <c r="X39" s="3"/>
      <c r="Y39" s="3"/>
      <c r="Z39" s="3"/>
    </row>
    <row r="40" ht="14.25" customHeight="1">
      <c r="A40" s="4" t="s">
        <v>54</v>
      </c>
      <c r="B40" s="7" t="s">
        <v>55</v>
      </c>
      <c r="C40" s="8"/>
      <c r="D40" s="3"/>
      <c r="E40" s="3"/>
      <c r="F40" s="3"/>
      <c r="G40" s="3"/>
      <c r="H40" s="3"/>
      <c r="I40" s="3"/>
      <c r="J40" s="3"/>
      <c r="K40" s="3"/>
      <c r="L40" s="3"/>
      <c r="M40" s="3"/>
      <c r="N40" s="3"/>
      <c r="O40" s="3"/>
      <c r="P40" s="3"/>
      <c r="Q40" s="3"/>
      <c r="R40" s="3"/>
      <c r="S40" s="3"/>
      <c r="T40" s="3"/>
      <c r="U40" s="3"/>
      <c r="V40" s="3"/>
      <c r="W40" s="3"/>
      <c r="X40" s="3"/>
      <c r="Y40" s="3"/>
      <c r="Z40" s="3"/>
    </row>
    <row r="41" ht="14.25" customHeight="1">
      <c r="A41" s="4" t="s">
        <v>73</v>
      </c>
      <c r="B41" s="5" t="s">
        <v>74</v>
      </c>
      <c r="C41" s="8"/>
      <c r="D41" s="3"/>
      <c r="E41" s="3"/>
      <c r="F41" s="3"/>
      <c r="G41" s="3"/>
      <c r="H41" s="3"/>
      <c r="I41" s="3"/>
      <c r="J41" s="3"/>
      <c r="K41" s="3"/>
      <c r="L41" s="3"/>
      <c r="M41" s="3"/>
      <c r="N41" s="3"/>
      <c r="O41" s="3"/>
      <c r="P41" s="3"/>
      <c r="Q41" s="3"/>
      <c r="R41" s="3"/>
      <c r="S41" s="3"/>
      <c r="T41" s="3"/>
      <c r="U41" s="3"/>
      <c r="V41" s="3"/>
      <c r="W41" s="3"/>
      <c r="X41" s="3"/>
      <c r="Y41" s="3"/>
      <c r="Z41" s="3"/>
    </row>
    <row r="42" ht="14.25" customHeight="1">
      <c r="A42" s="4" t="s">
        <v>54</v>
      </c>
      <c r="B42" s="7" t="s">
        <v>75</v>
      </c>
      <c r="C42" s="8"/>
      <c r="D42" s="3"/>
      <c r="E42" s="3"/>
      <c r="F42" s="3"/>
      <c r="G42" s="3"/>
      <c r="H42" s="3"/>
      <c r="I42" s="3"/>
      <c r="J42" s="3"/>
      <c r="K42" s="3"/>
      <c r="L42" s="3"/>
      <c r="M42" s="3"/>
      <c r="N42" s="3"/>
      <c r="O42" s="3"/>
      <c r="P42" s="3"/>
      <c r="Q42" s="3"/>
      <c r="R42" s="3"/>
      <c r="S42" s="3"/>
      <c r="T42" s="3"/>
      <c r="U42" s="3"/>
      <c r="V42" s="3"/>
      <c r="W42" s="3"/>
      <c r="X42" s="3"/>
      <c r="Y42" s="3"/>
      <c r="Z42" s="3"/>
    </row>
    <row r="43" ht="111.0" customHeight="1">
      <c r="A43" s="4" t="s">
        <v>76</v>
      </c>
      <c r="B43" s="5" t="s">
        <v>77</v>
      </c>
      <c r="C43" s="8"/>
      <c r="D43" s="3"/>
      <c r="E43" s="3"/>
      <c r="F43" s="3"/>
      <c r="G43" s="3"/>
      <c r="H43" s="3"/>
      <c r="I43" s="3"/>
      <c r="J43" s="3"/>
      <c r="K43" s="3"/>
      <c r="L43" s="3"/>
      <c r="M43" s="3"/>
      <c r="N43" s="3"/>
      <c r="O43" s="3"/>
      <c r="P43" s="3"/>
      <c r="Q43" s="3"/>
      <c r="R43" s="3"/>
      <c r="S43" s="3"/>
      <c r="T43" s="3"/>
      <c r="U43" s="3"/>
      <c r="V43" s="3"/>
      <c r="W43" s="3"/>
      <c r="X43" s="3"/>
      <c r="Y43" s="3"/>
      <c r="Z43" s="3"/>
    </row>
    <row r="44" ht="14.25" customHeight="1">
      <c r="A44" s="4" t="s">
        <v>54</v>
      </c>
      <c r="B44" s="7" t="s">
        <v>78</v>
      </c>
      <c r="C44" s="8"/>
      <c r="D44" s="3"/>
      <c r="E44" s="3"/>
      <c r="F44" s="3"/>
      <c r="G44" s="3"/>
      <c r="H44" s="3"/>
      <c r="I44" s="3"/>
      <c r="J44" s="3"/>
      <c r="K44" s="3"/>
      <c r="L44" s="3"/>
      <c r="M44" s="3"/>
      <c r="N44" s="3"/>
      <c r="O44" s="3"/>
      <c r="P44" s="3"/>
      <c r="Q44" s="3"/>
      <c r="R44" s="3"/>
      <c r="S44" s="3"/>
      <c r="T44" s="3"/>
      <c r="U44" s="3"/>
      <c r="V44" s="3"/>
      <c r="W44" s="3"/>
      <c r="X44" s="3"/>
      <c r="Y44" s="3"/>
      <c r="Z44" s="3"/>
    </row>
    <row r="45" ht="14.25" customHeight="1">
      <c r="A45" s="4" t="s">
        <v>79</v>
      </c>
      <c r="B45" s="5" t="s">
        <v>80</v>
      </c>
      <c r="C45" s="8"/>
      <c r="D45" s="3"/>
      <c r="E45" s="3"/>
      <c r="F45" s="3"/>
      <c r="G45" s="3"/>
      <c r="H45" s="3"/>
      <c r="I45" s="3"/>
      <c r="J45" s="3"/>
      <c r="K45" s="3"/>
      <c r="L45" s="3"/>
      <c r="M45" s="3"/>
      <c r="N45" s="3"/>
      <c r="O45" s="3"/>
      <c r="P45" s="3"/>
      <c r="Q45" s="3"/>
      <c r="R45" s="3"/>
      <c r="S45" s="3"/>
      <c r="T45" s="3"/>
      <c r="U45" s="3"/>
      <c r="V45" s="3"/>
      <c r="W45" s="3"/>
      <c r="X45" s="3"/>
      <c r="Y45" s="3"/>
      <c r="Z45" s="3"/>
    </row>
    <row r="46" ht="14.25" customHeight="1">
      <c r="A46" s="4" t="s">
        <v>54</v>
      </c>
      <c r="B46" s="7" t="s">
        <v>81</v>
      </c>
      <c r="C46" s="8"/>
      <c r="D46" s="3"/>
      <c r="E46" s="3"/>
      <c r="F46" s="3"/>
      <c r="G46" s="3"/>
      <c r="H46" s="3"/>
      <c r="I46" s="3"/>
      <c r="J46" s="3"/>
      <c r="K46" s="3"/>
      <c r="L46" s="3"/>
      <c r="M46" s="3"/>
      <c r="N46" s="3"/>
      <c r="O46" s="3"/>
      <c r="P46" s="3"/>
      <c r="Q46" s="3"/>
      <c r="R46" s="3"/>
      <c r="S46" s="3"/>
      <c r="T46" s="3"/>
      <c r="U46" s="3"/>
      <c r="V46" s="3"/>
      <c r="W46" s="3"/>
      <c r="X46" s="3"/>
      <c r="Y46" s="3"/>
      <c r="Z46" s="3"/>
    </row>
    <row r="47" ht="14.25" customHeight="1">
      <c r="A47" s="4" t="s">
        <v>82</v>
      </c>
      <c r="B47" s="5" t="s">
        <v>83</v>
      </c>
      <c r="C47" s="8"/>
      <c r="D47" s="3"/>
      <c r="E47" s="3"/>
      <c r="F47" s="3"/>
      <c r="G47" s="3"/>
      <c r="H47" s="3"/>
      <c r="I47" s="3"/>
      <c r="J47" s="3"/>
      <c r="K47" s="3"/>
      <c r="L47" s="3"/>
      <c r="M47" s="3"/>
      <c r="N47" s="3"/>
      <c r="O47" s="3"/>
      <c r="P47" s="3"/>
      <c r="Q47" s="3"/>
      <c r="R47" s="3"/>
      <c r="S47" s="3"/>
      <c r="T47" s="3"/>
      <c r="U47" s="3"/>
      <c r="V47" s="3"/>
      <c r="W47" s="3"/>
      <c r="X47" s="3"/>
      <c r="Y47" s="3"/>
      <c r="Z47" s="3"/>
    </row>
    <row r="48" ht="14.25" customHeight="1">
      <c r="A48" s="4" t="s">
        <v>84</v>
      </c>
      <c r="B48" s="5" t="s">
        <v>85</v>
      </c>
      <c r="C48" s="8"/>
      <c r="D48" s="3"/>
      <c r="E48" s="3"/>
      <c r="F48" s="3"/>
      <c r="G48" s="3"/>
      <c r="H48" s="3"/>
      <c r="I48" s="3"/>
      <c r="J48" s="3"/>
      <c r="K48" s="3"/>
      <c r="L48" s="3"/>
      <c r="M48" s="3"/>
      <c r="N48" s="3"/>
      <c r="O48" s="3"/>
      <c r="P48" s="3"/>
      <c r="Q48" s="3"/>
      <c r="R48" s="3"/>
      <c r="S48" s="3"/>
      <c r="T48" s="3"/>
      <c r="U48" s="3"/>
      <c r="V48" s="3"/>
      <c r="W48" s="3"/>
      <c r="X48" s="3"/>
      <c r="Y48" s="3"/>
      <c r="Z48" s="3"/>
    </row>
    <row r="49" ht="14.25" customHeight="1">
      <c r="A49" s="4" t="s">
        <v>54</v>
      </c>
      <c r="B49" s="7" t="s">
        <v>55</v>
      </c>
      <c r="C49" s="8"/>
      <c r="D49" s="3"/>
      <c r="E49" s="3"/>
      <c r="F49" s="3"/>
      <c r="G49" s="3"/>
      <c r="H49" s="3"/>
      <c r="I49" s="3"/>
      <c r="J49" s="3"/>
      <c r="K49" s="3"/>
      <c r="L49" s="3"/>
      <c r="M49" s="3"/>
      <c r="N49" s="3"/>
      <c r="O49" s="3"/>
      <c r="P49" s="3"/>
      <c r="Q49" s="3"/>
      <c r="R49" s="3"/>
      <c r="S49" s="3"/>
      <c r="T49" s="3"/>
      <c r="U49" s="3"/>
      <c r="V49" s="3"/>
      <c r="W49" s="3"/>
      <c r="X49" s="3"/>
      <c r="Y49" s="3"/>
      <c r="Z49" s="3"/>
    </row>
    <row r="50" ht="14.25" customHeight="1">
      <c r="A50" s="4" t="s">
        <v>86</v>
      </c>
      <c r="B50" s="5" t="s">
        <v>87</v>
      </c>
      <c r="C50" s="8"/>
      <c r="D50" s="3"/>
      <c r="E50" s="3"/>
      <c r="F50" s="3"/>
      <c r="G50" s="3"/>
      <c r="H50" s="3"/>
      <c r="I50" s="3"/>
      <c r="J50" s="3"/>
      <c r="K50" s="3"/>
      <c r="L50" s="3"/>
      <c r="M50" s="3"/>
      <c r="N50" s="3"/>
      <c r="O50" s="3"/>
      <c r="P50" s="3"/>
      <c r="Q50" s="3"/>
      <c r="R50" s="3"/>
      <c r="S50" s="3"/>
      <c r="T50" s="3"/>
      <c r="U50" s="3"/>
      <c r="V50" s="3"/>
      <c r="W50" s="3"/>
      <c r="X50" s="3"/>
      <c r="Y50" s="3"/>
      <c r="Z50" s="3"/>
    </row>
    <row r="51" ht="14.25" customHeight="1">
      <c r="A51" s="4" t="s">
        <v>54</v>
      </c>
      <c r="B51" s="7" t="s">
        <v>55</v>
      </c>
      <c r="C51" s="8"/>
      <c r="D51" s="3"/>
      <c r="E51" s="3"/>
      <c r="F51" s="3"/>
      <c r="G51" s="3"/>
      <c r="H51" s="3"/>
      <c r="I51" s="3"/>
      <c r="J51" s="3"/>
      <c r="K51" s="3"/>
      <c r="L51" s="3"/>
      <c r="M51" s="3"/>
      <c r="N51" s="3"/>
      <c r="O51" s="3"/>
      <c r="P51" s="3"/>
      <c r="Q51" s="3"/>
      <c r="R51" s="3"/>
      <c r="S51" s="3"/>
      <c r="T51" s="3"/>
      <c r="U51" s="3"/>
      <c r="V51" s="3"/>
      <c r="W51" s="3"/>
      <c r="X51" s="3"/>
      <c r="Y51" s="3"/>
      <c r="Z51" s="3"/>
    </row>
    <row r="52" ht="14.25" customHeight="1">
      <c r="A52" s="4" t="s">
        <v>88</v>
      </c>
      <c r="B52" s="5" t="s">
        <v>89</v>
      </c>
      <c r="C52" s="8"/>
      <c r="D52" s="3"/>
      <c r="E52" s="3"/>
      <c r="F52" s="3"/>
      <c r="G52" s="3"/>
      <c r="H52" s="3"/>
      <c r="I52" s="3"/>
      <c r="J52" s="3"/>
      <c r="K52" s="3"/>
      <c r="L52" s="3"/>
      <c r="M52" s="3"/>
      <c r="N52" s="3"/>
      <c r="O52" s="3"/>
      <c r="P52" s="3"/>
      <c r="Q52" s="3"/>
      <c r="R52" s="3"/>
      <c r="S52" s="3"/>
      <c r="T52" s="3"/>
      <c r="U52" s="3"/>
      <c r="V52" s="3"/>
      <c r="W52" s="3"/>
      <c r="X52" s="3"/>
      <c r="Y52" s="3"/>
      <c r="Z52" s="3"/>
    </row>
    <row r="53" ht="14.25" customHeight="1">
      <c r="A53" s="4" t="s">
        <v>90</v>
      </c>
      <c r="B53" s="5" t="s">
        <v>91</v>
      </c>
      <c r="C53" s="8"/>
      <c r="D53" s="3"/>
      <c r="E53" s="3"/>
      <c r="F53" s="3"/>
      <c r="G53" s="3"/>
      <c r="H53" s="3"/>
      <c r="I53" s="3"/>
      <c r="J53" s="3"/>
      <c r="K53" s="3"/>
      <c r="L53" s="3"/>
      <c r="M53" s="3"/>
      <c r="N53" s="3"/>
      <c r="O53" s="3"/>
      <c r="P53" s="3"/>
      <c r="Q53" s="3"/>
      <c r="R53" s="3"/>
      <c r="S53" s="3"/>
      <c r="T53" s="3"/>
      <c r="U53" s="3"/>
      <c r="V53" s="3"/>
      <c r="W53" s="3"/>
      <c r="X53" s="3"/>
      <c r="Y53" s="3"/>
      <c r="Z53" s="3"/>
    </row>
    <row r="54" ht="57.0" customHeight="1">
      <c r="A54" s="4" t="s">
        <v>92</v>
      </c>
      <c r="B54" s="5" t="s">
        <v>93</v>
      </c>
      <c r="C54" s="8"/>
      <c r="D54" s="3"/>
      <c r="E54" s="3"/>
      <c r="F54" s="3"/>
      <c r="G54" s="3"/>
      <c r="H54" s="3"/>
      <c r="I54" s="3"/>
      <c r="J54" s="3"/>
      <c r="K54" s="3"/>
      <c r="L54" s="3"/>
      <c r="M54" s="3"/>
      <c r="N54" s="3"/>
      <c r="O54" s="3"/>
      <c r="P54" s="3"/>
      <c r="Q54" s="3"/>
      <c r="R54" s="3"/>
      <c r="S54" s="3"/>
      <c r="T54" s="3"/>
      <c r="U54" s="3"/>
      <c r="V54" s="3"/>
      <c r="W54" s="3"/>
      <c r="X54" s="3"/>
      <c r="Y54" s="3"/>
      <c r="Z54" s="3"/>
    </row>
    <row r="55" ht="14.25" customHeight="1">
      <c r="A55" s="4" t="s">
        <v>94</v>
      </c>
      <c r="B55" s="5" t="s">
        <v>95</v>
      </c>
      <c r="C55" s="8"/>
      <c r="D55" s="3"/>
      <c r="E55" s="3"/>
      <c r="F55" s="3"/>
      <c r="G55" s="3"/>
      <c r="H55" s="3"/>
      <c r="I55" s="3"/>
      <c r="J55" s="3"/>
      <c r="K55" s="3"/>
      <c r="L55" s="3"/>
      <c r="M55" s="3"/>
      <c r="N55" s="3"/>
      <c r="O55" s="3"/>
      <c r="P55" s="3"/>
      <c r="Q55" s="3"/>
      <c r="R55" s="3"/>
      <c r="S55" s="3"/>
      <c r="T55" s="3"/>
      <c r="U55" s="3"/>
      <c r="V55" s="3"/>
      <c r="W55" s="3"/>
      <c r="X55" s="3"/>
      <c r="Y55" s="3"/>
      <c r="Z55" s="3"/>
    </row>
    <row r="56" ht="14.25" customHeight="1">
      <c r="A56" s="4" t="s">
        <v>96</v>
      </c>
      <c r="B56" s="5" t="s">
        <v>97</v>
      </c>
      <c r="C56" s="8"/>
      <c r="D56" s="3"/>
      <c r="E56" s="3"/>
      <c r="F56" s="3"/>
      <c r="G56" s="3"/>
      <c r="H56" s="3"/>
      <c r="I56" s="3"/>
      <c r="J56" s="3"/>
      <c r="K56" s="3"/>
      <c r="L56" s="3"/>
      <c r="M56" s="3"/>
      <c r="N56" s="3"/>
      <c r="O56" s="3"/>
      <c r="P56" s="3"/>
      <c r="Q56" s="3"/>
      <c r="R56" s="3"/>
      <c r="S56" s="3"/>
      <c r="T56" s="3"/>
      <c r="U56" s="3"/>
      <c r="V56" s="3"/>
      <c r="W56" s="3"/>
      <c r="X56" s="3"/>
      <c r="Y56" s="3"/>
      <c r="Z56" s="3"/>
    </row>
    <row r="57" ht="14.25" customHeight="1">
      <c r="A57" s="4" t="s">
        <v>98</v>
      </c>
      <c r="B57" s="5" t="s">
        <v>99</v>
      </c>
      <c r="C57" s="8"/>
      <c r="D57" s="3"/>
      <c r="E57" s="3"/>
      <c r="F57" s="3"/>
      <c r="G57" s="3"/>
      <c r="H57" s="3"/>
      <c r="I57" s="3"/>
      <c r="J57" s="3"/>
      <c r="K57" s="3"/>
      <c r="L57" s="3"/>
      <c r="M57" s="3"/>
      <c r="N57" s="3"/>
      <c r="O57" s="3"/>
      <c r="P57" s="3"/>
      <c r="Q57" s="3"/>
      <c r="R57" s="3"/>
      <c r="S57" s="3"/>
      <c r="T57" s="3"/>
      <c r="U57" s="3"/>
      <c r="V57" s="3"/>
      <c r="W57" s="3"/>
      <c r="X57" s="3"/>
      <c r="Y57" s="3"/>
      <c r="Z57" s="3"/>
    </row>
    <row r="58" ht="14.25" customHeight="1">
      <c r="A58" s="4" t="s">
        <v>54</v>
      </c>
      <c r="B58" s="7" t="s">
        <v>78</v>
      </c>
      <c r="C58" s="8"/>
      <c r="D58" s="3"/>
      <c r="E58" s="3"/>
      <c r="F58" s="3"/>
      <c r="G58" s="3"/>
      <c r="H58" s="3"/>
      <c r="I58" s="3"/>
      <c r="J58" s="3"/>
      <c r="K58" s="3"/>
      <c r="L58" s="3"/>
      <c r="M58" s="3"/>
      <c r="N58" s="3"/>
      <c r="O58" s="3"/>
      <c r="P58" s="3"/>
      <c r="Q58" s="3"/>
      <c r="R58" s="3"/>
      <c r="S58" s="3"/>
      <c r="T58" s="3"/>
      <c r="U58" s="3"/>
      <c r="V58" s="3"/>
      <c r="W58" s="3"/>
      <c r="X58" s="3"/>
      <c r="Y58" s="3"/>
      <c r="Z58" s="3"/>
    </row>
    <row r="59" ht="14.25" customHeight="1">
      <c r="A59" s="4" t="s">
        <v>100</v>
      </c>
      <c r="B59" s="5" t="s">
        <v>101</v>
      </c>
      <c r="C59" s="8"/>
      <c r="D59" s="3"/>
      <c r="E59" s="3"/>
      <c r="F59" s="3"/>
      <c r="G59" s="3"/>
      <c r="H59" s="3"/>
      <c r="I59" s="3"/>
      <c r="J59" s="3"/>
      <c r="K59" s="3"/>
      <c r="L59" s="3"/>
      <c r="M59" s="3"/>
      <c r="N59" s="3"/>
      <c r="O59" s="3"/>
      <c r="P59" s="3"/>
      <c r="Q59" s="3"/>
      <c r="R59" s="3"/>
      <c r="S59" s="3"/>
      <c r="T59" s="3"/>
      <c r="U59" s="3"/>
      <c r="V59" s="3"/>
      <c r="W59" s="3"/>
      <c r="X59" s="3"/>
      <c r="Y59" s="3"/>
      <c r="Z59" s="3"/>
    </row>
    <row r="60" ht="14.25" customHeight="1">
      <c r="A60" s="4" t="s">
        <v>102</v>
      </c>
      <c r="B60" s="5" t="s">
        <v>103</v>
      </c>
      <c r="C60" s="8"/>
      <c r="D60" s="3"/>
      <c r="E60" s="3"/>
      <c r="F60" s="3"/>
      <c r="G60" s="3"/>
      <c r="H60" s="3"/>
      <c r="I60" s="3"/>
      <c r="J60" s="3"/>
      <c r="K60" s="3"/>
      <c r="L60" s="3"/>
      <c r="M60" s="3"/>
      <c r="N60" s="3"/>
      <c r="O60" s="3"/>
      <c r="P60" s="3"/>
      <c r="Q60" s="3"/>
      <c r="R60" s="3"/>
      <c r="S60" s="3"/>
      <c r="T60" s="3"/>
      <c r="U60" s="3"/>
      <c r="V60" s="3"/>
      <c r="W60" s="3"/>
      <c r="X60" s="3"/>
      <c r="Y60" s="3"/>
      <c r="Z60" s="3"/>
    </row>
    <row r="61" ht="14.25" customHeight="1">
      <c r="A61" s="4" t="s">
        <v>104</v>
      </c>
      <c r="B61" s="5" t="s">
        <v>105</v>
      </c>
      <c r="C61" s="8"/>
      <c r="D61" s="3"/>
      <c r="E61" s="3"/>
      <c r="F61" s="3"/>
      <c r="G61" s="3"/>
      <c r="H61" s="3"/>
      <c r="I61" s="3"/>
      <c r="J61" s="3"/>
      <c r="K61" s="3"/>
      <c r="L61" s="3"/>
      <c r="M61" s="3"/>
      <c r="N61" s="3"/>
      <c r="O61" s="3"/>
      <c r="P61" s="3"/>
      <c r="Q61" s="3"/>
      <c r="R61" s="3"/>
      <c r="S61" s="3"/>
      <c r="T61" s="3"/>
      <c r="U61" s="3"/>
      <c r="V61" s="3"/>
      <c r="W61" s="3"/>
      <c r="X61" s="3"/>
      <c r="Y61" s="3"/>
      <c r="Z61" s="3"/>
    </row>
    <row r="62" ht="14.25" customHeight="1">
      <c r="A62" s="4" t="s">
        <v>106</v>
      </c>
      <c r="B62" s="7" t="s">
        <v>11</v>
      </c>
      <c r="C62" s="8"/>
      <c r="D62" s="3"/>
      <c r="E62" s="3"/>
      <c r="F62" s="3"/>
      <c r="G62" s="3"/>
      <c r="H62" s="3"/>
      <c r="I62" s="3"/>
      <c r="J62" s="3"/>
      <c r="K62" s="3"/>
      <c r="L62" s="3"/>
      <c r="M62" s="3"/>
      <c r="N62" s="3"/>
      <c r="O62" s="3"/>
      <c r="P62" s="3"/>
      <c r="Q62" s="3"/>
      <c r="R62" s="3"/>
      <c r="S62" s="3"/>
      <c r="T62" s="3"/>
      <c r="U62" s="3"/>
      <c r="V62" s="3"/>
      <c r="W62" s="3"/>
      <c r="X62" s="3"/>
      <c r="Y62" s="3"/>
      <c r="Z62" s="3"/>
    </row>
    <row r="63" ht="14.25" customHeight="1">
      <c r="A63" s="4" t="s">
        <v>107</v>
      </c>
      <c r="B63" s="7" t="s">
        <v>11</v>
      </c>
      <c r="C63" s="8"/>
      <c r="D63" s="3"/>
      <c r="E63" s="3"/>
      <c r="F63" s="3"/>
      <c r="G63" s="3"/>
      <c r="H63" s="3"/>
      <c r="I63" s="3"/>
      <c r="J63" s="3"/>
      <c r="K63" s="3"/>
      <c r="L63" s="3"/>
      <c r="M63" s="3"/>
      <c r="N63" s="3"/>
      <c r="O63" s="3"/>
      <c r="P63" s="3"/>
      <c r="Q63" s="3"/>
      <c r="R63" s="3"/>
      <c r="S63" s="3"/>
      <c r="T63" s="3"/>
      <c r="U63" s="3"/>
      <c r="V63" s="3"/>
      <c r="W63" s="3"/>
      <c r="X63" s="3"/>
      <c r="Y63" s="3"/>
      <c r="Z63" s="3"/>
    </row>
    <row r="64" ht="14.25" customHeight="1">
      <c r="A64" s="4" t="s">
        <v>108</v>
      </c>
      <c r="B64" s="7" t="s">
        <v>11</v>
      </c>
      <c r="C64" s="8"/>
      <c r="D64" s="3"/>
      <c r="E64" s="3"/>
      <c r="F64" s="3"/>
      <c r="G64" s="3"/>
      <c r="H64" s="3"/>
      <c r="I64" s="3"/>
      <c r="J64" s="3"/>
      <c r="K64" s="3"/>
      <c r="L64" s="3"/>
      <c r="M64" s="3"/>
      <c r="N64" s="3"/>
      <c r="O64" s="3"/>
      <c r="P64" s="3"/>
      <c r="Q64" s="3"/>
      <c r="R64" s="3"/>
      <c r="S64" s="3"/>
      <c r="T64" s="3"/>
      <c r="U64" s="3"/>
      <c r="V64" s="3"/>
      <c r="W64" s="3"/>
      <c r="X64" s="3"/>
      <c r="Y64" s="3"/>
      <c r="Z64" s="3"/>
    </row>
    <row r="65" ht="14.25" customHeight="1">
      <c r="A65" s="4" t="s">
        <v>109</v>
      </c>
      <c r="B65" s="5" t="s">
        <v>110</v>
      </c>
      <c r="C65" s="8"/>
      <c r="D65" s="3"/>
      <c r="E65" s="3"/>
      <c r="F65" s="3"/>
      <c r="G65" s="3"/>
      <c r="H65" s="3"/>
      <c r="I65" s="3"/>
      <c r="J65" s="3"/>
      <c r="K65" s="3"/>
      <c r="L65" s="3"/>
      <c r="M65" s="3"/>
      <c r="N65" s="3"/>
      <c r="O65" s="3"/>
      <c r="P65" s="3"/>
      <c r="Q65" s="3"/>
      <c r="R65" s="3"/>
      <c r="S65" s="3"/>
      <c r="T65" s="3"/>
      <c r="U65" s="3"/>
      <c r="V65" s="3"/>
      <c r="W65" s="3"/>
      <c r="X65" s="3"/>
      <c r="Y65" s="3"/>
      <c r="Z65" s="3"/>
    </row>
    <row r="66" ht="14.25" customHeight="1">
      <c r="A66" s="4" t="s">
        <v>111</v>
      </c>
      <c r="B66" s="7" t="s">
        <v>11</v>
      </c>
      <c r="C66" s="8"/>
      <c r="D66" s="3"/>
      <c r="E66" s="3"/>
      <c r="F66" s="3"/>
      <c r="G66" s="3"/>
      <c r="H66" s="3"/>
      <c r="I66" s="3"/>
      <c r="J66" s="3"/>
      <c r="K66" s="3"/>
      <c r="L66" s="3"/>
      <c r="M66" s="3"/>
      <c r="N66" s="3"/>
      <c r="O66" s="3"/>
      <c r="P66" s="3"/>
      <c r="Q66" s="3"/>
      <c r="R66" s="3"/>
      <c r="S66" s="3"/>
      <c r="T66" s="3"/>
      <c r="U66" s="3"/>
      <c r="V66" s="3"/>
      <c r="W66" s="3"/>
      <c r="X66" s="3"/>
      <c r="Y66" s="3"/>
      <c r="Z66" s="3"/>
    </row>
    <row r="67" ht="14.25" customHeight="1">
      <c r="A67" s="4" t="s">
        <v>112</v>
      </c>
      <c r="B67" s="5" t="s">
        <v>113</v>
      </c>
      <c r="C67" s="8"/>
      <c r="D67" s="3"/>
      <c r="E67" s="3"/>
      <c r="F67" s="3"/>
      <c r="G67" s="3"/>
      <c r="H67" s="3"/>
      <c r="I67" s="3"/>
      <c r="J67" s="3"/>
      <c r="K67" s="3"/>
      <c r="L67" s="3"/>
      <c r="M67" s="3"/>
      <c r="N67" s="3"/>
      <c r="O67" s="3"/>
      <c r="P67" s="3"/>
      <c r="Q67" s="3"/>
      <c r="R67" s="3"/>
      <c r="S67" s="3"/>
      <c r="T67" s="3"/>
      <c r="U67" s="3"/>
      <c r="V67" s="3"/>
      <c r="W67" s="3"/>
      <c r="X67" s="3"/>
      <c r="Y67" s="3"/>
      <c r="Z67" s="3"/>
    </row>
    <row r="68" ht="14.25" customHeight="1">
      <c r="A68" s="4" t="s">
        <v>114</v>
      </c>
      <c r="B68" s="5" t="s">
        <v>115</v>
      </c>
      <c r="C68" s="8"/>
      <c r="D68" s="3"/>
      <c r="E68" s="3"/>
      <c r="F68" s="3"/>
      <c r="G68" s="3"/>
      <c r="H68" s="3"/>
      <c r="I68" s="3"/>
      <c r="J68" s="3"/>
      <c r="K68" s="3"/>
      <c r="L68" s="3"/>
      <c r="M68" s="3"/>
      <c r="N68" s="3"/>
      <c r="O68" s="3"/>
      <c r="P68" s="3"/>
      <c r="Q68" s="3"/>
      <c r="R68" s="3"/>
      <c r="S68" s="3"/>
      <c r="T68" s="3"/>
      <c r="U68" s="3"/>
      <c r="V68" s="3"/>
      <c r="W68" s="3"/>
      <c r="X68" s="3"/>
      <c r="Y68" s="3"/>
      <c r="Z68" s="3"/>
    </row>
    <row r="69" ht="14.25" customHeight="1">
      <c r="A69" s="4" t="s">
        <v>116</v>
      </c>
      <c r="B69" s="5" t="s">
        <v>117</v>
      </c>
      <c r="C69" s="8"/>
      <c r="D69" s="3"/>
      <c r="E69" s="3"/>
      <c r="F69" s="3"/>
      <c r="G69" s="3"/>
      <c r="H69" s="3"/>
      <c r="I69" s="3"/>
      <c r="J69" s="3"/>
      <c r="K69" s="3"/>
      <c r="L69" s="3"/>
      <c r="M69" s="3"/>
      <c r="N69" s="3"/>
      <c r="O69" s="3"/>
      <c r="P69" s="3"/>
      <c r="Q69" s="3"/>
      <c r="R69" s="3"/>
      <c r="S69" s="3"/>
      <c r="T69" s="3"/>
      <c r="U69" s="3"/>
      <c r="V69" s="3"/>
      <c r="W69" s="3"/>
      <c r="X69" s="3"/>
      <c r="Y69" s="3"/>
      <c r="Z69" s="3"/>
    </row>
    <row r="70" ht="14.25" customHeight="1">
      <c r="A70" s="4" t="s">
        <v>54</v>
      </c>
      <c r="B70" s="7" t="s">
        <v>81</v>
      </c>
      <c r="C70" s="8"/>
      <c r="D70" s="3"/>
      <c r="E70" s="3"/>
      <c r="F70" s="3"/>
      <c r="G70" s="3"/>
      <c r="H70" s="3"/>
      <c r="I70" s="3"/>
      <c r="J70" s="3"/>
      <c r="K70" s="3"/>
      <c r="L70" s="3"/>
      <c r="M70" s="3"/>
      <c r="N70" s="3"/>
      <c r="O70" s="3"/>
      <c r="P70" s="3"/>
      <c r="Q70" s="3"/>
      <c r="R70" s="3"/>
      <c r="S70" s="3"/>
      <c r="T70" s="3"/>
      <c r="U70" s="3"/>
      <c r="V70" s="3"/>
      <c r="W70" s="3"/>
      <c r="X70" s="3"/>
      <c r="Y70" s="3"/>
      <c r="Z70" s="3"/>
    </row>
    <row r="71" ht="14.25" customHeight="1">
      <c r="A71" s="4" t="s">
        <v>118</v>
      </c>
      <c r="B71" s="5" t="s">
        <v>119</v>
      </c>
      <c r="C71" s="8"/>
      <c r="D71" s="3"/>
      <c r="E71" s="3"/>
      <c r="F71" s="3"/>
      <c r="G71" s="3"/>
      <c r="H71" s="3"/>
      <c r="I71" s="3"/>
      <c r="J71" s="3"/>
      <c r="K71" s="3"/>
      <c r="L71" s="3"/>
      <c r="M71" s="3"/>
      <c r="N71" s="3"/>
      <c r="O71" s="3"/>
      <c r="P71" s="3"/>
      <c r="Q71" s="3"/>
      <c r="R71" s="3"/>
      <c r="S71" s="3"/>
      <c r="T71" s="3"/>
      <c r="U71" s="3"/>
      <c r="V71" s="3"/>
      <c r="W71" s="3"/>
      <c r="X71" s="3"/>
      <c r="Y71" s="3"/>
      <c r="Z71" s="3"/>
    </row>
    <row r="72" ht="14.25" customHeight="1">
      <c r="A72" s="4" t="s">
        <v>120</v>
      </c>
      <c r="B72" s="7" t="s">
        <v>11</v>
      </c>
      <c r="C72" s="8"/>
      <c r="D72" s="3"/>
      <c r="E72" s="3"/>
      <c r="F72" s="3"/>
      <c r="G72" s="3"/>
      <c r="H72" s="3"/>
      <c r="I72" s="3"/>
      <c r="J72" s="3"/>
      <c r="K72" s="3"/>
      <c r="L72" s="3"/>
      <c r="M72" s="3"/>
      <c r="N72" s="3"/>
      <c r="O72" s="3"/>
      <c r="P72" s="3"/>
      <c r="Q72" s="3"/>
      <c r="R72" s="3"/>
      <c r="S72" s="3"/>
      <c r="T72" s="3"/>
      <c r="U72" s="3"/>
      <c r="V72" s="3"/>
      <c r="W72" s="3"/>
      <c r="X72" s="3"/>
      <c r="Y72" s="3"/>
      <c r="Z72" s="3"/>
    </row>
    <row r="73" ht="14.25" customHeight="1">
      <c r="A73" s="4" t="s">
        <v>121</v>
      </c>
      <c r="B73" s="5" t="s">
        <v>122</v>
      </c>
      <c r="C73" s="8"/>
      <c r="D73" s="3"/>
      <c r="E73" s="3"/>
      <c r="F73" s="3"/>
      <c r="G73" s="3"/>
      <c r="H73" s="3"/>
      <c r="I73" s="3"/>
      <c r="J73" s="3"/>
      <c r="K73" s="3"/>
      <c r="L73" s="3"/>
      <c r="M73" s="3"/>
      <c r="N73" s="3"/>
      <c r="O73" s="3"/>
      <c r="P73" s="3"/>
      <c r="Q73" s="3"/>
      <c r="R73" s="3"/>
      <c r="S73" s="3"/>
      <c r="T73" s="3"/>
      <c r="U73" s="3"/>
      <c r="V73" s="3"/>
      <c r="W73" s="3"/>
      <c r="X73" s="3"/>
      <c r="Y73" s="3"/>
      <c r="Z73" s="3"/>
    </row>
    <row r="74" ht="14.25" customHeight="1">
      <c r="A74" s="4" t="s">
        <v>123</v>
      </c>
      <c r="B74" s="5" t="s">
        <v>124</v>
      </c>
      <c r="C74" s="8"/>
      <c r="D74" s="3"/>
      <c r="E74" s="3"/>
      <c r="F74" s="3"/>
      <c r="G74" s="3"/>
      <c r="H74" s="3"/>
      <c r="I74" s="3"/>
      <c r="J74" s="3"/>
      <c r="K74" s="3"/>
      <c r="L74" s="3"/>
      <c r="M74" s="3"/>
      <c r="N74" s="3"/>
      <c r="O74" s="3"/>
      <c r="P74" s="3"/>
      <c r="Q74" s="3"/>
      <c r="R74" s="3"/>
      <c r="S74" s="3"/>
      <c r="T74" s="3"/>
      <c r="U74" s="3"/>
      <c r="V74" s="3"/>
      <c r="W74" s="3"/>
      <c r="X74" s="3"/>
      <c r="Y74" s="3"/>
      <c r="Z74" s="3"/>
    </row>
    <row r="75" ht="14.25" customHeight="1">
      <c r="A75" s="4" t="s">
        <v>125</v>
      </c>
      <c r="B75" s="7" t="s">
        <v>11</v>
      </c>
      <c r="C75" s="8"/>
      <c r="D75" s="3"/>
      <c r="E75" s="3"/>
      <c r="F75" s="3"/>
      <c r="G75" s="3"/>
      <c r="H75" s="3"/>
      <c r="I75" s="3"/>
      <c r="J75" s="3"/>
      <c r="K75" s="3"/>
      <c r="L75" s="3"/>
      <c r="M75" s="3"/>
      <c r="N75" s="3"/>
      <c r="O75" s="3"/>
      <c r="P75" s="3"/>
      <c r="Q75" s="3"/>
      <c r="R75" s="3"/>
      <c r="S75" s="3"/>
      <c r="T75" s="3"/>
      <c r="U75" s="3"/>
      <c r="V75" s="3"/>
      <c r="W75" s="3"/>
      <c r="X75" s="3"/>
      <c r="Y75" s="3"/>
      <c r="Z75" s="3"/>
    </row>
    <row r="76" ht="14.25" customHeight="1">
      <c r="A76" s="4" t="s">
        <v>126</v>
      </c>
      <c r="B76" s="5" t="s">
        <v>127</v>
      </c>
      <c r="C76" s="8"/>
      <c r="D76" s="3"/>
      <c r="E76" s="3"/>
      <c r="F76" s="3"/>
      <c r="G76" s="3"/>
      <c r="H76" s="3"/>
      <c r="I76" s="3"/>
      <c r="J76" s="3"/>
      <c r="K76" s="3"/>
      <c r="L76" s="3"/>
      <c r="M76" s="3"/>
      <c r="N76" s="3"/>
      <c r="O76" s="3"/>
      <c r="P76" s="3"/>
      <c r="Q76" s="3"/>
      <c r="R76" s="3"/>
      <c r="S76" s="3"/>
      <c r="T76" s="3"/>
      <c r="U76" s="3"/>
      <c r="V76" s="3"/>
      <c r="W76" s="3"/>
      <c r="X76" s="3"/>
      <c r="Y76" s="3"/>
      <c r="Z76" s="3"/>
    </row>
    <row r="77" ht="14.25" customHeight="1">
      <c r="A77" s="4" t="s">
        <v>128</v>
      </c>
      <c r="B77" s="5" t="s">
        <v>129</v>
      </c>
      <c r="C77" s="8"/>
      <c r="D77" s="3"/>
      <c r="E77" s="3"/>
      <c r="F77" s="3"/>
      <c r="G77" s="3"/>
      <c r="H77" s="3"/>
      <c r="I77" s="3"/>
      <c r="J77" s="3"/>
      <c r="K77" s="3"/>
      <c r="L77" s="3"/>
      <c r="M77" s="3"/>
      <c r="N77" s="3"/>
      <c r="O77" s="3"/>
      <c r="P77" s="3"/>
      <c r="Q77" s="3"/>
      <c r="R77" s="3"/>
      <c r="S77" s="3"/>
      <c r="T77" s="3"/>
      <c r="U77" s="3"/>
      <c r="V77" s="3"/>
      <c r="W77" s="3"/>
      <c r="X77" s="3"/>
      <c r="Y77" s="3"/>
      <c r="Z77" s="3"/>
    </row>
    <row r="78" ht="14.25" customHeight="1">
      <c r="A78" s="4" t="s">
        <v>130</v>
      </c>
      <c r="B78" s="5" t="s">
        <v>131</v>
      </c>
      <c r="C78" s="8"/>
      <c r="D78" s="3"/>
      <c r="E78" s="3"/>
      <c r="F78" s="3"/>
      <c r="G78" s="3"/>
      <c r="H78" s="3"/>
      <c r="I78" s="3"/>
      <c r="J78" s="3"/>
      <c r="K78" s="3"/>
      <c r="L78" s="3"/>
      <c r="M78" s="3"/>
      <c r="N78" s="3"/>
      <c r="O78" s="3"/>
      <c r="P78" s="3"/>
      <c r="Q78" s="3"/>
      <c r="R78" s="3"/>
      <c r="S78" s="3"/>
      <c r="T78" s="3"/>
      <c r="U78" s="3"/>
      <c r="V78" s="3"/>
      <c r="W78" s="3"/>
      <c r="X78" s="3"/>
      <c r="Y78" s="3"/>
      <c r="Z78" s="3"/>
    </row>
    <row r="79" ht="14.25" customHeight="1">
      <c r="A79" s="4" t="s">
        <v>132</v>
      </c>
      <c r="B79" s="5" t="s">
        <v>133</v>
      </c>
      <c r="C79" s="8"/>
      <c r="D79" s="3"/>
      <c r="E79" s="3"/>
      <c r="F79" s="3"/>
      <c r="G79" s="3"/>
      <c r="H79" s="3"/>
      <c r="I79" s="3"/>
      <c r="J79" s="3"/>
      <c r="K79" s="3"/>
      <c r="L79" s="3"/>
      <c r="M79" s="3"/>
      <c r="N79" s="3"/>
      <c r="O79" s="3"/>
      <c r="P79" s="3"/>
      <c r="Q79" s="3"/>
      <c r="R79" s="3"/>
      <c r="S79" s="3"/>
      <c r="T79" s="3"/>
      <c r="U79" s="3"/>
      <c r="V79" s="3"/>
      <c r="W79" s="3"/>
      <c r="X79" s="3"/>
      <c r="Y79" s="3"/>
      <c r="Z79" s="3"/>
    </row>
    <row r="80" ht="14.25" customHeight="1">
      <c r="A80" s="4" t="s">
        <v>134</v>
      </c>
      <c r="B80" s="5" t="s">
        <v>135</v>
      </c>
      <c r="C80" s="8"/>
      <c r="D80" s="3"/>
      <c r="E80" s="3"/>
      <c r="F80" s="3"/>
      <c r="G80" s="3"/>
      <c r="H80" s="3"/>
      <c r="I80" s="3"/>
      <c r="J80" s="3"/>
      <c r="K80" s="3"/>
      <c r="L80" s="3"/>
      <c r="M80" s="3"/>
      <c r="N80" s="3"/>
      <c r="O80" s="3"/>
      <c r="P80" s="3"/>
      <c r="Q80" s="3"/>
      <c r="R80" s="3"/>
      <c r="S80" s="3"/>
      <c r="T80" s="3"/>
      <c r="U80" s="3"/>
      <c r="V80" s="3"/>
      <c r="W80" s="3"/>
      <c r="X80" s="3"/>
      <c r="Y80" s="3"/>
      <c r="Z80" s="3"/>
    </row>
    <row r="81" ht="14.25" customHeight="1">
      <c r="A81" s="4" t="s">
        <v>136</v>
      </c>
      <c r="B81" s="5" t="s">
        <v>137</v>
      </c>
      <c r="C81" s="8"/>
      <c r="D81" s="3"/>
      <c r="E81" s="3"/>
      <c r="F81" s="3"/>
      <c r="G81" s="3"/>
      <c r="H81" s="3"/>
      <c r="I81" s="3"/>
      <c r="J81" s="3"/>
      <c r="K81" s="3"/>
      <c r="L81" s="3"/>
      <c r="M81" s="3"/>
      <c r="N81" s="3"/>
      <c r="O81" s="3"/>
      <c r="P81" s="3"/>
      <c r="Q81" s="3"/>
      <c r="R81" s="3"/>
      <c r="S81" s="3"/>
      <c r="T81" s="3"/>
      <c r="U81" s="3"/>
      <c r="V81" s="3"/>
      <c r="W81" s="3"/>
      <c r="X81" s="3"/>
      <c r="Y81" s="3"/>
      <c r="Z81" s="3"/>
    </row>
    <row r="82" ht="14.25" customHeight="1">
      <c r="A82" s="4" t="s">
        <v>138</v>
      </c>
      <c r="B82" s="5" t="s">
        <v>139</v>
      </c>
      <c r="C82" s="8"/>
      <c r="D82" s="3"/>
      <c r="E82" s="3"/>
      <c r="F82" s="3"/>
      <c r="G82" s="3"/>
      <c r="H82" s="3"/>
      <c r="I82" s="3"/>
      <c r="J82" s="3"/>
      <c r="K82" s="3"/>
      <c r="L82" s="3"/>
      <c r="M82" s="3"/>
      <c r="N82" s="3"/>
      <c r="O82" s="3"/>
      <c r="P82" s="3"/>
      <c r="Q82" s="3"/>
      <c r="R82" s="3"/>
      <c r="S82" s="3"/>
      <c r="T82" s="3"/>
      <c r="U82" s="3"/>
      <c r="V82" s="3"/>
      <c r="W82" s="3"/>
      <c r="X82" s="3"/>
      <c r="Y82" s="3"/>
      <c r="Z82" s="3"/>
    </row>
    <row r="83" ht="14.25" customHeight="1">
      <c r="A83" s="4" t="s">
        <v>140</v>
      </c>
      <c r="B83" s="5" t="s">
        <v>141</v>
      </c>
      <c r="C83" s="8"/>
      <c r="D83" s="3"/>
      <c r="E83" s="3"/>
      <c r="F83" s="3"/>
      <c r="G83" s="3"/>
      <c r="H83" s="3"/>
      <c r="I83" s="3"/>
      <c r="J83" s="3"/>
      <c r="K83" s="3"/>
      <c r="L83" s="3"/>
      <c r="M83" s="3"/>
      <c r="N83" s="3"/>
      <c r="O83" s="3"/>
      <c r="P83" s="3"/>
      <c r="Q83" s="3"/>
      <c r="R83" s="3"/>
      <c r="S83" s="3"/>
      <c r="T83" s="3"/>
      <c r="U83" s="3"/>
      <c r="V83" s="3"/>
      <c r="W83" s="3"/>
      <c r="X83" s="3"/>
      <c r="Y83" s="3"/>
      <c r="Z83" s="3"/>
    </row>
    <row r="84" ht="14.25" customHeight="1">
      <c r="A84" s="4" t="s">
        <v>142</v>
      </c>
      <c r="B84" s="5" t="s">
        <v>143</v>
      </c>
      <c r="C84" s="8"/>
      <c r="D84" s="3"/>
      <c r="E84" s="3"/>
      <c r="F84" s="3"/>
      <c r="G84" s="3"/>
      <c r="H84" s="3"/>
      <c r="I84" s="3"/>
      <c r="J84" s="3"/>
      <c r="K84" s="3"/>
      <c r="L84" s="3"/>
      <c r="M84" s="3"/>
      <c r="N84" s="3"/>
      <c r="O84" s="3"/>
      <c r="P84" s="3"/>
      <c r="Q84" s="3"/>
      <c r="R84" s="3"/>
      <c r="S84" s="3"/>
      <c r="T84" s="3"/>
      <c r="U84" s="3"/>
      <c r="V84" s="3"/>
      <c r="W84" s="3"/>
      <c r="X84" s="3"/>
      <c r="Y84" s="3"/>
      <c r="Z84" s="3"/>
    </row>
    <row r="85" ht="14.25" customHeight="1">
      <c r="A85" s="4" t="s">
        <v>144</v>
      </c>
      <c r="B85" s="5" t="s">
        <v>145</v>
      </c>
      <c r="C85" s="8"/>
      <c r="D85" s="3"/>
      <c r="E85" s="3"/>
      <c r="F85" s="3"/>
      <c r="G85" s="3"/>
      <c r="H85" s="3"/>
      <c r="I85" s="3"/>
      <c r="J85" s="3"/>
      <c r="K85" s="3"/>
      <c r="L85" s="3"/>
      <c r="M85" s="3"/>
      <c r="N85" s="3"/>
      <c r="O85" s="3"/>
      <c r="P85" s="3"/>
      <c r="Q85" s="3"/>
      <c r="R85" s="3"/>
      <c r="S85" s="3"/>
      <c r="T85" s="3"/>
      <c r="U85" s="3"/>
      <c r="V85" s="3"/>
      <c r="W85" s="3"/>
      <c r="X85" s="3"/>
      <c r="Y85" s="3"/>
      <c r="Z85" s="3"/>
    </row>
    <row r="86" ht="14.25" customHeight="1">
      <c r="A86" s="4" t="s">
        <v>146</v>
      </c>
      <c r="B86" s="5" t="s">
        <v>147</v>
      </c>
      <c r="C86" s="8"/>
      <c r="D86" s="3"/>
      <c r="E86" s="3"/>
      <c r="F86" s="3"/>
      <c r="G86" s="3"/>
      <c r="H86" s="3"/>
      <c r="I86" s="3"/>
      <c r="J86" s="3"/>
      <c r="K86" s="3"/>
      <c r="L86" s="3"/>
      <c r="M86" s="3"/>
      <c r="N86" s="3"/>
      <c r="O86" s="3"/>
      <c r="P86" s="3"/>
      <c r="Q86" s="3"/>
      <c r="R86" s="3"/>
      <c r="S86" s="3"/>
      <c r="T86" s="3"/>
      <c r="U86" s="3"/>
      <c r="V86" s="3"/>
      <c r="W86" s="3"/>
      <c r="X86" s="3"/>
      <c r="Y86" s="3"/>
      <c r="Z86" s="3"/>
    </row>
    <row r="87" ht="14.25" customHeight="1">
      <c r="A87" s="9" t="s">
        <v>148</v>
      </c>
      <c r="B87" s="5" t="s">
        <v>149</v>
      </c>
      <c r="C87" s="8"/>
      <c r="D87" s="3"/>
      <c r="E87" s="3"/>
      <c r="F87" s="3"/>
      <c r="G87" s="3"/>
      <c r="H87" s="3"/>
      <c r="I87" s="3"/>
      <c r="J87" s="3"/>
      <c r="K87" s="3"/>
      <c r="L87" s="3"/>
      <c r="M87" s="3"/>
      <c r="N87" s="3"/>
      <c r="O87" s="3"/>
      <c r="P87" s="3"/>
      <c r="Q87" s="3"/>
      <c r="R87" s="3"/>
      <c r="S87" s="3"/>
      <c r="T87" s="3"/>
      <c r="U87" s="3"/>
      <c r="V87" s="3"/>
      <c r="W87" s="3"/>
      <c r="X87" s="3"/>
      <c r="Y87" s="3"/>
      <c r="Z87" s="3"/>
    </row>
    <row r="88" ht="14.25" customHeight="1">
      <c r="A88" s="9" t="s">
        <v>150</v>
      </c>
      <c r="B88" s="7" t="s">
        <v>11</v>
      </c>
      <c r="C88" s="8"/>
      <c r="D88" s="3"/>
      <c r="E88" s="3"/>
      <c r="F88" s="3"/>
      <c r="G88" s="3"/>
      <c r="H88" s="3"/>
      <c r="I88" s="3"/>
      <c r="J88" s="3"/>
      <c r="K88" s="3"/>
      <c r="L88" s="3"/>
      <c r="M88" s="3"/>
      <c r="N88" s="3"/>
      <c r="O88" s="3"/>
      <c r="P88" s="3"/>
      <c r="Q88" s="3"/>
      <c r="R88" s="3"/>
      <c r="S88" s="3"/>
      <c r="T88" s="3"/>
      <c r="U88" s="3"/>
      <c r="V88" s="3"/>
      <c r="W88" s="3"/>
      <c r="X88" s="3"/>
      <c r="Y88" s="3"/>
      <c r="Z88" s="3"/>
    </row>
    <row r="89" ht="14.25" customHeight="1">
      <c r="A89" s="9" t="s">
        <v>151</v>
      </c>
      <c r="B89" s="5" t="s">
        <v>152</v>
      </c>
      <c r="C89" s="8"/>
      <c r="D89" s="3"/>
      <c r="E89" s="3"/>
      <c r="F89" s="3"/>
      <c r="G89" s="3"/>
      <c r="H89" s="3"/>
      <c r="I89" s="3"/>
      <c r="J89" s="3"/>
      <c r="K89" s="3"/>
      <c r="L89" s="3"/>
      <c r="M89" s="3"/>
      <c r="N89" s="3"/>
      <c r="O89" s="3"/>
      <c r="P89" s="3"/>
      <c r="Q89" s="3"/>
      <c r="R89" s="3"/>
      <c r="S89" s="3"/>
      <c r="T89" s="3"/>
      <c r="U89" s="3"/>
      <c r="V89" s="3"/>
      <c r="W89" s="3"/>
      <c r="X89" s="3"/>
      <c r="Y89" s="3"/>
      <c r="Z89" s="3"/>
    </row>
    <row r="90" ht="14.25" customHeight="1">
      <c r="A90" s="9" t="s">
        <v>153</v>
      </c>
      <c r="B90" s="7" t="s">
        <v>11</v>
      </c>
      <c r="C90" s="8"/>
      <c r="D90" s="3"/>
      <c r="E90" s="3"/>
      <c r="F90" s="3"/>
      <c r="G90" s="3"/>
      <c r="H90" s="3"/>
      <c r="I90" s="3"/>
      <c r="J90" s="3"/>
      <c r="K90" s="3"/>
      <c r="L90" s="3"/>
      <c r="M90" s="3"/>
      <c r="N90" s="3"/>
      <c r="O90" s="3"/>
      <c r="P90" s="3"/>
      <c r="Q90" s="3"/>
      <c r="R90" s="3"/>
      <c r="S90" s="3"/>
      <c r="T90" s="3"/>
      <c r="U90" s="3"/>
      <c r="V90" s="3"/>
      <c r="W90" s="3"/>
      <c r="X90" s="3"/>
      <c r="Y90" s="3"/>
      <c r="Z90" s="3"/>
    </row>
    <row r="91" ht="14.25" customHeight="1">
      <c r="A91" s="9" t="s">
        <v>154</v>
      </c>
      <c r="B91" s="5" t="s">
        <v>155</v>
      </c>
      <c r="C91" s="8"/>
      <c r="D91" s="3"/>
      <c r="E91" s="3"/>
      <c r="F91" s="3"/>
      <c r="G91" s="3"/>
      <c r="H91" s="3"/>
      <c r="I91" s="3"/>
      <c r="J91" s="3"/>
      <c r="K91" s="3"/>
      <c r="L91" s="3"/>
      <c r="M91" s="3"/>
      <c r="N91" s="3"/>
      <c r="O91" s="3"/>
      <c r="P91" s="3"/>
      <c r="Q91" s="3"/>
      <c r="R91" s="3"/>
      <c r="S91" s="3"/>
      <c r="T91" s="3"/>
      <c r="U91" s="3"/>
      <c r="V91" s="3"/>
      <c r="W91" s="3"/>
      <c r="X91" s="3"/>
      <c r="Y91" s="3"/>
      <c r="Z91" s="3"/>
    </row>
    <row r="92" ht="14.25" customHeight="1">
      <c r="A92" s="9" t="s">
        <v>156</v>
      </c>
      <c r="B92" s="5" t="s">
        <v>157</v>
      </c>
      <c r="C92" s="8"/>
      <c r="D92" s="3"/>
      <c r="E92" s="3"/>
      <c r="F92" s="3"/>
      <c r="G92" s="3"/>
      <c r="H92" s="3"/>
      <c r="I92" s="3"/>
      <c r="J92" s="3"/>
      <c r="K92" s="3"/>
      <c r="L92" s="3"/>
      <c r="M92" s="3"/>
      <c r="N92" s="3"/>
      <c r="O92" s="3"/>
      <c r="P92" s="3"/>
      <c r="Q92" s="3"/>
      <c r="R92" s="3"/>
      <c r="S92" s="3"/>
      <c r="T92" s="3"/>
      <c r="U92" s="3"/>
      <c r="V92" s="3"/>
      <c r="W92" s="3"/>
      <c r="X92" s="3"/>
      <c r="Y92" s="3"/>
      <c r="Z92" s="3"/>
    </row>
    <row r="93" ht="14.25" customHeight="1">
      <c r="A93" s="9" t="s">
        <v>158</v>
      </c>
      <c r="B93" s="5" t="s">
        <v>159</v>
      </c>
      <c r="C93" s="8"/>
      <c r="D93" s="3"/>
      <c r="E93" s="3"/>
      <c r="F93" s="3"/>
      <c r="G93" s="3"/>
      <c r="H93" s="3"/>
      <c r="I93" s="3"/>
      <c r="J93" s="3"/>
      <c r="K93" s="3"/>
      <c r="L93" s="3"/>
      <c r="M93" s="3"/>
      <c r="N93" s="3"/>
      <c r="O93" s="3"/>
      <c r="P93" s="3"/>
      <c r="Q93" s="3"/>
      <c r="R93" s="3"/>
      <c r="S93" s="3"/>
      <c r="T93" s="3"/>
      <c r="U93" s="3"/>
      <c r="V93" s="3"/>
      <c r="W93" s="3"/>
      <c r="X93" s="3"/>
      <c r="Y93" s="3"/>
      <c r="Z93" s="3"/>
    </row>
    <row r="94" ht="14.25" customHeight="1">
      <c r="A94" s="9" t="s">
        <v>160</v>
      </c>
      <c r="B94" s="5" t="s">
        <v>161</v>
      </c>
      <c r="C94" s="8"/>
      <c r="D94" s="3"/>
      <c r="E94" s="3"/>
      <c r="F94" s="3"/>
      <c r="G94" s="3"/>
      <c r="H94" s="3"/>
      <c r="I94" s="3"/>
      <c r="J94" s="3"/>
      <c r="K94" s="3"/>
      <c r="L94" s="3"/>
      <c r="M94" s="3"/>
      <c r="N94" s="3"/>
      <c r="O94" s="3"/>
      <c r="P94" s="3"/>
      <c r="Q94" s="3"/>
      <c r="R94" s="3"/>
      <c r="S94" s="3"/>
      <c r="T94" s="3"/>
      <c r="U94" s="3"/>
      <c r="V94" s="3"/>
      <c r="W94" s="3"/>
      <c r="X94" s="3"/>
      <c r="Y94" s="3"/>
      <c r="Z94" s="3"/>
    </row>
    <row r="95" ht="14.25" customHeight="1">
      <c r="A95" s="9" t="s">
        <v>162</v>
      </c>
      <c r="B95" s="5" t="s">
        <v>163</v>
      </c>
      <c r="C95" s="8"/>
      <c r="D95" s="3"/>
      <c r="E95" s="3"/>
      <c r="F95" s="3"/>
      <c r="G95" s="3"/>
      <c r="H95" s="3"/>
      <c r="I95" s="3"/>
      <c r="J95" s="3"/>
      <c r="K95" s="3"/>
      <c r="L95" s="3"/>
      <c r="M95" s="3"/>
      <c r="N95" s="3"/>
      <c r="O95" s="3"/>
      <c r="P95" s="3"/>
      <c r="Q95" s="3"/>
      <c r="R95" s="3"/>
      <c r="S95" s="3"/>
      <c r="T95" s="3"/>
      <c r="U95" s="3"/>
      <c r="V95" s="3"/>
      <c r="W95" s="3"/>
      <c r="X95" s="3"/>
      <c r="Y95" s="3"/>
      <c r="Z95" s="3"/>
    </row>
    <row r="96" ht="14.25" customHeight="1">
      <c r="A96" s="9" t="s">
        <v>164</v>
      </c>
      <c r="B96" s="5" t="s">
        <v>165</v>
      </c>
      <c r="C96" s="8"/>
      <c r="D96" s="3"/>
      <c r="E96" s="3"/>
      <c r="F96" s="3"/>
      <c r="G96" s="3"/>
      <c r="H96" s="3"/>
      <c r="I96" s="3"/>
      <c r="J96" s="3"/>
      <c r="K96" s="3"/>
      <c r="L96" s="3"/>
      <c r="M96" s="3"/>
      <c r="N96" s="3"/>
      <c r="O96" s="3"/>
      <c r="P96" s="3"/>
      <c r="Q96" s="3"/>
      <c r="R96" s="3"/>
      <c r="S96" s="3"/>
      <c r="T96" s="3"/>
      <c r="U96" s="3"/>
      <c r="V96" s="3"/>
      <c r="W96" s="3"/>
      <c r="X96" s="3"/>
      <c r="Y96" s="3"/>
      <c r="Z96" s="3"/>
    </row>
    <row r="97" ht="14.25" customHeight="1">
      <c r="A97" s="9" t="s">
        <v>166</v>
      </c>
      <c r="B97" s="7" t="s">
        <v>11</v>
      </c>
      <c r="C97" s="8"/>
      <c r="D97" s="3"/>
      <c r="E97" s="3"/>
      <c r="F97" s="3"/>
      <c r="G97" s="3"/>
      <c r="H97" s="3"/>
      <c r="I97" s="3"/>
      <c r="J97" s="3"/>
      <c r="K97" s="3"/>
      <c r="L97" s="3"/>
      <c r="M97" s="3"/>
      <c r="N97" s="3"/>
      <c r="O97" s="3"/>
      <c r="P97" s="3"/>
      <c r="Q97" s="3"/>
      <c r="R97" s="3"/>
      <c r="S97" s="3"/>
      <c r="T97" s="3"/>
      <c r="U97" s="3"/>
      <c r="V97" s="3"/>
      <c r="W97" s="3"/>
      <c r="X97" s="3"/>
      <c r="Y97" s="3"/>
      <c r="Z97" s="3"/>
    </row>
    <row r="98" ht="14.25" customHeight="1">
      <c r="A98" s="9" t="s">
        <v>167</v>
      </c>
      <c r="B98" s="5" t="s">
        <v>168</v>
      </c>
      <c r="C98" s="8"/>
      <c r="D98" s="3"/>
      <c r="E98" s="3"/>
      <c r="F98" s="3"/>
      <c r="G98" s="3"/>
      <c r="H98" s="3"/>
      <c r="I98" s="3"/>
      <c r="J98" s="3"/>
      <c r="K98" s="3"/>
      <c r="L98" s="3"/>
      <c r="M98" s="3"/>
      <c r="N98" s="3"/>
      <c r="O98" s="3"/>
      <c r="P98" s="3"/>
      <c r="Q98" s="3"/>
      <c r="R98" s="3"/>
      <c r="S98" s="3"/>
      <c r="T98" s="3"/>
      <c r="U98" s="3"/>
      <c r="V98" s="3"/>
      <c r="W98" s="3"/>
      <c r="X98" s="3"/>
      <c r="Y98" s="3"/>
      <c r="Z98" s="3"/>
    </row>
    <row r="99" ht="14.25" customHeight="1">
      <c r="A99" s="9" t="s">
        <v>169</v>
      </c>
      <c r="B99" s="5" t="s">
        <v>170</v>
      </c>
      <c r="C99" s="8"/>
      <c r="D99" s="3"/>
      <c r="E99" s="3"/>
      <c r="F99" s="3"/>
      <c r="G99" s="3"/>
      <c r="H99" s="3"/>
      <c r="I99" s="3"/>
      <c r="J99" s="3"/>
      <c r="K99" s="3"/>
      <c r="L99" s="3"/>
      <c r="M99" s="3"/>
      <c r="N99" s="3"/>
      <c r="O99" s="3"/>
      <c r="P99" s="3"/>
      <c r="Q99" s="3"/>
      <c r="R99" s="3"/>
      <c r="S99" s="3"/>
      <c r="T99" s="3"/>
      <c r="U99" s="3"/>
      <c r="V99" s="3"/>
      <c r="W99" s="3"/>
      <c r="X99" s="3"/>
      <c r="Y99" s="3"/>
      <c r="Z99" s="3"/>
    </row>
    <row r="100" ht="14.25" customHeight="1">
      <c r="A100" s="9" t="s">
        <v>171</v>
      </c>
      <c r="B100" s="7" t="s">
        <v>11</v>
      </c>
      <c r="C100" s="8"/>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9" t="s">
        <v>172</v>
      </c>
      <c r="B101" s="7" t="s">
        <v>11</v>
      </c>
      <c r="C101" s="8"/>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9" t="s">
        <v>173</v>
      </c>
      <c r="B102" s="7" t="s">
        <v>11</v>
      </c>
      <c r="C102" s="8"/>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9" t="s">
        <v>174</v>
      </c>
      <c r="B103" s="7" t="s">
        <v>11</v>
      </c>
      <c r="C103" s="8"/>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9" t="s">
        <v>175</v>
      </c>
      <c r="B104" s="5" t="s">
        <v>176</v>
      </c>
      <c r="C104" s="8"/>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9" t="s">
        <v>177</v>
      </c>
      <c r="B105" s="5" t="s">
        <v>178</v>
      </c>
      <c r="C105" s="8"/>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9" t="s">
        <v>179</v>
      </c>
      <c r="B106" s="5" t="s">
        <v>180</v>
      </c>
      <c r="C106" s="8"/>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9" t="s">
        <v>181</v>
      </c>
      <c r="B107" s="7" t="s">
        <v>11</v>
      </c>
      <c r="C107" s="8"/>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9" t="s">
        <v>182</v>
      </c>
      <c r="B108" s="7" t="s">
        <v>11</v>
      </c>
      <c r="C108" s="8"/>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9" t="s">
        <v>183</v>
      </c>
      <c r="B109" s="7" t="s">
        <v>11</v>
      </c>
      <c r="C109" s="8"/>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9" t="s">
        <v>184</v>
      </c>
      <c r="B110" s="5" t="s">
        <v>185</v>
      </c>
      <c r="C110" s="8"/>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9" t="s">
        <v>186</v>
      </c>
      <c r="B111" s="5" t="s">
        <v>187</v>
      </c>
      <c r="C111" s="8"/>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9" t="s">
        <v>188</v>
      </c>
      <c r="B112" s="5" t="s">
        <v>189</v>
      </c>
      <c r="C112" s="8"/>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9" t="s">
        <v>190</v>
      </c>
      <c r="B113" s="5" t="s">
        <v>191</v>
      </c>
      <c r="C113" s="8"/>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9" t="s">
        <v>192</v>
      </c>
      <c r="B114" s="5" t="s">
        <v>193</v>
      </c>
      <c r="C114" s="8"/>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9" t="s">
        <v>194</v>
      </c>
      <c r="B115" s="5" t="s">
        <v>195</v>
      </c>
      <c r="C115" s="8"/>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9" t="s">
        <v>196</v>
      </c>
      <c r="B116" s="7" t="s">
        <v>11</v>
      </c>
      <c r="C116" s="8"/>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9" t="s">
        <v>197</v>
      </c>
      <c r="B117" s="5" t="s">
        <v>198</v>
      </c>
      <c r="C117" s="8"/>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9" t="s">
        <v>199</v>
      </c>
      <c r="B118" s="5" t="s">
        <v>200</v>
      </c>
      <c r="C118" s="8"/>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9" t="s">
        <v>201</v>
      </c>
      <c r="B119" s="5" t="s">
        <v>202</v>
      </c>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9" t="s">
        <v>203</v>
      </c>
      <c r="B120" s="5" t="s">
        <v>204</v>
      </c>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9" t="s">
        <v>205</v>
      </c>
      <c r="B121" s="5" t="s">
        <v>206</v>
      </c>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10"/>
      <c r="B122" s="7" t="s">
        <v>207</v>
      </c>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10"/>
      <c r="B123" s="7" t="s">
        <v>11</v>
      </c>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1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1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1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1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1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1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1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1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1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1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1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1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1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1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1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1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1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1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1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1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1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1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1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1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1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1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1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1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1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1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1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1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1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1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1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1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1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1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1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1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1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1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1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1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1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1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1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1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1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1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1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1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1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1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1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1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1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1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1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1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1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1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1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1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1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1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1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1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1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1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1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1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1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1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1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1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1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1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1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1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1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1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1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1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1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1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1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1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1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1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1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1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1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1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1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1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1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1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1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1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1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1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1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1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1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1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1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1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1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1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1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1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1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1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1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1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1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1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1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1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1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1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1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1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1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1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1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1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1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1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1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1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1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1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1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1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1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1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1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1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1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1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1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1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1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1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1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1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1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1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1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1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1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1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1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1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1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1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1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1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1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1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1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1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1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1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1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1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1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1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1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1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1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1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1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1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1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1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1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1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1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1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1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1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1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1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1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1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1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1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1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1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1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1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1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1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1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1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1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1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1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1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1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1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1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1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1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1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1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1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1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1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1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1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1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1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1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1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1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1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1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1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1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1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1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1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1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1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1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1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1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1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1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1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1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1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1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1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1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1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1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1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1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1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1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1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1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1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1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1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1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1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1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1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1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1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1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1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1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1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1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1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1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1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1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1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1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1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1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1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1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1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1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1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1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1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1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1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1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1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1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1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1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1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1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1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1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1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1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1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1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1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1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1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1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1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1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1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1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1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1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1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1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1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1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1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1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1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1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1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1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1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1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1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1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1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1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1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1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1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1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1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1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1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1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1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1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1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1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1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1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1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1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1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1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1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1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1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1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1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1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1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1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1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1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1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1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1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1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1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1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1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1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1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1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1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1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1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1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1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1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1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1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1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1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1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1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1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1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1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1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1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1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1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1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1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1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1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1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1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1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1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1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1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1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1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1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1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1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1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1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1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1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1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1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1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1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1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1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1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1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1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1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1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1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1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1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1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1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1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1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1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1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1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1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1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1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1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1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1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1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1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1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1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1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1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1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1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1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1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1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1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1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1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1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1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1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1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1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1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1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1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1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1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1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1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1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1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1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1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1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1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1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1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1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1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1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1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1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1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1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1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1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1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1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1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1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1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1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1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1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1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1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1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1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1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1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1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1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1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1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1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1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1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1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1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1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1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1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1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1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1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1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1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1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1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1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1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1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1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1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1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1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1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1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1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1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1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1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1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1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1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1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1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1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1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1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1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1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1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1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1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1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1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1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1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1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1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1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1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1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1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1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1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1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1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1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1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1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1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1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1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1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1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1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1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1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1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1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1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1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1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1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1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1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1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1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1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1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1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1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1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1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1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1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1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1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1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1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1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1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1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1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1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1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1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1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1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1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1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1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1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1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1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1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1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1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1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1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1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1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1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1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1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1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1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1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1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1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1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1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1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1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1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1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1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1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1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1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1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1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1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1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1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1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1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1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1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1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1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1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1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1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1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1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1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1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1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1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1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1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1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1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1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1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1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1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1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1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1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1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1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1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1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1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1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1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1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1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1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1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1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1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1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1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1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1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1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1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1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1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1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1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1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1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1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1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1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1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1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1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1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1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1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1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1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1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1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1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1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1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1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1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1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1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1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1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1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1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1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1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1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1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1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1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1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1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1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1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1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1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1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1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1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1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1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1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1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1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1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1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1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1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1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1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1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1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1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1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1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1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1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1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1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1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1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1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1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1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1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1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1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1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1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1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1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1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1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1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1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1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1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1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1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1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1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1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1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1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1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1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1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1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1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1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1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1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1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1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1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1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1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1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1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1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1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1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1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1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1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1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1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1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1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1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1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1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1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1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1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1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1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1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1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1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1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1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1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1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1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1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1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1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1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1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1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1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1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1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1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1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1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1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1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1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1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1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1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1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1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1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1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1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1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1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1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1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1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1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1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1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1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1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1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1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1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1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1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1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1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1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1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1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1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1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1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1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1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1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1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1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1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1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1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1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1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1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1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1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1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1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1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1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1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1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1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1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1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1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1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1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1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1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1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1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1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1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1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1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1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1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1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1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1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1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1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1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C2:C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0"/>
    <col customWidth="1" min="2" max="2" width="52.57"/>
    <col customWidth="1" min="3" max="3" width="4.29"/>
    <col customWidth="1" min="4" max="4" width="2.71"/>
    <col customWidth="1" min="5" max="5" width="3.43"/>
    <col customWidth="1" min="6" max="6" width="16.43"/>
    <col customWidth="1" min="7" max="7" width="46.14"/>
    <col customWidth="1" min="8" max="8" width="2.71"/>
    <col customWidth="1" min="9" max="9" width="3.29"/>
    <col customWidth="1" min="10" max="10" width="23.86"/>
    <col customWidth="1" min="11" max="11" width="52.86"/>
    <col customWidth="1" min="12" max="12" width="45.43"/>
    <col customWidth="1" min="13" max="13" width="41.71"/>
    <col customWidth="1" min="14" max="14" width="52.57"/>
    <col customWidth="1" min="15" max="15" width="34.14"/>
    <col customWidth="1" min="16" max="16" width="46.0"/>
    <col customWidth="1" min="17" max="17" width="29.0"/>
    <col customWidth="1" min="18" max="18" width="40.43"/>
    <col customWidth="1" min="19" max="19" width="48.71"/>
    <col customWidth="1" min="20" max="20" width="41.43"/>
    <col customWidth="1" min="21" max="21" width="29.57"/>
    <col customWidth="1" min="22" max="22" width="12.86"/>
    <col customWidth="1" min="23" max="23" width="40.29"/>
    <col customWidth="1" min="24" max="24" width="13.29"/>
  </cols>
  <sheetData>
    <row r="1">
      <c r="A1" s="12" t="s">
        <v>208</v>
      </c>
      <c r="B1" s="13" t="s">
        <v>209</v>
      </c>
      <c r="C1" s="14" t="s">
        <v>210</v>
      </c>
      <c r="D1" s="15"/>
      <c r="E1" s="15"/>
      <c r="F1" s="15"/>
      <c r="G1" s="16"/>
      <c r="H1" s="14" t="s">
        <v>205</v>
      </c>
      <c r="I1" s="15"/>
      <c r="J1" s="15"/>
      <c r="K1" s="16"/>
      <c r="L1" s="17" t="s">
        <v>211</v>
      </c>
      <c r="M1" s="14" t="s">
        <v>212</v>
      </c>
      <c r="N1" s="15"/>
      <c r="O1" s="15"/>
      <c r="P1" s="15"/>
      <c r="Q1" s="15"/>
      <c r="R1" s="15"/>
      <c r="S1" s="15"/>
      <c r="T1" s="15"/>
      <c r="U1" s="15"/>
      <c r="V1" s="15"/>
      <c r="W1" s="15"/>
      <c r="X1" s="15"/>
      <c r="Y1" s="16"/>
      <c r="Z1" s="18"/>
    </row>
    <row r="2">
      <c r="A2" s="19" t="str">
        <f t="shared" ref="A2:A401" si="1">C2&amp;"-"&amp;D2&amp;"-"&amp;E2&amp;"-"&amp;F2&amp;" '"&amp;G2&amp;"'"</f>
        <v>1-A-1-Iso-Echo-Alpha 'Workshop: Metalwork'</v>
      </c>
      <c r="B2" s="20"/>
      <c r="C2" s="21">
        <v>1.0</v>
      </c>
      <c r="D2" s="21" t="s">
        <v>213</v>
      </c>
      <c r="E2" s="21">
        <v>1.0</v>
      </c>
      <c r="F2" s="21" t="s">
        <v>214</v>
      </c>
      <c r="G2" s="22" t="s">
        <v>215</v>
      </c>
      <c r="H2" s="23" t="s">
        <v>213</v>
      </c>
      <c r="I2" s="23">
        <f>COUNTIF(D:D,"A")</f>
        <v>55</v>
      </c>
      <c r="J2" s="23" t="s">
        <v>216</v>
      </c>
      <c r="K2" s="23" t="s">
        <v>217</v>
      </c>
      <c r="L2" s="24" t="s">
        <v>218</v>
      </c>
      <c r="M2" s="25" t="s">
        <v>219</v>
      </c>
      <c r="N2" s="26" t="s">
        <v>220</v>
      </c>
      <c r="O2" s="26" t="s">
        <v>221</v>
      </c>
      <c r="P2" s="26" t="s">
        <v>222</v>
      </c>
      <c r="Q2" s="25" t="s">
        <v>223</v>
      </c>
      <c r="R2" s="25" t="s">
        <v>224</v>
      </c>
      <c r="S2" s="25" t="s">
        <v>225</v>
      </c>
      <c r="T2" s="25" t="s">
        <v>226</v>
      </c>
      <c r="U2" s="25" t="s">
        <v>227</v>
      </c>
      <c r="V2" s="25" t="s">
        <v>228</v>
      </c>
      <c r="W2" s="25" t="s">
        <v>229</v>
      </c>
      <c r="X2" s="25" t="s">
        <v>230</v>
      </c>
      <c r="Y2" s="25" t="s">
        <v>231</v>
      </c>
      <c r="Z2" s="18"/>
    </row>
    <row r="3">
      <c r="A3" s="19" t="str">
        <f t="shared" si="1"/>
        <v>2-A-2-Null-Beta 'Access Key'</v>
      </c>
      <c r="B3" s="27"/>
      <c r="C3" s="21">
        <v>2.0</v>
      </c>
      <c r="D3" s="21" t="s">
        <v>213</v>
      </c>
      <c r="E3" s="21">
        <v>2.0</v>
      </c>
      <c r="F3" s="21" t="s">
        <v>232</v>
      </c>
      <c r="G3" s="19" t="s">
        <v>233</v>
      </c>
      <c r="H3" s="23" t="s">
        <v>234</v>
      </c>
      <c r="I3" s="23">
        <f>COUNTIF(D:D,"B")</f>
        <v>48</v>
      </c>
      <c r="J3" s="28" t="s">
        <v>235</v>
      </c>
      <c r="K3" s="23" t="s">
        <v>236</v>
      </c>
      <c r="L3" s="29"/>
      <c r="M3" s="30" t="s">
        <v>237</v>
      </c>
      <c r="N3" s="30" t="s">
        <v>238</v>
      </c>
      <c r="O3" s="30" t="s">
        <v>239</v>
      </c>
      <c r="P3" s="30" t="s">
        <v>240</v>
      </c>
      <c r="Q3" s="30" t="s">
        <v>241</v>
      </c>
      <c r="R3" s="30" t="s">
        <v>242</v>
      </c>
      <c r="S3" s="30" t="s">
        <v>243</v>
      </c>
      <c r="T3" s="30" t="s">
        <v>244</v>
      </c>
      <c r="U3" s="30" t="s">
        <v>245</v>
      </c>
      <c r="V3" s="30" t="s">
        <v>246</v>
      </c>
      <c r="W3" s="30" t="s">
        <v>247</v>
      </c>
      <c r="X3" s="30" t="s">
        <v>248</v>
      </c>
      <c r="Y3" s="30" t="s">
        <v>247</v>
      </c>
      <c r="Z3" s="18"/>
    </row>
    <row r="4">
      <c r="A4" s="19" t="str">
        <f t="shared" si="1"/>
        <v>3-A-3-Null-Gamma 'Entrance Hall'</v>
      </c>
      <c r="B4" s="27"/>
      <c r="C4" s="21">
        <v>3.0</v>
      </c>
      <c r="D4" s="21" t="s">
        <v>213</v>
      </c>
      <c r="E4" s="21">
        <v>3.0</v>
      </c>
      <c r="F4" s="21" t="s">
        <v>249</v>
      </c>
      <c r="G4" s="19" t="s">
        <v>250</v>
      </c>
      <c r="H4" s="23" t="s">
        <v>251</v>
      </c>
      <c r="I4" s="23">
        <f>COUNTIF(D:D,"C")</f>
        <v>17</v>
      </c>
      <c r="J4" s="28" t="s">
        <v>252</v>
      </c>
      <c r="K4" s="23" t="s">
        <v>253</v>
      </c>
      <c r="L4" s="29"/>
      <c r="M4" s="30" t="s">
        <v>254</v>
      </c>
      <c r="N4" s="30" t="s">
        <v>255</v>
      </c>
      <c r="O4" s="30" t="s">
        <v>256</v>
      </c>
      <c r="P4" s="30" t="s">
        <v>257</v>
      </c>
      <c r="Q4" s="30" t="s">
        <v>258</v>
      </c>
      <c r="R4" s="30" t="s">
        <v>259</v>
      </c>
      <c r="S4" s="30" t="s">
        <v>260</v>
      </c>
      <c r="T4" s="30" t="s">
        <v>261</v>
      </c>
      <c r="U4" s="30" t="s">
        <v>262</v>
      </c>
      <c r="V4" s="30" t="s">
        <v>263</v>
      </c>
      <c r="W4" s="31"/>
      <c r="X4" s="30" t="s">
        <v>264</v>
      </c>
      <c r="Y4" s="32"/>
      <c r="Z4" s="18"/>
    </row>
    <row r="5">
      <c r="A5" s="19" t="str">
        <f t="shared" si="1"/>
        <v>4-F-1-Di 'Fashion'</v>
      </c>
      <c r="B5" s="19" t="s">
        <v>242</v>
      </c>
      <c r="C5" s="21">
        <v>4.0</v>
      </c>
      <c r="D5" s="21" t="s">
        <v>265</v>
      </c>
      <c r="E5" s="21">
        <v>1.0</v>
      </c>
      <c r="F5" s="21" t="s">
        <v>266</v>
      </c>
      <c r="G5" s="19" t="s">
        <v>267</v>
      </c>
      <c r="H5" s="23" t="s">
        <v>268</v>
      </c>
      <c r="I5" s="23">
        <f>COUNTIF(D:D,"D")</f>
        <v>10</v>
      </c>
      <c r="J5" s="28" t="s">
        <v>269</v>
      </c>
      <c r="K5" s="23" t="s">
        <v>270</v>
      </c>
      <c r="L5" s="29"/>
      <c r="M5" s="30" t="s">
        <v>271</v>
      </c>
      <c r="N5" s="30" t="s">
        <v>272</v>
      </c>
      <c r="O5" s="30" t="s">
        <v>273</v>
      </c>
      <c r="P5" s="30" t="s">
        <v>274</v>
      </c>
      <c r="Q5" s="30" t="s">
        <v>275</v>
      </c>
      <c r="R5" s="30" t="s">
        <v>276</v>
      </c>
      <c r="S5" s="30" t="s">
        <v>277</v>
      </c>
      <c r="T5" s="30" t="s">
        <v>278</v>
      </c>
      <c r="U5" s="30" t="s">
        <v>279</v>
      </c>
      <c r="V5" s="32"/>
      <c r="W5" s="31"/>
      <c r="X5" s="30" t="s">
        <v>280</v>
      </c>
      <c r="Y5" s="32"/>
      <c r="Z5" s="18"/>
    </row>
    <row r="6">
      <c r="A6" s="19" t="str">
        <f t="shared" si="1"/>
        <v>5-H-1-Iso 'Bling of War'</v>
      </c>
      <c r="B6" s="27"/>
      <c r="C6" s="21">
        <v>5.0</v>
      </c>
      <c r="D6" s="21" t="s">
        <v>281</v>
      </c>
      <c r="E6" s="21">
        <v>1.0</v>
      </c>
      <c r="F6" s="21" t="s">
        <v>282</v>
      </c>
      <c r="G6" s="19" t="s">
        <v>283</v>
      </c>
      <c r="H6" s="23" t="s">
        <v>284</v>
      </c>
      <c r="I6" s="23">
        <f>COUNTIF(D:D,"E")</f>
        <v>27</v>
      </c>
      <c r="J6" s="23" t="s">
        <v>285</v>
      </c>
      <c r="K6" s="23" t="s">
        <v>286</v>
      </c>
      <c r="L6" s="29"/>
      <c r="M6" s="30" t="s">
        <v>287</v>
      </c>
      <c r="N6" s="33"/>
      <c r="O6" s="30" t="s">
        <v>288</v>
      </c>
      <c r="P6" s="33"/>
      <c r="Q6" s="30" t="s">
        <v>289</v>
      </c>
      <c r="R6" s="31"/>
      <c r="S6" s="30" t="s">
        <v>290</v>
      </c>
      <c r="T6" s="30" t="s">
        <v>291</v>
      </c>
      <c r="U6" s="30" t="s">
        <v>292</v>
      </c>
      <c r="V6" s="32"/>
      <c r="W6" s="32"/>
      <c r="X6" s="32"/>
      <c r="Y6" s="32"/>
      <c r="Z6" s="18"/>
    </row>
    <row r="7">
      <c r="A7" s="19" t="str">
        <f t="shared" si="1"/>
        <v>6-L-1-Di 'Evermore Alchemist'</v>
      </c>
      <c r="B7" s="27"/>
      <c r="C7" s="21">
        <v>6.0</v>
      </c>
      <c r="D7" s="21" t="s">
        <v>293</v>
      </c>
      <c r="E7" s="21">
        <v>1.0</v>
      </c>
      <c r="F7" s="21" t="s">
        <v>266</v>
      </c>
      <c r="G7" s="19" t="s">
        <v>294</v>
      </c>
      <c r="H7" s="23" t="s">
        <v>265</v>
      </c>
      <c r="I7" s="23">
        <f>COUNTIF(D:D,"F")</f>
        <v>21</v>
      </c>
      <c r="J7" s="23" t="s">
        <v>295</v>
      </c>
      <c r="K7" s="23" t="s">
        <v>296</v>
      </c>
      <c r="L7" s="29"/>
      <c r="M7" s="30" t="s">
        <v>297</v>
      </c>
      <c r="N7" s="34"/>
      <c r="O7" s="34"/>
      <c r="P7" s="33"/>
      <c r="Q7" s="30" t="s">
        <v>298</v>
      </c>
      <c r="R7" s="31"/>
      <c r="S7" s="30" t="s">
        <v>299</v>
      </c>
      <c r="T7" s="30" t="s">
        <v>300</v>
      </c>
      <c r="U7" s="30" t="s">
        <v>301</v>
      </c>
      <c r="V7" s="32"/>
      <c r="W7" s="32"/>
      <c r="X7" s="32"/>
      <c r="Y7" s="32"/>
      <c r="Z7" s="18"/>
    </row>
    <row r="8">
      <c r="A8" s="19" t="str">
        <f t="shared" si="1"/>
        <v>7-C-1-Iso 'Black Thumb'</v>
      </c>
      <c r="B8" s="27"/>
      <c r="C8" s="21">
        <v>7.0</v>
      </c>
      <c r="D8" s="21" t="s">
        <v>251</v>
      </c>
      <c r="E8" s="21">
        <v>1.0</v>
      </c>
      <c r="F8" s="21" t="s">
        <v>282</v>
      </c>
      <c r="G8" s="19" t="s">
        <v>302</v>
      </c>
      <c r="H8" s="23" t="s">
        <v>303</v>
      </c>
      <c r="I8" s="23">
        <f>COUNTIF(D:D,"G")</f>
        <v>19</v>
      </c>
      <c r="J8" s="23" t="s">
        <v>304</v>
      </c>
      <c r="K8" s="23" t="s">
        <v>305</v>
      </c>
      <c r="L8" s="29"/>
      <c r="M8" s="30" t="s">
        <v>306</v>
      </c>
      <c r="N8" s="34"/>
      <c r="O8" s="34"/>
      <c r="P8" s="33"/>
      <c r="Q8" s="30" t="s">
        <v>307</v>
      </c>
      <c r="R8" s="32"/>
      <c r="S8" s="31"/>
      <c r="T8" s="30" t="s">
        <v>308</v>
      </c>
      <c r="U8" s="30" t="s">
        <v>309</v>
      </c>
      <c r="V8" s="32"/>
      <c r="W8" s="32"/>
      <c r="X8" s="32"/>
      <c r="Y8" s="32"/>
      <c r="Z8" s="18"/>
    </row>
    <row r="9">
      <c r="A9" s="19" t="str">
        <f t="shared" si="1"/>
        <v>8-D-1-Iso 'Scientist: Machinery'</v>
      </c>
      <c r="B9" s="27"/>
      <c r="C9" s="21">
        <v>8.0</v>
      </c>
      <c r="D9" s="21" t="s">
        <v>268</v>
      </c>
      <c r="E9" s="21">
        <v>1.0</v>
      </c>
      <c r="F9" s="21" t="s">
        <v>282</v>
      </c>
      <c r="G9" s="19" t="s">
        <v>310</v>
      </c>
      <c r="H9" s="23" t="s">
        <v>281</v>
      </c>
      <c r="I9" s="23">
        <f>COUNTIF(D:D,"H")</f>
        <v>52</v>
      </c>
      <c r="J9" s="23" t="s">
        <v>311</v>
      </c>
      <c r="K9" s="23" t="s">
        <v>312</v>
      </c>
      <c r="L9" s="29"/>
      <c r="M9" s="30" t="s">
        <v>313</v>
      </c>
      <c r="N9" s="34"/>
      <c r="O9" s="34"/>
      <c r="P9" s="33"/>
      <c r="Q9" s="30" t="s">
        <v>314</v>
      </c>
      <c r="R9" s="32"/>
      <c r="S9" s="31"/>
      <c r="T9" s="30" t="s">
        <v>315</v>
      </c>
      <c r="U9" s="32"/>
      <c r="V9" s="32"/>
      <c r="W9" s="32"/>
      <c r="X9" s="32"/>
      <c r="Y9" s="32"/>
      <c r="Z9" s="18"/>
    </row>
    <row r="10">
      <c r="A10" s="19" t="str">
        <f t="shared" si="1"/>
        <v>9-B-1-Iso 'Not A Stupid Grunt'</v>
      </c>
      <c r="B10" s="27"/>
      <c r="C10" s="21">
        <v>9.0</v>
      </c>
      <c r="D10" s="21" t="s">
        <v>234</v>
      </c>
      <c r="E10" s="21">
        <v>1.0</v>
      </c>
      <c r="F10" s="21" t="s">
        <v>282</v>
      </c>
      <c r="G10" s="19" t="s">
        <v>316</v>
      </c>
      <c r="H10" s="23" t="s">
        <v>317</v>
      </c>
      <c r="I10" s="23">
        <f>COUNTIF(D:D,"I")</f>
        <v>23</v>
      </c>
      <c r="J10" s="23" t="s">
        <v>318</v>
      </c>
      <c r="K10" s="23" t="s">
        <v>319</v>
      </c>
      <c r="L10" s="29"/>
      <c r="M10" s="30" t="s">
        <v>320</v>
      </c>
      <c r="N10" s="34"/>
      <c r="O10" s="34"/>
      <c r="P10" s="33"/>
      <c r="Q10" s="30" t="s">
        <v>321</v>
      </c>
      <c r="R10" s="32"/>
      <c r="S10" s="31"/>
      <c r="T10" s="30" t="s">
        <v>322</v>
      </c>
      <c r="U10" s="32"/>
      <c r="V10" s="32"/>
      <c r="W10" s="32"/>
      <c r="X10" s="32"/>
      <c r="Y10" s="32"/>
      <c r="Z10" s="18"/>
    </row>
    <row r="11">
      <c r="A11" s="19" t="str">
        <f t="shared" si="1"/>
        <v>10-A-4-Iso 'Laboratorium'</v>
      </c>
      <c r="B11" s="19" t="s">
        <v>237</v>
      </c>
      <c r="C11" s="21">
        <v>10.0</v>
      </c>
      <c r="D11" s="21" t="s">
        <v>213</v>
      </c>
      <c r="E11" s="21">
        <v>4.0</v>
      </c>
      <c r="F11" s="21" t="s">
        <v>282</v>
      </c>
      <c r="G11" s="19" t="s">
        <v>323</v>
      </c>
      <c r="H11" s="23" t="s">
        <v>324</v>
      </c>
      <c r="I11" s="23">
        <f>COUNTIF(D:D,"J")</f>
        <v>23</v>
      </c>
      <c r="J11" s="23" t="s">
        <v>325</v>
      </c>
      <c r="K11" s="23" t="s">
        <v>326</v>
      </c>
      <c r="L11" s="29"/>
      <c r="M11" s="30" t="s">
        <v>327</v>
      </c>
      <c r="N11" s="34"/>
      <c r="O11" s="34"/>
      <c r="P11" s="33"/>
      <c r="Q11" s="30" t="s">
        <v>328</v>
      </c>
      <c r="R11" s="32"/>
      <c r="S11" s="31"/>
      <c r="T11" s="30" t="s">
        <v>329</v>
      </c>
      <c r="U11" s="32"/>
      <c r="V11" s="32"/>
      <c r="W11" s="32"/>
      <c r="X11" s="32"/>
      <c r="Y11" s="32"/>
      <c r="Z11" s="18"/>
    </row>
    <row r="12">
      <c r="A12" s="19" t="str">
        <f t="shared" si="1"/>
        <v>11-B-2-Tri 'Grease Monkey'</v>
      </c>
      <c r="B12" s="19" t="s">
        <v>238</v>
      </c>
      <c r="C12" s="21">
        <v>11.0</v>
      </c>
      <c r="D12" s="21" t="s">
        <v>234</v>
      </c>
      <c r="E12" s="21">
        <v>2.0</v>
      </c>
      <c r="F12" s="21" t="s">
        <v>330</v>
      </c>
      <c r="G12" s="19" t="s">
        <v>331</v>
      </c>
      <c r="H12" s="23" t="s">
        <v>332</v>
      </c>
      <c r="I12" s="23">
        <f>COUNTIF(D:D,"K")</f>
        <v>7</v>
      </c>
      <c r="J12" s="23" t="s">
        <v>333</v>
      </c>
      <c r="K12" s="23" t="s">
        <v>334</v>
      </c>
      <c r="L12" s="29"/>
      <c r="M12" s="35"/>
      <c r="N12" s="34"/>
      <c r="O12" s="34"/>
      <c r="P12" s="33"/>
      <c r="Q12" s="30" t="s">
        <v>335</v>
      </c>
      <c r="R12" s="32"/>
      <c r="S12" s="31"/>
      <c r="T12" s="30" t="s">
        <v>336</v>
      </c>
      <c r="U12" s="32"/>
      <c r="V12" s="32"/>
      <c r="W12" s="32"/>
      <c r="X12" s="32"/>
      <c r="Y12" s="32"/>
      <c r="Z12" s="18"/>
    </row>
    <row r="13">
      <c r="A13" s="19" t="str">
        <f t="shared" si="1"/>
        <v>12-E-1-Di 'Smithing'</v>
      </c>
      <c r="B13" s="27"/>
      <c r="C13" s="21">
        <v>12.0</v>
      </c>
      <c r="D13" s="21" t="s">
        <v>284</v>
      </c>
      <c r="E13" s="21">
        <v>1.0</v>
      </c>
      <c r="F13" s="21" t="s">
        <v>266</v>
      </c>
      <c r="G13" s="19" t="s">
        <v>337</v>
      </c>
      <c r="H13" s="23" t="s">
        <v>293</v>
      </c>
      <c r="I13" s="23">
        <f>COUNTIF(D:D,"L")</f>
        <v>16</v>
      </c>
      <c r="J13" s="23" t="s">
        <v>338</v>
      </c>
      <c r="K13" s="23" t="s">
        <v>339</v>
      </c>
      <c r="L13" s="29"/>
      <c r="M13" s="35"/>
      <c r="N13" s="34"/>
      <c r="O13" s="34"/>
      <c r="P13" s="33"/>
      <c r="Q13" s="30" t="s">
        <v>340</v>
      </c>
      <c r="R13" s="32"/>
      <c r="S13" s="32"/>
      <c r="T13" s="32"/>
      <c r="U13" s="32"/>
      <c r="V13" s="32"/>
      <c r="W13" s="32"/>
      <c r="X13" s="32"/>
      <c r="Y13" s="32"/>
      <c r="Z13" s="18"/>
    </row>
    <row r="14">
      <c r="A14" s="19" t="str">
        <f t="shared" si="1"/>
        <v>13-C-2-Iso 'Aerospace Engineering Makes Things Go Fast'</v>
      </c>
      <c r="B14" s="27"/>
      <c r="C14" s="21">
        <v>13.0</v>
      </c>
      <c r="D14" s="21" t="s">
        <v>251</v>
      </c>
      <c r="E14" s="21">
        <v>2.0</v>
      </c>
      <c r="F14" s="21" t="s">
        <v>282</v>
      </c>
      <c r="G14" s="19" t="s">
        <v>341</v>
      </c>
      <c r="H14" s="23" t="s">
        <v>342</v>
      </c>
      <c r="I14" s="23">
        <f>COUNTIF(D:D,"M")</f>
        <v>7</v>
      </c>
      <c r="J14" s="23" t="s">
        <v>343</v>
      </c>
      <c r="K14" s="23" t="s">
        <v>344</v>
      </c>
      <c r="L14" s="29"/>
      <c r="M14" s="35"/>
      <c r="N14" s="34"/>
      <c r="O14" s="34"/>
      <c r="P14" s="34"/>
      <c r="Q14" s="32"/>
      <c r="R14" s="32"/>
      <c r="S14" s="32"/>
      <c r="T14" s="32"/>
      <c r="U14" s="32"/>
      <c r="V14" s="32"/>
      <c r="W14" s="32"/>
      <c r="X14" s="32"/>
      <c r="Y14" s="32"/>
      <c r="Z14" s="18"/>
    </row>
    <row r="15">
      <c r="A15" s="19" t="str">
        <f t="shared" si="1"/>
        <v>14-G-1-Di 'Enchanting'</v>
      </c>
      <c r="B15" s="27"/>
      <c r="C15" s="21">
        <v>14.0</v>
      </c>
      <c r="D15" s="21" t="s">
        <v>303</v>
      </c>
      <c r="E15" s="21">
        <v>1.0</v>
      </c>
      <c r="F15" s="21" t="s">
        <v>266</v>
      </c>
      <c r="G15" s="19" t="s">
        <v>345</v>
      </c>
      <c r="H15" s="23" t="s">
        <v>346</v>
      </c>
      <c r="I15" s="23">
        <f>COUNTIF(D:D,"N")</f>
        <v>28</v>
      </c>
      <c r="J15" s="23" t="s">
        <v>347</v>
      </c>
      <c r="K15" s="23" t="s">
        <v>348</v>
      </c>
      <c r="L15" s="29"/>
      <c r="M15" s="35"/>
      <c r="N15" s="34"/>
      <c r="O15" s="34"/>
      <c r="P15" s="34"/>
      <c r="Q15" s="32"/>
      <c r="R15" s="32"/>
      <c r="S15" s="32"/>
      <c r="T15" s="32"/>
      <c r="U15" s="32"/>
      <c r="V15" s="32"/>
      <c r="W15" s="32"/>
      <c r="X15" s="32"/>
      <c r="Y15" s="32"/>
      <c r="Z15" s="18"/>
    </row>
    <row r="16">
      <c r="A16" s="19" t="str">
        <f t="shared" si="1"/>
        <v>15-I-1-Iso 'Nanite Sciences'</v>
      </c>
      <c r="B16" s="27"/>
      <c r="C16" s="21">
        <v>15.0</v>
      </c>
      <c r="D16" s="21" t="s">
        <v>317</v>
      </c>
      <c r="E16" s="21">
        <v>1.0</v>
      </c>
      <c r="F16" s="21" t="s">
        <v>282</v>
      </c>
      <c r="G16" s="19" t="s">
        <v>349</v>
      </c>
      <c r="H16" s="36"/>
      <c r="I16" s="36"/>
      <c r="J16" s="37"/>
      <c r="K16" s="23" t="s">
        <v>350</v>
      </c>
      <c r="L16" s="29"/>
      <c r="M16" s="35"/>
      <c r="N16" s="34"/>
      <c r="O16" s="34"/>
      <c r="P16" s="34"/>
      <c r="Q16" s="32"/>
      <c r="R16" s="32"/>
      <c r="S16" s="32"/>
      <c r="T16" s="32"/>
      <c r="U16" s="32"/>
      <c r="V16" s="32"/>
      <c r="W16" s="32"/>
      <c r="X16" s="32"/>
      <c r="Y16" s="32"/>
      <c r="Z16" s="18"/>
    </row>
    <row r="17">
      <c r="A17" s="19" t="str">
        <f t="shared" si="1"/>
        <v>16-J-1-Tri 'Built to Last'</v>
      </c>
      <c r="B17" s="27"/>
      <c r="C17" s="21">
        <v>16.0</v>
      </c>
      <c r="D17" s="21" t="s">
        <v>324</v>
      </c>
      <c r="E17" s="21">
        <v>1.0</v>
      </c>
      <c r="F17" s="21" t="s">
        <v>330</v>
      </c>
      <c r="G17" s="19" t="s">
        <v>351</v>
      </c>
      <c r="H17" s="36"/>
      <c r="I17" s="36"/>
      <c r="J17" s="37"/>
      <c r="K17" s="23" t="s">
        <v>352</v>
      </c>
      <c r="L17" s="29"/>
      <c r="M17" s="35"/>
      <c r="N17" s="34"/>
      <c r="O17" s="34"/>
      <c r="P17" s="34"/>
      <c r="Q17" s="32"/>
      <c r="R17" s="32"/>
      <c r="S17" s="32"/>
      <c r="T17" s="32"/>
      <c r="U17" s="32"/>
      <c r="V17" s="32"/>
      <c r="W17" s="32"/>
      <c r="X17" s="32"/>
      <c r="Y17" s="32"/>
      <c r="Z17" s="18"/>
    </row>
    <row r="18">
      <c r="A18" s="19" t="str">
        <f t="shared" si="1"/>
        <v>17-H-2-Iso 'Decadence'</v>
      </c>
      <c r="B18" s="27"/>
      <c r="C18" s="21">
        <v>17.0</v>
      </c>
      <c r="D18" s="21" t="s">
        <v>281</v>
      </c>
      <c r="E18" s="21">
        <v>2.0</v>
      </c>
      <c r="F18" s="21" t="s">
        <v>282</v>
      </c>
      <c r="G18" s="19" t="s">
        <v>353</v>
      </c>
      <c r="H18" s="36"/>
      <c r="I18" s="36"/>
      <c r="J18" s="37"/>
      <c r="K18" s="23" t="s">
        <v>354</v>
      </c>
      <c r="L18" s="29"/>
      <c r="M18" s="35"/>
      <c r="N18" s="34"/>
      <c r="O18" s="34"/>
      <c r="P18" s="34"/>
      <c r="Q18" s="32"/>
      <c r="R18" s="32"/>
      <c r="S18" s="32"/>
      <c r="T18" s="32"/>
      <c r="U18" s="32"/>
      <c r="V18" s="32"/>
      <c r="W18" s="32"/>
      <c r="X18" s="32"/>
      <c r="Y18" s="32"/>
      <c r="Z18" s="18"/>
    </row>
    <row r="19">
      <c r="A19" s="19" t="str">
        <f t="shared" si="1"/>
        <v>18-D-2-Di 'Machinist'</v>
      </c>
      <c r="B19" s="27"/>
      <c r="C19" s="21">
        <v>18.0</v>
      </c>
      <c r="D19" s="21" t="s">
        <v>268</v>
      </c>
      <c r="E19" s="21">
        <v>2.0</v>
      </c>
      <c r="F19" s="21" t="s">
        <v>266</v>
      </c>
      <c r="G19" s="19" t="s">
        <v>355</v>
      </c>
      <c r="H19" s="36"/>
      <c r="I19" s="36"/>
      <c r="J19" s="37"/>
      <c r="K19" s="23" t="s">
        <v>356</v>
      </c>
      <c r="L19" s="29"/>
      <c r="M19" s="35"/>
      <c r="N19" s="34"/>
      <c r="O19" s="34"/>
      <c r="P19" s="34"/>
      <c r="Q19" s="32"/>
      <c r="R19" s="32"/>
      <c r="S19" s="32"/>
      <c r="T19" s="32"/>
      <c r="U19" s="32"/>
      <c r="V19" s="32"/>
      <c r="W19" s="32"/>
      <c r="X19" s="32"/>
      <c r="Y19" s="32"/>
      <c r="Z19" s="18"/>
    </row>
    <row r="20">
      <c r="A20" s="19" t="str">
        <f t="shared" si="1"/>
        <v>19-J-2-Iso 'Rationing'</v>
      </c>
      <c r="B20" s="27"/>
      <c r="C20" s="21">
        <v>19.0</v>
      </c>
      <c r="D20" s="21" t="s">
        <v>324</v>
      </c>
      <c r="E20" s="21">
        <v>2.0</v>
      </c>
      <c r="F20" s="21" t="s">
        <v>282</v>
      </c>
      <c r="G20" s="19" t="s">
        <v>357</v>
      </c>
      <c r="H20" s="36"/>
      <c r="I20" s="36"/>
      <c r="J20" s="37"/>
      <c r="K20" s="23" t="s">
        <v>358</v>
      </c>
      <c r="L20" s="29"/>
      <c r="M20" s="35"/>
      <c r="N20" s="34"/>
      <c r="O20" s="34"/>
      <c r="P20" s="34"/>
      <c r="Q20" s="32"/>
      <c r="R20" s="32"/>
      <c r="S20" s="32"/>
      <c r="T20" s="32"/>
      <c r="U20" s="32"/>
      <c r="V20" s="32"/>
      <c r="W20" s="32"/>
      <c r="X20" s="32"/>
      <c r="Y20" s="32"/>
      <c r="Z20" s="18"/>
    </row>
    <row r="21">
      <c r="A21" s="19" t="str">
        <f t="shared" si="1"/>
        <v>20-F-2-Quad 'Life Fiber Spool'</v>
      </c>
      <c r="B21" s="27"/>
      <c r="C21" s="21">
        <v>20.0</v>
      </c>
      <c r="D21" s="21" t="s">
        <v>265</v>
      </c>
      <c r="E21" s="21">
        <v>2.0</v>
      </c>
      <c r="F21" s="21" t="s">
        <v>359</v>
      </c>
      <c r="G21" s="19" t="s">
        <v>360</v>
      </c>
      <c r="H21" s="36"/>
      <c r="I21" s="36"/>
      <c r="J21" s="37"/>
      <c r="K21" s="38" t="s">
        <v>361</v>
      </c>
      <c r="L21" s="29"/>
      <c r="M21" s="35"/>
      <c r="N21" s="34"/>
      <c r="O21" s="34"/>
      <c r="P21" s="34"/>
      <c r="Q21" s="32"/>
      <c r="R21" s="32"/>
      <c r="S21" s="32"/>
      <c r="T21" s="32"/>
      <c r="U21" s="32"/>
      <c r="V21" s="32"/>
      <c r="W21" s="32"/>
      <c r="X21" s="32"/>
      <c r="Y21" s="32"/>
      <c r="Z21" s="18"/>
    </row>
    <row r="22">
      <c r="A22" s="19" t="str">
        <f t="shared" si="1"/>
        <v>21-F-3-Di 'Garment Gloves'</v>
      </c>
      <c r="B22" s="27"/>
      <c r="C22" s="21">
        <v>21.0</v>
      </c>
      <c r="D22" s="21" t="s">
        <v>265</v>
      </c>
      <c r="E22" s="21">
        <v>3.0</v>
      </c>
      <c r="F22" s="21" t="s">
        <v>266</v>
      </c>
      <c r="G22" s="19" t="s">
        <v>362</v>
      </c>
      <c r="H22" s="36"/>
      <c r="I22" s="36"/>
      <c r="J22" s="37"/>
      <c r="K22" s="29"/>
      <c r="L22" s="29"/>
      <c r="M22" s="35"/>
      <c r="N22" s="34"/>
      <c r="O22" s="34"/>
      <c r="P22" s="34"/>
      <c r="Q22" s="32"/>
      <c r="R22" s="32"/>
      <c r="S22" s="32"/>
      <c r="T22" s="32"/>
      <c r="U22" s="32"/>
      <c r="V22" s="32"/>
      <c r="W22" s="32"/>
      <c r="X22" s="32"/>
      <c r="Y22" s="32"/>
      <c r="Z22" s="18"/>
    </row>
    <row r="23">
      <c r="A23" s="19" t="str">
        <f t="shared" si="1"/>
        <v>22-L-2-Iso 'Kazooie Alchemy'</v>
      </c>
      <c r="B23" s="27"/>
      <c r="C23" s="21">
        <v>22.0</v>
      </c>
      <c r="D23" s="21" t="s">
        <v>293</v>
      </c>
      <c r="E23" s="21">
        <v>2.0</v>
      </c>
      <c r="F23" s="21" t="s">
        <v>282</v>
      </c>
      <c r="G23" s="19" t="s">
        <v>363</v>
      </c>
      <c r="H23" s="36"/>
      <c r="I23" s="36"/>
      <c r="J23" s="37"/>
      <c r="K23" s="29"/>
      <c r="L23" s="29"/>
      <c r="M23" s="35"/>
      <c r="N23" s="34"/>
      <c r="O23" s="34"/>
      <c r="P23" s="34"/>
      <c r="Q23" s="32"/>
      <c r="R23" s="32"/>
      <c r="S23" s="32"/>
      <c r="T23" s="32"/>
      <c r="U23" s="32"/>
      <c r="V23" s="32"/>
      <c r="W23" s="32"/>
      <c r="X23" s="32"/>
      <c r="Y23" s="32"/>
      <c r="Z23" s="18"/>
    </row>
    <row r="24">
      <c r="A24" s="19" t="str">
        <f t="shared" si="1"/>
        <v>23-K-1-Iso 'Mechanist'</v>
      </c>
      <c r="B24" s="27"/>
      <c r="C24" s="21">
        <v>23.0</v>
      </c>
      <c r="D24" s="21" t="s">
        <v>332</v>
      </c>
      <c r="E24" s="21">
        <v>1.0</v>
      </c>
      <c r="F24" s="21" t="s">
        <v>282</v>
      </c>
      <c r="G24" s="19" t="s">
        <v>364</v>
      </c>
      <c r="H24" s="36"/>
      <c r="I24" s="36"/>
      <c r="J24" s="37"/>
      <c r="K24" s="39"/>
      <c r="L24" s="29"/>
      <c r="M24" s="35"/>
      <c r="N24" s="34"/>
      <c r="O24" s="34"/>
      <c r="P24" s="34"/>
      <c r="Q24" s="32"/>
      <c r="R24" s="32"/>
      <c r="S24" s="32"/>
      <c r="T24" s="32"/>
      <c r="U24" s="32"/>
      <c r="V24" s="32"/>
      <c r="W24" s="32"/>
      <c r="X24" s="32"/>
      <c r="Y24" s="32"/>
      <c r="Z24" s="18"/>
    </row>
    <row r="25">
      <c r="A25" s="19" t="str">
        <f t="shared" si="1"/>
        <v>24-J-3-Iso 'Repair Savvy'</v>
      </c>
      <c r="B25" s="27"/>
      <c r="C25" s="21">
        <v>24.0</v>
      </c>
      <c r="D25" s="21" t="s">
        <v>324</v>
      </c>
      <c r="E25" s="21">
        <v>3.0</v>
      </c>
      <c r="F25" s="21" t="s">
        <v>282</v>
      </c>
      <c r="G25" s="19" t="s">
        <v>365</v>
      </c>
      <c r="H25" s="36"/>
      <c r="I25" s="36"/>
      <c r="J25" s="37"/>
      <c r="K25" s="37"/>
      <c r="L25" s="29"/>
      <c r="M25" s="35"/>
      <c r="N25" s="34"/>
      <c r="O25" s="34"/>
      <c r="P25" s="34"/>
      <c r="Q25" s="32"/>
      <c r="R25" s="32"/>
      <c r="S25" s="32"/>
      <c r="T25" s="32"/>
      <c r="U25" s="32"/>
      <c r="V25" s="32"/>
      <c r="W25" s="32"/>
      <c r="X25" s="32"/>
      <c r="Y25" s="32"/>
      <c r="Z25" s="18"/>
    </row>
    <row r="26">
      <c r="A26" s="19" t="str">
        <f t="shared" si="1"/>
        <v>25-H-3-Iso 'Stylish Mechanic'</v>
      </c>
      <c r="B26" s="27"/>
      <c r="C26" s="21">
        <v>25.0</v>
      </c>
      <c r="D26" s="21" t="s">
        <v>281</v>
      </c>
      <c r="E26" s="21">
        <v>3.0</v>
      </c>
      <c r="F26" s="21" t="s">
        <v>282</v>
      </c>
      <c r="G26" s="19" t="s">
        <v>366</v>
      </c>
      <c r="H26" s="36"/>
      <c r="I26" s="36"/>
      <c r="J26" s="37"/>
      <c r="K26" s="37"/>
      <c r="L26" s="29"/>
      <c r="M26" s="35"/>
      <c r="N26" s="34"/>
      <c r="O26" s="34"/>
      <c r="P26" s="34"/>
      <c r="Q26" s="32"/>
      <c r="R26" s="32"/>
      <c r="S26" s="32"/>
      <c r="T26" s="32"/>
      <c r="U26" s="32"/>
      <c r="V26" s="32"/>
      <c r="W26" s="32"/>
      <c r="X26" s="32"/>
      <c r="Y26" s="32"/>
      <c r="Z26" s="18"/>
    </row>
    <row r="27">
      <c r="A27" s="19" t="str">
        <f t="shared" si="1"/>
        <v>26-L-3-Tri 'Deranged Alchemist'</v>
      </c>
      <c r="B27" s="27"/>
      <c r="C27" s="21">
        <v>26.0</v>
      </c>
      <c r="D27" s="21" t="s">
        <v>293</v>
      </c>
      <c r="E27" s="21">
        <v>3.0</v>
      </c>
      <c r="F27" s="21" t="s">
        <v>330</v>
      </c>
      <c r="G27" s="19" t="s">
        <v>367</v>
      </c>
      <c r="H27" s="36"/>
      <c r="I27" s="36"/>
      <c r="J27" s="37"/>
      <c r="K27" s="37"/>
      <c r="L27" s="29"/>
      <c r="M27" s="35"/>
      <c r="N27" s="34"/>
      <c r="O27" s="34"/>
      <c r="P27" s="34"/>
      <c r="Q27" s="32"/>
      <c r="R27" s="32"/>
      <c r="S27" s="32"/>
      <c r="T27" s="32"/>
      <c r="U27" s="32"/>
      <c r="V27" s="32"/>
      <c r="W27" s="32"/>
      <c r="X27" s="32"/>
      <c r="Y27" s="32"/>
      <c r="Z27" s="18"/>
    </row>
    <row r="28">
      <c r="A28" s="19" t="str">
        <f t="shared" si="1"/>
        <v>27-I-2-Quad 'Master Builder'</v>
      </c>
      <c r="B28" s="19" t="s">
        <v>245</v>
      </c>
      <c r="C28" s="21">
        <v>27.0</v>
      </c>
      <c r="D28" s="21" t="s">
        <v>317</v>
      </c>
      <c r="E28" s="21">
        <v>2.0</v>
      </c>
      <c r="F28" s="21" t="s">
        <v>359</v>
      </c>
      <c r="G28" s="19" t="s">
        <v>368</v>
      </c>
      <c r="H28" s="36"/>
      <c r="I28" s="36"/>
      <c r="J28" s="37"/>
      <c r="K28" s="37"/>
      <c r="L28" s="29"/>
      <c r="M28" s="35"/>
      <c r="N28" s="34"/>
      <c r="O28" s="34"/>
      <c r="P28" s="34"/>
      <c r="Q28" s="32"/>
      <c r="R28" s="32"/>
      <c r="S28" s="32"/>
      <c r="T28" s="32"/>
      <c r="U28" s="32"/>
      <c r="V28" s="32"/>
      <c r="W28" s="32"/>
      <c r="X28" s="32"/>
      <c r="Y28" s="32"/>
      <c r="Z28" s="18"/>
    </row>
    <row r="29">
      <c r="A29" s="19" t="str">
        <f t="shared" si="1"/>
        <v>28-C-3-Iso 'Mechanic'</v>
      </c>
      <c r="B29" s="27"/>
      <c r="C29" s="21">
        <v>28.0</v>
      </c>
      <c r="D29" s="21" t="s">
        <v>251</v>
      </c>
      <c r="E29" s="21">
        <v>3.0</v>
      </c>
      <c r="F29" s="21" t="s">
        <v>282</v>
      </c>
      <c r="G29" s="19" t="s">
        <v>369</v>
      </c>
      <c r="H29" s="36"/>
      <c r="I29" s="36"/>
      <c r="J29" s="37"/>
      <c r="K29" s="37"/>
      <c r="L29" s="29"/>
      <c r="M29" s="35"/>
      <c r="N29" s="34"/>
      <c r="O29" s="34"/>
      <c r="P29" s="34"/>
      <c r="Q29" s="32"/>
      <c r="R29" s="32"/>
      <c r="S29" s="32"/>
      <c r="T29" s="32"/>
      <c r="U29" s="32"/>
      <c r="V29" s="32"/>
      <c r="W29" s="32"/>
      <c r="X29" s="32"/>
      <c r="Y29" s="32"/>
      <c r="Z29" s="18"/>
    </row>
    <row r="30">
      <c r="A30" s="19" t="str">
        <f t="shared" si="1"/>
        <v>29-I-3-Quad 'Nanite Removal and Control'</v>
      </c>
      <c r="B30" s="19" t="s">
        <v>262</v>
      </c>
      <c r="C30" s="21">
        <v>29.0</v>
      </c>
      <c r="D30" s="21" t="s">
        <v>317</v>
      </c>
      <c r="E30" s="21">
        <v>3.0</v>
      </c>
      <c r="F30" s="21" t="s">
        <v>359</v>
      </c>
      <c r="G30" s="19" t="s">
        <v>370</v>
      </c>
      <c r="H30" s="36"/>
      <c r="I30" s="36"/>
      <c r="J30" s="37"/>
      <c r="K30" s="37"/>
      <c r="L30" s="29"/>
      <c r="M30" s="35"/>
      <c r="N30" s="34"/>
      <c r="O30" s="34"/>
      <c r="P30" s="34"/>
      <c r="Q30" s="32"/>
      <c r="R30" s="32"/>
      <c r="S30" s="32"/>
      <c r="T30" s="32"/>
      <c r="U30" s="32"/>
      <c r="V30" s="32"/>
      <c r="W30" s="32"/>
      <c r="X30" s="32"/>
      <c r="Y30" s="32"/>
      <c r="Z30" s="18"/>
    </row>
    <row r="31">
      <c r="A31" s="19" t="str">
        <f t="shared" si="1"/>
        <v>30-I-4-Quad 'Hybridization Theory'</v>
      </c>
      <c r="B31" s="27"/>
      <c r="C31" s="21">
        <v>30.0</v>
      </c>
      <c r="D31" s="21" t="s">
        <v>317</v>
      </c>
      <c r="E31" s="21">
        <v>4.0</v>
      </c>
      <c r="F31" s="21" t="s">
        <v>359</v>
      </c>
      <c r="G31" s="19" t="s">
        <v>371</v>
      </c>
      <c r="H31" s="36"/>
      <c r="I31" s="36"/>
      <c r="J31" s="37"/>
      <c r="K31" s="37"/>
      <c r="L31" s="29"/>
      <c r="M31" s="35"/>
      <c r="N31" s="34"/>
      <c r="O31" s="34"/>
      <c r="P31" s="34"/>
      <c r="Q31" s="32"/>
      <c r="R31" s="32"/>
      <c r="S31" s="32"/>
      <c r="T31" s="32"/>
      <c r="U31" s="32"/>
      <c r="V31" s="32"/>
      <c r="W31" s="32"/>
      <c r="X31" s="32"/>
      <c r="Y31" s="32"/>
      <c r="Z31" s="18"/>
    </row>
    <row r="32">
      <c r="A32" s="19" t="str">
        <f t="shared" si="1"/>
        <v>31-C-4-Di 'Fingers of Silver'</v>
      </c>
      <c r="B32" s="27"/>
      <c r="C32" s="21">
        <v>31.0</v>
      </c>
      <c r="D32" s="21" t="s">
        <v>251</v>
      </c>
      <c r="E32" s="21">
        <v>4.0</v>
      </c>
      <c r="F32" s="21" t="s">
        <v>266</v>
      </c>
      <c r="G32" s="19" t="s">
        <v>372</v>
      </c>
      <c r="H32" s="36"/>
      <c r="I32" s="36"/>
      <c r="J32" s="37"/>
      <c r="K32" s="37"/>
      <c r="L32" s="39"/>
      <c r="M32" s="35"/>
      <c r="N32" s="34"/>
      <c r="O32" s="34"/>
      <c r="P32" s="34"/>
      <c r="Q32" s="32"/>
      <c r="R32" s="32"/>
      <c r="S32" s="32"/>
      <c r="T32" s="32"/>
      <c r="U32" s="32"/>
      <c r="V32" s="32"/>
      <c r="W32" s="32"/>
      <c r="X32" s="32"/>
      <c r="Y32" s="32"/>
      <c r="Z32" s="18"/>
    </row>
    <row r="33">
      <c r="A33" s="19" t="str">
        <f t="shared" si="1"/>
        <v>32-B-3-Iso-Echo 'Skills: Physics'</v>
      </c>
      <c r="B33" s="27"/>
      <c r="C33" s="21">
        <v>32.0</v>
      </c>
      <c r="D33" s="21" t="s">
        <v>234</v>
      </c>
      <c r="E33" s="21">
        <v>3.0</v>
      </c>
      <c r="F33" s="21" t="s">
        <v>373</v>
      </c>
      <c r="G33" s="19" t="s">
        <v>374</v>
      </c>
      <c r="H33" s="36"/>
      <c r="I33" s="36"/>
      <c r="J33" s="37"/>
      <c r="K33" s="37"/>
      <c r="L33" s="24" t="s">
        <v>375</v>
      </c>
      <c r="M33" s="35"/>
      <c r="N33" s="34"/>
      <c r="O33" s="34"/>
      <c r="P33" s="34"/>
      <c r="Q33" s="32"/>
      <c r="R33" s="32"/>
      <c r="S33" s="32"/>
      <c r="T33" s="32"/>
      <c r="U33" s="32"/>
      <c r="V33" s="32"/>
      <c r="W33" s="32"/>
      <c r="X33" s="32"/>
      <c r="Y33" s="32"/>
      <c r="Z33" s="18"/>
    </row>
    <row r="34">
      <c r="A34" s="19" t="str">
        <f t="shared" si="1"/>
        <v>33-I-5-Iso-Echo 'Science! Mechanics'</v>
      </c>
      <c r="B34" s="19" t="s">
        <v>279</v>
      </c>
      <c r="C34" s="21">
        <v>33.0</v>
      </c>
      <c r="D34" s="21" t="s">
        <v>317</v>
      </c>
      <c r="E34" s="21">
        <v>5.0</v>
      </c>
      <c r="F34" s="21" t="s">
        <v>373</v>
      </c>
      <c r="G34" s="19" t="s">
        <v>376</v>
      </c>
      <c r="H34" s="36"/>
      <c r="I34" s="36"/>
      <c r="J34" s="37"/>
      <c r="K34" s="37"/>
      <c r="L34" s="29"/>
      <c r="M34" s="35"/>
      <c r="N34" s="34"/>
      <c r="O34" s="34"/>
      <c r="P34" s="34"/>
      <c r="Q34" s="32"/>
      <c r="R34" s="32"/>
      <c r="S34" s="32"/>
      <c r="T34" s="32"/>
      <c r="U34" s="32"/>
      <c r="V34" s="32"/>
      <c r="W34" s="32"/>
      <c r="X34" s="32"/>
      <c r="Y34" s="32"/>
      <c r="Z34" s="18"/>
    </row>
    <row r="35">
      <c r="A35" s="19" t="str">
        <f t="shared" si="1"/>
        <v>34-I-6-Iso-Echo 'Science! Engineering'</v>
      </c>
      <c r="B35" s="19" t="s">
        <v>292</v>
      </c>
      <c r="C35" s="21">
        <v>34.0</v>
      </c>
      <c r="D35" s="21" t="s">
        <v>317</v>
      </c>
      <c r="E35" s="21">
        <v>6.0</v>
      </c>
      <c r="F35" s="21" t="s">
        <v>373</v>
      </c>
      <c r="G35" s="19" t="s">
        <v>377</v>
      </c>
      <c r="H35" s="36"/>
      <c r="I35" s="36"/>
      <c r="J35" s="37"/>
      <c r="K35" s="37"/>
      <c r="L35" s="39"/>
      <c r="M35" s="35"/>
      <c r="N35" s="34"/>
      <c r="O35" s="34"/>
      <c r="P35" s="34"/>
      <c r="Q35" s="32"/>
      <c r="R35" s="32"/>
      <c r="S35" s="32"/>
      <c r="T35" s="32"/>
      <c r="U35" s="32"/>
      <c r="V35" s="32"/>
      <c r="W35" s="32"/>
      <c r="X35" s="32"/>
      <c r="Y35" s="32"/>
      <c r="Z35" s="18"/>
    </row>
    <row r="36">
      <c r="A36" s="19" t="str">
        <f t="shared" si="1"/>
        <v>35-A-5-Demi 'Micromanipulators'</v>
      </c>
      <c r="B36" s="27"/>
      <c r="C36" s="21">
        <v>35.0</v>
      </c>
      <c r="D36" s="21" t="s">
        <v>213</v>
      </c>
      <c r="E36" s="21">
        <v>5.0</v>
      </c>
      <c r="F36" s="21" t="s">
        <v>378</v>
      </c>
      <c r="G36" s="19" t="s">
        <v>379</v>
      </c>
      <c r="H36" s="36"/>
      <c r="I36" s="36"/>
      <c r="J36" s="37"/>
      <c r="K36" s="37"/>
      <c r="L36" s="24" t="s">
        <v>380</v>
      </c>
      <c r="M36" s="35"/>
      <c r="N36" s="34"/>
      <c r="O36" s="34"/>
      <c r="P36" s="34"/>
      <c r="Q36" s="32"/>
      <c r="R36" s="32"/>
      <c r="S36" s="32"/>
      <c r="T36" s="32"/>
      <c r="U36" s="32"/>
      <c r="V36" s="32"/>
      <c r="W36" s="32"/>
      <c r="X36" s="32"/>
      <c r="Y36" s="32"/>
      <c r="Z36" s="18"/>
    </row>
    <row r="37">
      <c r="A37" s="19" t="str">
        <f t="shared" si="1"/>
        <v>36-A-6-Demi 'Diagnostic Tools'</v>
      </c>
      <c r="B37" s="27"/>
      <c r="C37" s="21">
        <v>36.0</v>
      </c>
      <c r="D37" s="21" t="s">
        <v>213</v>
      </c>
      <c r="E37" s="21">
        <v>6.0</v>
      </c>
      <c r="F37" s="21" t="s">
        <v>378</v>
      </c>
      <c r="G37" s="19" t="s">
        <v>381</v>
      </c>
      <c r="H37" s="36"/>
      <c r="I37" s="36"/>
      <c r="J37" s="37"/>
      <c r="K37" s="37"/>
      <c r="L37" s="29"/>
      <c r="M37" s="35"/>
      <c r="N37" s="34"/>
      <c r="O37" s="34"/>
      <c r="P37" s="34"/>
      <c r="Q37" s="32"/>
      <c r="R37" s="32"/>
      <c r="S37" s="32"/>
      <c r="T37" s="32"/>
      <c r="U37" s="32"/>
      <c r="V37" s="32"/>
      <c r="W37" s="32"/>
      <c r="X37" s="32"/>
      <c r="Y37" s="32"/>
      <c r="Z37" s="18"/>
    </row>
    <row r="38">
      <c r="A38" s="19" t="str">
        <f t="shared" si="1"/>
        <v>37-L-4-Di-Alpha 'Innate Talent: Alchemist'</v>
      </c>
      <c r="B38" s="19" t="s">
        <v>248</v>
      </c>
      <c r="C38" s="21">
        <v>37.0</v>
      </c>
      <c r="D38" s="21" t="s">
        <v>293</v>
      </c>
      <c r="E38" s="21">
        <v>4.0</v>
      </c>
      <c r="F38" s="21" t="s">
        <v>382</v>
      </c>
      <c r="G38" s="19" t="s">
        <v>383</v>
      </c>
      <c r="H38" s="36"/>
      <c r="I38" s="36"/>
      <c r="J38" s="36"/>
      <c r="K38" s="37"/>
      <c r="L38" s="29"/>
      <c r="M38" s="35"/>
      <c r="N38" s="34"/>
      <c r="O38" s="34"/>
      <c r="P38" s="34"/>
      <c r="Q38" s="32"/>
      <c r="R38" s="32"/>
      <c r="S38" s="32"/>
      <c r="T38" s="32"/>
      <c r="U38" s="32"/>
      <c r="V38" s="32"/>
      <c r="W38" s="32"/>
      <c r="X38" s="32"/>
      <c r="Y38" s="32"/>
      <c r="Z38" s="18"/>
    </row>
    <row r="39">
      <c r="A39" s="19" t="str">
        <f t="shared" si="1"/>
        <v>38-L-5-Null-Beta 'Alchemist's Laboratory'</v>
      </c>
      <c r="B39" s="19" t="s">
        <v>264</v>
      </c>
      <c r="C39" s="21">
        <v>38.0</v>
      </c>
      <c r="D39" s="21" t="s">
        <v>293</v>
      </c>
      <c r="E39" s="21">
        <v>5.0</v>
      </c>
      <c r="F39" s="21" t="s">
        <v>232</v>
      </c>
      <c r="G39" s="19" t="s">
        <v>384</v>
      </c>
      <c r="H39" s="36"/>
      <c r="I39" s="36"/>
      <c r="J39" s="36"/>
      <c r="K39" s="37"/>
      <c r="L39" s="29"/>
      <c r="M39" s="35"/>
      <c r="N39" s="34"/>
      <c r="O39" s="34"/>
      <c r="P39" s="34"/>
      <c r="Q39" s="32"/>
      <c r="R39" s="32"/>
      <c r="S39" s="32"/>
      <c r="T39" s="32"/>
      <c r="U39" s="32"/>
      <c r="V39" s="32"/>
      <c r="W39" s="32"/>
      <c r="X39" s="32"/>
      <c r="Y39" s="32"/>
      <c r="Z39" s="18"/>
    </row>
    <row r="40">
      <c r="A40" s="19" t="str">
        <f t="shared" si="1"/>
        <v>39-A-7-Null-Alpha 'Class Engineer'</v>
      </c>
      <c r="B40" s="19" t="s">
        <v>254</v>
      </c>
      <c r="C40" s="21">
        <v>39.0</v>
      </c>
      <c r="D40" s="21" t="s">
        <v>213</v>
      </c>
      <c r="E40" s="21">
        <v>7.0</v>
      </c>
      <c r="F40" s="21" t="s">
        <v>385</v>
      </c>
      <c r="G40" s="19" t="s">
        <v>386</v>
      </c>
      <c r="H40" s="36"/>
      <c r="I40" s="36"/>
      <c r="J40" s="36"/>
      <c r="K40" s="37"/>
      <c r="L40" s="29"/>
      <c r="M40" s="35"/>
      <c r="N40" s="34"/>
      <c r="O40" s="34"/>
      <c r="P40" s="34"/>
      <c r="Q40" s="32"/>
      <c r="R40" s="32"/>
      <c r="S40" s="32"/>
      <c r="T40" s="32"/>
      <c r="U40" s="32"/>
      <c r="V40" s="32"/>
      <c r="W40" s="32"/>
      <c r="X40" s="32"/>
      <c r="Y40" s="32"/>
      <c r="Z40" s="18"/>
    </row>
    <row r="41">
      <c r="A41" s="19" t="str">
        <f t="shared" si="1"/>
        <v>40-A-8-Iso-Beta 'Specialization: Mechanic'</v>
      </c>
      <c r="B41" s="19" t="s">
        <v>271</v>
      </c>
      <c r="C41" s="21">
        <v>40.0</v>
      </c>
      <c r="D41" s="21" t="s">
        <v>213</v>
      </c>
      <c r="E41" s="21">
        <v>8.0</v>
      </c>
      <c r="F41" s="21" t="s">
        <v>387</v>
      </c>
      <c r="G41" s="19" t="s">
        <v>388</v>
      </c>
      <c r="H41" s="36"/>
      <c r="I41" s="36"/>
      <c r="J41" s="36"/>
      <c r="K41" s="37"/>
      <c r="L41" s="29"/>
      <c r="M41" s="35"/>
      <c r="N41" s="34"/>
      <c r="O41" s="34"/>
      <c r="P41" s="34"/>
      <c r="Q41" s="32"/>
      <c r="R41" s="32"/>
      <c r="S41" s="32"/>
      <c r="T41" s="32"/>
      <c r="U41" s="32"/>
      <c r="V41" s="32"/>
      <c r="W41" s="32"/>
      <c r="X41" s="32"/>
      <c r="Y41" s="32"/>
      <c r="Z41" s="18"/>
    </row>
    <row r="42">
      <c r="A42" s="19" t="str">
        <f t="shared" si="1"/>
        <v>41-F-4-Quad 'The Flock's Fleece'</v>
      </c>
      <c r="B42" s="27"/>
      <c r="C42" s="21">
        <v>41.0</v>
      </c>
      <c r="D42" s="21" t="s">
        <v>265</v>
      </c>
      <c r="E42" s="21">
        <v>4.0</v>
      </c>
      <c r="F42" s="21" t="s">
        <v>359</v>
      </c>
      <c r="G42" s="19" t="s">
        <v>389</v>
      </c>
      <c r="H42" s="36"/>
      <c r="I42" s="36"/>
      <c r="J42" s="36"/>
      <c r="K42" s="37"/>
      <c r="L42" s="29"/>
      <c r="M42" s="35"/>
      <c r="N42" s="34"/>
      <c r="O42" s="34"/>
      <c r="P42" s="34"/>
      <c r="Q42" s="32"/>
      <c r="R42" s="32"/>
      <c r="S42" s="32"/>
      <c r="T42" s="32"/>
      <c r="U42" s="32"/>
      <c r="V42" s="32"/>
      <c r="W42" s="32"/>
      <c r="X42" s="32"/>
      <c r="Y42" s="32"/>
      <c r="Z42" s="18"/>
    </row>
    <row r="43">
      <c r="A43" s="19" t="str">
        <f t="shared" si="1"/>
        <v>42-H-4-Di 'Beauty in the Arts'</v>
      </c>
      <c r="B43" s="27"/>
      <c r="C43" s="21">
        <v>42.0</v>
      </c>
      <c r="D43" s="21" t="s">
        <v>281</v>
      </c>
      <c r="E43" s="21">
        <v>4.0</v>
      </c>
      <c r="F43" s="21" t="s">
        <v>266</v>
      </c>
      <c r="G43" s="19" t="s">
        <v>390</v>
      </c>
      <c r="H43" s="36"/>
      <c r="I43" s="36"/>
      <c r="J43" s="36"/>
      <c r="K43" s="37"/>
      <c r="L43" s="29"/>
      <c r="M43" s="35"/>
      <c r="N43" s="34"/>
      <c r="O43" s="34"/>
      <c r="P43" s="34"/>
      <c r="Q43" s="32"/>
      <c r="R43" s="32"/>
      <c r="S43" s="32"/>
      <c r="T43" s="32"/>
      <c r="U43" s="32"/>
      <c r="V43" s="32"/>
      <c r="W43" s="32"/>
      <c r="X43" s="32"/>
      <c r="Y43" s="32"/>
      <c r="Z43" s="18"/>
    </row>
    <row r="44">
      <c r="A44" s="19" t="str">
        <f t="shared" si="1"/>
        <v>43-E-2-Tri 'High-Frequency Manufacturer'</v>
      </c>
      <c r="B44" s="27"/>
      <c r="C44" s="21">
        <v>43.0</v>
      </c>
      <c r="D44" s="21" t="s">
        <v>284</v>
      </c>
      <c r="E44" s="21">
        <v>2.0</v>
      </c>
      <c r="F44" s="21" t="s">
        <v>330</v>
      </c>
      <c r="G44" s="19" t="s">
        <v>391</v>
      </c>
      <c r="H44" s="36"/>
      <c r="I44" s="36"/>
      <c r="J44" s="36"/>
      <c r="K44" s="37"/>
      <c r="L44" s="39"/>
      <c r="M44" s="35"/>
      <c r="N44" s="34"/>
      <c r="O44" s="34"/>
      <c r="P44" s="34"/>
      <c r="Q44" s="32"/>
      <c r="R44" s="32"/>
      <c r="S44" s="32"/>
      <c r="T44" s="32"/>
      <c r="U44" s="32"/>
      <c r="V44" s="32"/>
      <c r="W44" s="32"/>
      <c r="X44" s="32"/>
      <c r="Y44" s="32"/>
      <c r="Z44" s="18"/>
    </row>
    <row r="45">
      <c r="A45" s="19" t="str">
        <f t="shared" si="1"/>
        <v>44-L-6-Di 'Natural Alchemy'</v>
      </c>
      <c r="B45" s="27"/>
      <c r="C45" s="21">
        <v>44.0</v>
      </c>
      <c r="D45" s="21" t="s">
        <v>293</v>
      </c>
      <c r="E45" s="21">
        <v>6.0</v>
      </c>
      <c r="F45" s="21" t="s">
        <v>266</v>
      </c>
      <c r="G45" s="19" t="s">
        <v>392</v>
      </c>
      <c r="H45" s="36"/>
      <c r="I45" s="36"/>
      <c r="J45" s="36"/>
      <c r="K45" s="36"/>
      <c r="L45" s="32"/>
      <c r="M45" s="35"/>
      <c r="N45" s="34"/>
      <c r="O45" s="34"/>
      <c r="P45" s="34"/>
      <c r="Q45" s="32"/>
      <c r="R45" s="32"/>
      <c r="S45" s="32"/>
      <c r="T45" s="32"/>
      <c r="U45" s="32"/>
      <c r="V45" s="32"/>
      <c r="W45" s="32"/>
      <c r="X45" s="32"/>
      <c r="Y45" s="32"/>
      <c r="Z45" s="18"/>
    </row>
    <row r="46">
      <c r="A46" s="19" t="str">
        <f t="shared" si="1"/>
        <v>45-E-3-Iso 'Weapon Modifications'</v>
      </c>
      <c r="B46" s="19" t="s">
        <v>241</v>
      </c>
      <c r="C46" s="21">
        <v>45.0</v>
      </c>
      <c r="D46" s="21" t="s">
        <v>284</v>
      </c>
      <c r="E46" s="21">
        <v>3.0</v>
      </c>
      <c r="F46" s="21" t="s">
        <v>282</v>
      </c>
      <c r="G46" s="19" t="s">
        <v>393</v>
      </c>
      <c r="H46" s="36"/>
      <c r="I46" s="36"/>
      <c r="J46" s="36"/>
      <c r="K46" s="36"/>
      <c r="L46" s="32"/>
      <c r="M46" s="35"/>
      <c r="N46" s="34"/>
      <c r="O46" s="34"/>
      <c r="P46" s="34"/>
      <c r="Q46" s="32"/>
      <c r="R46" s="32"/>
      <c r="S46" s="32"/>
      <c r="T46" s="32"/>
      <c r="U46" s="32"/>
      <c r="V46" s="32"/>
      <c r="W46" s="32"/>
      <c r="X46" s="32"/>
      <c r="Y46" s="32"/>
      <c r="Z46" s="18"/>
    </row>
    <row r="47">
      <c r="A47" s="19" t="str">
        <f t="shared" si="1"/>
        <v>46-D-3-Tri 'Workaholic'</v>
      </c>
      <c r="B47" s="19" t="s">
        <v>240</v>
      </c>
      <c r="C47" s="21">
        <v>46.0</v>
      </c>
      <c r="D47" s="21" t="s">
        <v>268</v>
      </c>
      <c r="E47" s="21">
        <v>3.0</v>
      </c>
      <c r="F47" s="21" t="s">
        <v>330</v>
      </c>
      <c r="G47" s="19" t="s">
        <v>394</v>
      </c>
      <c r="H47" s="36"/>
      <c r="I47" s="36"/>
      <c r="J47" s="36"/>
      <c r="K47" s="36"/>
      <c r="L47" s="32"/>
      <c r="M47" s="35"/>
      <c r="N47" s="34"/>
      <c r="O47" s="34"/>
      <c r="P47" s="34"/>
      <c r="Q47" s="32"/>
      <c r="R47" s="32"/>
      <c r="S47" s="32"/>
      <c r="T47" s="32"/>
      <c r="U47" s="32"/>
      <c r="V47" s="32"/>
      <c r="W47" s="32"/>
      <c r="X47" s="32"/>
      <c r="Y47" s="32"/>
      <c r="Z47" s="18"/>
    </row>
    <row r="48">
      <c r="A48" s="19" t="str">
        <f t="shared" si="1"/>
        <v>47-J-4-Iso 'Element Analysis'</v>
      </c>
      <c r="B48" s="27"/>
      <c r="C48" s="21">
        <v>47.0</v>
      </c>
      <c r="D48" s="21" t="s">
        <v>324</v>
      </c>
      <c r="E48" s="21">
        <v>4.0</v>
      </c>
      <c r="F48" s="21" t="s">
        <v>282</v>
      </c>
      <c r="G48" s="19" t="s">
        <v>395</v>
      </c>
      <c r="H48" s="36"/>
      <c r="I48" s="36"/>
      <c r="J48" s="36"/>
      <c r="K48" s="36"/>
      <c r="L48" s="32"/>
      <c r="M48" s="35"/>
      <c r="N48" s="34"/>
      <c r="O48" s="34"/>
      <c r="P48" s="34"/>
      <c r="Q48" s="32"/>
      <c r="R48" s="32"/>
      <c r="S48" s="32"/>
      <c r="T48" s="32"/>
      <c r="U48" s="32"/>
      <c r="V48" s="32"/>
      <c r="W48" s="32"/>
      <c r="X48" s="32"/>
      <c r="Y48" s="32"/>
      <c r="Z48" s="18"/>
    </row>
    <row r="49">
      <c r="A49" s="19" t="str">
        <f t="shared" si="1"/>
        <v>48-H-5-Di-Echo 'Unnatural Skill: Smith'</v>
      </c>
      <c r="B49" s="27"/>
      <c r="C49" s="21">
        <v>48.0</v>
      </c>
      <c r="D49" s="21" t="s">
        <v>281</v>
      </c>
      <c r="E49" s="21">
        <v>5.0</v>
      </c>
      <c r="F49" s="21" t="s">
        <v>396</v>
      </c>
      <c r="G49" s="19" t="s">
        <v>397</v>
      </c>
      <c r="H49" s="36"/>
      <c r="I49" s="36"/>
      <c r="J49" s="36"/>
      <c r="K49" s="36"/>
      <c r="L49" s="32"/>
      <c r="M49" s="35"/>
      <c r="N49" s="34"/>
      <c r="O49" s="34"/>
      <c r="P49" s="34"/>
      <c r="Q49" s="32"/>
      <c r="R49" s="32"/>
      <c r="S49" s="32"/>
      <c r="T49" s="32"/>
      <c r="U49" s="32"/>
      <c r="V49" s="32"/>
      <c r="W49" s="32"/>
      <c r="X49" s="32"/>
      <c r="Y49" s="32"/>
      <c r="Z49" s="18"/>
    </row>
    <row r="50">
      <c r="A50" s="19" t="str">
        <f t="shared" si="1"/>
        <v>49-E-4-Tri 'Armourer'</v>
      </c>
      <c r="B50" s="27"/>
      <c r="C50" s="21">
        <v>49.0</v>
      </c>
      <c r="D50" s="21" t="s">
        <v>284</v>
      </c>
      <c r="E50" s="21">
        <v>4.0</v>
      </c>
      <c r="F50" s="21" t="s">
        <v>330</v>
      </c>
      <c r="G50" s="19" t="s">
        <v>398</v>
      </c>
      <c r="H50" s="36"/>
      <c r="I50" s="36"/>
      <c r="J50" s="36"/>
      <c r="K50" s="36"/>
      <c r="L50" s="32"/>
      <c r="M50" s="35"/>
      <c r="N50" s="34"/>
      <c r="O50" s="34"/>
      <c r="P50" s="34"/>
      <c r="Q50" s="32"/>
      <c r="R50" s="32"/>
      <c r="S50" s="32"/>
      <c r="T50" s="32"/>
      <c r="U50" s="32"/>
      <c r="V50" s="32"/>
      <c r="W50" s="32"/>
      <c r="X50" s="32"/>
      <c r="Y50" s="32"/>
      <c r="Z50" s="18"/>
    </row>
    <row r="51">
      <c r="A51" s="19" t="str">
        <f t="shared" si="1"/>
        <v>50-B-4-Iso 'Engineering'</v>
      </c>
      <c r="B51" s="27"/>
      <c r="C51" s="21">
        <v>50.0</v>
      </c>
      <c r="D51" s="21" t="s">
        <v>234</v>
      </c>
      <c r="E51" s="21">
        <v>4.0</v>
      </c>
      <c r="F51" s="21" t="s">
        <v>282</v>
      </c>
      <c r="G51" s="19" t="s">
        <v>399</v>
      </c>
      <c r="H51" s="36"/>
      <c r="I51" s="36"/>
      <c r="J51" s="36"/>
      <c r="K51" s="36"/>
      <c r="L51" s="32"/>
      <c r="M51" s="35"/>
      <c r="N51" s="34"/>
      <c r="O51" s="34"/>
      <c r="P51" s="34"/>
      <c r="Q51" s="32"/>
      <c r="R51" s="32"/>
      <c r="S51" s="32"/>
      <c r="T51" s="32"/>
      <c r="U51" s="32"/>
      <c r="V51" s="32"/>
      <c r="W51" s="32"/>
      <c r="X51" s="32"/>
      <c r="Y51" s="32"/>
      <c r="Z51" s="18"/>
    </row>
    <row r="52">
      <c r="A52" s="19" t="str">
        <f t="shared" si="1"/>
        <v>51-C-5-Tri 'Valuable Memories: the nature of memories'</v>
      </c>
      <c r="B52" s="27"/>
      <c r="C52" s="21">
        <v>51.0</v>
      </c>
      <c r="D52" s="21" t="s">
        <v>251</v>
      </c>
      <c r="E52" s="21">
        <v>5.0</v>
      </c>
      <c r="F52" s="21" t="s">
        <v>330</v>
      </c>
      <c r="G52" s="40" t="s">
        <v>400</v>
      </c>
      <c r="H52" s="36"/>
      <c r="I52" s="36"/>
      <c r="J52" s="36"/>
      <c r="K52" s="36"/>
      <c r="L52" s="32"/>
      <c r="M52" s="35"/>
      <c r="N52" s="34"/>
      <c r="O52" s="34"/>
      <c r="P52" s="34"/>
      <c r="Q52" s="32"/>
      <c r="R52" s="32"/>
      <c r="S52" s="32"/>
      <c r="T52" s="32"/>
      <c r="U52" s="32"/>
      <c r="V52" s="32"/>
      <c r="W52" s="32"/>
      <c r="X52" s="32"/>
      <c r="Y52" s="32"/>
      <c r="Z52" s="18"/>
    </row>
    <row r="53">
      <c r="A53" s="19" t="str">
        <f t="shared" si="1"/>
        <v>52-E-5-Di 'Fingers of the North Star'</v>
      </c>
      <c r="B53" s="27"/>
      <c r="C53" s="21">
        <v>52.0</v>
      </c>
      <c r="D53" s="21" t="s">
        <v>284</v>
      </c>
      <c r="E53" s="21">
        <v>5.0</v>
      </c>
      <c r="F53" s="21" t="s">
        <v>266</v>
      </c>
      <c r="G53" s="19" t="s">
        <v>401</v>
      </c>
      <c r="H53" s="36"/>
      <c r="I53" s="36"/>
      <c r="J53" s="36"/>
      <c r="K53" s="36"/>
      <c r="L53" s="32"/>
      <c r="M53" s="35"/>
      <c r="N53" s="34"/>
      <c r="O53" s="34"/>
      <c r="P53" s="34"/>
      <c r="Q53" s="32"/>
      <c r="R53" s="32"/>
      <c r="S53" s="32"/>
      <c r="T53" s="32"/>
      <c r="U53" s="32"/>
      <c r="V53" s="32"/>
      <c r="W53" s="32"/>
      <c r="X53" s="32"/>
      <c r="Y53" s="32"/>
      <c r="Z53" s="18"/>
    </row>
    <row r="54">
      <c r="A54" s="19" t="str">
        <f t="shared" si="1"/>
        <v>53-E-6-Tri 'Engineer'</v>
      </c>
      <c r="B54" s="27"/>
      <c r="C54" s="21">
        <v>53.0</v>
      </c>
      <c r="D54" s="21" t="s">
        <v>284</v>
      </c>
      <c r="E54" s="21">
        <v>6.0</v>
      </c>
      <c r="F54" s="21" t="s">
        <v>330</v>
      </c>
      <c r="G54" s="19" t="s">
        <v>402</v>
      </c>
      <c r="H54" s="36"/>
      <c r="I54" s="36"/>
      <c r="J54" s="36"/>
      <c r="K54" s="36"/>
      <c r="L54" s="32"/>
      <c r="M54" s="35"/>
      <c r="N54" s="34"/>
      <c r="O54" s="34"/>
      <c r="P54" s="34"/>
      <c r="Q54" s="32"/>
      <c r="R54" s="32"/>
      <c r="S54" s="32"/>
      <c r="T54" s="32"/>
      <c r="U54" s="32"/>
      <c r="V54" s="32"/>
      <c r="W54" s="32"/>
      <c r="X54" s="32"/>
      <c r="Y54" s="32"/>
      <c r="Z54" s="18"/>
    </row>
    <row r="55">
      <c r="A55" s="19" t="str">
        <f t="shared" si="1"/>
        <v>54-E-7-Tri 'Masterwork Craftsman'</v>
      </c>
      <c r="B55" s="19" t="s">
        <v>258</v>
      </c>
      <c r="C55" s="21">
        <v>54.0</v>
      </c>
      <c r="D55" s="21" t="s">
        <v>284</v>
      </c>
      <c r="E55" s="21">
        <v>7.0</v>
      </c>
      <c r="F55" s="21" t="s">
        <v>330</v>
      </c>
      <c r="G55" s="19" t="s">
        <v>403</v>
      </c>
      <c r="H55" s="36"/>
      <c r="I55" s="36"/>
      <c r="J55" s="36"/>
      <c r="K55" s="36"/>
      <c r="L55" s="32"/>
      <c r="M55" s="35"/>
      <c r="N55" s="34"/>
      <c r="O55" s="34"/>
      <c r="P55" s="34"/>
      <c r="Q55" s="32"/>
      <c r="R55" s="32"/>
      <c r="S55" s="32"/>
      <c r="T55" s="32"/>
      <c r="U55" s="32"/>
      <c r="V55" s="32"/>
      <c r="W55" s="32"/>
      <c r="X55" s="32"/>
      <c r="Y55" s="32"/>
      <c r="Z55" s="18"/>
    </row>
    <row r="56">
      <c r="A56" s="19" t="str">
        <f t="shared" si="1"/>
        <v>55-G-2-Di 'Maliwan Intern'</v>
      </c>
      <c r="B56" s="27"/>
      <c r="C56" s="21">
        <v>55.0</v>
      </c>
      <c r="D56" s="21" t="s">
        <v>303</v>
      </c>
      <c r="E56" s="21">
        <v>2.0</v>
      </c>
      <c r="F56" s="21" t="s">
        <v>266</v>
      </c>
      <c r="G56" s="19" t="s">
        <v>404</v>
      </c>
      <c r="H56" s="36"/>
      <c r="I56" s="36"/>
      <c r="J56" s="36"/>
      <c r="K56" s="36"/>
      <c r="L56" s="32"/>
      <c r="M56" s="35"/>
      <c r="N56" s="34"/>
      <c r="O56" s="34"/>
      <c r="P56" s="34"/>
      <c r="Q56" s="32"/>
      <c r="R56" s="32"/>
      <c r="S56" s="32"/>
      <c r="T56" s="32"/>
      <c r="U56" s="32"/>
      <c r="V56" s="32"/>
      <c r="W56" s="32"/>
      <c r="X56" s="32"/>
      <c r="Y56" s="32"/>
      <c r="Z56" s="18"/>
    </row>
    <row r="57">
      <c r="A57" s="19" t="str">
        <f t="shared" si="1"/>
        <v>56-A-9-Iso-Alpha 'Workshop'</v>
      </c>
      <c r="B57" s="27"/>
      <c r="C57" s="21">
        <v>56.0</v>
      </c>
      <c r="D57" s="21" t="s">
        <v>213</v>
      </c>
      <c r="E57" s="21">
        <v>9.0</v>
      </c>
      <c r="F57" s="21" t="s">
        <v>405</v>
      </c>
      <c r="G57" s="19" t="s">
        <v>406</v>
      </c>
      <c r="H57" s="36"/>
      <c r="I57" s="36"/>
      <c r="J57" s="36"/>
      <c r="K57" s="36"/>
      <c r="L57" s="32"/>
      <c r="M57" s="35"/>
      <c r="N57" s="34"/>
      <c r="O57" s="34"/>
      <c r="P57" s="34"/>
      <c r="Q57" s="32"/>
      <c r="R57" s="32"/>
      <c r="S57" s="32"/>
      <c r="T57" s="32"/>
      <c r="U57" s="32"/>
      <c r="V57" s="32"/>
      <c r="W57" s="32"/>
      <c r="X57" s="32"/>
      <c r="Y57" s="32"/>
      <c r="Z57" s="18"/>
    </row>
    <row r="58">
      <c r="A58" s="19" t="str">
        <f t="shared" si="1"/>
        <v>57-A-10-Null-Beta 'Apartment'</v>
      </c>
      <c r="B58" s="27"/>
      <c r="C58" s="21">
        <v>57.0</v>
      </c>
      <c r="D58" s="21" t="s">
        <v>213</v>
      </c>
      <c r="E58" s="21">
        <v>10.0</v>
      </c>
      <c r="F58" s="21" t="s">
        <v>232</v>
      </c>
      <c r="G58" s="19" t="s">
        <v>407</v>
      </c>
      <c r="H58" s="36"/>
      <c r="I58" s="36"/>
      <c r="J58" s="36"/>
      <c r="K58" s="36"/>
      <c r="L58" s="32"/>
      <c r="M58" s="35"/>
      <c r="N58" s="34"/>
      <c r="O58" s="34"/>
      <c r="P58" s="34"/>
      <c r="Q58" s="32"/>
      <c r="R58" s="32"/>
      <c r="S58" s="32"/>
      <c r="T58" s="32"/>
      <c r="U58" s="32"/>
      <c r="V58" s="32"/>
      <c r="W58" s="32"/>
      <c r="X58" s="32"/>
      <c r="Y58" s="32"/>
      <c r="Z58" s="18"/>
    </row>
    <row r="59">
      <c r="A59" s="19" t="str">
        <f t="shared" si="1"/>
        <v>58-A-11-Iso-Alpha 'Civilian Equipment Package'</v>
      </c>
      <c r="B59" s="27"/>
      <c r="C59" s="21">
        <v>58.0</v>
      </c>
      <c r="D59" s="21" t="s">
        <v>213</v>
      </c>
      <c r="E59" s="21">
        <v>11.0</v>
      </c>
      <c r="F59" s="21" t="s">
        <v>405</v>
      </c>
      <c r="G59" s="19" t="s">
        <v>408</v>
      </c>
      <c r="H59" s="36"/>
      <c r="I59" s="36"/>
      <c r="J59" s="36"/>
      <c r="K59" s="36"/>
      <c r="L59" s="32"/>
      <c r="M59" s="35"/>
      <c r="N59" s="34"/>
      <c r="O59" s="34"/>
      <c r="P59" s="34"/>
      <c r="Q59" s="32"/>
      <c r="R59" s="32"/>
      <c r="S59" s="32"/>
      <c r="T59" s="32"/>
      <c r="U59" s="32"/>
      <c r="V59" s="32"/>
      <c r="W59" s="32"/>
      <c r="X59" s="32"/>
      <c r="Y59" s="32"/>
      <c r="Z59" s="18"/>
    </row>
    <row r="60">
      <c r="A60" s="19" t="str">
        <f t="shared" si="1"/>
        <v>59-A-12-Null-Beta 'Heirloom Weapon'</v>
      </c>
      <c r="B60" s="27"/>
      <c r="C60" s="21">
        <v>59.0</v>
      </c>
      <c r="D60" s="21" t="s">
        <v>213</v>
      </c>
      <c r="E60" s="21">
        <v>12.0</v>
      </c>
      <c r="F60" s="21" t="s">
        <v>232</v>
      </c>
      <c r="G60" s="19" t="s">
        <v>409</v>
      </c>
      <c r="H60" s="36"/>
      <c r="I60" s="36"/>
      <c r="J60" s="36"/>
      <c r="K60" s="36"/>
      <c r="L60" s="32"/>
      <c r="M60" s="35"/>
      <c r="N60" s="34"/>
      <c r="O60" s="34"/>
      <c r="P60" s="34"/>
      <c r="Q60" s="32"/>
      <c r="R60" s="32"/>
      <c r="S60" s="32"/>
      <c r="T60" s="32"/>
      <c r="U60" s="32"/>
      <c r="V60" s="32"/>
      <c r="W60" s="32"/>
      <c r="X60" s="32"/>
      <c r="Y60" s="32"/>
      <c r="Z60" s="18"/>
    </row>
    <row r="61">
      <c r="A61" s="19" t="str">
        <f t="shared" si="1"/>
        <v>60-A-13-Di-Gamma 'Cyber-doctor Equipment Package'</v>
      </c>
      <c r="B61" s="27"/>
      <c r="C61" s="21">
        <v>60.0</v>
      </c>
      <c r="D61" s="21" t="s">
        <v>213</v>
      </c>
      <c r="E61" s="21">
        <v>13.0</v>
      </c>
      <c r="F61" s="21" t="s">
        <v>410</v>
      </c>
      <c r="G61" s="19" t="s">
        <v>411</v>
      </c>
      <c r="H61" s="36"/>
      <c r="I61" s="36"/>
      <c r="J61" s="36"/>
      <c r="K61" s="36"/>
      <c r="L61" s="32"/>
      <c r="M61" s="35"/>
      <c r="N61" s="34"/>
      <c r="O61" s="34"/>
      <c r="P61" s="34"/>
      <c r="Q61" s="32"/>
      <c r="R61" s="32"/>
      <c r="S61" s="32"/>
      <c r="T61" s="32"/>
      <c r="U61" s="32"/>
      <c r="V61" s="32"/>
      <c r="W61" s="32"/>
      <c r="X61" s="32"/>
      <c r="Y61" s="32"/>
      <c r="Z61" s="18"/>
    </row>
    <row r="62">
      <c r="A62" s="19" t="str">
        <f t="shared" si="1"/>
        <v>61-A-14-Null-Delta 'Medic Equipment Package'</v>
      </c>
      <c r="B62" s="27"/>
      <c r="C62" s="21">
        <v>61.0</v>
      </c>
      <c r="D62" s="21" t="s">
        <v>213</v>
      </c>
      <c r="E62" s="21">
        <v>14.0</v>
      </c>
      <c r="F62" s="21" t="s">
        <v>412</v>
      </c>
      <c r="G62" s="19" t="s">
        <v>413</v>
      </c>
      <c r="H62" s="36"/>
      <c r="I62" s="36"/>
      <c r="J62" s="36"/>
      <c r="K62" s="36"/>
      <c r="L62" s="32"/>
      <c r="M62" s="35"/>
      <c r="N62" s="34"/>
      <c r="O62" s="34"/>
      <c r="P62" s="34"/>
      <c r="Q62" s="32"/>
      <c r="R62" s="32"/>
      <c r="S62" s="32"/>
      <c r="T62" s="32"/>
      <c r="U62" s="32"/>
      <c r="V62" s="32"/>
      <c r="W62" s="32"/>
      <c r="X62" s="32"/>
      <c r="Y62" s="32"/>
      <c r="Z62" s="18"/>
    </row>
    <row r="63">
      <c r="A63" s="19" t="str">
        <f t="shared" si="1"/>
        <v>62-A-15-Null-Epsilon 'Rocket Hammer'</v>
      </c>
      <c r="B63" s="27"/>
      <c r="C63" s="21">
        <v>62.0</v>
      </c>
      <c r="D63" s="21" t="s">
        <v>213</v>
      </c>
      <c r="E63" s="21">
        <v>15.0</v>
      </c>
      <c r="F63" s="21" t="s">
        <v>414</v>
      </c>
      <c r="G63" s="19" t="s">
        <v>415</v>
      </c>
      <c r="H63" s="36"/>
      <c r="I63" s="36"/>
      <c r="J63" s="36"/>
      <c r="K63" s="36"/>
      <c r="L63" s="32"/>
      <c r="M63" s="35"/>
      <c r="N63" s="34"/>
      <c r="O63" s="34"/>
      <c r="P63" s="34"/>
      <c r="Q63" s="32"/>
      <c r="R63" s="32"/>
      <c r="S63" s="32"/>
      <c r="T63" s="32"/>
      <c r="U63" s="32"/>
      <c r="V63" s="32"/>
      <c r="W63" s="32"/>
      <c r="X63" s="32"/>
      <c r="Y63" s="32"/>
      <c r="Z63" s="18"/>
    </row>
    <row r="64">
      <c r="A64" s="19" t="str">
        <f t="shared" si="1"/>
        <v>63-A-16-Null-Zeta 'Single Style - T’ai Chi Chuan'</v>
      </c>
      <c r="B64" s="27"/>
      <c r="C64" s="21">
        <v>63.0</v>
      </c>
      <c r="D64" s="21" t="s">
        <v>213</v>
      </c>
      <c r="E64" s="21">
        <v>16.0</v>
      </c>
      <c r="F64" s="21" t="s">
        <v>416</v>
      </c>
      <c r="G64" s="19" t="s">
        <v>417</v>
      </c>
      <c r="H64" s="36"/>
      <c r="I64" s="36"/>
      <c r="J64" s="36"/>
      <c r="K64" s="36"/>
      <c r="L64" s="32"/>
      <c r="M64" s="35"/>
      <c r="N64" s="34"/>
      <c r="O64" s="34"/>
      <c r="P64" s="34"/>
      <c r="Q64" s="32"/>
      <c r="R64" s="32"/>
      <c r="S64" s="32"/>
      <c r="T64" s="32"/>
      <c r="U64" s="32"/>
      <c r="V64" s="32"/>
      <c r="W64" s="32"/>
      <c r="X64" s="32"/>
      <c r="Y64" s="32"/>
      <c r="Z64" s="18"/>
    </row>
    <row r="65">
      <c r="A65" s="19" t="str">
        <f t="shared" si="1"/>
        <v>64-H-6-Iso 'Tailor Made'</v>
      </c>
      <c r="B65" s="27"/>
      <c r="C65" s="21">
        <v>64.0</v>
      </c>
      <c r="D65" s="21" t="s">
        <v>281</v>
      </c>
      <c r="E65" s="21">
        <v>6.0</v>
      </c>
      <c r="F65" s="21" t="s">
        <v>282</v>
      </c>
      <c r="G65" s="19" t="s">
        <v>418</v>
      </c>
      <c r="H65" s="36"/>
      <c r="I65" s="36"/>
      <c r="J65" s="36"/>
      <c r="K65" s="36"/>
      <c r="L65" s="32"/>
      <c r="M65" s="35"/>
      <c r="N65" s="34"/>
      <c r="O65" s="34"/>
      <c r="P65" s="34"/>
      <c r="Q65" s="32"/>
      <c r="R65" s="32"/>
      <c r="S65" s="32"/>
      <c r="T65" s="32"/>
      <c r="U65" s="32"/>
      <c r="V65" s="32"/>
      <c r="W65" s="32"/>
      <c r="X65" s="32"/>
      <c r="Y65" s="32"/>
      <c r="Z65" s="18"/>
    </row>
    <row r="66">
      <c r="A66" s="19" t="str">
        <f t="shared" si="1"/>
        <v>65-D-4-Iso 'Don't Need A Team'</v>
      </c>
      <c r="B66" s="27"/>
      <c r="C66" s="21">
        <v>65.0</v>
      </c>
      <c r="D66" s="21" t="s">
        <v>268</v>
      </c>
      <c r="E66" s="21">
        <v>4.0</v>
      </c>
      <c r="F66" s="21" t="s">
        <v>282</v>
      </c>
      <c r="G66" s="19" t="s">
        <v>419</v>
      </c>
      <c r="H66" s="36"/>
      <c r="I66" s="36"/>
      <c r="J66" s="36"/>
      <c r="K66" s="36"/>
      <c r="L66" s="32"/>
      <c r="M66" s="35"/>
      <c r="N66" s="34"/>
      <c r="O66" s="34"/>
      <c r="P66" s="34"/>
      <c r="Q66" s="32"/>
      <c r="R66" s="32"/>
      <c r="S66" s="32"/>
      <c r="T66" s="32"/>
      <c r="U66" s="32"/>
      <c r="V66" s="32"/>
      <c r="W66" s="32"/>
      <c r="X66" s="32"/>
      <c r="Y66" s="32"/>
      <c r="Z66" s="18"/>
    </row>
    <row r="67">
      <c r="A67" s="19" t="str">
        <f t="shared" si="1"/>
        <v>66-D-5-Quad 'Most Holy Order of the Socket Wrench'</v>
      </c>
      <c r="B67" s="27"/>
      <c r="C67" s="21">
        <v>66.0</v>
      </c>
      <c r="D67" s="21" t="s">
        <v>268</v>
      </c>
      <c r="E67" s="21">
        <v>5.0</v>
      </c>
      <c r="F67" s="21" t="s">
        <v>359</v>
      </c>
      <c r="G67" s="19" t="s">
        <v>420</v>
      </c>
      <c r="H67" s="36"/>
      <c r="I67" s="36"/>
      <c r="J67" s="36"/>
      <c r="K67" s="36"/>
      <c r="L67" s="32"/>
      <c r="M67" s="35"/>
      <c r="N67" s="34"/>
      <c r="O67" s="34"/>
      <c r="P67" s="34"/>
      <c r="Q67" s="32"/>
      <c r="R67" s="32"/>
      <c r="S67" s="32"/>
      <c r="T67" s="32"/>
      <c r="U67" s="32"/>
      <c r="V67" s="32"/>
      <c r="W67" s="32"/>
      <c r="X67" s="32"/>
      <c r="Y67" s="32"/>
      <c r="Z67" s="18"/>
    </row>
    <row r="68">
      <c r="A68" s="19" t="str">
        <f t="shared" si="1"/>
        <v>67-I-7-Di 'They're Like Legoes, Right?'</v>
      </c>
      <c r="B68" s="27"/>
      <c r="C68" s="21">
        <v>67.0</v>
      </c>
      <c r="D68" s="21" t="s">
        <v>317</v>
      </c>
      <c r="E68" s="21">
        <v>7.0</v>
      </c>
      <c r="F68" s="21" t="s">
        <v>266</v>
      </c>
      <c r="G68" s="19" t="s">
        <v>421</v>
      </c>
      <c r="H68" s="36"/>
      <c r="I68" s="36"/>
      <c r="J68" s="36"/>
      <c r="K68" s="36"/>
      <c r="L68" s="32"/>
      <c r="M68" s="35"/>
      <c r="N68" s="34"/>
      <c r="O68" s="34"/>
      <c r="P68" s="34"/>
      <c r="Q68" s="32"/>
      <c r="R68" s="32"/>
      <c r="S68" s="32"/>
      <c r="T68" s="32"/>
      <c r="U68" s="32"/>
      <c r="V68" s="32"/>
      <c r="W68" s="32"/>
      <c r="X68" s="32"/>
      <c r="Y68" s="32"/>
      <c r="Z68" s="18"/>
    </row>
    <row r="69">
      <c r="A69" s="19" t="str">
        <f t="shared" si="1"/>
        <v>68-J-5-Di 'Reliable Invention'</v>
      </c>
      <c r="B69" s="27"/>
      <c r="C69" s="21">
        <v>68.0</v>
      </c>
      <c r="D69" s="21" t="s">
        <v>324</v>
      </c>
      <c r="E69" s="21">
        <v>5.0</v>
      </c>
      <c r="F69" s="21" t="s">
        <v>266</v>
      </c>
      <c r="G69" s="19" t="s">
        <v>422</v>
      </c>
      <c r="H69" s="36"/>
      <c r="I69" s="36"/>
      <c r="J69" s="36"/>
      <c r="K69" s="36"/>
      <c r="L69" s="32"/>
      <c r="M69" s="35"/>
      <c r="N69" s="34"/>
      <c r="O69" s="34"/>
      <c r="P69" s="34"/>
      <c r="Q69" s="32"/>
      <c r="R69" s="32"/>
      <c r="S69" s="32"/>
      <c r="T69" s="32"/>
      <c r="U69" s="32"/>
      <c r="V69" s="32"/>
      <c r="W69" s="32"/>
      <c r="X69" s="32"/>
      <c r="Y69" s="32"/>
      <c r="Z69" s="18"/>
    </row>
    <row r="70">
      <c r="A70" s="19" t="str">
        <f t="shared" si="1"/>
        <v>69-A-17-Di-Alpha 'Skyforge'</v>
      </c>
      <c r="B70" s="19" t="s">
        <v>287</v>
      </c>
      <c r="C70" s="21">
        <v>69.0</v>
      </c>
      <c r="D70" s="21" t="s">
        <v>213</v>
      </c>
      <c r="E70" s="21">
        <v>17.0</v>
      </c>
      <c r="F70" s="21" t="s">
        <v>382</v>
      </c>
      <c r="G70" s="19" t="s">
        <v>423</v>
      </c>
      <c r="H70" s="36"/>
      <c r="I70" s="36"/>
      <c r="J70" s="36"/>
      <c r="K70" s="36"/>
      <c r="L70" s="32"/>
      <c r="M70" s="35"/>
      <c r="N70" s="34"/>
      <c r="O70" s="34"/>
      <c r="P70" s="34"/>
      <c r="Q70" s="32"/>
      <c r="R70" s="32"/>
      <c r="S70" s="32"/>
      <c r="T70" s="32"/>
      <c r="U70" s="32"/>
      <c r="V70" s="32"/>
      <c r="W70" s="32"/>
      <c r="X70" s="32"/>
      <c r="Y70" s="32"/>
      <c r="Z70" s="18"/>
    </row>
    <row r="71">
      <c r="A71" s="19" t="str">
        <f t="shared" si="1"/>
        <v>70-A-18-Null-Beta 'Standing Stone: The Lover'</v>
      </c>
      <c r="B71" s="27"/>
      <c r="C71" s="21">
        <v>70.0</v>
      </c>
      <c r="D71" s="21" t="s">
        <v>213</v>
      </c>
      <c r="E71" s="21">
        <v>18.0</v>
      </c>
      <c r="F71" s="21" t="s">
        <v>232</v>
      </c>
      <c r="G71" s="19" t="s">
        <v>424</v>
      </c>
      <c r="H71" s="36"/>
      <c r="I71" s="36"/>
      <c r="J71" s="36"/>
      <c r="K71" s="36"/>
      <c r="L71" s="32"/>
      <c r="M71" s="35"/>
      <c r="N71" s="34"/>
      <c r="O71" s="34"/>
      <c r="P71" s="34"/>
      <c r="Q71" s="32"/>
      <c r="R71" s="32"/>
      <c r="S71" s="32"/>
      <c r="T71" s="32"/>
      <c r="U71" s="32"/>
      <c r="V71" s="32"/>
      <c r="W71" s="32"/>
      <c r="X71" s="32"/>
      <c r="Y71" s="32"/>
      <c r="Z71" s="18"/>
    </row>
    <row r="72">
      <c r="A72" s="19" t="str">
        <f t="shared" si="1"/>
        <v>71-L-7-Iso 'Simplified Formulae'</v>
      </c>
      <c r="B72" s="27"/>
      <c r="C72" s="21">
        <v>71.0</v>
      </c>
      <c r="D72" s="21" t="s">
        <v>293</v>
      </c>
      <c r="E72" s="21">
        <v>7.0</v>
      </c>
      <c r="F72" s="21" t="s">
        <v>282</v>
      </c>
      <c r="G72" s="19" t="s">
        <v>425</v>
      </c>
      <c r="H72" s="36"/>
      <c r="I72" s="36"/>
      <c r="J72" s="36"/>
      <c r="K72" s="36"/>
      <c r="L72" s="41"/>
      <c r="M72" s="35"/>
      <c r="N72" s="34"/>
      <c r="O72" s="34"/>
      <c r="P72" s="34"/>
      <c r="Q72" s="32"/>
      <c r="R72" s="32"/>
      <c r="S72" s="32"/>
      <c r="T72" s="32"/>
      <c r="U72" s="32"/>
      <c r="V72" s="32"/>
      <c r="W72" s="32"/>
      <c r="X72" s="32"/>
      <c r="Y72" s="32"/>
      <c r="Z72" s="18"/>
    </row>
    <row r="73">
      <c r="A73" s="19" t="str">
        <f t="shared" si="1"/>
        <v>72-A-19-Di-Alpha 'Hidden Hideaway / Laboratory'</v>
      </c>
      <c r="B73" s="27"/>
      <c r="C73" s="21">
        <v>72.0</v>
      </c>
      <c r="D73" s="21" t="s">
        <v>213</v>
      </c>
      <c r="E73" s="21">
        <v>19.0</v>
      </c>
      <c r="F73" s="21" t="s">
        <v>382</v>
      </c>
      <c r="G73" s="19" t="s">
        <v>426</v>
      </c>
      <c r="H73" s="36"/>
      <c r="I73" s="36"/>
      <c r="J73" s="36"/>
      <c r="K73" s="36"/>
      <c r="L73" s="41"/>
      <c r="M73" s="35"/>
      <c r="N73" s="34"/>
      <c r="O73" s="34"/>
      <c r="P73" s="34"/>
      <c r="Q73" s="32"/>
      <c r="R73" s="32"/>
      <c r="S73" s="32"/>
      <c r="T73" s="32"/>
      <c r="U73" s="32"/>
      <c r="V73" s="32"/>
      <c r="W73" s="32"/>
      <c r="X73" s="32"/>
      <c r="Y73" s="32"/>
      <c r="Z73" s="18"/>
    </row>
    <row r="74">
      <c r="A74" s="19" t="str">
        <f t="shared" si="1"/>
        <v>73-A-20-Null-Beta 'Ragnite Container'</v>
      </c>
      <c r="B74" s="19" t="s">
        <v>297</v>
      </c>
      <c r="C74" s="21">
        <v>73.0</v>
      </c>
      <c r="D74" s="21" t="s">
        <v>213</v>
      </c>
      <c r="E74" s="21">
        <v>20.0</v>
      </c>
      <c r="F74" s="21" t="s">
        <v>232</v>
      </c>
      <c r="G74" s="19" t="s">
        <v>427</v>
      </c>
      <c r="H74" s="36"/>
      <c r="I74" s="36"/>
      <c r="J74" s="36"/>
      <c r="K74" s="36"/>
      <c r="L74" s="41"/>
      <c r="M74" s="35"/>
      <c r="N74" s="34"/>
      <c r="O74" s="34"/>
      <c r="P74" s="34"/>
      <c r="Q74" s="32"/>
      <c r="R74" s="32"/>
      <c r="S74" s="32"/>
      <c r="T74" s="32"/>
      <c r="U74" s="32"/>
      <c r="V74" s="32"/>
      <c r="W74" s="32"/>
      <c r="X74" s="32"/>
      <c r="Y74" s="32"/>
      <c r="Z74" s="18"/>
    </row>
    <row r="75">
      <c r="A75" s="19" t="str">
        <f t="shared" si="1"/>
        <v>74-G-3-Di 'Advanced Materials'</v>
      </c>
      <c r="B75" s="27"/>
      <c r="C75" s="21">
        <v>74.0</v>
      </c>
      <c r="D75" s="21" t="s">
        <v>303</v>
      </c>
      <c r="E75" s="21">
        <v>3.0</v>
      </c>
      <c r="F75" s="21" t="s">
        <v>266</v>
      </c>
      <c r="G75" s="19" t="s">
        <v>428</v>
      </c>
      <c r="H75" s="36"/>
      <c r="I75" s="36"/>
      <c r="J75" s="36"/>
      <c r="K75" s="36"/>
      <c r="L75" s="41"/>
      <c r="M75" s="35"/>
      <c r="N75" s="34"/>
      <c r="O75" s="34"/>
      <c r="P75" s="34"/>
      <c r="Q75" s="32"/>
      <c r="R75" s="32"/>
      <c r="S75" s="32"/>
      <c r="T75" s="32"/>
      <c r="U75" s="32"/>
      <c r="V75" s="32"/>
      <c r="W75" s="32"/>
      <c r="X75" s="32"/>
      <c r="Y75" s="32"/>
      <c r="Z75" s="18"/>
    </row>
    <row r="76">
      <c r="A76" s="19" t="str">
        <f t="shared" si="1"/>
        <v>75-A-21-Iso-Alpha 'Garage'</v>
      </c>
      <c r="B76" s="27"/>
      <c r="C76" s="21">
        <v>75.0</v>
      </c>
      <c r="D76" s="21" t="s">
        <v>213</v>
      </c>
      <c r="E76" s="21">
        <v>21.0</v>
      </c>
      <c r="F76" s="21" t="s">
        <v>405</v>
      </c>
      <c r="G76" s="19" t="s">
        <v>429</v>
      </c>
      <c r="H76" s="36"/>
      <c r="I76" s="36"/>
      <c r="J76" s="36"/>
      <c r="K76" s="36"/>
      <c r="L76" s="41"/>
      <c r="M76" s="35"/>
      <c r="N76" s="34"/>
      <c r="O76" s="34"/>
      <c r="P76" s="34"/>
      <c r="Q76" s="32"/>
      <c r="R76" s="32"/>
      <c r="S76" s="32"/>
      <c r="T76" s="32"/>
      <c r="U76" s="32"/>
      <c r="V76" s="32"/>
      <c r="W76" s="32"/>
      <c r="X76" s="32"/>
      <c r="Y76" s="32"/>
      <c r="Z76" s="18"/>
    </row>
    <row r="77">
      <c r="A77" s="19" t="str">
        <f t="shared" si="1"/>
        <v>76-A-22-Null-Beta 'The Vehicle'</v>
      </c>
      <c r="B77" s="27"/>
      <c r="C77" s="21">
        <v>76.0</v>
      </c>
      <c r="D77" s="21" t="s">
        <v>213</v>
      </c>
      <c r="E77" s="21">
        <v>22.0</v>
      </c>
      <c r="F77" s="21" t="s">
        <v>232</v>
      </c>
      <c r="G77" s="19" t="s">
        <v>430</v>
      </c>
      <c r="H77" s="36"/>
      <c r="I77" s="36"/>
      <c r="J77" s="36"/>
      <c r="K77" s="36"/>
      <c r="L77" s="41"/>
      <c r="M77" s="35"/>
      <c r="N77" s="34"/>
      <c r="O77" s="34"/>
      <c r="P77" s="34"/>
      <c r="Q77" s="32"/>
      <c r="R77" s="32"/>
      <c r="S77" s="32"/>
      <c r="T77" s="32"/>
      <c r="U77" s="32"/>
      <c r="V77" s="32"/>
      <c r="W77" s="32"/>
      <c r="X77" s="32"/>
      <c r="Y77" s="32"/>
      <c r="Z77" s="18"/>
    </row>
    <row r="78">
      <c r="A78" s="19" t="str">
        <f t="shared" si="1"/>
        <v>77-B-5-Di 'Machines, They Just Speak To Me'</v>
      </c>
      <c r="B78" s="27"/>
      <c r="C78" s="21">
        <v>77.0</v>
      </c>
      <c r="D78" s="21" t="s">
        <v>234</v>
      </c>
      <c r="E78" s="21">
        <v>5.0</v>
      </c>
      <c r="F78" s="21" t="s">
        <v>266</v>
      </c>
      <c r="G78" s="19" t="s">
        <v>431</v>
      </c>
      <c r="H78" s="36"/>
      <c r="I78" s="36"/>
      <c r="J78" s="36"/>
      <c r="K78" s="36"/>
      <c r="L78" s="41"/>
      <c r="M78" s="35"/>
      <c r="N78" s="34"/>
      <c r="O78" s="34"/>
      <c r="P78" s="34"/>
      <c r="Q78" s="32"/>
      <c r="R78" s="32"/>
      <c r="S78" s="32"/>
      <c r="T78" s="32"/>
      <c r="U78" s="32"/>
      <c r="V78" s="32"/>
      <c r="W78" s="32"/>
      <c r="X78" s="32"/>
      <c r="Y78" s="32"/>
      <c r="Z78" s="18"/>
    </row>
    <row r="79">
      <c r="A79" s="19" t="str">
        <f t="shared" si="1"/>
        <v>78-D-6-Quad 'Savvy Sultan'</v>
      </c>
      <c r="B79" s="27"/>
      <c r="C79" s="21">
        <v>78.0</v>
      </c>
      <c r="D79" s="21" t="s">
        <v>268</v>
      </c>
      <c r="E79" s="21">
        <v>6.0</v>
      </c>
      <c r="F79" s="21" t="s">
        <v>359</v>
      </c>
      <c r="G79" s="19" t="s">
        <v>432</v>
      </c>
      <c r="H79" s="36"/>
      <c r="I79" s="36"/>
      <c r="J79" s="36"/>
      <c r="K79" s="36"/>
      <c r="L79" s="41"/>
      <c r="M79" s="35"/>
      <c r="N79" s="34"/>
      <c r="O79" s="34"/>
      <c r="P79" s="34"/>
      <c r="Q79" s="32"/>
      <c r="R79" s="32"/>
      <c r="S79" s="32"/>
      <c r="T79" s="32"/>
      <c r="U79" s="32"/>
      <c r="V79" s="32"/>
      <c r="W79" s="32"/>
      <c r="X79" s="32"/>
      <c r="Y79" s="32"/>
      <c r="Z79" s="18"/>
    </row>
    <row r="80">
      <c r="A80" s="19" t="str">
        <f t="shared" si="1"/>
        <v>79-I-8-Tri-Alpha 'Tinkerer'</v>
      </c>
      <c r="B80" s="27"/>
      <c r="C80" s="21">
        <v>79.0</v>
      </c>
      <c r="D80" s="21" t="s">
        <v>317</v>
      </c>
      <c r="E80" s="21">
        <v>8.0</v>
      </c>
      <c r="F80" s="21" t="s">
        <v>433</v>
      </c>
      <c r="G80" s="19" t="s">
        <v>434</v>
      </c>
      <c r="H80" s="36"/>
      <c r="I80" s="36"/>
      <c r="J80" s="36"/>
      <c r="K80" s="36"/>
      <c r="L80" s="41"/>
      <c r="M80" s="35"/>
      <c r="N80" s="34"/>
      <c r="O80" s="34"/>
      <c r="P80" s="34"/>
      <c r="Q80" s="32"/>
      <c r="R80" s="32"/>
      <c r="S80" s="32"/>
      <c r="T80" s="32"/>
      <c r="U80" s="32"/>
      <c r="V80" s="32"/>
      <c r="W80" s="32"/>
      <c r="X80" s="32"/>
      <c r="Y80" s="32"/>
      <c r="Z80" s="18"/>
    </row>
    <row r="81">
      <c r="A81" s="19" t="str">
        <f t="shared" si="1"/>
        <v>80-I-9-Null-Beta 'Aura'</v>
      </c>
      <c r="B81" s="19" t="s">
        <v>301</v>
      </c>
      <c r="C81" s="21">
        <v>80.0</v>
      </c>
      <c r="D81" s="21" t="s">
        <v>317</v>
      </c>
      <c r="E81" s="21">
        <v>9.0</v>
      </c>
      <c r="F81" s="21" t="s">
        <v>232</v>
      </c>
      <c r="G81" s="19" t="s">
        <v>435</v>
      </c>
      <c r="H81" s="36"/>
      <c r="I81" s="36"/>
      <c r="J81" s="36"/>
      <c r="K81" s="36"/>
      <c r="L81" s="41"/>
      <c r="M81" s="35"/>
      <c r="N81" s="34"/>
      <c r="O81" s="34"/>
      <c r="P81" s="34"/>
      <c r="Q81" s="32"/>
      <c r="R81" s="32"/>
      <c r="S81" s="32"/>
      <c r="T81" s="32"/>
      <c r="U81" s="32"/>
      <c r="V81" s="32"/>
      <c r="W81" s="32"/>
      <c r="X81" s="32"/>
      <c r="Y81" s="32"/>
      <c r="Z81" s="18"/>
    </row>
    <row r="82">
      <c r="A82" s="19" t="str">
        <f t="shared" si="1"/>
        <v>81-I-10-Null-Gamma 'Dust'</v>
      </c>
      <c r="B82" s="27"/>
      <c r="C82" s="21">
        <v>81.0</v>
      </c>
      <c r="D82" s="21" t="s">
        <v>317</v>
      </c>
      <c r="E82" s="21">
        <v>10.0</v>
      </c>
      <c r="F82" s="21" t="s">
        <v>249</v>
      </c>
      <c r="G82" s="19" t="s">
        <v>436</v>
      </c>
      <c r="H82" s="36"/>
      <c r="I82" s="36"/>
      <c r="J82" s="36"/>
      <c r="K82" s="36"/>
      <c r="L82" s="41"/>
      <c r="M82" s="35"/>
      <c r="N82" s="34"/>
      <c r="O82" s="34"/>
      <c r="P82" s="34"/>
      <c r="Q82" s="32"/>
      <c r="R82" s="32"/>
      <c r="S82" s="32"/>
      <c r="T82" s="32"/>
      <c r="U82" s="32"/>
      <c r="V82" s="32"/>
      <c r="W82" s="32"/>
      <c r="X82" s="32"/>
      <c r="Y82" s="32"/>
      <c r="Z82" s="18"/>
    </row>
    <row r="83">
      <c r="A83" s="19" t="str">
        <f t="shared" si="1"/>
        <v>82-I-11-Null-Delta 'Variable Weapon'</v>
      </c>
      <c r="B83" s="27"/>
      <c r="C83" s="21">
        <v>82.0</v>
      </c>
      <c r="D83" s="21" t="s">
        <v>317</v>
      </c>
      <c r="E83" s="21">
        <v>11.0</v>
      </c>
      <c r="F83" s="21" t="s">
        <v>412</v>
      </c>
      <c r="G83" s="19" t="s">
        <v>437</v>
      </c>
      <c r="H83" s="36"/>
      <c r="I83" s="36"/>
      <c r="J83" s="36"/>
      <c r="K83" s="36"/>
      <c r="L83" s="41"/>
      <c r="M83" s="35"/>
      <c r="N83" s="34"/>
      <c r="O83" s="34"/>
      <c r="P83" s="34"/>
      <c r="Q83" s="32"/>
      <c r="R83" s="32"/>
      <c r="S83" s="32"/>
      <c r="T83" s="32"/>
      <c r="U83" s="32"/>
      <c r="V83" s="32"/>
      <c r="W83" s="32"/>
      <c r="X83" s="32"/>
      <c r="Y83" s="32"/>
      <c r="Z83" s="18"/>
    </row>
    <row r="84">
      <c r="A84" s="19" t="str">
        <f t="shared" si="1"/>
        <v>83-I-12-Null-Epsilon 'Scroll'</v>
      </c>
      <c r="B84" s="27"/>
      <c r="C84" s="21">
        <v>83.0</v>
      </c>
      <c r="D84" s="21" t="s">
        <v>317</v>
      </c>
      <c r="E84" s="21">
        <v>12.0</v>
      </c>
      <c r="F84" s="21" t="s">
        <v>414</v>
      </c>
      <c r="G84" s="19" t="s">
        <v>438</v>
      </c>
      <c r="H84" s="36"/>
      <c r="I84" s="36"/>
      <c r="J84" s="36"/>
      <c r="K84" s="36"/>
      <c r="L84" s="41"/>
      <c r="M84" s="35"/>
      <c r="N84" s="34"/>
      <c r="O84" s="34"/>
      <c r="P84" s="34"/>
      <c r="Q84" s="32"/>
      <c r="R84" s="32"/>
      <c r="S84" s="32"/>
      <c r="T84" s="32"/>
      <c r="U84" s="32"/>
      <c r="V84" s="32"/>
      <c r="W84" s="32"/>
      <c r="X84" s="32"/>
      <c r="Y84" s="32"/>
      <c r="Z84" s="18"/>
    </row>
    <row r="85">
      <c r="A85" s="19" t="str">
        <f t="shared" si="1"/>
        <v>84-H-7-Tri 'Do One Thing At A Time'</v>
      </c>
      <c r="B85" s="19" t="s">
        <v>244</v>
      </c>
      <c r="C85" s="21">
        <v>84.0</v>
      </c>
      <c r="D85" s="21" t="s">
        <v>281</v>
      </c>
      <c r="E85" s="21">
        <v>7.0</v>
      </c>
      <c r="F85" s="21" t="s">
        <v>330</v>
      </c>
      <c r="G85" s="19" t="s">
        <v>439</v>
      </c>
      <c r="H85" s="36"/>
      <c r="I85" s="36"/>
      <c r="J85" s="36"/>
      <c r="K85" s="36"/>
      <c r="L85" s="41"/>
      <c r="M85" s="35"/>
      <c r="N85" s="34"/>
      <c r="O85" s="34"/>
      <c r="P85" s="34"/>
      <c r="Q85" s="32"/>
      <c r="R85" s="32"/>
      <c r="S85" s="32"/>
      <c r="T85" s="32"/>
      <c r="U85" s="32"/>
      <c r="V85" s="32"/>
      <c r="W85" s="32"/>
      <c r="X85" s="32"/>
      <c r="Y85" s="32"/>
      <c r="Z85" s="18"/>
    </row>
    <row r="86">
      <c r="A86" s="19" t="str">
        <f t="shared" si="1"/>
        <v>85-C-6-Tri 'Valuable Memories: the construction of Megadei'</v>
      </c>
      <c r="B86" s="27"/>
      <c r="C86" s="21">
        <v>85.0</v>
      </c>
      <c r="D86" s="21" t="s">
        <v>251</v>
      </c>
      <c r="E86" s="21">
        <v>6.0</v>
      </c>
      <c r="F86" s="21" t="s">
        <v>330</v>
      </c>
      <c r="G86" s="19" t="s">
        <v>440</v>
      </c>
      <c r="H86" s="36"/>
      <c r="I86" s="36"/>
      <c r="J86" s="36"/>
      <c r="K86" s="36"/>
      <c r="L86" s="41"/>
      <c r="M86" s="35"/>
      <c r="N86" s="34"/>
      <c r="O86" s="34"/>
      <c r="P86" s="34"/>
      <c r="Q86" s="32"/>
      <c r="R86" s="32"/>
      <c r="S86" s="32"/>
      <c r="T86" s="32"/>
      <c r="U86" s="32"/>
      <c r="V86" s="32"/>
      <c r="W86" s="32"/>
      <c r="X86" s="32"/>
      <c r="Y86" s="32"/>
      <c r="Z86" s="18"/>
    </row>
    <row r="87">
      <c r="A87" s="19" t="str">
        <f t="shared" si="1"/>
        <v>86-J-6-Iso 'Simple Scientific Solution'</v>
      </c>
      <c r="B87" s="27"/>
      <c r="C87" s="21">
        <v>86.0</v>
      </c>
      <c r="D87" s="21" t="s">
        <v>324</v>
      </c>
      <c r="E87" s="21">
        <v>6.0</v>
      </c>
      <c r="F87" s="21" t="s">
        <v>282</v>
      </c>
      <c r="G87" s="19" t="s">
        <v>441</v>
      </c>
      <c r="H87" s="36"/>
      <c r="I87" s="36"/>
      <c r="J87" s="36"/>
      <c r="K87" s="36"/>
      <c r="L87" s="41"/>
      <c r="M87" s="35"/>
      <c r="N87" s="34"/>
      <c r="O87" s="34"/>
      <c r="P87" s="34"/>
      <c r="Q87" s="32"/>
      <c r="R87" s="32"/>
      <c r="S87" s="32"/>
      <c r="T87" s="32"/>
      <c r="U87" s="32"/>
      <c r="V87" s="32"/>
      <c r="W87" s="32"/>
      <c r="X87" s="32"/>
      <c r="Y87" s="32"/>
      <c r="Z87" s="18"/>
    </row>
    <row r="88">
      <c r="A88" s="19" t="str">
        <f t="shared" si="1"/>
        <v>87-B-6-Di-Alpha 'Xenospecialist'</v>
      </c>
      <c r="B88" s="27"/>
      <c r="C88" s="21">
        <v>87.0</v>
      </c>
      <c r="D88" s="21" t="s">
        <v>234</v>
      </c>
      <c r="E88" s="21">
        <v>6.0</v>
      </c>
      <c r="F88" s="21" t="s">
        <v>382</v>
      </c>
      <c r="G88" s="19" t="s">
        <v>442</v>
      </c>
      <c r="H88" s="36"/>
      <c r="I88" s="36"/>
      <c r="J88" s="36"/>
      <c r="K88" s="36"/>
      <c r="L88" s="41"/>
      <c r="M88" s="35"/>
      <c r="N88" s="34"/>
      <c r="O88" s="34"/>
      <c r="P88" s="34"/>
      <c r="Q88" s="32"/>
      <c r="R88" s="32"/>
      <c r="S88" s="32"/>
      <c r="T88" s="32"/>
      <c r="U88" s="32"/>
      <c r="V88" s="32"/>
      <c r="W88" s="32"/>
      <c r="X88" s="32"/>
      <c r="Y88" s="32"/>
      <c r="Z88" s="18"/>
    </row>
    <row r="89">
      <c r="A89" s="19" t="str">
        <f t="shared" si="1"/>
        <v>88-B-7-Null-Beta 'COG Armor'</v>
      </c>
      <c r="B89" s="27"/>
      <c r="C89" s="21">
        <v>88.0</v>
      </c>
      <c r="D89" s="21" t="s">
        <v>234</v>
      </c>
      <c r="E89" s="21">
        <v>7.0</v>
      </c>
      <c r="F89" s="21" t="s">
        <v>232</v>
      </c>
      <c r="G89" s="19" t="s">
        <v>443</v>
      </c>
      <c r="H89" s="36"/>
      <c r="I89" s="36"/>
      <c r="J89" s="36"/>
      <c r="K89" s="36"/>
      <c r="L89" s="41"/>
      <c r="M89" s="35"/>
      <c r="N89" s="34"/>
      <c r="O89" s="34"/>
      <c r="P89" s="34"/>
      <c r="Q89" s="32"/>
      <c r="R89" s="32"/>
      <c r="S89" s="32"/>
      <c r="T89" s="32"/>
      <c r="U89" s="32"/>
      <c r="V89" s="32"/>
      <c r="W89" s="32"/>
      <c r="X89" s="32"/>
      <c r="Y89" s="32"/>
      <c r="Z89" s="18"/>
    </row>
    <row r="90">
      <c r="A90" s="19" t="str">
        <f t="shared" si="1"/>
        <v>89-B-8-Null-Gamma 'Combat Boots'</v>
      </c>
      <c r="B90" s="27"/>
      <c r="C90" s="21">
        <v>89.0</v>
      </c>
      <c r="D90" s="21" t="s">
        <v>234</v>
      </c>
      <c r="E90" s="21">
        <v>8.0</v>
      </c>
      <c r="F90" s="21" t="s">
        <v>249</v>
      </c>
      <c r="G90" s="19" t="s">
        <v>444</v>
      </c>
      <c r="H90" s="36"/>
      <c r="I90" s="36"/>
      <c r="J90" s="36"/>
      <c r="K90" s="36"/>
      <c r="L90" s="41"/>
      <c r="M90" s="35"/>
      <c r="N90" s="34"/>
      <c r="O90" s="34"/>
      <c r="P90" s="34"/>
      <c r="Q90" s="32"/>
      <c r="R90" s="32"/>
      <c r="S90" s="32"/>
      <c r="T90" s="32"/>
      <c r="U90" s="32"/>
      <c r="V90" s="32"/>
      <c r="W90" s="32"/>
      <c r="X90" s="32"/>
      <c r="Y90" s="32"/>
      <c r="Z90" s="18"/>
    </row>
    <row r="91">
      <c r="A91" s="19" t="str">
        <f t="shared" si="1"/>
        <v>90-B-9-Null-Delta 'MX8 Snub Pistol'</v>
      </c>
      <c r="B91" s="27"/>
      <c r="C91" s="21">
        <v>90.0</v>
      </c>
      <c r="D91" s="21" t="s">
        <v>234</v>
      </c>
      <c r="E91" s="21">
        <v>9.0</v>
      </c>
      <c r="F91" s="21" t="s">
        <v>412</v>
      </c>
      <c r="G91" s="19" t="s">
        <v>445</v>
      </c>
      <c r="H91" s="36"/>
      <c r="I91" s="36"/>
      <c r="J91" s="36"/>
      <c r="K91" s="36"/>
      <c r="L91" s="41"/>
      <c r="M91" s="35"/>
      <c r="N91" s="34"/>
      <c r="O91" s="34"/>
      <c r="P91" s="34"/>
      <c r="Q91" s="32"/>
      <c r="R91" s="32"/>
      <c r="S91" s="32"/>
      <c r="T91" s="32"/>
      <c r="U91" s="32"/>
      <c r="V91" s="32"/>
      <c r="W91" s="32"/>
      <c r="X91" s="32"/>
      <c r="Y91" s="32"/>
      <c r="Z91" s="18"/>
    </row>
    <row r="92">
      <c r="A92" s="19" t="str">
        <f t="shared" si="1"/>
        <v>91-B-10-Null-Epsilon 'COG Tags'</v>
      </c>
      <c r="B92" s="27"/>
      <c r="C92" s="21">
        <v>91.0</v>
      </c>
      <c r="D92" s="21" t="s">
        <v>234</v>
      </c>
      <c r="E92" s="21">
        <v>10.0</v>
      </c>
      <c r="F92" s="21" t="s">
        <v>414</v>
      </c>
      <c r="G92" s="19" t="s">
        <v>446</v>
      </c>
      <c r="H92" s="36"/>
      <c r="I92" s="36"/>
      <c r="J92" s="36"/>
      <c r="K92" s="36"/>
      <c r="L92" s="41"/>
      <c r="M92" s="35"/>
      <c r="N92" s="34"/>
      <c r="O92" s="34"/>
      <c r="P92" s="34"/>
      <c r="Q92" s="32"/>
      <c r="R92" s="32"/>
      <c r="S92" s="32"/>
      <c r="T92" s="32"/>
      <c r="U92" s="32"/>
      <c r="V92" s="32"/>
      <c r="W92" s="32"/>
      <c r="X92" s="32"/>
      <c r="Y92" s="32"/>
      <c r="Z92" s="18"/>
    </row>
    <row r="93">
      <c r="A93" s="19" t="str">
        <f t="shared" si="1"/>
        <v>92-B-11-Null-Zeta 'Personal Digital Assistant'</v>
      </c>
      <c r="B93" s="27"/>
      <c r="C93" s="21">
        <v>92.0</v>
      </c>
      <c r="D93" s="21" t="s">
        <v>234</v>
      </c>
      <c r="E93" s="21">
        <v>11.0</v>
      </c>
      <c r="F93" s="21" t="s">
        <v>416</v>
      </c>
      <c r="G93" s="19" t="s">
        <v>447</v>
      </c>
      <c r="H93" s="36"/>
      <c r="I93" s="36"/>
      <c r="J93" s="36"/>
      <c r="K93" s="36"/>
      <c r="L93" s="41"/>
      <c r="M93" s="35"/>
      <c r="N93" s="34"/>
      <c r="O93" s="34"/>
      <c r="P93" s="34"/>
      <c r="Q93" s="32"/>
      <c r="R93" s="32"/>
      <c r="S93" s="32"/>
      <c r="T93" s="32"/>
      <c r="U93" s="32"/>
      <c r="V93" s="32"/>
      <c r="W93" s="32"/>
      <c r="X93" s="32"/>
      <c r="Y93" s="32"/>
      <c r="Z93" s="18"/>
    </row>
    <row r="94">
      <c r="A94" s="19" t="str">
        <f t="shared" si="1"/>
        <v>93-B-12-Null-Eta 'Weapon Reload System'</v>
      </c>
      <c r="B94" s="27"/>
      <c r="C94" s="21">
        <v>93.0</v>
      </c>
      <c r="D94" s="21" t="s">
        <v>234</v>
      </c>
      <c r="E94" s="21">
        <v>12.0</v>
      </c>
      <c r="F94" s="21" t="s">
        <v>448</v>
      </c>
      <c r="G94" s="19" t="s">
        <v>449</v>
      </c>
      <c r="H94" s="36"/>
      <c r="I94" s="36"/>
      <c r="J94" s="36"/>
      <c r="K94" s="36"/>
      <c r="L94" s="41"/>
      <c r="M94" s="35"/>
      <c r="N94" s="34"/>
      <c r="O94" s="34"/>
      <c r="P94" s="34"/>
      <c r="Q94" s="32"/>
      <c r="R94" s="32"/>
      <c r="S94" s="32"/>
      <c r="T94" s="32"/>
      <c r="U94" s="32"/>
      <c r="V94" s="32"/>
      <c r="W94" s="32"/>
      <c r="X94" s="32"/>
      <c r="Y94" s="32"/>
      <c r="Z94" s="18"/>
    </row>
    <row r="95">
      <c r="A95" s="19" t="str">
        <f t="shared" si="1"/>
        <v>94-B-13-Null-Theta 'Imulsion'</v>
      </c>
      <c r="B95" s="27"/>
      <c r="C95" s="21">
        <v>94.0</v>
      </c>
      <c r="D95" s="21" t="s">
        <v>234</v>
      </c>
      <c r="E95" s="21">
        <v>13.0</v>
      </c>
      <c r="F95" s="21" t="s">
        <v>450</v>
      </c>
      <c r="G95" s="19" t="s">
        <v>451</v>
      </c>
      <c r="H95" s="36"/>
      <c r="I95" s="36"/>
      <c r="J95" s="36"/>
      <c r="K95" s="36"/>
      <c r="L95" s="41"/>
      <c r="M95" s="35"/>
      <c r="N95" s="34"/>
      <c r="O95" s="34"/>
      <c r="P95" s="34"/>
      <c r="Q95" s="32"/>
      <c r="R95" s="32"/>
      <c r="S95" s="32"/>
      <c r="T95" s="32"/>
      <c r="U95" s="32"/>
      <c r="V95" s="32"/>
      <c r="W95" s="32"/>
      <c r="X95" s="32"/>
      <c r="Y95" s="32"/>
      <c r="Z95" s="18"/>
    </row>
    <row r="96">
      <c r="A96" s="19" t="str">
        <f t="shared" si="1"/>
        <v>95-E-8-Iso 'Customized Weapons'</v>
      </c>
      <c r="B96" s="19" t="s">
        <v>275</v>
      </c>
      <c r="C96" s="21">
        <v>95.0</v>
      </c>
      <c r="D96" s="21" t="s">
        <v>284</v>
      </c>
      <c r="E96" s="21">
        <v>8.0</v>
      </c>
      <c r="F96" s="21" t="s">
        <v>282</v>
      </c>
      <c r="G96" s="19" t="s">
        <v>452</v>
      </c>
      <c r="H96" s="42"/>
      <c r="I96" s="42"/>
      <c r="J96" s="36"/>
      <c r="K96" s="36"/>
      <c r="L96" s="41"/>
      <c r="M96" s="35"/>
      <c r="N96" s="34"/>
      <c r="O96" s="34"/>
      <c r="P96" s="34"/>
      <c r="Q96" s="32"/>
      <c r="R96" s="32"/>
      <c r="S96" s="32"/>
      <c r="T96" s="32"/>
      <c r="U96" s="32"/>
      <c r="V96" s="32"/>
      <c r="W96" s="32"/>
      <c r="X96" s="32"/>
      <c r="Y96" s="32"/>
      <c r="Z96" s="18"/>
    </row>
    <row r="97">
      <c r="A97" s="19" t="str">
        <f t="shared" si="1"/>
        <v>96-I-13-Tri 'Gadget Master'</v>
      </c>
      <c r="B97" s="27"/>
      <c r="C97" s="21">
        <v>96.0</v>
      </c>
      <c r="D97" s="21" t="s">
        <v>317</v>
      </c>
      <c r="E97" s="21">
        <v>13.0</v>
      </c>
      <c r="F97" s="21" t="s">
        <v>330</v>
      </c>
      <c r="G97" s="19" t="s">
        <v>453</v>
      </c>
      <c r="H97" s="42"/>
      <c r="I97" s="42"/>
      <c r="J97" s="36"/>
      <c r="K97" s="36"/>
      <c r="L97" s="41"/>
      <c r="M97" s="35"/>
      <c r="N97" s="34"/>
      <c r="O97" s="34"/>
      <c r="P97" s="34"/>
      <c r="Q97" s="32"/>
      <c r="R97" s="32"/>
      <c r="S97" s="32"/>
      <c r="T97" s="32"/>
      <c r="U97" s="32"/>
      <c r="V97" s="32"/>
      <c r="W97" s="32"/>
      <c r="X97" s="32"/>
      <c r="Y97" s="32"/>
      <c r="Z97" s="18"/>
    </row>
    <row r="98">
      <c r="A98" s="19" t="str">
        <f t="shared" si="1"/>
        <v>97-E-9-Quad 'Dwarven Craft'</v>
      </c>
      <c r="B98" s="27"/>
      <c r="C98" s="21">
        <v>97.0</v>
      </c>
      <c r="D98" s="21" t="s">
        <v>284</v>
      </c>
      <c r="E98" s="21">
        <v>9.0</v>
      </c>
      <c r="F98" s="21" t="s">
        <v>359</v>
      </c>
      <c r="G98" s="19" t="s">
        <v>454</v>
      </c>
      <c r="H98" s="42"/>
      <c r="I98" s="42"/>
      <c r="J98" s="36"/>
      <c r="K98" s="36"/>
      <c r="L98" s="41"/>
      <c r="M98" s="35"/>
      <c r="N98" s="34"/>
      <c r="O98" s="34"/>
      <c r="P98" s="34"/>
      <c r="Q98" s="32"/>
      <c r="R98" s="32"/>
      <c r="S98" s="32"/>
      <c r="T98" s="32"/>
      <c r="U98" s="32"/>
      <c r="V98" s="32"/>
      <c r="W98" s="32"/>
      <c r="X98" s="32"/>
      <c r="Y98" s="32"/>
      <c r="Z98" s="18"/>
    </row>
    <row r="99">
      <c r="A99" s="19" t="str">
        <f t="shared" si="1"/>
        <v>98-B-14-Di-Alpha 'Space Command Engineer'</v>
      </c>
      <c r="B99" s="27"/>
      <c r="C99" s="21">
        <v>98.0</v>
      </c>
      <c r="D99" s="21" t="s">
        <v>234</v>
      </c>
      <c r="E99" s="21">
        <v>14.0</v>
      </c>
      <c r="F99" s="21" t="s">
        <v>382</v>
      </c>
      <c r="G99" s="19" t="s">
        <v>455</v>
      </c>
      <c r="H99" s="42"/>
      <c r="I99" s="42"/>
      <c r="J99" s="36"/>
      <c r="K99" s="36"/>
      <c r="L99" s="41"/>
      <c r="M99" s="35"/>
      <c r="N99" s="34"/>
      <c r="O99" s="34"/>
      <c r="P99" s="34"/>
      <c r="Q99" s="32"/>
      <c r="R99" s="32"/>
      <c r="S99" s="32"/>
      <c r="T99" s="32"/>
      <c r="U99" s="32"/>
      <c r="V99" s="32"/>
      <c r="W99" s="32"/>
      <c r="X99" s="32"/>
      <c r="Y99" s="32"/>
      <c r="Z99" s="18"/>
    </row>
    <row r="100">
      <c r="A100" s="19" t="str">
        <f t="shared" si="1"/>
        <v>99-B-15-Null-Beta 'Standard Neural Interface'</v>
      </c>
      <c r="B100" s="19" t="s">
        <v>255</v>
      </c>
      <c r="C100" s="21">
        <v>99.0</v>
      </c>
      <c r="D100" s="21" t="s">
        <v>234</v>
      </c>
      <c r="E100" s="21">
        <v>15.0</v>
      </c>
      <c r="F100" s="21" t="s">
        <v>232</v>
      </c>
      <c r="G100" s="19" t="s">
        <v>456</v>
      </c>
      <c r="H100" s="42"/>
      <c r="I100" s="42"/>
      <c r="J100" s="36"/>
      <c r="K100" s="36"/>
      <c r="L100" s="41"/>
      <c r="M100" s="35"/>
      <c r="N100" s="34"/>
      <c r="O100" s="34"/>
      <c r="P100" s="34"/>
      <c r="Q100" s="32"/>
      <c r="R100" s="32"/>
      <c r="S100" s="32"/>
      <c r="T100" s="32"/>
      <c r="U100" s="32"/>
      <c r="V100" s="32"/>
      <c r="W100" s="32"/>
      <c r="X100" s="32"/>
      <c r="Y100" s="32"/>
      <c r="Z100" s="18"/>
    </row>
    <row r="101">
      <c r="A101" s="19" t="str">
        <f t="shared" si="1"/>
        <v>100-B-16-Null-Gamma 'M274 Mongoose'</v>
      </c>
      <c r="B101" s="27"/>
      <c r="C101" s="21">
        <v>100.0</v>
      </c>
      <c r="D101" s="21" t="s">
        <v>234</v>
      </c>
      <c r="E101" s="21">
        <v>16.0</v>
      </c>
      <c r="F101" s="21" t="s">
        <v>249</v>
      </c>
      <c r="G101" s="19" t="s">
        <v>457</v>
      </c>
      <c r="H101" s="42"/>
      <c r="I101" s="42"/>
      <c r="J101" s="36"/>
      <c r="K101" s="36"/>
      <c r="L101" s="41"/>
      <c r="M101" s="35"/>
      <c r="N101" s="34"/>
      <c r="O101" s="34"/>
      <c r="P101" s="34"/>
      <c r="Q101" s="32"/>
      <c r="R101" s="32"/>
      <c r="S101" s="32"/>
      <c r="T101" s="32"/>
      <c r="U101" s="32"/>
      <c r="V101" s="32"/>
      <c r="W101" s="32"/>
      <c r="X101" s="32"/>
      <c r="Y101" s="32"/>
      <c r="Z101" s="18"/>
    </row>
    <row r="102">
      <c r="A102" s="19" t="str">
        <f t="shared" si="1"/>
        <v>101-B-17-Null-Delta 'M6C Magnum'</v>
      </c>
      <c r="B102" s="27"/>
      <c r="C102" s="21">
        <v>101.0</v>
      </c>
      <c r="D102" s="21" t="s">
        <v>234</v>
      </c>
      <c r="E102" s="21">
        <v>17.0</v>
      </c>
      <c r="F102" s="21" t="s">
        <v>412</v>
      </c>
      <c r="G102" s="19" t="s">
        <v>458</v>
      </c>
      <c r="H102" s="42"/>
      <c r="I102" s="42"/>
      <c r="J102" s="36"/>
      <c r="K102" s="36"/>
      <c r="L102" s="41"/>
      <c r="M102" s="35"/>
      <c r="N102" s="34"/>
      <c r="O102" s="34"/>
      <c r="P102" s="34"/>
      <c r="Q102" s="32"/>
      <c r="R102" s="32"/>
      <c r="S102" s="32"/>
      <c r="T102" s="32"/>
      <c r="U102" s="32"/>
      <c r="V102" s="32"/>
      <c r="W102" s="32"/>
      <c r="X102" s="32"/>
      <c r="Y102" s="32"/>
      <c r="Z102" s="18"/>
    </row>
    <row r="103">
      <c r="A103" s="19" t="str">
        <f t="shared" si="1"/>
        <v>102-B-18-Null-Epsilon 'M9 Fragmentation Grenade'</v>
      </c>
      <c r="B103" s="27"/>
      <c r="C103" s="21">
        <v>102.0</v>
      </c>
      <c r="D103" s="21" t="s">
        <v>234</v>
      </c>
      <c r="E103" s="21">
        <v>18.0</v>
      </c>
      <c r="F103" s="21" t="s">
        <v>414</v>
      </c>
      <c r="G103" s="19" t="s">
        <v>459</v>
      </c>
      <c r="H103" s="42"/>
      <c r="I103" s="42"/>
      <c r="J103" s="36"/>
      <c r="K103" s="36"/>
      <c r="L103" s="41"/>
      <c r="M103" s="35"/>
      <c r="N103" s="34"/>
      <c r="O103" s="34"/>
      <c r="P103" s="34"/>
      <c r="Q103" s="32"/>
      <c r="R103" s="32"/>
      <c r="S103" s="32"/>
      <c r="T103" s="32"/>
      <c r="U103" s="32"/>
      <c r="V103" s="32"/>
      <c r="W103" s="32"/>
      <c r="X103" s="32"/>
      <c r="Y103" s="32"/>
      <c r="Z103" s="18"/>
    </row>
    <row r="104">
      <c r="A104" s="19" t="str">
        <f t="shared" si="1"/>
        <v>103-B-19-Null-Zeta 'UNSC Marine Corp Battle Dress Uniform'</v>
      </c>
      <c r="B104" s="27"/>
      <c r="C104" s="21">
        <v>103.0</v>
      </c>
      <c r="D104" s="21" t="s">
        <v>234</v>
      </c>
      <c r="E104" s="21">
        <v>19.0</v>
      </c>
      <c r="F104" s="21" t="s">
        <v>416</v>
      </c>
      <c r="G104" s="19" t="s">
        <v>460</v>
      </c>
      <c r="H104" s="42"/>
      <c r="I104" s="42"/>
      <c r="J104" s="36"/>
      <c r="K104" s="36"/>
      <c r="L104" s="41"/>
      <c r="M104" s="35"/>
      <c r="N104" s="34"/>
      <c r="O104" s="34"/>
      <c r="P104" s="34"/>
      <c r="Q104" s="32"/>
      <c r="R104" s="32"/>
      <c r="S104" s="32"/>
      <c r="T104" s="32"/>
      <c r="U104" s="32"/>
      <c r="V104" s="32"/>
      <c r="W104" s="32"/>
      <c r="X104" s="32"/>
      <c r="Y104" s="32"/>
      <c r="Z104" s="18"/>
    </row>
    <row r="105">
      <c r="A105" s="19" t="str">
        <f t="shared" si="1"/>
        <v>104-G-4-Pent 'Elven Enchantment'</v>
      </c>
      <c r="B105" s="19" t="s">
        <v>243</v>
      </c>
      <c r="C105" s="21">
        <v>104.0</v>
      </c>
      <c r="D105" s="21" t="s">
        <v>303</v>
      </c>
      <c r="E105" s="21">
        <v>4.0</v>
      </c>
      <c r="F105" s="21" t="s">
        <v>461</v>
      </c>
      <c r="G105" s="19" t="s">
        <v>462</v>
      </c>
      <c r="H105" s="42"/>
      <c r="I105" s="42"/>
      <c r="J105" s="36"/>
      <c r="K105" s="36"/>
      <c r="L105" s="41"/>
      <c r="M105" s="35"/>
      <c r="N105" s="34"/>
      <c r="O105" s="34"/>
      <c r="P105" s="34"/>
      <c r="Q105" s="32"/>
      <c r="R105" s="32"/>
      <c r="S105" s="32"/>
      <c r="T105" s="32"/>
      <c r="U105" s="32"/>
      <c r="V105" s="32"/>
      <c r="W105" s="32"/>
      <c r="X105" s="32"/>
      <c r="Y105" s="32"/>
      <c r="Z105" s="18"/>
    </row>
    <row r="106">
      <c r="A106" s="19" t="str">
        <f t="shared" si="1"/>
        <v>105-H-8-Quad 'Ambrosial Artificer'</v>
      </c>
      <c r="B106" s="19" t="s">
        <v>261</v>
      </c>
      <c r="C106" s="21">
        <v>105.0</v>
      </c>
      <c r="D106" s="21" t="s">
        <v>281</v>
      </c>
      <c r="E106" s="21">
        <v>8.0</v>
      </c>
      <c r="F106" s="21" t="s">
        <v>359</v>
      </c>
      <c r="G106" s="19" t="s">
        <v>463</v>
      </c>
      <c r="H106" s="42"/>
      <c r="I106" s="42"/>
      <c r="J106" s="36"/>
      <c r="K106" s="36"/>
      <c r="L106" s="41"/>
      <c r="M106" s="35"/>
      <c r="N106" s="34"/>
      <c r="O106" s="34"/>
      <c r="P106" s="34"/>
      <c r="Q106" s="32"/>
      <c r="R106" s="32"/>
      <c r="S106" s="32"/>
      <c r="T106" s="32"/>
      <c r="U106" s="32"/>
      <c r="V106" s="32"/>
      <c r="W106" s="32"/>
      <c r="X106" s="32"/>
      <c r="Y106" s="32"/>
      <c r="Z106" s="18"/>
    </row>
    <row r="107">
      <c r="A107" s="19" t="str">
        <f t="shared" si="1"/>
        <v>106-A-23-Iso-Alpha 'Hangar'</v>
      </c>
      <c r="B107" s="27"/>
      <c r="C107" s="21">
        <v>106.0</v>
      </c>
      <c r="D107" s="21" t="s">
        <v>213</v>
      </c>
      <c r="E107" s="21">
        <v>23.0</v>
      </c>
      <c r="F107" s="21" t="s">
        <v>405</v>
      </c>
      <c r="G107" s="19" t="s">
        <v>464</v>
      </c>
      <c r="H107" s="42"/>
      <c r="I107" s="42"/>
      <c r="J107" s="36"/>
      <c r="K107" s="36"/>
      <c r="L107" s="41"/>
      <c r="M107" s="35"/>
      <c r="N107" s="34"/>
      <c r="O107" s="34"/>
      <c r="P107" s="34"/>
      <c r="Q107" s="32"/>
      <c r="R107" s="32"/>
      <c r="S107" s="32"/>
      <c r="T107" s="32"/>
      <c r="U107" s="32"/>
      <c r="V107" s="32"/>
      <c r="W107" s="32"/>
      <c r="X107" s="32"/>
      <c r="Y107" s="32"/>
      <c r="Z107" s="18"/>
    </row>
    <row r="108">
      <c r="A108" s="19" t="str">
        <f t="shared" si="1"/>
        <v>107-A-24-Null-Beta 'Basic Flight Training'</v>
      </c>
      <c r="B108" s="27"/>
      <c r="C108" s="21">
        <v>107.0</v>
      </c>
      <c r="D108" s="21" t="s">
        <v>213</v>
      </c>
      <c r="E108" s="21">
        <v>24.0</v>
      </c>
      <c r="F108" s="21" t="s">
        <v>232</v>
      </c>
      <c r="G108" s="19" t="s">
        <v>465</v>
      </c>
      <c r="H108" s="42"/>
      <c r="I108" s="42"/>
      <c r="J108" s="36"/>
      <c r="K108" s="36"/>
      <c r="L108" s="41"/>
      <c r="M108" s="35"/>
      <c r="N108" s="34"/>
      <c r="O108" s="34"/>
      <c r="P108" s="34"/>
      <c r="Q108" s="32"/>
      <c r="R108" s="32"/>
      <c r="S108" s="32"/>
      <c r="T108" s="32"/>
      <c r="U108" s="32"/>
      <c r="V108" s="32"/>
      <c r="W108" s="32"/>
      <c r="X108" s="32"/>
      <c r="Y108" s="32"/>
      <c r="Z108" s="18"/>
    </row>
    <row r="109">
      <c r="A109" s="19" t="str">
        <f t="shared" si="1"/>
        <v>108-A-25-Null-Gamma 'Missile Surplus'</v>
      </c>
      <c r="B109" s="27"/>
      <c r="C109" s="21">
        <v>108.0</v>
      </c>
      <c r="D109" s="21" t="s">
        <v>213</v>
      </c>
      <c r="E109" s="21">
        <v>25.0</v>
      </c>
      <c r="F109" s="21" t="s">
        <v>249</v>
      </c>
      <c r="G109" s="19" t="s">
        <v>466</v>
      </c>
      <c r="H109" s="42"/>
      <c r="I109" s="42"/>
      <c r="J109" s="36"/>
      <c r="K109" s="36"/>
      <c r="L109" s="41"/>
      <c r="M109" s="35"/>
      <c r="N109" s="34"/>
      <c r="O109" s="34"/>
      <c r="P109" s="34"/>
      <c r="Q109" s="32"/>
      <c r="R109" s="32"/>
      <c r="S109" s="32"/>
      <c r="T109" s="32"/>
      <c r="U109" s="32"/>
      <c r="V109" s="32"/>
      <c r="W109" s="32"/>
      <c r="X109" s="32"/>
      <c r="Y109" s="32"/>
      <c r="Z109" s="18"/>
    </row>
    <row r="110">
      <c r="A110" s="19" t="str">
        <f t="shared" si="1"/>
        <v>109-A-26-Null-Delta 'Comm Chatter'</v>
      </c>
      <c r="B110" s="27"/>
      <c r="C110" s="21">
        <v>109.0</v>
      </c>
      <c r="D110" s="21" t="s">
        <v>213</v>
      </c>
      <c r="E110" s="21">
        <v>26.0</v>
      </c>
      <c r="F110" s="21" t="s">
        <v>412</v>
      </c>
      <c r="G110" s="19" t="s">
        <v>467</v>
      </c>
      <c r="H110" s="42"/>
      <c r="I110" s="42"/>
      <c r="J110" s="36"/>
      <c r="K110" s="36"/>
      <c r="L110" s="41"/>
      <c r="M110" s="35"/>
      <c r="N110" s="34"/>
      <c r="O110" s="34"/>
      <c r="P110" s="34"/>
      <c r="Q110" s="32"/>
      <c r="R110" s="32"/>
      <c r="S110" s="32"/>
      <c r="T110" s="32"/>
      <c r="U110" s="32"/>
      <c r="V110" s="32"/>
      <c r="W110" s="32"/>
      <c r="X110" s="32"/>
      <c r="Y110" s="32"/>
      <c r="Z110" s="18"/>
    </row>
    <row r="111">
      <c r="A111" s="19" t="str">
        <f t="shared" si="1"/>
        <v>110-A-27-Null-Epsilon 'Flight Suit'</v>
      </c>
      <c r="B111" s="27"/>
      <c r="C111" s="21">
        <v>110.0</v>
      </c>
      <c r="D111" s="21" t="s">
        <v>213</v>
      </c>
      <c r="E111" s="21">
        <v>27.0</v>
      </c>
      <c r="F111" s="21" t="s">
        <v>414</v>
      </c>
      <c r="G111" s="19" t="s">
        <v>468</v>
      </c>
      <c r="H111" s="42"/>
      <c r="I111" s="42"/>
      <c r="J111" s="36"/>
      <c r="K111" s="36"/>
      <c r="L111" s="41"/>
      <c r="M111" s="35"/>
      <c r="N111" s="34"/>
      <c r="O111" s="34"/>
      <c r="P111" s="34"/>
      <c r="Q111" s="32"/>
      <c r="R111" s="32"/>
      <c r="S111" s="32"/>
      <c r="T111" s="32"/>
      <c r="U111" s="32"/>
      <c r="V111" s="32"/>
      <c r="W111" s="32"/>
      <c r="X111" s="32"/>
      <c r="Y111" s="32"/>
      <c r="Z111" s="18"/>
    </row>
    <row r="112">
      <c r="A112" s="19" t="str">
        <f t="shared" si="1"/>
        <v>111-A-28-Null-Zeta '4th Generation Fighter Plane'</v>
      </c>
      <c r="B112" s="27"/>
      <c r="C112" s="21">
        <v>111.0</v>
      </c>
      <c r="D112" s="21" t="s">
        <v>213</v>
      </c>
      <c r="E112" s="21">
        <v>28.0</v>
      </c>
      <c r="F112" s="21" t="s">
        <v>416</v>
      </c>
      <c r="G112" s="19" t="s">
        <v>469</v>
      </c>
      <c r="H112" s="42"/>
      <c r="I112" s="42"/>
      <c r="J112" s="36"/>
      <c r="K112" s="36"/>
      <c r="L112" s="41"/>
      <c r="M112" s="35"/>
      <c r="N112" s="34"/>
      <c r="O112" s="34"/>
      <c r="P112" s="34"/>
      <c r="Q112" s="32"/>
      <c r="R112" s="32"/>
      <c r="S112" s="32"/>
      <c r="T112" s="32"/>
      <c r="U112" s="32"/>
      <c r="V112" s="32"/>
      <c r="W112" s="32"/>
      <c r="X112" s="32"/>
      <c r="Y112" s="32"/>
      <c r="Z112" s="18"/>
    </row>
    <row r="113">
      <c r="A113" s="19" t="str">
        <f t="shared" si="1"/>
        <v>112-E-10-Tri 'The Arcane Craft'</v>
      </c>
      <c r="B113" s="19" t="s">
        <v>289</v>
      </c>
      <c r="C113" s="21">
        <v>112.0</v>
      </c>
      <c r="D113" s="21" t="s">
        <v>284</v>
      </c>
      <c r="E113" s="21">
        <v>10.0</v>
      </c>
      <c r="F113" s="21" t="s">
        <v>330</v>
      </c>
      <c r="G113" s="19" t="s">
        <v>470</v>
      </c>
      <c r="H113" s="42"/>
      <c r="I113" s="42"/>
      <c r="J113" s="36"/>
      <c r="K113" s="36"/>
      <c r="L113" s="41"/>
      <c r="M113" s="35"/>
      <c r="N113" s="34"/>
      <c r="O113" s="34"/>
      <c r="P113" s="34"/>
      <c r="Q113" s="32"/>
      <c r="R113" s="32"/>
      <c r="S113" s="32"/>
      <c r="T113" s="32"/>
      <c r="U113" s="32"/>
      <c r="V113" s="32"/>
      <c r="W113" s="32"/>
      <c r="X113" s="32"/>
      <c r="Y113" s="32"/>
      <c r="Z113" s="18"/>
    </row>
    <row r="114">
      <c r="A114" s="19" t="str">
        <f t="shared" si="1"/>
        <v>113-F-5-Di 'Juggernaut'</v>
      </c>
      <c r="B114" s="27"/>
      <c r="C114" s="21">
        <v>113.0</v>
      </c>
      <c r="D114" s="21" t="s">
        <v>265</v>
      </c>
      <c r="E114" s="21">
        <v>5.0</v>
      </c>
      <c r="F114" s="21" t="s">
        <v>266</v>
      </c>
      <c r="G114" s="19" t="s">
        <v>471</v>
      </c>
      <c r="H114" s="42"/>
      <c r="I114" s="42"/>
      <c r="J114" s="36"/>
      <c r="K114" s="36"/>
      <c r="L114" s="41"/>
      <c r="M114" s="35"/>
      <c r="N114" s="34"/>
      <c r="O114" s="34"/>
      <c r="P114" s="34"/>
      <c r="Q114" s="32"/>
      <c r="R114" s="32"/>
      <c r="S114" s="32"/>
      <c r="T114" s="32"/>
      <c r="U114" s="32"/>
      <c r="V114" s="32"/>
      <c r="W114" s="32"/>
      <c r="X114" s="32"/>
      <c r="Y114" s="32"/>
      <c r="Z114" s="18"/>
    </row>
    <row r="115">
      <c r="A115" s="19" t="str">
        <f t="shared" si="1"/>
        <v>114-A-29-Tri 'Advanced Material Upgrade Kit'</v>
      </c>
      <c r="B115" s="27"/>
      <c r="C115" s="21">
        <v>114.0</v>
      </c>
      <c r="D115" s="21" t="s">
        <v>213</v>
      </c>
      <c r="E115" s="21">
        <v>29.0</v>
      </c>
      <c r="F115" s="21" t="s">
        <v>330</v>
      </c>
      <c r="G115" s="19" t="s">
        <v>472</v>
      </c>
      <c r="H115" s="42"/>
      <c r="I115" s="42"/>
      <c r="J115" s="36"/>
      <c r="K115" s="36"/>
      <c r="L115" s="41"/>
      <c r="M115" s="35"/>
      <c r="N115" s="34"/>
      <c r="O115" s="34"/>
      <c r="P115" s="34"/>
      <c r="Q115" s="32"/>
      <c r="R115" s="32"/>
      <c r="S115" s="32"/>
      <c r="T115" s="32"/>
      <c r="U115" s="32"/>
      <c r="V115" s="32"/>
      <c r="W115" s="32"/>
      <c r="X115" s="32"/>
      <c r="Y115" s="32"/>
      <c r="Z115" s="18"/>
    </row>
    <row r="116">
      <c r="A116" s="19" t="str">
        <f t="shared" si="1"/>
        <v>115-A-30-Di-Echo 'Workshop: Magic'</v>
      </c>
      <c r="B116" s="27"/>
      <c r="C116" s="21">
        <v>115.0</v>
      </c>
      <c r="D116" s="21" t="s">
        <v>213</v>
      </c>
      <c r="E116" s="21">
        <v>30.0</v>
      </c>
      <c r="F116" s="21" t="s">
        <v>396</v>
      </c>
      <c r="G116" s="19" t="s">
        <v>473</v>
      </c>
      <c r="H116" s="42"/>
      <c r="I116" s="42"/>
      <c r="J116" s="36"/>
      <c r="K116" s="36"/>
      <c r="L116" s="41"/>
      <c r="M116" s="35"/>
      <c r="N116" s="34"/>
      <c r="O116" s="34"/>
      <c r="P116" s="34"/>
      <c r="Q116" s="32"/>
      <c r="R116" s="32"/>
      <c r="S116" s="32"/>
      <c r="T116" s="32"/>
      <c r="U116" s="32"/>
      <c r="V116" s="32"/>
      <c r="W116" s="32"/>
      <c r="X116" s="32"/>
      <c r="Y116" s="32"/>
      <c r="Z116" s="18"/>
    </row>
    <row r="117">
      <c r="A117" s="19" t="str">
        <f t="shared" si="1"/>
        <v>116-B-20-Iso-Alpha 'Build That Wall'</v>
      </c>
      <c r="B117" s="27"/>
      <c r="C117" s="21">
        <v>116.0</v>
      </c>
      <c r="D117" s="21" t="s">
        <v>234</v>
      </c>
      <c r="E117" s="21">
        <v>20.0</v>
      </c>
      <c r="F117" s="21" t="s">
        <v>405</v>
      </c>
      <c r="G117" s="19" t="s">
        <v>474</v>
      </c>
      <c r="H117" s="42"/>
      <c r="I117" s="42"/>
      <c r="J117" s="36"/>
      <c r="K117" s="36"/>
      <c r="L117" s="41"/>
      <c r="M117" s="35"/>
      <c r="N117" s="34"/>
      <c r="O117" s="34"/>
      <c r="P117" s="34"/>
      <c r="Q117" s="32"/>
      <c r="R117" s="32"/>
      <c r="S117" s="32"/>
      <c r="T117" s="32"/>
      <c r="U117" s="32"/>
      <c r="V117" s="32"/>
      <c r="W117" s="32"/>
      <c r="X117" s="32"/>
      <c r="Y117" s="32"/>
      <c r="Z117" s="18"/>
    </row>
    <row r="118">
      <c r="A118" s="19" t="str">
        <f t="shared" si="1"/>
        <v>117-B-21-Null-Beta 'Phonograph'</v>
      </c>
      <c r="B118" s="27"/>
      <c r="C118" s="21">
        <v>117.0</v>
      </c>
      <c r="D118" s="21" t="s">
        <v>234</v>
      </c>
      <c r="E118" s="21">
        <v>21.0</v>
      </c>
      <c r="F118" s="21" t="s">
        <v>232</v>
      </c>
      <c r="G118" s="19" t="s">
        <v>475</v>
      </c>
      <c r="H118" s="42"/>
      <c r="I118" s="42"/>
      <c r="J118" s="36"/>
      <c r="K118" s="36"/>
      <c r="L118" s="41"/>
      <c r="M118" s="35"/>
      <c r="N118" s="34"/>
      <c r="O118" s="34"/>
      <c r="P118" s="34"/>
      <c r="Q118" s="32"/>
      <c r="R118" s="32"/>
      <c r="S118" s="32"/>
      <c r="T118" s="32"/>
      <c r="U118" s="32"/>
      <c r="V118" s="32"/>
      <c r="W118" s="32"/>
      <c r="X118" s="32"/>
      <c r="Y118" s="32"/>
      <c r="Z118" s="18"/>
    </row>
    <row r="119">
      <c r="A119" s="19" t="str">
        <f t="shared" si="1"/>
        <v>118-L-8-Tri 'Alkahestry'</v>
      </c>
      <c r="B119" s="27"/>
      <c r="C119" s="21">
        <v>118.0</v>
      </c>
      <c r="D119" s="21" t="s">
        <v>293</v>
      </c>
      <c r="E119" s="21">
        <v>8.0</v>
      </c>
      <c r="F119" s="21" t="s">
        <v>330</v>
      </c>
      <c r="G119" s="19" t="s">
        <v>476</v>
      </c>
      <c r="H119" s="36"/>
      <c r="I119" s="36"/>
      <c r="J119" s="36"/>
      <c r="K119" s="36"/>
      <c r="L119" s="41"/>
      <c r="M119" s="35"/>
      <c r="N119" s="34"/>
      <c r="O119" s="34"/>
      <c r="P119" s="34"/>
      <c r="Q119" s="32"/>
      <c r="R119" s="32"/>
      <c r="S119" s="32"/>
      <c r="T119" s="32"/>
      <c r="U119" s="32"/>
      <c r="V119" s="32"/>
      <c r="W119" s="32"/>
      <c r="X119" s="32"/>
      <c r="Y119" s="32"/>
      <c r="Z119" s="18"/>
    </row>
    <row r="120">
      <c r="A120" s="19" t="str">
        <f t="shared" si="1"/>
        <v>119-E-11-Iso 'Bandit Gunsmith'</v>
      </c>
      <c r="B120" s="27"/>
      <c r="C120" s="21">
        <v>119.0</v>
      </c>
      <c r="D120" s="21" t="s">
        <v>284</v>
      </c>
      <c r="E120" s="21">
        <v>11.0</v>
      </c>
      <c r="F120" s="21" t="s">
        <v>282</v>
      </c>
      <c r="G120" s="19" t="s">
        <v>477</v>
      </c>
      <c r="H120" s="36"/>
      <c r="I120" s="36"/>
      <c r="J120" s="36"/>
      <c r="K120" s="36"/>
      <c r="L120" s="41"/>
      <c r="M120" s="35"/>
      <c r="N120" s="34"/>
      <c r="O120" s="34"/>
      <c r="P120" s="34"/>
      <c r="Q120" s="32"/>
      <c r="R120" s="32"/>
      <c r="S120" s="32"/>
      <c r="T120" s="32"/>
      <c r="U120" s="32"/>
      <c r="V120" s="32"/>
      <c r="W120" s="32"/>
      <c r="X120" s="32"/>
      <c r="Y120" s="32"/>
      <c r="Z120" s="18"/>
    </row>
    <row r="121">
      <c r="A121" s="19" t="str">
        <f t="shared" si="1"/>
        <v>120-A-31-Tri 'Volcanic Forge'</v>
      </c>
      <c r="B121" s="19" t="s">
        <v>306</v>
      </c>
      <c r="C121" s="21">
        <v>120.0</v>
      </c>
      <c r="D121" s="21" t="s">
        <v>213</v>
      </c>
      <c r="E121" s="21">
        <v>31.0</v>
      </c>
      <c r="F121" s="21" t="s">
        <v>330</v>
      </c>
      <c r="G121" s="19" t="s">
        <v>478</v>
      </c>
      <c r="H121" s="36"/>
      <c r="I121" s="36"/>
      <c r="J121" s="36"/>
      <c r="K121" s="36"/>
      <c r="L121" s="41"/>
      <c r="M121" s="35"/>
      <c r="N121" s="34"/>
      <c r="O121" s="34"/>
      <c r="P121" s="34"/>
      <c r="Q121" s="32"/>
      <c r="R121" s="32"/>
      <c r="S121" s="32"/>
      <c r="T121" s="32"/>
      <c r="U121" s="32"/>
      <c r="V121" s="32"/>
      <c r="W121" s="32"/>
      <c r="X121" s="32"/>
      <c r="Y121" s="32"/>
      <c r="Z121" s="18"/>
    </row>
    <row r="122">
      <c r="A122" s="19" t="str">
        <f t="shared" si="1"/>
        <v>121-H-9-Quad-Alpha-Dash 'Divine Child – Hephaestus'</v>
      </c>
      <c r="B122" s="19" t="s">
        <v>278</v>
      </c>
      <c r="C122" s="21">
        <v>121.0</v>
      </c>
      <c r="D122" s="21" t="s">
        <v>281</v>
      </c>
      <c r="E122" s="21">
        <v>9.0</v>
      </c>
      <c r="F122" s="21" t="s">
        <v>479</v>
      </c>
      <c r="G122" s="19" t="s">
        <v>480</v>
      </c>
      <c r="H122" s="36"/>
      <c r="I122" s="36"/>
      <c r="J122" s="36"/>
      <c r="K122" s="36"/>
      <c r="L122" s="41"/>
      <c r="M122" s="35"/>
      <c r="N122" s="34"/>
      <c r="O122" s="34"/>
      <c r="P122" s="34"/>
      <c r="Q122" s="32"/>
      <c r="R122" s="32"/>
      <c r="S122" s="32"/>
      <c r="T122" s="32"/>
      <c r="U122" s="32"/>
      <c r="V122" s="32"/>
      <c r="W122" s="32"/>
      <c r="X122" s="32"/>
      <c r="Y122" s="32"/>
      <c r="Z122" s="18"/>
    </row>
    <row r="123">
      <c r="A123" s="19" t="str">
        <f t="shared" si="1"/>
        <v>122-H-10-Null-Beta 'Old Traditions'</v>
      </c>
      <c r="B123" s="27"/>
      <c r="C123" s="21">
        <v>122.0</v>
      </c>
      <c r="D123" s="21" t="s">
        <v>281</v>
      </c>
      <c r="E123" s="21">
        <v>10.0</v>
      </c>
      <c r="F123" s="21" t="s">
        <v>232</v>
      </c>
      <c r="G123" s="19" t="s">
        <v>481</v>
      </c>
      <c r="H123" s="36"/>
      <c r="I123" s="36"/>
      <c r="J123" s="36"/>
      <c r="K123" s="36"/>
      <c r="L123" s="41"/>
      <c r="M123" s="35"/>
      <c r="N123" s="34"/>
      <c r="O123" s="34"/>
      <c r="P123" s="34"/>
      <c r="Q123" s="32"/>
      <c r="R123" s="32"/>
      <c r="S123" s="32"/>
      <c r="T123" s="32"/>
      <c r="U123" s="32"/>
      <c r="V123" s="32"/>
      <c r="W123" s="32"/>
      <c r="X123" s="32"/>
      <c r="Y123" s="32"/>
      <c r="Z123" s="18"/>
    </row>
    <row r="124">
      <c r="A124" s="19" t="str">
        <f t="shared" si="1"/>
        <v>123-K-2-Di-Alpha 'Setup Wizard'</v>
      </c>
      <c r="B124" s="27"/>
      <c r="C124" s="21">
        <v>123.0</v>
      </c>
      <c r="D124" s="21" t="s">
        <v>332</v>
      </c>
      <c r="E124" s="21">
        <v>2.0</v>
      </c>
      <c r="F124" s="21" t="s">
        <v>382</v>
      </c>
      <c r="G124" s="19" t="s">
        <v>482</v>
      </c>
      <c r="H124" s="36"/>
      <c r="I124" s="36"/>
      <c r="J124" s="36"/>
      <c r="K124" s="36"/>
      <c r="L124" s="41"/>
      <c r="M124" s="35"/>
      <c r="N124" s="34"/>
      <c r="O124" s="34"/>
      <c r="P124" s="34"/>
      <c r="Q124" s="32"/>
      <c r="R124" s="32"/>
      <c r="S124" s="32"/>
      <c r="T124" s="32"/>
      <c r="U124" s="32"/>
      <c r="V124" s="32"/>
      <c r="W124" s="32"/>
      <c r="X124" s="32"/>
      <c r="Y124" s="32"/>
      <c r="Z124" s="18"/>
    </row>
    <row r="125">
      <c r="A125" s="19" t="str">
        <f t="shared" si="1"/>
        <v>124-K-3-Null-Beta 'Wand'</v>
      </c>
      <c r="B125" s="27"/>
      <c r="C125" s="21">
        <v>124.0</v>
      </c>
      <c r="D125" s="21" t="s">
        <v>332</v>
      </c>
      <c r="E125" s="21">
        <v>3.0</v>
      </c>
      <c r="F125" s="21" t="s">
        <v>232</v>
      </c>
      <c r="G125" s="19" t="s">
        <v>483</v>
      </c>
      <c r="H125" s="36"/>
      <c r="I125" s="36"/>
      <c r="J125" s="36"/>
      <c r="K125" s="36"/>
      <c r="L125" s="41"/>
      <c r="M125" s="35"/>
      <c r="N125" s="34"/>
      <c r="O125" s="34"/>
      <c r="P125" s="34"/>
      <c r="Q125" s="32"/>
      <c r="R125" s="32"/>
      <c r="S125" s="32"/>
      <c r="T125" s="32"/>
      <c r="U125" s="32"/>
      <c r="V125" s="32"/>
      <c r="W125" s="32"/>
      <c r="X125" s="32"/>
      <c r="Y125" s="32"/>
      <c r="Z125" s="18"/>
    </row>
    <row r="126">
      <c r="A126" s="19" t="str">
        <f t="shared" si="1"/>
        <v>125-B-22-Iso 'Analysis'</v>
      </c>
      <c r="B126" s="27"/>
      <c r="C126" s="21">
        <v>125.0</v>
      </c>
      <c r="D126" s="21" t="s">
        <v>234</v>
      </c>
      <c r="E126" s="21">
        <v>22.0</v>
      </c>
      <c r="F126" s="21" t="s">
        <v>282</v>
      </c>
      <c r="G126" s="19" t="s">
        <v>484</v>
      </c>
      <c r="H126" s="36"/>
      <c r="I126" s="36"/>
      <c r="J126" s="36"/>
      <c r="K126" s="36"/>
      <c r="L126" s="41"/>
      <c r="M126" s="35"/>
      <c r="N126" s="34"/>
      <c r="O126" s="34"/>
      <c r="P126" s="34"/>
      <c r="Q126" s="32"/>
      <c r="R126" s="32"/>
      <c r="S126" s="32"/>
      <c r="T126" s="32"/>
      <c r="U126" s="32"/>
      <c r="V126" s="32"/>
      <c r="W126" s="32"/>
      <c r="X126" s="32"/>
      <c r="Y126" s="32"/>
      <c r="Z126" s="18"/>
    </row>
    <row r="127">
      <c r="A127" s="19" t="str">
        <f t="shared" si="1"/>
        <v>126-D-7-Quad 'Researcher'</v>
      </c>
      <c r="B127" s="43"/>
      <c r="C127" s="21">
        <v>126.0</v>
      </c>
      <c r="D127" s="21" t="s">
        <v>268</v>
      </c>
      <c r="E127" s="21">
        <v>7.0</v>
      </c>
      <c r="F127" s="21" t="s">
        <v>359</v>
      </c>
      <c r="G127" s="19" t="s">
        <v>485</v>
      </c>
      <c r="H127" s="36"/>
      <c r="I127" s="36"/>
      <c r="J127" s="36"/>
      <c r="K127" s="36"/>
      <c r="L127" s="41"/>
      <c r="M127" s="35"/>
      <c r="N127" s="34"/>
      <c r="O127" s="34"/>
      <c r="P127" s="34"/>
      <c r="Q127" s="32"/>
      <c r="R127" s="32"/>
      <c r="S127" s="32"/>
      <c r="T127" s="32"/>
      <c r="U127" s="32"/>
      <c r="V127" s="32"/>
      <c r="W127" s="32"/>
      <c r="X127" s="32"/>
      <c r="Y127" s="32"/>
      <c r="Z127" s="18"/>
    </row>
    <row r="128">
      <c r="A128" s="19" t="str">
        <f t="shared" si="1"/>
        <v>127-J-7-Quad 'Lack of Materials'</v>
      </c>
      <c r="B128" s="19" t="s">
        <v>246</v>
      </c>
      <c r="C128" s="21">
        <v>127.0</v>
      </c>
      <c r="D128" s="21" t="s">
        <v>324</v>
      </c>
      <c r="E128" s="21">
        <v>7.0</v>
      </c>
      <c r="F128" s="21" t="s">
        <v>359</v>
      </c>
      <c r="G128" s="19" t="s">
        <v>486</v>
      </c>
      <c r="H128" s="36"/>
      <c r="I128" s="36"/>
      <c r="J128" s="36"/>
      <c r="K128" s="36"/>
      <c r="L128" s="41"/>
      <c r="M128" s="35"/>
      <c r="N128" s="34"/>
      <c r="O128" s="34"/>
      <c r="P128" s="34"/>
      <c r="Q128" s="32"/>
      <c r="R128" s="32"/>
      <c r="S128" s="32"/>
      <c r="T128" s="32"/>
      <c r="U128" s="32"/>
      <c r="V128" s="32"/>
      <c r="W128" s="32"/>
      <c r="X128" s="32"/>
      <c r="Y128" s="32"/>
      <c r="Z128" s="18"/>
    </row>
    <row r="129">
      <c r="A129" s="19" t="str">
        <f t="shared" si="1"/>
        <v>128-B-23-Tri 'Analysis Tools'</v>
      </c>
      <c r="B129" s="19" t="s">
        <v>272</v>
      </c>
      <c r="C129" s="21">
        <v>128.0</v>
      </c>
      <c r="D129" s="21" t="s">
        <v>234</v>
      </c>
      <c r="E129" s="21">
        <v>23.0</v>
      </c>
      <c r="F129" s="21" t="s">
        <v>330</v>
      </c>
      <c r="G129" s="19" t="s">
        <v>487</v>
      </c>
      <c r="H129" s="36"/>
      <c r="I129" s="36"/>
      <c r="J129" s="36"/>
      <c r="K129" s="36"/>
      <c r="L129" s="41"/>
      <c r="M129" s="35"/>
      <c r="N129" s="34"/>
      <c r="O129" s="34"/>
      <c r="P129" s="34"/>
      <c r="Q129" s="32"/>
      <c r="R129" s="32"/>
      <c r="S129" s="32"/>
      <c r="T129" s="32"/>
      <c r="U129" s="32"/>
      <c r="V129" s="32"/>
      <c r="W129" s="32"/>
      <c r="X129" s="32"/>
      <c r="Y129" s="32"/>
      <c r="Z129" s="18"/>
    </row>
    <row r="130">
      <c r="A130" s="19" t="str">
        <f t="shared" si="1"/>
        <v>129-B-24-Iso-Echo 'Skills: Physical Sciences'</v>
      </c>
      <c r="B130" s="27"/>
      <c r="C130" s="21">
        <v>129.0</v>
      </c>
      <c r="D130" s="21" t="s">
        <v>234</v>
      </c>
      <c r="E130" s="21">
        <v>24.0</v>
      </c>
      <c r="F130" s="21" t="s">
        <v>373</v>
      </c>
      <c r="G130" s="19" t="s">
        <v>488</v>
      </c>
      <c r="H130" s="36"/>
      <c r="I130" s="36"/>
      <c r="J130" s="36"/>
      <c r="K130" s="36"/>
      <c r="L130" s="41"/>
      <c r="M130" s="35"/>
      <c r="N130" s="34"/>
      <c r="O130" s="34"/>
      <c r="P130" s="34"/>
      <c r="Q130" s="32"/>
      <c r="R130" s="32"/>
      <c r="S130" s="32"/>
      <c r="T130" s="32"/>
      <c r="U130" s="32"/>
      <c r="V130" s="32"/>
      <c r="W130" s="32"/>
      <c r="X130" s="32"/>
      <c r="Y130" s="32"/>
      <c r="Z130" s="18"/>
    </row>
    <row r="131">
      <c r="A131" s="19" t="str">
        <f t="shared" si="1"/>
        <v>130-B-25-Iso-Echo 'Skills: Combat'</v>
      </c>
      <c r="B131" s="27"/>
      <c r="C131" s="21">
        <v>130.0</v>
      </c>
      <c r="D131" s="21" t="s">
        <v>234</v>
      </c>
      <c r="E131" s="21">
        <v>25.0</v>
      </c>
      <c r="F131" s="21" t="s">
        <v>373</v>
      </c>
      <c r="G131" s="19" t="s">
        <v>489</v>
      </c>
      <c r="H131" s="36"/>
      <c r="I131" s="36"/>
      <c r="J131" s="36"/>
      <c r="K131" s="36"/>
      <c r="L131" s="41"/>
      <c r="M131" s="35"/>
      <c r="N131" s="34"/>
      <c r="O131" s="34"/>
      <c r="P131" s="34"/>
      <c r="Q131" s="32"/>
      <c r="R131" s="32"/>
      <c r="S131" s="32"/>
      <c r="T131" s="32"/>
      <c r="U131" s="32"/>
      <c r="V131" s="32"/>
      <c r="W131" s="32"/>
      <c r="X131" s="32"/>
      <c r="Y131" s="32"/>
      <c r="Z131" s="18"/>
    </row>
    <row r="132">
      <c r="A132" s="19" t="str">
        <f t="shared" si="1"/>
        <v>131-A-32-Iso-Alpha 'Tool Kit'</v>
      </c>
      <c r="B132" s="27"/>
      <c r="C132" s="21">
        <v>131.0</v>
      </c>
      <c r="D132" s="21" t="s">
        <v>213</v>
      </c>
      <c r="E132" s="21">
        <v>32.0</v>
      </c>
      <c r="F132" s="21" t="s">
        <v>405</v>
      </c>
      <c r="G132" s="19" t="s">
        <v>490</v>
      </c>
      <c r="H132" s="36"/>
      <c r="I132" s="36"/>
      <c r="J132" s="36"/>
      <c r="K132" s="36"/>
      <c r="L132" s="41"/>
      <c r="M132" s="35"/>
      <c r="N132" s="34"/>
      <c r="O132" s="34"/>
      <c r="P132" s="34"/>
      <c r="Q132" s="32"/>
      <c r="R132" s="32"/>
      <c r="S132" s="32"/>
      <c r="T132" s="32"/>
      <c r="U132" s="32"/>
      <c r="V132" s="32"/>
      <c r="W132" s="32"/>
      <c r="X132" s="32"/>
      <c r="Y132" s="32"/>
      <c r="Z132" s="18"/>
    </row>
    <row r="133">
      <c r="A133" s="19" t="str">
        <f t="shared" si="1"/>
        <v>132-A-33-Null-Beta 'Serene Sinatra'</v>
      </c>
      <c r="B133" s="27"/>
      <c r="C133" s="21">
        <v>132.0</v>
      </c>
      <c r="D133" s="21" t="s">
        <v>213</v>
      </c>
      <c r="E133" s="21">
        <v>33.0</v>
      </c>
      <c r="F133" s="21" t="s">
        <v>232</v>
      </c>
      <c r="G133" s="19" t="s">
        <v>491</v>
      </c>
      <c r="H133" s="36"/>
      <c r="I133" s="36"/>
      <c r="J133" s="36"/>
      <c r="K133" s="36"/>
      <c r="L133" s="41"/>
      <c r="M133" s="35"/>
      <c r="N133" s="34"/>
      <c r="O133" s="34"/>
      <c r="P133" s="34"/>
      <c r="Q133" s="32"/>
      <c r="R133" s="32"/>
      <c r="S133" s="32"/>
      <c r="T133" s="32"/>
      <c r="U133" s="32"/>
      <c r="V133" s="32"/>
      <c r="W133" s="32"/>
      <c r="X133" s="32"/>
      <c r="Y133" s="32"/>
      <c r="Z133" s="18"/>
    </row>
    <row r="134">
      <c r="A134" s="19" t="str">
        <f t="shared" si="1"/>
        <v>133-A-34-Null-Gamma 'Basic Training'</v>
      </c>
      <c r="B134" s="27"/>
      <c r="C134" s="21">
        <v>133.0</v>
      </c>
      <c r="D134" s="21" t="s">
        <v>213</v>
      </c>
      <c r="E134" s="21">
        <v>34.0</v>
      </c>
      <c r="F134" s="21" t="s">
        <v>249</v>
      </c>
      <c r="G134" s="19" t="s">
        <v>492</v>
      </c>
      <c r="H134" s="36"/>
      <c r="I134" s="36"/>
      <c r="J134" s="36"/>
      <c r="K134" s="36"/>
      <c r="L134" s="41"/>
      <c r="M134" s="35"/>
      <c r="N134" s="34"/>
      <c r="O134" s="34"/>
      <c r="P134" s="34"/>
      <c r="Q134" s="32"/>
      <c r="R134" s="32"/>
      <c r="S134" s="32"/>
      <c r="T134" s="32"/>
      <c r="U134" s="32"/>
      <c r="V134" s="32"/>
      <c r="W134" s="32"/>
      <c r="X134" s="32"/>
      <c r="Y134" s="32"/>
      <c r="Z134" s="18"/>
    </row>
    <row r="135">
      <c r="A135" s="19" t="str">
        <f t="shared" si="1"/>
        <v>134-A-35-Null-Delta 'Space Suit'</v>
      </c>
      <c r="B135" s="27"/>
      <c r="C135" s="21">
        <v>134.0</v>
      </c>
      <c r="D135" s="21" t="s">
        <v>213</v>
      </c>
      <c r="E135" s="21">
        <v>35.0</v>
      </c>
      <c r="F135" s="21" t="s">
        <v>412</v>
      </c>
      <c r="G135" s="19" t="s">
        <v>493</v>
      </c>
      <c r="H135" s="36"/>
      <c r="I135" s="36"/>
      <c r="J135" s="36"/>
      <c r="K135" s="36"/>
      <c r="L135" s="41"/>
      <c r="M135" s="35"/>
      <c r="N135" s="34"/>
      <c r="O135" s="34"/>
      <c r="P135" s="34"/>
      <c r="Q135" s="32"/>
      <c r="R135" s="32"/>
      <c r="S135" s="32"/>
      <c r="T135" s="32"/>
      <c r="U135" s="32"/>
      <c r="V135" s="32"/>
      <c r="W135" s="32"/>
      <c r="X135" s="32"/>
      <c r="Y135" s="32"/>
      <c r="Z135" s="18"/>
    </row>
    <row r="136">
      <c r="A136" s="19" t="str">
        <f t="shared" si="1"/>
        <v>135-A-36-Null-Epsilon 'Basic Variable Fighter'</v>
      </c>
      <c r="B136" s="27"/>
      <c r="C136" s="21">
        <v>135.0</v>
      </c>
      <c r="D136" s="21" t="s">
        <v>213</v>
      </c>
      <c r="E136" s="21">
        <v>36.0</v>
      </c>
      <c r="F136" s="21" t="s">
        <v>414</v>
      </c>
      <c r="G136" s="19" t="s">
        <v>494</v>
      </c>
      <c r="H136" s="36"/>
      <c r="I136" s="36"/>
      <c r="J136" s="36"/>
      <c r="K136" s="36"/>
      <c r="L136" s="41"/>
      <c r="M136" s="35"/>
      <c r="N136" s="34"/>
      <c r="O136" s="34"/>
      <c r="P136" s="34"/>
      <c r="Q136" s="32"/>
      <c r="R136" s="32"/>
      <c r="S136" s="32"/>
      <c r="T136" s="32"/>
      <c r="U136" s="32"/>
      <c r="V136" s="32"/>
      <c r="W136" s="32"/>
      <c r="X136" s="32"/>
      <c r="Y136" s="32"/>
      <c r="Z136" s="18"/>
    </row>
    <row r="137">
      <c r="A137" s="19" t="str">
        <f t="shared" si="1"/>
        <v>136-H-11-Quad 'Lathe of Heaven'</v>
      </c>
      <c r="B137" s="19" t="s">
        <v>291</v>
      </c>
      <c r="C137" s="21">
        <v>136.0</v>
      </c>
      <c r="D137" s="21" t="s">
        <v>281</v>
      </c>
      <c r="E137" s="21">
        <v>11.0</v>
      </c>
      <c r="F137" s="21" t="s">
        <v>359</v>
      </c>
      <c r="G137" s="19" t="s">
        <v>495</v>
      </c>
      <c r="H137" s="36"/>
      <c r="I137" s="36"/>
      <c r="J137" s="36"/>
      <c r="K137" s="36"/>
      <c r="L137" s="41"/>
      <c r="M137" s="35"/>
      <c r="N137" s="34"/>
      <c r="O137" s="34"/>
      <c r="P137" s="34"/>
      <c r="Q137" s="32"/>
      <c r="R137" s="32"/>
      <c r="S137" s="32"/>
      <c r="T137" s="32"/>
      <c r="U137" s="32"/>
      <c r="V137" s="32"/>
      <c r="W137" s="32"/>
      <c r="X137" s="32"/>
      <c r="Y137" s="32"/>
      <c r="Z137" s="18"/>
    </row>
    <row r="138">
      <c r="A138" s="19" t="str">
        <f t="shared" si="1"/>
        <v>137-J-8-Tri-Alpha 'Scrapper'</v>
      </c>
      <c r="B138" s="27"/>
      <c r="C138" s="21">
        <v>137.0</v>
      </c>
      <c r="D138" s="21" t="s">
        <v>324</v>
      </c>
      <c r="E138" s="21">
        <v>8.0</v>
      </c>
      <c r="F138" s="21" t="s">
        <v>433</v>
      </c>
      <c r="G138" s="19" t="s">
        <v>496</v>
      </c>
      <c r="H138" s="36"/>
      <c r="I138" s="36"/>
      <c r="J138" s="36"/>
      <c r="K138" s="36"/>
      <c r="L138" s="41"/>
      <c r="M138" s="35"/>
      <c r="N138" s="34"/>
      <c r="O138" s="34"/>
      <c r="P138" s="34"/>
      <c r="Q138" s="32"/>
      <c r="R138" s="32"/>
      <c r="S138" s="32"/>
      <c r="T138" s="32"/>
      <c r="U138" s="32"/>
      <c r="V138" s="32"/>
      <c r="W138" s="32"/>
      <c r="X138" s="32"/>
      <c r="Y138" s="32"/>
      <c r="Z138" s="18"/>
    </row>
    <row r="139">
      <c r="A139" s="19" t="str">
        <f t="shared" si="1"/>
        <v>138-J-9-Null-Beta 'Starting Gear'</v>
      </c>
      <c r="B139" s="27"/>
      <c r="C139" s="21">
        <v>138.0</v>
      </c>
      <c r="D139" s="21" t="s">
        <v>324</v>
      </c>
      <c r="E139" s="21">
        <v>9.0</v>
      </c>
      <c r="F139" s="21" t="s">
        <v>232</v>
      </c>
      <c r="G139" s="19" t="s">
        <v>497</v>
      </c>
      <c r="H139" s="36"/>
      <c r="I139" s="36"/>
      <c r="J139" s="36"/>
      <c r="K139" s="36"/>
      <c r="L139" s="41"/>
      <c r="M139" s="35"/>
      <c r="N139" s="34"/>
      <c r="O139" s="34"/>
      <c r="P139" s="34"/>
      <c r="Q139" s="32"/>
      <c r="R139" s="32"/>
      <c r="S139" s="32"/>
      <c r="T139" s="32"/>
      <c r="U139" s="32"/>
      <c r="V139" s="32"/>
      <c r="W139" s="32"/>
      <c r="X139" s="32"/>
      <c r="Y139" s="32"/>
      <c r="Z139" s="18"/>
    </row>
    <row r="140">
      <c r="A140" s="19" t="str">
        <f t="shared" si="1"/>
        <v>139-L-9-Iso 'Advanced Formulae'</v>
      </c>
      <c r="B140" s="27"/>
      <c r="C140" s="21">
        <v>139.0</v>
      </c>
      <c r="D140" s="21" t="s">
        <v>293</v>
      </c>
      <c r="E140" s="21">
        <v>9.0</v>
      </c>
      <c r="F140" s="21" t="s">
        <v>282</v>
      </c>
      <c r="G140" s="19" t="s">
        <v>498</v>
      </c>
      <c r="H140" s="36"/>
      <c r="I140" s="36"/>
      <c r="J140" s="36"/>
      <c r="K140" s="36"/>
      <c r="L140" s="41"/>
      <c r="M140" s="35"/>
      <c r="N140" s="34"/>
      <c r="O140" s="34"/>
      <c r="P140" s="34"/>
      <c r="Q140" s="32"/>
      <c r="R140" s="32"/>
      <c r="S140" s="32"/>
      <c r="T140" s="32"/>
      <c r="U140" s="32"/>
      <c r="V140" s="32"/>
      <c r="W140" s="32"/>
      <c r="X140" s="32"/>
      <c r="Y140" s="32"/>
      <c r="Z140" s="18"/>
    </row>
    <row r="141">
      <c r="A141" s="19" t="str">
        <f t="shared" si="1"/>
        <v>140-J-10-Tri 'Robust Engineering'</v>
      </c>
      <c r="B141" s="27"/>
      <c r="C141" s="21">
        <v>140.0</v>
      </c>
      <c r="D141" s="21" t="s">
        <v>324</v>
      </c>
      <c r="E141" s="21">
        <v>10.0</v>
      </c>
      <c r="F141" s="21" t="s">
        <v>330</v>
      </c>
      <c r="G141" s="19" t="s">
        <v>499</v>
      </c>
      <c r="H141" s="36"/>
      <c r="I141" s="36"/>
      <c r="J141" s="36"/>
      <c r="K141" s="36"/>
      <c r="L141" s="41"/>
      <c r="M141" s="35"/>
      <c r="N141" s="34"/>
      <c r="O141" s="34"/>
      <c r="P141" s="34"/>
      <c r="Q141" s="32"/>
      <c r="R141" s="32"/>
      <c r="S141" s="32"/>
      <c r="T141" s="32"/>
      <c r="U141" s="32"/>
      <c r="V141" s="32"/>
      <c r="W141" s="32"/>
      <c r="X141" s="32"/>
      <c r="Y141" s="32"/>
      <c r="Z141" s="18"/>
    </row>
    <row r="142">
      <c r="A142" s="19" t="str">
        <f t="shared" si="1"/>
        <v>141-F-6-Di 'Secular Skills'</v>
      </c>
      <c r="B142" s="27"/>
      <c r="C142" s="21">
        <v>141.0</v>
      </c>
      <c r="D142" s="21" t="s">
        <v>265</v>
      </c>
      <c r="E142" s="21">
        <v>6.0</v>
      </c>
      <c r="F142" s="21" t="s">
        <v>266</v>
      </c>
      <c r="G142" s="19" t="s">
        <v>500</v>
      </c>
      <c r="H142" s="36"/>
      <c r="I142" s="36"/>
      <c r="J142" s="36"/>
      <c r="K142" s="36"/>
      <c r="L142" s="41"/>
      <c r="M142" s="35"/>
      <c r="N142" s="34"/>
      <c r="O142" s="34"/>
      <c r="P142" s="34"/>
      <c r="Q142" s="32"/>
      <c r="R142" s="32"/>
      <c r="S142" s="32"/>
      <c r="T142" s="32"/>
      <c r="U142" s="32"/>
      <c r="V142" s="32"/>
      <c r="W142" s="32"/>
      <c r="X142" s="32"/>
      <c r="Y142" s="32"/>
      <c r="Z142" s="18"/>
    </row>
    <row r="143">
      <c r="A143" s="19" t="str">
        <f t="shared" si="1"/>
        <v>142-H-12-Hex 'Master Craftsman'</v>
      </c>
      <c r="B143" s="19" t="s">
        <v>300</v>
      </c>
      <c r="C143" s="21">
        <v>142.0</v>
      </c>
      <c r="D143" s="21" t="s">
        <v>281</v>
      </c>
      <c r="E143" s="21">
        <v>12.0</v>
      </c>
      <c r="F143" s="21" t="s">
        <v>501</v>
      </c>
      <c r="G143" s="19" t="s">
        <v>502</v>
      </c>
      <c r="H143" s="36"/>
      <c r="I143" s="36"/>
      <c r="J143" s="36"/>
      <c r="K143" s="36"/>
      <c r="L143" s="41"/>
      <c r="M143" s="35"/>
      <c r="N143" s="34"/>
      <c r="O143" s="34"/>
      <c r="P143" s="34"/>
      <c r="Q143" s="32"/>
      <c r="R143" s="32"/>
      <c r="S143" s="32"/>
      <c r="T143" s="32"/>
      <c r="U143" s="32"/>
      <c r="V143" s="32"/>
      <c r="W143" s="32"/>
      <c r="X143" s="32"/>
      <c r="Y143" s="32"/>
      <c r="Z143" s="18"/>
    </row>
    <row r="144">
      <c r="A144" s="19" t="str">
        <f t="shared" si="1"/>
        <v>143-E-12-Tri 'Weaponsmith'</v>
      </c>
      <c r="B144" s="27"/>
      <c r="C144" s="21">
        <v>143.0</v>
      </c>
      <c r="D144" s="21" t="s">
        <v>284</v>
      </c>
      <c r="E144" s="21">
        <v>12.0</v>
      </c>
      <c r="F144" s="21" t="s">
        <v>330</v>
      </c>
      <c r="G144" s="19" t="s">
        <v>503</v>
      </c>
      <c r="H144" s="36"/>
      <c r="I144" s="36"/>
      <c r="J144" s="36"/>
      <c r="K144" s="36"/>
      <c r="L144" s="41"/>
      <c r="M144" s="35"/>
      <c r="N144" s="34"/>
      <c r="O144" s="34"/>
      <c r="P144" s="34"/>
      <c r="Q144" s="32"/>
      <c r="R144" s="32"/>
      <c r="S144" s="32"/>
      <c r="T144" s="32"/>
      <c r="U144" s="32"/>
      <c r="V144" s="32"/>
      <c r="W144" s="32"/>
      <c r="X144" s="32"/>
      <c r="Y144" s="32"/>
      <c r="Z144" s="18"/>
    </row>
    <row r="145">
      <c r="A145" s="19" t="str">
        <f t="shared" si="1"/>
        <v>144-B-26-Quad 'I Am Iron Man'</v>
      </c>
      <c r="B145" s="27"/>
      <c r="C145" s="21">
        <v>144.0</v>
      </c>
      <c r="D145" s="21" t="s">
        <v>234</v>
      </c>
      <c r="E145" s="21">
        <v>26.0</v>
      </c>
      <c r="F145" s="21" t="s">
        <v>359</v>
      </c>
      <c r="G145" s="19" t="s">
        <v>504</v>
      </c>
      <c r="H145" s="36"/>
      <c r="I145" s="36"/>
      <c r="J145" s="36"/>
      <c r="K145" s="36"/>
      <c r="L145" s="41"/>
      <c r="M145" s="35"/>
      <c r="N145" s="34"/>
      <c r="O145" s="34"/>
      <c r="P145" s="34"/>
      <c r="Q145" s="32"/>
      <c r="R145" s="32"/>
      <c r="S145" s="32"/>
      <c r="T145" s="32"/>
      <c r="U145" s="32"/>
      <c r="V145" s="32"/>
      <c r="W145" s="32"/>
      <c r="X145" s="32"/>
      <c r="Y145" s="32"/>
      <c r="Z145" s="18"/>
    </row>
    <row r="146">
      <c r="A146" s="19" t="str">
        <f t="shared" si="1"/>
        <v>145-H-13-Tri-Dash 'Fate Finds You Interesting'</v>
      </c>
      <c r="B146" s="27"/>
      <c r="C146" s="21">
        <v>145.0</v>
      </c>
      <c r="D146" s="21" t="s">
        <v>281</v>
      </c>
      <c r="E146" s="21">
        <v>13.0</v>
      </c>
      <c r="F146" s="21" t="s">
        <v>505</v>
      </c>
      <c r="G146" s="19" t="s">
        <v>506</v>
      </c>
      <c r="H146" s="36"/>
      <c r="I146" s="36"/>
      <c r="J146" s="36"/>
      <c r="K146" s="36"/>
      <c r="L146" s="41"/>
      <c r="M146" s="35"/>
      <c r="N146" s="34"/>
      <c r="O146" s="34"/>
      <c r="P146" s="34"/>
      <c r="Q146" s="32"/>
      <c r="R146" s="32"/>
      <c r="S146" s="32"/>
      <c r="T146" s="32"/>
      <c r="U146" s="32"/>
      <c r="V146" s="32"/>
      <c r="W146" s="32"/>
      <c r="X146" s="32"/>
      <c r="Y146" s="32"/>
      <c r="Z146" s="18"/>
    </row>
    <row r="147">
      <c r="A147" s="19" t="str">
        <f t="shared" si="1"/>
        <v>146-H-14-Iso-Echo 'Minor Blessing Athena – Craftsmanship'</v>
      </c>
      <c r="B147" s="27"/>
      <c r="C147" s="21">
        <v>146.0</v>
      </c>
      <c r="D147" s="21" t="s">
        <v>281</v>
      </c>
      <c r="E147" s="21">
        <v>14.0</v>
      </c>
      <c r="F147" s="21" t="s">
        <v>373</v>
      </c>
      <c r="G147" s="19" t="s">
        <v>507</v>
      </c>
      <c r="H147" s="36"/>
      <c r="I147" s="36"/>
      <c r="J147" s="36"/>
      <c r="K147" s="36"/>
      <c r="L147" s="41"/>
      <c r="M147" s="35"/>
      <c r="N147" s="34"/>
      <c r="O147" s="34"/>
      <c r="P147" s="34"/>
      <c r="Q147" s="32"/>
      <c r="R147" s="32"/>
      <c r="S147" s="32"/>
      <c r="T147" s="32"/>
      <c r="U147" s="32"/>
      <c r="V147" s="32"/>
      <c r="W147" s="32"/>
      <c r="X147" s="32"/>
      <c r="Y147" s="32"/>
      <c r="Z147" s="18"/>
    </row>
    <row r="148">
      <c r="A148" s="19" t="str">
        <f t="shared" si="1"/>
        <v>147-J-11-Tri-Alpha 'Waste Not'</v>
      </c>
      <c r="B148" s="27"/>
      <c r="C148" s="21">
        <v>147.0</v>
      </c>
      <c r="D148" s="21" t="s">
        <v>324</v>
      </c>
      <c r="E148" s="21">
        <v>11.0</v>
      </c>
      <c r="F148" s="21" t="s">
        <v>433</v>
      </c>
      <c r="G148" s="19" t="s">
        <v>508</v>
      </c>
      <c r="H148" s="36"/>
      <c r="I148" s="36"/>
      <c r="J148" s="36"/>
      <c r="K148" s="36"/>
      <c r="L148" s="41"/>
      <c r="M148" s="35"/>
      <c r="N148" s="34"/>
      <c r="O148" s="34"/>
      <c r="P148" s="34"/>
      <c r="Q148" s="32"/>
      <c r="R148" s="32"/>
      <c r="S148" s="32"/>
      <c r="T148" s="32"/>
      <c r="U148" s="32"/>
      <c r="V148" s="32"/>
      <c r="W148" s="32"/>
      <c r="X148" s="32"/>
      <c r="Y148" s="32"/>
      <c r="Z148" s="18"/>
    </row>
    <row r="149">
      <c r="A149" s="19" t="str">
        <f t="shared" si="1"/>
        <v>148-J-12-Null-Beta 'Weapon &amp; Item Storage Chest'</v>
      </c>
      <c r="B149" s="27"/>
      <c r="C149" s="21">
        <v>148.0</v>
      </c>
      <c r="D149" s="21" t="s">
        <v>324</v>
      </c>
      <c r="E149" s="21">
        <v>12.0</v>
      </c>
      <c r="F149" s="21" t="s">
        <v>232</v>
      </c>
      <c r="G149" s="19" t="s">
        <v>509</v>
      </c>
      <c r="H149" s="36"/>
      <c r="I149" s="36"/>
      <c r="J149" s="36"/>
      <c r="K149" s="36"/>
      <c r="L149" s="41"/>
      <c r="M149" s="35"/>
      <c r="N149" s="34"/>
      <c r="O149" s="34"/>
      <c r="P149" s="34"/>
      <c r="Q149" s="32"/>
      <c r="R149" s="32"/>
      <c r="S149" s="32"/>
      <c r="T149" s="32"/>
      <c r="U149" s="32"/>
      <c r="V149" s="32"/>
      <c r="W149" s="32"/>
      <c r="X149" s="32"/>
      <c r="Y149" s="32"/>
      <c r="Z149" s="18"/>
    </row>
    <row r="150">
      <c r="A150" s="19" t="str">
        <f t="shared" si="1"/>
        <v>149-D-8-Quad 'Manufacturing Line'</v>
      </c>
      <c r="B150" s="27"/>
      <c r="C150" s="21">
        <v>149.0</v>
      </c>
      <c r="D150" s="21" t="s">
        <v>268</v>
      </c>
      <c r="E150" s="21">
        <v>8.0</v>
      </c>
      <c r="F150" s="21" t="s">
        <v>359</v>
      </c>
      <c r="G150" s="19" t="s">
        <v>510</v>
      </c>
      <c r="H150" s="36"/>
      <c r="I150" s="36"/>
      <c r="J150" s="36"/>
      <c r="K150" s="36"/>
      <c r="L150" s="41"/>
      <c r="M150" s="35"/>
      <c r="N150" s="34"/>
      <c r="O150" s="34"/>
      <c r="P150" s="34"/>
      <c r="Q150" s="32"/>
      <c r="R150" s="32"/>
      <c r="S150" s="32"/>
      <c r="T150" s="32"/>
      <c r="U150" s="32"/>
      <c r="V150" s="32"/>
      <c r="W150" s="32"/>
      <c r="X150" s="32"/>
      <c r="Y150" s="32"/>
      <c r="Z150" s="18"/>
    </row>
    <row r="151">
      <c r="A151" s="19" t="str">
        <f t="shared" si="1"/>
        <v>150-L-10-Tri 'Belmont Alchemy'</v>
      </c>
      <c r="B151" s="19" t="s">
        <v>280</v>
      </c>
      <c r="C151" s="21">
        <v>150.0</v>
      </c>
      <c r="D151" s="21" t="s">
        <v>293</v>
      </c>
      <c r="E151" s="21">
        <v>10.0</v>
      </c>
      <c r="F151" s="21" t="s">
        <v>330</v>
      </c>
      <c r="G151" s="19" t="s">
        <v>511</v>
      </c>
      <c r="H151" s="36"/>
      <c r="I151" s="36"/>
      <c r="J151" s="36"/>
      <c r="K151" s="36"/>
      <c r="L151" s="41"/>
      <c r="M151" s="35"/>
      <c r="N151" s="34"/>
      <c r="O151" s="34"/>
      <c r="P151" s="34"/>
      <c r="Q151" s="32"/>
      <c r="R151" s="32"/>
      <c r="S151" s="32"/>
      <c r="T151" s="32"/>
      <c r="U151" s="32"/>
      <c r="V151" s="32"/>
      <c r="W151" s="32"/>
      <c r="X151" s="32"/>
      <c r="Y151" s="32"/>
      <c r="Z151" s="18"/>
    </row>
    <row r="152">
      <c r="A152" s="19" t="str">
        <f t="shared" si="1"/>
        <v>151-F-7-Di 'Putting On The Reich'</v>
      </c>
      <c r="B152" s="27"/>
      <c r="C152" s="21">
        <v>151.0</v>
      </c>
      <c r="D152" s="21" t="s">
        <v>265</v>
      </c>
      <c r="E152" s="21">
        <v>7.0</v>
      </c>
      <c r="F152" s="21" t="s">
        <v>266</v>
      </c>
      <c r="G152" s="19" t="s">
        <v>512</v>
      </c>
      <c r="H152" s="36"/>
      <c r="I152" s="36"/>
      <c r="J152" s="36"/>
      <c r="K152" s="36"/>
      <c r="L152" s="41"/>
      <c r="M152" s="35"/>
      <c r="N152" s="34"/>
      <c r="O152" s="34"/>
      <c r="P152" s="34"/>
      <c r="Q152" s="32"/>
      <c r="R152" s="32"/>
      <c r="S152" s="32"/>
      <c r="T152" s="32"/>
      <c r="U152" s="32"/>
      <c r="V152" s="32"/>
      <c r="W152" s="32"/>
      <c r="X152" s="32"/>
      <c r="Y152" s="32"/>
      <c r="Z152" s="18"/>
    </row>
    <row r="153">
      <c r="A153" s="19" t="str">
        <f t="shared" si="1"/>
        <v>152-H-15-Iso-Alpha 'Aesthetics and Flair'</v>
      </c>
      <c r="B153" s="27"/>
      <c r="C153" s="21">
        <v>152.0</v>
      </c>
      <c r="D153" s="21" t="s">
        <v>281</v>
      </c>
      <c r="E153" s="21">
        <v>15.0</v>
      </c>
      <c r="F153" s="21" t="s">
        <v>405</v>
      </c>
      <c r="G153" s="19" t="s">
        <v>513</v>
      </c>
      <c r="H153" s="36"/>
      <c r="I153" s="36"/>
      <c r="J153" s="36"/>
      <c r="K153" s="36"/>
      <c r="L153" s="41"/>
      <c r="M153" s="35"/>
      <c r="N153" s="34"/>
      <c r="O153" s="34"/>
      <c r="P153" s="34"/>
      <c r="Q153" s="32"/>
      <c r="R153" s="32"/>
      <c r="S153" s="32"/>
      <c r="T153" s="32"/>
      <c r="U153" s="32"/>
      <c r="V153" s="32"/>
      <c r="W153" s="32"/>
      <c r="X153" s="32"/>
      <c r="Y153" s="32"/>
      <c r="Z153" s="18"/>
    </row>
    <row r="154">
      <c r="A154" s="19" t="str">
        <f t="shared" si="1"/>
        <v>153-H-16-Null-Beta 'Inexplicable Innuendo'</v>
      </c>
      <c r="B154" s="27"/>
      <c r="C154" s="21">
        <v>153.0</v>
      </c>
      <c r="D154" s="21" t="s">
        <v>281</v>
      </c>
      <c r="E154" s="21">
        <v>16.0</v>
      </c>
      <c r="F154" s="21" t="s">
        <v>232</v>
      </c>
      <c r="G154" s="19" t="s">
        <v>514</v>
      </c>
      <c r="H154" s="36"/>
      <c r="I154" s="36"/>
      <c r="J154" s="36"/>
      <c r="K154" s="36"/>
      <c r="L154" s="41"/>
      <c r="M154" s="35"/>
      <c r="N154" s="34"/>
      <c r="O154" s="34"/>
      <c r="P154" s="34"/>
      <c r="Q154" s="32"/>
      <c r="R154" s="32"/>
      <c r="S154" s="32"/>
      <c r="T154" s="32"/>
      <c r="U154" s="32"/>
      <c r="V154" s="32"/>
      <c r="W154" s="32"/>
      <c r="X154" s="32"/>
      <c r="Y154" s="32"/>
      <c r="Z154" s="18"/>
    </row>
    <row r="155">
      <c r="A155" s="19" t="str">
        <f t="shared" si="1"/>
        <v>154-H-17-Null-Gamma 'Classy Contortionist'</v>
      </c>
      <c r="B155" s="27"/>
      <c r="C155" s="21">
        <v>154.0</v>
      </c>
      <c r="D155" s="21" t="s">
        <v>281</v>
      </c>
      <c r="E155" s="21">
        <v>17.0</v>
      </c>
      <c r="F155" s="21" t="s">
        <v>249</v>
      </c>
      <c r="G155" s="19" t="s">
        <v>515</v>
      </c>
      <c r="H155" s="36"/>
      <c r="I155" s="36"/>
      <c r="J155" s="36"/>
      <c r="K155" s="36"/>
      <c r="L155" s="41"/>
      <c r="M155" s="35"/>
      <c r="N155" s="34"/>
      <c r="O155" s="34"/>
      <c r="P155" s="34"/>
      <c r="Q155" s="32"/>
      <c r="R155" s="32"/>
      <c r="S155" s="32"/>
      <c r="T155" s="32"/>
      <c r="U155" s="32"/>
      <c r="V155" s="32"/>
      <c r="W155" s="32"/>
      <c r="X155" s="32"/>
      <c r="Y155" s="32"/>
      <c r="Z155" s="18"/>
    </row>
    <row r="156">
      <c r="A156" s="19" t="str">
        <f t="shared" si="1"/>
        <v>155-G-5-Di-Alpha 'Heretical Adaptation'</v>
      </c>
      <c r="B156" s="19" t="s">
        <v>260</v>
      </c>
      <c r="C156" s="21">
        <v>155.0</v>
      </c>
      <c r="D156" s="21" t="s">
        <v>303</v>
      </c>
      <c r="E156" s="21">
        <v>5.0</v>
      </c>
      <c r="F156" s="21" t="s">
        <v>382</v>
      </c>
      <c r="G156" s="19" t="s">
        <v>516</v>
      </c>
      <c r="H156" s="36"/>
      <c r="I156" s="36"/>
      <c r="J156" s="36"/>
      <c r="K156" s="36"/>
      <c r="L156" s="41"/>
      <c r="M156" s="35"/>
      <c r="N156" s="34"/>
      <c r="O156" s="34"/>
      <c r="P156" s="34"/>
      <c r="Q156" s="32"/>
      <c r="R156" s="32"/>
      <c r="S156" s="32"/>
      <c r="T156" s="32"/>
      <c r="U156" s="32"/>
      <c r="V156" s="32"/>
      <c r="W156" s="32"/>
      <c r="X156" s="32"/>
      <c r="Y156" s="32"/>
      <c r="Z156" s="18"/>
    </row>
    <row r="157">
      <c r="A157" s="19" t="str">
        <f t="shared" si="1"/>
        <v>156-G-6-Null-Beta 'Calling Card'</v>
      </c>
      <c r="B157" s="27"/>
      <c r="C157" s="21">
        <v>156.0</v>
      </c>
      <c r="D157" s="21" t="s">
        <v>303</v>
      </c>
      <c r="E157" s="21">
        <v>6.0</v>
      </c>
      <c r="F157" s="21" t="s">
        <v>232</v>
      </c>
      <c r="G157" s="19" t="s">
        <v>517</v>
      </c>
      <c r="H157" s="36"/>
      <c r="I157" s="36"/>
      <c r="J157" s="36"/>
      <c r="K157" s="36"/>
      <c r="L157" s="41"/>
      <c r="M157" s="35"/>
      <c r="N157" s="34"/>
      <c r="O157" s="34"/>
      <c r="P157" s="34"/>
      <c r="Q157" s="32"/>
      <c r="R157" s="32"/>
      <c r="S157" s="32"/>
      <c r="T157" s="32"/>
      <c r="U157" s="32"/>
      <c r="V157" s="32"/>
      <c r="W157" s="32"/>
      <c r="X157" s="32"/>
      <c r="Y157" s="32"/>
      <c r="Z157" s="18"/>
    </row>
    <row r="158">
      <c r="A158" s="19" t="str">
        <f t="shared" si="1"/>
        <v>157-J-13-Tri-Alpha 'Scrapyard Skills'</v>
      </c>
      <c r="B158" s="27"/>
      <c r="C158" s="21">
        <v>157.0</v>
      </c>
      <c r="D158" s="21" t="s">
        <v>324</v>
      </c>
      <c r="E158" s="21">
        <v>13.0</v>
      </c>
      <c r="F158" s="21" t="s">
        <v>433</v>
      </c>
      <c r="G158" s="19" t="s">
        <v>518</v>
      </c>
      <c r="H158" s="36"/>
      <c r="I158" s="36"/>
      <c r="J158" s="36"/>
      <c r="K158" s="36"/>
      <c r="L158" s="41"/>
      <c r="M158" s="35"/>
      <c r="N158" s="34"/>
      <c r="O158" s="34"/>
      <c r="P158" s="34"/>
      <c r="Q158" s="32"/>
      <c r="R158" s="32"/>
      <c r="S158" s="32"/>
      <c r="T158" s="32"/>
      <c r="U158" s="32"/>
      <c r="V158" s="32"/>
      <c r="W158" s="32"/>
      <c r="X158" s="32"/>
      <c r="Y158" s="32"/>
      <c r="Z158" s="18"/>
    </row>
    <row r="159">
      <c r="A159" s="19" t="str">
        <f t="shared" si="1"/>
        <v>158-J-14-Null-Beta 'Rockin' Music'</v>
      </c>
      <c r="B159" s="27"/>
      <c r="C159" s="21">
        <v>158.0</v>
      </c>
      <c r="D159" s="21" t="s">
        <v>324</v>
      </c>
      <c r="E159" s="21">
        <v>14.0</v>
      </c>
      <c r="F159" s="21" t="s">
        <v>232</v>
      </c>
      <c r="G159" s="19" t="s">
        <v>519</v>
      </c>
      <c r="H159" s="36"/>
      <c r="I159" s="36"/>
      <c r="J159" s="36"/>
      <c r="K159" s="36"/>
      <c r="L159" s="41"/>
      <c r="M159" s="35"/>
      <c r="N159" s="34"/>
      <c r="O159" s="34"/>
      <c r="P159" s="34"/>
      <c r="Q159" s="32"/>
      <c r="R159" s="32"/>
      <c r="S159" s="32"/>
      <c r="T159" s="32"/>
      <c r="U159" s="32"/>
      <c r="V159" s="32"/>
      <c r="W159" s="32"/>
      <c r="X159" s="32"/>
      <c r="Y159" s="32"/>
      <c r="Z159" s="18"/>
    </row>
    <row r="160">
      <c r="A160" s="19" t="str">
        <f t="shared" si="1"/>
        <v>159-B-27-Tri 'Valkyrian Science'</v>
      </c>
      <c r="B160" s="27"/>
      <c r="C160" s="21">
        <v>159.0</v>
      </c>
      <c r="D160" s="21" t="s">
        <v>234</v>
      </c>
      <c r="E160" s="21">
        <v>27.0</v>
      </c>
      <c r="F160" s="21" t="s">
        <v>330</v>
      </c>
      <c r="G160" s="19" t="s">
        <v>520</v>
      </c>
      <c r="H160" s="36"/>
      <c r="I160" s="36"/>
      <c r="J160" s="36"/>
      <c r="K160" s="36"/>
      <c r="L160" s="41"/>
      <c r="M160" s="35"/>
      <c r="N160" s="34"/>
      <c r="O160" s="34"/>
      <c r="P160" s="34"/>
      <c r="Q160" s="32"/>
      <c r="R160" s="32"/>
      <c r="S160" s="32"/>
      <c r="T160" s="32"/>
      <c r="U160" s="32"/>
      <c r="V160" s="32"/>
      <c r="W160" s="32"/>
      <c r="X160" s="32"/>
      <c r="Y160" s="32"/>
      <c r="Z160" s="18"/>
    </row>
    <row r="161">
      <c r="A161" s="19" t="str">
        <f t="shared" si="1"/>
        <v>160-C-7-Tri 'Valuable Memories: the creation of chimeras'</v>
      </c>
      <c r="B161" s="27"/>
      <c r="C161" s="21">
        <v>160.0</v>
      </c>
      <c r="D161" s="21" t="s">
        <v>251</v>
      </c>
      <c r="E161" s="21">
        <v>7.0</v>
      </c>
      <c r="F161" s="21" t="s">
        <v>330</v>
      </c>
      <c r="G161" s="19" t="s">
        <v>521</v>
      </c>
      <c r="H161" s="36"/>
      <c r="I161" s="36"/>
      <c r="J161" s="36"/>
      <c r="K161" s="36"/>
      <c r="L161" s="41"/>
      <c r="M161" s="35"/>
      <c r="N161" s="34"/>
      <c r="O161" s="34"/>
      <c r="P161" s="34"/>
      <c r="Q161" s="32"/>
      <c r="R161" s="32"/>
      <c r="S161" s="32"/>
      <c r="T161" s="32"/>
      <c r="U161" s="32"/>
      <c r="V161" s="32"/>
      <c r="W161" s="32"/>
      <c r="X161" s="32"/>
      <c r="Y161" s="32"/>
      <c r="Z161" s="18"/>
    </row>
    <row r="162">
      <c r="A162" s="19" t="str">
        <f t="shared" si="1"/>
        <v>161-J-15-Quad 'Mauler'</v>
      </c>
      <c r="B162" s="27"/>
      <c r="C162" s="21">
        <v>161.0</v>
      </c>
      <c r="D162" s="21" t="s">
        <v>324</v>
      </c>
      <c r="E162" s="21">
        <v>15.0</v>
      </c>
      <c r="F162" s="21" t="s">
        <v>359</v>
      </c>
      <c r="G162" s="19" t="s">
        <v>522</v>
      </c>
      <c r="H162" s="36"/>
      <c r="I162" s="36"/>
      <c r="J162" s="36"/>
      <c r="K162" s="36"/>
      <c r="L162" s="41"/>
      <c r="M162" s="35"/>
      <c r="N162" s="34"/>
      <c r="O162" s="34"/>
      <c r="P162" s="34"/>
      <c r="Q162" s="32"/>
      <c r="R162" s="32"/>
      <c r="S162" s="32"/>
      <c r="T162" s="32"/>
      <c r="U162" s="32"/>
      <c r="V162" s="32"/>
      <c r="W162" s="32"/>
      <c r="X162" s="32"/>
      <c r="Y162" s="32"/>
      <c r="Z162" s="18"/>
    </row>
    <row r="163">
      <c r="A163" s="19" t="str">
        <f t="shared" si="1"/>
        <v>162-K-4-Quad 'Technosorcery'</v>
      </c>
      <c r="B163" s="27"/>
      <c r="C163" s="21">
        <v>162.0</v>
      </c>
      <c r="D163" s="21" t="s">
        <v>332</v>
      </c>
      <c r="E163" s="21">
        <v>4.0</v>
      </c>
      <c r="F163" s="21" t="s">
        <v>359</v>
      </c>
      <c r="G163" s="19" t="s">
        <v>523</v>
      </c>
      <c r="H163" s="36"/>
      <c r="I163" s="36"/>
      <c r="J163" s="36"/>
      <c r="K163" s="36"/>
      <c r="L163" s="41"/>
      <c r="M163" s="35"/>
      <c r="N163" s="34"/>
      <c r="O163" s="34"/>
      <c r="P163" s="34"/>
      <c r="Q163" s="32"/>
      <c r="R163" s="32"/>
      <c r="S163" s="32"/>
      <c r="T163" s="32"/>
      <c r="U163" s="32"/>
      <c r="V163" s="32"/>
      <c r="W163" s="32"/>
      <c r="X163" s="32"/>
      <c r="Y163" s="32"/>
      <c r="Z163" s="18"/>
    </row>
    <row r="164">
      <c r="A164" s="19" t="str">
        <f t="shared" si="1"/>
        <v>163-F-8-Tri 'Tailor'</v>
      </c>
      <c r="B164" s="19" t="s">
        <v>259</v>
      </c>
      <c r="C164" s="21">
        <v>163.0</v>
      </c>
      <c r="D164" s="21" t="s">
        <v>265</v>
      </c>
      <c r="E164" s="21">
        <v>8.0</v>
      </c>
      <c r="F164" s="21" t="s">
        <v>330</v>
      </c>
      <c r="G164" s="19" t="s">
        <v>524</v>
      </c>
      <c r="H164" s="36"/>
      <c r="I164" s="36"/>
      <c r="J164" s="36"/>
      <c r="K164" s="36"/>
      <c r="L164" s="41"/>
      <c r="M164" s="35"/>
      <c r="N164" s="34"/>
      <c r="O164" s="34"/>
      <c r="P164" s="34"/>
      <c r="Q164" s="32"/>
      <c r="R164" s="32"/>
      <c r="S164" s="32"/>
      <c r="T164" s="32"/>
      <c r="U164" s="32"/>
      <c r="V164" s="32"/>
      <c r="W164" s="32"/>
      <c r="X164" s="32"/>
      <c r="Y164" s="32"/>
      <c r="Z164" s="18"/>
    </row>
    <row r="165">
      <c r="A165" s="19" t="str">
        <f t="shared" si="1"/>
        <v>164-C-8-Di-Alpha 'Anaheim Degree'</v>
      </c>
      <c r="B165" s="27"/>
      <c r="C165" s="21">
        <v>164.0</v>
      </c>
      <c r="D165" s="21" t="s">
        <v>251</v>
      </c>
      <c r="E165" s="21">
        <v>8.0</v>
      </c>
      <c r="F165" s="21" t="s">
        <v>382</v>
      </c>
      <c r="G165" s="19" t="s">
        <v>525</v>
      </c>
      <c r="H165" s="36"/>
      <c r="I165" s="36"/>
      <c r="J165" s="36"/>
      <c r="K165" s="36"/>
      <c r="L165" s="41"/>
      <c r="M165" s="35"/>
      <c r="N165" s="34"/>
      <c r="O165" s="34"/>
      <c r="P165" s="34"/>
      <c r="Q165" s="32"/>
      <c r="R165" s="32"/>
      <c r="S165" s="32"/>
      <c r="T165" s="32"/>
      <c r="U165" s="32"/>
      <c r="V165" s="32"/>
      <c r="W165" s="32"/>
      <c r="X165" s="32"/>
      <c r="Y165" s="32"/>
      <c r="Z165" s="18"/>
    </row>
    <row r="166">
      <c r="A166" s="19" t="str">
        <f t="shared" si="1"/>
        <v>165-C-9-Null-Beta 'Mass Production Mobile Suit: Gun-EZ'</v>
      </c>
      <c r="B166" s="19" t="s">
        <v>239</v>
      </c>
      <c r="C166" s="21">
        <v>165.0</v>
      </c>
      <c r="D166" s="21" t="s">
        <v>251</v>
      </c>
      <c r="E166" s="21">
        <v>9.0</v>
      </c>
      <c r="F166" s="21" t="s">
        <v>232</v>
      </c>
      <c r="G166" s="19" t="s">
        <v>526</v>
      </c>
      <c r="H166" s="36"/>
      <c r="I166" s="36"/>
      <c r="J166" s="36"/>
      <c r="K166" s="36"/>
      <c r="L166" s="41"/>
      <c r="M166" s="35"/>
      <c r="N166" s="34"/>
      <c r="O166" s="34"/>
      <c r="P166" s="34"/>
      <c r="Q166" s="32"/>
      <c r="R166" s="32"/>
      <c r="S166" s="32"/>
      <c r="T166" s="32"/>
      <c r="U166" s="32"/>
      <c r="V166" s="32"/>
      <c r="W166" s="32"/>
      <c r="X166" s="32"/>
      <c r="Y166" s="32"/>
      <c r="Z166" s="18"/>
    </row>
    <row r="167">
      <c r="A167" s="19" t="str">
        <f t="shared" si="1"/>
        <v>166-C-10-Null-Gamma 'Hangar'</v>
      </c>
      <c r="B167" s="19" t="s">
        <v>256</v>
      </c>
      <c r="C167" s="21">
        <v>166.0</v>
      </c>
      <c r="D167" s="21" t="s">
        <v>251</v>
      </c>
      <c r="E167" s="21">
        <v>10.0</v>
      </c>
      <c r="F167" s="21" t="s">
        <v>249</v>
      </c>
      <c r="G167" s="19" t="s">
        <v>464</v>
      </c>
      <c r="H167" s="36"/>
      <c r="I167" s="36"/>
      <c r="J167" s="36"/>
      <c r="K167" s="36"/>
      <c r="L167" s="41"/>
      <c r="M167" s="35"/>
      <c r="N167" s="34"/>
      <c r="O167" s="34"/>
      <c r="P167" s="34"/>
      <c r="Q167" s="32"/>
      <c r="R167" s="32"/>
      <c r="S167" s="32"/>
      <c r="T167" s="32"/>
      <c r="U167" s="32"/>
      <c r="V167" s="32"/>
      <c r="W167" s="32"/>
      <c r="X167" s="32"/>
      <c r="Y167" s="32"/>
      <c r="Z167" s="18"/>
    </row>
    <row r="168">
      <c r="A168" s="19" t="str">
        <f t="shared" si="1"/>
        <v>167-H-18-Quad-Alpha 'Exotic Compatibility'</v>
      </c>
      <c r="B168" s="19" t="s">
        <v>308</v>
      </c>
      <c r="C168" s="21">
        <v>167.0</v>
      </c>
      <c r="D168" s="21" t="s">
        <v>281</v>
      </c>
      <c r="E168" s="21">
        <v>18.0</v>
      </c>
      <c r="F168" s="21" t="s">
        <v>527</v>
      </c>
      <c r="G168" s="19" t="s">
        <v>528</v>
      </c>
      <c r="H168" s="36"/>
      <c r="I168" s="36"/>
      <c r="J168" s="36"/>
      <c r="K168" s="36"/>
      <c r="L168" s="41"/>
      <c r="M168" s="35"/>
      <c r="N168" s="34"/>
      <c r="O168" s="34"/>
      <c r="P168" s="34"/>
      <c r="Q168" s="32"/>
      <c r="R168" s="32"/>
      <c r="S168" s="32"/>
      <c r="T168" s="32"/>
      <c r="U168" s="32"/>
      <c r="V168" s="32"/>
      <c r="W168" s="32"/>
      <c r="X168" s="32"/>
      <c r="Y168" s="32"/>
      <c r="Z168" s="18"/>
    </row>
    <row r="169">
      <c r="A169" s="19" t="str">
        <f t="shared" si="1"/>
        <v>168-H-19-Null-Beta 'Leo'</v>
      </c>
      <c r="B169" s="27"/>
      <c r="C169" s="21">
        <v>168.0</v>
      </c>
      <c r="D169" s="21" t="s">
        <v>281</v>
      </c>
      <c r="E169" s="21">
        <v>19.0</v>
      </c>
      <c r="F169" s="21" t="s">
        <v>232</v>
      </c>
      <c r="G169" s="19" t="s">
        <v>529</v>
      </c>
      <c r="H169" s="36"/>
      <c r="I169" s="36"/>
      <c r="J169" s="36"/>
      <c r="K169" s="36"/>
      <c r="L169" s="41"/>
      <c r="M169" s="35"/>
      <c r="N169" s="34"/>
      <c r="O169" s="34"/>
      <c r="P169" s="34"/>
      <c r="Q169" s="32"/>
      <c r="R169" s="32"/>
      <c r="S169" s="32"/>
      <c r="T169" s="32"/>
      <c r="U169" s="32"/>
      <c r="V169" s="32"/>
      <c r="W169" s="32"/>
      <c r="X169" s="32"/>
      <c r="Y169" s="32"/>
      <c r="Z169" s="18"/>
    </row>
    <row r="170">
      <c r="A170" s="19" t="str">
        <f t="shared" si="1"/>
        <v>169-F-9-Iso 'Talented: Tailoring'</v>
      </c>
      <c r="B170" s="19" t="s">
        <v>276</v>
      </c>
      <c r="C170" s="21">
        <v>169.0</v>
      </c>
      <c r="D170" s="21" t="s">
        <v>265</v>
      </c>
      <c r="E170" s="21">
        <v>9.0</v>
      </c>
      <c r="F170" s="21" t="s">
        <v>282</v>
      </c>
      <c r="G170" s="19" t="s">
        <v>530</v>
      </c>
      <c r="H170" s="36"/>
      <c r="I170" s="36"/>
      <c r="J170" s="36"/>
      <c r="K170" s="36"/>
      <c r="L170" s="41"/>
      <c r="M170" s="35"/>
      <c r="N170" s="34"/>
      <c r="O170" s="34"/>
      <c r="P170" s="34"/>
      <c r="Q170" s="32"/>
      <c r="R170" s="32"/>
      <c r="S170" s="32"/>
      <c r="T170" s="32"/>
      <c r="U170" s="32"/>
      <c r="V170" s="32"/>
      <c r="W170" s="32"/>
      <c r="X170" s="32"/>
      <c r="Y170" s="32"/>
      <c r="Z170" s="18"/>
    </row>
    <row r="171">
      <c r="A171" s="19" t="str">
        <f t="shared" si="1"/>
        <v>170-C-11-Tri 'Valueable Memories: Bigs'</v>
      </c>
      <c r="B171" s="27"/>
      <c r="C171" s="21">
        <v>170.0</v>
      </c>
      <c r="D171" s="21" t="s">
        <v>251</v>
      </c>
      <c r="E171" s="21">
        <v>11.0</v>
      </c>
      <c r="F171" s="21" t="s">
        <v>330</v>
      </c>
      <c r="G171" s="19" t="s">
        <v>531</v>
      </c>
      <c r="H171" s="36"/>
      <c r="I171" s="36"/>
      <c r="J171" s="36"/>
      <c r="K171" s="36"/>
      <c r="L171" s="41"/>
      <c r="M171" s="35"/>
      <c r="N171" s="34"/>
      <c r="O171" s="34"/>
      <c r="P171" s="34"/>
      <c r="Q171" s="32"/>
      <c r="R171" s="32"/>
      <c r="S171" s="32"/>
      <c r="T171" s="32"/>
      <c r="U171" s="32"/>
      <c r="V171" s="32"/>
      <c r="W171" s="32"/>
      <c r="X171" s="32"/>
      <c r="Y171" s="32"/>
      <c r="Z171" s="18"/>
    </row>
    <row r="172">
      <c r="A172" s="19" t="str">
        <f t="shared" si="1"/>
        <v>171-G-7-Tri-Alpha 'That Undefinable Thing'</v>
      </c>
      <c r="B172" s="19" t="s">
        <v>277</v>
      </c>
      <c r="C172" s="21">
        <v>171.0</v>
      </c>
      <c r="D172" s="21" t="s">
        <v>303</v>
      </c>
      <c r="E172" s="21">
        <v>7.0</v>
      </c>
      <c r="F172" s="21" t="s">
        <v>433</v>
      </c>
      <c r="G172" s="19" t="s">
        <v>532</v>
      </c>
      <c r="H172" s="36"/>
      <c r="I172" s="36"/>
      <c r="J172" s="36"/>
      <c r="K172" s="36"/>
      <c r="L172" s="41"/>
      <c r="M172" s="35"/>
      <c r="N172" s="34"/>
      <c r="O172" s="34"/>
      <c r="P172" s="34"/>
      <c r="Q172" s="32"/>
      <c r="R172" s="32"/>
      <c r="S172" s="32"/>
      <c r="T172" s="32"/>
      <c r="U172" s="32"/>
      <c r="V172" s="32"/>
      <c r="W172" s="32"/>
      <c r="X172" s="32"/>
      <c r="Y172" s="32"/>
      <c r="Z172" s="18"/>
    </row>
    <row r="173">
      <c r="A173" s="19" t="str">
        <f t="shared" si="1"/>
        <v>172-G-8-Null-Beta 'Iconic Outfit'</v>
      </c>
      <c r="B173" s="27"/>
      <c r="C173" s="21">
        <v>172.0</v>
      </c>
      <c r="D173" s="21" t="s">
        <v>303</v>
      </c>
      <c r="E173" s="21">
        <v>8.0</v>
      </c>
      <c r="F173" s="21" t="s">
        <v>232</v>
      </c>
      <c r="G173" s="19" t="s">
        <v>533</v>
      </c>
      <c r="H173" s="36"/>
      <c r="I173" s="36"/>
      <c r="J173" s="36"/>
      <c r="K173" s="36"/>
      <c r="L173" s="41"/>
      <c r="M173" s="35"/>
      <c r="N173" s="34"/>
      <c r="O173" s="34"/>
      <c r="P173" s="34"/>
      <c r="Q173" s="32"/>
      <c r="R173" s="32"/>
      <c r="S173" s="32"/>
      <c r="T173" s="32"/>
      <c r="U173" s="32"/>
      <c r="V173" s="32"/>
      <c r="W173" s="32"/>
      <c r="X173" s="32"/>
      <c r="Y173" s="32"/>
      <c r="Z173" s="18"/>
    </row>
    <row r="174">
      <c r="A174" s="19" t="str">
        <f t="shared" si="1"/>
        <v>173-G-9-Null-Gamma 'Questionably Practical Weapon'</v>
      </c>
      <c r="B174" s="27"/>
      <c r="C174" s="21">
        <v>173.0</v>
      </c>
      <c r="D174" s="21" t="s">
        <v>303</v>
      </c>
      <c r="E174" s="21">
        <v>9.0</v>
      </c>
      <c r="F174" s="21" t="s">
        <v>249</v>
      </c>
      <c r="G174" s="19" t="s">
        <v>534</v>
      </c>
      <c r="H174" s="36"/>
      <c r="I174" s="36"/>
      <c r="J174" s="36"/>
      <c r="K174" s="36"/>
      <c r="L174" s="41"/>
      <c r="M174" s="35"/>
      <c r="N174" s="34"/>
      <c r="O174" s="34"/>
      <c r="P174" s="34"/>
      <c r="Q174" s="32"/>
      <c r="R174" s="32"/>
      <c r="S174" s="32"/>
      <c r="T174" s="32"/>
      <c r="U174" s="32"/>
      <c r="V174" s="32"/>
      <c r="W174" s="32"/>
      <c r="X174" s="32"/>
      <c r="Y174" s="32"/>
      <c r="Z174" s="18"/>
    </row>
    <row r="175">
      <c r="A175" s="19" t="str">
        <f t="shared" si="1"/>
        <v>174-A-37-Iso-Echo 'Workshop: Woodworking'</v>
      </c>
      <c r="B175" s="27"/>
      <c r="C175" s="21">
        <v>174.0</v>
      </c>
      <c r="D175" s="21" t="s">
        <v>213</v>
      </c>
      <c r="E175" s="21">
        <v>37.0</v>
      </c>
      <c r="F175" s="21" t="s">
        <v>373</v>
      </c>
      <c r="G175" s="19" t="s">
        <v>535</v>
      </c>
      <c r="H175" s="36"/>
      <c r="I175" s="36"/>
      <c r="J175" s="36"/>
      <c r="K175" s="36"/>
      <c r="L175" s="41"/>
      <c r="M175" s="35"/>
      <c r="N175" s="34"/>
      <c r="O175" s="34"/>
      <c r="P175" s="34"/>
      <c r="Q175" s="32"/>
      <c r="R175" s="32"/>
      <c r="S175" s="32"/>
      <c r="T175" s="32"/>
      <c r="U175" s="32"/>
      <c r="V175" s="32"/>
      <c r="W175" s="32"/>
      <c r="X175" s="32"/>
      <c r="Y175" s="32"/>
      <c r="Z175" s="18"/>
    </row>
    <row r="176">
      <c r="A176" s="19" t="str">
        <f t="shared" si="1"/>
        <v>175-F-10-Tri 'Super Sea Snails'</v>
      </c>
      <c r="B176" s="27"/>
      <c r="C176" s="21">
        <v>175.0</v>
      </c>
      <c r="D176" s="21" t="s">
        <v>265</v>
      </c>
      <c r="E176" s="21">
        <v>10.0</v>
      </c>
      <c r="F176" s="21" t="s">
        <v>330</v>
      </c>
      <c r="G176" s="19" t="s">
        <v>536</v>
      </c>
      <c r="H176" s="36"/>
      <c r="I176" s="36"/>
      <c r="J176" s="36"/>
      <c r="K176" s="36"/>
      <c r="L176" s="41"/>
      <c r="M176" s="35"/>
      <c r="N176" s="34"/>
      <c r="O176" s="34"/>
      <c r="P176" s="34"/>
      <c r="Q176" s="32"/>
      <c r="R176" s="32"/>
      <c r="S176" s="32"/>
      <c r="T176" s="32"/>
      <c r="U176" s="32"/>
      <c r="V176" s="32"/>
      <c r="W176" s="32"/>
      <c r="X176" s="32"/>
      <c r="Y176" s="32"/>
      <c r="Z176" s="18"/>
    </row>
    <row r="177">
      <c r="A177" s="19" t="str">
        <f t="shared" si="1"/>
        <v>176-A-38-Iso-Alpha 'Armor-Shift Manufacture'</v>
      </c>
      <c r="B177" s="27"/>
      <c r="C177" s="21">
        <v>176.0</v>
      </c>
      <c r="D177" s="21" t="s">
        <v>213</v>
      </c>
      <c r="E177" s="21">
        <v>38.0</v>
      </c>
      <c r="F177" s="21" t="s">
        <v>405</v>
      </c>
      <c r="G177" s="19" t="s">
        <v>537</v>
      </c>
      <c r="H177" s="36"/>
      <c r="I177" s="36"/>
      <c r="J177" s="36"/>
      <c r="K177" s="36"/>
      <c r="L177" s="41"/>
      <c r="M177" s="35"/>
      <c r="N177" s="34"/>
      <c r="O177" s="34"/>
      <c r="P177" s="34"/>
      <c r="Q177" s="32"/>
      <c r="R177" s="32"/>
      <c r="S177" s="32"/>
      <c r="T177" s="32"/>
      <c r="U177" s="32"/>
      <c r="V177" s="32"/>
      <c r="W177" s="32"/>
      <c r="X177" s="32"/>
      <c r="Y177" s="32"/>
      <c r="Z177" s="18"/>
    </row>
    <row r="178">
      <c r="A178" s="19" t="str">
        <f t="shared" si="1"/>
        <v>177-A-39-Null-Beta 'Beast Change! – Inostrancevia'</v>
      </c>
      <c r="B178" s="27"/>
      <c r="C178" s="21">
        <v>177.0</v>
      </c>
      <c r="D178" s="21" t="s">
        <v>213</v>
      </c>
      <c r="E178" s="21">
        <v>39.0</v>
      </c>
      <c r="F178" s="21" t="s">
        <v>232</v>
      </c>
      <c r="G178" s="19" t="s">
        <v>538</v>
      </c>
      <c r="H178" s="36"/>
      <c r="I178" s="36"/>
      <c r="J178" s="36"/>
      <c r="K178" s="36"/>
      <c r="L178" s="41"/>
      <c r="M178" s="35"/>
      <c r="N178" s="34"/>
      <c r="O178" s="34"/>
      <c r="P178" s="34"/>
      <c r="Q178" s="32"/>
      <c r="R178" s="32"/>
      <c r="S178" s="32"/>
      <c r="T178" s="32"/>
      <c r="U178" s="32"/>
      <c r="V178" s="32"/>
      <c r="W178" s="32"/>
      <c r="X178" s="32"/>
      <c r="Y178" s="32"/>
      <c r="Z178" s="18"/>
    </row>
    <row r="179">
      <c r="A179" s="19" t="str">
        <f t="shared" si="1"/>
        <v>178-A-40-Null-Gamma 'Martial Artist: Muay Thai'</v>
      </c>
      <c r="B179" s="27"/>
      <c r="C179" s="21">
        <v>178.0</v>
      </c>
      <c r="D179" s="21" t="s">
        <v>213</v>
      </c>
      <c r="E179" s="21">
        <v>40.0</v>
      </c>
      <c r="F179" s="21" t="s">
        <v>249</v>
      </c>
      <c r="G179" s="19" t="s">
        <v>539</v>
      </c>
      <c r="H179" s="36"/>
      <c r="I179" s="36"/>
      <c r="J179" s="36"/>
      <c r="K179" s="36"/>
      <c r="L179" s="41"/>
      <c r="M179" s="35"/>
      <c r="N179" s="34"/>
      <c r="O179" s="34"/>
      <c r="P179" s="34"/>
      <c r="Q179" s="32"/>
      <c r="R179" s="32"/>
      <c r="S179" s="32"/>
      <c r="T179" s="32"/>
      <c r="U179" s="32"/>
      <c r="V179" s="32"/>
      <c r="W179" s="32"/>
      <c r="X179" s="32"/>
      <c r="Y179" s="32"/>
      <c r="Z179" s="18"/>
    </row>
    <row r="180">
      <c r="A180" s="19" t="str">
        <f t="shared" si="1"/>
        <v>179-H-20-Quad-Alpha 'Secret of Steel'</v>
      </c>
      <c r="B180" s="19" t="s">
        <v>315</v>
      </c>
      <c r="C180" s="21">
        <v>179.0</v>
      </c>
      <c r="D180" s="21" t="s">
        <v>281</v>
      </c>
      <c r="E180" s="21">
        <v>20.0</v>
      </c>
      <c r="F180" s="21" t="s">
        <v>527</v>
      </c>
      <c r="G180" s="19" t="s">
        <v>540</v>
      </c>
      <c r="H180" s="36"/>
      <c r="I180" s="36"/>
      <c r="J180" s="36"/>
      <c r="K180" s="36"/>
      <c r="L180" s="41"/>
      <c r="M180" s="35"/>
      <c r="N180" s="34"/>
      <c r="O180" s="34"/>
      <c r="P180" s="34"/>
      <c r="Q180" s="32"/>
      <c r="R180" s="32"/>
      <c r="S180" s="32"/>
      <c r="T180" s="32"/>
      <c r="U180" s="32"/>
      <c r="V180" s="32"/>
      <c r="W180" s="32"/>
      <c r="X180" s="32"/>
      <c r="Y180" s="32"/>
      <c r="Z180" s="18"/>
    </row>
    <row r="181">
      <c r="A181" s="19" t="str">
        <f t="shared" si="1"/>
        <v>180-H-21-Null-Beta 'Katsujinken'</v>
      </c>
      <c r="B181" s="27"/>
      <c r="C181" s="21">
        <v>180.0</v>
      </c>
      <c r="D181" s="21" t="s">
        <v>281</v>
      </c>
      <c r="E181" s="21">
        <v>21.0</v>
      </c>
      <c r="F181" s="21" t="s">
        <v>232</v>
      </c>
      <c r="G181" s="19" t="s">
        <v>541</v>
      </c>
      <c r="H181" s="36"/>
      <c r="I181" s="36"/>
      <c r="J181" s="36"/>
      <c r="K181" s="36"/>
      <c r="L181" s="41"/>
      <c r="M181" s="35"/>
      <c r="N181" s="34"/>
      <c r="O181" s="34"/>
      <c r="P181" s="34"/>
      <c r="Q181" s="32"/>
      <c r="R181" s="32"/>
      <c r="S181" s="32"/>
      <c r="T181" s="32"/>
      <c r="U181" s="32"/>
      <c r="V181" s="32"/>
      <c r="W181" s="32"/>
      <c r="X181" s="32"/>
      <c r="Y181" s="32"/>
      <c r="Z181" s="18"/>
    </row>
    <row r="182">
      <c r="A182" s="19" t="str">
        <f t="shared" si="1"/>
        <v>181-H-22-Null-Gamma 'Sei Ki'</v>
      </c>
      <c r="B182" s="27"/>
      <c r="C182" s="21">
        <v>181.0</v>
      </c>
      <c r="D182" s="21" t="s">
        <v>281</v>
      </c>
      <c r="E182" s="21">
        <v>22.0</v>
      </c>
      <c r="F182" s="21" t="s">
        <v>249</v>
      </c>
      <c r="G182" s="19" t="s">
        <v>542</v>
      </c>
      <c r="H182" s="36"/>
      <c r="I182" s="36"/>
      <c r="J182" s="36"/>
      <c r="K182" s="36"/>
      <c r="L182" s="41"/>
      <c r="M182" s="35"/>
      <c r="N182" s="34"/>
      <c r="O182" s="34"/>
      <c r="P182" s="34"/>
      <c r="Q182" s="32"/>
      <c r="R182" s="32"/>
      <c r="S182" s="32"/>
      <c r="T182" s="32"/>
      <c r="U182" s="32"/>
      <c r="V182" s="32"/>
      <c r="W182" s="32"/>
      <c r="X182" s="32"/>
      <c r="Y182" s="32"/>
      <c r="Z182" s="18"/>
    </row>
    <row r="183">
      <c r="A183" s="19" t="str">
        <f t="shared" si="1"/>
        <v>182-H-23-Null-Delta 'Weapons'</v>
      </c>
      <c r="B183" s="27"/>
      <c r="C183" s="21">
        <v>182.0</v>
      </c>
      <c r="D183" s="21" t="s">
        <v>281</v>
      </c>
      <c r="E183" s="21">
        <v>23.0</v>
      </c>
      <c r="F183" s="21" t="s">
        <v>412</v>
      </c>
      <c r="G183" s="19" t="s">
        <v>543</v>
      </c>
      <c r="H183" s="36"/>
      <c r="I183" s="36"/>
      <c r="J183" s="36"/>
      <c r="K183" s="36"/>
      <c r="L183" s="41"/>
      <c r="M183" s="35"/>
      <c r="N183" s="34"/>
      <c r="O183" s="34"/>
      <c r="P183" s="34"/>
      <c r="Q183" s="32"/>
      <c r="R183" s="32"/>
      <c r="S183" s="32"/>
      <c r="T183" s="32"/>
      <c r="U183" s="32"/>
      <c r="V183" s="32"/>
      <c r="W183" s="32"/>
      <c r="X183" s="32"/>
      <c r="Y183" s="32"/>
      <c r="Z183" s="18"/>
    </row>
    <row r="184">
      <c r="A184" s="19" t="str">
        <f t="shared" si="1"/>
        <v>183-H-24-Null-Epsilon 'Martial Arts Ninjutsu'</v>
      </c>
      <c r="B184" s="27"/>
      <c r="C184" s="21">
        <v>183.0</v>
      </c>
      <c r="D184" s="21" t="s">
        <v>281</v>
      </c>
      <c r="E184" s="21">
        <v>24.0</v>
      </c>
      <c r="F184" s="21" t="s">
        <v>414</v>
      </c>
      <c r="G184" s="19" t="s">
        <v>544</v>
      </c>
      <c r="H184" s="36"/>
      <c r="I184" s="36"/>
      <c r="J184" s="36"/>
      <c r="K184" s="36"/>
      <c r="L184" s="41"/>
      <c r="M184" s="35"/>
      <c r="N184" s="34"/>
      <c r="O184" s="34"/>
      <c r="P184" s="34"/>
      <c r="Q184" s="32"/>
      <c r="R184" s="32"/>
      <c r="S184" s="32"/>
      <c r="T184" s="32"/>
      <c r="U184" s="32"/>
      <c r="V184" s="32"/>
      <c r="W184" s="32"/>
      <c r="X184" s="32"/>
      <c r="Y184" s="32"/>
      <c r="Z184" s="18"/>
    </row>
    <row r="185">
      <c r="A185" s="19" t="str">
        <f t="shared" si="1"/>
        <v>184-H-25-Null-Zeta 'Master's Body'</v>
      </c>
      <c r="B185" s="27"/>
      <c r="C185" s="21">
        <v>184.0</v>
      </c>
      <c r="D185" s="21" t="s">
        <v>281</v>
      </c>
      <c r="E185" s="21">
        <v>25.0</v>
      </c>
      <c r="F185" s="21" t="s">
        <v>416</v>
      </c>
      <c r="G185" s="19" t="s">
        <v>545</v>
      </c>
      <c r="H185" s="36"/>
      <c r="I185" s="36"/>
      <c r="J185" s="36"/>
      <c r="K185" s="36"/>
      <c r="L185" s="41"/>
      <c r="M185" s="35"/>
      <c r="N185" s="34"/>
      <c r="O185" s="34"/>
      <c r="P185" s="34"/>
      <c r="Q185" s="32"/>
      <c r="R185" s="32"/>
      <c r="S185" s="32"/>
      <c r="T185" s="32"/>
      <c r="U185" s="32"/>
      <c r="V185" s="32"/>
      <c r="W185" s="32"/>
      <c r="X185" s="32"/>
      <c r="Y185" s="32"/>
      <c r="Z185" s="18"/>
    </row>
    <row r="186">
      <c r="A186" s="19" t="str">
        <f t="shared" si="1"/>
        <v>185-H-26-Null-Eta '"Sword" - Lantern Shield'</v>
      </c>
      <c r="B186" s="27"/>
      <c r="C186" s="21">
        <v>185.0</v>
      </c>
      <c r="D186" s="21" t="s">
        <v>281</v>
      </c>
      <c r="E186" s="21">
        <v>26.0</v>
      </c>
      <c r="F186" s="21" t="s">
        <v>448</v>
      </c>
      <c r="G186" s="19" t="s">
        <v>546</v>
      </c>
      <c r="H186" s="36"/>
      <c r="I186" s="36"/>
      <c r="J186" s="36"/>
      <c r="K186" s="36"/>
      <c r="L186" s="41"/>
      <c r="M186" s="35"/>
      <c r="N186" s="34"/>
      <c r="O186" s="34"/>
      <c r="P186" s="34"/>
      <c r="Q186" s="32"/>
      <c r="R186" s="32"/>
      <c r="S186" s="32"/>
      <c r="T186" s="32"/>
      <c r="U186" s="32"/>
      <c r="V186" s="32"/>
      <c r="W186" s="32"/>
      <c r="X186" s="32"/>
      <c r="Y186" s="32"/>
      <c r="Z186" s="18"/>
    </row>
    <row r="187">
      <c r="A187" s="19" t="str">
        <f t="shared" si="1"/>
        <v>186-A-41-Quad-Alpha 'Prismatic Laboratory'</v>
      </c>
      <c r="B187" s="19" t="s">
        <v>313</v>
      </c>
      <c r="C187" s="21">
        <v>186.0</v>
      </c>
      <c r="D187" s="21" t="s">
        <v>213</v>
      </c>
      <c r="E187" s="21">
        <v>41.0</v>
      </c>
      <c r="F187" s="21" t="s">
        <v>527</v>
      </c>
      <c r="G187" s="19" t="s">
        <v>547</v>
      </c>
      <c r="H187" s="36"/>
      <c r="I187" s="36"/>
      <c r="J187" s="36"/>
      <c r="K187" s="36"/>
      <c r="L187" s="41"/>
      <c r="M187" s="35"/>
      <c r="N187" s="34"/>
      <c r="O187" s="34"/>
      <c r="P187" s="34"/>
      <c r="Q187" s="32"/>
      <c r="R187" s="32"/>
      <c r="S187" s="32"/>
      <c r="T187" s="32"/>
      <c r="U187" s="32"/>
      <c r="V187" s="32"/>
      <c r="W187" s="32"/>
      <c r="X187" s="32"/>
      <c r="Y187" s="32"/>
      <c r="Z187" s="18"/>
    </row>
    <row r="188">
      <c r="A188" s="19" t="str">
        <f t="shared" si="1"/>
        <v>187-A-42-Null-Beta 'St Andrew's Candle'</v>
      </c>
      <c r="B188" s="27"/>
      <c r="C188" s="21">
        <v>187.0</v>
      </c>
      <c r="D188" s="21" t="s">
        <v>213</v>
      </c>
      <c r="E188" s="21">
        <v>42.0</v>
      </c>
      <c r="F188" s="21" t="s">
        <v>232</v>
      </c>
      <c r="G188" s="19" t="s">
        <v>548</v>
      </c>
      <c r="H188" s="36"/>
      <c r="I188" s="36"/>
      <c r="J188" s="36"/>
      <c r="K188" s="36"/>
      <c r="L188" s="41"/>
      <c r="M188" s="35"/>
      <c r="N188" s="34"/>
      <c r="O188" s="34"/>
      <c r="P188" s="34"/>
      <c r="Q188" s="32"/>
      <c r="R188" s="32"/>
      <c r="S188" s="32"/>
      <c r="T188" s="32"/>
      <c r="U188" s="32"/>
      <c r="V188" s="32"/>
      <c r="W188" s="32"/>
      <c r="X188" s="32"/>
      <c r="Y188" s="32"/>
      <c r="Z188" s="18"/>
    </row>
    <row r="189">
      <c r="A189" s="19" t="str">
        <f t="shared" si="1"/>
        <v>188-A-43-Null-Gamma 'Connections: Hell'</v>
      </c>
      <c r="B189" s="19" t="s">
        <v>320</v>
      </c>
      <c r="C189" s="21">
        <v>188.0</v>
      </c>
      <c r="D189" s="21" t="s">
        <v>213</v>
      </c>
      <c r="E189" s="21">
        <v>43.0</v>
      </c>
      <c r="F189" s="21" t="s">
        <v>249</v>
      </c>
      <c r="G189" s="19" t="s">
        <v>549</v>
      </c>
      <c r="H189" s="36"/>
      <c r="I189" s="36"/>
      <c r="J189" s="36"/>
      <c r="K189" s="36"/>
      <c r="L189" s="41"/>
      <c r="M189" s="35"/>
      <c r="N189" s="34"/>
      <c r="O189" s="34"/>
      <c r="P189" s="34"/>
      <c r="Q189" s="32"/>
      <c r="R189" s="32"/>
      <c r="S189" s="32"/>
      <c r="T189" s="32"/>
      <c r="U189" s="32"/>
      <c r="V189" s="32"/>
      <c r="W189" s="32"/>
      <c r="X189" s="32"/>
      <c r="Y189" s="32"/>
      <c r="Z189" s="18"/>
    </row>
    <row r="190">
      <c r="A190" s="19" t="str">
        <f t="shared" si="1"/>
        <v>189-A-44-Null-Dela 'Connections: Rubbery Men'</v>
      </c>
      <c r="B190" s="19" t="s">
        <v>327</v>
      </c>
      <c r="C190" s="21">
        <v>189.0</v>
      </c>
      <c r="D190" s="21" t="s">
        <v>213</v>
      </c>
      <c r="E190" s="21">
        <v>44.0</v>
      </c>
      <c r="F190" s="21" t="s">
        <v>550</v>
      </c>
      <c r="G190" s="19" t="s">
        <v>551</v>
      </c>
      <c r="H190" s="36"/>
      <c r="I190" s="36"/>
      <c r="J190" s="36"/>
      <c r="K190" s="36"/>
      <c r="L190" s="41"/>
      <c r="M190" s="35"/>
      <c r="N190" s="34"/>
      <c r="O190" s="34"/>
      <c r="P190" s="34"/>
      <c r="Q190" s="32"/>
      <c r="R190" s="32"/>
      <c r="S190" s="32"/>
      <c r="T190" s="32"/>
      <c r="U190" s="32"/>
      <c r="V190" s="32"/>
      <c r="W190" s="32"/>
      <c r="X190" s="32"/>
      <c r="Y190" s="32"/>
      <c r="Z190" s="18"/>
    </row>
    <row r="191">
      <c r="A191" s="19" t="str">
        <f t="shared" si="1"/>
        <v>190-A-45-Iso-Alpha 'Striker Artificer Toolkit'</v>
      </c>
      <c r="B191" s="27"/>
      <c r="C191" s="21">
        <v>190.0</v>
      </c>
      <c r="D191" s="21" t="s">
        <v>213</v>
      </c>
      <c r="E191" s="21">
        <v>45.0</v>
      </c>
      <c r="F191" s="21" t="s">
        <v>405</v>
      </c>
      <c r="G191" s="19" t="s">
        <v>552</v>
      </c>
      <c r="H191" s="36"/>
      <c r="I191" s="36"/>
      <c r="J191" s="36"/>
      <c r="K191" s="36"/>
      <c r="L191" s="41"/>
      <c r="M191" s="35"/>
      <c r="N191" s="34"/>
      <c r="O191" s="34"/>
      <c r="P191" s="34"/>
      <c r="Q191" s="32"/>
      <c r="R191" s="32"/>
      <c r="S191" s="32"/>
      <c r="T191" s="32"/>
      <c r="U191" s="32"/>
      <c r="V191" s="32"/>
      <c r="W191" s="32"/>
      <c r="X191" s="32"/>
      <c r="Y191" s="32"/>
      <c r="Z191" s="18"/>
    </row>
    <row r="192">
      <c r="A192" s="19" t="str">
        <f t="shared" si="1"/>
        <v>191-A-46-Null-Beta 'Defensive Sign "Directional Shield"'</v>
      </c>
      <c r="B192" s="27"/>
      <c r="C192" s="21">
        <v>191.0</v>
      </c>
      <c r="D192" s="21" t="s">
        <v>213</v>
      </c>
      <c r="E192" s="21">
        <v>46.0</v>
      </c>
      <c r="F192" s="21" t="s">
        <v>232</v>
      </c>
      <c r="G192" s="19" t="s">
        <v>553</v>
      </c>
      <c r="H192" s="36"/>
      <c r="I192" s="36"/>
      <c r="J192" s="36"/>
      <c r="K192" s="36"/>
      <c r="L192" s="41"/>
      <c r="M192" s="35"/>
      <c r="N192" s="34"/>
      <c r="O192" s="34"/>
      <c r="P192" s="34"/>
      <c r="Q192" s="32"/>
      <c r="R192" s="32"/>
      <c r="S192" s="32"/>
      <c r="T192" s="32"/>
      <c r="U192" s="32"/>
      <c r="V192" s="32"/>
      <c r="W192" s="32"/>
      <c r="X192" s="32"/>
      <c r="Y192" s="32"/>
      <c r="Z192" s="18"/>
    </row>
    <row r="193">
      <c r="A193" s="19" t="str">
        <f t="shared" si="1"/>
        <v>192-A-47-Null-Gamma 'First Generation Striker'</v>
      </c>
      <c r="B193" s="27"/>
      <c r="C193" s="21">
        <v>192.0</v>
      </c>
      <c r="D193" s="21" t="s">
        <v>213</v>
      </c>
      <c r="E193" s="21">
        <v>47.0</v>
      </c>
      <c r="F193" s="21" t="s">
        <v>249</v>
      </c>
      <c r="G193" s="19" t="s">
        <v>554</v>
      </c>
      <c r="H193" s="36"/>
      <c r="I193" s="36"/>
      <c r="J193" s="36"/>
      <c r="K193" s="36"/>
      <c r="L193" s="41"/>
      <c r="M193" s="35"/>
      <c r="N193" s="34"/>
      <c r="O193" s="34"/>
      <c r="P193" s="34"/>
      <c r="Q193" s="32"/>
      <c r="R193" s="32"/>
      <c r="S193" s="32"/>
      <c r="T193" s="32"/>
      <c r="U193" s="32"/>
      <c r="V193" s="32"/>
      <c r="W193" s="32"/>
      <c r="X193" s="32"/>
      <c r="Y193" s="32"/>
      <c r="Z193" s="18"/>
    </row>
    <row r="194">
      <c r="A194" s="19" t="str">
        <f t="shared" si="1"/>
        <v>193-H-27-Iso-Echo 'Minor Blessing Hestia - Hearthfire'</v>
      </c>
      <c r="B194" s="27"/>
      <c r="C194" s="21">
        <v>193.0</v>
      </c>
      <c r="D194" s="21" t="s">
        <v>281</v>
      </c>
      <c r="E194" s="21">
        <v>27.0</v>
      </c>
      <c r="F194" s="21" t="s">
        <v>373</v>
      </c>
      <c r="G194" s="19" t="s">
        <v>555</v>
      </c>
      <c r="H194" s="36"/>
      <c r="I194" s="36"/>
      <c r="J194" s="36"/>
      <c r="K194" s="36"/>
      <c r="L194" s="35"/>
      <c r="M194" s="35"/>
      <c r="N194" s="34"/>
      <c r="O194" s="34"/>
      <c r="P194" s="34"/>
      <c r="Q194" s="32"/>
      <c r="R194" s="32"/>
      <c r="S194" s="32"/>
      <c r="T194" s="32"/>
      <c r="U194" s="32"/>
      <c r="V194" s="32"/>
      <c r="W194" s="32"/>
      <c r="X194" s="32"/>
      <c r="Y194" s="32"/>
      <c r="Z194" s="18"/>
    </row>
    <row r="195">
      <c r="A195" s="19" t="str">
        <f t="shared" si="1"/>
        <v>194-H-28-Di-Echo 'Unnatural Skill: Alchemy'</v>
      </c>
      <c r="B195" s="19" t="s">
        <v>322</v>
      </c>
      <c r="C195" s="21">
        <v>194.0</v>
      </c>
      <c r="D195" s="21" t="s">
        <v>281</v>
      </c>
      <c r="E195" s="21">
        <v>28.0</v>
      </c>
      <c r="F195" s="21" t="s">
        <v>396</v>
      </c>
      <c r="G195" s="19" t="s">
        <v>556</v>
      </c>
      <c r="H195" s="36"/>
      <c r="I195" s="36"/>
      <c r="J195" s="36"/>
      <c r="K195" s="36"/>
      <c r="L195" s="35"/>
      <c r="M195" s="35"/>
      <c r="N195" s="34"/>
      <c r="O195" s="34"/>
      <c r="P195" s="34"/>
      <c r="Q195" s="32"/>
      <c r="R195" s="32"/>
      <c r="S195" s="32"/>
      <c r="T195" s="32"/>
      <c r="U195" s="32"/>
      <c r="V195" s="32"/>
      <c r="W195" s="32"/>
      <c r="X195" s="32"/>
      <c r="Y195" s="32"/>
      <c r="Z195" s="18"/>
    </row>
    <row r="196">
      <c r="A196" s="19" t="str">
        <f t="shared" si="1"/>
        <v>195-G-10-Iso 'Talisman Trained'</v>
      </c>
      <c r="B196" s="27"/>
      <c r="C196" s="21">
        <v>195.0</v>
      </c>
      <c r="D196" s="21" t="s">
        <v>303</v>
      </c>
      <c r="E196" s="21">
        <v>10.0</v>
      </c>
      <c r="F196" s="21" t="s">
        <v>282</v>
      </c>
      <c r="G196" s="19" t="s">
        <v>557</v>
      </c>
      <c r="H196" s="36"/>
      <c r="I196" s="36"/>
      <c r="J196" s="36"/>
      <c r="K196" s="36"/>
      <c r="L196" s="35"/>
      <c r="M196" s="35"/>
      <c r="N196" s="34"/>
      <c r="O196" s="34"/>
      <c r="P196" s="34"/>
      <c r="Q196" s="32"/>
      <c r="R196" s="32"/>
      <c r="S196" s="32"/>
      <c r="T196" s="32"/>
      <c r="U196" s="32"/>
      <c r="V196" s="32"/>
      <c r="W196" s="32"/>
      <c r="X196" s="32"/>
      <c r="Y196" s="32"/>
      <c r="Z196" s="18"/>
    </row>
    <row r="197">
      <c r="A197" s="19" t="str">
        <f t="shared" si="1"/>
        <v>196-G-11-Di 'Talisman Adept'</v>
      </c>
      <c r="B197" s="27"/>
      <c r="C197" s="21">
        <v>196.0</v>
      </c>
      <c r="D197" s="21" t="s">
        <v>303</v>
      </c>
      <c r="E197" s="21">
        <v>11.0</v>
      </c>
      <c r="F197" s="21" t="s">
        <v>266</v>
      </c>
      <c r="G197" s="19" t="s">
        <v>558</v>
      </c>
      <c r="H197" s="36"/>
      <c r="I197" s="36"/>
      <c r="J197" s="36"/>
      <c r="K197" s="36"/>
      <c r="L197" s="35"/>
      <c r="M197" s="35"/>
      <c r="N197" s="34"/>
      <c r="O197" s="34"/>
      <c r="P197" s="34"/>
      <c r="Q197" s="32"/>
      <c r="R197" s="32"/>
      <c r="S197" s="32"/>
      <c r="T197" s="32"/>
      <c r="U197" s="32"/>
      <c r="V197" s="32"/>
      <c r="W197" s="32"/>
      <c r="X197" s="32"/>
      <c r="Y197" s="32"/>
      <c r="Z197" s="18"/>
    </row>
    <row r="198">
      <c r="A198" s="19" t="str">
        <f t="shared" si="1"/>
        <v>197-D-9-Hex 'Build Rome'</v>
      </c>
      <c r="B198" s="19" t="s">
        <v>257</v>
      </c>
      <c r="C198" s="21">
        <v>197.0</v>
      </c>
      <c r="D198" s="21" t="s">
        <v>268</v>
      </c>
      <c r="E198" s="21">
        <v>9.0</v>
      </c>
      <c r="F198" s="21" t="s">
        <v>501</v>
      </c>
      <c r="G198" s="19" t="s">
        <v>559</v>
      </c>
      <c r="H198" s="36"/>
      <c r="I198" s="36"/>
      <c r="J198" s="36"/>
      <c r="K198" s="36"/>
      <c r="L198" s="35"/>
      <c r="M198" s="35"/>
      <c r="N198" s="34"/>
      <c r="O198" s="34"/>
      <c r="P198" s="34"/>
      <c r="Q198" s="32"/>
      <c r="R198" s="32"/>
      <c r="S198" s="32"/>
      <c r="T198" s="32"/>
      <c r="U198" s="32"/>
      <c r="V198" s="32"/>
      <c r="W198" s="32"/>
      <c r="X198" s="32"/>
      <c r="Y198" s="32"/>
      <c r="Z198" s="18"/>
    </row>
    <row r="199">
      <c r="A199" s="19" t="str">
        <f t="shared" si="1"/>
        <v>198-H-29-Di 'Material Synthesis Science'</v>
      </c>
      <c r="B199" s="19" t="s">
        <v>329</v>
      </c>
      <c r="C199" s="21">
        <v>198.0</v>
      </c>
      <c r="D199" s="21" t="s">
        <v>281</v>
      </c>
      <c r="E199" s="21">
        <v>29.0</v>
      </c>
      <c r="F199" s="21" t="s">
        <v>266</v>
      </c>
      <c r="G199" s="19" t="s">
        <v>560</v>
      </c>
      <c r="H199" s="36"/>
      <c r="I199" s="36"/>
      <c r="J199" s="36"/>
      <c r="K199" s="36"/>
      <c r="L199" s="35"/>
      <c r="M199" s="35"/>
      <c r="N199" s="34"/>
      <c r="O199" s="34"/>
      <c r="P199" s="34"/>
      <c r="Q199" s="32"/>
      <c r="R199" s="32"/>
      <c r="S199" s="32"/>
      <c r="T199" s="32"/>
      <c r="U199" s="32"/>
      <c r="V199" s="32"/>
      <c r="W199" s="32"/>
      <c r="X199" s="32"/>
      <c r="Y199" s="32"/>
      <c r="Z199" s="18"/>
    </row>
    <row r="200">
      <c r="A200" s="19" t="str">
        <f t="shared" si="1"/>
        <v>199-E-13-Tri 'Fixer'</v>
      </c>
      <c r="B200" s="27"/>
      <c r="C200" s="21">
        <v>199.0</v>
      </c>
      <c r="D200" s="21" t="s">
        <v>284</v>
      </c>
      <c r="E200" s="21">
        <v>13.0</v>
      </c>
      <c r="F200" s="21" t="s">
        <v>330</v>
      </c>
      <c r="G200" s="19" t="s">
        <v>561</v>
      </c>
      <c r="H200" s="36"/>
      <c r="I200" s="36"/>
      <c r="J200" s="36"/>
      <c r="K200" s="36"/>
      <c r="L200" s="35"/>
      <c r="M200" s="35"/>
      <c r="N200" s="34"/>
      <c r="O200" s="34"/>
      <c r="P200" s="34"/>
      <c r="Q200" s="32"/>
      <c r="R200" s="32"/>
      <c r="S200" s="32"/>
      <c r="T200" s="32"/>
      <c r="U200" s="32"/>
      <c r="V200" s="32"/>
      <c r="W200" s="32"/>
      <c r="X200" s="32"/>
      <c r="Y200" s="32"/>
      <c r="Z200" s="18"/>
    </row>
    <row r="201">
      <c r="A201" s="19" t="str">
        <f t="shared" si="1"/>
        <v>200-L-11-Quad-Echo-Alpha 'Thaumaturgical Focus: Transmutation'</v>
      </c>
      <c r="B201" s="27"/>
      <c r="C201" s="21">
        <v>200.0</v>
      </c>
      <c r="D201" s="21" t="s">
        <v>293</v>
      </c>
      <c r="E201" s="21">
        <v>11.0</v>
      </c>
      <c r="F201" s="21" t="s">
        <v>562</v>
      </c>
      <c r="G201" s="19" t="s">
        <v>563</v>
      </c>
      <c r="H201" s="36"/>
      <c r="I201" s="36"/>
      <c r="J201" s="36"/>
      <c r="K201" s="36"/>
      <c r="L201" s="35"/>
      <c r="M201" s="35"/>
      <c r="N201" s="34"/>
      <c r="O201" s="34"/>
      <c r="P201" s="34"/>
      <c r="Q201" s="32"/>
      <c r="R201" s="32"/>
      <c r="S201" s="32"/>
      <c r="T201" s="32"/>
      <c r="U201" s="32"/>
      <c r="V201" s="32"/>
      <c r="W201" s="32"/>
      <c r="X201" s="32"/>
      <c r="Y201" s="32"/>
      <c r="Z201" s="18"/>
    </row>
    <row r="202">
      <c r="A202" s="19" t="str">
        <f t="shared" si="1"/>
        <v>201-L-12-Null-Beta 'Magic Circuits'</v>
      </c>
      <c r="B202" s="27"/>
      <c r="C202" s="21">
        <v>201.0</v>
      </c>
      <c r="D202" s="21" t="s">
        <v>293</v>
      </c>
      <c r="E202" s="21">
        <v>12.0</v>
      </c>
      <c r="F202" s="21" t="s">
        <v>232</v>
      </c>
      <c r="G202" s="19" t="s">
        <v>564</v>
      </c>
      <c r="H202" s="36"/>
      <c r="I202" s="36"/>
      <c r="J202" s="36"/>
      <c r="K202" s="36"/>
      <c r="L202" s="35"/>
      <c r="M202" s="35"/>
      <c r="N202" s="34"/>
      <c r="O202" s="34"/>
      <c r="P202" s="34"/>
      <c r="Q202" s="32"/>
      <c r="R202" s="32"/>
      <c r="S202" s="32"/>
      <c r="T202" s="32"/>
      <c r="U202" s="32"/>
      <c r="V202" s="32"/>
      <c r="W202" s="32"/>
      <c r="X202" s="32"/>
      <c r="Y202" s="32"/>
      <c r="Z202" s="18"/>
    </row>
    <row r="203">
      <c r="A203" s="19" t="str">
        <f t="shared" si="1"/>
        <v>202-J-16-Tri 'More With Less'</v>
      </c>
      <c r="B203" s="27"/>
      <c r="C203" s="21">
        <v>202.0</v>
      </c>
      <c r="D203" s="21" t="s">
        <v>324</v>
      </c>
      <c r="E203" s="21">
        <v>16.0</v>
      </c>
      <c r="F203" s="21" t="s">
        <v>330</v>
      </c>
      <c r="G203" s="19" t="s">
        <v>565</v>
      </c>
      <c r="H203" s="36"/>
      <c r="I203" s="36"/>
      <c r="J203" s="36"/>
      <c r="K203" s="36"/>
      <c r="L203" s="35"/>
      <c r="M203" s="35"/>
      <c r="N203" s="34"/>
      <c r="O203" s="34"/>
      <c r="P203" s="34"/>
      <c r="Q203" s="32"/>
      <c r="R203" s="32"/>
      <c r="S203" s="32"/>
      <c r="T203" s="32"/>
      <c r="U203" s="32"/>
      <c r="V203" s="32"/>
      <c r="W203" s="32"/>
      <c r="X203" s="32"/>
      <c r="Y203" s="32"/>
      <c r="Z203" s="18"/>
    </row>
    <row r="204">
      <c r="A204" s="19" t="str">
        <f t="shared" si="1"/>
        <v>203-C-12-Hex-Alpha 'Always a Bigger Robot'</v>
      </c>
      <c r="B204" s="19" t="s">
        <v>273</v>
      </c>
      <c r="C204" s="21">
        <v>203.0</v>
      </c>
      <c r="D204" s="21" t="s">
        <v>251</v>
      </c>
      <c r="E204" s="21">
        <v>12.0</v>
      </c>
      <c r="F204" s="21" t="s">
        <v>566</v>
      </c>
      <c r="G204" s="19" t="s">
        <v>567</v>
      </c>
      <c r="H204" s="36"/>
      <c r="I204" s="36"/>
      <c r="J204" s="36"/>
      <c r="K204" s="36"/>
      <c r="L204" s="35"/>
      <c r="M204" s="35"/>
      <c r="N204" s="34"/>
      <c r="O204" s="34"/>
      <c r="P204" s="34"/>
      <c r="Q204" s="32"/>
      <c r="R204" s="32"/>
      <c r="S204" s="32"/>
      <c r="T204" s="32"/>
      <c r="U204" s="32"/>
      <c r="V204" s="32"/>
      <c r="W204" s="32"/>
      <c r="X204" s="32"/>
      <c r="Y204" s="32"/>
      <c r="Z204" s="18"/>
    </row>
    <row r="205">
      <c r="A205" s="19" t="str">
        <f t="shared" si="1"/>
        <v>204-C-13-Null-Beta 'Spiral Energy'</v>
      </c>
      <c r="B205" s="19" t="s">
        <v>288</v>
      </c>
      <c r="C205" s="21">
        <v>204.0</v>
      </c>
      <c r="D205" s="21" t="s">
        <v>251</v>
      </c>
      <c r="E205" s="21">
        <v>13.0</v>
      </c>
      <c r="F205" s="21" t="s">
        <v>232</v>
      </c>
      <c r="G205" s="19" t="s">
        <v>568</v>
      </c>
      <c r="H205" s="36"/>
      <c r="I205" s="36"/>
      <c r="J205" s="36"/>
      <c r="K205" s="36"/>
      <c r="L205" s="35"/>
      <c r="M205" s="35"/>
      <c r="N205" s="34"/>
      <c r="O205" s="34"/>
      <c r="P205" s="34"/>
      <c r="Q205" s="32"/>
      <c r="R205" s="32"/>
      <c r="S205" s="32"/>
      <c r="T205" s="32"/>
      <c r="U205" s="32"/>
      <c r="V205" s="32"/>
      <c r="W205" s="32"/>
      <c r="X205" s="32"/>
      <c r="Y205" s="32"/>
      <c r="Z205" s="18"/>
    </row>
    <row r="206">
      <c r="A206" s="19" t="str">
        <f t="shared" si="1"/>
        <v>205-E-14-Tri 'Tempered Soul'</v>
      </c>
      <c r="B206" s="19" t="s">
        <v>298</v>
      </c>
      <c r="C206" s="21">
        <v>205.0</v>
      </c>
      <c r="D206" s="21" t="s">
        <v>284</v>
      </c>
      <c r="E206" s="21">
        <v>14.0</v>
      </c>
      <c r="F206" s="21" t="s">
        <v>330</v>
      </c>
      <c r="G206" s="19" t="s">
        <v>569</v>
      </c>
      <c r="H206" s="36"/>
      <c r="I206" s="36"/>
      <c r="J206" s="36"/>
      <c r="K206" s="36"/>
      <c r="L206" s="35"/>
      <c r="M206" s="35"/>
      <c r="N206" s="34"/>
      <c r="O206" s="34"/>
      <c r="P206" s="34"/>
      <c r="Q206" s="32"/>
      <c r="R206" s="32"/>
      <c r="S206" s="32"/>
      <c r="T206" s="32"/>
      <c r="U206" s="32"/>
      <c r="V206" s="32"/>
      <c r="W206" s="32"/>
      <c r="X206" s="32"/>
      <c r="Y206" s="32"/>
      <c r="Z206" s="18"/>
    </row>
    <row r="207">
      <c r="A207" s="19" t="str">
        <f t="shared" si="1"/>
        <v>206-H-30-Demi-Alpha 'My Fashion Sense is Tingling'</v>
      </c>
      <c r="B207" s="27"/>
      <c r="C207" s="21">
        <v>206.0</v>
      </c>
      <c r="D207" s="21" t="s">
        <v>281</v>
      </c>
      <c r="E207" s="21">
        <v>30.0</v>
      </c>
      <c r="F207" s="21" t="s">
        <v>570</v>
      </c>
      <c r="G207" s="19" t="s">
        <v>571</v>
      </c>
      <c r="H207" s="36"/>
      <c r="I207" s="36"/>
      <c r="J207" s="36"/>
      <c r="K207" s="36"/>
      <c r="L207" s="35"/>
      <c r="M207" s="35"/>
      <c r="N207" s="34"/>
      <c r="O207" s="34"/>
      <c r="P207" s="34"/>
      <c r="Q207" s="32"/>
      <c r="R207" s="32"/>
      <c r="S207" s="32"/>
      <c r="T207" s="32"/>
      <c r="U207" s="32"/>
      <c r="V207" s="32"/>
      <c r="W207" s="32"/>
      <c r="X207" s="32"/>
      <c r="Y207" s="32"/>
      <c r="Z207" s="18"/>
    </row>
    <row r="208">
      <c r="A208" s="19" t="str">
        <f t="shared" si="1"/>
        <v>207-H-31-Iso-Beta 'Natural Puppy'</v>
      </c>
      <c r="B208" s="27"/>
      <c r="C208" s="21">
        <v>207.0</v>
      </c>
      <c r="D208" s="21" t="s">
        <v>281</v>
      </c>
      <c r="E208" s="21">
        <v>31.0</v>
      </c>
      <c r="F208" s="21" t="s">
        <v>387</v>
      </c>
      <c r="G208" s="19" t="s">
        <v>572</v>
      </c>
      <c r="H208" s="36"/>
      <c r="I208" s="36"/>
      <c r="J208" s="36"/>
      <c r="K208" s="36"/>
      <c r="L208" s="35"/>
      <c r="M208" s="35"/>
      <c r="N208" s="34"/>
      <c r="O208" s="34"/>
      <c r="P208" s="34"/>
      <c r="Q208" s="32"/>
      <c r="R208" s="32"/>
      <c r="S208" s="32"/>
      <c r="T208" s="32"/>
      <c r="U208" s="32"/>
      <c r="V208" s="32"/>
      <c r="W208" s="32"/>
      <c r="X208" s="32"/>
      <c r="Y208" s="32"/>
      <c r="Z208" s="18"/>
    </row>
    <row r="209">
      <c r="A209" s="19" t="str">
        <f t="shared" si="1"/>
        <v>208-H-32-Null-Gamma 'Entanglement'</v>
      </c>
      <c r="B209" s="27"/>
      <c r="C209" s="21">
        <v>208.0</v>
      </c>
      <c r="D209" s="21" t="s">
        <v>281</v>
      </c>
      <c r="E209" s="21">
        <v>32.0</v>
      </c>
      <c r="F209" s="21" t="s">
        <v>249</v>
      </c>
      <c r="G209" s="19" t="s">
        <v>573</v>
      </c>
      <c r="H209" s="36"/>
      <c r="I209" s="36"/>
      <c r="J209" s="36"/>
      <c r="K209" s="36"/>
      <c r="L209" s="35"/>
      <c r="M209" s="35"/>
      <c r="N209" s="34"/>
      <c r="O209" s="34"/>
      <c r="P209" s="34"/>
      <c r="Q209" s="32"/>
      <c r="R209" s="32"/>
      <c r="S209" s="32"/>
      <c r="T209" s="32"/>
      <c r="U209" s="32"/>
      <c r="V209" s="32"/>
      <c r="W209" s="32"/>
      <c r="X209" s="32"/>
      <c r="Y209" s="32"/>
      <c r="Z209" s="18"/>
    </row>
    <row r="210">
      <c r="A210" s="19" t="str">
        <f t="shared" si="1"/>
        <v>209-H-33-Null-Delta 'Player Pin'</v>
      </c>
      <c r="B210" s="27"/>
      <c r="C210" s="21">
        <v>209.0</v>
      </c>
      <c r="D210" s="21" t="s">
        <v>281</v>
      </c>
      <c r="E210" s="21">
        <v>33.0</v>
      </c>
      <c r="F210" s="21" t="s">
        <v>412</v>
      </c>
      <c r="G210" s="19" t="s">
        <v>574</v>
      </c>
      <c r="H210" s="36"/>
      <c r="I210" s="36"/>
      <c r="J210" s="36"/>
      <c r="K210" s="36"/>
      <c r="L210" s="35"/>
      <c r="M210" s="35"/>
      <c r="N210" s="34"/>
      <c r="O210" s="34"/>
      <c r="P210" s="34"/>
      <c r="Q210" s="32"/>
      <c r="R210" s="32"/>
      <c r="S210" s="32"/>
      <c r="T210" s="32"/>
      <c r="U210" s="32"/>
      <c r="V210" s="32"/>
      <c r="W210" s="32"/>
      <c r="X210" s="32"/>
      <c r="Y210" s="32"/>
      <c r="Z210" s="18"/>
    </row>
    <row r="211">
      <c r="A211" s="19" t="str">
        <f t="shared" si="1"/>
        <v>210-J-17-Quad 'Efficiency'</v>
      </c>
      <c r="B211" s="19" t="s">
        <v>575</v>
      </c>
      <c r="C211" s="21">
        <v>210.0</v>
      </c>
      <c r="D211" s="21" t="s">
        <v>324</v>
      </c>
      <c r="E211" s="21">
        <v>17.0</v>
      </c>
      <c r="F211" s="21" t="s">
        <v>359</v>
      </c>
      <c r="G211" s="19" t="s">
        <v>576</v>
      </c>
      <c r="H211" s="36"/>
      <c r="I211" s="36"/>
      <c r="J211" s="36"/>
      <c r="K211" s="36"/>
      <c r="L211" s="35"/>
      <c r="M211" s="35"/>
      <c r="N211" s="34"/>
      <c r="O211" s="34"/>
      <c r="P211" s="34"/>
      <c r="Q211" s="32"/>
      <c r="R211" s="32"/>
      <c r="S211" s="32"/>
      <c r="T211" s="32"/>
      <c r="U211" s="32"/>
      <c r="V211" s="32"/>
      <c r="W211" s="32"/>
      <c r="X211" s="32"/>
      <c r="Y211" s="32"/>
      <c r="Z211" s="18"/>
    </row>
    <row r="212">
      <c r="A212" s="19" t="str">
        <f t="shared" si="1"/>
        <v>211-D-10-Quad 'Shipping the Product'</v>
      </c>
      <c r="B212" s="19" t="s">
        <v>274</v>
      </c>
      <c r="C212" s="21">
        <v>211.0</v>
      </c>
      <c r="D212" s="21" t="s">
        <v>268</v>
      </c>
      <c r="E212" s="21">
        <v>10.0</v>
      </c>
      <c r="F212" s="21" t="s">
        <v>359</v>
      </c>
      <c r="G212" s="19" t="s">
        <v>577</v>
      </c>
      <c r="H212" s="36"/>
      <c r="I212" s="36"/>
      <c r="J212" s="36"/>
      <c r="K212" s="36"/>
      <c r="L212" s="35"/>
      <c r="M212" s="35"/>
      <c r="N212" s="34"/>
      <c r="O212" s="34"/>
      <c r="P212" s="34"/>
      <c r="Q212" s="32"/>
      <c r="R212" s="32"/>
      <c r="S212" s="32"/>
      <c r="T212" s="32"/>
      <c r="U212" s="32"/>
      <c r="V212" s="32"/>
      <c r="W212" s="32"/>
      <c r="X212" s="32"/>
      <c r="Y212" s="32"/>
      <c r="Z212" s="18"/>
    </row>
    <row r="213">
      <c r="A213" s="19" t="str">
        <f t="shared" si="1"/>
        <v>212-L-13-Quad 'The Alchemy Machine'</v>
      </c>
      <c r="B213" s="27"/>
      <c r="C213" s="21">
        <v>212.0</v>
      </c>
      <c r="D213" s="21" t="s">
        <v>293</v>
      </c>
      <c r="E213" s="21">
        <v>13.0</v>
      </c>
      <c r="F213" s="21" t="s">
        <v>359</v>
      </c>
      <c r="G213" s="19" t="s">
        <v>578</v>
      </c>
      <c r="H213" s="36"/>
      <c r="I213" s="36"/>
      <c r="J213" s="36"/>
      <c r="K213" s="36"/>
      <c r="L213" s="35"/>
      <c r="M213" s="35"/>
      <c r="N213" s="34"/>
      <c r="O213" s="34"/>
      <c r="P213" s="34"/>
      <c r="Q213" s="32"/>
      <c r="R213" s="32"/>
      <c r="S213" s="32"/>
      <c r="T213" s="32"/>
      <c r="U213" s="32"/>
      <c r="V213" s="32"/>
      <c r="W213" s="32"/>
      <c r="X213" s="32"/>
      <c r="Y213" s="32"/>
      <c r="Z213" s="18"/>
    </row>
    <row r="214">
      <c r="A214" s="19" t="str">
        <f t="shared" si="1"/>
        <v>213-C-14-Quad 'Technical Certainties'</v>
      </c>
      <c r="B214" s="27"/>
      <c r="C214" s="21">
        <v>213.0</v>
      </c>
      <c r="D214" s="21" t="s">
        <v>251</v>
      </c>
      <c r="E214" s="21">
        <v>14.0</v>
      </c>
      <c r="F214" s="21" t="s">
        <v>359</v>
      </c>
      <c r="G214" s="19" t="s">
        <v>579</v>
      </c>
      <c r="H214" s="36"/>
      <c r="I214" s="36"/>
      <c r="J214" s="36"/>
      <c r="K214" s="36"/>
      <c r="L214" s="35"/>
      <c r="M214" s="35"/>
      <c r="N214" s="34"/>
      <c r="O214" s="34"/>
      <c r="P214" s="34"/>
      <c r="Q214" s="32"/>
      <c r="R214" s="32"/>
      <c r="S214" s="32"/>
      <c r="T214" s="32"/>
      <c r="U214" s="32"/>
      <c r="V214" s="32"/>
      <c r="W214" s="32"/>
      <c r="X214" s="32"/>
      <c r="Y214" s="32"/>
      <c r="Z214" s="18"/>
    </row>
    <row r="215">
      <c r="A215" s="19" t="str">
        <f t="shared" si="1"/>
        <v>214-B-28-Di-Alpha 'Technomage'</v>
      </c>
      <c r="B215" s="27"/>
      <c r="C215" s="21">
        <v>214.0</v>
      </c>
      <c r="D215" s="21" t="s">
        <v>234</v>
      </c>
      <c r="E215" s="21">
        <v>28.0</v>
      </c>
      <c r="F215" s="21" t="s">
        <v>382</v>
      </c>
      <c r="G215" s="19" t="s">
        <v>580</v>
      </c>
      <c r="H215" s="36"/>
      <c r="I215" s="36"/>
      <c r="J215" s="36"/>
      <c r="K215" s="36"/>
      <c r="L215" s="35"/>
      <c r="M215" s="35"/>
      <c r="N215" s="34"/>
      <c r="O215" s="34"/>
      <c r="P215" s="34"/>
      <c r="Q215" s="32"/>
      <c r="R215" s="32"/>
      <c r="S215" s="32"/>
      <c r="T215" s="32"/>
      <c r="U215" s="32"/>
      <c r="V215" s="32"/>
      <c r="W215" s="32"/>
      <c r="X215" s="32"/>
      <c r="Y215" s="32"/>
      <c r="Z215" s="18"/>
    </row>
    <row r="216">
      <c r="A216" s="19" t="str">
        <f t="shared" si="1"/>
        <v>215-B-29-Null-Beta 'Bomber Jacket'</v>
      </c>
      <c r="B216" s="27"/>
      <c r="C216" s="21">
        <v>215.0</v>
      </c>
      <c r="D216" s="21" t="s">
        <v>234</v>
      </c>
      <c r="E216" s="21">
        <v>29.0</v>
      </c>
      <c r="F216" s="21" t="s">
        <v>232</v>
      </c>
      <c r="G216" s="19" t="s">
        <v>581</v>
      </c>
      <c r="H216" s="36"/>
      <c r="I216" s="36"/>
      <c r="J216" s="36"/>
      <c r="K216" s="36"/>
      <c r="L216" s="35"/>
      <c r="M216" s="35"/>
      <c r="N216" s="34"/>
      <c r="O216" s="34"/>
      <c r="P216" s="34"/>
      <c r="Q216" s="32"/>
      <c r="R216" s="32"/>
      <c r="S216" s="32"/>
      <c r="T216" s="32"/>
      <c r="U216" s="32"/>
      <c r="V216" s="32"/>
      <c r="W216" s="32"/>
      <c r="X216" s="32"/>
      <c r="Y216" s="32"/>
      <c r="Z216" s="18"/>
    </row>
    <row r="217">
      <c r="A217" s="19" t="str">
        <f t="shared" si="1"/>
        <v>216-B-30-Null-Gamma 'Call sign'</v>
      </c>
      <c r="B217" s="27"/>
      <c r="C217" s="21">
        <v>216.0</v>
      </c>
      <c r="D217" s="21" t="s">
        <v>234</v>
      </c>
      <c r="E217" s="21">
        <v>30.0</v>
      </c>
      <c r="F217" s="21" t="s">
        <v>249</v>
      </c>
      <c r="G217" s="19" t="s">
        <v>582</v>
      </c>
      <c r="H217" s="36"/>
      <c r="I217" s="36"/>
      <c r="J217" s="36"/>
      <c r="K217" s="36"/>
      <c r="L217" s="35"/>
      <c r="M217" s="35"/>
      <c r="N217" s="34"/>
      <c r="O217" s="34"/>
      <c r="P217" s="34"/>
      <c r="Q217" s="32"/>
      <c r="R217" s="32"/>
      <c r="S217" s="32"/>
      <c r="T217" s="32"/>
      <c r="U217" s="32"/>
      <c r="V217" s="32"/>
      <c r="W217" s="32"/>
      <c r="X217" s="32"/>
      <c r="Y217" s="32"/>
      <c r="Z217" s="18"/>
    </row>
    <row r="218">
      <c r="A218" s="19" t="str">
        <f t="shared" si="1"/>
        <v>217-B-31-Iso-Echo 'Skills: Stealth'</v>
      </c>
      <c r="B218" s="27"/>
      <c r="C218" s="21">
        <v>217.0</v>
      </c>
      <c r="D218" s="21" t="s">
        <v>234</v>
      </c>
      <c r="E218" s="21">
        <v>31.0</v>
      </c>
      <c r="F218" s="21" t="s">
        <v>373</v>
      </c>
      <c r="G218" s="19" t="s">
        <v>583</v>
      </c>
      <c r="H218" s="36"/>
      <c r="I218" s="36"/>
      <c r="J218" s="36"/>
      <c r="K218" s="36"/>
      <c r="L218" s="35"/>
      <c r="M218" s="35"/>
      <c r="N218" s="34"/>
      <c r="O218" s="34"/>
      <c r="P218" s="34"/>
      <c r="Q218" s="32"/>
      <c r="R218" s="32"/>
      <c r="S218" s="32"/>
      <c r="T218" s="32"/>
      <c r="U218" s="32"/>
      <c r="V218" s="32"/>
      <c r="W218" s="32"/>
      <c r="X218" s="32"/>
      <c r="Y218" s="32"/>
      <c r="Z218" s="18"/>
    </row>
    <row r="219">
      <c r="A219" s="19" t="str">
        <f t="shared" si="1"/>
        <v>218-B-32-Iso-Echo 'Skills: Medicine'</v>
      </c>
      <c r="B219" s="27"/>
      <c r="C219" s="21">
        <v>218.0</v>
      </c>
      <c r="D219" s="21" t="s">
        <v>234</v>
      </c>
      <c r="E219" s="21">
        <v>32.0</v>
      </c>
      <c r="F219" s="21" t="s">
        <v>373</v>
      </c>
      <c r="G219" s="19" t="s">
        <v>584</v>
      </c>
      <c r="H219" s="36"/>
      <c r="I219" s="36"/>
      <c r="J219" s="36"/>
      <c r="K219" s="36"/>
      <c r="L219" s="35"/>
      <c r="M219" s="35"/>
      <c r="N219" s="34"/>
      <c r="O219" s="34"/>
      <c r="P219" s="34"/>
      <c r="Q219" s="32"/>
      <c r="R219" s="32"/>
      <c r="S219" s="32"/>
      <c r="T219" s="32"/>
      <c r="U219" s="32"/>
      <c r="V219" s="32"/>
      <c r="W219" s="32"/>
      <c r="X219" s="32"/>
      <c r="Y219" s="32"/>
      <c r="Z219" s="18"/>
    </row>
    <row r="220">
      <c r="A220" s="19" t="str">
        <f t="shared" si="1"/>
        <v>219-B-33-Iso-Echo 'Skills: Navigation'</v>
      </c>
      <c r="B220" s="27"/>
      <c r="C220" s="21">
        <v>219.0</v>
      </c>
      <c r="D220" s="21" t="s">
        <v>234</v>
      </c>
      <c r="E220" s="21">
        <v>33.0</v>
      </c>
      <c r="F220" s="21" t="s">
        <v>373</v>
      </c>
      <c r="G220" s="19" t="s">
        <v>585</v>
      </c>
      <c r="H220" s="36"/>
      <c r="I220" s="36"/>
      <c r="J220" s="36"/>
      <c r="K220" s="36"/>
      <c r="L220" s="35"/>
      <c r="M220" s="35"/>
      <c r="N220" s="34"/>
      <c r="O220" s="34"/>
      <c r="P220" s="34"/>
      <c r="Q220" s="32"/>
      <c r="R220" s="32"/>
      <c r="S220" s="32"/>
      <c r="T220" s="32"/>
      <c r="U220" s="32"/>
      <c r="V220" s="32"/>
      <c r="W220" s="32"/>
      <c r="X220" s="32"/>
      <c r="Y220" s="32"/>
      <c r="Z220" s="18"/>
    </row>
    <row r="221">
      <c r="A221" s="19" t="str">
        <f t="shared" si="1"/>
        <v>220-J-18-Tri 'Salvager'</v>
      </c>
      <c r="B221" s="27"/>
      <c r="C221" s="21">
        <v>220.0</v>
      </c>
      <c r="D221" s="21" t="s">
        <v>324</v>
      </c>
      <c r="E221" s="21">
        <v>18.0</v>
      </c>
      <c r="F221" s="21" t="s">
        <v>330</v>
      </c>
      <c r="G221" s="19" t="s">
        <v>586</v>
      </c>
      <c r="H221" s="36"/>
      <c r="I221" s="36"/>
      <c r="J221" s="36"/>
      <c r="K221" s="36"/>
      <c r="L221" s="35"/>
      <c r="M221" s="35"/>
      <c r="N221" s="34"/>
      <c r="O221" s="34"/>
      <c r="P221" s="34"/>
      <c r="Q221" s="32"/>
      <c r="R221" s="32"/>
      <c r="S221" s="32"/>
      <c r="T221" s="32"/>
      <c r="U221" s="32"/>
      <c r="V221" s="32"/>
      <c r="W221" s="32"/>
      <c r="X221" s="32"/>
      <c r="Y221" s="32"/>
      <c r="Z221" s="18"/>
    </row>
    <row r="222">
      <c r="A222" s="19" t="str">
        <f t="shared" si="1"/>
        <v>221-A-48-Di-Echo 'Workshop: Science'</v>
      </c>
      <c r="B222" s="27"/>
      <c r="C222" s="21">
        <v>221.0</v>
      </c>
      <c r="D222" s="21" t="s">
        <v>213</v>
      </c>
      <c r="E222" s="21">
        <v>48.0</v>
      </c>
      <c r="F222" s="21" t="s">
        <v>396</v>
      </c>
      <c r="G222" s="19" t="s">
        <v>587</v>
      </c>
      <c r="H222" s="36"/>
      <c r="I222" s="36"/>
      <c r="J222" s="36"/>
      <c r="K222" s="36"/>
      <c r="L222" s="35"/>
      <c r="M222" s="35"/>
      <c r="N222" s="34"/>
      <c r="O222" s="34"/>
      <c r="P222" s="34"/>
      <c r="Q222" s="32"/>
      <c r="R222" s="32"/>
      <c r="S222" s="32"/>
      <c r="T222" s="32"/>
      <c r="U222" s="32"/>
      <c r="V222" s="32"/>
      <c r="W222" s="32"/>
      <c r="X222" s="32"/>
      <c r="Y222" s="32"/>
      <c r="Z222" s="18"/>
    </row>
    <row r="223">
      <c r="A223" s="19" t="str">
        <f t="shared" si="1"/>
        <v>222-H-34-Iso-Echo 'Minor Blessing Artemis - Bowmanship'</v>
      </c>
      <c r="B223" s="27"/>
      <c r="C223" s="21">
        <v>222.0</v>
      </c>
      <c r="D223" s="21" t="s">
        <v>281</v>
      </c>
      <c r="E223" s="21">
        <v>34.0</v>
      </c>
      <c r="F223" s="21" t="s">
        <v>373</v>
      </c>
      <c r="G223" s="19" t="s">
        <v>588</v>
      </c>
      <c r="H223" s="36"/>
      <c r="I223" s="36"/>
      <c r="J223" s="36"/>
      <c r="K223" s="36"/>
      <c r="L223" s="35"/>
      <c r="M223" s="35"/>
      <c r="N223" s="34"/>
      <c r="O223" s="34"/>
      <c r="P223" s="34"/>
      <c r="Q223" s="32"/>
      <c r="R223" s="32"/>
      <c r="S223" s="32"/>
      <c r="T223" s="32"/>
      <c r="U223" s="32"/>
      <c r="V223" s="32"/>
      <c r="W223" s="32"/>
      <c r="X223" s="32"/>
      <c r="Y223" s="32"/>
      <c r="Z223" s="18"/>
    </row>
    <row r="224">
      <c r="A224" s="19" t="str">
        <f t="shared" si="1"/>
        <v>223-H-35-Di-Echo 'Unnatural Skill: Enchanting'</v>
      </c>
      <c r="B224" s="27"/>
      <c r="C224" s="21">
        <v>223.0</v>
      </c>
      <c r="D224" s="21" t="s">
        <v>281</v>
      </c>
      <c r="E224" s="21">
        <v>35.0</v>
      </c>
      <c r="F224" s="21" t="s">
        <v>396</v>
      </c>
      <c r="G224" s="19" t="s">
        <v>589</v>
      </c>
      <c r="H224" s="36"/>
      <c r="I224" s="36"/>
      <c r="J224" s="36"/>
      <c r="K224" s="36"/>
      <c r="L224" s="35"/>
      <c r="M224" s="35"/>
      <c r="N224" s="34"/>
      <c r="O224" s="34"/>
      <c r="P224" s="34"/>
      <c r="Q224" s="32"/>
      <c r="R224" s="32"/>
      <c r="S224" s="32"/>
      <c r="T224" s="32"/>
      <c r="U224" s="32"/>
      <c r="V224" s="32"/>
      <c r="W224" s="32"/>
      <c r="X224" s="32"/>
      <c r="Y224" s="32"/>
      <c r="Z224" s="18"/>
    </row>
    <row r="225">
      <c r="A225" s="19" t="str">
        <f t="shared" si="1"/>
        <v>224-B-34-Tri-Alpha 'The Divine Machines'</v>
      </c>
      <c r="B225" s="27"/>
      <c r="C225" s="21">
        <v>224.0</v>
      </c>
      <c r="D225" s="21" t="s">
        <v>234</v>
      </c>
      <c r="E225" s="21">
        <v>34.0</v>
      </c>
      <c r="F225" s="21" t="s">
        <v>433</v>
      </c>
      <c r="G225" s="19" t="s">
        <v>590</v>
      </c>
      <c r="H225" s="36"/>
      <c r="I225" s="36"/>
      <c r="J225" s="36"/>
      <c r="K225" s="36"/>
      <c r="L225" s="35"/>
      <c r="M225" s="35"/>
      <c r="N225" s="34"/>
      <c r="O225" s="34"/>
      <c r="P225" s="34"/>
      <c r="Q225" s="32"/>
      <c r="R225" s="32"/>
      <c r="S225" s="32"/>
      <c r="T225" s="32"/>
      <c r="U225" s="32"/>
      <c r="V225" s="32"/>
      <c r="W225" s="32"/>
      <c r="X225" s="32"/>
      <c r="Y225" s="32"/>
      <c r="Z225" s="18"/>
    </row>
    <row r="226">
      <c r="A226" s="19" t="str">
        <f t="shared" si="1"/>
        <v>225-B-35-Null-Beta 'Bright Spear'</v>
      </c>
      <c r="B226" s="27"/>
      <c r="C226" s="21">
        <v>225.0</v>
      </c>
      <c r="D226" s="21" t="s">
        <v>234</v>
      </c>
      <c r="E226" s="21">
        <v>35.0</v>
      </c>
      <c r="F226" s="21" t="s">
        <v>232</v>
      </c>
      <c r="G226" s="19" t="s">
        <v>591</v>
      </c>
      <c r="H226" s="36"/>
      <c r="I226" s="36"/>
      <c r="J226" s="36"/>
      <c r="K226" s="36"/>
      <c r="L226" s="35"/>
      <c r="M226" s="35"/>
      <c r="N226" s="34"/>
      <c r="O226" s="34"/>
      <c r="P226" s="34"/>
      <c r="Q226" s="32"/>
      <c r="R226" s="32"/>
      <c r="S226" s="32"/>
      <c r="T226" s="32"/>
      <c r="U226" s="32"/>
      <c r="V226" s="32"/>
      <c r="W226" s="32"/>
      <c r="X226" s="32"/>
      <c r="Y226" s="32"/>
      <c r="Z226" s="18"/>
    </row>
    <row r="227">
      <c r="A227" s="19" t="str">
        <f t="shared" si="1"/>
        <v>226-G-12-Quad-Alpha 'Elemental Mastery'</v>
      </c>
      <c r="B227" s="27"/>
      <c r="C227" s="21">
        <v>226.0</v>
      </c>
      <c r="D227" s="21" t="s">
        <v>303</v>
      </c>
      <c r="E227" s="21">
        <v>12.0</v>
      </c>
      <c r="F227" s="21" t="s">
        <v>527</v>
      </c>
      <c r="G227" s="19" t="s">
        <v>592</v>
      </c>
      <c r="H227" s="36"/>
      <c r="I227" s="36"/>
      <c r="J227" s="36"/>
      <c r="K227" s="36"/>
      <c r="L227" s="35"/>
      <c r="M227" s="35"/>
      <c r="N227" s="34"/>
      <c r="O227" s="34"/>
      <c r="P227" s="34"/>
      <c r="Q227" s="32"/>
      <c r="R227" s="32"/>
      <c r="S227" s="32"/>
      <c r="T227" s="32"/>
      <c r="U227" s="32"/>
      <c r="V227" s="32"/>
      <c r="W227" s="32"/>
      <c r="X227" s="32"/>
      <c r="Y227" s="32"/>
      <c r="Z227" s="18"/>
    </row>
    <row r="228">
      <c r="A228" s="19" t="str">
        <f t="shared" si="1"/>
        <v>227-G-13-Null-Beta 'Balance Bangle'</v>
      </c>
      <c r="B228" s="27"/>
      <c r="C228" s="21">
        <v>227.0</v>
      </c>
      <c r="D228" s="21" t="s">
        <v>303</v>
      </c>
      <c r="E228" s="21">
        <v>13.0</v>
      </c>
      <c r="F228" s="21" t="s">
        <v>232</v>
      </c>
      <c r="G228" s="19" t="s">
        <v>593</v>
      </c>
      <c r="H228" s="36"/>
      <c r="I228" s="36"/>
      <c r="J228" s="36"/>
      <c r="K228" s="36"/>
      <c r="L228" s="35"/>
      <c r="M228" s="35"/>
      <c r="N228" s="34"/>
      <c r="O228" s="34"/>
      <c r="P228" s="34"/>
      <c r="Q228" s="32"/>
      <c r="R228" s="32"/>
      <c r="S228" s="32"/>
      <c r="T228" s="32"/>
      <c r="U228" s="32"/>
      <c r="V228" s="32"/>
      <c r="W228" s="32"/>
      <c r="X228" s="32"/>
      <c r="Y228" s="32"/>
      <c r="Z228" s="18"/>
    </row>
    <row r="229">
      <c r="A229" s="19" t="str">
        <f t="shared" si="1"/>
        <v>228-G-14-Null-Gamma 'Starter Weapon: Bone Rod I and Mauldrone I'</v>
      </c>
      <c r="B229" s="27"/>
      <c r="C229" s="21">
        <v>228.0</v>
      </c>
      <c r="D229" s="21" t="s">
        <v>303</v>
      </c>
      <c r="E229" s="21">
        <v>14.0</v>
      </c>
      <c r="F229" s="21" t="s">
        <v>249</v>
      </c>
      <c r="G229" s="19" t="s">
        <v>594</v>
      </c>
      <c r="H229" s="36"/>
      <c r="I229" s="36"/>
      <c r="J229" s="36"/>
      <c r="K229" s="36"/>
      <c r="L229" s="35"/>
      <c r="M229" s="35"/>
      <c r="N229" s="34"/>
      <c r="O229" s="34"/>
      <c r="P229" s="34"/>
      <c r="Q229" s="32"/>
      <c r="R229" s="32"/>
      <c r="S229" s="32"/>
      <c r="T229" s="32"/>
      <c r="U229" s="32"/>
      <c r="V229" s="32"/>
      <c r="W229" s="32"/>
      <c r="X229" s="32"/>
      <c r="Y229" s="32"/>
      <c r="Z229" s="18"/>
    </row>
    <row r="230">
      <c r="A230" s="19" t="str">
        <f t="shared" si="1"/>
        <v>229-H-36-Iso-Echo 'Minor Blessing Hera - Administration'</v>
      </c>
      <c r="B230" s="27"/>
      <c r="C230" s="21">
        <v>229.0</v>
      </c>
      <c r="D230" s="21" t="s">
        <v>281</v>
      </c>
      <c r="E230" s="21">
        <v>36.0</v>
      </c>
      <c r="F230" s="21" t="s">
        <v>373</v>
      </c>
      <c r="G230" s="19" t="s">
        <v>595</v>
      </c>
      <c r="H230" s="36"/>
      <c r="I230" s="36"/>
      <c r="J230" s="36"/>
      <c r="K230" s="36"/>
      <c r="L230" s="35"/>
      <c r="M230" s="35"/>
      <c r="N230" s="34"/>
      <c r="O230" s="34"/>
      <c r="P230" s="34"/>
      <c r="Q230" s="32"/>
      <c r="R230" s="32"/>
      <c r="S230" s="32"/>
      <c r="T230" s="32"/>
      <c r="U230" s="32"/>
      <c r="V230" s="32"/>
      <c r="W230" s="32"/>
      <c r="X230" s="32"/>
      <c r="Y230" s="32"/>
      <c r="Z230" s="18"/>
    </row>
    <row r="231">
      <c r="A231" s="19" t="str">
        <f t="shared" si="1"/>
        <v>230-H-37-Di-Echo 'Unnatural Skill: Transmutation'</v>
      </c>
      <c r="B231" s="27"/>
      <c r="C231" s="21">
        <v>230.0</v>
      </c>
      <c r="D231" s="21" t="s">
        <v>281</v>
      </c>
      <c r="E231" s="21">
        <v>37.0</v>
      </c>
      <c r="F231" s="21" t="s">
        <v>396</v>
      </c>
      <c r="G231" s="19" t="s">
        <v>596</v>
      </c>
      <c r="H231" s="36"/>
      <c r="I231" s="36"/>
      <c r="J231" s="36"/>
      <c r="K231" s="36"/>
      <c r="L231" s="35"/>
      <c r="M231" s="35"/>
      <c r="N231" s="34"/>
      <c r="O231" s="34"/>
      <c r="P231" s="34"/>
      <c r="Q231" s="32"/>
      <c r="R231" s="32"/>
      <c r="S231" s="32"/>
      <c r="T231" s="32"/>
      <c r="U231" s="32"/>
      <c r="V231" s="32"/>
      <c r="W231" s="32"/>
      <c r="X231" s="32"/>
      <c r="Y231" s="32"/>
      <c r="Z231" s="18"/>
    </row>
    <row r="232">
      <c r="A232" s="19" t="str">
        <f t="shared" si="1"/>
        <v>231-A-49-Quad-Alpha 'Launderer System'</v>
      </c>
      <c r="B232" s="27"/>
      <c r="C232" s="21">
        <v>231.0</v>
      </c>
      <c r="D232" s="21" t="s">
        <v>213</v>
      </c>
      <c r="E232" s="21">
        <v>49.0</v>
      </c>
      <c r="F232" s="21" t="s">
        <v>527</v>
      </c>
      <c r="G232" s="19" t="s">
        <v>597</v>
      </c>
      <c r="H232" s="36"/>
      <c r="I232" s="36"/>
      <c r="J232" s="36"/>
      <c r="K232" s="36"/>
      <c r="L232" s="35"/>
      <c r="M232" s="35"/>
      <c r="N232" s="34"/>
      <c r="O232" s="34"/>
      <c r="P232" s="34"/>
      <c r="Q232" s="32"/>
      <c r="R232" s="32"/>
      <c r="S232" s="32"/>
      <c r="T232" s="32"/>
      <c r="U232" s="32"/>
      <c r="V232" s="32"/>
      <c r="W232" s="32"/>
      <c r="X232" s="32"/>
      <c r="Y232" s="32"/>
      <c r="Z232" s="18"/>
    </row>
    <row r="233">
      <c r="A233" s="19" t="str">
        <f t="shared" si="1"/>
        <v>232-A-50-Null-Beta 'The Clothes'</v>
      </c>
      <c r="B233" s="27"/>
      <c r="C233" s="21">
        <v>232.0</v>
      </c>
      <c r="D233" s="21" t="s">
        <v>213</v>
      </c>
      <c r="E233" s="21">
        <v>50.0</v>
      </c>
      <c r="F233" s="21" t="s">
        <v>232</v>
      </c>
      <c r="G233" s="19" t="s">
        <v>598</v>
      </c>
      <c r="H233" s="36"/>
      <c r="I233" s="36"/>
      <c r="J233" s="36"/>
      <c r="K233" s="36"/>
      <c r="L233" s="35"/>
      <c r="M233" s="35"/>
      <c r="N233" s="34"/>
      <c r="O233" s="34"/>
      <c r="P233" s="34"/>
      <c r="Q233" s="32"/>
      <c r="R233" s="32"/>
      <c r="S233" s="32"/>
      <c r="T233" s="32"/>
      <c r="U233" s="32"/>
      <c r="V233" s="32"/>
      <c r="W233" s="32"/>
      <c r="X233" s="32"/>
      <c r="Y233" s="32"/>
      <c r="Z233" s="18"/>
    </row>
    <row r="234">
      <c r="A234" s="19" t="str">
        <f t="shared" si="1"/>
        <v>233-A-51-Null-Gamma 'That Sword'</v>
      </c>
      <c r="B234" s="27"/>
      <c r="C234" s="21">
        <v>233.0</v>
      </c>
      <c r="D234" s="21" t="s">
        <v>213</v>
      </c>
      <c r="E234" s="21">
        <v>51.0</v>
      </c>
      <c r="F234" s="21" t="s">
        <v>249</v>
      </c>
      <c r="G234" s="19" t="s">
        <v>599</v>
      </c>
      <c r="H234" s="36"/>
      <c r="I234" s="36"/>
      <c r="J234" s="36"/>
      <c r="K234" s="36"/>
      <c r="L234" s="35"/>
      <c r="M234" s="35"/>
      <c r="N234" s="34"/>
      <c r="O234" s="34"/>
      <c r="P234" s="34"/>
      <c r="Q234" s="32"/>
      <c r="R234" s="32"/>
      <c r="S234" s="32"/>
      <c r="T234" s="32"/>
      <c r="U234" s="32"/>
      <c r="V234" s="32"/>
      <c r="W234" s="32"/>
      <c r="X234" s="32"/>
      <c r="Y234" s="32"/>
      <c r="Z234" s="18"/>
    </row>
    <row r="235">
      <c r="A235" s="19" t="str">
        <f t="shared" si="1"/>
        <v>234-B-36-Di-Alpha 'Peak ADVENT Technology'</v>
      </c>
      <c r="B235" s="27"/>
      <c r="C235" s="21">
        <v>234.0</v>
      </c>
      <c r="D235" s="21" t="s">
        <v>234</v>
      </c>
      <c r="E235" s="21">
        <v>36.0</v>
      </c>
      <c r="F235" s="21" t="s">
        <v>382</v>
      </c>
      <c r="G235" s="19" t="s">
        <v>600</v>
      </c>
      <c r="H235" s="36"/>
      <c r="I235" s="36"/>
      <c r="J235" s="36"/>
      <c r="K235" s="36"/>
      <c r="L235" s="35"/>
      <c r="M235" s="35"/>
      <c r="N235" s="34"/>
      <c r="O235" s="34"/>
      <c r="P235" s="34"/>
      <c r="Q235" s="32"/>
      <c r="R235" s="32"/>
      <c r="S235" s="32"/>
      <c r="T235" s="32"/>
      <c r="U235" s="32"/>
      <c r="V235" s="32"/>
      <c r="W235" s="32"/>
      <c r="X235" s="32"/>
      <c r="Y235" s="32"/>
      <c r="Z235" s="18"/>
    </row>
    <row r="236">
      <c r="A236" s="19" t="str">
        <f t="shared" si="1"/>
        <v>235-B-37-Null-Beta 'Flack Jacket'</v>
      </c>
      <c r="B236" s="27"/>
      <c r="C236" s="21">
        <v>235.0</v>
      </c>
      <c r="D236" s="21" t="s">
        <v>234</v>
      </c>
      <c r="E236" s="21">
        <v>37.0</v>
      </c>
      <c r="F236" s="21" t="s">
        <v>232</v>
      </c>
      <c r="G236" s="19" t="s">
        <v>601</v>
      </c>
      <c r="H236" s="36"/>
      <c r="I236" s="36"/>
      <c r="J236" s="36"/>
      <c r="K236" s="36"/>
      <c r="L236" s="35"/>
      <c r="M236" s="35"/>
      <c r="N236" s="34"/>
      <c r="O236" s="34"/>
      <c r="P236" s="34"/>
      <c r="Q236" s="32"/>
      <c r="R236" s="32"/>
      <c r="S236" s="32"/>
      <c r="T236" s="32"/>
      <c r="U236" s="32"/>
      <c r="V236" s="32"/>
      <c r="W236" s="32"/>
      <c r="X236" s="32"/>
      <c r="Y236" s="32"/>
      <c r="Z236" s="18"/>
    </row>
    <row r="237">
      <c r="A237" s="19" t="str">
        <f t="shared" si="1"/>
        <v>236-F-11-Iso-Alpha 'Avid Glove'</v>
      </c>
      <c r="B237" s="27"/>
      <c r="C237" s="21">
        <v>236.0</v>
      </c>
      <c r="D237" s="21" t="s">
        <v>265</v>
      </c>
      <c r="E237" s="21">
        <v>11.0</v>
      </c>
      <c r="F237" s="21" t="s">
        <v>405</v>
      </c>
      <c r="G237" s="19" t="s">
        <v>602</v>
      </c>
      <c r="H237" s="36"/>
      <c r="I237" s="36"/>
      <c r="J237" s="36"/>
      <c r="K237" s="36"/>
      <c r="L237" s="35"/>
      <c r="M237" s="35"/>
      <c r="N237" s="34"/>
      <c r="O237" s="34"/>
      <c r="P237" s="34"/>
      <c r="Q237" s="32"/>
      <c r="R237" s="32"/>
      <c r="S237" s="32"/>
      <c r="T237" s="32"/>
      <c r="U237" s="32"/>
      <c r="V237" s="32"/>
      <c r="W237" s="32"/>
      <c r="X237" s="32"/>
      <c r="Y237" s="32"/>
      <c r="Z237" s="18"/>
    </row>
    <row r="238">
      <c r="A238" s="19" t="str">
        <f t="shared" si="1"/>
        <v>237-F-12-Null-Beta 'Amateur Academic - Triva'</v>
      </c>
      <c r="B238" s="27"/>
      <c r="C238" s="21">
        <v>237.0</v>
      </c>
      <c r="D238" s="21" t="s">
        <v>265</v>
      </c>
      <c r="E238" s="21">
        <v>12.0</v>
      </c>
      <c r="F238" s="21" t="s">
        <v>232</v>
      </c>
      <c r="G238" s="19" t="s">
        <v>603</v>
      </c>
      <c r="H238" s="36"/>
      <c r="I238" s="36"/>
      <c r="J238" s="36"/>
      <c r="K238" s="36"/>
      <c r="L238" s="35"/>
      <c r="M238" s="35"/>
      <c r="N238" s="34"/>
      <c r="O238" s="34"/>
      <c r="P238" s="34"/>
      <c r="Q238" s="32"/>
      <c r="R238" s="32"/>
      <c r="S238" s="32"/>
      <c r="T238" s="32"/>
      <c r="U238" s="32"/>
      <c r="V238" s="32"/>
      <c r="W238" s="32"/>
      <c r="X238" s="32"/>
      <c r="Y238" s="32"/>
      <c r="Z238" s="18"/>
    </row>
    <row r="239">
      <c r="A239" s="19" t="str">
        <f t="shared" si="1"/>
        <v>238-F-13-Null-Gamma 'Dabbling Academic - Fool Proof'</v>
      </c>
      <c r="B239" s="27"/>
      <c r="C239" s="21">
        <v>238.0</v>
      </c>
      <c r="D239" s="21" t="s">
        <v>265</v>
      </c>
      <c r="E239" s="21">
        <v>13.0</v>
      </c>
      <c r="F239" s="21" t="s">
        <v>249</v>
      </c>
      <c r="G239" s="19" t="s">
        <v>604</v>
      </c>
      <c r="H239" s="36"/>
      <c r="I239" s="36"/>
      <c r="J239" s="36"/>
      <c r="K239" s="36"/>
      <c r="L239" s="35"/>
      <c r="M239" s="35"/>
      <c r="N239" s="34"/>
      <c r="O239" s="34"/>
      <c r="P239" s="34"/>
      <c r="Q239" s="32"/>
      <c r="R239" s="32"/>
      <c r="S239" s="32"/>
      <c r="T239" s="32"/>
      <c r="U239" s="32"/>
      <c r="V239" s="32"/>
      <c r="W239" s="32"/>
      <c r="X239" s="32"/>
      <c r="Y239" s="32"/>
      <c r="Z239" s="18"/>
    </row>
    <row r="240">
      <c r="A240" s="19" t="str">
        <f t="shared" si="1"/>
        <v>239-F-14-Null-Delta 'A Thing About Names'</v>
      </c>
      <c r="B240" s="27"/>
      <c r="C240" s="21">
        <v>239.0</v>
      </c>
      <c r="D240" s="21" t="s">
        <v>265</v>
      </c>
      <c r="E240" s="21">
        <v>14.0</v>
      </c>
      <c r="F240" s="21" t="s">
        <v>412</v>
      </c>
      <c r="G240" s="19" t="s">
        <v>605</v>
      </c>
      <c r="H240" s="36"/>
      <c r="I240" s="36"/>
      <c r="J240" s="36"/>
      <c r="K240" s="36"/>
      <c r="L240" s="35"/>
      <c r="M240" s="35"/>
      <c r="N240" s="34"/>
      <c r="O240" s="34"/>
      <c r="P240" s="34"/>
      <c r="Q240" s="32"/>
      <c r="R240" s="32"/>
      <c r="S240" s="32"/>
      <c r="T240" s="32"/>
      <c r="U240" s="32"/>
      <c r="V240" s="32"/>
      <c r="W240" s="32"/>
      <c r="X240" s="32"/>
      <c r="Y240" s="32"/>
      <c r="Z240" s="18"/>
    </row>
    <row r="241">
      <c r="A241" s="19" t="str">
        <f t="shared" si="1"/>
        <v>240-A-52-Pent 'Crucible of Eight Trigrams'</v>
      </c>
      <c r="B241" s="27"/>
      <c r="C241" s="21">
        <v>240.0</v>
      </c>
      <c r="D241" s="21" t="s">
        <v>213</v>
      </c>
      <c r="E241" s="21">
        <v>52.0</v>
      </c>
      <c r="F241" s="21" t="s">
        <v>461</v>
      </c>
      <c r="G241" s="19" t="s">
        <v>606</v>
      </c>
      <c r="H241" s="36"/>
      <c r="I241" s="36"/>
      <c r="J241" s="36"/>
      <c r="K241" s="36"/>
      <c r="L241" s="35"/>
      <c r="M241" s="35"/>
      <c r="N241" s="34"/>
      <c r="O241" s="34"/>
      <c r="P241" s="34"/>
      <c r="Q241" s="32"/>
      <c r="R241" s="32"/>
      <c r="S241" s="32"/>
      <c r="T241" s="32"/>
      <c r="U241" s="32"/>
      <c r="V241" s="32"/>
      <c r="W241" s="32"/>
      <c r="X241" s="32"/>
      <c r="Y241" s="32"/>
      <c r="Z241" s="18"/>
    </row>
    <row r="242">
      <c r="A242" s="19" t="str">
        <f t="shared" si="1"/>
        <v>241-A-53-Quad 'Lathe-Wrought Armour Plating Kit'</v>
      </c>
      <c r="B242" s="27"/>
      <c r="C242" s="21">
        <v>241.0</v>
      </c>
      <c r="D242" s="21" t="s">
        <v>213</v>
      </c>
      <c r="E242" s="21">
        <v>53.0</v>
      </c>
      <c r="F242" s="21" t="s">
        <v>359</v>
      </c>
      <c r="G242" s="19" t="s">
        <v>607</v>
      </c>
      <c r="H242" s="36"/>
      <c r="I242" s="36"/>
      <c r="J242" s="36"/>
      <c r="K242" s="36"/>
      <c r="L242" s="35"/>
      <c r="M242" s="35"/>
      <c r="N242" s="34"/>
      <c r="O242" s="34"/>
      <c r="P242" s="34"/>
      <c r="Q242" s="32"/>
      <c r="R242" s="32"/>
      <c r="S242" s="32"/>
      <c r="T242" s="32"/>
      <c r="U242" s="32"/>
      <c r="V242" s="32"/>
      <c r="W242" s="32"/>
      <c r="X242" s="32"/>
      <c r="Y242" s="32"/>
      <c r="Z242" s="18"/>
    </row>
    <row r="243">
      <c r="A243" s="19" t="str">
        <f t="shared" si="1"/>
        <v>242-A-54-Iso-Echo 'Workshop: Clothing'</v>
      </c>
      <c r="B243" s="27"/>
      <c r="C243" s="21">
        <v>242.0</v>
      </c>
      <c r="D243" s="21" t="s">
        <v>213</v>
      </c>
      <c r="E243" s="21">
        <v>54.0</v>
      </c>
      <c r="F243" s="21" t="s">
        <v>373</v>
      </c>
      <c r="G243" s="19" t="s">
        <v>608</v>
      </c>
      <c r="H243" s="36"/>
      <c r="I243" s="36"/>
      <c r="J243" s="36"/>
      <c r="K243" s="36"/>
      <c r="L243" s="35"/>
      <c r="M243" s="35"/>
      <c r="N243" s="34"/>
      <c r="O243" s="34"/>
      <c r="P243" s="34"/>
      <c r="Q243" s="32"/>
      <c r="R243" s="32"/>
      <c r="S243" s="32"/>
      <c r="T243" s="32"/>
      <c r="U243" s="32"/>
      <c r="V243" s="32"/>
      <c r="W243" s="32"/>
      <c r="X243" s="32"/>
      <c r="Y243" s="32"/>
      <c r="Z243" s="18"/>
    </row>
    <row r="244">
      <c r="A244" s="19" t="str">
        <f t="shared" si="1"/>
        <v>243-L-14-Quad-Echo-Alpha 'Thaumaturgical Focus: Alchemy'</v>
      </c>
      <c r="B244" s="27"/>
      <c r="C244" s="21">
        <v>243.0</v>
      </c>
      <c r="D244" s="21" t="s">
        <v>293</v>
      </c>
      <c r="E244" s="21">
        <v>14.0</v>
      </c>
      <c r="F244" s="21" t="s">
        <v>562</v>
      </c>
      <c r="G244" s="19" t="s">
        <v>609</v>
      </c>
      <c r="H244" s="36"/>
      <c r="I244" s="36"/>
      <c r="J244" s="36"/>
      <c r="K244" s="36"/>
      <c r="L244" s="35"/>
      <c r="M244" s="35"/>
      <c r="N244" s="34"/>
      <c r="O244" s="34"/>
      <c r="P244" s="34"/>
      <c r="Q244" s="32"/>
      <c r="R244" s="32"/>
      <c r="S244" s="32"/>
      <c r="T244" s="32"/>
      <c r="U244" s="32"/>
      <c r="V244" s="32"/>
      <c r="W244" s="32"/>
      <c r="X244" s="32"/>
      <c r="Y244" s="32"/>
      <c r="Z244" s="18"/>
    </row>
    <row r="245">
      <c r="A245" s="19" t="str">
        <f t="shared" si="1"/>
        <v>244-L-15-Null-Beta 'Status Page'</v>
      </c>
      <c r="B245" s="27"/>
      <c r="C245" s="21">
        <v>244.0</v>
      </c>
      <c r="D245" s="21" t="s">
        <v>293</v>
      </c>
      <c r="E245" s="21">
        <v>15.0</v>
      </c>
      <c r="F245" s="21" t="s">
        <v>232</v>
      </c>
      <c r="G245" s="19" t="s">
        <v>610</v>
      </c>
      <c r="H245" s="36"/>
      <c r="I245" s="36"/>
      <c r="J245" s="36"/>
      <c r="K245" s="36"/>
      <c r="L245" s="35"/>
      <c r="M245" s="35"/>
      <c r="N245" s="34"/>
      <c r="O245" s="34"/>
      <c r="P245" s="34"/>
      <c r="Q245" s="32"/>
      <c r="R245" s="32"/>
      <c r="S245" s="32"/>
      <c r="T245" s="32"/>
      <c r="U245" s="32"/>
      <c r="V245" s="32"/>
      <c r="W245" s="32"/>
      <c r="X245" s="32"/>
      <c r="Y245" s="32"/>
      <c r="Z245" s="18"/>
    </row>
    <row r="246">
      <c r="A246" s="19" t="str">
        <f t="shared" si="1"/>
        <v>245-L-16-Null-Gamma 'Dapper Dressing'</v>
      </c>
      <c r="B246" s="27"/>
      <c r="C246" s="21">
        <v>245.0</v>
      </c>
      <c r="D246" s="21" t="s">
        <v>293</v>
      </c>
      <c r="E246" s="21">
        <v>16.0</v>
      </c>
      <c r="F246" s="21" t="s">
        <v>249</v>
      </c>
      <c r="G246" s="19" t="s">
        <v>611</v>
      </c>
      <c r="H246" s="36"/>
      <c r="I246" s="36"/>
      <c r="J246" s="36"/>
      <c r="K246" s="36"/>
      <c r="L246" s="35"/>
      <c r="M246" s="35"/>
      <c r="N246" s="34"/>
      <c r="O246" s="34"/>
      <c r="P246" s="34"/>
      <c r="Q246" s="32"/>
      <c r="R246" s="32"/>
      <c r="S246" s="32"/>
      <c r="T246" s="32"/>
      <c r="U246" s="32"/>
      <c r="V246" s="32"/>
      <c r="W246" s="32"/>
      <c r="X246" s="32"/>
      <c r="Y246" s="32"/>
      <c r="Z246" s="18"/>
    </row>
    <row r="247">
      <c r="A247" s="19" t="str">
        <f t="shared" si="1"/>
        <v>246-J-19-Tri 'Panzerkampf'</v>
      </c>
      <c r="B247" s="19" t="s">
        <v>263</v>
      </c>
      <c r="C247" s="21">
        <v>246.0</v>
      </c>
      <c r="D247" s="21" t="s">
        <v>324</v>
      </c>
      <c r="E247" s="21">
        <v>19.0</v>
      </c>
      <c r="F247" s="21" t="s">
        <v>330</v>
      </c>
      <c r="G247" s="19" t="s">
        <v>612</v>
      </c>
      <c r="H247" s="36"/>
      <c r="I247" s="36"/>
      <c r="J247" s="36"/>
      <c r="K247" s="36"/>
      <c r="L247" s="35"/>
      <c r="M247" s="35"/>
      <c r="N247" s="34"/>
      <c r="O247" s="34"/>
      <c r="P247" s="34"/>
      <c r="Q247" s="32"/>
      <c r="R247" s="32"/>
      <c r="S247" s="32"/>
      <c r="T247" s="32"/>
      <c r="U247" s="32"/>
      <c r="V247" s="32"/>
      <c r="W247" s="32"/>
      <c r="X247" s="32"/>
      <c r="Y247" s="32"/>
      <c r="Z247" s="18"/>
    </row>
    <row r="248">
      <c r="A248" s="19" t="str">
        <f t="shared" si="1"/>
        <v>247-J-20-Quad 'Manufacturing Line'</v>
      </c>
      <c r="B248" s="27"/>
      <c r="C248" s="21">
        <v>247.0</v>
      </c>
      <c r="D248" s="21" t="s">
        <v>324</v>
      </c>
      <c r="E248" s="21">
        <v>20.0</v>
      </c>
      <c r="F248" s="21" t="s">
        <v>359</v>
      </c>
      <c r="G248" s="19" t="s">
        <v>510</v>
      </c>
      <c r="H248" s="36"/>
      <c r="I248" s="36"/>
      <c r="J248" s="36"/>
      <c r="K248" s="36"/>
      <c r="L248" s="35"/>
      <c r="M248" s="35"/>
      <c r="N248" s="34"/>
      <c r="O248" s="34"/>
      <c r="P248" s="34"/>
      <c r="Q248" s="32"/>
      <c r="R248" s="32"/>
      <c r="S248" s="32"/>
      <c r="T248" s="32"/>
      <c r="U248" s="32"/>
      <c r="V248" s="32"/>
      <c r="W248" s="32"/>
      <c r="X248" s="32"/>
      <c r="Y248" s="32"/>
      <c r="Z248" s="18"/>
    </row>
    <row r="249">
      <c r="A249" s="19" t="str">
        <f t="shared" si="1"/>
        <v>248-H-38-Iso-Echo 'Minor Blessing Aphrodite - Beauty'</v>
      </c>
      <c r="B249" s="27"/>
      <c r="C249" s="21">
        <v>248.0</v>
      </c>
      <c r="D249" s="21" t="s">
        <v>281</v>
      </c>
      <c r="E249" s="21">
        <v>38.0</v>
      </c>
      <c r="F249" s="21" t="s">
        <v>373</v>
      </c>
      <c r="G249" s="19" t="s">
        <v>613</v>
      </c>
      <c r="H249" s="36"/>
      <c r="I249" s="36"/>
      <c r="J249" s="36"/>
      <c r="K249" s="36"/>
      <c r="L249" s="35"/>
      <c r="M249" s="35"/>
      <c r="N249" s="34"/>
      <c r="O249" s="34"/>
      <c r="P249" s="34"/>
      <c r="Q249" s="32"/>
      <c r="R249" s="32"/>
      <c r="S249" s="32"/>
      <c r="T249" s="32"/>
      <c r="U249" s="32"/>
      <c r="V249" s="32"/>
      <c r="W249" s="32"/>
      <c r="X249" s="32"/>
      <c r="Y249" s="32"/>
      <c r="Z249" s="18"/>
    </row>
    <row r="250">
      <c r="A250" s="19" t="str">
        <f t="shared" si="1"/>
        <v>249-H-39-Di-Echo 'Unnatural Skill: Runes'</v>
      </c>
      <c r="B250" s="27"/>
      <c r="C250" s="21">
        <v>249.0</v>
      </c>
      <c r="D250" s="21" t="s">
        <v>281</v>
      </c>
      <c r="E250" s="21">
        <v>39.0</v>
      </c>
      <c r="F250" s="21" t="s">
        <v>396</v>
      </c>
      <c r="G250" s="19" t="s">
        <v>614</v>
      </c>
      <c r="H250" s="36"/>
      <c r="I250" s="36"/>
      <c r="J250" s="36"/>
      <c r="K250" s="36"/>
      <c r="L250" s="35"/>
      <c r="M250" s="35"/>
      <c r="N250" s="34"/>
      <c r="O250" s="34"/>
      <c r="P250" s="34"/>
      <c r="Q250" s="32"/>
      <c r="R250" s="32"/>
      <c r="S250" s="32"/>
      <c r="T250" s="32"/>
      <c r="U250" s="32"/>
      <c r="V250" s="32"/>
      <c r="W250" s="32"/>
      <c r="X250" s="32"/>
      <c r="Y250" s="32"/>
      <c r="Z250" s="18"/>
    </row>
    <row r="251">
      <c r="A251" s="19" t="str">
        <f t="shared" si="1"/>
        <v>250-E-15-Demi-Alpha 'Class Crafter'</v>
      </c>
      <c r="B251" s="19" t="s">
        <v>307</v>
      </c>
      <c r="C251" s="21">
        <v>250.0</v>
      </c>
      <c r="D251" s="21" t="s">
        <v>284</v>
      </c>
      <c r="E251" s="21">
        <v>15.0</v>
      </c>
      <c r="F251" s="21" t="s">
        <v>570</v>
      </c>
      <c r="G251" s="19" t="s">
        <v>615</v>
      </c>
      <c r="H251" s="36"/>
      <c r="I251" s="36"/>
      <c r="J251" s="36"/>
      <c r="K251" s="36"/>
      <c r="L251" s="35"/>
      <c r="M251" s="35"/>
      <c r="N251" s="34"/>
      <c r="O251" s="34"/>
      <c r="P251" s="34"/>
      <c r="Q251" s="32"/>
      <c r="R251" s="32"/>
      <c r="S251" s="32"/>
      <c r="T251" s="32"/>
      <c r="U251" s="32"/>
      <c r="V251" s="32"/>
      <c r="W251" s="32"/>
      <c r="X251" s="32"/>
      <c r="Y251" s="32"/>
      <c r="Z251" s="18"/>
    </row>
    <row r="252">
      <c r="A252" s="19" t="str">
        <f t="shared" si="1"/>
        <v>251-E-16-Pent-Demi-Alpha 'Item Construction A+++'</v>
      </c>
      <c r="B252" s="19" t="s">
        <v>314</v>
      </c>
      <c r="C252" s="21">
        <v>251.0</v>
      </c>
      <c r="D252" s="21" t="s">
        <v>284</v>
      </c>
      <c r="E252" s="21">
        <v>16.0</v>
      </c>
      <c r="F252" s="21" t="s">
        <v>616</v>
      </c>
      <c r="G252" s="19" t="s">
        <v>617</v>
      </c>
      <c r="H252" s="36"/>
      <c r="I252" s="36"/>
      <c r="J252" s="36"/>
      <c r="K252" s="36"/>
      <c r="L252" s="35"/>
      <c r="M252" s="35"/>
      <c r="N252" s="34"/>
      <c r="O252" s="34"/>
      <c r="P252" s="34"/>
      <c r="Q252" s="32"/>
      <c r="R252" s="32"/>
      <c r="S252" s="32"/>
      <c r="T252" s="32"/>
      <c r="U252" s="32"/>
      <c r="V252" s="32"/>
      <c r="W252" s="32"/>
      <c r="X252" s="32"/>
      <c r="Y252" s="32"/>
      <c r="Z252" s="18"/>
    </row>
    <row r="253">
      <c r="A253" s="19" t="str">
        <f t="shared" si="1"/>
        <v>252-E-17-Quad-Alpha 'You Became A Star'</v>
      </c>
      <c r="B253" s="19" t="s">
        <v>321</v>
      </c>
      <c r="C253" s="21">
        <v>252.0</v>
      </c>
      <c r="D253" s="21" t="s">
        <v>284</v>
      </c>
      <c r="E253" s="21">
        <v>17.0</v>
      </c>
      <c r="F253" s="21" t="s">
        <v>527</v>
      </c>
      <c r="G253" s="19" t="s">
        <v>618</v>
      </c>
      <c r="H253" s="36"/>
      <c r="I253" s="36"/>
      <c r="J253" s="36"/>
      <c r="K253" s="36"/>
      <c r="L253" s="35"/>
      <c r="M253" s="35"/>
      <c r="N253" s="34"/>
      <c r="O253" s="34"/>
      <c r="P253" s="34"/>
      <c r="Q253" s="32"/>
      <c r="R253" s="32"/>
      <c r="S253" s="32"/>
      <c r="T253" s="32"/>
      <c r="U253" s="32"/>
      <c r="V253" s="32"/>
      <c r="W253" s="32"/>
      <c r="X253" s="32"/>
      <c r="Y253" s="32"/>
      <c r="Z253" s="18"/>
    </row>
    <row r="254">
      <c r="A254" s="19" t="str">
        <f t="shared" si="1"/>
        <v>253-E-18-Null-Beta 'Shoot For The Moon'</v>
      </c>
      <c r="B254" s="19" t="s">
        <v>328</v>
      </c>
      <c r="C254" s="21">
        <v>253.0</v>
      </c>
      <c r="D254" s="21" t="s">
        <v>284</v>
      </c>
      <c r="E254" s="21">
        <v>18.0</v>
      </c>
      <c r="F254" s="21" t="s">
        <v>232</v>
      </c>
      <c r="G254" s="19" t="s">
        <v>619</v>
      </c>
      <c r="H254" s="36"/>
      <c r="I254" s="36"/>
      <c r="J254" s="36"/>
      <c r="K254" s="36"/>
      <c r="L254" s="35"/>
      <c r="M254" s="35"/>
      <c r="N254" s="34"/>
      <c r="O254" s="34"/>
      <c r="P254" s="34"/>
      <c r="Q254" s="32"/>
      <c r="R254" s="32"/>
      <c r="S254" s="32"/>
      <c r="T254" s="32"/>
      <c r="U254" s="32"/>
      <c r="V254" s="32"/>
      <c r="W254" s="32"/>
      <c r="X254" s="32"/>
      <c r="Y254" s="32"/>
      <c r="Z254" s="18"/>
    </row>
    <row r="255">
      <c r="A255" s="19" t="str">
        <f t="shared" si="1"/>
        <v>254-E-19-Null-Gamma 'Rainbow Savior'</v>
      </c>
      <c r="B255" s="27"/>
      <c r="C255" s="21">
        <v>254.0</v>
      </c>
      <c r="D255" s="21" t="s">
        <v>284</v>
      </c>
      <c r="E255" s="21">
        <v>19.0</v>
      </c>
      <c r="F255" s="21" t="s">
        <v>249</v>
      </c>
      <c r="G255" s="19" t="s">
        <v>620</v>
      </c>
      <c r="H255" s="36"/>
      <c r="I255" s="36"/>
      <c r="J255" s="36"/>
      <c r="K255" s="36"/>
      <c r="L255" s="35"/>
      <c r="M255" s="35"/>
      <c r="N255" s="34"/>
      <c r="O255" s="34"/>
      <c r="P255" s="34"/>
      <c r="Q255" s="32"/>
      <c r="R255" s="32"/>
      <c r="S255" s="32"/>
      <c r="T255" s="32"/>
      <c r="U255" s="32"/>
      <c r="V255" s="32"/>
      <c r="W255" s="32"/>
      <c r="X255" s="32"/>
      <c r="Y255" s="32"/>
      <c r="Z255" s="18"/>
    </row>
    <row r="256">
      <c r="A256" s="19" t="str">
        <f t="shared" si="1"/>
        <v>255-E-20-Null-Delta 'Unicornium Horn'</v>
      </c>
      <c r="B256" s="27"/>
      <c r="C256" s="21">
        <v>255.0</v>
      </c>
      <c r="D256" s="21" t="s">
        <v>284</v>
      </c>
      <c r="E256" s="21">
        <v>20.0</v>
      </c>
      <c r="F256" s="21" t="s">
        <v>412</v>
      </c>
      <c r="G256" s="19" t="s">
        <v>621</v>
      </c>
      <c r="H256" s="36"/>
      <c r="I256" s="36"/>
      <c r="J256" s="36"/>
      <c r="K256" s="36"/>
      <c r="L256" s="35"/>
      <c r="M256" s="35"/>
      <c r="N256" s="34"/>
      <c r="O256" s="34"/>
      <c r="P256" s="34"/>
      <c r="Q256" s="32"/>
      <c r="R256" s="32"/>
      <c r="S256" s="32"/>
      <c r="T256" s="32"/>
      <c r="U256" s="32"/>
      <c r="V256" s="32"/>
      <c r="W256" s="32"/>
      <c r="X256" s="32"/>
      <c r="Y256" s="32"/>
      <c r="Z256" s="18"/>
    </row>
    <row r="257">
      <c r="A257" s="19" t="str">
        <f t="shared" si="1"/>
        <v>256-E-21-Null-Epsilon 'Make A Wish'</v>
      </c>
      <c r="B257" s="19" t="s">
        <v>335</v>
      </c>
      <c r="C257" s="21">
        <v>256.0</v>
      </c>
      <c r="D257" s="21" t="s">
        <v>284</v>
      </c>
      <c r="E257" s="21">
        <v>21.0</v>
      </c>
      <c r="F257" s="21" t="s">
        <v>414</v>
      </c>
      <c r="G257" s="19" t="s">
        <v>622</v>
      </c>
      <c r="H257" s="36"/>
      <c r="I257" s="36"/>
      <c r="J257" s="36"/>
      <c r="K257" s="36"/>
      <c r="L257" s="35"/>
      <c r="M257" s="35"/>
      <c r="N257" s="34"/>
      <c r="O257" s="34"/>
      <c r="P257" s="34"/>
      <c r="Q257" s="32"/>
      <c r="R257" s="32"/>
      <c r="S257" s="32"/>
      <c r="T257" s="32"/>
      <c r="U257" s="32"/>
      <c r="V257" s="32"/>
      <c r="W257" s="32"/>
      <c r="X257" s="32"/>
      <c r="Y257" s="32"/>
      <c r="Z257" s="18"/>
    </row>
    <row r="258">
      <c r="A258" s="19" t="str">
        <f t="shared" si="1"/>
        <v>257-I-14-Null-Alpha 'Pre-existing Variations?!'</v>
      </c>
      <c r="B258" s="19" t="s">
        <v>309</v>
      </c>
      <c r="C258" s="21">
        <v>257.0</v>
      </c>
      <c r="D258" s="21" t="s">
        <v>317</v>
      </c>
      <c r="E258" s="21">
        <v>14.0</v>
      </c>
      <c r="F258" s="21" t="s">
        <v>385</v>
      </c>
      <c r="G258" s="19" t="s">
        <v>623</v>
      </c>
      <c r="H258" s="36"/>
      <c r="I258" s="36"/>
      <c r="J258" s="36"/>
      <c r="K258" s="36"/>
      <c r="L258" s="35"/>
      <c r="M258" s="35"/>
      <c r="N258" s="34"/>
      <c r="O258" s="34"/>
      <c r="P258" s="34"/>
      <c r="Q258" s="32"/>
      <c r="R258" s="32"/>
      <c r="S258" s="32"/>
      <c r="T258" s="32"/>
      <c r="U258" s="32"/>
      <c r="V258" s="32"/>
      <c r="W258" s="32"/>
      <c r="X258" s="32"/>
      <c r="Y258" s="32"/>
      <c r="Z258" s="18"/>
    </row>
    <row r="259">
      <c r="A259" s="19" t="str">
        <f t="shared" si="1"/>
        <v>258-I-15-Null-Beta 'Accelerator Equipment'</v>
      </c>
      <c r="B259" s="27"/>
      <c r="C259" s="21">
        <v>258.0</v>
      </c>
      <c r="D259" s="21" t="s">
        <v>317</v>
      </c>
      <c r="E259" s="21">
        <v>15.0</v>
      </c>
      <c r="F259" s="21" t="s">
        <v>232</v>
      </c>
      <c r="G259" s="19" t="s">
        <v>624</v>
      </c>
      <c r="H259" s="36"/>
      <c r="I259" s="36"/>
      <c r="J259" s="36"/>
      <c r="K259" s="36"/>
      <c r="L259" s="35"/>
      <c r="M259" s="35"/>
      <c r="N259" s="34"/>
      <c r="O259" s="34"/>
      <c r="P259" s="34"/>
      <c r="Q259" s="32"/>
      <c r="R259" s="32"/>
      <c r="S259" s="32"/>
      <c r="T259" s="32"/>
      <c r="U259" s="32"/>
      <c r="V259" s="32"/>
      <c r="W259" s="32"/>
      <c r="X259" s="32"/>
      <c r="Y259" s="32"/>
      <c r="Z259" s="18"/>
    </row>
    <row r="260">
      <c r="A260" s="19" t="str">
        <f t="shared" si="1"/>
        <v>259-I-16-Null-Gamma 'Electron Shield Generators'</v>
      </c>
      <c r="B260" s="27"/>
      <c r="C260" s="21">
        <v>259.0</v>
      </c>
      <c r="D260" s="21" t="s">
        <v>317</v>
      </c>
      <c r="E260" s="21">
        <v>16.0</v>
      </c>
      <c r="F260" s="21" t="s">
        <v>249</v>
      </c>
      <c r="G260" s="19" t="s">
        <v>625</v>
      </c>
      <c r="H260" s="36"/>
      <c r="I260" s="36"/>
      <c r="J260" s="36"/>
      <c r="K260" s="36"/>
      <c r="L260" s="35"/>
      <c r="M260" s="35"/>
      <c r="N260" s="34"/>
      <c r="O260" s="34"/>
      <c r="P260" s="34"/>
      <c r="Q260" s="32"/>
      <c r="R260" s="32"/>
      <c r="S260" s="32"/>
      <c r="T260" s="32"/>
      <c r="U260" s="32"/>
      <c r="V260" s="32"/>
      <c r="W260" s="32"/>
      <c r="X260" s="32"/>
      <c r="Y260" s="32"/>
      <c r="Z260" s="18"/>
    </row>
    <row r="261">
      <c r="A261" s="19" t="str">
        <f t="shared" si="1"/>
        <v>260-I-17-Null-Delta 'Doppler Field Generator'</v>
      </c>
      <c r="B261" s="27"/>
      <c r="C261" s="21">
        <v>260.0</v>
      </c>
      <c r="D261" s="21" t="s">
        <v>317</v>
      </c>
      <c r="E261" s="21">
        <v>17.0</v>
      </c>
      <c r="F261" s="21" t="s">
        <v>412</v>
      </c>
      <c r="G261" s="19" t="s">
        <v>626</v>
      </c>
      <c r="H261" s="36"/>
      <c r="I261" s="36"/>
      <c r="J261" s="36"/>
      <c r="K261" s="36"/>
      <c r="L261" s="35"/>
      <c r="M261" s="35"/>
      <c r="N261" s="34"/>
      <c r="O261" s="34"/>
      <c r="P261" s="34"/>
      <c r="Q261" s="32"/>
      <c r="R261" s="32"/>
      <c r="S261" s="32"/>
      <c r="T261" s="32"/>
      <c r="U261" s="32"/>
      <c r="V261" s="32"/>
      <c r="W261" s="32"/>
      <c r="X261" s="32"/>
      <c r="Y261" s="32"/>
      <c r="Z261" s="18"/>
    </row>
    <row r="262">
      <c r="A262" s="19" t="str">
        <f t="shared" si="1"/>
        <v>261-B-38-Di-Alpha 'Sky Machinist'</v>
      </c>
      <c r="B262" s="27"/>
      <c r="C262" s="21">
        <v>261.0</v>
      </c>
      <c r="D262" s="21" t="s">
        <v>234</v>
      </c>
      <c r="E262" s="21">
        <v>38.0</v>
      </c>
      <c r="F262" s="21" t="s">
        <v>382</v>
      </c>
      <c r="G262" s="19" t="s">
        <v>627</v>
      </c>
      <c r="H262" s="36"/>
      <c r="I262" s="36"/>
      <c r="J262" s="36"/>
      <c r="K262" s="36"/>
      <c r="L262" s="35"/>
      <c r="M262" s="35"/>
      <c r="N262" s="34"/>
      <c r="O262" s="34"/>
      <c r="P262" s="34"/>
      <c r="Q262" s="32"/>
      <c r="R262" s="32"/>
      <c r="S262" s="32"/>
      <c r="T262" s="32"/>
      <c r="U262" s="32"/>
      <c r="V262" s="32"/>
      <c r="W262" s="32"/>
      <c r="X262" s="32"/>
      <c r="Y262" s="32"/>
      <c r="Z262" s="18"/>
    </row>
    <row r="263">
      <c r="A263" s="19" t="str">
        <f t="shared" si="1"/>
        <v>262-B-39-Null-Beta 'Cool Flag With Logo'</v>
      </c>
      <c r="B263" s="27"/>
      <c r="C263" s="21">
        <v>262.0</v>
      </c>
      <c r="D263" s="21" t="s">
        <v>234</v>
      </c>
      <c r="E263" s="21">
        <v>39.0</v>
      </c>
      <c r="F263" s="21" t="s">
        <v>232</v>
      </c>
      <c r="G263" s="19" t="s">
        <v>628</v>
      </c>
      <c r="H263" s="36"/>
      <c r="I263" s="36"/>
      <c r="J263" s="36"/>
      <c r="K263" s="36"/>
      <c r="L263" s="35"/>
      <c r="M263" s="35"/>
      <c r="N263" s="34"/>
      <c r="O263" s="34"/>
      <c r="P263" s="34"/>
      <c r="Q263" s="32"/>
      <c r="R263" s="32"/>
      <c r="S263" s="32"/>
      <c r="T263" s="32"/>
      <c r="U263" s="32"/>
      <c r="V263" s="32"/>
      <c r="W263" s="32"/>
      <c r="X263" s="32"/>
      <c r="Y263" s="32"/>
      <c r="Z263" s="18"/>
    </row>
    <row r="264">
      <c r="A264" s="19" t="str">
        <f t="shared" si="1"/>
        <v>263-B-40-Null-Gamma 'Secret Handshake'</v>
      </c>
      <c r="B264" s="27"/>
      <c r="C264" s="21">
        <v>263.0</v>
      </c>
      <c r="D264" s="21" t="s">
        <v>234</v>
      </c>
      <c r="E264" s="21">
        <v>40.0</v>
      </c>
      <c r="F264" s="21" t="s">
        <v>249</v>
      </c>
      <c r="G264" s="19" t="s">
        <v>629</v>
      </c>
      <c r="H264" s="36"/>
      <c r="I264" s="36"/>
      <c r="J264" s="36"/>
      <c r="K264" s="36"/>
      <c r="L264" s="35"/>
      <c r="M264" s="35"/>
      <c r="N264" s="34"/>
      <c r="O264" s="34"/>
      <c r="P264" s="34"/>
      <c r="Q264" s="32"/>
      <c r="R264" s="32"/>
      <c r="S264" s="32"/>
      <c r="T264" s="32"/>
      <c r="U264" s="32"/>
      <c r="V264" s="32"/>
      <c r="W264" s="32"/>
      <c r="X264" s="32"/>
      <c r="Y264" s="32"/>
      <c r="Z264" s="18"/>
    </row>
    <row r="265">
      <c r="A265" s="19" t="str">
        <f t="shared" si="1"/>
        <v>264-G-15-Hex-Alpha 'Infusionist'</v>
      </c>
      <c r="B265" s="19" t="s">
        <v>290</v>
      </c>
      <c r="C265" s="21">
        <v>264.0</v>
      </c>
      <c r="D265" s="21" t="s">
        <v>303</v>
      </c>
      <c r="E265" s="21">
        <v>15.0</v>
      </c>
      <c r="F265" s="21" t="s">
        <v>566</v>
      </c>
      <c r="G265" s="19" t="s">
        <v>630</v>
      </c>
      <c r="H265" s="36"/>
      <c r="I265" s="36"/>
      <c r="J265" s="36"/>
      <c r="K265" s="36"/>
      <c r="L265" s="35"/>
      <c r="M265" s="35"/>
      <c r="N265" s="34"/>
      <c r="O265" s="34"/>
      <c r="P265" s="34"/>
      <c r="Q265" s="32"/>
      <c r="R265" s="32"/>
      <c r="S265" s="32"/>
      <c r="T265" s="32"/>
      <c r="U265" s="32"/>
      <c r="V265" s="32"/>
      <c r="W265" s="32"/>
      <c r="X265" s="32"/>
      <c r="Y265" s="32"/>
      <c r="Z265" s="18"/>
    </row>
    <row r="266">
      <c r="A266" s="19" t="str">
        <f t="shared" si="1"/>
        <v>265-G-16-Null-Beta 'Felyne Comrade'</v>
      </c>
      <c r="B266" s="27"/>
      <c r="C266" s="21">
        <v>265.0</v>
      </c>
      <c r="D266" s="21" t="s">
        <v>303</v>
      </c>
      <c r="E266" s="21">
        <v>16.0</v>
      </c>
      <c r="F266" s="21" t="s">
        <v>232</v>
      </c>
      <c r="G266" s="19" t="s">
        <v>631</v>
      </c>
      <c r="H266" s="36"/>
      <c r="I266" s="36"/>
      <c r="J266" s="36"/>
      <c r="K266" s="36"/>
      <c r="L266" s="35"/>
      <c r="M266" s="35"/>
      <c r="N266" s="34"/>
      <c r="O266" s="34"/>
      <c r="P266" s="34"/>
      <c r="Q266" s="32"/>
      <c r="R266" s="32"/>
      <c r="S266" s="32"/>
      <c r="T266" s="32"/>
      <c r="U266" s="32"/>
      <c r="V266" s="32"/>
      <c r="W266" s="32"/>
      <c r="X266" s="32"/>
      <c r="Y266" s="32"/>
      <c r="Z266" s="18"/>
    </row>
    <row r="267">
      <c r="A267" s="19" t="str">
        <f t="shared" si="1"/>
        <v>266-E-22-Di-Alpha 'Weapon Crafting'</v>
      </c>
      <c r="B267" s="19" t="s">
        <v>340</v>
      </c>
      <c r="C267" s="21">
        <v>266.0</v>
      </c>
      <c r="D267" s="21" t="s">
        <v>284</v>
      </c>
      <c r="E267" s="21">
        <v>22.0</v>
      </c>
      <c r="F267" s="21" t="s">
        <v>382</v>
      </c>
      <c r="G267" s="19" t="s">
        <v>632</v>
      </c>
      <c r="H267" s="36"/>
      <c r="I267" s="36"/>
      <c r="J267" s="36"/>
      <c r="K267" s="36"/>
      <c r="L267" s="35"/>
      <c r="M267" s="35"/>
      <c r="N267" s="34"/>
      <c r="O267" s="34"/>
      <c r="P267" s="34"/>
      <c r="Q267" s="32"/>
      <c r="R267" s="32"/>
      <c r="S267" s="32"/>
      <c r="T267" s="32"/>
      <c r="U267" s="32"/>
      <c r="V267" s="32"/>
      <c r="W267" s="32"/>
      <c r="X267" s="32"/>
      <c r="Y267" s="32"/>
      <c r="Z267" s="18"/>
    </row>
    <row r="268">
      <c r="A268" s="19" t="str">
        <f t="shared" si="1"/>
        <v>267-E-23-Null-Beta 'Cuh-Ray-Zee!'</v>
      </c>
      <c r="B268" s="27"/>
      <c r="C268" s="21">
        <v>267.0</v>
      </c>
      <c r="D268" s="21" t="s">
        <v>284</v>
      </c>
      <c r="E268" s="21">
        <v>23.0</v>
      </c>
      <c r="F268" s="21" t="s">
        <v>232</v>
      </c>
      <c r="G268" s="19" t="s">
        <v>633</v>
      </c>
      <c r="H268" s="36"/>
      <c r="I268" s="36"/>
      <c r="J268" s="36"/>
      <c r="K268" s="36"/>
      <c r="L268" s="35"/>
      <c r="M268" s="35"/>
      <c r="N268" s="34"/>
      <c r="O268" s="34"/>
      <c r="P268" s="34"/>
      <c r="Q268" s="32"/>
      <c r="R268" s="32"/>
      <c r="S268" s="32"/>
      <c r="T268" s="32"/>
      <c r="U268" s="32"/>
      <c r="V268" s="32"/>
      <c r="W268" s="32"/>
      <c r="X268" s="32"/>
      <c r="Y268" s="32"/>
      <c r="Z268" s="18"/>
    </row>
    <row r="269">
      <c r="A269" s="19" t="str">
        <f t="shared" si="1"/>
        <v>268-E-24-Null-Gamma 'Taunts'</v>
      </c>
      <c r="B269" s="27"/>
      <c r="C269" s="21">
        <v>268.0</v>
      </c>
      <c r="D269" s="21" t="s">
        <v>284</v>
      </c>
      <c r="E269" s="21">
        <v>24.0</v>
      </c>
      <c r="F269" s="21" t="s">
        <v>249</v>
      </c>
      <c r="G269" s="19" t="s">
        <v>634</v>
      </c>
      <c r="H269" s="36"/>
      <c r="I269" s="36"/>
      <c r="J269" s="36"/>
      <c r="K269" s="36"/>
      <c r="L269" s="35"/>
      <c r="M269" s="35"/>
      <c r="N269" s="34"/>
      <c r="O269" s="34"/>
      <c r="P269" s="34"/>
      <c r="Q269" s="32"/>
      <c r="R269" s="32"/>
      <c r="S269" s="32"/>
      <c r="T269" s="32"/>
      <c r="U269" s="32"/>
      <c r="V269" s="32"/>
      <c r="W269" s="32"/>
      <c r="X269" s="32"/>
      <c r="Y269" s="32"/>
      <c r="Z269" s="18"/>
    </row>
    <row r="270">
      <c r="A270" s="19" t="str">
        <f t="shared" si="1"/>
        <v>269-E-25-Null-Delta 'Weapon Swapping'</v>
      </c>
      <c r="B270" s="27"/>
      <c r="C270" s="21">
        <v>269.0</v>
      </c>
      <c r="D270" s="21" t="s">
        <v>284</v>
      </c>
      <c r="E270" s="21">
        <v>25.0</v>
      </c>
      <c r="F270" s="21" t="s">
        <v>412</v>
      </c>
      <c r="G270" s="19" t="s">
        <v>635</v>
      </c>
      <c r="H270" s="36"/>
      <c r="I270" s="36"/>
      <c r="J270" s="36"/>
      <c r="K270" s="36"/>
      <c r="L270" s="35"/>
      <c r="M270" s="35"/>
      <c r="N270" s="34"/>
      <c r="O270" s="34"/>
      <c r="P270" s="34"/>
      <c r="Q270" s="32"/>
      <c r="R270" s="32"/>
      <c r="S270" s="32"/>
      <c r="T270" s="32"/>
      <c r="U270" s="32"/>
      <c r="V270" s="32"/>
      <c r="W270" s="32"/>
      <c r="X270" s="32"/>
      <c r="Y270" s="32"/>
      <c r="Z270" s="18"/>
    </row>
    <row r="271">
      <c r="A271" s="19" t="str">
        <f t="shared" si="1"/>
        <v>270-E-26-Null-Epsilon 'Dark Slayer'</v>
      </c>
      <c r="B271" s="27"/>
      <c r="C271" s="21">
        <v>270.0</v>
      </c>
      <c r="D271" s="21" t="s">
        <v>284</v>
      </c>
      <c r="E271" s="21">
        <v>26.0</v>
      </c>
      <c r="F271" s="21" t="s">
        <v>414</v>
      </c>
      <c r="G271" s="19" t="s">
        <v>636</v>
      </c>
      <c r="H271" s="36"/>
      <c r="I271" s="36"/>
      <c r="J271" s="36"/>
      <c r="K271" s="36"/>
      <c r="L271" s="35"/>
      <c r="M271" s="35"/>
      <c r="N271" s="34"/>
      <c r="O271" s="34"/>
      <c r="P271" s="34"/>
      <c r="Q271" s="32"/>
      <c r="R271" s="32"/>
      <c r="S271" s="32"/>
      <c r="T271" s="32"/>
      <c r="U271" s="32"/>
      <c r="V271" s="32"/>
      <c r="W271" s="32"/>
      <c r="X271" s="32"/>
      <c r="Y271" s="32"/>
      <c r="Z271" s="18"/>
    </row>
    <row r="272">
      <c r="A272" s="19" t="str">
        <f t="shared" si="1"/>
        <v>271-E-27-Null-Zeta 'Get Set!'</v>
      </c>
      <c r="B272" s="27"/>
      <c r="C272" s="21">
        <v>271.0</v>
      </c>
      <c r="D272" s="21" t="s">
        <v>284</v>
      </c>
      <c r="E272" s="21">
        <v>27.0</v>
      </c>
      <c r="F272" s="21" t="s">
        <v>416</v>
      </c>
      <c r="G272" s="19" t="s">
        <v>637</v>
      </c>
      <c r="H272" s="36"/>
      <c r="I272" s="36"/>
      <c r="J272" s="36"/>
      <c r="K272" s="36"/>
      <c r="L272" s="35"/>
      <c r="M272" s="35"/>
      <c r="N272" s="34"/>
      <c r="O272" s="34"/>
      <c r="P272" s="34"/>
      <c r="Q272" s="32"/>
      <c r="R272" s="32"/>
      <c r="S272" s="32"/>
      <c r="T272" s="32"/>
      <c r="U272" s="32"/>
      <c r="V272" s="32"/>
      <c r="W272" s="32"/>
      <c r="X272" s="32"/>
      <c r="Y272" s="32"/>
      <c r="Z272" s="18"/>
    </row>
    <row r="273">
      <c r="A273" s="19" t="str">
        <f t="shared" si="1"/>
        <v>272-G-17-Hex-Alpha 'Feel It Out'</v>
      </c>
      <c r="B273" s="19" t="s">
        <v>299</v>
      </c>
      <c r="C273" s="21">
        <v>272.0</v>
      </c>
      <c r="D273" s="21" t="s">
        <v>303</v>
      </c>
      <c r="E273" s="21">
        <v>17.0</v>
      </c>
      <c r="F273" s="21" t="s">
        <v>566</v>
      </c>
      <c r="G273" s="19" t="s">
        <v>638</v>
      </c>
      <c r="H273" s="36"/>
      <c r="I273" s="36"/>
      <c r="J273" s="36"/>
      <c r="K273" s="36"/>
      <c r="L273" s="35"/>
      <c r="M273" s="35"/>
      <c r="N273" s="34"/>
      <c r="O273" s="34"/>
      <c r="P273" s="34"/>
      <c r="Q273" s="32"/>
      <c r="R273" s="32"/>
      <c r="S273" s="32"/>
      <c r="T273" s="32"/>
      <c r="U273" s="32"/>
      <c r="V273" s="32"/>
      <c r="W273" s="32"/>
      <c r="X273" s="32"/>
      <c r="Y273" s="32"/>
      <c r="Z273" s="18"/>
    </row>
    <row r="274">
      <c r="A274" s="19" t="str">
        <f t="shared" si="1"/>
        <v>273-G-18-Null-Beta 'Paxton Fettel'</v>
      </c>
      <c r="B274" s="27"/>
      <c r="C274" s="21">
        <v>273.0</v>
      </c>
      <c r="D274" s="21" t="s">
        <v>303</v>
      </c>
      <c r="E274" s="21">
        <v>18.0</v>
      </c>
      <c r="F274" s="21" t="s">
        <v>232</v>
      </c>
      <c r="G274" s="19" t="s">
        <v>639</v>
      </c>
      <c r="H274" s="36"/>
      <c r="I274" s="36"/>
      <c r="J274" s="36"/>
      <c r="K274" s="36"/>
      <c r="L274" s="35"/>
      <c r="M274" s="35"/>
      <c r="N274" s="34"/>
      <c r="O274" s="34"/>
      <c r="P274" s="34"/>
      <c r="Q274" s="32"/>
      <c r="R274" s="32"/>
      <c r="S274" s="32"/>
      <c r="T274" s="32"/>
      <c r="U274" s="32"/>
      <c r="V274" s="32"/>
      <c r="W274" s="32"/>
      <c r="X274" s="32"/>
      <c r="Y274" s="32"/>
      <c r="Z274" s="18"/>
    </row>
    <row r="275">
      <c r="A275" s="19" t="str">
        <f t="shared" si="1"/>
        <v>274-H-40-Quad-Alpha 'Mechanical Master'</v>
      </c>
      <c r="B275" s="27"/>
      <c r="C275" s="21">
        <v>274.0</v>
      </c>
      <c r="D275" s="21" t="s">
        <v>281</v>
      </c>
      <c r="E275" s="21">
        <v>40.0</v>
      </c>
      <c r="F275" s="21" t="s">
        <v>527</v>
      </c>
      <c r="G275" s="19" t="s">
        <v>640</v>
      </c>
      <c r="H275" s="36"/>
      <c r="I275" s="36"/>
      <c r="J275" s="36"/>
      <c r="K275" s="36"/>
      <c r="L275" s="35"/>
      <c r="M275" s="35"/>
      <c r="N275" s="34"/>
      <c r="O275" s="34"/>
      <c r="P275" s="34"/>
      <c r="Q275" s="32"/>
      <c r="R275" s="32"/>
      <c r="S275" s="32"/>
      <c r="T275" s="32"/>
      <c r="U275" s="32"/>
      <c r="V275" s="32"/>
      <c r="W275" s="32"/>
      <c r="X275" s="32"/>
      <c r="Y275" s="32"/>
      <c r="Z275" s="18"/>
    </row>
    <row r="276">
      <c r="A276" s="19" t="str">
        <f t="shared" si="1"/>
        <v>275-H-41-Null-Beta 'ECHO device with HUD and a melee weapon'</v>
      </c>
      <c r="B276" s="27"/>
      <c r="C276" s="21">
        <v>275.0</v>
      </c>
      <c r="D276" s="21" t="s">
        <v>281</v>
      </c>
      <c r="E276" s="21">
        <v>41.0</v>
      </c>
      <c r="F276" s="21" t="s">
        <v>232</v>
      </c>
      <c r="G276" s="19" t="s">
        <v>641</v>
      </c>
      <c r="H276" s="36"/>
      <c r="I276" s="36"/>
      <c r="J276" s="36"/>
      <c r="K276" s="36"/>
      <c r="L276" s="35"/>
      <c r="M276" s="35"/>
      <c r="N276" s="34"/>
      <c r="O276" s="34"/>
      <c r="P276" s="34"/>
      <c r="Q276" s="32"/>
      <c r="R276" s="32"/>
      <c r="S276" s="32"/>
      <c r="T276" s="32"/>
      <c r="U276" s="32"/>
      <c r="V276" s="32"/>
      <c r="W276" s="32"/>
      <c r="X276" s="32"/>
      <c r="Y276" s="32"/>
      <c r="Z276" s="18"/>
    </row>
    <row r="277">
      <c r="A277" s="19" t="str">
        <f t="shared" si="1"/>
        <v>276-H-42-Null-Gamma 'Ammunition Vending Machine'</v>
      </c>
      <c r="B277" s="27"/>
      <c r="C277" s="21">
        <v>276.0</v>
      </c>
      <c r="D277" s="21" t="s">
        <v>281</v>
      </c>
      <c r="E277" s="21">
        <v>42.0</v>
      </c>
      <c r="F277" s="21" t="s">
        <v>249</v>
      </c>
      <c r="G277" s="19" t="s">
        <v>642</v>
      </c>
      <c r="H277" s="36"/>
      <c r="I277" s="36"/>
      <c r="J277" s="36"/>
      <c r="K277" s="36"/>
      <c r="L277" s="35"/>
      <c r="M277" s="35"/>
      <c r="N277" s="34"/>
      <c r="O277" s="34"/>
      <c r="P277" s="34"/>
      <c r="Q277" s="32"/>
      <c r="R277" s="32"/>
      <c r="S277" s="32"/>
      <c r="T277" s="32"/>
      <c r="U277" s="32"/>
      <c r="V277" s="32"/>
      <c r="W277" s="32"/>
      <c r="X277" s="32"/>
      <c r="Y277" s="32"/>
      <c r="Z277" s="18"/>
    </row>
    <row r="278">
      <c r="A278" s="19" t="str">
        <f t="shared" si="1"/>
        <v>277-H-43-Hex-Alpha 'Daedalus' Student'</v>
      </c>
      <c r="B278" s="19" t="s">
        <v>336</v>
      </c>
      <c r="C278" s="21">
        <v>277.0</v>
      </c>
      <c r="D278" s="21" t="s">
        <v>281</v>
      </c>
      <c r="E278" s="21">
        <v>43.0</v>
      </c>
      <c r="F278" s="21" t="s">
        <v>566</v>
      </c>
      <c r="G278" s="19" t="s">
        <v>643</v>
      </c>
      <c r="H278" s="36"/>
      <c r="I278" s="36"/>
      <c r="J278" s="36"/>
      <c r="K278" s="36"/>
      <c r="L278" s="35"/>
      <c r="M278" s="35"/>
      <c r="N278" s="34"/>
      <c r="O278" s="34"/>
      <c r="P278" s="34"/>
      <c r="Q278" s="32"/>
      <c r="R278" s="32"/>
      <c r="S278" s="32"/>
      <c r="T278" s="32"/>
      <c r="U278" s="32"/>
      <c r="V278" s="32"/>
      <c r="W278" s="32"/>
      <c r="X278" s="32"/>
      <c r="Y278" s="32"/>
      <c r="Z278" s="18"/>
    </row>
    <row r="279">
      <c r="A279" s="19" t="str">
        <f t="shared" si="1"/>
        <v>278-H-44-Null-Beta 'Scowl of Sparta'</v>
      </c>
      <c r="B279" s="27"/>
      <c r="C279" s="21">
        <v>278.0</v>
      </c>
      <c r="D279" s="21" t="s">
        <v>281</v>
      </c>
      <c r="E279" s="21">
        <v>44.0</v>
      </c>
      <c r="F279" s="21" t="s">
        <v>232</v>
      </c>
      <c r="G279" s="19" t="s">
        <v>644</v>
      </c>
      <c r="H279" s="36"/>
      <c r="I279" s="36"/>
      <c r="J279" s="36"/>
      <c r="K279" s="36"/>
      <c r="L279" s="35"/>
      <c r="M279" s="35"/>
      <c r="N279" s="34"/>
      <c r="O279" s="34"/>
      <c r="P279" s="34"/>
      <c r="Q279" s="32"/>
      <c r="R279" s="32"/>
      <c r="S279" s="32"/>
      <c r="T279" s="32"/>
      <c r="U279" s="32"/>
      <c r="V279" s="32"/>
      <c r="W279" s="32"/>
      <c r="X279" s="32"/>
      <c r="Y279" s="32"/>
      <c r="Z279" s="18"/>
    </row>
    <row r="280">
      <c r="A280" s="19" t="str">
        <f t="shared" si="1"/>
        <v>279-H-45-Null-Gamma 'Attire'</v>
      </c>
      <c r="B280" s="27"/>
      <c r="C280" s="21">
        <v>279.0</v>
      </c>
      <c r="D280" s="21" t="s">
        <v>281</v>
      </c>
      <c r="E280" s="21">
        <v>45.0</v>
      </c>
      <c r="F280" s="21" t="s">
        <v>249</v>
      </c>
      <c r="G280" s="19" t="s">
        <v>645</v>
      </c>
      <c r="H280" s="36"/>
      <c r="I280" s="36"/>
      <c r="J280" s="36"/>
      <c r="K280" s="36"/>
      <c r="L280" s="35"/>
      <c r="M280" s="35"/>
      <c r="N280" s="34"/>
      <c r="O280" s="34"/>
      <c r="P280" s="34"/>
      <c r="Q280" s="32"/>
      <c r="R280" s="32"/>
      <c r="S280" s="32"/>
      <c r="T280" s="32"/>
      <c r="U280" s="32"/>
      <c r="V280" s="32"/>
      <c r="W280" s="32"/>
      <c r="X280" s="32"/>
      <c r="Y280" s="32"/>
      <c r="Z280" s="18"/>
    </row>
    <row r="281">
      <c r="A281" s="19" t="str">
        <f t="shared" si="1"/>
        <v>280-I-18-Hex-Alpha 'Nano-technician'</v>
      </c>
      <c r="B281" s="27"/>
      <c r="C281" s="21">
        <v>280.0</v>
      </c>
      <c r="D281" s="21" t="s">
        <v>317</v>
      </c>
      <c r="E281" s="21">
        <v>18.0</v>
      </c>
      <c r="F281" s="21" t="s">
        <v>566</v>
      </c>
      <c r="G281" s="19" t="s">
        <v>646</v>
      </c>
      <c r="H281" s="36"/>
      <c r="I281" s="36"/>
      <c r="J281" s="36"/>
      <c r="K281" s="36"/>
      <c r="L281" s="35"/>
      <c r="M281" s="35"/>
      <c r="N281" s="34"/>
      <c r="O281" s="34"/>
      <c r="P281" s="34"/>
      <c r="Q281" s="32"/>
      <c r="R281" s="32"/>
      <c r="S281" s="32"/>
      <c r="T281" s="32"/>
      <c r="U281" s="32"/>
      <c r="V281" s="32"/>
      <c r="W281" s="32"/>
      <c r="X281" s="32"/>
      <c r="Y281" s="32"/>
      <c r="Z281" s="18"/>
    </row>
    <row r="282">
      <c r="A282" s="19" t="str">
        <f t="shared" si="1"/>
        <v>281-I-19-Null-Beta 'Recycler'</v>
      </c>
      <c r="B282" s="27"/>
      <c r="C282" s="21">
        <v>281.0</v>
      </c>
      <c r="D282" s="21" t="s">
        <v>317</v>
      </c>
      <c r="E282" s="21">
        <v>19.0</v>
      </c>
      <c r="F282" s="21" t="s">
        <v>232</v>
      </c>
      <c r="G282" s="19" t="s">
        <v>647</v>
      </c>
      <c r="H282" s="36"/>
      <c r="I282" s="36"/>
      <c r="J282" s="36"/>
      <c r="K282" s="36"/>
      <c r="L282" s="35"/>
      <c r="M282" s="35"/>
      <c r="N282" s="34"/>
      <c r="O282" s="34"/>
      <c r="P282" s="34"/>
      <c r="Q282" s="32"/>
      <c r="R282" s="32"/>
      <c r="S282" s="32"/>
      <c r="T282" s="32"/>
      <c r="U282" s="32"/>
      <c r="V282" s="32"/>
      <c r="W282" s="32"/>
      <c r="X282" s="32"/>
      <c r="Y282" s="32"/>
      <c r="Z282" s="18"/>
    </row>
    <row r="283">
      <c r="A283" s="19" t="str">
        <f t="shared" si="1"/>
        <v>282-I-20-Null-Gamma 'Sledgehammer'</v>
      </c>
      <c r="B283" s="27"/>
      <c r="C283" s="21">
        <v>282.0</v>
      </c>
      <c r="D283" s="44" t="s">
        <v>317</v>
      </c>
      <c r="E283" s="44">
        <v>20.0</v>
      </c>
      <c r="F283" s="44" t="s">
        <v>249</v>
      </c>
      <c r="G283" s="45" t="s">
        <v>648</v>
      </c>
      <c r="H283" s="36"/>
      <c r="I283" s="36"/>
      <c r="J283" s="36"/>
      <c r="K283" s="36"/>
      <c r="L283" s="35"/>
      <c r="M283" s="35"/>
      <c r="N283" s="34"/>
      <c r="O283" s="34"/>
      <c r="P283" s="34"/>
      <c r="Q283" s="32"/>
      <c r="R283" s="32"/>
      <c r="S283" s="32"/>
      <c r="T283" s="32"/>
      <c r="U283" s="32"/>
      <c r="V283" s="32"/>
      <c r="W283" s="32"/>
      <c r="X283" s="32"/>
      <c r="Y283" s="32"/>
      <c r="Z283" s="18"/>
    </row>
    <row r="284">
      <c r="A284" s="19" t="str">
        <f t="shared" si="1"/>
        <v>283-I-21-Quad-Alpha 'Parahuman - Tinker - Miniaturization and Efficiency'</v>
      </c>
      <c r="B284" s="27"/>
      <c r="C284" s="46">
        <v>283.0</v>
      </c>
      <c r="D284" s="47" t="s">
        <v>317</v>
      </c>
      <c r="E284" s="48">
        <v>21.0</v>
      </c>
      <c r="F284" s="49" t="s">
        <v>527</v>
      </c>
      <c r="G284" s="47" t="s">
        <v>649</v>
      </c>
      <c r="H284" s="36"/>
      <c r="I284" s="36"/>
      <c r="J284" s="36"/>
      <c r="K284" s="36"/>
      <c r="L284" s="41"/>
      <c r="M284" s="35"/>
      <c r="N284" s="34"/>
      <c r="O284" s="34"/>
      <c r="P284" s="34"/>
      <c r="Q284" s="32"/>
      <c r="R284" s="32"/>
      <c r="S284" s="32"/>
      <c r="T284" s="32"/>
      <c r="U284" s="32"/>
      <c r="V284" s="32"/>
      <c r="W284" s="32"/>
      <c r="X284" s="32"/>
      <c r="Y284" s="32"/>
      <c r="Z284" s="18"/>
    </row>
    <row r="285">
      <c r="A285" s="19" t="str">
        <f t="shared" si="1"/>
        <v>284-I-22-Null-Beta 'Outside Context Problem'</v>
      </c>
      <c r="B285" s="27"/>
      <c r="C285" s="46">
        <v>284.0</v>
      </c>
      <c r="D285" s="50" t="s">
        <v>317</v>
      </c>
      <c r="E285" s="51">
        <v>22.0</v>
      </c>
      <c r="F285" s="52" t="s">
        <v>232</v>
      </c>
      <c r="G285" s="50" t="s">
        <v>650</v>
      </c>
      <c r="H285" s="36"/>
      <c r="I285" s="36"/>
      <c r="J285" s="36"/>
      <c r="K285" s="36"/>
      <c r="L285" s="41"/>
      <c r="M285" s="35"/>
      <c r="N285" s="34"/>
      <c r="O285" s="34"/>
      <c r="P285" s="34"/>
      <c r="Q285" s="32"/>
      <c r="R285" s="32"/>
      <c r="S285" s="32"/>
      <c r="T285" s="32"/>
      <c r="U285" s="32"/>
      <c r="V285" s="32"/>
      <c r="W285" s="32"/>
      <c r="X285" s="32"/>
      <c r="Y285" s="32"/>
      <c r="Z285" s="18"/>
    </row>
    <row r="286">
      <c r="A286" s="19" t="str">
        <f t="shared" si="1"/>
        <v>285-I-23-Null-Gamma 'Tinker-Tech Cache'</v>
      </c>
      <c r="B286" s="27"/>
      <c r="C286" s="46">
        <v>285.0</v>
      </c>
      <c r="D286" s="50" t="s">
        <v>317</v>
      </c>
      <c r="E286" s="51">
        <v>23.0</v>
      </c>
      <c r="F286" s="52" t="s">
        <v>249</v>
      </c>
      <c r="G286" s="50" t="s">
        <v>651</v>
      </c>
      <c r="H286" s="36"/>
      <c r="I286" s="36"/>
      <c r="J286" s="36"/>
      <c r="K286" s="36"/>
      <c r="L286" s="41"/>
      <c r="M286" s="35"/>
      <c r="N286" s="34"/>
      <c r="O286" s="34"/>
      <c r="P286" s="34"/>
      <c r="Q286" s="32"/>
      <c r="R286" s="32"/>
      <c r="S286" s="32"/>
      <c r="T286" s="32"/>
      <c r="U286" s="32"/>
      <c r="V286" s="32"/>
      <c r="W286" s="32"/>
      <c r="X286" s="32"/>
      <c r="Y286" s="32"/>
      <c r="Z286" s="18"/>
    </row>
    <row r="287">
      <c r="A287" s="19" t="str">
        <f t="shared" si="1"/>
        <v>286-B-41-Quad-Alpha 'Demigod Atelier'</v>
      </c>
      <c r="B287" s="27"/>
      <c r="C287" s="21">
        <v>286.0</v>
      </c>
      <c r="D287" s="21" t="s">
        <v>234</v>
      </c>
      <c r="E287" s="21">
        <v>41.0</v>
      </c>
      <c r="F287" s="21" t="s">
        <v>527</v>
      </c>
      <c r="G287" s="19" t="s">
        <v>652</v>
      </c>
      <c r="H287" s="36"/>
      <c r="I287" s="36"/>
      <c r="J287" s="36"/>
      <c r="K287" s="36"/>
      <c r="L287" s="41"/>
      <c r="M287" s="35"/>
      <c r="N287" s="34"/>
      <c r="O287" s="34"/>
      <c r="P287" s="34"/>
      <c r="Q287" s="32"/>
      <c r="R287" s="32"/>
      <c r="S287" s="32"/>
      <c r="T287" s="32"/>
      <c r="U287" s="32"/>
      <c r="V287" s="32"/>
      <c r="W287" s="32"/>
      <c r="X287" s="32"/>
      <c r="Y287" s="32"/>
      <c r="Z287" s="18"/>
    </row>
    <row r="288">
      <c r="A288" s="19" t="str">
        <f t="shared" si="1"/>
        <v>287-B-42-Null-Beta 'Mantra Generation'</v>
      </c>
      <c r="B288" s="27"/>
      <c r="C288" s="21">
        <v>287.0</v>
      </c>
      <c r="D288" s="21" t="s">
        <v>234</v>
      </c>
      <c r="E288" s="21">
        <v>42.0</v>
      </c>
      <c r="F288" s="21" t="s">
        <v>232</v>
      </c>
      <c r="G288" s="19" t="s">
        <v>653</v>
      </c>
      <c r="H288" s="36"/>
      <c r="I288" s="36"/>
      <c r="J288" s="36"/>
      <c r="K288" s="36"/>
      <c r="L288" s="41"/>
      <c r="M288" s="35"/>
      <c r="N288" s="34"/>
      <c r="O288" s="34"/>
      <c r="P288" s="34"/>
      <c r="Q288" s="32"/>
      <c r="R288" s="32"/>
      <c r="S288" s="32"/>
      <c r="T288" s="32"/>
      <c r="U288" s="32"/>
      <c r="V288" s="32"/>
      <c r="W288" s="32"/>
      <c r="X288" s="32"/>
      <c r="Y288" s="32"/>
      <c r="Z288" s="18"/>
    </row>
    <row r="289">
      <c r="A289" s="19" t="str">
        <f t="shared" si="1"/>
        <v>288-B-43-Null-Gamma 'Imposing Declaration of Title'</v>
      </c>
      <c r="B289" s="27"/>
      <c r="C289" s="21">
        <v>288.0</v>
      </c>
      <c r="D289" s="21" t="s">
        <v>234</v>
      </c>
      <c r="E289" s="21">
        <v>43.0</v>
      </c>
      <c r="F289" s="21" t="s">
        <v>249</v>
      </c>
      <c r="G289" s="19" t="s">
        <v>654</v>
      </c>
      <c r="H289" s="36"/>
      <c r="I289" s="36"/>
      <c r="J289" s="36"/>
      <c r="K289" s="36"/>
      <c r="L289" s="41"/>
      <c r="M289" s="35"/>
      <c r="N289" s="34"/>
      <c r="O289" s="34"/>
      <c r="P289" s="34"/>
      <c r="Q289" s="32"/>
      <c r="R289" s="32"/>
      <c r="S289" s="32"/>
      <c r="T289" s="32"/>
      <c r="U289" s="32"/>
      <c r="V289" s="32"/>
      <c r="W289" s="32"/>
      <c r="X289" s="32"/>
      <c r="Y289" s="32"/>
      <c r="Z289" s="18"/>
    </row>
    <row r="290">
      <c r="A290" s="19" t="str">
        <f t="shared" si="1"/>
        <v>289-H-46-Iso-Alpha-Echo 'Minor Blessing Hades - Ferrokinesis'</v>
      </c>
      <c r="B290" s="27"/>
      <c r="C290" s="21">
        <v>289.0</v>
      </c>
      <c r="D290" s="21" t="s">
        <v>281</v>
      </c>
      <c r="E290" s="21">
        <v>46.0</v>
      </c>
      <c r="F290" s="21" t="s">
        <v>655</v>
      </c>
      <c r="G290" s="19" t="s">
        <v>656</v>
      </c>
      <c r="H290" s="36"/>
      <c r="I290" s="36"/>
      <c r="J290" s="36"/>
      <c r="K290" s="36"/>
      <c r="L290" s="41"/>
      <c r="M290" s="35"/>
      <c r="N290" s="34"/>
      <c r="O290" s="34"/>
      <c r="P290" s="34"/>
      <c r="Q290" s="32"/>
      <c r="R290" s="32"/>
      <c r="S290" s="32"/>
      <c r="T290" s="32"/>
      <c r="U290" s="32"/>
      <c r="V290" s="32"/>
      <c r="W290" s="32"/>
      <c r="X290" s="32"/>
      <c r="Y290" s="32"/>
      <c r="Z290" s="18"/>
    </row>
    <row r="291">
      <c r="A291" s="19" t="str">
        <f t="shared" si="1"/>
        <v>290-H-47-Di-Beta-Echo 'Unnatural Skill: Music'</v>
      </c>
      <c r="B291" s="27"/>
      <c r="C291" s="21">
        <v>290.0</v>
      </c>
      <c r="D291" s="21" t="s">
        <v>281</v>
      </c>
      <c r="E291" s="21">
        <v>47.0</v>
      </c>
      <c r="F291" s="21" t="s">
        <v>657</v>
      </c>
      <c r="G291" s="19" t="s">
        <v>658</v>
      </c>
      <c r="H291" s="36"/>
      <c r="I291" s="36"/>
      <c r="J291" s="36"/>
      <c r="K291" s="36"/>
      <c r="L291" s="41"/>
      <c r="M291" s="35"/>
      <c r="N291" s="34"/>
      <c r="O291" s="34"/>
      <c r="P291" s="34"/>
      <c r="Q291" s="32"/>
      <c r="R291" s="32"/>
      <c r="S291" s="32"/>
      <c r="T291" s="32"/>
      <c r="U291" s="32"/>
      <c r="V291" s="32"/>
      <c r="W291" s="32"/>
      <c r="X291" s="32"/>
      <c r="Y291" s="32"/>
      <c r="Z291" s="18"/>
    </row>
    <row r="292">
      <c r="A292" s="19" t="str">
        <f t="shared" si="1"/>
        <v>291-J-21-Quad-Alpha 'Scavenger'</v>
      </c>
      <c r="B292" s="27"/>
      <c r="C292" s="21">
        <v>291.0</v>
      </c>
      <c r="D292" s="21" t="s">
        <v>324</v>
      </c>
      <c r="E292" s="21">
        <v>21.0</v>
      </c>
      <c r="F292" s="21" t="s">
        <v>527</v>
      </c>
      <c r="G292" s="19" t="s">
        <v>659</v>
      </c>
      <c r="H292" s="36"/>
      <c r="I292" s="36"/>
      <c r="J292" s="36"/>
      <c r="K292" s="36"/>
      <c r="L292" s="41"/>
      <c r="M292" s="35"/>
      <c r="N292" s="34"/>
      <c r="O292" s="34"/>
      <c r="P292" s="34"/>
      <c r="Q292" s="32"/>
      <c r="R292" s="32"/>
      <c r="S292" s="32"/>
      <c r="T292" s="32"/>
      <c r="U292" s="32"/>
      <c r="V292" s="32"/>
      <c r="W292" s="32"/>
      <c r="X292" s="32"/>
      <c r="Y292" s="32"/>
      <c r="Z292" s="18"/>
    </row>
    <row r="293">
      <c r="A293" s="19" t="str">
        <f t="shared" si="1"/>
        <v>292-J-22-Null-Beta 'Warning'</v>
      </c>
      <c r="B293" s="27"/>
      <c r="C293" s="21">
        <v>292.0</v>
      </c>
      <c r="D293" s="21" t="s">
        <v>324</v>
      </c>
      <c r="E293" s="21">
        <v>22.0</v>
      </c>
      <c r="F293" s="21" t="s">
        <v>232</v>
      </c>
      <c r="G293" s="19" t="s">
        <v>660</v>
      </c>
      <c r="H293" s="36"/>
      <c r="I293" s="36"/>
      <c r="J293" s="36"/>
      <c r="K293" s="36"/>
      <c r="L293" s="41"/>
      <c r="M293" s="35"/>
      <c r="N293" s="34"/>
      <c r="O293" s="34"/>
      <c r="P293" s="34"/>
      <c r="Q293" s="32"/>
      <c r="R293" s="32"/>
      <c r="S293" s="32"/>
      <c r="T293" s="32"/>
      <c r="U293" s="32"/>
      <c r="V293" s="32"/>
      <c r="W293" s="32"/>
      <c r="X293" s="32"/>
      <c r="Y293" s="32"/>
      <c r="Z293" s="18"/>
    </row>
    <row r="294">
      <c r="A294" s="19" t="str">
        <f t="shared" si="1"/>
        <v>293-J-23-Null-Gamma 'Robotic Armor'</v>
      </c>
      <c r="B294" s="27"/>
      <c r="C294" s="21">
        <v>293.0</v>
      </c>
      <c r="D294" s="21" t="s">
        <v>324</v>
      </c>
      <c r="E294" s="21">
        <v>23.0</v>
      </c>
      <c r="F294" s="21" t="s">
        <v>249</v>
      </c>
      <c r="G294" s="19" t="s">
        <v>661</v>
      </c>
      <c r="H294" s="36"/>
      <c r="I294" s="36"/>
      <c r="J294" s="36"/>
      <c r="K294" s="36"/>
      <c r="L294" s="41"/>
      <c r="M294" s="35"/>
      <c r="N294" s="34"/>
      <c r="O294" s="34"/>
      <c r="P294" s="34"/>
      <c r="Q294" s="32"/>
      <c r="R294" s="32"/>
      <c r="S294" s="32"/>
      <c r="T294" s="32"/>
      <c r="U294" s="32"/>
      <c r="V294" s="32"/>
      <c r="W294" s="32"/>
      <c r="X294" s="32"/>
      <c r="Y294" s="32"/>
      <c r="Z294" s="18"/>
    </row>
    <row r="295">
      <c r="A295" s="19" t="str">
        <f t="shared" si="1"/>
        <v>294-G-19-Quad 'Atlantean Power Crystals'</v>
      </c>
      <c r="B295" s="27"/>
      <c r="C295" s="21">
        <v>294.0</v>
      </c>
      <c r="D295" s="21" t="s">
        <v>303</v>
      </c>
      <c r="E295" s="21">
        <v>19.0</v>
      </c>
      <c r="F295" s="21" t="s">
        <v>359</v>
      </c>
      <c r="G295" s="19" t="s">
        <v>662</v>
      </c>
      <c r="H295" s="36"/>
      <c r="I295" s="36"/>
      <c r="J295" s="36"/>
      <c r="K295" s="36"/>
      <c r="L295" s="41"/>
      <c r="M295" s="35"/>
      <c r="N295" s="34"/>
      <c r="O295" s="34"/>
      <c r="P295" s="34"/>
      <c r="Q295" s="32"/>
      <c r="R295" s="32"/>
      <c r="S295" s="32"/>
      <c r="T295" s="32"/>
      <c r="U295" s="32"/>
      <c r="V295" s="32"/>
      <c r="W295" s="32"/>
      <c r="X295" s="32"/>
      <c r="Y295" s="32"/>
      <c r="Z295" s="18"/>
    </row>
    <row r="296">
      <c r="A296" s="19" t="str">
        <f t="shared" si="1"/>
        <v>295-F-15-Di-Alpha 'Fashion Nonvictim'</v>
      </c>
      <c r="B296" s="27"/>
      <c r="C296" s="21">
        <v>295.0</v>
      </c>
      <c r="D296" s="21" t="s">
        <v>265</v>
      </c>
      <c r="E296" s="21">
        <v>15.0</v>
      </c>
      <c r="F296" s="21" t="s">
        <v>382</v>
      </c>
      <c r="G296" s="19" t="s">
        <v>663</v>
      </c>
      <c r="H296" s="36"/>
      <c r="I296" s="36"/>
      <c r="J296" s="36"/>
      <c r="K296" s="36"/>
      <c r="L296" s="41"/>
      <c r="M296" s="35"/>
      <c r="N296" s="34"/>
      <c r="O296" s="34"/>
      <c r="P296" s="34"/>
      <c r="Q296" s="32"/>
      <c r="R296" s="32"/>
      <c r="S296" s="32"/>
      <c r="T296" s="32"/>
      <c r="U296" s="32"/>
      <c r="V296" s="32"/>
      <c r="W296" s="32"/>
      <c r="X296" s="32"/>
      <c r="Y296" s="32"/>
      <c r="Z296" s="18"/>
    </row>
    <row r="297">
      <c r="A297" s="19" t="str">
        <f t="shared" si="1"/>
        <v>296-F-16-Null-Beta 'Flaw - Doormat'</v>
      </c>
      <c r="B297" s="27"/>
      <c r="C297" s="21">
        <v>296.0</v>
      </c>
      <c r="D297" s="21" t="s">
        <v>265</v>
      </c>
      <c r="E297" s="21">
        <v>16.0</v>
      </c>
      <c r="F297" s="21" t="s">
        <v>232</v>
      </c>
      <c r="G297" s="19" t="s">
        <v>664</v>
      </c>
      <c r="H297" s="36"/>
      <c r="I297" s="36"/>
      <c r="J297" s="36"/>
      <c r="K297" s="36"/>
      <c r="L297" s="41"/>
      <c r="M297" s="35"/>
      <c r="N297" s="34"/>
      <c r="O297" s="34"/>
      <c r="P297" s="34"/>
      <c r="Q297" s="32"/>
      <c r="R297" s="32"/>
      <c r="S297" s="32"/>
      <c r="T297" s="32"/>
      <c r="U297" s="32"/>
      <c r="V297" s="32"/>
      <c r="W297" s="32"/>
      <c r="X297" s="32"/>
      <c r="Y297" s="32"/>
      <c r="Z297" s="18"/>
    </row>
    <row r="298">
      <c r="A298" s="19" t="str">
        <f t="shared" si="1"/>
        <v>297-F-17-Null-Gamma 'Revival OR Reaperdom'</v>
      </c>
      <c r="B298" s="53" t="s">
        <v>665</v>
      </c>
      <c r="C298" s="21">
        <v>297.0</v>
      </c>
      <c r="D298" s="21" t="s">
        <v>265</v>
      </c>
      <c r="E298" s="21">
        <v>17.0</v>
      </c>
      <c r="F298" s="21" t="s">
        <v>249</v>
      </c>
      <c r="G298" s="19" t="s">
        <v>666</v>
      </c>
      <c r="H298" s="36"/>
      <c r="I298" s="36"/>
      <c r="J298" s="36"/>
      <c r="K298" s="36"/>
      <c r="L298" s="41"/>
      <c r="M298" s="35"/>
      <c r="N298" s="34"/>
      <c r="O298" s="34"/>
      <c r="P298" s="34"/>
      <c r="Q298" s="32"/>
      <c r="R298" s="32"/>
      <c r="S298" s="32"/>
      <c r="T298" s="32"/>
      <c r="U298" s="32"/>
      <c r="V298" s="32"/>
      <c r="W298" s="32"/>
      <c r="X298" s="32"/>
      <c r="Y298" s="32"/>
      <c r="Z298" s="18"/>
    </row>
    <row r="299">
      <c r="A299" s="19" t="str">
        <f t="shared" si="1"/>
        <v>298-F-18-Null-Delta 'Revival'</v>
      </c>
      <c r="B299" s="27"/>
      <c r="C299" s="21">
        <v>298.0</v>
      </c>
      <c r="D299" s="21" t="s">
        <v>265</v>
      </c>
      <c r="E299" s="21">
        <v>18.0</v>
      </c>
      <c r="F299" s="21" t="s">
        <v>412</v>
      </c>
      <c r="G299" s="19" t="s">
        <v>667</v>
      </c>
      <c r="H299" s="36"/>
      <c r="I299" s="36"/>
      <c r="J299" s="36"/>
      <c r="K299" s="36"/>
      <c r="L299" s="41"/>
      <c r="M299" s="35"/>
      <c r="N299" s="34"/>
      <c r="O299" s="34"/>
      <c r="P299" s="34"/>
      <c r="Q299" s="32"/>
      <c r="R299" s="32"/>
      <c r="S299" s="32"/>
      <c r="T299" s="32"/>
      <c r="U299" s="32"/>
      <c r="V299" s="32"/>
      <c r="W299" s="32"/>
      <c r="X299" s="32"/>
      <c r="Y299" s="32"/>
      <c r="Z299" s="18"/>
    </row>
    <row r="300">
      <c r="A300" s="19" t="str">
        <f t="shared" si="1"/>
        <v>299-F-19-Null-Epsilon 'Reaperdom'</v>
      </c>
      <c r="B300" s="27"/>
      <c r="C300" s="21">
        <v>299.0</v>
      </c>
      <c r="D300" s="21" t="s">
        <v>265</v>
      </c>
      <c r="E300" s="21">
        <v>19.0</v>
      </c>
      <c r="F300" s="21" t="s">
        <v>414</v>
      </c>
      <c r="G300" s="19" t="s">
        <v>668</v>
      </c>
      <c r="H300" s="36"/>
      <c r="I300" s="36"/>
      <c r="J300" s="36"/>
      <c r="K300" s="36"/>
      <c r="L300" s="41"/>
      <c r="M300" s="35"/>
      <c r="N300" s="34"/>
      <c r="O300" s="34"/>
      <c r="P300" s="34"/>
      <c r="Q300" s="32"/>
      <c r="R300" s="32"/>
      <c r="S300" s="32"/>
      <c r="T300" s="32"/>
      <c r="U300" s="32"/>
      <c r="V300" s="32"/>
      <c r="W300" s="32"/>
      <c r="X300" s="32"/>
      <c r="Y300" s="32"/>
      <c r="Z300" s="18"/>
    </row>
    <row r="301">
      <c r="A301" s="19" t="str">
        <f t="shared" si="1"/>
        <v>300-F-20-Null-Zeta 'Pin Creation'</v>
      </c>
      <c r="B301" s="27"/>
      <c r="C301" s="21">
        <v>300.0</v>
      </c>
      <c r="D301" s="21" t="s">
        <v>265</v>
      </c>
      <c r="E301" s="21">
        <v>20.0</v>
      </c>
      <c r="F301" s="21" t="s">
        <v>416</v>
      </c>
      <c r="G301" s="19" t="s">
        <v>669</v>
      </c>
      <c r="H301" s="36"/>
      <c r="I301" s="36"/>
      <c r="J301" s="36"/>
      <c r="K301" s="36"/>
      <c r="L301" s="32"/>
      <c r="M301" s="35"/>
      <c r="N301" s="34"/>
      <c r="O301" s="34"/>
      <c r="P301" s="34"/>
      <c r="Q301" s="32"/>
      <c r="R301" s="32"/>
      <c r="S301" s="32"/>
      <c r="T301" s="32"/>
      <c r="U301" s="32"/>
      <c r="V301" s="32"/>
      <c r="W301" s="32"/>
      <c r="X301" s="32"/>
      <c r="Y301" s="32"/>
      <c r="Z301" s="18"/>
    </row>
    <row r="302">
      <c r="A302" s="19" t="str">
        <f t="shared" si="1"/>
        <v>301-N-1-Di-Alpha 'Storage Solutions'</v>
      </c>
      <c r="B302" s="27"/>
      <c r="C302" s="21">
        <v>301.0</v>
      </c>
      <c r="D302" s="21" t="s">
        <v>346</v>
      </c>
      <c r="E302" s="21">
        <v>1.0</v>
      </c>
      <c r="F302" s="21" t="s">
        <v>382</v>
      </c>
      <c r="G302" s="19" t="s">
        <v>670</v>
      </c>
      <c r="H302" s="36"/>
      <c r="I302" s="36"/>
      <c r="J302" s="36"/>
      <c r="K302" s="36"/>
      <c r="L302" s="32"/>
      <c r="M302" s="35"/>
      <c r="N302" s="34"/>
      <c r="O302" s="34"/>
      <c r="P302" s="34"/>
      <c r="Q302" s="32"/>
      <c r="R302" s="32"/>
      <c r="S302" s="32"/>
      <c r="T302" s="32"/>
      <c r="U302" s="32"/>
      <c r="V302" s="32"/>
      <c r="W302" s="32"/>
      <c r="X302" s="32"/>
      <c r="Y302" s="32"/>
      <c r="Z302" s="18"/>
    </row>
    <row r="303">
      <c r="A303" s="19" t="str">
        <f t="shared" si="1"/>
        <v>302-N-2-Null-Beta 'Starting Space'</v>
      </c>
      <c r="B303" s="27"/>
      <c r="C303" s="21">
        <v>302.0</v>
      </c>
      <c r="D303" s="21" t="s">
        <v>346</v>
      </c>
      <c r="E303" s="21">
        <v>2.0</v>
      </c>
      <c r="F303" s="21" t="s">
        <v>232</v>
      </c>
      <c r="G303" s="19" t="s">
        <v>671</v>
      </c>
      <c r="H303" s="36"/>
      <c r="I303" s="36"/>
      <c r="J303" s="36"/>
      <c r="K303" s="36"/>
      <c r="L303" s="32"/>
      <c r="M303" s="35"/>
      <c r="N303" s="34"/>
      <c r="O303" s="34"/>
      <c r="P303" s="34"/>
      <c r="Q303" s="32"/>
      <c r="R303" s="32"/>
      <c r="S303" s="32"/>
      <c r="T303" s="32"/>
      <c r="U303" s="32"/>
      <c r="V303" s="32"/>
      <c r="W303" s="32"/>
      <c r="X303" s="32"/>
      <c r="Y303" s="32"/>
      <c r="Z303" s="18"/>
    </row>
    <row r="304">
      <c r="A304" s="19" t="str">
        <f t="shared" si="1"/>
        <v>303-N-3-Null-Gamma 'Shelving'</v>
      </c>
      <c r="B304" s="27"/>
      <c r="C304" s="21">
        <v>303.0</v>
      </c>
      <c r="D304" s="21" t="s">
        <v>346</v>
      </c>
      <c r="E304" s="21">
        <v>3.0</v>
      </c>
      <c r="F304" s="21" t="s">
        <v>249</v>
      </c>
      <c r="G304" s="19" t="s">
        <v>672</v>
      </c>
      <c r="H304" s="36"/>
      <c r="I304" s="36"/>
      <c r="J304" s="36"/>
      <c r="K304" s="36"/>
      <c r="L304" s="32"/>
      <c r="M304" s="35"/>
      <c r="N304" s="34"/>
      <c r="O304" s="34"/>
      <c r="P304" s="34"/>
      <c r="Q304" s="32"/>
      <c r="R304" s="32"/>
      <c r="S304" s="32"/>
      <c r="T304" s="32"/>
      <c r="U304" s="32"/>
      <c r="V304" s="32"/>
      <c r="W304" s="32"/>
      <c r="X304" s="32"/>
      <c r="Y304" s="32"/>
      <c r="Z304" s="18"/>
    </row>
    <row r="305">
      <c r="A305" s="19" t="str">
        <f t="shared" si="1"/>
        <v>304-M-1-Demi-Alpha 'Shut Up!'</v>
      </c>
      <c r="B305" s="27"/>
      <c r="C305" s="21">
        <v>304.0</v>
      </c>
      <c r="D305" s="21" t="s">
        <v>342</v>
      </c>
      <c r="E305" s="21">
        <v>1.0</v>
      </c>
      <c r="F305" s="21" t="s">
        <v>570</v>
      </c>
      <c r="G305" s="19" t="s">
        <v>673</v>
      </c>
      <c r="H305" s="36"/>
      <c r="I305" s="36"/>
      <c r="J305" s="36"/>
      <c r="K305" s="36"/>
      <c r="L305" s="32"/>
      <c r="M305" s="35"/>
      <c r="N305" s="34"/>
      <c r="O305" s="34"/>
      <c r="P305" s="34"/>
      <c r="Q305" s="32"/>
      <c r="R305" s="32"/>
      <c r="S305" s="32"/>
      <c r="T305" s="32"/>
      <c r="U305" s="32"/>
      <c r="V305" s="32"/>
      <c r="W305" s="32"/>
      <c r="X305" s="32"/>
      <c r="Y305" s="32"/>
      <c r="Z305" s="18"/>
    </row>
    <row r="306">
      <c r="A306" s="19" t="str">
        <f t="shared" si="1"/>
        <v>305-M-2-Iso-Beta 'Mantra Affinity'</v>
      </c>
      <c r="B306" s="27"/>
      <c r="C306" s="21">
        <v>305.0</v>
      </c>
      <c r="D306" s="21" t="s">
        <v>342</v>
      </c>
      <c r="E306" s="21">
        <v>2.0</v>
      </c>
      <c r="F306" s="21" t="s">
        <v>387</v>
      </c>
      <c r="G306" s="19" t="s">
        <v>674</v>
      </c>
      <c r="H306" s="36"/>
      <c r="I306" s="36"/>
      <c r="J306" s="36"/>
      <c r="K306" s="36"/>
      <c r="L306" s="32"/>
      <c r="M306" s="35"/>
      <c r="N306" s="34"/>
      <c r="O306" s="34"/>
      <c r="P306" s="34"/>
      <c r="Q306" s="32"/>
      <c r="R306" s="32"/>
      <c r="S306" s="32"/>
      <c r="T306" s="32"/>
      <c r="U306" s="32"/>
      <c r="V306" s="32"/>
      <c r="W306" s="32"/>
      <c r="X306" s="32"/>
      <c r="Y306" s="32"/>
      <c r="Z306" s="18"/>
    </row>
    <row r="307">
      <c r="A307" s="19" t="str">
        <f t="shared" si="1"/>
        <v>306-M-3-Di-Gamma 'Mantra Training and Techniques'</v>
      </c>
      <c r="B307" s="27"/>
      <c r="C307" s="21">
        <v>306.0</v>
      </c>
      <c r="D307" s="21" t="s">
        <v>342</v>
      </c>
      <c r="E307" s="21">
        <v>3.0</v>
      </c>
      <c r="F307" s="21" t="s">
        <v>410</v>
      </c>
      <c r="G307" s="19" t="s">
        <v>675</v>
      </c>
      <c r="H307" s="36"/>
      <c r="I307" s="36"/>
      <c r="J307" s="36"/>
      <c r="K307" s="36"/>
      <c r="L307" s="32"/>
      <c r="M307" s="35"/>
      <c r="N307" s="34"/>
      <c r="O307" s="34"/>
      <c r="P307" s="34"/>
      <c r="Q307" s="32"/>
      <c r="R307" s="32"/>
      <c r="S307" s="32"/>
      <c r="T307" s="32"/>
      <c r="U307" s="32"/>
      <c r="V307" s="32"/>
      <c r="W307" s="32"/>
      <c r="X307" s="32"/>
      <c r="Y307" s="32"/>
      <c r="Z307" s="18"/>
    </row>
    <row r="308">
      <c r="A308" s="19" t="str">
        <f t="shared" si="1"/>
        <v>307-M-4-Demi-Delta 'Resplendent Wardrobe'</v>
      </c>
      <c r="B308" s="27"/>
      <c r="C308" s="21">
        <v>307.0</v>
      </c>
      <c r="D308" s="21" t="s">
        <v>342</v>
      </c>
      <c r="E308" s="21">
        <v>4.0</v>
      </c>
      <c r="F308" s="21" t="s">
        <v>676</v>
      </c>
      <c r="G308" s="19" t="s">
        <v>677</v>
      </c>
      <c r="H308" s="36"/>
      <c r="I308" s="36"/>
      <c r="J308" s="36"/>
      <c r="K308" s="36"/>
      <c r="L308" s="32"/>
      <c r="M308" s="35"/>
      <c r="N308" s="34"/>
      <c r="O308" s="34"/>
      <c r="P308" s="34"/>
      <c r="Q308" s="32"/>
      <c r="R308" s="32"/>
      <c r="S308" s="32"/>
      <c r="T308" s="32"/>
      <c r="U308" s="32"/>
      <c r="V308" s="32"/>
      <c r="W308" s="32"/>
      <c r="X308" s="32"/>
      <c r="Y308" s="32"/>
      <c r="Z308" s="18"/>
    </row>
    <row r="309">
      <c r="A309" s="19" t="str">
        <f t="shared" si="1"/>
        <v>308-B-44-Quad 'upgrades! Upgrades!! UPGRADES!!!'</v>
      </c>
      <c r="B309" s="27"/>
      <c r="C309" s="21">
        <v>308.0</v>
      </c>
      <c r="D309" s="21" t="s">
        <v>234</v>
      </c>
      <c r="E309" s="21">
        <v>44.0</v>
      </c>
      <c r="F309" s="21" t="s">
        <v>359</v>
      </c>
      <c r="G309" s="19" t="s">
        <v>678</v>
      </c>
      <c r="H309" s="36"/>
      <c r="I309" s="36"/>
      <c r="J309" s="36"/>
      <c r="K309" s="36"/>
      <c r="L309" s="32"/>
      <c r="M309" s="35"/>
      <c r="N309" s="34"/>
      <c r="O309" s="34"/>
      <c r="P309" s="34"/>
      <c r="Q309" s="32"/>
      <c r="R309" s="32"/>
      <c r="S309" s="32"/>
      <c r="T309" s="32"/>
      <c r="U309" s="32"/>
      <c r="V309" s="32"/>
      <c r="W309" s="32"/>
      <c r="X309" s="32"/>
      <c r="Y309" s="32"/>
      <c r="Z309" s="18"/>
    </row>
    <row r="310">
      <c r="A310" s="19" t="str">
        <f t="shared" si="1"/>
        <v>309-N-4-Di-Alpha 'Garage'</v>
      </c>
      <c r="B310" s="27"/>
      <c r="C310" s="21">
        <v>309.0</v>
      </c>
      <c r="D310" s="21" t="s">
        <v>346</v>
      </c>
      <c r="E310" s="21">
        <v>4.0</v>
      </c>
      <c r="F310" s="21" t="s">
        <v>382</v>
      </c>
      <c r="G310" s="19" t="s">
        <v>429</v>
      </c>
      <c r="H310" s="36"/>
      <c r="I310" s="36"/>
      <c r="J310" s="36"/>
      <c r="K310" s="36"/>
      <c r="L310" s="32"/>
      <c r="M310" s="35"/>
      <c r="N310" s="34"/>
      <c r="O310" s="34"/>
      <c r="P310" s="34"/>
      <c r="Q310" s="32"/>
      <c r="R310" s="32"/>
      <c r="S310" s="32"/>
      <c r="T310" s="32"/>
      <c r="U310" s="32"/>
      <c r="V310" s="32"/>
      <c r="W310" s="32"/>
      <c r="X310" s="32"/>
      <c r="Y310" s="32"/>
      <c r="Z310" s="18"/>
    </row>
    <row r="311">
      <c r="A311" s="19" t="str">
        <f t="shared" si="1"/>
        <v>310-N-5-Di-Beta 'Fueling Station'</v>
      </c>
      <c r="B311" s="27"/>
      <c r="C311" s="21">
        <v>310.0</v>
      </c>
      <c r="D311" s="21" t="s">
        <v>346</v>
      </c>
      <c r="E311" s="21">
        <v>5.0</v>
      </c>
      <c r="F311" s="21" t="s">
        <v>679</v>
      </c>
      <c r="G311" s="19" t="s">
        <v>680</v>
      </c>
      <c r="H311" s="36"/>
      <c r="I311" s="36"/>
      <c r="J311" s="36"/>
      <c r="K311" s="36"/>
      <c r="L311" s="32"/>
      <c r="M311" s="35"/>
      <c r="N311" s="34"/>
      <c r="O311" s="34"/>
      <c r="P311" s="34"/>
      <c r="Q311" s="32"/>
      <c r="R311" s="32"/>
      <c r="S311" s="32"/>
      <c r="T311" s="32"/>
      <c r="U311" s="32"/>
      <c r="V311" s="32"/>
      <c r="W311" s="32"/>
      <c r="X311" s="32"/>
      <c r="Y311" s="32"/>
      <c r="Z311" s="18"/>
    </row>
    <row r="312">
      <c r="A312" s="19" t="str">
        <f t="shared" si="1"/>
        <v>311-A-55-Iso 'Workshop: Electronics'</v>
      </c>
      <c r="B312" s="27"/>
      <c r="C312" s="21">
        <v>311.0</v>
      </c>
      <c r="D312" s="21" t="s">
        <v>213</v>
      </c>
      <c r="E312" s="21">
        <v>55.0</v>
      </c>
      <c r="F312" s="21" t="s">
        <v>282</v>
      </c>
      <c r="G312" s="19" t="s">
        <v>681</v>
      </c>
      <c r="H312" s="36"/>
      <c r="I312" s="36"/>
      <c r="J312" s="36"/>
      <c r="K312" s="36"/>
      <c r="L312" s="32"/>
      <c r="M312" s="35"/>
      <c r="N312" s="34"/>
      <c r="O312" s="34"/>
      <c r="P312" s="34"/>
      <c r="Q312" s="32"/>
      <c r="R312" s="32"/>
      <c r="S312" s="32"/>
      <c r="T312" s="32"/>
      <c r="U312" s="32"/>
      <c r="V312" s="32"/>
      <c r="W312" s="32"/>
      <c r="X312" s="32"/>
      <c r="Y312" s="32"/>
      <c r="Z312" s="18"/>
    </row>
    <row r="313">
      <c r="A313" s="19" t="str">
        <f t="shared" si="1"/>
        <v>312-C-15-Iso-Alpha 'Titan Engineering'</v>
      </c>
      <c r="B313" s="27"/>
      <c r="C313" s="21">
        <v>312.0</v>
      </c>
      <c r="D313" s="21" t="s">
        <v>251</v>
      </c>
      <c r="E313" s="21">
        <v>15.0</v>
      </c>
      <c r="F313" s="21" t="s">
        <v>405</v>
      </c>
      <c r="G313" s="19" t="s">
        <v>682</v>
      </c>
      <c r="H313" s="36"/>
      <c r="I313" s="36"/>
      <c r="J313" s="36"/>
      <c r="K313" s="36"/>
      <c r="L313" s="32"/>
      <c r="M313" s="35"/>
      <c r="N313" s="34"/>
      <c r="O313" s="34"/>
      <c r="P313" s="34"/>
      <c r="Q313" s="32"/>
      <c r="R313" s="32"/>
      <c r="S313" s="32"/>
      <c r="T313" s="32"/>
      <c r="U313" s="32"/>
      <c r="V313" s="32"/>
      <c r="W313" s="32"/>
      <c r="X313" s="32"/>
      <c r="Y313" s="32"/>
      <c r="Z313" s="18"/>
    </row>
    <row r="314">
      <c r="A314" s="19" t="str">
        <f t="shared" si="1"/>
        <v>313-C-16-Null-Beta 'Titan Chassis - Medium'</v>
      </c>
      <c r="B314" s="27"/>
      <c r="C314" s="21">
        <v>313.0</v>
      </c>
      <c r="D314" s="21" t="s">
        <v>251</v>
      </c>
      <c r="E314" s="21">
        <v>16.0</v>
      </c>
      <c r="F314" s="21" t="s">
        <v>232</v>
      </c>
      <c r="G314" s="19" t="s">
        <v>683</v>
      </c>
      <c r="H314" s="36"/>
      <c r="I314" s="36"/>
      <c r="J314" s="36"/>
      <c r="K314" s="36"/>
      <c r="L314" s="32"/>
      <c r="M314" s="35"/>
      <c r="N314" s="34"/>
      <c r="O314" s="34"/>
      <c r="P314" s="34"/>
      <c r="Q314" s="32"/>
      <c r="R314" s="32"/>
      <c r="S314" s="32"/>
      <c r="T314" s="32"/>
      <c r="U314" s="32"/>
      <c r="V314" s="32"/>
      <c r="W314" s="32"/>
      <c r="X314" s="32"/>
      <c r="Y314" s="32"/>
      <c r="Z314" s="18"/>
    </row>
    <row r="315">
      <c r="A315" s="19" t="str">
        <f t="shared" si="1"/>
        <v>314-C-17-Null-Gamma 'Titan Hangar'</v>
      </c>
      <c r="B315" s="27"/>
      <c r="C315" s="21">
        <v>314.0</v>
      </c>
      <c r="D315" s="21" t="s">
        <v>251</v>
      </c>
      <c r="E315" s="21">
        <v>17.0</v>
      </c>
      <c r="F315" s="21" t="s">
        <v>249</v>
      </c>
      <c r="G315" s="19" t="s">
        <v>684</v>
      </c>
      <c r="H315" s="36"/>
      <c r="I315" s="36"/>
      <c r="J315" s="36"/>
      <c r="K315" s="36"/>
      <c r="L315" s="32"/>
      <c r="M315" s="35"/>
      <c r="N315" s="34"/>
      <c r="O315" s="34"/>
      <c r="P315" s="34"/>
      <c r="Q315" s="32"/>
      <c r="R315" s="32"/>
      <c r="S315" s="32"/>
      <c r="T315" s="32"/>
      <c r="U315" s="32"/>
      <c r="V315" s="32"/>
      <c r="W315" s="32"/>
      <c r="X315" s="32"/>
      <c r="Y315" s="32"/>
      <c r="Z315" s="18"/>
    </row>
    <row r="316">
      <c r="A316" s="19" t="str">
        <f t="shared" si="1"/>
        <v>315-B-45-Quad 'Technician'</v>
      </c>
      <c r="B316" s="27"/>
      <c r="C316" s="21">
        <v>315.0</v>
      </c>
      <c r="D316" s="21" t="s">
        <v>234</v>
      </c>
      <c r="E316" s="21">
        <v>45.0</v>
      </c>
      <c r="F316" s="21" t="s">
        <v>359</v>
      </c>
      <c r="G316" s="19" t="s">
        <v>685</v>
      </c>
      <c r="H316" s="36"/>
      <c r="I316" s="36"/>
      <c r="J316" s="36"/>
      <c r="K316" s="36"/>
      <c r="L316" s="32"/>
      <c r="M316" s="35"/>
      <c r="N316" s="34"/>
      <c r="O316" s="34"/>
      <c r="P316" s="34"/>
      <c r="Q316" s="32"/>
      <c r="R316" s="32"/>
      <c r="S316" s="32"/>
      <c r="T316" s="32"/>
      <c r="U316" s="32"/>
      <c r="V316" s="32"/>
      <c r="W316" s="32"/>
      <c r="X316" s="32"/>
      <c r="Y316" s="32"/>
      <c r="Z316" s="18"/>
    </row>
    <row r="317">
      <c r="A317" s="19" t="str">
        <f t="shared" si="1"/>
        <v>316-N-6-Di-Alpha 'The Pond'</v>
      </c>
      <c r="B317" s="27"/>
      <c r="C317" s="21">
        <v>316.0</v>
      </c>
      <c r="D317" s="21" t="s">
        <v>346</v>
      </c>
      <c r="E317" s="21">
        <v>6.0</v>
      </c>
      <c r="F317" s="21" t="s">
        <v>382</v>
      </c>
      <c r="G317" s="19" t="s">
        <v>686</v>
      </c>
      <c r="H317" s="36"/>
      <c r="I317" s="36"/>
      <c r="J317" s="36"/>
      <c r="K317" s="36"/>
      <c r="L317" s="32"/>
      <c r="M317" s="35"/>
      <c r="N317" s="34"/>
      <c r="O317" s="34"/>
      <c r="P317" s="34"/>
      <c r="Q317" s="32"/>
      <c r="R317" s="32"/>
      <c r="S317" s="32"/>
      <c r="T317" s="32"/>
      <c r="U317" s="32"/>
      <c r="V317" s="32"/>
      <c r="W317" s="32"/>
      <c r="X317" s="32"/>
      <c r="Y317" s="32"/>
      <c r="Z317" s="18"/>
    </row>
    <row r="318">
      <c r="A318" s="19" t="str">
        <f t="shared" si="1"/>
        <v>317-N-7-Iso-Beta 'The Meaning of Life'</v>
      </c>
      <c r="B318" s="27"/>
      <c r="C318" s="21">
        <v>317.0</v>
      </c>
      <c r="D318" s="21" t="s">
        <v>346</v>
      </c>
      <c r="E318" s="21">
        <v>7.0</v>
      </c>
      <c r="F318" s="21" t="s">
        <v>387</v>
      </c>
      <c r="G318" s="19" t="s">
        <v>687</v>
      </c>
      <c r="H318" s="36"/>
      <c r="I318" s="36"/>
      <c r="J318" s="36"/>
      <c r="K318" s="36"/>
      <c r="L318" s="32"/>
      <c r="M318" s="35"/>
      <c r="N318" s="34"/>
      <c r="O318" s="34"/>
      <c r="P318" s="34"/>
      <c r="Q318" s="32"/>
      <c r="R318" s="32"/>
      <c r="S318" s="32"/>
      <c r="T318" s="32"/>
      <c r="U318" s="32"/>
      <c r="V318" s="32"/>
      <c r="W318" s="32"/>
      <c r="X318" s="32"/>
      <c r="Y318" s="32"/>
      <c r="Z318" s="18"/>
    </row>
    <row r="319">
      <c r="A319" s="19" t="str">
        <f t="shared" si="1"/>
        <v>318-N-8-Demi-Gamma 'The Pond-Expansion'</v>
      </c>
      <c r="B319" s="27"/>
      <c r="C319" s="21">
        <v>318.0</v>
      </c>
      <c r="D319" s="21" t="s">
        <v>346</v>
      </c>
      <c r="E319" s="21">
        <v>8.0</v>
      </c>
      <c r="F319" s="21" t="s">
        <v>688</v>
      </c>
      <c r="G319" s="19" t="s">
        <v>689</v>
      </c>
      <c r="H319" s="36"/>
      <c r="I319" s="36"/>
      <c r="J319" s="36"/>
      <c r="K319" s="36"/>
      <c r="L319" s="32"/>
      <c r="M319" s="35"/>
      <c r="N319" s="34"/>
      <c r="O319" s="34"/>
      <c r="P319" s="34"/>
      <c r="Q319" s="32"/>
      <c r="R319" s="32"/>
      <c r="S319" s="32"/>
      <c r="T319" s="32"/>
      <c r="U319" s="32"/>
      <c r="V319" s="32"/>
      <c r="W319" s="32"/>
      <c r="X319" s="32"/>
      <c r="Y319" s="32"/>
      <c r="Z319" s="18"/>
    </row>
    <row r="320">
      <c r="A320" s="19" t="str">
        <f t="shared" si="1"/>
        <v>319-N-9-Null-Delta 'Neutral Lighting'</v>
      </c>
      <c r="B320" s="27"/>
      <c r="C320" s="21">
        <v>319.0</v>
      </c>
      <c r="D320" s="21" t="s">
        <v>346</v>
      </c>
      <c r="E320" s="21">
        <v>9.0</v>
      </c>
      <c r="F320" s="21" t="s">
        <v>412</v>
      </c>
      <c r="G320" s="19" t="s">
        <v>690</v>
      </c>
      <c r="H320" s="36"/>
      <c r="I320" s="36"/>
      <c r="J320" s="36"/>
      <c r="K320" s="36"/>
      <c r="L320" s="32"/>
      <c r="M320" s="35"/>
      <c r="N320" s="34"/>
      <c r="O320" s="34"/>
      <c r="P320" s="34"/>
      <c r="Q320" s="32"/>
      <c r="R320" s="32"/>
      <c r="S320" s="32"/>
      <c r="T320" s="32"/>
      <c r="U320" s="32"/>
      <c r="V320" s="32"/>
      <c r="W320" s="32"/>
      <c r="X320" s="32"/>
      <c r="Y320" s="32"/>
      <c r="Z320" s="18"/>
    </row>
    <row r="321">
      <c r="A321" s="19" t="str">
        <f t="shared" si="1"/>
        <v>320-N-10-Demi-Epsilon 'Natural Lighting'</v>
      </c>
      <c r="B321" s="27"/>
      <c r="C321" s="21">
        <v>320.0</v>
      </c>
      <c r="D321" s="21" t="s">
        <v>346</v>
      </c>
      <c r="E321" s="21">
        <v>10.0</v>
      </c>
      <c r="F321" s="21" t="s">
        <v>691</v>
      </c>
      <c r="G321" s="19" t="s">
        <v>692</v>
      </c>
      <c r="H321" s="36"/>
      <c r="I321" s="36"/>
      <c r="J321" s="36"/>
      <c r="K321" s="36"/>
      <c r="L321" s="32"/>
      <c r="M321" s="35"/>
      <c r="N321" s="34"/>
      <c r="O321" s="34"/>
      <c r="P321" s="34"/>
      <c r="Q321" s="32"/>
      <c r="R321" s="32"/>
      <c r="S321" s="32"/>
      <c r="T321" s="32"/>
      <c r="U321" s="32"/>
      <c r="V321" s="32"/>
      <c r="W321" s="32"/>
      <c r="X321" s="32"/>
      <c r="Y321" s="32"/>
      <c r="Z321" s="18"/>
    </row>
    <row r="322">
      <c r="A322" s="19" t="str">
        <f t="shared" si="1"/>
        <v>321-N-11-Iso 'Pilot Simulator'</v>
      </c>
      <c r="B322" s="27"/>
      <c r="C322" s="21">
        <v>321.0</v>
      </c>
      <c r="D322" s="21" t="s">
        <v>346</v>
      </c>
      <c r="E322" s="21">
        <v>11.0</v>
      </c>
      <c r="F322" s="21" t="s">
        <v>282</v>
      </c>
      <c r="G322" s="19" t="s">
        <v>693</v>
      </c>
      <c r="H322" s="36"/>
      <c r="I322" s="36"/>
      <c r="J322" s="36"/>
      <c r="K322" s="36"/>
      <c r="L322" s="32"/>
      <c r="M322" s="35"/>
      <c r="N322" s="34"/>
      <c r="O322" s="34"/>
      <c r="P322" s="34"/>
      <c r="Q322" s="32"/>
      <c r="R322" s="32"/>
      <c r="S322" s="32"/>
      <c r="T322" s="32"/>
      <c r="U322" s="32"/>
      <c r="V322" s="32"/>
      <c r="W322" s="32"/>
      <c r="X322" s="32"/>
      <c r="Y322" s="32"/>
      <c r="Z322" s="18"/>
    </row>
    <row r="323">
      <c r="A323" s="19" t="str">
        <f t="shared" si="1"/>
        <v>322-M-5-Pent 'Touched by the Protoculture'</v>
      </c>
      <c r="B323" s="27"/>
      <c r="C323" s="21">
        <v>322.0</v>
      </c>
      <c r="D323" s="21" t="s">
        <v>342</v>
      </c>
      <c r="E323" s="21">
        <v>5.0</v>
      </c>
      <c r="F323" s="21" t="s">
        <v>461</v>
      </c>
      <c r="G323" s="19" t="s">
        <v>694</v>
      </c>
      <c r="H323" s="36"/>
      <c r="I323" s="36"/>
      <c r="J323" s="36"/>
      <c r="K323" s="36"/>
      <c r="L323" s="32"/>
      <c r="M323" s="35"/>
      <c r="N323" s="34"/>
      <c r="O323" s="34"/>
      <c r="P323" s="34"/>
      <c r="Q323" s="32"/>
      <c r="R323" s="32"/>
      <c r="S323" s="32"/>
      <c r="T323" s="32"/>
      <c r="U323" s="32"/>
      <c r="V323" s="32"/>
      <c r="W323" s="32"/>
      <c r="X323" s="32"/>
      <c r="Y323" s="32"/>
      <c r="Z323" s="18"/>
    </row>
    <row r="324">
      <c r="A324" s="19" t="str">
        <f t="shared" si="1"/>
        <v>323-N-12-Di 'Additional Space'</v>
      </c>
      <c r="B324" s="27"/>
      <c r="C324" s="21">
        <v>323.0</v>
      </c>
      <c r="D324" s="21" t="s">
        <v>346</v>
      </c>
      <c r="E324" s="21">
        <v>12.0</v>
      </c>
      <c r="F324" s="21" t="s">
        <v>266</v>
      </c>
      <c r="G324" s="19" t="s">
        <v>695</v>
      </c>
      <c r="H324" s="36"/>
      <c r="I324" s="36"/>
      <c r="J324" s="36"/>
      <c r="K324" s="36"/>
      <c r="L324" s="32"/>
      <c r="M324" s="35"/>
      <c r="N324" s="34"/>
      <c r="O324" s="34"/>
      <c r="P324" s="34"/>
      <c r="Q324" s="32"/>
      <c r="R324" s="32"/>
      <c r="S324" s="32"/>
      <c r="T324" s="32"/>
      <c r="U324" s="32"/>
      <c r="V324" s="32"/>
      <c r="W324" s="32"/>
      <c r="X324" s="32"/>
      <c r="Y324" s="32"/>
      <c r="Z324" s="18"/>
    </row>
    <row r="325">
      <c r="A325" s="19" t="str">
        <f t="shared" si="1"/>
        <v>324-N-13-Di 'Extranet'</v>
      </c>
      <c r="B325" s="27"/>
      <c r="C325" s="21">
        <v>324.0</v>
      </c>
      <c r="D325" s="21" t="s">
        <v>346</v>
      </c>
      <c r="E325" s="21">
        <v>13.0</v>
      </c>
      <c r="F325" s="21" t="s">
        <v>266</v>
      </c>
      <c r="G325" s="19" t="s">
        <v>696</v>
      </c>
      <c r="H325" s="36"/>
      <c r="I325" s="36"/>
      <c r="J325" s="36"/>
      <c r="K325" s="36"/>
      <c r="L325" s="32"/>
      <c r="M325" s="35"/>
      <c r="N325" s="34"/>
      <c r="O325" s="34"/>
      <c r="P325" s="34"/>
      <c r="Q325" s="32"/>
      <c r="R325" s="32"/>
      <c r="S325" s="32"/>
      <c r="T325" s="32"/>
      <c r="U325" s="32"/>
      <c r="V325" s="32"/>
      <c r="W325" s="32"/>
      <c r="X325" s="32"/>
      <c r="Y325" s="32"/>
      <c r="Z325" s="18"/>
    </row>
    <row r="326">
      <c r="A326" s="19" t="str">
        <f t="shared" si="1"/>
        <v>325-M-6-Iso 'Bigger on the Inside'</v>
      </c>
      <c r="B326" s="27"/>
      <c r="C326" s="21">
        <v>325.0</v>
      </c>
      <c r="D326" s="21" t="s">
        <v>342</v>
      </c>
      <c r="E326" s="21">
        <v>6.0</v>
      </c>
      <c r="F326" s="21" t="s">
        <v>282</v>
      </c>
      <c r="G326" s="19" t="s">
        <v>697</v>
      </c>
      <c r="H326" s="36"/>
      <c r="I326" s="36"/>
      <c r="J326" s="36"/>
      <c r="K326" s="36"/>
      <c r="L326" s="32"/>
      <c r="M326" s="35"/>
      <c r="N326" s="34"/>
      <c r="O326" s="34"/>
      <c r="P326" s="34"/>
      <c r="Q326" s="32"/>
      <c r="R326" s="32"/>
      <c r="S326" s="32"/>
      <c r="T326" s="32"/>
      <c r="U326" s="32"/>
      <c r="V326" s="32"/>
      <c r="W326" s="32"/>
      <c r="X326" s="32"/>
      <c r="Y326" s="32"/>
      <c r="Z326" s="18"/>
    </row>
    <row r="327">
      <c r="A327" s="19" t="str">
        <f t="shared" si="1"/>
        <v>326-N-14-Demi-Alpha 'Key Link'</v>
      </c>
      <c r="B327" s="27"/>
      <c r="C327" s="21">
        <v>326.0</v>
      </c>
      <c r="D327" s="21" t="s">
        <v>346</v>
      </c>
      <c r="E327" s="21">
        <v>14.0</v>
      </c>
      <c r="F327" s="21" t="s">
        <v>570</v>
      </c>
      <c r="G327" s="19" t="s">
        <v>698</v>
      </c>
      <c r="H327" s="36"/>
      <c r="I327" s="36"/>
      <c r="J327" s="36"/>
      <c r="K327" s="36"/>
      <c r="L327" s="32"/>
      <c r="M327" s="35"/>
      <c r="N327" s="34"/>
      <c r="O327" s="34"/>
      <c r="P327" s="34"/>
      <c r="Q327" s="32"/>
      <c r="R327" s="32"/>
      <c r="S327" s="32"/>
      <c r="T327" s="32"/>
      <c r="U327" s="32"/>
      <c r="V327" s="32"/>
      <c r="W327" s="32"/>
      <c r="X327" s="32"/>
      <c r="Y327" s="32"/>
      <c r="Z327" s="18"/>
    </row>
    <row r="328">
      <c r="A328" s="19" t="str">
        <f t="shared" si="1"/>
        <v>327-N-15-Demi-Beta 'Windows'</v>
      </c>
      <c r="B328" s="27"/>
      <c r="C328" s="21">
        <v>327.0</v>
      </c>
      <c r="D328" s="21" t="s">
        <v>346</v>
      </c>
      <c r="E328" s="21">
        <v>15.0</v>
      </c>
      <c r="F328" s="21" t="s">
        <v>699</v>
      </c>
      <c r="G328" s="19" t="s">
        <v>700</v>
      </c>
      <c r="H328" s="36"/>
      <c r="I328" s="36"/>
      <c r="J328" s="36"/>
      <c r="K328" s="36"/>
      <c r="L328" s="32"/>
      <c r="M328" s="35"/>
      <c r="N328" s="34"/>
      <c r="O328" s="34"/>
      <c r="P328" s="34"/>
      <c r="Q328" s="32"/>
      <c r="R328" s="32"/>
      <c r="S328" s="32"/>
      <c r="T328" s="32"/>
      <c r="U328" s="32"/>
      <c r="V328" s="32"/>
      <c r="W328" s="32"/>
      <c r="X328" s="32"/>
      <c r="Y328" s="32"/>
      <c r="Z328" s="18"/>
    </row>
    <row r="329">
      <c r="A329" s="19" t="str">
        <f t="shared" si="1"/>
        <v>328-N-16-Demi-Alpha 'Trophy Room'</v>
      </c>
      <c r="B329" s="27"/>
      <c r="C329" s="21">
        <v>328.0</v>
      </c>
      <c r="D329" s="21" t="s">
        <v>346</v>
      </c>
      <c r="E329" s="21">
        <v>16.0</v>
      </c>
      <c r="F329" s="21" t="s">
        <v>570</v>
      </c>
      <c r="G329" s="19" t="s">
        <v>701</v>
      </c>
      <c r="H329" s="36"/>
      <c r="I329" s="36"/>
      <c r="J329" s="36"/>
      <c r="K329" s="36"/>
      <c r="L329" s="32"/>
      <c r="M329" s="35"/>
      <c r="N329" s="34"/>
      <c r="O329" s="34"/>
      <c r="P329" s="34"/>
      <c r="Q329" s="32"/>
      <c r="R329" s="32"/>
      <c r="S329" s="32"/>
      <c r="T329" s="32"/>
      <c r="U329" s="32"/>
      <c r="V329" s="32"/>
      <c r="W329" s="32"/>
      <c r="X329" s="32"/>
      <c r="Y329" s="32"/>
      <c r="Z329" s="18"/>
    </row>
    <row r="330">
      <c r="A330" s="19" t="str">
        <f t="shared" si="1"/>
        <v>329-N-17-Demi-Beta 'Shooting Range'</v>
      </c>
      <c r="B330" s="27"/>
      <c r="C330" s="21">
        <v>329.0</v>
      </c>
      <c r="D330" s="21" t="s">
        <v>346</v>
      </c>
      <c r="E330" s="21">
        <v>17.0</v>
      </c>
      <c r="F330" s="21" t="s">
        <v>699</v>
      </c>
      <c r="G330" s="19" t="s">
        <v>702</v>
      </c>
      <c r="H330" s="36"/>
      <c r="I330" s="36"/>
      <c r="J330" s="36"/>
      <c r="K330" s="36"/>
      <c r="L330" s="32"/>
      <c r="M330" s="35"/>
      <c r="N330" s="34"/>
      <c r="O330" s="34"/>
      <c r="P330" s="34"/>
      <c r="Q330" s="32"/>
      <c r="R330" s="32"/>
      <c r="S330" s="32"/>
      <c r="T330" s="32"/>
      <c r="U330" s="32"/>
      <c r="V330" s="32"/>
      <c r="W330" s="32"/>
      <c r="X330" s="32"/>
      <c r="Y330" s="32"/>
      <c r="Z330" s="18"/>
    </row>
    <row r="331">
      <c r="A331" s="19" t="str">
        <f t="shared" si="1"/>
        <v>330-M-7-Quad 'Cyborg Hindu Godbody'</v>
      </c>
      <c r="B331" s="27"/>
      <c r="C331" s="21">
        <v>330.0</v>
      </c>
      <c r="D331" s="21" t="s">
        <v>342</v>
      </c>
      <c r="E331" s="21">
        <v>7.0</v>
      </c>
      <c r="F331" s="21" t="s">
        <v>359</v>
      </c>
      <c r="G331" s="19" t="s">
        <v>703</v>
      </c>
      <c r="H331" s="36"/>
      <c r="I331" s="36"/>
      <c r="J331" s="36"/>
      <c r="K331" s="36"/>
      <c r="L331" s="32"/>
      <c r="M331" s="35"/>
      <c r="N331" s="34"/>
      <c r="O331" s="34"/>
      <c r="P331" s="34"/>
      <c r="Q331" s="32"/>
      <c r="R331" s="32"/>
      <c r="S331" s="32"/>
      <c r="T331" s="32"/>
      <c r="U331" s="32"/>
      <c r="V331" s="32"/>
      <c r="W331" s="32"/>
      <c r="X331" s="32"/>
      <c r="Y331" s="32"/>
      <c r="Z331" s="18"/>
    </row>
    <row r="332">
      <c r="A332" s="19" t="str">
        <f t="shared" si="1"/>
        <v>331-B-46-Iso 'Technical Training'</v>
      </c>
      <c r="B332" s="27"/>
      <c r="C332" s="21">
        <v>331.0</v>
      </c>
      <c r="D332" s="21" t="s">
        <v>234</v>
      </c>
      <c r="E332" s="21">
        <v>46.0</v>
      </c>
      <c r="F332" s="21" t="s">
        <v>282</v>
      </c>
      <c r="G332" s="19" t="s">
        <v>704</v>
      </c>
      <c r="H332" s="36"/>
      <c r="I332" s="36"/>
      <c r="J332" s="36"/>
      <c r="K332" s="36"/>
      <c r="L332" s="32"/>
      <c r="M332" s="35"/>
      <c r="N332" s="34"/>
      <c r="O332" s="34"/>
      <c r="P332" s="34"/>
      <c r="Q332" s="32"/>
      <c r="R332" s="32"/>
      <c r="S332" s="32"/>
      <c r="T332" s="32"/>
      <c r="U332" s="32"/>
      <c r="V332" s="32"/>
      <c r="W332" s="32"/>
      <c r="X332" s="32"/>
      <c r="Y332" s="32"/>
      <c r="Z332" s="18"/>
    </row>
    <row r="333">
      <c r="A333" s="19" t="str">
        <f t="shared" si="1"/>
        <v>332-N-18-Iso-Alpha 'Sky Simulator'</v>
      </c>
      <c r="B333" s="27"/>
      <c r="C333" s="21">
        <v>332.0</v>
      </c>
      <c r="D333" s="21" t="s">
        <v>346</v>
      </c>
      <c r="E333" s="21">
        <v>18.0</v>
      </c>
      <c r="F333" s="21" t="s">
        <v>405</v>
      </c>
      <c r="G333" s="19" t="s">
        <v>705</v>
      </c>
      <c r="H333" s="36"/>
      <c r="I333" s="36"/>
      <c r="J333" s="36"/>
      <c r="K333" s="36"/>
      <c r="L333" s="32"/>
      <c r="M333" s="35"/>
      <c r="N333" s="34"/>
      <c r="O333" s="34"/>
      <c r="P333" s="34"/>
      <c r="Q333" s="32"/>
      <c r="R333" s="32"/>
      <c r="S333" s="32"/>
      <c r="T333" s="32"/>
      <c r="U333" s="32"/>
      <c r="V333" s="32"/>
      <c r="W333" s="32"/>
      <c r="X333" s="32"/>
      <c r="Y333" s="32"/>
      <c r="Z333" s="18"/>
    </row>
    <row r="334">
      <c r="A334" s="19" t="str">
        <f t="shared" si="1"/>
        <v>333-N-19-Iso-Beta 'Fly a Kite'</v>
      </c>
      <c r="B334" s="27"/>
      <c r="C334" s="21">
        <v>333.0</v>
      </c>
      <c r="D334" s="21" t="s">
        <v>346</v>
      </c>
      <c r="E334" s="21">
        <v>19.0</v>
      </c>
      <c r="F334" s="21" t="s">
        <v>387</v>
      </c>
      <c r="G334" s="19" t="s">
        <v>706</v>
      </c>
      <c r="H334" s="36"/>
      <c r="I334" s="36"/>
      <c r="J334" s="36"/>
      <c r="K334" s="36"/>
      <c r="L334" s="32"/>
      <c r="M334" s="35"/>
      <c r="N334" s="34"/>
      <c r="O334" s="34"/>
      <c r="P334" s="34"/>
      <c r="Q334" s="32"/>
      <c r="R334" s="32"/>
      <c r="S334" s="32"/>
      <c r="T334" s="32"/>
      <c r="U334" s="32"/>
      <c r="V334" s="32"/>
      <c r="W334" s="32"/>
      <c r="X334" s="32"/>
      <c r="Y334" s="32"/>
      <c r="Z334" s="18"/>
    </row>
    <row r="335">
      <c r="A335" s="19" t="str">
        <f t="shared" si="1"/>
        <v>334-K-5-Hex-Alpha 'Mega Bomb'</v>
      </c>
      <c r="B335" s="27"/>
      <c r="C335" s="21">
        <v>334.0</v>
      </c>
      <c r="D335" s="22" t="s">
        <v>332</v>
      </c>
      <c r="E335" s="54">
        <v>5.0</v>
      </c>
      <c r="F335" s="54" t="s">
        <v>566</v>
      </c>
      <c r="G335" s="19" t="s">
        <v>707</v>
      </c>
      <c r="H335" s="36"/>
      <c r="I335" s="36"/>
      <c r="J335" s="36"/>
      <c r="K335" s="36"/>
      <c r="L335" s="32"/>
      <c r="M335" s="35"/>
      <c r="N335" s="34"/>
      <c r="O335" s="34"/>
      <c r="P335" s="34"/>
      <c r="Q335" s="32"/>
      <c r="R335" s="32"/>
      <c r="S335" s="32"/>
      <c r="T335" s="32"/>
      <c r="U335" s="32"/>
      <c r="V335" s="32"/>
      <c r="W335" s="32"/>
      <c r="X335" s="32"/>
      <c r="Y335" s="32"/>
      <c r="Z335" s="18"/>
    </row>
    <row r="336">
      <c r="A336" s="19" t="str">
        <f t="shared" si="1"/>
        <v>335-K-6-Null-Beta 'Element'</v>
      </c>
      <c r="B336" s="27"/>
      <c r="C336" s="21">
        <v>335.0</v>
      </c>
      <c r="D336" s="19" t="s">
        <v>332</v>
      </c>
      <c r="E336" s="21">
        <v>6.0</v>
      </c>
      <c r="F336" s="21" t="s">
        <v>232</v>
      </c>
      <c r="G336" s="19" t="s">
        <v>708</v>
      </c>
      <c r="H336" s="36"/>
      <c r="I336" s="36"/>
      <c r="J336" s="36"/>
      <c r="K336" s="36"/>
      <c r="L336" s="32"/>
      <c r="M336" s="35"/>
      <c r="N336" s="34"/>
      <c r="O336" s="34"/>
      <c r="P336" s="34"/>
      <c r="Q336" s="32"/>
      <c r="R336" s="32"/>
      <c r="S336" s="32"/>
      <c r="T336" s="32"/>
      <c r="U336" s="32"/>
      <c r="V336" s="32"/>
      <c r="W336" s="32"/>
      <c r="X336" s="32"/>
      <c r="Y336" s="32"/>
      <c r="Z336" s="18"/>
    </row>
    <row r="337">
      <c r="A337" s="19" t="str">
        <f t="shared" si="1"/>
        <v>336-K-7-Null-Gamma 'Combination Attack'</v>
      </c>
      <c r="B337" s="27"/>
      <c r="C337" s="21">
        <v>336.0</v>
      </c>
      <c r="D337" s="19" t="s">
        <v>332</v>
      </c>
      <c r="E337" s="21">
        <v>7.0</v>
      </c>
      <c r="F337" s="21" t="s">
        <v>249</v>
      </c>
      <c r="G337" s="19" t="s">
        <v>709</v>
      </c>
      <c r="H337" s="36"/>
      <c r="I337" s="36"/>
      <c r="J337" s="36"/>
      <c r="K337" s="36"/>
      <c r="L337" s="32"/>
      <c r="M337" s="35"/>
      <c r="N337" s="34"/>
      <c r="O337" s="34"/>
      <c r="P337" s="34"/>
      <c r="Q337" s="32"/>
      <c r="R337" s="32"/>
      <c r="S337" s="32"/>
      <c r="T337" s="32"/>
      <c r="U337" s="32"/>
      <c r="V337" s="32"/>
      <c r="W337" s="32"/>
      <c r="X337" s="32"/>
      <c r="Y337" s="32"/>
      <c r="Z337" s="18"/>
    </row>
    <row r="338">
      <c r="A338" s="19" t="str">
        <f t="shared" si="1"/>
        <v>337-N-20-Di-Alpha 'Library'</v>
      </c>
      <c r="B338" s="27"/>
      <c r="C338" s="21">
        <v>337.0</v>
      </c>
      <c r="D338" s="19" t="s">
        <v>346</v>
      </c>
      <c r="E338" s="21">
        <v>20.0</v>
      </c>
      <c r="F338" s="21" t="s">
        <v>382</v>
      </c>
      <c r="G338" s="19" t="s">
        <v>710</v>
      </c>
      <c r="H338" s="36"/>
      <c r="I338" s="36"/>
      <c r="J338" s="36"/>
      <c r="K338" s="36"/>
      <c r="L338" s="32"/>
      <c r="M338" s="35"/>
      <c r="N338" s="34"/>
      <c r="O338" s="34"/>
      <c r="P338" s="34"/>
      <c r="Q338" s="32"/>
      <c r="R338" s="32"/>
      <c r="S338" s="32"/>
      <c r="T338" s="32"/>
      <c r="U338" s="32"/>
      <c r="V338" s="32"/>
      <c r="W338" s="32"/>
      <c r="X338" s="32"/>
      <c r="Y338" s="32"/>
      <c r="Z338" s="18"/>
    </row>
    <row r="339">
      <c r="A339" s="19" t="str">
        <f t="shared" si="1"/>
        <v>338-N-21-Iso-Beta 'Library Services'</v>
      </c>
      <c r="B339" s="27"/>
      <c r="C339" s="21">
        <v>338.0</v>
      </c>
      <c r="D339" s="19" t="s">
        <v>346</v>
      </c>
      <c r="E339" s="21">
        <v>21.0</v>
      </c>
      <c r="F339" s="21" t="s">
        <v>387</v>
      </c>
      <c r="G339" s="19" t="s">
        <v>711</v>
      </c>
      <c r="H339" s="36"/>
      <c r="I339" s="36"/>
      <c r="J339" s="36"/>
      <c r="K339" s="36"/>
      <c r="L339" s="32"/>
      <c r="M339" s="35"/>
      <c r="N339" s="34"/>
      <c r="O339" s="34"/>
      <c r="P339" s="34"/>
      <c r="Q339" s="32"/>
      <c r="R339" s="32"/>
      <c r="S339" s="32"/>
      <c r="T339" s="32"/>
      <c r="U339" s="32"/>
      <c r="V339" s="32"/>
      <c r="W339" s="32"/>
      <c r="X339" s="32"/>
      <c r="Y339" s="32"/>
      <c r="Z339" s="18"/>
    </row>
    <row r="340">
      <c r="A340" s="19" t="str">
        <f t="shared" si="1"/>
        <v>339-N-22-Iso-Gamma 'Digital Database'</v>
      </c>
      <c r="B340" s="27"/>
      <c r="C340" s="21">
        <v>339.0</v>
      </c>
      <c r="D340" s="19" t="s">
        <v>346</v>
      </c>
      <c r="E340" s="21">
        <v>22.0</v>
      </c>
      <c r="F340" s="21" t="s">
        <v>712</v>
      </c>
      <c r="G340" s="19" t="s">
        <v>713</v>
      </c>
      <c r="H340" s="36"/>
      <c r="I340" s="36"/>
      <c r="J340" s="36"/>
      <c r="K340" s="36"/>
      <c r="L340" s="32"/>
      <c r="M340" s="35"/>
      <c r="N340" s="34"/>
      <c r="O340" s="34"/>
      <c r="P340" s="34"/>
      <c r="Q340" s="32"/>
      <c r="R340" s="32"/>
      <c r="S340" s="32"/>
      <c r="T340" s="32"/>
      <c r="U340" s="32"/>
      <c r="V340" s="32"/>
      <c r="W340" s="32"/>
      <c r="X340" s="32"/>
      <c r="Y340" s="32"/>
      <c r="Z340" s="18"/>
    </row>
    <row r="341">
      <c r="A341" s="19" t="str">
        <f t="shared" si="1"/>
        <v>340-N-23-Iso-Delta 'Starting Collection'</v>
      </c>
      <c r="B341" s="27"/>
      <c r="C341" s="21">
        <v>340.0</v>
      </c>
      <c r="D341" s="19" t="s">
        <v>346</v>
      </c>
      <c r="E341" s="21">
        <v>23.0</v>
      </c>
      <c r="F341" s="21" t="s">
        <v>714</v>
      </c>
      <c r="G341" s="19" t="s">
        <v>715</v>
      </c>
      <c r="H341" s="36"/>
      <c r="I341" s="36"/>
      <c r="J341" s="36"/>
      <c r="K341" s="36"/>
      <c r="L341" s="32"/>
      <c r="M341" s="35"/>
      <c r="N341" s="34"/>
      <c r="O341" s="34"/>
      <c r="P341" s="34"/>
      <c r="Q341" s="32"/>
      <c r="R341" s="32"/>
      <c r="S341" s="32"/>
      <c r="T341" s="32"/>
      <c r="U341" s="32"/>
      <c r="V341" s="32"/>
      <c r="W341" s="32"/>
      <c r="X341" s="32"/>
      <c r="Y341" s="32"/>
      <c r="Z341" s="18"/>
    </row>
    <row r="342">
      <c r="A342" s="19" t="str">
        <f t="shared" si="1"/>
        <v>341-F-21-Null 'Mental Fortress'</v>
      </c>
      <c r="B342" s="27"/>
      <c r="C342" s="21">
        <v>341.0</v>
      </c>
      <c r="D342" s="19" t="s">
        <v>265</v>
      </c>
      <c r="E342" s="21">
        <v>21.0</v>
      </c>
      <c r="F342" s="21" t="s">
        <v>716</v>
      </c>
      <c r="G342" s="19" t="s">
        <v>717</v>
      </c>
      <c r="H342" s="36"/>
      <c r="I342" s="36"/>
      <c r="J342" s="36"/>
      <c r="K342" s="36"/>
      <c r="L342" s="32"/>
      <c r="M342" s="35"/>
      <c r="N342" s="34"/>
      <c r="O342" s="34"/>
      <c r="P342" s="34"/>
      <c r="Q342" s="32"/>
      <c r="R342" s="32"/>
      <c r="S342" s="32"/>
      <c r="T342" s="32"/>
      <c r="U342" s="32"/>
      <c r="V342" s="32"/>
      <c r="W342" s="32"/>
      <c r="X342" s="32"/>
      <c r="Y342" s="32"/>
      <c r="Z342" s="18"/>
    </row>
    <row r="343">
      <c r="A343" s="19" t="str">
        <f t="shared" si="1"/>
        <v>342-N-24-Null-Alpha 'Security System'</v>
      </c>
      <c r="B343" s="27"/>
      <c r="C343" s="21">
        <v>342.0</v>
      </c>
      <c r="D343" s="19" t="s">
        <v>346</v>
      </c>
      <c r="E343" s="21">
        <v>24.0</v>
      </c>
      <c r="F343" s="21" t="s">
        <v>385</v>
      </c>
      <c r="G343" s="19" t="s">
        <v>718</v>
      </c>
      <c r="H343" s="36"/>
      <c r="I343" s="36"/>
      <c r="J343" s="36"/>
      <c r="K343" s="36"/>
      <c r="L343" s="32"/>
      <c r="M343" s="35"/>
      <c r="N343" s="34"/>
      <c r="O343" s="34"/>
      <c r="P343" s="34"/>
      <c r="Q343" s="32"/>
      <c r="R343" s="32"/>
      <c r="S343" s="32"/>
      <c r="T343" s="32"/>
      <c r="U343" s="32"/>
      <c r="V343" s="32"/>
      <c r="W343" s="32"/>
      <c r="X343" s="32"/>
      <c r="Y343" s="32"/>
      <c r="Z343" s="18"/>
    </row>
    <row r="344">
      <c r="A344" s="19" t="str">
        <f t="shared" si="1"/>
        <v>343-N-25-Tri-Beta 'Detainment'</v>
      </c>
      <c r="B344" s="27"/>
      <c r="C344" s="21">
        <v>343.0</v>
      </c>
      <c r="D344" s="19" t="s">
        <v>346</v>
      </c>
      <c r="E344" s="21">
        <v>25.0</v>
      </c>
      <c r="F344" s="21" t="s">
        <v>719</v>
      </c>
      <c r="G344" s="19" t="s">
        <v>720</v>
      </c>
      <c r="H344" s="36"/>
      <c r="I344" s="36"/>
      <c r="J344" s="36"/>
      <c r="K344" s="36"/>
      <c r="L344" s="32"/>
      <c r="M344" s="35"/>
      <c r="N344" s="34"/>
      <c r="O344" s="34"/>
      <c r="P344" s="34"/>
      <c r="Q344" s="32"/>
      <c r="R344" s="32"/>
      <c r="S344" s="32"/>
      <c r="T344" s="32"/>
      <c r="U344" s="32"/>
      <c r="V344" s="32"/>
      <c r="W344" s="32"/>
      <c r="X344" s="32"/>
      <c r="Y344" s="32"/>
      <c r="Z344" s="18"/>
    </row>
    <row r="345">
      <c r="A345" s="19" t="str">
        <f t="shared" si="1"/>
        <v>344-N-26-Di-Gamma 'Force Wall'</v>
      </c>
      <c r="B345" s="27"/>
      <c r="C345" s="21">
        <v>344.0</v>
      </c>
      <c r="D345" s="19" t="s">
        <v>346</v>
      </c>
      <c r="E345" s="21">
        <v>26.0</v>
      </c>
      <c r="F345" s="21" t="s">
        <v>410</v>
      </c>
      <c r="G345" s="19" t="s">
        <v>721</v>
      </c>
      <c r="H345" s="36"/>
      <c r="I345" s="36"/>
      <c r="J345" s="36"/>
      <c r="K345" s="36"/>
      <c r="L345" s="32"/>
      <c r="M345" s="35"/>
      <c r="N345" s="34"/>
      <c r="O345" s="34"/>
      <c r="P345" s="34"/>
      <c r="Q345" s="32"/>
      <c r="R345" s="32"/>
      <c r="S345" s="32"/>
      <c r="T345" s="32"/>
      <c r="U345" s="32"/>
      <c r="V345" s="32"/>
      <c r="W345" s="32"/>
      <c r="X345" s="32"/>
      <c r="Y345" s="32"/>
      <c r="Z345" s="18"/>
    </row>
    <row r="346">
      <c r="A346" s="19" t="str">
        <f t="shared" si="1"/>
        <v>345-B-47-Iso-Alpha 'Skills: Robotics'</v>
      </c>
      <c r="B346" s="27"/>
      <c r="C346" s="21">
        <v>345.0</v>
      </c>
      <c r="D346" s="19" t="s">
        <v>234</v>
      </c>
      <c r="E346" s="21">
        <v>47.0</v>
      </c>
      <c r="F346" s="21" t="s">
        <v>405</v>
      </c>
      <c r="G346" s="19" t="s">
        <v>722</v>
      </c>
      <c r="H346" s="36"/>
      <c r="I346" s="36"/>
      <c r="J346" s="36"/>
      <c r="K346" s="36"/>
      <c r="L346" s="32"/>
      <c r="M346" s="35"/>
      <c r="N346" s="34"/>
      <c r="O346" s="34"/>
      <c r="P346" s="34"/>
      <c r="Q346" s="32"/>
      <c r="R346" s="32"/>
      <c r="S346" s="32"/>
      <c r="T346" s="32"/>
      <c r="U346" s="32"/>
      <c r="V346" s="32"/>
      <c r="W346" s="32"/>
      <c r="X346" s="32"/>
      <c r="Y346" s="32"/>
      <c r="Z346" s="18"/>
    </row>
    <row r="347">
      <c r="A347" s="19" t="str">
        <f t="shared" si="1"/>
        <v>346-B-48-Iso-Beta 'Skills: Engineering'</v>
      </c>
      <c r="B347" s="27"/>
      <c r="C347" s="21">
        <v>346.0</v>
      </c>
      <c r="D347" s="19" t="s">
        <v>234</v>
      </c>
      <c r="E347" s="21">
        <v>48.0</v>
      </c>
      <c r="F347" s="21" t="s">
        <v>387</v>
      </c>
      <c r="G347" s="19" t="s">
        <v>723</v>
      </c>
      <c r="H347" s="36"/>
      <c r="I347" s="36"/>
      <c r="J347" s="36"/>
      <c r="K347" s="36"/>
      <c r="L347" s="32"/>
      <c r="M347" s="35"/>
      <c r="N347" s="34"/>
      <c r="O347" s="34"/>
      <c r="P347" s="34"/>
      <c r="Q347" s="32"/>
      <c r="R347" s="32"/>
      <c r="S347" s="32"/>
      <c r="T347" s="32"/>
      <c r="U347" s="32"/>
      <c r="V347" s="32"/>
      <c r="W347" s="32"/>
      <c r="X347" s="32"/>
      <c r="Y347" s="32"/>
      <c r="Z347" s="18"/>
    </row>
    <row r="348">
      <c r="A348" s="19" t="str">
        <f t="shared" si="1"/>
        <v>347-H-48-Hex-Alpha 'Incredibly Craftsmanship'</v>
      </c>
      <c r="B348" s="27"/>
      <c r="C348" s="21">
        <v>347.0</v>
      </c>
      <c r="D348" s="19" t="s">
        <v>281</v>
      </c>
      <c r="E348" s="21">
        <v>48.0</v>
      </c>
      <c r="F348" s="21" t="s">
        <v>566</v>
      </c>
      <c r="G348" s="19" t="s">
        <v>724</v>
      </c>
      <c r="H348" s="36"/>
      <c r="I348" s="36"/>
      <c r="J348" s="36"/>
      <c r="K348" s="36"/>
      <c r="L348" s="32"/>
      <c r="M348" s="35"/>
      <c r="N348" s="34"/>
      <c r="O348" s="34"/>
      <c r="P348" s="34"/>
      <c r="Q348" s="32"/>
      <c r="R348" s="32"/>
      <c r="S348" s="32"/>
      <c r="T348" s="32"/>
      <c r="U348" s="32"/>
      <c r="V348" s="32"/>
      <c r="W348" s="32"/>
      <c r="X348" s="32"/>
      <c r="Y348" s="32"/>
      <c r="Z348" s="18"/>
    </row>
    <row r="349">
      <c r="A349" s="19" t="str">
        <f t="shared" si="1"/>
        <v>348-H-49-Null-Beta 'General Level Potential'</v>
      </c>
      <c r="B349" s="27"/>
      <c r="C349" s="21">
        <v>348.0</v>
      </c>
      <c r="D349" s="19" t="s">
        <v>281</v>
      </c>
      <c r="E349" s="21">
        <v>49.0</v>
      </c>
      <c r="F349" s="21" t="s">
        <v>232</v>
      </c>
      <c r="G349" s="19" t="s">
        <v>725</v>
      </c>
      <c r="H349" s="36"/>
      <c r="I349" s="36"/>
      <c r="J349" s="36"/>
      <c r="K349" s="36"/>
      <c r="L349" s="32"/>
      <c r="M349" s="35"/>
      <c r="N349" s="34"/>
      <c r="O349" s="34"/>
      <c r="P349" s="34"/>
      <c r="Q349" s="32"/>
      <c r="R349" s="32"/>
      <c r="S349" s="32"/>
      <c r="T349" s="32"/>
      <c r="U349" s="32"/>
      <c r="V349" s="32"/>
      <c r="W349" s="32"/>
      <c r="X349" s="32"/>
      <c r="Y349" s="32"/>
      <c r="Z349" s="18"/>
    </row>
    <row r="350">
      <c r="A350" s="19" t="str">
        <f t="shared" si="1"/>
        <v>349-H-50-Null-Gamma 'Perfect Hair'</v>
      </c>
      <c r="B350" s="27"/>
      <c r="C350" s="21">
        <v>349.0</v>
      </c>
      <c r="D350" s="19" t="s">
        <v>281</v>
      </c>
      <c r="E350" s="21">
        <v>50.0</v>
      </c>
      <c r="F350" s="21" t="s">
        <v>249</v>
      </c>
      <c r="G350" s="19" t="s">
        <v>726</v>
      </c>
      <c r="H350" s="36"/>
      <c r="I350" s="36"/>
      <c r="J350" s="36"/>
      <c r="K350" s="36"/>
      <c r="L350" s="32"/>
      <c r="M350" s="35"/>
      <c r="N350" s="34"/>
      <c r="O350" s="34"/>
      <c r="P350" s="34"/>
      <c r="Q350" s="32"/>
      <c r="R350" s="32"/>
      <c r="S350" s="32"/>
      <c r="T350" s="32"/>
      <c r="U350" s="32"/>
      <c r="V350" s="32"/>
      <c r="W350" s="32"/>
      <c r="X350" s="32"/>
      <c r="Y350" s="32"/>
      <c r="Z350" s="18"/>
    </row>
    <row r="351">
      <c r="A351" s="19" t="str">
        <f t="shared" si="1"/>
        <v>350-H-51-Null-Delta 'Imperial Arms/Teigu'</v>
      </c>
      <c r="B351" s="27"/>
      <c r="C351" s="21">
        <v>350.0</v>
      </c>
      <c r="D351" s="19" t="s">
        <v>281</v>
      </c>
      <c r="E351" s="21">
        <v>51.0</v>
      </c>
      <c r="F351" s="21" t="s">
        <v>412</v>
      </c>
      <c r="G351" s="19" t="s">
        <v>727</v>
      </c>
      <c r="H351" s="36"/>
      <c r="I351" s="36"/>
      <c r="J351" s="36"/>
      <c r="K351" s="36"/>
      <c r="L351" s="32"/>
      <c r="M351" s="35"/>
      <c r="N351" s="34"/>
      <c r="O351" s="34"/>
      <c r="P351" s="34"/>
      <c r="Q351" s="32"/>
      <c r="R351" s="32"/>
      <c r="S351" s="32"/>
      <c r="T351" s="32"/>
      <c r="U351" s="32"/>
      <c r="V351" s="32"/>
      <c r="W351" s="32"/>
      <c r="X351" s="32"/>
      <c r="Y351" s="32"/>
      <c r="Z351" s="18"/>
    </row>
    <row r="352">
      <c r="A352" s="19" t="str">
        <f t="shared" si="1"/>
        <v>351-H-52-Null-Epsilon 'Simple Sturdy Weapon'</v>
      </c>
      <c r="B352" s="27"/>
      <c r="C352" s="21">
        <v>351.0</v>
      </c>
      <c r="D352" s="19" t="s">
        <v>281</v>
      </c>
      <c r="E352" s="21">
        <v>52.0</v>
      </c>
      <c r="F352" s="21" t="s">
        <v>414</v>
      </c>
      <c r="G352" s="19" t="s">
        <v>728</v>
      </c>
      <c r="H352" s="36"/>
      <c r="I352" s="36"/>
      <c r="J352" s="36"/>
      <c r="K352" s="36"/>
      <c r="L352" s="32"/>
      <c r="M352" s="35"/>
      <c r="N352" s="34"/>
      <c r="O352" s="34"/>
      <c r="P352" s="34"/>
      <c r="Q352" s="32"/>
      <c r="R352" s="32"/>
      <c r="S352" s="32"/>
      <c r="T352" s="32"/>
      <c r="U352" s="32"/>
      <c r="V352" s="32"/>
      <c r="W352" s="32"/>
      <c r="X352" s="32"/>
      <c r="Y352" s="32"/>
      <c r="Z352" s="18"/>
    </row>
    <row r="353">
      <c r="A353" s="19" t="str">
        <f t="shared" si="1"/>
        <v>352-N-27-Iso-Alpha 'Who's Got the Powa'</v>
      </c>
      <c r="B353" s="27"/>
      <c r="C353" s="21">
        <v>352.0</v>
      </c>
      <c r="D353" s="19" t="s">
        <v>346</v>
      </c>
      <c r="E353" s="21">
        <v>27.0</v>
      </c>
      <c r="F353" s="21" t="s">
        <v>405</v>
      </c>
      <c r="G353" s="19" t="s">
        <v>729</v>
      </c>
      <c r="H353" s="36"/>
      <c r="I353" s="36"/>
      <c r="J353" s="36"/>
      <c r="K353" s="36"/>
      <c r="L353" s="32"/>
      <c r="M353" s="35"/>
      <c r="N353" s="34"/>
      <c r="O353" s="34"/>
      <c r="P353" s="34"/>
      <c r="Q353" s="32"/>
      <c r="R353" s="32"/>
      <c r="S353" s="32"/>
      <c r="T353" s="32"/>
      <c r="U353" s="32"/>
      <c r="V353" s="32"/>
      <c r="W353" s="32"/>
      <c r="X353" s="32"/>
      <c r="Y353" s="32"/>
      <c r="Z353" s="18"/>
    </row>
    <row r="354">
      <c r="A354" s="19" t="str">
        <f t="shared" si="1"/>
        <v>353-N-28-Quad-Beta 'POWER OVERWHELMING'</v>
      </c>
      <c r="B354" s="27"/>
      <c r="C354" s="21">
        <v>353.0</v>
      </c>
      <c r="D354" s="19" t="s">
        <v>346</v>
      </c>
      <c r="E354" s="21">
        <v>28.0</v>
      </c>
      <c r="F354" s="21" t="s">
        <v>730</v>
      </c>
      <c r="G354" s="19" t="s">
        <v>731</v>
      </c>
      <c r="H354" s="36"/>
      <c r="I354" s="36"/>
      <c r="J354" s="36"/>
      <c r="K354" s="36"/>
      <c r="L354" s="32"/>
      <c r="M354" s="35"/>
      <c r="N354" s="34"/>
      <c r="O354" s="34"/>
      <c r="P354" s="34"/>
      <c r="Q354" s="32"/>
      <c r="R354" s="32"/>
      <c r="S354" s="32"/>
      <c r="T354" s="32"/>
      <c r="U354" s="32"/>
      <c r="V354" s="32"/>
      <c r="W354" s="32"/>
      <c r="X354" s="32"/>
      <c r="Y354" s="32"/>
      <c r="Z354" s="18"/>
    </row>
    <row r="355">
      <c r="A355" s="19" t="str">
        <f t="shared" si="1"/>
        <v>354--- ''</v>
      </c>
      <c r="B355" s="55"/>
      <c r="C355" s="21">
        <v>354.0</v>
      </c>
      <c r="D355" s="55"/>
      <c r="E355" s="55"/>
      <c r="F355" s="55"/>
      <c r="G355" s="21"/>
      <c r="H355" s="36"/>
      <c r="I355" s="36"/>
      <c r="J355" s="36"/>
      <c r="K355" s="36"/>
      <c r="L355" s="32"/>
      <c r="M355" s="35"/>
      <c r="N355" s="34"/>
      <c r="O355" s="34"/>
      <c r="P355" s="34"/>
      <c r="Q355" s="32"/>
      <c r="R355" s="32"/>
      <c r="S355" s="32"/>
      <c r="T355" s="32"/>
      <c r="U355" s="32"/>
      <c r="V355" s="32"/>
      <c r="W355" s="32"/>
      <c r="X355" s="32"/>
      <c r="Y355" s="32"/>
      <c r="Z355" s="18"/>
    </row>
    <row r="356">
      <c r="A356" s="19" t="str">
        <f t="shared" si="1"/>
        <v>355--- ''</v>
      </c>
      <c r="B356" s="55"/>
      <c r="C356" s="21">
        <v>355.0</v>
      </c>
      <c r="D356" s="55"/>
      <c r="E356" s="55"/>
      <c r="F356" s="55"/>
      <c r="G356" s="21"/>
      <c r="H356" s="36"/>
      <c r="I356" s="36"/>
      <c r="J356" s="36"/>
      <c r="K356" s="36"/>
      <c r="L356" s="32"/>
      <c r="M356" s="35"/>
      <c r="N356" s="34"/>
      <c r="O356" s="34"/>
      <c r="P356" s="34"/>
      <c r="Q356" s="32"/>
      <c r="R356" s="32"/>
      <c r="S356" s="32"/>
      <c r="T356" s="32"/>
      <c r="U356" s="32"/>
      <c r="V356" s="32"/>
      <c r="W356" s="32"/>
      <c r="X356" s="32"/>
      <c r="Y356" s="32"/>
      <c r="Z356" s="18"/>
    </row>
    <row r="357">
      <c r="A357" s="19" t="str">
        <f t="shared" si="1"/>
        <v>356--- ''</v>
      </c>
      <c r="B357" s="55"/>
      <c r="C357" s="21">
        <v>356.0</v>
      </c>
      <c r="D357" s="55"/>
      <c r="E357" s="55"/>
      <c r="F357" s="55"/>
      <c r="G357" s="21"/>
      <c r="H357" s="36"/>
      <c r="I357" s="36"/>
      <c r="J357" s="36"/>
      <c r="K357" s="36"/>
      <c r="L357" s="32"/>
      <c r="M357" s="35"/>
      <c r="N357" s="34"/>
      <c r="O357" s="34"/>
      <c r="P357" s="34"/>
      <c r="Q357" s="32"/>
      <c r="R357" s="32"/>
      <c r="S357" s="32"/>
      <c r="T357" s="32"/>
      <c r="U357" s="32"/>
      <c r="V357" s="32"/>
      <c r="W357" s="32"/>
      <c r="X357" s="32"/>
      <c r="Y357" s="32"/>
      <c r="Z357" s="18"/>
    </row>
    <row r="358">
      <c r="A358" s="19" t="str">
        <f t="shared" si="1"/>
        <v>357--- ''</v>
      </c>
      <c r="B358" s="55"/>
      <c r="C358" s="21">
        <v>357.0</v>
      </c>
      <c r="D358" s="55"/>
      <c r="E358" s="55"/>
      <c r="F358" s="55"/>
      <c r="G358" s="21"/>
      <c r="H358" s="36"/>
      <c r="I358" s="36"/>
      <c r="J358" s="36"/>
      <c r="K358" s="36"/>
      <c r="L358" s="32"/>
      <c r="M358" s="35"/>
      <c r="N358" s="34"/>
      <c r="O358" s="34"/>
      <c r="P358" s="34"/>
      <c r="Q358" s="32"/>
      <c r="R358" s="32"/>
      <c r="S358" s="32"/>
      <c r="T358" s="32"/>
      <c r="U358" s="32"/>
      <c r="V358" s="32"/>
      <c r="W358" s="32"/>
      <c r="X358" s="32"/>
      <c r="Y358" s="32"/>
      <c r="Z358" s="18"/>
    </row>
    <row r="359">
      <c r="A359" s="19" t="str">
        <f t="shared" si="1"/>
        <v>358--- ''</v>
      </c>
      <c r="B359" s="55"/>
      <c r="C359" s="21">
        <v>358.0</v>
      </c>
      <c r="D359" s="55"/>
      <c r="E359" s="55"/>
      <c r="F359" s="55"/>
      <c r="G359" s="21"/>
      <c r="H359" s="36"/>
      <c r="I359" s="36"/>
      <c r="J359" s="36"/>
      <c r="K359" s="36"/>
      <c r="L359" s="32"/>
      <c r="M359" s="35"/>
      <c r="N359" s="34"/>
      <c r="O359" s="34"/>
      <c r="P359" s="34"/>
      <c r="Q359" s="32"/>
      <c r="R359" s="32"/>
      <c r="S359" s="32"/>
      <c r="T359" s="32"/>
      <c r="U359" s="32"/>
      <c r="V359" s="32"/>
      <c r="W359" s="32"/>
      <c r="X359" s="32"/>
      <c r="Y359" s="32"/>
      <c r="Z359" s="18"/>
    </row>
    <row r="360">
      <c r="A360" s="19" t="str">
        <f t="shared" si="1"/>
        <v>359--- ''</v>
      </c>
      <c r="B360" s="55"/>
      <c r="C360" s="21">
        <v>359.0</v>
      </c>
      <c r="D360" s="55"/>
      <c r="E360" s="55"/>
      <c r="F360" s="55"/>
      <c r="G360" s="21"/>
      <c r="H360" s="36"/>
      <c r="I360" s="36"/>
      <c r="J360" s="36"/>
      <c r="K360" s="36"/>
      <c r="L360" s="32"/>
      <c r="M360" s="35"/>
      <c r="N360" s="34"/>
      <c r="O360" s="34"/>
      <c r="P360" s="34"/>
      <c r="Q360" s="32"/>
      <c r="R360" s="32"/>
      <c r="S360" s="32"/>
      <c r="T360" s="32"/>
      <c r="U360" s="32"/>
      <c r="V360" s="32"/>
      <c r="W360" s="32"/>
      <c r="X360" s="32"/>
      <c r="Y360" s="32"/>
      <c r="Z360" s="18"/>
    </row>
    <row r="361">
      <c r="A361" s="19" t="str">
        <f t="shared" si="1"/>
        <v>360--- ''</v>
      </c>
      <c r="B361" s="55"/>
      <c r="C361" s="21">
        <v>360.0</v>
      </c>
      <c r="D361" s="55"/>
      <c r="E361" s="55"/>
      <c r="F361" s="55"/>
      <c r="G361" s="21"/>
      <c r="H361" s="36"/>
      <c r="I361" s="36"/>
      <c r="J361" s="36"/>
      <c r="K361" s="36"/>
      <c r="L361" s="32"/>
      <c r="M361" s="35"/>
      <c r="N361" s="34"/>
      <c r="O361" s="34"/>
      <c r="P361" s="34"/>
      <c r="Q361" s="32"/>
      <c r="R361" s="32"/>
      <c r="S361" s="32"/>
      <c r="T361" s="32"/>
      <c r="U361" s="32"/>
      <c r="V361" s="32"/>
      <c r="W361" s="32"/>
      <c r="X361" s="32"/>
      <c r="Y361" s="32"/>
      <c r="Z361" s="18"/>
    </row>
    <row r="362">
      <c r="A362" s="19" t="str">
        <f t="shared" si="1"/>
        <v>361--- ''</v>
      </c>
      <c r="B362" s="55"/>
      <c r="C362" s="21">
        <v>361.0</v>
      </c>
      <c r="D362" s="55"/>
      <c r="E362" s="55"/>
      <c r="F362" s="55"/>
      <c r="G362" s="21"/>
      <c r="H362" s="36"/>
      <c r="I362" s="36"/>
      <c r="J362" s="36"/>
      <c r="K362" s="36"/>
      <c r="L362" s="32"/>
      <c r="M362" s="35"/>
      <c r="N362" s="34"/>
      <c r="O362" s="34"/>
      <c r="P362" s="34"/>
      <c r="Q362" s="32"/>
      <c r="R362" s="32"/>
      <c r="S362" s="32"/>
      <c r="T362" s="32"/>
      <c r="U362" s="32"/>
      <c r="V362" s="32"/>
      <c r="W362" s="32"/>
      <c r="X362" s="32"/>
      <c r="Y362" s="32"/>
      <c r="Z362" s="18"/>
    </row>
    <row r="363">
      <c r="A363" s="19" t="str">
        <f t="shared" si="1"/>
        <v>362--- ''</v>
      </c>
      <c r="B363" s="55"/>
      <c r="C363" s="21">
        <v>362.0</v>
      </c>
      <c r="D363" s="55"/>
      <c r="E363" s="55"/>
      <c r="F363" s="55"/>
      <c r="G363" s="21"/>
      <c r="H363" s="36"/>
      <c r="I363" s="36"/>
      <c r="J363" s="36"/>
      <c r="K363" s="36"/>
      <c r="L363" s="32"/>
      <c r="M363" s="35"/>
      <c r="N363" s="34"/>
      <c r="O363" s="34"/>
      <c r="P363" s="34"/>
      <c r="Q363" s="32"/>
      <c r="R363" s="32"/>
      <c r="S363" s="32"/>
      <c r="T363" s="32"/>
      <c r="U363" s="32"/>
      <c r="V363" s="32"/>
      <c r="W363" s="32"/>
      <c r="X363" s="32"/>
      <c r="Y363" s="32"/>
      <c r="Z363" s="18"/>
    </row>
    <row r="364">
      <c r="A364" s="19" t="str">
        <f t="shared" si="1"/>
        <v>363--- ''</v>
      </c>
      <c r="B364" s="55"/>
      <c r="C364" s="21">
        <v>363.0</v>
      </c>
      <c r="D364" s="55"/>
      <c r="E364" s="55"/>
      <c r="F364" s="55"/>
      <c r="G364" s="21"/>
      <c r="H364" s="36"/>
      <c r="I364" s="36"/>
      <c r="J364" s="36"/>
      <c r="K364" s="36"/>
      <c r="L364" s="32"/>
      <c r="M364" s="35"/>
      <c r="N364" s="34"/>
      <c r="O364" s="34"/>
      <c r="P364" s="34"/>
      <c r="Q364" s="32"/>
      <c r="R364" s="32"/>
      <c r="S364" s="32"/>
      <c r="T364" s="32"/>
      <c r="U364" s="32"/>
      <c r="V364" s="32"/>
      <c r="W364" s="32"/>
      <c r="X364" s="32"/>
      <c r="Y364" s="32"/>
      <c r="Z364" s="18"/>
    </row>
    <row r="365">
      <c r="A365" s="19" t="str">
        <f t="shared" si="1"/>
        <v>364--- ''</v>
      </c>
      <c r="B365" s="55"/>
      <c r="C365" s="21">
        <v>364.0</v>
      </c>
      <c r="D365" s="55"/>
      <c r="E365" s="55"/>
      <c r="F365" s="55"/>
      <c r="G365" s="21"/>
      <c r="H365" s="36"/>
      <c r="I365" s="36"/>
      <c r="J365" s="36"/>
      <c r="K365" s="36"/>
      <c r="L365" s="32"/>
      <c r="M365" s="35"/>
      <c r="N365" s="34"/>
      <c r="O365" s="34"/>
      <c r="P365" s="34"/>
      <c r="Q365" s="32"/>
      <c r="R365" s="32"/>
      <c r="S365" s="32"/>
      <c r="T365" s="32"/>
      <c r="U365" s="32"/>
      <c r="V365" s="32"/>
      <c r="W365" s="32"/>
      <c r="X365" s="32"/>
      <c r="Y365" s="32"/>
      <c r="Z365" s="18"/>
    </row>
    <row r="366">
      <c r="A366" s="19" t="str">
        <f t="shared" si="1"/>
        <v>365--- ''</v>
      </c>
      <c r="B366" s="55"/>
      <c r="C366" s="21">
        <v>365.0</v>
      </c>
      <c r="D366" s="55"/>
      <c r="E366" s="55"/>
      <c r="F366" s="55"/>
      <c r="G366" s="21"/>
      <c r="H366" s="36"/>
      <c r="I366" s="36"/>
      <c r="J366" s="36"/>
      <c r="K366" s="36"/>
      <c r="L366" s="32"/>
      <c r="M366" s="35"/>
      <c r="N366" s="34"/>
      <c r="O366" s="34"/>
      <c r="P366" s="34"/>
      <c r="Q366" s="32"/>
      <c r="R366" s="32"/>
      <c r="S366" s="32"/>
      <c r="T366" s="32"/>
      <c r="U366" s="32"/>
      <c r="V366" s="32"/>
      <c r="W366" s="32"/>
      <c r="X366" s="32"/>
      <c r="Y366" s="32"/>
      <c r="Z366" s="18"/>
    </row>
    <row r="367">
      <c r="A367" s="19" t="str">
        <f t="shared" si="1"/>
        <v>366--- ''</v>
      </c>
      <c r="B367" s="55"/>
      <c r="C367" s="21">
        <v>366.0</v>
      </c>
      <c r="D367" s="55"/>
      <c r="E367" s="55"/>
      <c r="F367" s="55"/>
      <c r="G367" s="21"/>
      <c r="H367" s="36"/>
      <c r="I367" s="36"/>
      <c r="J367" s="36"/>
      <c r="K367" s="36"/>
      <c r="L367" s="32"/>
      <c r="M367" s="35"/>
      <c r="N367" s="34"/>
      <c r="O367" s="34"/>
      <c r="P367" s="34"/>
      <c r="Q367" s="32"/>
      <c r="R367" s="32"/>
      <c r="S367" s="32"/>
      <c r="T367" s="32"/>
      <c r="U367" s="32"/>
      <c r="V367" s="32"/>
      <c r="W367" s="32"/>
      <c r="X367" s="32"/>
      <c r="Y367" s="32"/>
      <c r="Z367" s="18"/>
    </row>
    <row r="368">
      <c r="A368" s="19" t="str">
        <f t="shared" si="1"/>
        <v>367--- ''</v>
      </c>
      <c r="B368" s="55"/>
      <c r="C368" s="21">
        <v>367.0</v>
      </c>
      <c r="D368" s="55"/>
      <c r="E368" s="55"/>
      <c r="F368" s="55"/>
      <c r="G368" s="21"/>
      <c r="H368" s="36"/>
      <c r="I368" s="36"/>
      <c r="J368" s="36"/>
      <c r="K368" s="36"/>
      <c r="L368" s="32"/>
      <c r="M368" s="35"/>
      <c r="N368" s="34"/>
      <c r="O368" s="34"/>
      <c r="P368" s="34"/>
      <c r="Q368" s="32"/>
      <c r="R368" s="32"/>
      <c r="S368" s="32"/>
      <c r="T368" s="32"/>
      <c r="U368" s="32"/>
      <c r="V368" s="32"/>
      <c r="W368" s="32"/>
      <c r="X368" s="32"/>
      <c r="Y368" s="32"/>
      <c r="Z368" s="18"/>
    </row>
    <row r="369">
      <c r="A369" s="19" t="str">
        <f t="shared" si="1"/>
        <v>368--- ''</v>
      </c>
      <c r="B369" s="55"/>
      <c r="C369" s="21">
        <v>368.0</v>
      </c>
      <c r="D369" s="55"/>
      <c r="E369" s="55"/>
      <c r="F369" s="55"/>
      <c r="G369" s="21"/>
      <c r="H369" s="36"/>
      <c r="I369" s="36"/>
      <c r="J369" s="36"/>
      <c r="K369" s="36"/>
      <c r="L369" s="32"/>
      <c r="M369" s="35"/>
      <c r="N369" s="34"/>
      <c r="O369" s="34"/>
      <c r="P369" s="34"/>
      <c r="Q369" s="32"/>
      <c r="R369" s="32"/>
      <c r="S369" s="32"/>
      <c r="T369" s="32"/>
      <c r="U369" s="32"/>
      <c r="V369" s="32"/>
      <c r="W369" s="32"/>
      <c r="X369" s="32"/>
      <c r="Y369" s="32"/>
      <c r="Z369" s="18"/>
    </row>
    <row r="370">
      <c r="A370" s="19" t="str">
        <f t="shared" si="1"/>
        <v>369--- ''</v>
      </c>
      <c r="B370" s="55"/>
      <c r="C370" s="21">
        <v>369.0</v>
      </c>
      <c r="D370" s="55"/>
      <c r="E370" s="55"/>
      <c r="F370" s="55"/>
      <c r="G370" s="21"/>
      <c r="H370" s="36"/>
      <c r="I370" s="36"/>
      <c r="J370" s="36"/>
      <c r="K370" s="36"/>
      <c r="L370" s="32"/>
      <c r="M370" s="35"/>
      <c r="N370" s="34"/>
      <c r="O370" s="34"/>
      <c r="P370" s="34"/>
      <c r="Q370" s="32"/>
      <c r="R370" s="32"/>
      <c r="S370" s="32"/>
      <c r="T370" s="32"/>
      <c r="U370" s="32"/>
      <c r="V370" s="32"/>
      <c r="W370" s="32"/>
      <c r="X370" s="32"/>
      <c r="Y370" s="32"/>
      <c r="Z370" s="18"/>
    </row>
    <row r="371">
      <c r="A371" s="19" t="str">
        <f t="shared" si="1"/>
        <v>370--- ''</v>
      </c>
      <c r="B371" s="55"/>
      <c r="C371" s="21">
        <v>370.0</v>
      </c>
      <c r="D371" s="55"/>
      <c r="E371" s="55"/>
      <c r="F371" s="55"/>
      <c r="G371" s="21"/>
      <c r="H371" s="36"/>
      <c r="I371" s="36"/>
      <c r="J371" s="36"/>
      <c r="K371" s="36"/>
      <c r="L371" s="32"/>
      <c r="M371" s="35"/>
      <c r="N371" s="34"/>
      <c r="O371" s="34"/>
      <c r="P371" s="34"/>
      <c r="Q371" s="32"/>
      <c r="R371" s="32"/>
      <c r="S371" s="32"/>
      <c r="T371" s="32"/>
      <c r="U371" s="32"/>
      <c r="V371" s="32"/>
      <c r="W371" s="32"/>
      <c r="X371" s="32"/>
      <c r="Y371" s="32"/>
      <c r="Z371" s="18"/>
    </row>
    <row r="372">
      <c r="A372" s="19" t="str">
        <f t="shared" si="1"/>
        <v>371--- ''</v>
      </c>
      <c r="B372" s="55"/>
      <c r="C372" s="21">
        <v>371.0</v>
      </c>
      <c r="D372" s="55"/>
      <c r="E372" s="55"/>
      <c r="F372" s="55"/>
      <c r="G372" s="21"/>
      <c r="H372" s="36"/>
      <c r="I372" s="36"/>
      <c r="J372" s="36"/>
      <c r="K372" s="36"/>
      <c r="L372" s="32"/>
      <c r="M372" s="35"/>
      <c r="N372" s="34"/>
      <c r="O372" s="34"/>
      <c r="P372" s="34"/>
      <c r="Q372" s="32"/>
      <c r="R372" s="32"/>
      <c r="S372" s="32"/>
      <c r="T372" s="32"/>
      <c r="U372" s="32"/>
      <c r="V372" s="32"/>
      <c r="W372" s="32"/>
      <c r="X372" s="32"/>
      <c r="Y372" s="32"/>
      <c r="Z372" s="18"/>
    </row>
    <row r="373">
      <c r="A373" s="19" t="str">
        <f t="shared" si="1"/>
        <v>372--- ''</v>
      </c>
      <c r="B373" s="55"/>
      <c r="C373" s="21">
        <v>372.0</v>
      </c>
      <c r="D373" s="55"/>
      <c r="E373" s="55"/>
      <c r="F373" s="55"/>
      <c r="G373" s="21"/>
      <c r="H373" s="36"/>
      <c r="I373" s="36"/>
      <c r="J373" s="36"/>
      <c r="K373" s="36"/>
      <c r="L373" s="32"/>
      <c r="M373" s="35"/>
      <c r="N373" s="34"/>
      <c r="O373" s="34"/>
      <c r="P373" s="34"/>
      <c r="Q373" s="32"/>
      <c r="R373" s="32"/>
      <c r="S373" s="32"/>
      <c r="T373" s="32"/>
      <c r="U373" s="32"/>
      <c r="V373" s="32"/>
      <c r="W373" s="32"/>
      <c r="X373" s="32"/>
      <c r="Y373" s="32"/>
      <c r="Z373" s="18"/>
    </row>
    <row r="374">
      <c r="A374" s="19" t="str">
        <f t="shared" si="1"/>
        <v>373--- ''</v>
      </c>
      <c r="B374" s="55"/>
      <c r="C374" s="21">
        <v>373.0</v>
      </c>
      <c r="D374" s="55"/>
      <c r="E374" s="55"/>
      <c r="F374" s="55"/>
      <c r="G374" s="21"/>
      <c r="H374" s="36"/>
      <c r="I374" s="36"/>
      <c r="J374" s="36"/>
      <c r="K374" s="36"/>
      <c r="L374" s="32"/>
      <c r="M374" s="35"/>
      <c r="N374" s="34"/>
      <c r="O374" s="34"/>
      <c r="P374" s="34"/>
      <c r="Q374" s="32"/>
      <c r="R374" s="32"/>
      <c r="S374" s="32"/>
      <c r="T374" s="32"/>
      <c r="U374" s="32"/>
      <c r="V374" s="32"/>
      <c r="W374" s="32"/>
      <c r="X374" s="32"/>
      <c r="Y374" s="32"/>
      <c r="Z374" s="18"/>
    </row>
    <row r="375">
      <c r="A375" s="19" t="str">
        <f t="shared" si="1"/>
        <v>374--- ''</v>
      </c>
      <c r="B375" s="55"/>
      <c r="C375" s="21">
        <v>374.0</v>
      </c>
      <c r="D375" s="55"/>
      <c r="E375" s="55"/>
      <c r="F375" s="55"/>
      <c r="G375" s="21"/>
      <c r="H375" s="36"/>
      <c r="I375" s="36"/>
      <c r="J375" s="36"/>
      <c r="K375" s="36"/>
      <c r="L375" s="32"/>
      <c r="M375" s="35"/>
      <c r="N375" s="34"/>
      <c r="O375" s="34"/>
      <c r="P375" s="34"/>
      <c r="Q375" s="32"/>
      <c r="R375" s="32"/>
      <c r="S375" s="32"/>
      <c r="T375" s="32"/>
      <c r="U375" s="32"/>
      <c r="V375" s="32"/>
      <c r="W375" s="32"/>
      <c r="X375" s="32"/>
      <c r="Y375" s="32"/>
      <c r="Z375" s="18"/>
    </row>
    <row r="376">
      <c r="A376" s="19" t="str">
        <f t="shared" si="1"/>
        <v>375--- ''</v>
      </c>
      <c r="B376" s="55"/>
      <c r="C376" s="21">
        <v>375.0</v>
      </c>
      <c r="D376" s="55"/>
      <c r="E376" s="55"/>
      <c r="F376" s="55"/>
      <c r="G376" s="21"/>
      <c r="H376" s="36"/>
      <c r="I376" s="36"/>
      <c r="J376" s="36"/>
      <c r="K376" s="36"/>
      <c r="L376" s="32"/>
      <c r="M376" s="35"/>
      <c r="N376" s="34"/>
      <c r="O376" s="34"/>
      <c r="P376" s="34"/>
      <c r="Q376" s="32"/>
      <c r="R376" s="32"/>
      <c r="S376" s="32"/>
      <c r="T376" s="32"/>
      <c r="U376" s="32"/>
      <c r="V376" s="32"/>
      <c r="W376" s="32"/>
      <c r="X376" s="32"/>
      <c r="Y376" s="32"/>
      <c r="Z376" s="18"/>
    </row>
    <row r="377">
      <c r="A377" s="19" t="str">
        <f t="shared" si="1"/>
        <v>376--- ''</v>
      </c>
      <c r="B377" s="55"/>
      <c r="C377" s="21">
        <v>376.0</v>
      </c>
      <c r="D377" s="55"/>
      <c r="E377" s="55"/>
      <c r="F377" s="55"/>
      <c r="G377" s="21"/>
      <c r="H377" s="36"/>
      <c r="I377" s="36"/>
      <c r="J377" s="36"/>
      <c r="K377" s="36"/>
      <c r="L377" s="32"/>
      <c r="M377" s="35"/>
      <c r="N377" s="34"/>
      <c r="O377" s="34"/>
      <c r="P377" s="34"/>
      <c r="Q377" s="32"/>
      <c r="R377" s="32"/>
      <c r="S377" s="32"/>
      <c r="T377" s="32"/>
      <c r="U377" s="32"/>
      <c r="V377" s="32"/>
      <c r="W377" s="32"/>
      <c r="X377" s="32"/>
      <c r="Y377" s="32"/>
      <c r="Z377" s="18"/>
    </row>
    <row r="378">
      <c r="A378" s="19" t="str">
        <f t="shared" si="1"/>
        <v>377--- ''</v>
      </c>
      <c r="B378" s="55"/>
      <c r="C378" s="21">
        <v>377.0</v>
      </c>
      <c r="D378" s="55"/>
      <c r="E378" s="55"/>
      <c r="F378" s="55"/>
      <c r="G378" s="21"/>
      <c r="H378" s="36"/>
      <c r="I378" s="36"/>
      <c r="J378" s="36"/>
      <c r="K378" s="36"/>
      <c r="L378" s="32"/>
      <c r="M378" s="35"/>
      <c r="N378" s="34"/>
      <c r="O378" s="34"/>
      <c r="P378" s="34"/>
      <c r="Q378" s="32"/>
      <c r="R378" s="32"/>
      <c r="S378" s="32"/>
      <c r="T378" s="32"/>
      <c r="U378" s="32"/>
      <c r="V378" s="32"/>
      <c r="W378" s="32"/>
      <c r="X378" s="32"/>
      <c r="Y378" s="32"/>
      <c r="Z378" s="18"/>
    </row>
    <row r="379">
      <c r="A379" s="19" t="str">
        <f t="shared" si="1"/>
        <v>378--- ''</v>
      </c>
      <c r="B379" s="55"/>
      <c r="C379" s="21">
        <v>378.0</v>
      </c>
      <c r="D379" s="55"/>
      <c r="E379" s="55"/>
      <c r="F379" s="55"/>
      <c r="G379" s="21"/>
      <c r="H379" s="36"/>
      <c r="I379" s="36"/>
      <c r="J379" s="36"/>
      <c r="K379" s="36"/>
      <c r="L379" s="32"/>
      <c r="M379" s="35"/>
      <c r="N379" s="34"/>
      <c r="O379" s="34"/>
      <c r="P379" s="34"/>
      <c r="Q379" s="32"/>
      <c r="R379" s="32"/>
      <c r="S379" s="32"/>
      <c r="T379" s="32"/>
      <c r="U379" s="32"/>
      <c r="V379" s="32"/>
      <c r="W379" s="32"/>
      <c r="X379" s="32"/>
      <c r="Y379" s="32"/>
      <c r="Z379" s="18"/>
    </row>
    <row r="380">
      <c r="A380" s="19" t="str">
        <f t="shared" si="1"/>
        <v>379--- ''</v>
      </c>
      <c r="B380" s="55"/>
      <c r="C380" s="21">
        <v>379.0</v>
      </c>
      <c r="D380" s="55"/>
      <c r="E380" s="55"/>
      <c r="F380" s="55"/>
      <c r="G380" s="21"/>
      <c r="H380" s="36"/>
      <c r="I380" s="36"/>
      <c r="J380" s="36"/>
      <c r="K380" s="36"/>
      <c r="L380" s="32"/>
      <c r="M380" s="35"/>
      <c r="N380" s="34"/>
      <c r="O380" s="34"/>
      <c r="P380" s="34"/>
      <c r="Q380" s="32"/>
      <c r="R380" s="32"/>
      <c r="S380" s="32"/>
      <c r="T380" s="32"/>
      <c r="U380" s="32"/>
      <c r="V380" s="32"/>
      <c r="W380" s="32"/>
      <c r="X380" s="32"/>
      <c r="Y380" s="32"/>
      <c r="Z380" s="18"/>
    </row>
    <row r="381">
      <c r="A381" s="19" t="str">
        <f t="shared" si="1"/>
        <v>380--- ''</v>
      </c>
      <c r="B381" s="55"/>
      <c r="C381" s="21">
        <v>380.0</v>
      </c>
      <c r="D381" s="55"/>
      <c r="E381" s="55"/>
      <c r="F381" s="55"/>
      <c r="G381" s="21"/>
      <c r="H381" s="36"/>
      <c r="I381" s="36"/>
      <c r="J381" s="36"/>
      <c r="K381" s="36"/>
      <c r="L381" s="32"/>
      <c r="M381" s="35"/>
      <c r="N381" s="34"/>
      <c r="O381" s="34"/>
      <c r="P381" s="34"/>
      <c r="Q381" s="32"/>
      <c r="R381" s="32"/>
      <c r="S381" s="32"/>
      <c r="T381" s="32"/>
      <c r="U381" s="32"/>
      <c r="V381" s="32"/>
      <c r="W381" s="32"/>
      <c r="X381" s="32"/>
      <c r="Y381" s="32"/>
      <c r="Z381" s="18"/>
    </row>
    <row r="382">
      <c r="A382" s="19" t="str">
        <f t="shared" si="1"/>
        <v>381--- ''</v>
      </c>
      <c r="B382" s="55"/>
      <c r="C382" s="21">
        <v>381.0</v>
      </c>
      <c r="D382" s="55"/>
      <c r="E382" s="55"/>
      <c r="F382" s="55"/>
      <c r="G382" s="21"/>
      <c r="H382" s="36"/>
      <c r="I382" s="36"/>
      <c r="J382" s="36"/>
      <c r="K382" s="36"/>
      <c r="L382" s="32"/>
      <c r="M382" s="35"/>
      <c r="N382" s="34"/>
      <c r="O382" s="34"/>
      <c r="P382" s="34"/>
      <c r="Q382" s="32"/>
      <c r="R382" s="32"/>
      <c r="S382" s="32"/>
      <c r="T382" s="32"/>
      <c r="U382" s="32"/>
      <c r="V382" s="32"/>
      <c r="W382" s="32"/>
      <c r="X382" s="32"/>
      <c r="Y382" s="32"/>
      <c r="Z382" s="18"/>
    </row>
    <row r="383">
      <c r="A383" s="19" t="str">
        <f t="shared" si="1"/>
        <v>382--- ''</v>
      </c>
      <c r="B383" s="55"/>
      <c r="C383" s="21">
        <v>382.0</v>
      </c>
      <c r="D383" s="55"/>
      <c r="E383" s="55"/>
      <c r="F383" s="55"/>
      <c r="G383" s="21"/>
      <c r="H383" s="36"/>
      <c r="I383" s="36"/>
      <c r="J383" s="36"/>
      <c r="K383" s="36"/>
      <c r="L383" s="32"/>
      <c r="M383" s="35"/>
      <c r="N383" s="34"/>
      <c r="O383" s="34"/>
      <c r="P383" s="34"/>
      <c r="Q383" s="32"/>
      <c r="R383" s="32"/>
      <c r="S383" s="32"/>
      <c r="T383" s="32"/>
      <c r="U383" s="32"/>
      <c r="V383" s="32"/>
      <c r="W383" s="32"/>
      <c r="X383" s="32"/>
      <c r="Y383" s="32"/>
      <c r="Z383" s="18"/>
    </row>
    <row r="384">
      <c r="A384" s="19" t="str">
        <f t="shared" si="1"/>
        <v>383--- ''</v>
      </c>
      <c r="B384" s="55"/>
      <c r="C384" s="21">
        <v>383.0</v>
      </c>
      <c r="D384" s="55"/>
      <c r="E384" s="55"/>
      <c r="F384" s="55"/>
      <c r="G384" s="21"/>
      <c r="H384" s="36"/>
      <c r="I384" s="36"/>
      <c r="J384" s="36"/>
      <c r="K384" s="36"/>
      <c r="L384" s="32"/>
      <c r="M384" s="35"/>
      <c r="N384" s="34"/>
      <c r="O384" s="34"/>
      <c r="P384" s="34"/>
      <c r="Q384" s="32"/>
      <c r="R384" s="32"/>
      <c r="S384" s="32"/>
      <c r="T384" s="32"/>
      <c r="U384" s="32"/>
      <c r="V384" s="32"/>
      <c r="W384" s="32"/>
      <c r="X384" s="32"/>
      <c r="Y384" s="32"/>
      <c r="Z384" s="18"/>
    </row>
    <row r="385">
      <c r="A385" s="19" t="str">
        <f t="shared" si="1"/>
        <v>384--- ''</v>
      </c>
      <c r="B385" s="55"/>
      <c r="C385" s="21">
        <v>384.0</v>
      </c>
      <c r="D385" s="55"/>
      <c r="E385" s="55"/>
      <c r="F385" s="55"/>
      <c r="G385" s="21"/>
      <c r="H385" s="36"/>
      <c r="I385" s="36"/>
      <c r="J385" s="36"/>
      <c r="K385" s="36"/>
      <c r="L385" s="32"/>
      <c r="M385" s="35"/>
      <c r="N385" s="34"/>
      <c r="O385" s="34"/>
      <c r="P385" s="34"/>
      <c r="Q385" s="32"/>
      <c r="R385" s="32"/>
      <c r="S385" s="32"/>
      <c r="T385" s="32"/>
      <c r="U385" s="32"/>
      <c r="V385" s="32"/>
      <c r="W385" s="32"/>
      <c r="X385" s="32"/>
      <c r="Y385" s="32"/>
      <c r="Z385" s="18"/>
    </row>
    <row r="386">
      <c r="A386" s="19" t="str">
        <f t="shared" si="1"/>
        <v>385--- ''</v>
      </c>
      <c r="B386" s="55"/>
      <c r="C386" s="21">
        <v>385.0</v>
      </c>
      <c r="D386" s="55"/>
      <c r="E386" s="55"/>
      <c r="F386" s="55"/>
      <c r="G386" s="21"/>
      <c r="H386" s="36"/>
      <c r="I386" s="36"/>
      <c r="J386" s="36"/>
      <c r="K386" s="36"/>
      <c r="L386" s="32"/>
      <c r="M386" s="35"/>
      <c r="N386" s="34"/>
      <c r="O386" s="34"/>
      <c r="P386" s="34"/>
      <c r="Q386" s="32"/>
      <c r="R386" s="32"/>
      <c r="S386" s="32"/>
      <c r="T386" s="32"/>
      <c r="U386" s="32"/>
      <c r="V386" s="32"/>
      <c r="W386" s="32"/>
      <c r="X386" s="32"/>
      <c r="Y386" s="32"/>
      <c r="Z386" s="18"/>
    </row>
    <row r="387">
      <c r="A387" s="19" t="str">
        <f t="shared" si="1"/>
        <v>386--- ''</v>
      </c>
      <c r="B387" s="55"/>
      <c r="C387" s="21">
        <v>386.0</v>
      </c>
      <c r="D387" s="55"/>
      <c r="E387" s="55"/>
      <c r="F387" s="55"/>
      <c r="G387" s="21"/>
      <c r="H387" s="36"/>
      <c r="I387" s="36"/>
      <c r="J387" s="36"/>
      <c r="K387" s="36"/>
      <c r="L387" s="32"/>
      <c r="M387" s="35"/>
      <c r="N387" s="34"/>
      <c r="O387" s="34"/>
      <c r="P387" s="34"/>
      <c r="Q387" s="32"/>
      <c r="R387" s="32"/>
      <c r="S387" s="32"/>
      <c r="T387" s="32"/>
      <c r="U387" s="32"/>
      <c r="V387" s="32"/>
      <c r="W387" s="32"/>
      <c r="X387" s="32"/>
      <c r="Y387" s="32"/>
      <c r="Z387" s="18"/>
    </row>
    <row r="388">
      <c r="A388" s="19" t="str">
        <f t="shared" si="1"/>
        <v>387--- ''</v>
      </c>
      <c r="B388" s="55"/>
      <c r="C388" s="21">
        <v>387.0</v>
      </c>
      <c r="D388" s="55"/>
      <c r="E388" s="55"/>
      <c r="F388" s="55"/>
      <c r="G388" s="21"/>
      <c r="H388" s="36"/>
      <c r="I388" s="36"/>
      <c r="J388" s="36"/>
      <c r="K388" s="36"/>
      <c r="L388" s="32"/>
      <c r="M388" s="35"/>
      <c r="N388" s="34"/>
      <c r="O388" s="34"/>
      <c r="P388" s="34"/>
      <c r="Q388" s="32"/>
      <c r="R388" s="32"/>
      <c r="S388" s="32"/>
      <c r="T388" s="32"/>
      <c r="U388" s="32"/>
      <c r="V388" s="32"/>
      <c r="W388" s="32"/>
      <c r="X388" s="32"/>
      <c r="Y388" s="32"/>
      <c r="Z388" s="18"/>
    </row>
    <row r="389">
      <c r="A389" s="19" t="str">
        <f t="shared" si="1"/>
        <v>388--- ''</v>
      </c>
      <c r="B389" s="55"/>
      <c r="C389" s="21">
        <v>388.0</v>
      </c>
      <c r="D389" s="55"/>
      <c r="E389" s="55"/>
      <c r="F389" s="55"/>
      <c r="G389" s="21"/>
      <c r="H389" s="36"/>
      <c r="I389" s="36"/>
      <c r="J389" s="36"/>
      <c r="K389" s="36"/>
      <c r="L389" s="32"/>
      <c r="M389" s="35"/>
      <c r="N389" s="34"/>
      <c r="O389" s="34"/>
      <c r="P389" s="34"/>
      <c r="Q389" s="32"/>
      <c r="R389" s="32"/>
      <c r="S389" s="32"/>
      <c r="T389" s="32"/>
      <c r="U389" s="32"/>
      <c r="V389" s="32"/>
      <c r="W389" s="32"/>
      <c r="X389" s="32"/>
      <c r="Y389" s="32"/>
      <c r="Z389" s="18"/>
    </row>
    <row r="390">
      <c r="A390" s="19" t="str">
        <f t="shared" si="1"/>
        <v>389--- ''</v>
      </c>
      <c r="B390" s="55"/>
      <c r="C390" s="21">
        <v>389.0</v>
      </c>
      <c r="D390" s="55"/>
      <c r="E390" s="55"/>
      <c r="F390" s="55"/>
      <c r="G390" s="21"/>
      <c r="H390" s="36"/>
      <c r="I390" s="36"/>
      <c r="J390" s="36"/>
      <c r="K390" s="36"/>
      <c r="L390" s="32"/>
      <c r="M390" s="35"/>
      <c r="N390" s="34"/>
      <c r="O390" s="34"/>
      <c r="P390" s="34"/>
      <c r="Q390" s="32"/>
      <c r="R390" s="32"/>
      <c r="S390" s="32"/>
      <c r="T390" s="32"/>
      <c r="U390" s="32"/>
      <c r="V390" s="32"/>
      <c r="W390" s="32"/>
      <c r="X390" s="32"/>
      <c r="Y390" s="32"/>
      <c r="Z390" s="18"/>
    </row>
    <row r="391">
      <c r="A391" s="19" t="str">
        <f t="shared" si="1"/>
        <v>390--- ''</v>
      </c>
      <c r="B391" s="55"/>
      <c r="C391" s="21">
        <v>390.0</v>
      </c>
      <c r="D391" s="55"/>
      <c r="E391" s="55"/>
      <c r="F391" s="55"/>
      <c r="G391" s="21"/>
      <c r="H391" s="36"/>
      <c r="I391" s="36"/>
      <c r="J391" s="36"/>
      <c r="K391" s="36"/>
      <c r="L391" s="32"/>
      <c r="M391" s="35"/>
      <c r="N391" s="34"/>
      <c r="O391" s="34"/>
      <c r="P391" s="34"/>
      <c r="Q391" s="32"/>
      <c r="R391" s="32"/>
      <c r="S391" s="32"/>
      <c r="T391" s="32"/>
      <c r="U391" s="32"/>
      <c r="V391" s="32"/>
      <c r="W391" s="32"/>
      <c r="X391" s="32"/>
      <c r="Y391" s="32"/>
      <c r="Z391" s="18"/>
    </row>
    <row r="392">
      <c r="A392" s="19" t="str">
        <f t="shared" si="1"/>
        <v>391--- ''</v>
      </c>
      <c r="B392" s="55"/>
      <c r="C392" s="21">
        <v>391.0</v>
      </c>
      <c r="D392" s="55"/>
      <c r="E392" s="55"/>
      <c r="F392" s="55"/>
      <c r="G392" s="21"/>
      <c r="H392" s="36"/>
      <c r="I392" s="36"/>
      <c r="J392" s="36"/>
      <c r="K392" s="36"/>
      <c r="L392" s="32"/>
      <c r="M392" s="35"/>
      <c r="N392" s="34"/>
      <c r="O392" s="34"/>
      <c r="P392" s="34"/>
      <c r="Q392" s="32"/>
      <c r="R392" s="32"/>
      <c r="S392" s="32"/>
      <c r="T392" s="32"/>
      <c r="U392" s="32"/>
      <c r="V392" s="32"/>
      <c r="W392" s="32"/>
      <c r="X392" s="32"/>
      <c r="Y392" s="32"/>
      <c r="Z392" s="18"/>
    </row>
    <row r="393">
      <c r="A393" s="19" t="str">
        <f t="shared" si="1"/>
        <v>392--- ''</v>
      </c>
      <c r="B393" s="55"/>
      <c r="C393" s="21">
        <v>392.0</v>
      </c>
      <c r="D393" s="55"/>
      <c r="E393" s="55"/>
      <c r="F393" s="55"/>
      <c r="G393" s="21"/>
      <c r="H393" s="36"/>
      <c r="I393" s="36"/>
      <c r="J393" s="36"/>
      <c r="K393" s="36"/>
      <c r="L393" s="32"/>
      <c r="M393" s="35"/>
      <c r="N393" s="34"/>
      <c r="O393" s="34"/>
      <c r="P393" s="34"/>
      <c r="Q393" s="32"/>
      <c r="R393" s="32"/>
      <c r="S393" s="32"/>
      <c r="T393" s="32"/>
      <c r="U393" s="32"/>
      <c r="V393" s="32"/>
      <c r="W393" s="32"/>
      <c r="X393" s="32"/>
      <c r="Y393" s="32"/>
      <c r="Z393" s="18"/>
    </row>
    <row r="394">
      <c r="A394" s="19" t="str">
        <f t="shared" si="1"/>
        <v>393--- ''</v>
      </c>
      <c r="B394" s="55"/>
      <c r="C394" s="21">
        <v>393.0</v>
      </c>
      <c r="D394" s="55"/>
      <c r="E394" s="55"/>
      <c r="F394" s="55"/>
      <c r="G394" s="21"/>
      <c r="H394" s="36"/>
      <c r="I394" s="36"/>
      <c r="J394" s="36"/>
      <c r="K394" s="36"/>
      <c r="L394" s="32"/>
      <c r="M394" s="35"/>
      <c r="N394" s="34"/>
      <c r="O394" s="34"/>
      <c r="P394" s="34"/>
      <c r="Q394" s="32"/>
      <c r="R394" s="32"/>
      <c r="S394" s="32"/>
      <c r="T394" s="32"/>
      <c r="U394" s="32"/>
      <c r="V394" s="32"/>
      <c r="W394" s="32"/>
      <c r="X394" s="32"/>
      <c r="Y394" s="32"/>
      <c r="Z394" s="18"/>
    </row>
    <row r="395">
      <c r="A395" s="19" t="str">
        <f t="shared" si="1"/>
        <v>394--- ''</v>
      </c>
      <c r="B395" s="55"/>
      <c r="C395" s="21">
        <v>394.0</v>
      </c>
      <c r="D395" s="55"/>
      <c r="E395" s="55"/>
      <c r="F395" s="55"/>
      <c r="G395" s="21"/>
      <c r="H395" s="36"/>
      <c r="I395" s="36"/>
      <c r="J395" s="36"/>
      <c r="K395" s="36"/>
      <c r="L395" s="32"/>
      <c r="M395" s="35"/>
      <c r="N395" s="34"/>
      <c r="O395" s="34"/>
      <c r="P395" s="34"/>
      <c r="Q395" s="32"/>
      <c r="R395" s="32"/>
      <c r="S395" s="32"/>
      <c r="T395" s="32"/>
      <c r="U395" s="32"/>
      <c r="V395" s="32"/>
      <c r="W395" s="32"/>
      <c r="X395" s="32"/>
      <c r="Y395" s="32"/>
      <c r="Z395" s="18"/>
    </row>
    <row r="396">
      <c r="A396" s="19" t="str">
        <f t="shared" si="1"/>
        <v>395--- ''</v>
      </c>
      <c r="B396" s="55"/>
      <c r="C396" s="21">
        <v>395.0</v>
      </c>
      <c r="D396" s="55"/>
      <c r="E396" s="55"/>
      <c r="F396" s="55"/>
      <c r="G396" s="21"/>
      <c r="H396" s="36"/>
      <c r="I396" s="36"/>
      <c r="J396" s="36"/>
      <c r="K396" s="36"/>
      <c r="L396" s="32"/>
      <c r="M396" s="35"/>
      <c r="N396" s="34"/>
      <c r="O396" s="34"/>
      <c r="P396" s="34"/>
      <c r="Q396" s="32"/>
      <c r="R396" s="32"/>
      <c r="S396" s="32"/>
      <c r="T396" s="32"/>
      <c r="U396" s="32"/>
      <c r="V396" s="32"/>
      <c r="W396" s="32"/>
      <c r="X396" s="32"/>
      <c r="Y396" s="32"/>
      <c r="Z396" s="18"/>
    </row>
    <row r="397">
      <c r="A397" s="19" t="str">
        <f t="shared" si="1"/>
        <v>396--- ''</v>
      </c>
      <c r="B397" s="55"/>
      <c r="C397" s="21">
        <v>396.0</v>
      </c>
      <c r="D397" s="55"/>
      <c r="E397" s="55"/>
      <c r="F397" s="55"/>
      <c r="G397" s="21"/>
      <c r="H397" s="36"/>
      <c r="I397" s="36"/>
      <c r="J397" s="36"/>
      <c r="K397" s="36"/>
      <c r="L397" s="32"/>
      <c r="M397" s="35"/>
      <c r="N397" s="34"/>
      <c r="O397" s="34"/>
      <c r="P397" s="34"/>
      <c r="Q397" s="32"/>
      <c r="R397" s="32"/>
      <c r="S397" s="32"/>
      <c r="T397" s="32"/>
      <c r="U397" s="32"/>
      <c r="V397" s="32"/>
      <c r="W397" s="32"/>
      <c r="X397" s="32"/>
      <c r="Y397" s="32"/>
      <c r="Z397" s="18"/>
    </row>
    <row r="398">
      <c r="A398" s="19" t="str">
        <f t="shared" si="1"/>
        <v>397--- ''</v>
      </c>
      <c r="B398" s="55"/>
      <c r="C398" s="21">
        <v>397.0</v>
      </c>
      <c r="D398" s="55"/>
      <c r="E398" s="55"/>
      <c r="F398" s="55"/>
      <c r="G398" s="21"/>
      <c r="H398" s="36"/>
      <c r="I398" s="36"/>
      <c r="J398" s="36"/>
      <c r="K398" s="36"/>
      <c r="L398" s="32"/>
      <c r="M398" s="35"/>
      <c r="N398" s="34"/>
      <c r="O398" s="34"/>
      <c r="P398" s="34"/>
      <c r="Q398" s="32"/>
      <c r="R398" s="32"/>
      <c r="S398" s="32"/>
      <c r="T398" s="32"/>
      <c r="U398" s="32"/>
      <c r="V398" s="32"/>
      <c r="W398" s="32"/>
      <c r="X398" s="32"/>
      <c r="Y398" s="32"/>
      <c r="Z398" s="18"/>
    </row>
    <row r="399">
      <c r="A399" s="19" t="str">
        <f t="shared" si="1"/>
        <v>398--- ''</v>
      </c>
      <c r="B399" s="55"/>
      <c r="C399" s="21">
        <v>398.0</v>
      </c>
      <c r="D399" s="55"/>
      <c r="E399" s="55"/>
      <c r="F399" s="55"/>
      <c r="G399" s="21"/>
      <c r="H399" s="36"/>
      <c r="I399" s="36"/>
      <c r="J399" s="36"/>
      <c r="K399" s="36"/>
      <c r="L399" s="32"/>
      <c r="M399" s="35"/>
      <c r="N399" s="34"/>
      <c r="O399" s="34"/>
      <c r="P399" s="34"/>
      <c r="Q399" s="32"/>
      <c r="R399" s="32"/>
      <c r="S399" s="32"/>
      <c r="T399" s="32"/>
      <c r="U399" s="32"/>
      <c r="V399" s="32"/>
      <c r="W399" s="32"/>
      <c r="X399" s="32"/>
      <c r="Y399" s="32"/>
      <c r="Z399" s="18"/>
    </row>
    <row r="400">
      <c r="A400" s="19" t="str">
        <f t="shared" si="1"/>
        <v>399--- ''</v>
      </c>
      <c r="B400" s="55"/>
      <c r="C400" s="21">
        <v>399.0</v>
      </c>
      <c r="D400" s="55"/>
      <c r="E400" s="55"/>
      <c r="F400" s="55"/>
      <c r="G400" s="21"/>
      <c r="H400" s="36"/>
      <c r="I400" s="36"/>
      <c r="J400" s="36"/>
      <c r="K400" s="36"/>
      <c r="L400" s="32"/>
      <c r="M400" s="35"/>
      <c r="N400" s="34"/>
      <c r="O400" s="34"/>
      <c r="P400" s="34"/>
      <c r="Q400" s="32"/>
      <c r="R400" s="32"/>
      <c r="S400" s="32"/>
      <c r="T400" s="32"/>
      <c r="U400" s="32"/>
      <c r="V400" s="32"/>
      <c r="W400" s="32"/>
      <c r="X400" s="32"/>
      <c r="Y400" s="32"/>
      <c r="Z400" s="18"/>
    </row>
    <row r="401">
      <c r="A401" s="19" t="str">
        <f t="shared" si="1"/>
        <v>400--- ''</v>
      </c>
      <c r="B401" s="55"/>
      <c r="C401" s="21">
        <v>400.0</v>
      </c>
      <c r="D401" s="55"/>
      <c r="E401" s="55"/>
      <c r="F401" s="55"/>
      <c r="G401" s="21"/>
      <c r="H401" s="36"/>
      <c r="I401" s="36"/>
      <c r="J401" s="36"/>
      <c r="K401" s="36"/>
      <c r="L401" s="32"/>
      <c r="M401" s="35"/>
      <c r="N401" s="34"/>
      <c r="O401" s="34"/>
      <c r="P401" s="34"/>
      <c r="Q401" s="32"/>
      <c r="R401" s="32"/>
      <c r="S401" s="32"/>
      <c r="T401" s="32"/>
      <c r="U401" s="32"/>
      <c r="V401" s="32"/>
      <c r="W401" s="32"/>
      <c r="X401" s="32"/>
      <c r="Y401" s="32"/>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7">
    <mergeCell ref="C1:G1"/>
    <mergeCell ref="H1:K1"/>
    <mergeCell ref="M1:Y1"/>
    <mergeCell ref="L2:L32"/>
    <mergeCell ref="K21:K24"/>
    <mergeCell ref="L33:L35"/>
    <mergeCell ref="L36:L4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14"/>
    <col customWidth="1" min="2" max="2" width="53.71"/>
    <col customWidth="1" min="3" max="3" width="11.14"/>
    <col customWidth="1" min="4" max="4" width="44.29"/>
    <col customWidth="1" min="5" max="5" width="11.29"/>
    <col customWidth="1" min="6" max="6" width="76.14"/>
    <col customWidth="1" min="7" max="7" width="10.71"/>
    <col customWidth="1" min="8" max="8" width="44.43"/>
    <col customWidth="1" min="9" max="9" width="11.14"/>
    <col customWidth="1" min="10" max="10" width="62.0"/>
    <col customWidth="1" min="11" max="11" width="10.57"/>
    <col customWidth="1" min="12" max="12" width="44.29"/>
    <col customWidth="1" min="13" max="13" width="11.14"/>
    <col customWidth="1" min="14" max="14" width="76.71"/>
    <col customWidth="1" min="15" max="15" width="11.29"/>
    <col customWidth="1" min="16" max="16" width="49.71"/>
    <col customWidth="1" min="17" max="17" width="11.29"/>
    <col customWidth="1" min="18" max="18" width="120.71"/>
    <col customWidth="1" min="19" max="19" width="11.0"/>
    <col customWidth="1" min="20" max="20" width="47.86"/>
    <col customWidth="1" min="21" max="21" width="11.29"/>
    <col customWidth="1" min="22" max="22" width="106.29"/>
    <col customWidth="1" min="23" max="23" width="11.0"/>
    <col customWidth="1" min="24" max="24" width="69.86"/>
    <col customWidth="1" min="25" max="25" width="10.71"/>
    <col customWidth="1" min="26" max="26" width="50.29"/>
    <col customWidth="1" min="27" max="27" width="11.29"/>
    <col customWidth="1" min="28" max="28" width="59.86"/>
    <col customWidth="1" min="29" max="29" width="11.14"/>
    <col customWidth="1" min="30" max="30" width="44.29"/>
    <col customWidth="1" min="31" max="31" width="8.86"/>
  </cols>
  <sheetData>
    <row r="1" ht="13.5" customHeight="1">
      <c r="A1" s="56"/>
      <c r="B1" s="57" t="s">
        <v>732</v>
      </c>
      <c r="C1" s="56"/>
      <c r="D1" s="57" t="s">
        <v>733</v>
      </c>
      <c r="E1" s="56"/>
      <c r="F1" s="57" t="s">
        <v>734</v>
      </c>
      <c r="G1" s="56"/>
      <c r="H1" s="57" t="s">
        <v>735</v>
      </c>
      <c r="I1" s="56"/>
      <c r="J1" s="57" t="s">
        <v>736</v>
      </c>
      <c r="K1" s="56"/>
      <c r="L1" s="57" t="s">
        <v>737</v>
      </c>
      <c r="M1" s="56"/>
      <c r="N1" s="57" t="s">
        <v>738</v>
      </c>
      <c r="O1" s="56"/>
      <c r="P1" s="57" t="s">
        <v>739</v>
      </c>
      <c r="Q1" s="56"/>
      <c r="R1" s="57" t="s">
        <v>740</v>
      </c>
      <c r="S1" s="56"/>
      <c r="T1" s="57" t="s">
        <v>741</v>
      </c>
      <c r="U1" s="56"/>
      <c r="V1" s="57" t="s">
        <v>742</v>
      </c>
      <c r="W1" s="56"/>
      <c r="X1" s="57" t="s">
        <v>743</v>
      </c>
      <c r="Y1" s="56"/>
      <c r="Z1" s="57" t="s">
        <v>744</v>
      </c>
      <c r="AA1" s="56"/>
      <c r="AB1" s="57" t="s">
        <v>745</v>
      </c>
      <c r="AC1" s="56"/>
      <c r="AD1" s="57" t="s">
        <v>746</v>
      </c>
      <c r="AE1" s="58"/>
    </row>
    <row r="2">
      <c r="A2" s="59"/>
      <c r="B2" s="60" t="s">
        <v>747</v>
      </c>
      <c r="C2" s="59"/>
      <c r="D2" s="61" t="s">
        <v>748</v>
      </c>
      <c r="E2" s="59"/>
      <c r="F2" s="60" t="s">
        <v>749</v>
      </c>
      <c r="G2" s="59"/>
      <c r="H2" s="60" t="s">
        <v>750</v>
      </c>
      <c r="I2" s="59"/>
      <c r="J2" s="62" t="s">
        <v>751</v>
      </c>
      <c r="K2" s="59"/>
      <c r="L2" s="60" t="s">
        <v>752</v>
      </c>
      <c r="M2" s="59"/>
      <c r="N2" s="60" t="s">
        <v>753</v>
      </c>
      <c r="O2" s="59"/>
      <c r="P2" s="61" t="s">
        <v>754</v>
      </c>
      <c r="Q2" s="59"/>
      <c r="R2" s="60" t="s">
        <v>755</v>
      </c>
      <c r="S2" s="59"/>
      <c r="T2" s="60" t="s">
        <v>756</v>
      </c>
      <c r="U2" s="59"/>
      <c r="V2" s="60" t="s">
        <v>757</v>
      </c>
      <c r="W2" s="59"/>
      <c r="X2" s="60" t="s">
        <v>758</v>
      </c>
      <c r="Y2" s="59"/>
      <c r="Z2" s="60" t="s">
        <v>759</v>
      </c>
      <c r="AA2" s="59"/>
      <c r="AB2" s="61" t="s">
        <v>760</v>
      </c>
      <c r="AC2" s="59"/>
      <c r="AD2" s="60" t="s">
        <v>761</v>
      </c>
      <c r="AE2" s="63"/>
    </row>
    <row r="3" ht="13.5" customHeight="1">
      <c r="A3" s="59"/>
      <c r="B3" s="64" t="s">
        <v>762</v>
      </c>
      <c r="C3" s="59"/>
      <c r="D3" s="61" t="s">
        <v>763</v>
      </c>
      <c r="E3" s="59"/>
      <c r="F3" s="62" t="s">
        <v>764</v>
      </c>
      <c r="G3" s="59"/>
      <c r="H3" s="61" t="s">
        <v>765</v>
      </c>
      <c r="I3" s="59"/>
      <c r="J3" s="60" t="s">
        <v>766</v>
      </c>
      <c r="K3" s="59"/>
      <c r="L3" s="60" t="s">
        <v>767</v>
      </c>
      <c r="M3" s="59"/>
      <c r="N3" s="60" t="s">
        <v>768</v>
      </c>
      <c r="O3" s="59"/>
      <c r="P3" s="62" t="s">
        <v>769</v>
      </c>
      <c r="Q3" s="59"/>
      <c r="R3" s="60" t="s">
        <v>770</v>
      </c>
      <c r="S3" s="59"/>
      <c r="T3" s="64" t="s">
        <v>771</v>
      </c>
      <c r="U3" s="59"/>
      <c r="V3" s="64" t="s">
        <v>772</v>
      </c>
      <c r="W3" s="59"/>
      <c r="X3" s="60" t="s">
        <v>773</v>
      </c>
      <c r="Y3" s="59"/>
      <c r="Z3" s="60" t="s">
        <v>774</v>
      </c>
      <c r="AA3" s="59"/>
      <c r="AB3" s="60" t="s">
        <v>775</v>
      </c>
      <c r="AC3" s="59"/>
      <c r="AD3" s="61" t="s">
        <v>776</v>
      </c>
      <c r="AE3" s="63"/>
    </row>
    <row r="4" ht="13.5" customHeight="1">
      <c r="A4" s="59"/>
      <c r="B4" s="64" t="s">
        <v>777</v>
      </c>
      <c r="C4" s="59"/>
      <c r="D4" s="60" t="s">
        <v>778</v>
      </c>
      <c r="E4" s="59"/>
      <c r="F4" s="61" t="s">
        <v>779</v>
      </c>
      <c r="G4" s="59"/>
      <c r="H4" s="60" t="s">
        <v>780</v>
      </c>
      <c r="I4" s="59"/>
      <c r="J4" s="62" t="s">
        <v>781</v>
      </c>
      <c r="K4" s="59"/>
      <c r="L4" s="60" t="s">
        <v>782</v>
      </c>
      <c r="M4" s="59"/>
      <c r="N4" s="60" t="s">
        <v>783</v>
      </c>
      <c r="O4" s="59"/>
      <c r="P4" s="60" t="s">
        <v>784</v>
      </c>
      <c r="Q4" s="59"/>
      <c r="R4" s="64" t="s">
        <v>785</v>
      </c>
      <c r="S4" s="59"/>
      <c r="T4" s="60" t="s">
        <v>786</v>
      </c>
      <c r="U4" s="59"/>
      <c r="V4" s="62" t="s">
        <v>787</v>
      </c>
      <c r="W4" s="59"/>
      <c r="X4" s="60" t="s">
        <v>788</v>
      </c>
      <c r="Y4" s="59"/>
      <c r="Z4" s="60" t="s">
        <v>789</v>
      </c>
      <c r="AA4" s="59"/>
      <c r="AB4" s="61" t="s">
        <v>790</v>
      </c>
      <c r="AC4" s="59"/>
      <c r="AD4" s="62" t="s">
        <v>791</v>
      </c>
      <c r="AE4" s="63"/>
    </row>
    <row r="5" ht="13.5" customHeight="1">
      <c r="A5" s="59"/>
      <c r="B5" s="60" t="s">
        <v>792</v>
      </c>
      <c r="C5" s="59"/>
      <c r="D5" s="64" t="s">
        <v>793</v>
      </c>
      <c r="E5" s="59"/>
      <c r="F5" s="60" t="s">
        <v>794</v>
      </c>
      <c r="G5" s="59"/>
      <c r="H5" s="60" t="s">
        <v>795</v>
      </c>
      <c r="I5" s="59"/>
      <c r="J5" s="60" t="s">
        <v>796</v>
      </c>
      <c r="K5" s="59"/>
      <c r="L5" s="60" t="s">
        <v>797</v>
      </c>
      <c r="M5" s="59"/>
      <c r="N5" s="60" t="s">
        <v>798</v>
      </c>
      <c r="O5" s="59"/>
      <c r="P5" s="64" t="s">
        <v>799</v>
      </c>
      <c r="Q5" s="59"/>
      <c r="R5" s="64" t="s">
        <v>800</v>
      </c>
      <c r="S5" s="59"/>
      <c r="T5" s="60" t="s">
        <v>801</v>
      </c>
      <c r="U5" s="59"/>
      <c r="V5" s="61" t="s">
        <v>802</v>
      </c>
      <c r="W5" s="59"/>
      <c r="X5" s="61" t="s">
        <v>803</v>
      </c>
      <c r="Y5" s="59"/>
      <c r="Z5" s="60" t="s">
        <v>804</v>
      </c>
      <c r="AA5" s="59"/>
      <c r="AB5" s="61" t="s">
        <v>805</v>
      </c>
      <c r="AC5" s="59"/>
      <c r="AD5" s="64" t="s">
        <v>806</v>
      </c>
      <c r="AE5" s="63"/>
    </row>
    <row r="6" ht="13.5" customHeight="1">
      <c r="A6" s="59"/>
      <c r="B6" s="64" t="s">
        <v>807</v>
      </c>
      <c r="C6" s="59"/>
      <c r="D6" s="64" t="s">
        <v>808</v>
      </c>
      <c r="E6" s="59"/>
      <c r="F6" s="64" t="s">
        <v>809</v>
      </c>
      <c r="G6" s="59"/>
      <c r="H6" s="62" t="s">
        <v>810</v>
      </c>
      <c r="I6" s="59"/>
      <c r="J6" s="60" t="s">
        <v>811</v>
      </c>
      <c r="K6" s="59"/>
      <c r="L6" s="60" t="s">
        <v>812</v>
      </c>
      <c r="M6" s="59"/>
      <c r="N6" s="64" t="s">
        <v>813</v>
      </c>
      <c r="O6" s="59"/>
      <c r="P6" s="64" t="s">
        <v>814</v>
      </c>
      <c r="Q6" s="59"/>
      <c r="R6" s="64" t="s">
        <v>815</v>
      </c>
      <c r="S6" s="59"/>
      <c r="T6" s="62" t="s">
        <v>816</v>
      </c>
      <c r="U6" s="59"/>
      <c r="V6" s="61" t="s">
        <v>817</v>
      </c>
      <c r="W6" s="59"/>
      <c r="X6" s="62" t="s">
        <v>818</v>
      </c>
      <c r="Y6" s="59"/>
      <c r="Z6" s="60" t="s">
        <v>819</v>
      </c>
      <c r="AA6" s="59"/>
      <c r="AB6" s="60" t="s">
        <v>820</v>
      </c>
      <c r="AC6" s="59"/>
      <c r="AD6" s="63"/>
      <c r="AE6" s="63"/>
    </row>
    <row r="7" ht="13.5" customHeight="1">
      <c r="A7" s="59"/>
      <c r="B7" s="60" t="s">
        <v>821</v>
      </c>
      <c r="C7" s="59"/>
      <c r="D7" s="60" t="s">
        <v>822</v>
      </c>
      <c r="E7" s="59"/>
      <c r="F7" s="64" t="s">
        <v>823</v>
      </c>
      <c r="G7" s="59"/>
      <c r="H7" s="62" t="s">
        <v>824</v>
      </c>
      <c r="I7" s="59"/>
      <c r="J7" s="60" t="s">
        <v>825</v>
      </c>
      <c r="K7" s="59"/>
      <c r="L7" s="60" t="s">
        <v>826</v>
      </c>
      <c r="M7" s="59"/>
      <c r="N7" s="60" t="s">
        <v>827</v>
      </c>
      <c r="O7" s="59"/>
      <c r="P7" s="61" t="s">
        <v>828</v>
      </c>
      <c r="Q7" s="59"/>
      <c r="R7" s="64" t="s">
        <v>829</v>
      </c>
      <c r="S7" s="59"/>
      <c r="T7" s="61" t="s">
        <v>830</v>
      </c>
      <c r="U7" s="59"/>
      <c r="V7" s="60" t="s">
        <v>831</v>
      </c>
      <c r="W7" s="59"/>
      <c r="X7" s="60" t="s">
        <v>832</v>
      </c>
      <c r="Y7" s="59"/>
      <c r="Z7" s="61" t="s">
        <v>833</v>
      </c>
      <c r="AA7" s="59"/>
      <c r="AB7" s="61" t="s">
        <v>834</v>
      </c>
      <c r="AC7" s="59"/>
      <c r="AD7" s="63"/>
      <c r="AE7" s="63"/>
    </row>
    <row r="8" ht="13.5" customHeight="1">
      <c r="A8" s="59"/>
      <c r="B8" s="64" t="s">
        <v>835</v>
      </c>
      <c r="C8" s="59"/>
      <c r="D8" s="61" t="s">
        <v>836</v>
      </c>
      <c r="E8" s="59"/>
      <c r="F8" s="62" t="s">
        <v>837</v>
      </c>
      <c r="G8" s="59"/>
      <c r="H8" s="60" t="s">
        <v>838</v>
      </c>
      <c r="I8" s="59"/>
      <c r="J8" s="62" t="s">
        <v>839</v>
      </c>
      <c r="K8" s="59"/>
      <c r="L8" s="62" t="s">
        <v>840</v>
      </c>
      <c r="M8" s="59"/>
      <c r="N8" s="64" t="s">
        <v>841</v>
      </c>
      <c r="O8" s="59"/>
      <c r="P8" s="62" t="s">
        <v>842</v>
      </c>
      <c r="Q8" s="59"/>
      <c r="R8" s="61" t="s">
        <v>843</v>
      </c>
      <c r="S8" s="59"/>
      <c r="T8" s="62" t="s">
        <v>844</v>
      </c>
      <c r="U8" s="59"/>
      <c r="V8" s="62" t="s">
        <v>845</v>
      </c>
      <c r="W8" s="59"/>
      <c r="X8" s="60" t="s">
        <v>846</v>
      </c>
      <c r="Y8" s="59"/>
      <c r="Z8" s="61" t="s">
        <v>828</v>
      </c>
      <c r="AA8" s="59"/>
      <c r="AB8" s="61" t="s">
        <v>847</v>
      </c>
      <c r="AC8" s="59"/>
      <c r="AD8" s="63"/>
      <c r="AE8" s="63"/>
    </row>
    <row r="9" ht="13.5" customHeight="1">
      <c r="A9" s="59"/>
      <c r="B9" s="64" t="s">
        <v>848</v>
      </c>
      <c r="C9" s="59"/>
      <c r="D9" s="60" t="s">
        <v>849</v>
      </c>
      <c r="E9" s="59"/>
      <c r="F9" s="62" t="s">
        <v>850</v>
      </c>
      <c r="G9" s="59"/>
      <c r="H9" s="60" t="s">
        <v>851</v>
      </c>
      <c r="I9" s="59"/>
      <c r="J9" s="60" t="s">
        <v>852</v>
      </c>
      <c r="K9" s="59"/>
      <c r="L9" s="60" t="s">
        <v>853</v>
      </c>
      <c r="M9" s="59"/>
      <c r="N9" s="64" t="s">
        <v>854</v>
      </c>
      <c r="O9" s="59"/>
      <c r="P9" s="62" t="s">
        <v>855</v>
      </c>
      <c r="Q9" s="59"/>
      <c r="R9" s="60" t="s">
        <v>856</v>
      </c>
      <c r="S9" s="59"/>
      <c r="T9" s="60" t="s">
        <v>857</v>
      </c>
      <c r="U9" s="59"/>
      <c r="V9" s="61" t="s">
        <v>858</v>
      </c>
      <c r="W9" s="59"/>
      <c r="X9" s="61" t="s">
        <v>859</v>
      </c>
      <c r="Y9" s="59"/>
      <c r="Z9" s="61" t="s">
        <v>860</v>
      </c>
      <c r="AA9" s="59"/>
      <c r="AB9" s="61" t="s">
        <v>861</v>
      </c>
      <c r="AC9" s="59"/>
      <c r="AD9" s="63"/>
      <c r="AE9" s="63"/>
    </row>
    <row r="10" ht="13.5" customHeight="1">
      <c r="A10" s="59"/>
      <c r="B10" s="64" t="s">
        <v>862</v>
      </c>
      <c r="C10" s="59"/>
      <c r="D10" s="60" t="s">
        <v>863</v>
      </c>
      <c r="E10" s="59"/>
      <c r="F10" s="60" t="s">
        <v>864</v>
      </c>
      <c r="G10" s="59"/>
      <c r="H10" s="60" t="s">
        <v>865</v>
      </c>
      <c r="I10" s="59"/>
      <c r="J10" s="62" t="s">
        <v>866</v>
      </c>
      <c r="K10" s="59"/>
      <c r="L10" s="64" t="s">
        <v>867</v>
      </c>
      <c r="M10" s="59"/>
      <c r="N10" s="60" t="s">
        <v>868</v>
      </c>
      <c r="O10" s="59"/>
      <c r="P10" s="62" t="s">
        <v>869</v>
      </c>
      <c r="Q10" s="59"/>
      <c r="R10" s="60" t="s">
        <v>870</v>
      </c>
      <c r="S10" s="59"/>
      <c r="T10" s="60" t="s">
        <v>871</v>
      </c>
      <c r="U10" s="59"/>
      <c r="V10" s="62" t="s">
        <v>872</v>
      </c>
      <c r="W10" s="59"/>
      <c r="X10" s="60" t="s">
        <v>873</v>
      </c>
      <c r="Y10" s="59"/>
      <c r="Z10" s="61" t="s">
        <v>874</v>
      </c>
      <c r="AA10" s="59"/>
      <c r="AB10" s="61" t="s">
        <v>875</v>
      </c>
      <c r="AC10" s="59"/>
      <c r="AD10" s="63"/>
      <c r="AE10" s="63"/>
    </row>
    <row r="11" ht="13.5" customHeight="1">
      <c r="A11" s="59"/>
      <c r="B11" s="64" t="s">
        <v>876</v>
      </c>
      <c r="C11" s="59"/>
      <c r="D11" s="60" t="s">
        <v>877</v>
      </c>
      <c r="E11" s="59"/>
      <c r="F11" s="60" t="s">
        <v>878</v>
      </c>
      <c r="G11" s="59"/>
      <c r="H11" s="60" t="s">
        <v>879</v>
      </c>
      <c r="I11" s="59"/>
      <c r="J11" s="60" t="s">
        <v>880</v>
      </c>
      <c r="K11" s="59"/>
      <c r="L11" s="64" t="s">
        <v>881</v>
      </c>
      <c r="M11" s="59"/>
      <c r="N11" s="62" t="s">
        <v>882</v>
      </c>
      <c r="O11" s="59"/>
      <c r="P11" s="61" t="s">
        <v>883</v>
      </c>
      <c r="Q11" s="59"/>
      <c r="R11" s="60" t="s">
        <v>884</v>
      </c>
      <c r="S11" s="59"/>
      <c r="T11" s="60" t="s">
        <v>885</v>
      </c>
      <c r="U11" s="59"/>
      <c r="V11" s="62" t="s">
        <v>886</v>
      </c>
      <c r="W11" s="59"/>
      <c r="X11" s="62" t="s">
        <v>887</v>
      </c>
      <c r="Y11" s="59"/>
      <c r="Z11" s="61" t="s">
        <v>888</v>
      </c>
      <c r="AA11" s="59"/>
      <c r="AB11" s="61" t="s">
        <v>889</v>
      </c>
      <c r="AC11" s="59"/>
      <c r="AD11" s="63"/>
      <c r="AE11" s="63"/>
    </row>
    <row r="12" ht="13.5" customHeight="1">
      <c r="A12" s="59"/>
      <c r="B12" s="64" t="s">
        <v>890</v>
      </c>
      <c r="C12" s="59"/>
      <c r="D12" s="64" t="s">
        <v>891</v>
      </c>
      <c r="E12" s="59"/>
      <c r="F12" s="60" t="s">
        <v>892</v>
      </c>
      <c r="G12" s="59"/>
      <c r="H12" s="60" t="s">
        <v>893</v>
      </c>
      <c r="I12" s="59"/>
      <c r="J12" s="60" t="s">
        <v>894</v>
      </c>
      <c r="K12" s="59"/>
      <c r="L12" s="60" t="s">
        <v>895</v>
      </c>
      <c r="M12" s="59"/>
      <c r="N12" s="62" t="s">
        <v>896</v>
      </c>
      <c r="O12" s="59"/>
      <c r="P12" s="62" t="s">
        <v>897</v>
      </c>
      <c r="Q12" s="59"/>
      <c r="R12" s="60" t="s">
        <v>898</v>
      </c>
      <c r="S12" s="59"/>
      <c r="T12" s="62" t="s">
        <v>899</v>
      </c>
      <c r="U12" s="59"/>
      <c r="V12" s="61" t="s">
        <v>900</v>
      </c>
      <c r="W12" s="59"/>
      <c r="X12" s="62" t="s">
        <v>901</v>
      </c>
      <c r="Y12" s="59"/>
      <c r="Z12" s="61" t="s">
        <v>902</v>
      </c>
      <c r="AA12" s="59"/>
      <c r="AB12" s="61" t="s">
        <v>903</v>
      </c>
      <c r="AC12" s="59"/>
      <c r="AD12" s="63"/>
      <c r="AE12" s="63"/>
    </row>
    <row r="13" ht="13.5" customHeight="1">
      <c r="A13" s="59"/>
      <c r="B13" s="62" t="s">
        <v>904</v>
      </c>
      <c r="C13" s="59"/>
      <c r="D13" s="64" t="s">
        <v>905</v>
      </c>
      <c r="E13" s="59"/>
      <c r="F13" s="60" t="s">
        <v>906</v>
      </c>
      <c r="G13" s="59"/>
      <c r="H13" s="60" t="s">
        <v>907</v>
      </c>
      <c r="I13" s="59"/>
      <c r="J13" s="64" t="s">
        <v>908</v>
      </c>
      <c r="K13" s="59"/>
      <c r="L13" s="60" t="s">
        <v>909</v>
      </c>
      <c r="M13" s="59"/>
      <c r="N13" s="62" t="s">
        <v>910</v>
      </c>
      <c r="O13" s="59"/>
      <c r="P13" s="60" t="s">
        <v>911</v>
      </c>
      <c r="Q13" s="59"/>
      <c r="R13" s="64" t="s">
        <v>912</v>
      </c>
      <c r="S13" s="59"/>
      <c r="T13" s="60" t="s">
        <v>913</v>
      </c>
      <c r="U13" s="59"/>
      <c r="V13" s="62" t="s">
        <v>914</v>
      </c>
      <c r="W13" s="59"/>
      <c r="X13" s="62" t="s">
        <v>915</v>
      </c>
      <c r="Y13" s="59"/>
      <c r="Z13" s="61" t="s">
        <v>916</v>
      </c>
      <c r="AA13" s="59"/>
      <c r="AB13" s="61" t="s">
        <v>917</v>
      </c>
      <c r="AC13" s="59"/>
      <c r="AD13" s="63"/>
      <c r="AE13" s="63"/>
    </row>
    <row r="14" ht="13.5" customHeight="1">
      <c r="A14" s="59"/>
      <c r="B14" s="62" t="s">
        <v>918</v>
      </c>
      <c r="C14" s="59"/>
      <c r="D14" s="64" t="s">
        <v>919</v>
      </c>
      <c r="E14" s="59"/>
      <c r="F14" s="60" t="s">
        <v>920</v>
      </c>
      <c r="G14" s="59"/>
      <c r="H14" s="61" t="s">
        <v>921</v>
      </c>
      <c r="I14" s="59"/>
      <c r="J14" s="64" t="s">
        <v>922</v>
      </c>
      <c r="K14" s="59"/>
      <c r="L14" s="60" t="s">
        <v>923</v>
      </c>
      <c r="M14" s="59"/>
      <c r="N14" s="62" t="s">
        <v>924</v>
      </c>
      <c r="O14" s="59"/>
      <c r="P14" s="62" t="s">
        <v>810</v>
      </c>
      <c r="Q14" s="59"/>
      <c r="R14" s="64" t="s">
        <v>925</v>
      </c>
      <c r="S14" s="59"/>
      <c r="T14" s="60" t="s">
        <v>926</v>
      </c>
      <c r="U14" s="59"/>
      <c r="V14" s="62" t="s">
        <v>927</v>
      </c>
      <c r="W14" s="59"/>
      <c r="X14" s="62" t="s">
        <v>928</v>
      </c>
      <c r="Y14" s="59"/>
      <c r="Z14" s="61" t="s">
        <v>929</v>
      </c>
      <c r="AA14" s="59"/>
      <c r="AB14" s="61" t="s">
        <v>930</v>
      </c>
      <c r="AC14" s="59"/>
      <c r="AD14" s="63"/>
      <c r="AE14" s="63"/>
    </row>
    <row r="15" ht="13.5" customHeight="1">
      <c r="A15" s="59"/>
      <c r="B15" s="60" t="s">
        <v>931</v>
      </c>
      <c r="C15" s="59"/>
      <c r="D15" s="64" t="s">
        <v>932</v>
      </c>
      <c r="E15" s="59"/>
      <c r="F15" s="61" t="s">
        <v>933</v>
      </c>
      <c r="G15" s="59"/>
      <c r="H15" s="60" t="s">
        <v>934</v>
      </c>
      <c r="I15" s="59"/>
      <c r="J15" s="64" t="s">
        <v>935</v>
      </c>
      <c r="K15" s="59"/>
      <c r="L15" s="64" t="s">
        <v>936</v>
      </c>
      <c r="M15" s="59"/>
      <c r="N15" s="62" t="s">
        <v>937</v>
      </c>
      <c r="O15" s="59"/>
      <c r="P15" s="62" t="s">
        <v>824</v>
      </c>
      <c r="Q15" s="59"/>
      <c r="R15" s="60" t="s">
        <v>938</v>
      </c>
      <c r="S15" s="59"/>
      <c r="T15" s="61" t="s">
        <v>939</v>
      </c>
      <c r="U15" s="59"/>
      <c r="V15" s="62" t="s">
        <v>940</v>
      </c>
      <c r="W15" s="59"/>
      <c r="X15" s="62" t="s">
        <v>941</v>
      </c>
      <c r="Y15" s="59"/>
      <c r="Z15" s="60" t="s">
        <v>942</v>
      </c>
      <c r="AA15" s="59"/>
      <c r="AB15" s="61" t="s">
        <v>943</v>
      </c>
      <c r="AC15" s="59"/>
      <c r="AD15" s="63"/>
      <c r="AE15" s="63"/>
    </row>
    <row r="16" ht="13.5" customHeight="1">
      <c r="A16" s="59"/>
      <c r="B16" s="60" t="s">
        <v>944</v>
      </c>
      <c r="C16" s="59"/>
      <c r="D16" s="64" t="s">
        <v>945</v>
      </c>
      <c r="E16" s="59"/>
      <c r="F16" s="60" t="s">
        <v>946</v>
      </c>
      <c r="G16" s="59"/>
      <c r="H16" s="63"/>
      <c r="I16" s="59"/>
      <c r="J16" s="64" t="s">
        <v>947</v>
      </c>
      <c r="K16" s="59"/>
      <c r="L16" s="64" t="s">
        <v>948</v>
      </c>
      <c r="M16" s="59"/>
      <c r="N16" s="62" t="s">
        <v>949</v>
      </c>
      <c r="O16" s="59"/>
      <c r="P16" s="60" t="s">
        <v>950</v>
      </c>
      <c r="Q16" s="59"/>
      <c r="R16" s="60" t="s">
        <v>951</v>
      </c>
      <c r="S16" s="59"/>
      <c r="T16" s="60" t="s">
        <v>952</v>
      </c>
      <c r="U16" s="59"/>
      <c r="V16" s="62" t="s">
        <v>953</v>
      </c>
      <c r="W16" s="59"/>
      <c r="X16" s="61" t="s">
        <v>954</v>
      </c>
      <c r="Y16" s="59"/>
      <c r="Z16" s="61" t="s">
        <v>955</v>
      </c>
      <c r="AA16" s="59"/>
      <c r="AB16" s="61" t="s">
        <v>956</v>
      </c>
      <c r="AC16" s="59"/>
      <c r="AD16" s="63"/>
      <c r="AE16" s="63"/>
    </row>
    <row r="17" ht="13.5" customHeight="1">
      <c r="A17" s="59"/>
      <c r="B17" s="64" t="s">
        <v>957</v>
      </c>
      <c r="C17" s="59"/>
      <c r="D17" s="61" t="s">
        <v>958</v>
      </c>
      <c r="E17" s="59"/>
      <c r="F17" s="61" t="s">
        <v>959</v>
      </c>
      <c r="G17" s="59"/>
      <c r="H17" s="63"/>
      <c r="I17" s="59"/>
      <c r="J17" s="64" t="s">
        <v>960</v>
      </c>
      <c r="K17" s="59"/>
      <c r="L17" s="64" t="s">
        <v>961</v>
      </c>
      <c r="M17" s="59"/>
      <c r="N17" s="62" t="s">
        <v>962</v>
      </c>
      <c r="O17" s="59"/>
      <c r="P17" s="64" t="s">
        <v>963</v>
      </c>
      <c r="Q17" s="59"/>
      <c r="R17" s="60" t="s">
        <v>964</v>
      </c>
      <c r="S17" s="59"/>
      <c r="T17" s="61" t="s">
        <v>965</v>
      </c>
      <c r="U17" s="59"/>
      <c r="V17" s="62" t="s">
        <v>966</v>
      </c>
      <c r="W17" s="59"/>
      <c r="X17" s="60" t="s">
        <v>967</v>
      </c>
      <c r="Y17" s="59"/>
      <c r="Z17" s="61" t="s">
        <v>968</v>
      </c>
      <c r="AA17" s="59"/>
      <c r="AB17" s="61" t="s">
        <v>969</v>
      </c>
      <c r="AC17" s="59"/>
      <c r="AD17" s="63"/>
      <c r="AE17" s="63"/>
    </row>
    <row r="18" ht="13.5" customHeight="1">
      <c r="A18" s="59"/>
      <c r="B18" s="64" t="s">
        <v>970</v>
      </c>
      <c r="C18" s="59"/>
      <c r="D18" s="60" t="s">
        <v>971</v>
      </c>
      <c r="E18" s="59"/>
      <c r="F18" s="60" t="s">
        <v>972</v>
      </c>
      <c r="G18" s="59"/>
      <c r="H18" s="63"/>
      <c r="I18" s="59"/>
      <c r="J18" s="60" t="s">
        <v>973</v>
      </c>
      <c r="K18" s="59"/>
      <c r="L18" s="62" t="s">
        <v>974</v>
      </c>
      <c r="M18" s="59"/>
      <c r="N18" s="62" t="s">
        <v>975</v>
      </c>
      <c r="O18" s="59"/>
      <c r="P18" s="64" t="s">
        <v>976</v>
      </c>
      <c r="Q18" s="59"/>
      <c r="R18" s="64" t="s">
        <v>977</v>
      </c>
      <c r="S18" s="59"/>
      <c r="T18" s="60" t="s">
        <v>978</v>
      </c>
      <c r="U18" s="59"/>
      <c r="V18" s="61" t="s">
        <v>979</v>
      </c>
      <c r="W18" s="59"/>
      <c r="X18" s="64" t="s">
        <v>980</v>
      </c>
      <c r="Y18" s="59"/>
      <c r="Z18" s="61" t="s">
        <v>981</v>
      </c>
      <c r="AA18" s="59"/>
      <c r="AB18" s="61" t="s">
        <v>982</v>
      </c>
      <c r="AC18" s="59"/>
      <c r="AD18" s="63"/>
      <c r="AE18" s="63"/>
    </row>
    <row r="19" ht="13.5" customHeight="1">
      <c r="A19" s="59"/>
      <c r="B19" s="64" t="s">
        <v>983</v>
      </c>
      <c r="C19" s="59"/>
      <c r="D19" s="60" t="s">
        <v>984</v>
      </c>
      <c r="E19" s="59"/>
      <c r="F19" s="64" t="s">
        <v>985</v>
      </c>
      <c r="G19" s="59"/>
      <c r="H19" s="63"/>
      <c r="I19" s="59"/>
      <c r="J19" s="60" t="s">
        <v>986</v>
      </c>
      <c r="K19" s="59"/>
      <c r="L19" s="60" t="s">
        <v>987</v>
      </c>
      <c r="M19" s="59"/>
      <c r="N19" s="62" t="s">
        <v>988</v>
      </c>
      <c r="O19" s="59"/>
      <c r="P19" s="62" t="s">
        <v>988</v>
      </c>
      <c r="Q19" s="59"/>
      <c r="R19" s="64" t="s">
        <v>989</v>
      </c>
      <c r="S19" s="59"/>
      <c r="T19" s="60" t="s">
        <v>990</v>
      </c>
      <c r="U19" s="59"/>
      <c r="V19" s="60" t="s">
        <v>991</v>
      </c>
      <c r="W19" s="59"/>
      <c r="X19" s="62" t="s">
        <v>992</v>
      </c>
      <c r="Y19" s="59"/>
      <c r="Z19" s="60" t="s">
        <v>993</v>
      </c>
      <c r="AA19" s="59"/>
      <c r="AB19" s="61" t="s">
        <v>994</v>
      </c>
      <c r="AC19" s="59"/>
      <c r="AD19" s="63"/>
      <c r="AE19" s="63"/>
    </row>
    <row r="20" ht="13.5" customHeight="1">
      <c r="A20" s="59"/>
      <c r="B20" s="64" t="s">
        <v>995</v>
      </c>
      <c r="C20" s="59"/>
      <c r="D20" s="64" t="s">
        <v>996</v>
      </c>
      <c r="E20" s="59"/>
      <c r="F20" s="62" t="s">
        <v>997</v>
      </c>
      <c r="G20" s="59"/>
      <c r="H20" s="63"/>
      <c r="I20" s="59"/>
      <c r="J20" s="60" t="s">
        <v>998</v>
      </c>
      <c r="K20" s="59"/>
      <c r="L20" s="60" t="s">
        <v>999</v>
      </c>
      <c r="M20" s="59"/>
      <c r="N20" s="62" t="s">
        <v>1000</v>
      </c>
      <c r="O20" s="59"/>
      <c r="P20" s="62" t="s">
        <v>1000</v>
      </c>
      <c r="Q20" s="59"/>
      <c r="R20" s="61" t="s">
        <v>1001</v>
      </c>
      <c r="S20" s="59"/>
      <c r="T20" s="62" t="s">
        <v>1002</v>
      </c>
      <c r="U20" s="59"/>
      <c r="V20" s="61" t="s">
        <v>1003</v>
      </c>
      <c r="W20" s="59"/>
      <c r="X20" s="61" t="s">
        <v>1004</v>
      </c>
      <c r="Y20" s="59"/>
      <c r="Z20" s="63"/>
      <c r="AA20" s="59"/>
      <c r="AB20" s="60" t="s">
        <v>1005</v>
      </c>
      <c r="AC20" s="59"/>
      <c r="AD20" s="63"/>
      <c r="AE20" s="63"/>
    </row>
    <row r="21" ht="13.5" customHeight="1">
      <c r="A21" s="59"/>
      <c r="B21" s="60" t="s">
        <v>1006</v>
      </c>
      <c r="C21" s="59"/>
      <c r="D21" s="64" t="s">
        <v>1007</v>
      </c>
      <c r="E21" s="59"/>
      <c r="F21" s="62" t="s">
        <v>1008</v>
      </c>
      <c r="G21" s="59"/>
      <c r="H21" s="63"/>
      <c r="I21" s="59"/>
      <c r="J21" s="60" t="s">
        <v>1009</v>
      </c>
      <c r="K21" s="59"/>
      <c r="L21" s="62" t="s">
        <v>1010</v>
      </c>
      <c r="M21" s="59"/>
      <c r="N21" s="62" t="s">
        <v>1011</v>
      </c>
      <c r="O21" s="59"/>
      <c r="P21" s="62" t="s">
        <v>1012</v>
      </c>
      <c r="Q21" s="59"/>
      <c r="R21" s="62" t="s">
        <v>1013</v>
      </c>
      <c r="S21" s="59"/>
      <c r="T21" s="62" t="s">
        <v>1014</v>
      </c>
      <c r="U21" s="59"/>
      <c r="V21" s="62" t="s">
        <v>1015</v>
      </c>
      <c r="W21" s="59"/>
      <c r="X21" s="60" t="s">
        <v>1016</v>
      </c>
      <c r="Y21" s="59"/>
      <c r="Z21" s="63"/>
      <c r="AA21" s="59"/>
      <c r="AB21" s="60" t="s">
        <v>1017</v>
      </c>
      <c r="AC21" s="59"/>
      <c r="AD21" s="63"/>
      <c r="AE21" s="63"/>
    </row>
    <row r="22" ht="13.5" customHeight="1">
      <c r="A22" s="59"/>
      <c r="B22" s="64" t="s">
        <v>1018</v>
      </c>
      <c r="C22" s="59"/>
      <c r="D22" s="62" t="s">
        <v>1019</v>
      </c>
      <c r="E22" s="59"/>
      <c r="F22" s="62" t="s">
        <v>1020</v>
      </c>
      <c r="G22" s="59"/>
      <c r="H22" s="63"/>
      <c r="I22" s="59"/>
      <c r="J22" s="65" t="s">
        <v>1021</v>
      </c>
      <c r="K22" s="59"/>
      <c r="L22" s="62" t="s">
        <v>1022</v>
      </c>
      <c r="M22" s="59"/>
      <c r="N22" s="62" t="s">
        <v>1023</v>
      </c>
      <c r="O22" s="59"/>
      <c r="P22" s="62" t="s">
        <v>1024</v>
      </c>
      <c r="Q22" s="59"/>
      <c r="R22" s="62" t="s">
        <v>1025</v>
      </c>
      <c r="S22" s="59"/>
      <c r="T22" s="60" t="s">
        <v>1026</v>
      </c>
      <c r="U22" s="59"/>
      <c r="V22" s="62" t="s">
        <v>1027</v>
      </c>
      <c r="W22" s="59"/>
      <c r="X22" s="61" t="s">
        <v>1028</v>
      </c>
      <c r="Y22" s="59"/>
      <c r="Z22" s="63"/>
      <c r="AA22" s="59"/>
      <c r="AB22" s="61" t="s">
        <v>1029</v>
      </c>
      <c r="AC22" s="59"/>
      <c r="AD22" s="63"/>
      <c r="AE22" s="63"/>
    </row>
    <row r="23" ht="13.5" customHeight="1">
      <c r="A23" s="59"/>
      <c r="B23" s="64" t="s">
        <v>1030</v>
      </c>
      <c r="C23" s="59"/>
      <c r="D23" s="62" t="s">
        <v>1031</v>
      </c>
      <c r="E23" s="59"/>
      <c r="F23" s="61" t="s">
        <v>1032</v>
      </c>
      <c r="G23" s="59"/>
      <c r="H23" s="63"/>
      <c r="I23" s="59"/>
      <c r="J23" s="62" t="s">
        <v>1033</v>
      </c>
      <c r="K23" s="59"/>
      <c r="L23" s="62" t="s">
        <v>1034</v>
      </c>
      <c r="M23" s="59"/>
      <c r="N23" s="62" t="s">
        <v>897</v>
      </c>
      <c r="O23" s="59"/>
      <c r="P23" s="60" t="s">
        <v>1035</v>
      </c>
      <c r="Q23" s="59"/>
      <c r="R23" s="60" t="s">
        <v>1036</v>
      </c>
      <c r="S23" s="59"/>
      <c r="T23" s="60" t="s">
        <v>1037</v>
      </c>
      <c r="U23" s="59"/>
      <c r="V23" s="62" t="s">
        <v>1038</v>
      </c>
      <c r="W23" s="59"/>
      <c r="X23" s="60" t="s">
        <v>1039</v>
      </c>
      <c r="Y23" s="59"/>
      <c r="Z23" s="63"/>
      <c r="AA23" s="59"/>
      <c r="AB23" s="61" t="s">
        <v>1040</v>
      </c>
      <c r="AC23" s="59"/>
      <c r="AD23" s="63"/>
      <c r="AE23" s="63"/>
    </row>
    <row r="24" ht="13.5" customHeight="1">
      <c r="A24" s="59"/>
      <c r="B24" s="62" t="s">
        <v>1041</v>
      </c>
      <c r="C24" s="59"/>
      <c r="D24" s="62" t="s">
        <v>1042</v>
      </c>
      <c r="E24" s="59"/>
      <c r="F24" s="62" t="s">
        <v>1043</v>
      </c>
      <c r="G24" s="59"/>
      <c r="H24" s="63"/>
      <c r="I24" s="59"/>
      <c r="J24" s="60" t="s">
        <v>1044</v>
      </c>
      <c r="K24" s="59"/>
      <c r="L24" s="62" t="s">
        <v>1045</v>
      </c>
      <c r="M24" s="59"/>
      <c r="N24" s="62" t="s">
        <v>1046</v>
      </c>
      <c r="O24" s="59"/>
      <c r="P24" s="64" t="s">
        <v>1047</v>
      </c>
      <c r="Q24" s="59"/>
      <c r="R24" s="64" t="s">
        <v>1048</v>
      </c>
      <c r="S24" s="59"/>
      <c r="T24" s="64" t="s">
        <v>1049</v>
      </c>
      <c r="U24" s="59"/>
      <c r="V24" s="62" t="s">
        <v>1050</v>
      </c>
      <c r="W24" s="59"/>
      <c r="X24" s="61" t="s">
        <v>1051</v>
      </c>
      <c r="Y24" s="59"/>
      <c r="Z24" s="63"/>
      <c r="AA24" s="59"/>
      <c r="AB24" s="61" t="s">
        <v>1052</v>
      </c>
      <c r="AC24" s="59"/>
      <c r="AD24" s="63"/>
      <c r="AE24" s="63"/>
    </row>
    <row r="25" ht="13.5" customHeight="1">
      <c r="A25" s="59"/>
      <c r="B25" s="60" t="s">
        <v>1053</v>
      </c>
      <c r="C25" s="59"/>
      <c r="D25" s="60" t="s">
        <v>1054</v>
      </c>
      <c r="E25" s="59"/>
      <c r="F25" s="62" t="s">
        <v>1055</v>
      </c>
      <c r="G25" s="59"/>
      <c r="H25" s="63"/>
      <c r="I25" s="59"/>
      <c r="J25" s="64" t="s">
        <v>1056</v>
      </c>
      <c r="K25" s="59"/>
      <c r="L25" s="63"/>
      <c r="M25" s="59"/>
      <c r="N25" s="60" t="s">
        <v>1057</v>
      </c>
      <c r="O25" s="59"/>
      <c r="P25" s="64" t="s">
        <v>1058</v>
      </c>
      <c r="Q25" s="59"/>
      <c r="R25" s="64" t="s">
        <v>1059</v>
      </c>
      <c r="S25" s="59"/>
      <c r="T25" s="64" t="s">
        <v>1060</v>
      </c>
      <c r="U25" s="59"/>
      <c r="V25" s="62" t="s">
        <v>1061</v>
      </c>
      <c r="W25" s="59"/>
      <c r="X25" s="60" t="s">
        <v>1062</v>
      </c>
      <c r="Y25" s="59"/>
      <c r="Z25" s="63"/>
      <c r="AA25" s="59"/>
      <c r="AB25" s="61" t="s">
        <v>1063</v>
      </c>
      <c r="AC25" s="59"/>
      <c r="AD25" s="63"/>
      <c r="AE25" s="63"/>
    </row>
    <row r="26" ht="13.5" customHeight="1">
      <c r="A26" s="59"/>
      <c r="B26" s="62" t="s">
        <v>1064</v>
      </c>
      <c r="C26" s="59"/>
      <c r="D26" s="64" t="s">
        <v>1065</v>
      </c>
      <c r="E26" s="59"/>
      <c r="F26" s="62" t="s">
        <v>1066</v>
      </c>
      <c r="G26" s="59"/>
      <c r="H26" s="63"/>
      <c r="I26" s="59"/>
      <c r="J26" s="64" t="s">
        <v>1067</v>
      </c>
      <c r="K26" s="59"/>
      <c r="L26" s="63"/>
      <c r="M26" s="59"/>
      <c r="N26" s="62" t="s">
        <v>1068</v>
      </c>
      <c r="O26" s="59"/>
      <c r="P26" s="60" t="s">
        <v>1069</v>
      </c>
      <c r="Q26" s="59"/>
      <c r="R26" s="64" t="s">
        <v>1070</v>
      </c>
      <c r="S26" s="59"/>
      <c r="T26" s="60" t="s">
        <v>934</v>
      </c>
      <c r="U26" s="59"/>
      <c r="V26" s="62" t="s">
        <v>1071</v>
      </c>
      <c r="W26" s="59"/>
      <c r="X26" s="64" t="s">
        <v>1072</v>
      </c>
      <c r="Y26" s="59"/>
      <c r="Z26" s="63"/>
      <c r="AA26" s="59"/>
      <c r="AB26" s="61" t="s">
        <v>1073</v>
      </c>
      <c r="AC26" s="59"/>
      <c r="AD26" s="63"/>
      <c r="AE26" s="63"/>
    </row>
    <row r="27" ht="13.5" customHeight="1">
      <c r="A27" s="59"/>
      <c r="B27" s="62" t="s">
        <v>1074</v>
      </c>
      <c r="C27" s="59"/>
      <c r="D27" s="60" t="s">
        <v>1075</v>
      </c>
      <c r="E27" s="59"/>
      <c r="F27" s="62" t="s">
        <v>1076</v>
      </c>
      <c r="G27" s="59"/>
      <c r="H27" s="63"/>
      <c r="I27" s="59"/>
      <c r="J27" s="64" t="s">
        <v>1077</v>
      </c>
      <c r="K27" s="59"/>
      <c r="L27" s="63"/>
      <c r="M27" s="59"/>
      <c r="N27" s="62" t="s">
        <v>1078</v>
      </c>
      <c r="O27" s="59"/>
      <c r="P27" s="60" t="s">
        <v>1079</v>
      </c>
      <c r="Q27" s="59"/>
      <c r="R27" s="64" t="s">
        <v>1080</v>
      </c>
      <c r="S27" s="59"/>
      <c r="T27" s="60" t="s">
        <v>1081</v>
      </c>
      <c r="U27" s="59"/>
      <c r="V27" s="62" t="s">
        <v>1082</v>
      </c>
      <c r="W27" s="59"/>
      <c r="X27" s="60" t="s">
        <v>1083</v>
      </c>
      <c r="Y27" s="59"/>
      <c r="Z27" s="63"/>
      <c r="AA27" s="59"/>
      <c r="AB27" s="61" t="s">
        <v>1084</v>
      </c>
      <c r="AC27" s="59"/>
      <c r="AD27" s="63"/>
      <c r="AE27" s="63"/>
    </row>
    <row r="28" ht="13.5" customHeight="1">
      <c r="A28" s="59"/>
      <c r="B28" s="60" t="s">
        <v>1085</v>
      </c>
      <c r="C28" s="59"/>
      <c r="D28" s="61" t="s">
        <v>1086</v>
      </c>
      <c r="E28" s="59"/>
      <c r="F28" s="60" t="s">
        <v>1087</v>
      </c>
      <c r="G28" s="59"/>
      <c r="H28" s="63"/>
      <c r="I28" s="59"/>
      <c r="J28" s="64" t="s">
        <v>1088</v>
      </c>
      <c r="K28" s="59"/>
      <c r="L28" s="63"/>
      <c r="M28" s="59"/>
      <c r="N28" s="62" t="s">
        <v>1089</v>
      </c>
      <c r="O28" s="59"/>
      <c r="P28" s="61" t="s">
        <v>1090</v>
      </c>
      <c r="Q28" s="59"/>
      <c r="R28" s="62" t="s">
        <v>1091</v>
      </c>
      <c r="S28" s="59"/>
      <c r="T28" s="64" t="s">
        <v>1092</v>
      </c>
      <c r="U28" s="59"/>
      <c r="V28" s="61" t="s">
        <v>1093</v>
      </c>
      <c r="W28" s="59"/>
      <c r="X28" s="64" t="s">
        <v>1094</v>
      </c>
      <c r="Y28" s="59"/>
      <c r="Z28" s="63"/>
      <c r="AA28" s="59"/>
      <c r="AB28" s="60" t="s">
        <v>1095</v>
      </c>
      <c r="AC28" s="59"/>
      <c r="AD28" s="63"/>
      <c r="AE28" s="63"/>
    </row>
    <row r="29" ht="13.5" customHeight="1">
      <c r="A29" s="59"/>
      <c r="B29" s="62" t="s">
        <v>1096</v>
      </c>
      <c r="C29" s="59"/>
      <c r="D29" s="61" t="s">
        <v>1097</v>
      </c>
      <c r="E29" s="59"/>
      <c r="F29" s="64" t="s">
        <v>1098</v>
      </c>
      <c r="G29" s="59"/>
      <c r="H29" s="63"/>
      <c r="I29" s="59"/>
      <c r="J29" s="62" t="s">
        <v>1099</v>
      </c>
      <c r="K29" s="59"/>
      <c r="L29" s="63"/>
      <c r="M29" s="59"/>
      <c r="N29" s="62" t="s">
        <v>1100</v>
      </c>
      <c r="O29" s="59"/>
      <c r="P29" s="60" t="s">
        <v>1101</v>
      </c>
      <c r="Q29" s="59"/>
      <c r="R29" s="62" t="s">
        <v>1102</v>
      </c>
      <c r="S29" s="59"/>
      <c r="T29" s="60" t="s">
        <v>1103</v>
      </c>
      <c r="U29" s="59"/>
      <c r="V29" s="61" t="s">
        <v>1104</v>
      </c>
      <c r="W29" s="59"/>
      <c r="X29" s="64" t="s">
        <v>1105</v>
      </c>
      <c r="Y29" s="59"/>
      <c r="Z29" s="63"/>
      <c r="AA29" s="59"/>
      <c r="AB29" s="64" t="s">
        <v>1106</v>
      </c>
      <c r="AC29" s="59"/>
      <c r="AD29" s="63"/>
      <c r="AE29" s="63"/>
    </row>
    <row r="30" ht="13.5" customHeight="1">
      <c r="A30" s="59"/>
      <c r="B30" s="61" t="s">
        <v>1107</v>
      </c>
      <c r="C30" s="59"/>
      <c r="D30" s="62" t="s">
        <v>1108</v>
      </c>
      <c r="E30" s="59"/>
      <c r="F30" s="64" t="s">
        <v>1109</v>
      </c>
      <c r="G30" s="59"/>
      <c r="H30" s="63"/>
      <c r="I30" s="59"/>
      <c r="J30" s="62" t="s">
        <v>1110</v>
      </c>
      <c r="K30" s="59"/>
      <c r="L30" s="63"/>
      <c r="M30" s="59"/>
      <c r="N30" s="62" t="s">
        <v>1111</v>
      </c>
      <c r="O30" s="59"/>
      <c r="P30" s="60" t="s">
        <v>1112</v>
      </c>
      <c r="Q30" s="59"/>
      <c r="R30" s="60" t="s">
        <v>1113</v>
      </c>
      <c r="S30" s="59"/>
      <c r="T30" s="62" t="s">
        <v>1114</v>
      </c>
      <c r="U30" s="59"/>
      <c r="V30" s="62" t="s">
        <v>1115</v>
      </c>
      <c r="W30" s="59"/>
      <c r="X30" s="62" t="s">
        <v>1116</v>
      </c>
      <c r="Y30" s="59"/>
      <c r="Z30" s="63"/>
      <c r="AA30" s="59"/>
      <c r="AB30" s="64" t="s">
        <v>1117</v>
      </c>
      <c r="AC30" s="59"/>
      <c r="AD30" s="63"/>
      <c r="AE30" s="63"/>
    </row>
    <row r="31" ht="13.5" customHeight="1">
      <c r="A31" s="59"/>
      <c r="B31" s="60" t="s">
        <v>1118</v>
      </c>
      <c r="C31" s="59"/>
      <c r="D31" s="60" t="s">
        <v>1119</v>
      </c>
      <c r="E31" s="59"/>
      <c r="F31" s="62" t="s">
        <v>1120</v>
      </c>
      <c r="G31" s="59"/>
      <c r="H31" s="63"/>
      <c r="I31" s="59"/>
      <c r="J31" s="62" t="s">
        <v>1121</v>
      </c>
      <c r="K31" s="59"/>
      <c r="L31" s="63"/>
      <c r="M31" s="59"/>
      <c r="N31" s="62" t="s">
        <v>1122</v>
      </c>
      <c r="O31" s="59"/>
      <c r="P31" s="60" t="s">
        <v>1123</v>
      </c>
      <c r="Q31" s="59"/>
      <c r="R31" s="61" t="s">
        <v>1124</v>
      </c>
      <c r="S31" s="59"/>
      <c r="T31" s="62" t="s">
        <v>1125</v>
      </c>
      <c r="U31" s="59"/>
      <c r="V31" s="62" t="s">
        <v>1126</v>
      </c>
      <c r="W31" s="59"/>
      <c r="X31" s="62" t="s">
        <v>1127</v>
      </c>
      <c r="Y31" s="59"/>
      <c r="Z31" s="63"/>
      <c r="AA31" s="59"/>
      <c r="AB31" s="61" t="s">
        <v>1128</v>
      </c>
      <c r="AC31" s="59"/>
      <c r="AD31" s="63"/>
      <c r="AE31" s="63"/>
    </row>
    <row r="32" ht="13.5" customHeight="1">
      <c r="A32" s="59"/>
      <c r="B32" s="60" t="s">
        <v>1129</v>
      </c>
      <c r="C32" s="59"/>
      <c r="D32" s="64" t="s">
        <v>1130</v>
      </c>
      <c r="E32" s="59"/>
      <c r="F32" s="60" t="s">
        <v>1131</v>
      </c>
      <c r="G32" s="59"/>
      <c r="H32" s="63"/>
      <c r="I32" s="59"/>
      <c r="J32" s="60" t="s">
        <v>1132</v>
      </c>
      <c r="K32" s="59"/>
      <c r="L32" s="63"/>
      <c r="M32" s="59"/>
      <c r="N32" s="62" t="s">
        <v>914</v>
      </c>
      <c r="O32" s="59"/>
      <c r="P32" s="64" t="s">
        <v>1133</v>
      </c>
      <c r="Q32" s="59"/>
      <c r="R32" s="63"/>
      <c r="S32" s="59"/>
      <c r="T32" s="62" t="s">
        <v>1134</v>
      </c>
      <c r="U32" s="59"/>
      <c r="V32" s="61" t="s">
        <v>1135</v>
      </c>
      <c r="W32" s="59"/>
      <c r="X32" s="62" t="s">
        <v>1136</v>
      </c>
      <c r="Y32" s="59"/>
      <c r="Z32" s="63"/>
      <c r="AA32" s="59"/>
      <c r="AB32" s="61" t="s">
        <v>1137</v>
      </c>
      <c r="AC32" s="59"/>
      <c r="AD32" s="63"/>
      <c r="AE32" s="63"/>
    </row>
    <row r="33" ht="13.5" customHeight="1">
      <c r="A33" s="59"/>
      <c r="B33" s="64" t="s">
        <v>1138</v>
      </c>
      <c r="C33" s="59"/>
      <c r="D33" s="60" t="s">
        <v>1139</v>
      </c>
      <c r="E33" s="59"/>
      <c r="F33" s="62" t="s">
        <v>1140</v>
      </c>
      <c r="G33" s="59"/>
      <c r="H33" s="63"/>
      <c r="I33" s="59"/>
      <c r="J33" s="60" t="s">
        <v>1141</v>
      </c>
      <c r="K33" s="59"/>
      <c r="L33" s="63"/>
      <c r="M33" s="59"/>
      <c r="N33" s="62" t="s">
        <v>869</v>
      </c>
      <c r="O33" s="59"/>
      <c r="P33" s="60" t="s">
        <v>1142</v>
      </c>
      <c r="Q33" s="59"/>
      <c r="R33" s="63"/>
      <c r="S33" s="59"/>
      <c r="T33" s="62" t="s">
        <v>1143</v>
      </c>
      <c r="U33" s="59"/>
      <c r="V33" s="63"/>
      <c r="W33" s="59"/>
      <c r="X33" s="62" t="s">
        <v>1144</v>
      </c>
      <c r="Y33" s="59"/>
      <c r="Z33" s="63"/>
      <c r="AA33" s="59"/>
      <c r="AB33" s="61" t="s">
        <v>1145</v>
      </c>
      <c r="AC33" s="59"/>
      <c r="AD33" s="63"/>
      <c r="AE33" s="63"/>
    </row>
    <row r="34" ht="13.5" customHeight="1">
      <c r="A34" s="59"/>
      <c r="B34" s="64" t="s">
        <v>1146</v>
      </c>
      <c r="C34" s="59"/>
      <c r="D34" s="60" t="s">
        <v>1147</v>
      </c>
      <c r="E34" s="59"/>
      <c r="F34" s="62" t="s">
        <v>1148</v>
      </c>
      <c r="G34" s="59"/>
      <c r="H34" s="63"/>
      <c r="I34" s="59"/>
      <c r="J34" s="62" t="s">
        <v>1149</v>
      </c>
      <c r="K34" s="59"/>
      <c r="L34" s="63"/>
      <c r="M34" s="59"/>
      <c r="N34" s="60" t="s">
        <v>1150</v>
      </c>
      <c r="O34" s="59"/>
      <c r="P34" s="60" t="s">
        <v>1151</v>
      </c>
      <c r="Q34" s="59"/>
      <c r="R34" s="63"/>
      <c r="S34" s="59"/>
      <c r="T34" s="62" t="s">
        <v>1152</v>
      </c>
      <c r="U34" s="59"/>
      <c r="V34" s="63"/>
      <c r="W34" s="59"/>
      <c r="X34" s="62" t="s">
        <v>1153</v>
      </c>
      <c r="Y34" s="59"/>
      <c r="Z34" s="63"/>
      <c r="AA34" s="59"/>
      <c r="AB34" s="60" t="s">
        <v>1154</v>
      </c>
      <c r="AC34" s="59"/>
      <c r="AD34" s="63"/>
      <c r="AE34" s="63"/>
    </row>
    <row r="35" ht="13.5" customHeight="1">
      <c r="A35" s="59"/>
      <c r="B35" s="60" t="s">
        <v>1155</v>
      </c>
      <c r="C35" s="59"/>
      <c r="D35" s="61" t="s">
        <v>1156</v>
      </c>
      <c r="E35" s="59"/>
      <c r="F35" s="60" t="s">
        <v>1157</v>
      </c>
      <c r="G35" s="59"/>
      <c r="H35" s="63"/>
      <c r="I35" s="59"/>
      <c r="J35" s="62" t="s">
        <v>1158</v>
      </c>
      <c r="K35" s="59"/>
      <c r="L35" s="63"/>
      <c r="M35" s="59"/>
      <c r="N35" s="64" t="s">
        <v>1159</v>
      </c>
      <c r="O35" s="59"/>
      <c r="P35" s="60" t="s">
        <v>1160</v>
      </c>
      <c r="Q35" s="59"/>
      <c r="R35" s="63"/>
      <c r="S35" s="59"/>
      <c r="T35" s="62" t="s">
        <v>1161</v>
      </c>
      <c r="U35" s="59"/>
      <c r="V35" s="63"/>
      <c r="W35" s="59"/>
      <c r="X35" s="62" t="s">
        <v>1162</v>
      </c>
      <c r="Y35" s="59"/>
      <c r="Z35" s="63"/>
      <c r="AA35" s="59"/>
      <c r="AB35" s="61" t="s">
        <v>1163</v>
      </c>
      <c r="AC35" s="59"/>
      <c r="AD35" s="63"/>
      <c r="AE35" s="63"/>
    </row>
    <row r="36" ht="13.5" customHeight="1">
      <c r="A36" s="59"/>
      <c r="B36" s="64" t="s">
        <v>1164</v>
      </c>
      <c r="C36" s="59"/>
      <c r="D36" s="61" t="s">
        <v>1165</v>
      </c>
      <c r="E36" s="59"/>
      <c r="F36" s="63"/>
      <c r="G36" s="59"/>
      <c r="H36" s="63"/>
      <c r="I36" s="59"/>
      <c r="J36" s="62" t="s">
        <v>1166</v>
      </c>
      <c r="K36" s="59"/>
      <c r="L36" s="63"/>
      <c r="M36" s="59"/>
      <c r="N36" s="61" t="s">
        <v>883</v>
      </c>
      <c r="O36" s="59"/>
      <c r="P36" s="64" t="s">
        <v>1167</v>
      </c>
      <c r="Q36" s="59"/>
      <c r="R36" s="63"/>
      <c r="S36" s="59"/>
      <c r="T36" s="60" t="s">
        <v>1168</v>
      </c>
      <c r="U36" s="59"/>
      <c r="V36" s="63"/>
      <c r="W36" s="59"/>
      <c r="X36" s="63"/>
      <c r="Y36" s="59"/>
      <c r="Z36" s="63"/>
      <c r="AA36" s="59"/>
      <c r="AB36" s="61" t="s">
        <v>1169</v>
      </c>
      <c r="AC36" s="59"/>
      <c r="AD36" s="63"/>
      <c r="AE36" s="63"/>
    </row>
    <row r="37" ht="13.5" customHeight="1">
      <c r="A37" s="59"/>
      <c r="B37" s="62" t="s">
        <v>1170</v>
      </c>
      <c r="C37" s="59"/>
      <c r="D37" s="60" t="s">
        <v>1171</v>
      </c>
      <c r="E37" s="59"/>
      <c r="F37" s="63"/>
      <c r="G37" s="59"/>
      <c r="H37" s="63"/>
      <c r="I37" s="59"/>
      <c r="J37" s="60" t="s">
        <v>1172</v>
      </c>
      <c r="K37" s="59"/>
      <c r="L37" s="63"/>
      <c r="M37" s="59"/>
      <c r="N37" s="60" t="s">
        <v>1173</v>
      </c>
      <c r="O37" s="59"/>
      <c r="P37" s="60" t="s">
        <v>1174</v>
      </c>
      <c r="Q37" s="59"/>
      <c r="R37" s="63"/>
      <c r="S37" s="59"/>
      <c r="T37" s="60" t="s">
        <v>1175</v>
      </c>
      <c r="U37" s="59"/>
      <c r="V37" s="63"/>
      <c r="W37" s="59"/>
      <c r="X37" s="63"/>
      <c r="Y37" s="59"/>
      <c r="Z37" s="63"/>
      <c r="AA37" s="59"/>
      <c r="AB37" s="61" t="s">
        <v>1176</v>
      </c>
      <c r="AC37" s="59"/>
      <c r="AD37" s="63"/>
      <c r="AE37" s="63"/>
    </row>
    <row r="38" ht="13.5" customHeight="1">
      <c r="A38" s="59"/>
      <c r="B38" s="60" t="s">
        <v>1177</v>
      </c>
      <c r="C38" s="59"/>
      <c r="D38" s="61" t="s">
        <v>1178</v>
      </c>
      <c r="E38" s="59"/>
      <c r="F38" s="63"/>
      <c r="G38" s="59"/>
      <c r="H38" s="63"/>
      <c r="I38" s="59"/>
      <c r="J38" s="62" t="s">
        <v>1179</v>
      </c>
      <c r="K38" s="59"/>
      <c r="L38" s="63"/>
      <c r="M38" s="59"/>
      <c r="N38" s="64" t="s">
        <v>1180</v>
      </c>
      <c r="O38" s="59"/>
      <c r="P38" s="60" t="s">
        <v>1181</v>
      </c>
      <c r="Q38" s="59"/>
      <c r="R38" s="63"/>
      <c r="S38" s="59"/>
      <c r="T38" s="64" t="s">
        <v>1182</v>
      </c>
      <c r="U38" s="59"/>
      <c r="V38" s="63"/>
      <c r="W38" s="59"/>
      <c r="X38" s="63"/>
      <c r="Y38" s="59"/>
      <c r="Z38" s="63"/>
      <c r="AA38" s="59"/>
      <c r="AB38" s="61" t="s">
        <v>1183</v>
      </c>
      <c r="AC38" s="59"/>
      <c r="AD38" s="63"/>
      <c r="AE38" s="63"/>
    </row>
    <row r="39" ht="13.5" customHeight="1">
      <c r="A39" s="59"/>
      <c r="B39" s="64" t="s">
        <v>1184</v>
      </c>
      <c r="C39" s="59"/>
      <c r="D39" s="60" t="s">
        <v>1185</v>
      </c>
      <c r="E39" s="59"/>
      <c r="F39" s="63"/>
      <c r="G39" s="59"/>
      <c r="H39" s="63"/>
      <c r="I39" s="59"/>
      <c r="J39" s="62" t="s">
        <v>1186</v>
      </c>
      <c r="K39" s="59"/>
      <c r="L39" s="63"/>
      <c r="M39" s="59"/>
      <c r="N39" s="64" t="s">
        <v>1187</v>
      </c>
      <c r="O39" s="59"/>
      <c r="P39" s="62" t="s">
        <v>1188</v>
      </c>
      <c r="Q39" s="59"/>
      <c r="R39" s="63"/>
      <c r="S39" s="59"/>
      <c r="T39" s="63"/>
      <c r="U39" s="59"/>
      <c r="V39" s="63"/>
      <c r="W39" s="59"/>
      <c r="X39" s="63"/>
      <c r="Y39" s="59"/>
      <c r="Z39" s="63"/>
      <c r="AA39" s="59"/>
      <c r="AB39" s="61" t="s">
        <v>1189</v>
      </c>
      <c r="AC39" s="59"/>
      <c r="AD39" s="63"/>
      <c r="AE39" s="63"/>
    </row>
    <row r="40" ht="13.5" customHeight="1">
      <c r="A40" s="59"/>
      <c r="B40" s="60" t="s">
        <v>1190</v>
      </c>
      <c r="C40" s="59"/>
      <c r="D40" s="60" t="s">
        <v>1191</v>
      </c>
      <c r="E40" s="59"/>
      <c r="F40" s="63"/>
      <c r="G40" s="59"/>
      <c r="H40" s="63"/>
      <c r="I40" s="59"/>
      <c r="J40" s="60" t="s">
        <v>1192</v>
      </c>
      <c r="K40" s="59"/>
      <c r="L40" s="63"/>
      <c r="M40" s="59"/>
      <c r="N40" s="61" t="s">
        <v>1193</v>
      </c>
      <c r="O40" s="59"/>
      <c r="P40" s="60" t="s">
        <v>1194</v>
      </c>
      <c r="Q40" s="59"/>
      <c r="R40" s="63"/>
      <c r="S40" s="59"/>
      <c r="T40" s="63"/>
      <c r="U40" s="59"/>
      <c r="V40" s="63"/>
      <c r="W40" s="59"/>
      <c r="X40" s="63"/>
      <c r="Y40" s="59"/>
      <c r="Z40" s="63"/>
      <c r="AA40" s="59"/>
      <c r="AB40" s="61" t="s">
        <v>1195</v>
      </c>
      <c r="AC40" s="59"/>
      <c r="AD40" s="63"/>
      <c r="AE40" s="63"/>
    </row>
    <row r="41" ht="13.5" customHeight="1">
      <c r="A41" s="59"/>
      <c r="B41" s="60" t="s">
        <v>1196</v>
      </c>
      <c r="C41" s="59"/>
      <c r="D41" s="61" t="s">
        <v>1197</v>
      </c>
      <c r="E41" s="59"/>
      <c r="F41" s="63"/>
      <c r="G41" s="59"/>
      <c r="H41" s="63"/>
      <c r="I41" s="59"/>
      <c r="J41" s="63"/>
      <c r="K41" s="59"/>
      <c r="L41" s="63"/>
      <c r="M41" s="59"/>
      <c r="N41" s="62" t="s">
        <v>1198</v>
      </c>
      <c r="O41" s="59"/>
      <c r="P41" s="62" t="s">
        <v>1199</v>
      </c>
      <c r="Q41" s="59"/>
      <c r="R41" s="63"/>
      <c r="S41" s="59"/>
      <c r="T41" s="63"/>
      <c r="U41" s="59"/>
      <c r="V41" s="63"/>
      <c r="W41" s="59"/>
      <c r="X41" s="63"/>
      <c r="Y41" s="59"/>
      <c r="Z41" s="63"/>
      <c r="AA41" s="59"/>
      <c r="AB41" s="61" t="s">
        <v>1200</v>
      </c>
      <c r="AC41" s="59"/>
      <c r="AD41" s="63"/>
      <c r="AE41" s="63"/>
    </row>
    <row r="42" ht="13.5" customHeight="1">
      <c r="A42" s="59"/>
      <c r="B42" s="60" t="s">
        <v>1201</v>
      </c>
      <c r="C42" s="59"/>
      <c r="D42" s="61" t="s">
        <v>1202</v>
      </c>
      <c r="E42" s="59"/>
      <c r="F42" s="63"/>
      <c r="G42" s="59"/>
      <c r="H42" s="63"/>
      <c r="I42" s="59"/>
      <c r="J42" s="63"/>
      <c r="K42" s="59"/>
      <c r="L42" s="63"/>
      <c r="M42" s="59"/>
      <c r="N42" s="62" t="s">
        <v>1203</v>
      </c>
      <c r="O42" s="59"/>
      <c r="P42" s="60" t="s">
        <v>1204</v>
      </c>
      <c r="Q42" s="59"/>
      <c r="R42" s="63"/>
      <c r="S42" s="59"/>
      <c r="T42" s="63"/>
      <c r="U42" s="59"/>
      <c r="V42" s="63"/>
      <c r="W42" s="59"/>
      <c r="X42" s="63"/>
      <c r="Y42" s="59"/>
      <c r="Z42" s="63"/>
      <c r="AA42" s="59"/>
      <c r="AB42" s="61" t="s">
        <v>1205</v>
      </c>
      <c r="AC42" s="59"/>
      <c r="AD42" s="63"/>
      <c r="AE42" s="63"/>
    </row>
    <row r="43" ht="13.5" customHeight="1">
      <c r="A43" s="59"/>
      <c r="B43" s="60" t="s">
        <v>1206</v>
      </c>
      <c r="C43" s="59"/>
      <c r="D43" s="61" t="s">
        <v>1207</v>
      </c>
      <c r="E43" s="59"/>
      <c r="F43" s="63"/>
      <c r="G43" s="59"/>
      <c r="H43" s="63"/>
      <c r="I43" s="59"/>
      <c r="J43" s="63"/>
      <c r="K43" s="59"/>
      <c r="L43" s="63"/>
      <c r="M43" s="59"/>
      <c r="N43" s="61" t="s">
        <v>1208</v>
      </c>
      <c r="O43" s="59"/>
      <c r="P43" s="60" t="s">
        <v>1209</v>
      </c>
      <c r="Q43" s="59"/>
      <c r="R43" s="63"/>
      <c r="S43" s="59"/>
      <c r="T43" s="63"/>
      <c r="U43" s="59"/>
      <c r="V43" s="63"/>
      <c r="W43" s="59"/>
      <c r="X43" s="63"/>
      <c r="Y43" s="59"/>
      <c r="Z43" s="63"/>
      <c r="AA43" s="59"/>
      <c r="AB43" s="61" t="s">
        <v>1210</v>
      </c>
      <c r="AC43" s="59"/>
      <c r="AD43" s="63"/>
      <c r="AE43" s="63"/>
    </row>
    <row r="44" ht="13.5" customHeight="1">
      <c r="A44" s="59"/>
      <c r="B44" s="60" t="s">
        <v>1211</v>
      </c>
      <c r="C44" s="59"/>
      <c r="D44" s="60" t="s">
        <v>1212</v>
      </c>
      <c r="E44" s="59"/>
      <c r="F44" s="63"/>
      <c r="G44" s="59"/>
      <c r="H44" s="63"/>
      <c r="I44" s="59"/>
      <c r="J44" s="63"/>
      <c r="K44" s="59"/>
      <c r="L44" s="63"/>
      <c r="M44" s="59"/>
      <c r="N44" s="62" t="s">
        <v>1213</v>
      </c>
      <c r="O44" s="59"/>
      <c r="P44" s="64" t="s">
        <v>1214</v>
      </c>
      <c r="Q44" s="59"/>
      <c r="R44" s="63"/>
      <c r="S44" s="59"/>
      <c r="T44" s="63"/>
      <c r="U44" s="59"/>
      <c r="V44" s="63"/>
      <c r="W44" s="59"/>
      <c r="X44" s="63"/>
      <c r="Y44" s="59"/>
      <c r="Z44" s="63"/>
      <c r="AA44" s="59"/>
      <c r="AB44" s="61" t="s">
        <v>1215</v>
      </c>
      <c r="AC44" s="59"/>
      <c r="AD44" s="63"/>
      <c r="AE44" s="63"/>
    </row>
    <row r="45" ht="13.5" customHeight="1">
      <c r="A45" s="59"/>
      <c r="B45" s="64" t="s">
        <v>1216</v>
      </c>
      <c r="C45" s="59"/>
      <c r="D45" s="60" t="s">
        <v>1217</v>
      </c>
      <c r="E45" s="59"/>
      <c r="F45" s="63"/>
      <c r="G45" s="59"/>
      <c r="H45" s="63"/>
      <c r="I45" s="59"/>
      <c r="J45" s="63"/>
      <c r="K45" s="59"/>
      <c r="L45" s="63"/>
      <c r="M45" s="59"/>
      <c r="N45" s="60" t="s">
        <v>1218</v>
      </c>
      <c r="O45" s="59"/>
      <c r="P45" s="64" t="s">
        <v>1219</v>
      </c>
      <c r="Q45" s="59"/>
      <c r="R45" s="63"/>
      <c r="S45" s="59"/>
      <c r="T45" s="63"/>
      <c r="U45" s="59"/>
      <c r="V45" s="63"/>
      <c r="W45" s="59"/>
      <c r="X45" s="63"/>
      <c r="Y45" s="59"/>
      <c r="Z45" s="63"/>
      <c r="AA45" s="59"/>
      <c r="AB45" s="61" t="s">
        <v>1220</v>
      </c>
      <c r="AC45" s="59"/>
      <c r="AD45" s="63"/>
      <c r="AE45" s="63"/>
    </row>
    <row r="46" ht="13.5" customHeight="1">
      <c r="A46" s="59"/>
      <c r="B46" s="64" t="s">
        <v>1221</v>
      </c>
      <c r="C46" s="59"/>
      <c r="D46" s="64" t="s">
        <v>1222</v>
      </c>
      <c r="E46" s="59"/>
      <c r="F46" s="63"/>
      <c r="G46" s="59"/>
      <c r="H46" s="63"/>
      <c r="I46" s="59"/>
      <c r="J46" s="63"/>
      <c r="K46" s="59"/>
      <c r="L46" s="63"/>
      <c r="M46" s="59"/>
      <c r="N46" s="62" t="s">
        <v>1223</v>
      </c>
      <c r="O46" s="59"/>
      <c r="P46" s="62" t="s">
        <v>1224</v>
      </c>
      <c r="Q46" s="59"/>
      <c r="R46" s="63"/>
      <c r="S46" s="59"/>
      <c r="T46" s="63"/>
      <c r="U46" s="59"/>
      <c r="V46" s="63"/>
      <c r="W46" s="59"/>
      <c r="X46" s="63"/>
      <c r="Y46" s="59"/>
      <c r="Z46" s="63"/>
      <c r="AA46" s="59"/>
      <c r="AB46" s="61" t="s">
        <v>1225</v>
      </c>
      <c r="AC46" s="59"/>
      <c r="AD46" s="63"/>
      <c r="AE46" s="63"/>
    </row>
    <row r="47" ht="13.5" customHeight="1">
      <c r="A47" s="59"/>
      <c r="B47" s="60" t="s">
        <v>1226</v>
      </c>
      <c r="C47" s="59"/>
      <c r="D47" s="64" t="s">
        <v>1227</v>
      </c>
      <c r="E47" s="59"/>
      <c r="F47" s="63"/>
      <c r="G47" s="59"/>
      <c r="H47" s="63"/>
      <c r="I47" s="59"/>
      <c r="J47" s="63"/>
      <c r="K47" s="59"/>
      <c r="L47" s="63"/>
      <c r="M47" s="59"/>
      <c r="N47" s="60" t="s">
        <v>1228</v>
      </c>
      <c r="O47" s="59"/>
      <c r="P47" s="62" t="s">
        <v>1229</v>
      </c>
      <c r="Q47" s="59"/>
      <c r="R47" s="63"/>
      <c r="S47" s="59"/>
      <c r="T47" s="63"/>
      <c r="U47" s="59"/>
      <c r="V47" s="63"/>
      <c r="W47" s="59"/>
      <c r="X47" s="63"/>
      <c r="Y47" s="59"/>
      <c r="Z47" s="63"/>
      <c r="AA47" s="59"/>
      <c r="AB47" s="61" t="s">
        <v>1230</v>
      </c>
      <c r="AC47" s="59"/>
      <c r="AD47" s="63"/>
      <c r="AE47" s="63"/>
    </row>
    <row r="48" ht="13.5" customHeight="1">
      <c r="A48" s="59"/>
      <c r="B48" s="60" t="s">
        <v>1231</v>
      </c>
      <c r="C48" s="59"/>
      <c r="D48" s="60" t="s">
        <v>1232</v>
      </c>
      <c r="E48" s="59"/>
      <c r="F48" s="63"/>
      <c r="G48" s="59"/>
      <c r="H48" s="63"/>
      <c r="I48" s="59"/>
      <c r="J48" s="63"/>
      <c r="K48" s="59"/>
      <c r="L48" s="63"/>
      <c r="M48" s="59"/>
      <c r="N48" s="64" t="s">
        <v>1233</v>
      </c>
      <c r="O48" s="59"/>
      <c r="P48" s="62" t="s">
        <v>1234</v>
      </c>
      <c r="Q48" s="59"/>
      <c r="R48" s="63"/>
      <c r="S48" s="59"/>
      <c r="T48" s="63"/>
      <c r="U48" s="59"/>
      <c r="V48" s="63"/>
      <c r="W48" s="59"/>
      <c r="X48" s="63"/>
      <c r="Y48" s="59"/>
      <c r="Z48" s="63"/>
      <c r="AA48" s="59"/>
      <c r="AB48" s="61" t="s">
        <v>1235</v>
      </c>
      <c r="AC48" s="59"/>
      <c r="AD48" s="63"/>
      <c r="AE48" s="63"/>
    </row>
    <row r="49" ht="13.5" customHeight="1">
      <c r="A49" s="59"/>
      <c r="B49" s="60" t="s">
        <v>1236</v>
      </c>
      <c r="C49" s="59"/>
      <c r="D49" s="61" t="s">
        <v>1237</v>
      </c>
      <c r="E49" s="59"/>
      <c r="F49" s="63"/>
      <c r="G49" s="59"/>
      <c r="H49" s="63"/>
      <c r="I49" s="59"/>
      <c r="J49" s="63"/>
      <c r="K49" s="59"/>
      <c r="L49" s="63"/>
      <c r="M49" s="59"/>
      <c r="N49" s="60" t="s">
        <v>1238</v>
      </c>
      <c r="O49" s="59"/>
      <c r="P49" s="60" t="s">
        <v>1239</v>
      </c>
      <c r="Q49" s="59"/>
      <c r="R49" s="63"/>
      <c r="S49" s="59"/>
      <c r="T49" s="63"/>
      <c r="U49" s="59"/>
      <c r="V49" s="63"/>
      <c r="W49" s="59"/>
      <c r="X49" s="63"/>
      <c r="Y49" s="59"/>
      <c r="Z49" s="63"/>
      <c r="AA49" s="59"/>
      <c r="AB49" s="60" t="s">
        <v>1240</v>
      </c>
      <c r="AC49" s="59"/>
      <c r="AD49" s="63"/>
      <c r="AE49" s="63"/>
    </row>
    <row r="50" ht="13.5" customHeight="1">
      <c r="A50" s="59"/>
      <c r="B50" s="64" t="s">
        <v>1241</v>
      </c>
      <c r="C50" s="59"/>
      <c r="D50" s="61" t="s">
        <v>1242</v>
      </c>
      <c r="E50" s="59"/>
      <c r="F50" s="63"/>
      <c r="G50" s="59"/>
      <c r="H50" s="63"/>
      <c r="I50" s="59"/>
      <c r="J50" s="63"/>
      <c r="K50" s="59"/>
      <c r="L50" s="63"/>
      <c r="M50" s="59"/>
      <c r="N50" s="63"/>
      <c r="O50" s="59"/>
      <c r="P50" s="62" t="s">
        <v>1243</v>
      </c>
      <c r="Q50" s="59"/>
      <c r="R50" s="63"/>
      <c r="S50" s="59"/>
      <c r="T50" s="63"/>
      <c r="U50" s="59"/>
      <c r="V50" s="63"/>
      <c r="W50" s="59"/>
      <c r="X50" s="63"/>
      <c r="Y50" s="59"/>
      <c r="Z50" s="63"/>
      <c r="AA50" s="59"/>
      <c r="AB50" s="60" t="s">
        <v>1244</v>
      </c>
      <c r="AC50" s="59"/>
      <c r="AD50" s="63"/>
      <c r="AE50" s="63"/>
    </row>
    <row r="51" ht="13.5" customHeight="1">
      <c r="A51" s="59"/>
      <c r="B51" s="62" t="s">
        <v>1245</v>
      </c>
      <c r="C51" s="59"/>
      <c r="D51" s="61" t="s">
        <v>1246</v>
      </c>
      <c r="E51" s="59"/>
      <c r="F51" s="63"/>
      <c r="G51" s="59"/>
      <c r="H51" s="63"/>
      <c r="I51" s="59"/>
      <c r="J51" s="63"/>
      <c r="K51" s="59"/>
      <c r="L51" s="63"/>
      <c r="M51" s="59"/>
      <c r="N51" s="63"/>
      <c r="O51" s="59"/>
      <c r="P51" s="62" t="s">
        <v>1247</v>
      </c>
      <c r="Q51" s="59"/>
      <c r="R51" s="63"/>
      <c r="S51" s="59"/>
      <c r="T51" s="63"/>
      <c r="U51" s="59"/>
      <c r="V51" s="63"/>
      <c r="W51" s="59"/>
      <c r="X51" s="63"/>
      <c r="Y51" s="59"/>
      <c r="Z51" s="63"/>
      <c r="AA51" s="59"/>
      <c r="AB51" s="61" t="s">
        <v>1248</v>
      </c>
      <c r="AC51" s="59"/>
      <c r="AD51" s="63"/>
      <c r="AE51" s="63"/>
    </row>
    <row r="52" ht="13.5" customHeight="1">
      <c r="A52" s="59"/>
      <c r="B52" s="61" t="s">
        <v>1249</v>
      </c>
      <c r="C52" s="59"/>
      <c r="D52" s="62" t="s">
        <v>1250</v>
      </c>
      <c r="E52" s="59"/>
      <c r="F52" s="63"/>
      <c r="G52" s="59"/>
      <c r="H52" s="63"/>
      <c r="I52" s="59"/>
      <c r="J52" s="63"/>
      <c r="K52" s="59"/>
      <c r="L52" s="63"/>
      <c r="M52" s="59"/>
      <c r="N52" s="63"/>
      <c r="O52" s="59"/>
      <c r="P52" s="62" t="s">
        <v>1251</v>
      </c>
      <c r="Q52" s="59"/>
      <c r="R52" s="63"/>
      <c r="S52" s="59"/>
      <c r="T52" s="63"/>
      <c r="U52" s="59"/>
      <c r="V52" s="63"/>
      <c r="W52" s="59"/>
      <c r="X52" s="63"/>
      <c r="Y52" s="59"/>
      <c r="Z52" s="63"/>
      <c r="AA52" s="59"/>
      <c r="AB52" s="61" t="s">
        <v>1252</v>
      </c>
      <c r="AC52" s="59"/>
      <c r="AD52" s="63"/>
      <c r="AE52" s="63"/>
    </row>
    <row r="53" ht="13.5" customHeight="1">
      <c r="A53" s="59"/>
      <c r="B53" s="62" t="s">
        <v>1253</v>
      </c>
      <c r="C53" s="59"/>
      <c r="D53" s="60" t="s">
        <v>1254</v>
      </c>
      <c r="E53" s="59"/>
      <c r="F53" s="63"/>
      <c r="G53" s="59"/>
      <c r="H53" s="63"/>
      <c r="I53" s="59"/>
      <c r="J53" s="63"/>
      <c r="K53" s="59"/>
      <c r="L53" s="63"/>
      <c r="M53" s="59"/>
      <c r="N53" s="63"/>
      <c r="O53" s="59"/>
      <c r="P53" s="62" t="s">
        <v>1255</v>
      </c>
      <c r="Q53" s="59"/>
      <c r="R53" s="63"/>
      <c r="S53" s="59"/>
      <c r="T53" s="63"/>
      <c r="U53" s="59"/>
      <c r="V53" s="63"/>
      <c r="W53" s="59"/>
      <c r="X53" s="63"/>
      <c r="Y53" s="59"/>
      <c r="Z53" s="63"/>
      <c r="AA53" s="59"/>
      <c r="AB53" s="61" t="s">
        <v>1256</v>
      </c>
      <c r="AC53" s="59"/>
      <c r="AD53" s="63"/>
      <c r="AE53" s="63"/>
    </row>
    <row r="54" ht="13.5" customHeight="1">
      <c r="A54" s="59"/>
      <c r="B54" s="60" t="s">
        <v>1257</v>
      </c>
      <c r="C54" s="59"/>
      <c r="D54" s="64" t="s">
        <v>1258</v>
      </c>
      <c r="E54" s="59"/>
      <c r="F54" s="63"/>
      <c r="G54" s="59"/>
      <c r="H54" s="63"/>
      <c r="I54" s="59"/>
      <c r="J54" s="63"/>
      <c r="K54" s="59"/>
      <c r="L54" s="63"/>
      <c r="M54" s="59"/>
      <c r="N54" s="63"/>
      <c r="O54" s="59"/>
      <c r="P54" s="62" t="s">
        <v>1259</v>
      </c>
      <c r="Q54" s="59"/>
      <c r="R54" s="63"/>
      <c r="S54" s="59"/>
      <c r="T54" s="63"/>
      <c r="U54" s="59"/>
      <c r="V54" s="63"/>
      <c r="W54" s="59"/>
      <c r="X54" s="63"/>
      <c r="Y54" s="59"/>
      <c r="Z54" s="63"/>
      <c r="AA54" s="59"/>
      <c r="AB54" s="61" t="s">
        <v>1260</v>
      </c>
      <c r="AC54" s="59"/>
      <c r="AD54" s="63"/>
      <c r="AE54" s="63"/>
    </row>
    <row r="55" ht="13.5" customHeight="1">
      <c r="A55" s="59"/>
      <c r="B55" s="64" t="s">
        <v>1261</v>
      </c>
      <c r="C55" s="59"/>
      <c r="D55" s="64" t="s">
        <v>1262</v>
      </c>
      <c r="E55" s="59"/>
      <c r="F55" s="63"/>
      <c r="G55" s="59"/>
      <c r="H55" s="63"/>
      <c r="I55" s="59"/>
      <c r="J55" s="63"/>
      <c r="K55" s="59"/>
      <c r="L55" s="63"/>
      <c r="M55" s="59"/>
      <c r="N55" s="63"/>
      <c r="O55" s="59"/>
      <c r="P55" s="62" t="s">
        <v>1263</v>
      </c>
      <c r="Q55" s="59"/>
      <c r="R55" s="63"/>
      <c r="S55" s="59"/>
      <c r="T55" s="63"/>
      <c r="U55" s="59"/>
      <c r="V55" s="63"/>
      <c r="W55" s="59"/>
      <c r="X55" s="63"/>
      <c r="Y55" s="59"/>
      <c r="Z55" s="63"/>
      <c r="AA55" s="59"/>
      <c r="AB55" s="60" t="s">
        <v>1264</v>
      </c>
      <c r="AC55" s="59"/>
      <c r="AD55" s="63"/>
      <c r="AE55" s="63"/>
    </row>
    <row r="56" ht="13.5" customHeight="1">
      <c r="A56" s="59"/>
      <c r="B56" s="60" t="s">
        <v>1265</v>
      </c>
      <c r="C56" s="59"/>
      <c r="D56" s="64" t="s">
        <v>1266</v>
      </c>
      <c r="E56" s="59"/>
      <c r="F56" s="63"/>
      <c r="G56" s="59"/>
      <c r="H56" s="63"/>
      <c r="I56" s="59"/>
      <c r="J56" s="63"/>
      <c r="K56" s="59"/>
      <c r="L56" s="63"/>
      <c r="M56" s="59"/>
      <c r="N56" s="63"/>
      <c r="O56" s="59"/>
      <c r="P56" s="62" t="s">
        <v>1267</v>
      </c>
      <c r="Q56" s="59"/>
      <c r="R56" s="63"/>
      <c r="S56" s="59"/>
      <c r="T56" s="63"/>
      <c r="U56" s="59"/>
      <c r="V56" s="63"/>
      <c r="W56" s="59"/>
      <c r="X56" s="63"/>
      <c r="Y56" s="59"/>
      <c r="Z56" s="63"/>
      <c r="AA56" s="59"/>
      <c r="AB56" s="60" t="s">
        <v>1268</v>
      </c>
      <c r="AC56" s="59"/>
      <c r="AD56" s="63"/>
      <c r="AE56" s="63"/>
    </row>
    <row r="57" ht="13.5" customHeight="1">
      <c r="A57" s="59"/>
      <c r="B57" s="64" t="s">
        <v>1269</v>
      </c>
      <c r="C57" s="59"/>
      <c r="D57" s="64" t="s">
        <v>1270</v>
      </c>
      <c r="E57" s="59"/>
      <c r="F57" s="63"/>
      <c r="G57" s="59"/>
      <c r="H57" s="63"/>
      <c r="I57" s="59"/>
      <c r="J57" s="63"/>
      <c r="K57" s="59"/>
      <c r="L57" s="63"/>
      <c r="M57" s="59"/>
      <c r="N57" s="63"/>
      <c r="O57" s="59"/>
      <c r="P57" s="61" t="s">
        <v>1271</v>
      </c>
      <c r="Q57" s="59"/>
      <c r="R57" s="63"/>
      <c r="S57" s="59"/>
      <c r="T57" s="63"/>
      <c r="U57" s="59"/>
      <c r="V57" s="63"/>
      <c r="W57" s="59"/>
      <c r="X57" s="63"/>
      <c r="Y57" s="59"/>
      <c r="Z57" s="63"/>
      <c r="AA57" s="59"/>
      <c r="AB57" s="61" t="s">
        <v>1272</v>
      </c>
      <c r="AC57" s="59"/>
      <c r="AD57" s="63"/>
      <c r="AE57" s="63"/>
    </row>
    <row r="58" ht="13.5" customHeight="1">
      <c r="A58" s="59"/>
      <c r="B58" s="64" t="s">
        <v>1273</v>
      </c>
      <c r="C58" s="59"/>
      <c r="D58" s="64" t="s">
        <v>1274</v>
      </c>
      <c r="E58" s="59"/>
      <c r="F58" s="63"/>
      <c r="G58" s="59"/>
      <c r="H58" s="63"/>
      <c r="I58" s="59"/>
      <c r="J58" s="63"/>
      <c r="K58" s="59"/>
      <c r="L58" s="63"/>
      <c r="M58" s="59"/>
      <c r="N58" s="63"/>
      <c r="O58" s="59"/>
      <c r="P58" s="60" t="s">
        <v>1275</v>
      </c>
      <c r="Q58" s="59"/>
      <c r="R58" s="63"/>
      <c r="S58" s="59"/>
      <c r="T58" s="63"/>
      <c r="U58" s="59"/>
      <c r="V58" s="63"/>
      <c r="W58" s="59"/>
      <c r="X58" s="63"/>
      <c r="Y58" s="59"/>
      <c r="Z58" s="63"/>
      <c r="AA58" s="59"/>
      <c r="AB58" s="61" t="s">
        <v>1276</v>
      </c>
      <c r="AC58" s="59"/>
      <c r="AD58" s="63"/>
      <c r="AE58" s="63"/>
    </row>
    <row r="59" ht="13.5" customHeight="1">
      <c r="A59" s="59"/>
      <c r="B59" s="64" t="s">
        <v>1277</v>
      </c>
      <c r="C59" s="59"/>
      <c r="D59" s="64" t="s">
        <v>1278</v>
      </c>
      <c r="E59" s="59"/>
      <c r="F59" s="63"/>
      <c r="G59" s="59"/>
      <c r="H59" s="63"/>
      <c r="I59" s="59"/>
      <c r="J59" s="63"/>
      <c r="K59" s="59"/>
      <c r="L59" s="63"/>
      <c r="M59" s="59"/>
      <c r="N59" s="63"/>
      <c r="O59" s="59"/>
      <c r="P59" s="60" t="s">
        <v>1279</v>
      </c>
      <c r="Q59" s="59"/>
      <c r="R59" s="63"/>
      <c r="S59" s="59"/>
      <c r="T59" s="63"/>
      <c r="U59" s="59"/>
      <c r="V59" s="63"/>
      <c r="W59" s="59"/>
      <c r="X59" s="63"/>
      <c r="Y59" s="59"/>
      <c r="Z59" s="63"/>
      <c r="AA59" s="59"/>
      <c r="AB59" s="61" t="s">
        <v>1280</v>
      </c>
      <c r="AC59" s="59"/>
      <c r="AD59" s="63"/>
      <c r="AE59" s="63"/>
    </row>
    <row r="60" ht="13.5" customHeight="1">
      <c r="A60" s="59"/>
      <c r="B60" s="62" t="s">
        <v>1281</v>
      </c>
      <c r="C60" s="59"/>
      <c r="D60" s="64" t="s">
        <v>1282</v>
      </c>
      <c r="E60" s="59"/>
      <c r="F60" s="63"/>
      <c r="G60" s="59"/>
      <c r="H60" s="63"/>
      <c r="I60" s="59"/>
      <c r="J60" s="63"/>
      <c r="K60" s="59"/>
      <c r="L60" s="63"/>
      <c r="M60" s="59"/>
      <c r="N60" s="63"/>
      <c r="O60" s="59"/>
      <c r="P60" s="64" t="s">
        <v>1283</v>
      </c>
      <c r="Q60" s="59"/>
      <c r="R60" s="63"/>
      <c r="S60" s="59"/>
      <c r="T60" s="63"/>
      <c r="U60" s="59"/>
      <c r="V60" s="63"/>
      <c r="W60" s="59"/>
      <c r="X60" s="63"/>
      <c r="Y60" s="59"/>
      <c r="Z60" s="63"/>
      <c r="AA60" s="59"/>
      <c r="AB60" s="61" t="s">
        <v>1284</v>
      </c>
      <c r="AC60" s="59"/>
      <c r="AD60" s="63"/>
      <c r="AE60" s="63"/>
    </row>
    <row r="61" ht="13.5" customHeight="1">
      <c r="A61" s="59"/>
      <c r="B61" s="62" t="s">
        <v>1285</v>
      </c>
      <c r="C61" s="59"/>
      <c r="D61" s="60" t="s">
        <v>1286</v>
      </c>
      <c r="E61" s="59"/>
      <c r="F61" s="63"/>
      <c r="G61" s="59"/>
      <c r="H61" s="63"/>
      <c r="I61" s="59"/>
      <c r="J61" s="63"/>
      <c r="K61" s="59"/>
      <c r="L61" s="63"/>
      <c r="M61" s="59"/>
      <c r="N61" s="63"/>
      <c r="O61" s="59"/>
      <c r="P61" s="64" t="s">
        <v>1287</v>
      </c>
      <c r="Q61" s="59"/>
      <c r="R61" s="63"/>
      <c r="S61" s="59"/>
      <c r="T61" s="63"/>
      <c r="U61" s="59"/>
      <c r="V61" s="63"/>
      <c r="W61" s="59"/>
      <c r="X61" s="63"/>
      <c r="Y61" s="59"/>
      <c r="Z61" s="63"/>
      <c r="AA61" s="59"/>
      <c r="AB61" s="61" t="s">
        <v>1288</v>
      </c>
      <c r="AC61" s="59"/>
      <c r="AD61" s="63"/>
      <c r="AE61" s="63"/>
    </row>
    <row r="62" ht="13.5" customHeight="1">
      <c r="A62" s="59"/>
      <c r="B62" s="62" t="s">
        <v>1289</v>
      </c>
      <c r="C62" s="59"/>
      <c r="D62" s="60" t="s">
        <v>1290</v>
      </c>
      <c r="E62" s="59"/>
      <c r="F62" s="63"/>
      <c r="G62" s="59"/>
      <c r="H62" s="63"/>
      <c r="I62" s="59"/>
      <c r="J62" s="63"/>
      <c r="K62" s="59"/>
      <c r="L62" s="63"/>
      <c r="M62" s="59"/>
      <c r="N62" s="63"/>
      <c r="O62" s="59"/>
      <c r="P62" s="64" t="s">
        <v>1291</v>
      </c>
      <c r="Q62" s="59"/>
      <c r="R62" s="63"/>
      <c r="S62" s="59"/>
      <c r="T62" s="63"/>
      <c r="U62" s="59"/>
      <c r="V62" s="63"/>
      <c r="W62" s="59"/>
      <c r="X62" s="63"/>
      <c r="Y62" s="59"/>
      <c r="Z62" s="63"/>
      <c r="AA62" s="59"/>
      <c r="AB62" s="61" t="s">
        <v>1292</v>
      </c>
      <c r="AC62" s="59"/>
      <c r="AD62" s="63"/>
      <c r="AE62" s="63"/>
    </row>
    <row r="63" ht="13.5" customHeight="1">
      <c r="A63" s="59"/>
      <c r="B63" s="62" t="s">
        <v>1293</v>
      </c>
      <c r="C63" s="59"/>
      <c r="D63" s="61" t="s">
        <v>1294</v>
      </c>
      <c r="E63" s="59"/>
      <c r="F63" s="63"/>
      <c r="G63" s="59"/>
      <c r="H63" s="63"/>
      <c r="I63" s="59"/>
      <c r="J63" s="63"/>
      <c r="K63" s="59"/>
      <c r="L63" s="63"/>
      <c r="M63" s="59"/>
      <c r="N63" s="63"/>
      <c r="O63" s="59"/>
      <c r="P63" s="64" t="s">
        <v>1295</v>
      </c>
      <c r="Q63" s="59"/>
      <c r="R63" s="63"/>
      <c r="S63" s="59"/>
      <c r="T63" s="63"/>
      <c r="U63" s="59"/>
      <c r="V63" s="63"/>
      <c r="W63" s="59"/>
      <c r="X63" s="63"/>
      <c r="Y63" s="59"/>
      <c r="Z63" s="63"/>
      <c r="AA63" s="59"/>
      <c r="AB63" s="61" t="s">
        <v>1296</v>
      </c>
      <c r="AC63" s="59"/>
      <c r="AD63" s="63"/>
      <c r="AE63" s="63"/>
    </row>
    <row r="64" ht="13.5" customHeight="1">
      <c r="A64" s="59"/>
      <c r="B64" s="62" t="s">
        <v>1297</v>
      </c>
      <c r="C64" s="59"/>
      <c r="D64" s="62" t="s">
        <v>1298</v>
      </c>
      <c r="E64" s="59"/>
      <c r="F64" s="63"/>
      <c r="G64" s="59"/>
      <c r="H64" s="63"/>
      <c r="I64" s="59"/>
      <c r="J64" s="63"/>
      <c r="K64" s="59"/>
      <c r="L64" s="63"/>
      <c r="M64" s="59"/>
      <c r="N64" s="63"/>
      <c r="O64" s="59"/>
      <c r="P64" s="64" t="s">
        <v>1299</v>
      </c>
      <c r="Q64" s="59"/>
      <c r="R64" s="63"/>
      <c r="S64" s="59"/>
      <c r="T64" s="63"/>
      <c r="U64" s="59"/>
      <c r="V64" s="63"/>
      <c r="W64" s="59"/>
      <c r="X64" s="63"/>
      <c r="Y64" s="59"/>
      <c r="Z64" s="63"/>
      <c r="AA64" s="59"/>
      <c r="AB64" s="61" t="s">
        <v>1300</v>
      </c>
      <c r="AC64" s="59"/>
      <c r="AD64" s="63"/>
      <c r="AE64" s="63"/>
    </row>
    <row r="65" ht="13.5" customHeight="1">
      <c r="A65" s="59"/>
      <c r="B65" s="60" t="s">
        <v>1301</v>
      </c>
      <c r="C65" s="59"/>
      <c r="D65" s="62" t="s">
        <v>1302</v>
      </c>
      <c r="E65" s="59"/>
      <c r="F65" s="63"/>
      <c r="G65" s="59"/>
      <c r="H65" s="63"/>
      <c r="I65" s="59"/>
      <c r="J65" s="63"/>
      <c r="K65" s="59"/>
      <c r="L65" s="63"/>
      <c r="M65" s="59"/>
      <c r="N65" s="63"/>
      <c r="O65" s="59"/>
      <c r="P65" s="64" t="s">
        <v>1303</v>
      </c>
      <c r="Q65" s="59"/>
      <c r="R65" s="63"/>
      <c r="S65" s="59"/>
      <c r="T65" s="63"/>
      <c r="U65" s="59"/>
      <c r="V65" s="63"/>
      <c r="W65" s="59"/>
      <c r="X65" s="63"/>
      <c r="Y65" s="59"/>
      <c r="Z65" s="63"/>
      <c r="AA65" s="59"/>
      <c r="AB65" s="61" t="s">
        <v>1304</v>
      </c>
      <c r="AC65" s="59"/>
      <c r="AD65" s="63"/>
      <c r="AE65" s="63"/>
    </row>
    <row r="66" ht="13.5" customHeight="1">
      <c r="A66" s="59"/>
      <c r="B66" s="62" t="s">
        <v>1305</v>
      </c>
      <c r="C66" s="59"/>
      <c r="D66" s="60" t="s">
        <v>1306</v>
      </c>
      <c r="E66" s="59"/>
      <c r="F66" s="63"/>
      <c r="G66" s="59"/>
      <c r="H66" s="63"/>
      <c r="I66" s="59"/>
      <c r="J66" s="63"/>
      <c r="K66" s="59"/>
      <c r="L66" s="63"/>
      <c r="M66" s="59"/>
      <c r="N66" s="63"/>
      <c r="O66" s="59"/>
      <c r="P66" s="62" t="s">
        <v>1307</v>
      </c>
      <c r="Q66" s="59"/>
      <c r="R66" s="63"/>
      <c r="S66" s="59"/>
      <c r="T66" s="63"/>
      <c r="U66" s="59"/>
      <c r="V66" s="63"/>
      <c r="W66" s="59"/>
      <c r="X66" s="63"/>
      <c r="Y66" s="59"/>
      <c r="Z66" s="63"/>
      <c r="AA66" s="59"/>
      <c r="AB66" s="61" t="s">
        <v>1308</v>
      </c>
      <c r="AC66" s="59"/>
      <c r="AD66" s="63"/>
      <c r="AE66" s="63"/>
    </row>
    <row r="67" ht="13.5" customHeight="1">
      <c r="A67" s="59"/>
      <c r="B67" s="62" t="s">
        <v>1309</v>
      </c>
      <c r="C67" s="59"/>
      <c r="D67" s="60" t="s">
        <v>1310</v>
      </c>
      <c r="E67" s="59"/>
      <c r="F67" s="63"/>
      <c r="G67" s="59"/>
      <c r="H67" s="63"/>
      <c r="I67" s="59"/>
      <c r="J67" s="63"/>
      <c r="K67" s="59"/>
      <c r="L67" s="63"/>
      <c r="M67" s="59"/>
      <c r="N67" s="63"/>
      <c r="O67" s="59"/>
      <c r="P67" s="60" t="s">
        <v>1311</v>
      </c>
      <c r="Q67" s="59"/>
      <c r="R67" s="63"/>
      <c r="S67" s="59"/>
      <c r="T67" s="63"/>
      <c r="U67" s="59"/>
      <c r="V67" s="63"/>
      <c r="W67" s="59"/>
      <c r="X67" s="63"/>
      <c r="Y67" s="59"/>
      <c r="Z67" s="63"/>
      <c r="AA67" s="59"/>
      <c r="AB67" s="61" t="s">
        <v>1312</v>
      </c>
      <c r="AC67" s="59"/>
      <c r="AD67" s="63"/>
      <c r="AE67" s="63"/>
    </row>
    <row r="68" ht="13.5" customHeight="1">
      <c r="A68" s="59"/>
      <c r="B68" s="62" t="s">
        <v>1313</v>
      </c>
      <c r="C68" s="59"/>
      <c r="D68" s="62" t="s">
        <v>1314</v>
      </c>
      <c r="E68" s="59"/>
      <c r="F68" s="63"/>
      <c r="G68" s="59"/>
      <c r="H68" s="63"/>
      <c r="I68" s="59"/>
      <c r="J68" s="63"/>
      <c r="K68" s="59"/>
      <c r="L68" s="63"/>
      <c r="M68" s="59"/>
      <c r="N68" s="63"/>
      <c r="O68" s="59"/>
      <c r="P68" s="63"/>
      <c r="Q68" s="59"/>
      <c r="R68" s="63"/>
      <c r="S68" s="59"/>
      <c r="T68" s="63"/>
      <c r="U68" s="59"/>
      <c r="V68" s="63"/>
      <c r="W68" s="59"/>
      <c r="X68" s="63"/>
      <c r="Y68" s="59"/>
      <c r="Z68" s="63"/>
      <c r="AA68" s="59"/>
      <c r="AB68" s="61" t="s">
        <v>1315</v>
      </c>
      <c r="AC68" s="59"/>
      <c r="AD68" s="63"/>
      <c r="AE68" s="63"/>
    </row>
    <row r="69" ht="13.5" customHeight="1">
      <c r="A69" s="59"/>
      <c r="B69" s="62" t="s">
        <v>1316</v>
      </c>
      <c r="C69" s="59"/>
      <c r="D69" s="62" t="s">
        <v>1317</v>
      </c>
      <c r="E69" s="59"/>
      <c r="F69" s="63"/>
      <c r="G69" s="59"/>
      <c r="H69" s="63"/>
      <c r="I69" s="59"/>
      <c r="J69" s="63"/>
      <c r="K69" s="59"/>
      <c r="L69" s="63"/>
      <c r="M69" s="59"/>
      <c r="N69" s="63"/>
      <c r="O69" s="59"/>
      <c r="P69" s="63"/>
      <c r="Q69" s="59"/>
      <c r="R69" s="63"/>
      <c r="S69" s="59"/>
      <c r="T69" s="63"/>
      <c r="U69" s="59"/>
      <c r="V69" s="63"/>
      <c r="W69" s="59"/>
      <c r="X69" s="63"/>
      <c r="Y69" s="59"/>
      <c r="Z69" s="63"/>
      <c r="AA69" s="59"/>
      <c r="AB69" s="61" t="s">
        <v>1318</v>
      </c>
      <c r="AC69" s="59"/>
      <c r="AD69" s="63"/>
      <c r="AE69" s="63"/>
    </row>
    <row r="70" ht="13.5" customHeight="1">
      <c r="A70" s="59"/>
      <c r="B70" s="62" t="s">
        <v>1319</v>
      </c>
      <c r="C70" s="59"/>
      <c r="D70" s="60" t="s">
        <v>1320</v>
      </c>
      <c r="E70" s="59"/>
      <c r="F70" s="63"/>
      <c r="G70" s="59"/>
      <c r="H70" s="63"/>
      <c r="I70" s="59"/>
      <c r="J70" s="63"/>
      <c r="K70" s="59"/>
      <c r="L70" s="63"/>
      <c r="M70" s="59"/>
      <c r="N70" s="63"/>
      <c r="O70" s="59"/>
      <c r="P70" s="63"/>
      <c r="Q70" s="59"/>
      <c r="R70" s="63"/>
      <c r="S70" s="59"/>
      <c r="T70" s="63"/>
      <c r="U70" s="59"/>
      <c r="V70" s="63"/>
      <c r="W70" s="59"/>
      <c r="X70" s="63"/>
      <c r="Y70" s="59"/>
      <c r="Z70" s="63"/>
      <c r="AA70" s="59"/>
      <c r="AB70" s="61" t="s">
        <v>1321</v>
      </c>
      <c r="AC70" s="59"/>
      <c r="AD70" s="63"/>
      <c r="AE70" s="63"/>
    </row>
    <row r="71" ht="13.5" customHeight="1">
      <c r="A71" s="59"/>
      <c r="B71" s="62" t="s">
        <v>1322</v>
      </c>
      <c r="C71" s="59"/>
      <c r="D71" s="61" t="s">
        <v>1323</v>
      </c>
      <c r="E71" s="59"/>
      <c r="F71" s="63"/>
      <c r="G71" s="59"/>
      <c r="H71" s="63"/>
      <c r="I71" s="59"/>
      <c r="J71" s="63"/>
      <c r="K71" s="59"/>
      <c r="L71" s="63"/>
      <c r="M71" s="59"/>
      <c r="N71" s="63"/>
      <c r="O71" s="59"/>
      <c r="P71" s="63"/>
      <c r="Q71" s="59"/>
      <c r="R71" s="63"/>
      <c r="S71" s="59"/>
      <c r="T71" s="63"/>
      <c r="U71" s="59"/>
      <c r="V71" s="63"/>
      <c r="W71" s="59"/>
      <c r="X71" s="63"/>
      <c r="Y71" s="59"/>
      <c r="Z71" s="63"/>
      <c r="AA71" s="59"/>
      <c r="AB71" s="61" t="s">
        <v>1324</v>
      </c>
      <c r="AC71" s="59"/>
      <c r="AD71" s="63"/>
      <c r="AE71" s="63"/>
    </row>
    <row r="72" ht="13.5" customHeight="1">
      <c r="A72" s="59"/>
      <c r="B72" s="62" t="s">
        <v>1325</v>
      </c>
      <c r="C72" s="59"/>
      <c r="D72" s="61" t="s">
        <v>883</v>
      </c>
      <c r="E72" s="59"/>
      <c r="F72" s="63"/>
      <c r="G72" s="59"/>
      <c r="H72" s="63"/>
      <c r="I72" s="59"/>
      <c r="J72" s="63"/>
      <c r="K72" s="59"/>
      <c r="L72" s="63"/>
      <c r="M72" s="59"/>
      <c r="N72" s="63"/>
      <c r="O72" s="59"/>
      <c r="P72" s="63"/>
      <c r="Q72" s="59"/>
      <c r="R72" s="63"/>
      <c r="S72" s="59"/>
      <c r="T72" s="63"/>
      <c r="U72" s="59"/>
      <c r="V72" s="63"/>
      <c r="W72" s="59"/>
      <c r="X72" s="63"/>
      <c r="Y72" s="59"/>
      <c r="Z72" s="63"/>
      <c r="AA72" s="59"/>
      <c r="AB72" s="61" t="s">
        <v>1326</v>
      </c>
      <c r="AC72" s="59"/>
      <c r="AD72" s="63"/>
      <c r="AE72" s="63"/>
    </row>
    <row r="73" ht="13.5" customHeight="1">
      <c r="A73" s="59"/>
      <c r="B73" s="60" t="s">
        <v>1327</v>
      </c>
      <c r="C73" s="59"/>
      <c r="D73" s="61" t="s">
        <v>1328</v>
      </c>
      <c r="E73" s="59"/>
      <c r="F73" s="63"/>
      <c r="G73" s="59"/>
      <c r="H73" s="63"/>
      <c r="I73" s="59"/>
      <c r="J73" s="63"/>
      <c r="K73" s="59"/>
      <c r="L73" s="63"/>
      <c r="M73" s="59"/>
      <c r="N73" s="63"/>
      <c r="O73" s="59"/>
      <c r="P73" s="63"/>
      <c r="Q73" s="59"/>
      <c r="R73" s="63"/>
      <c r="S73" s="59"/>
      <c r="T73" s="63"/>
      <c r="U73" s="59"/>
      <c r="V73" s="63"/>
      <c r="W73" s="59"/>
      <c r="X73" s="63"/>
      <c r="Y73" s="59"/>
      <c r="Z73" s="63"/>
      <c r="AA73" s="59"/>
      <c r="AB73" s="61" t="s">
        <v>1329</v>
      </c>
      <c r="AC73" s="59"/>
      <c r="AD73" s="63"/>
      <c r="AE73" s="63"/>
    </row>
    <row r="74" ht="13.5" customHeight="1">
      <c r="A74" s="59"/>
      <c r="B74" s="64" t="s">
        <v>1330</v>
      </c>
      <c r="C74" s="59"/>
      <c r="D74" s="61" t="s">
        <v>1331</v>
      </c>
      <c r="E74" s="59"/>
      <c r="F74" s="63"/>
      <c r="G74" s="59"/>
      <c r="H74" s="63"/>
      <c r="I74" s="59"/>
      <c r="J74" s="63"/>
      <c r="K74" s="59"/>
      <c r="L74" s="63"/>
      <c r="M74" s="59"/>
      <c r="N74" s="63"/>
      <c r="O74" s="59"/>
      <c r="P74" s="63"/>
      <c r="Q74" s="59"/>
      <c r="R74" s="63"/>
      <c r="S74" s="59"/>
      <c r="T74" s="63"/>
      <c r="U74" s="59"/>
      <c r="V74" s="63"/>
      <c r="W74" s="59"/>
      <c r="X74" s="63"/>
      <c r="Y74" s="59"/>
      <c r="Z74" s="63"/>
      <c r="AA74" s="59"/>
      <c r="AB74" s="61" t="s">
        <v>1332</v>
      </c>
      <c r="AC74" s="59"/>
      <c r="AD74" s="63"/>
      <c r="AE74" s="63"/>
    </row>
    <row r="75" ht="13.5" customHeight="1">
      <c r="A75" s="59"/>
      <c r="B75" s="64" t="s">
        <v>1333</v>
      </c>
      <c r="C75" s="59"/>
      <c r="D75" s="62" t="s">
        <v>1334</v>
      </c>
      <c r="E75" s="59"/>
      <c r="F75" s="63"/>
      <c r="G75" s="59"/>
      <c r="H75" s="63"/>
      <c r="I75" s="59"/>
      <c r="J75" s="63"/>
      <c r="K75" s="59"/>
      <c r="L75" s="63"/>
      <c r="M75" s="59"/>
      <c r="N75" s="63"/>
      <c r="O75" s="59"/>
      <c r="P75" s="63"/>
      <c r="Q75" s="59"/>
      <c r="R75" s="63"/>
      <c r="S75" s="59"/>
      <c r="T75" s="63"/>
      <c r="U75" s="59"/>
      <c r="V75" s="63"/>
      <c r="W75" s="59"/>
      <c r="X75" s="63"/>
      <c r="Y75" s="59"/>
      <c r="Z75" s="63"/>
      <c r="AA75" s="59"/>
      <c r="AB75" s="61" t="s">
        <v>1335</v>
      </c>
      <c r="AC75" s="59"/>
      <c r="AD75" s="63"/>
      <c r="AE75" s="63"/>
    </row>
    <row r="76" ht="13.5" customHeight="1">
      <c r="A76" s="59"/>
      <c r="B76" s="64" t="s">
        <v>1336</v>
      </c>
      <c r="C76" s="59"/>
      <c r="D76" s="62" t="s">
        <v>1337</v>
      </c>
      <c r="E76" s="59"/>
      <c r="F76" s="63"/>
      <c r="G76" s="59"/>
      <c r="H76" s="63"/>
      <c r="I76" s="59"/>
      <c r="J76" s="63"/>
      <c r="K76" s="59"/>
      <c r="L76" s="63"/>
      <c r="M76" s="59"/>
      <c r="N76" s="63"/>
      <c r="O76" s="59"/>
      <c r="P76" s="63"/>
      <c r="Q76" s="59"/>
      <c r="R76" s="63"/>
      <c r="S76" s="59"/>
      <c r="T76" s="63"/>
      <c r="U76" s="59"/>
      <c r="V76" s="63"/>
      <c r="W76" s="59"/>
      <c r="X76" s="63"/>
      <c r="Y76" s="59"/>
      <c r="Z76" s="63"/>
      <c r="AA76" s="59"/>
      <c r="AB76" s="61" t="s">
        <v>1338</v>
      </c>
      <c r="AC76" s="59"/>
      <c r="AD76" s="63"/>
      <c r="AE76" s="63"/>
    </row>
    <row r="77" ht="13.5" customHeight="1">
      <c r="A77" s="59"/>
      <c r="B77" s="62" t="s">
        <v>1339</v>
      </c>
      <c r="C77" s="59"/>
      <c r="D77" s="62" t="s">
        <v>1340</v>
      </c>
      <c r="E77" s="59"/>
      <c r="F77" s="63"/>
      <c r="G77" s="59"/>
      <c r="H77" s="63"/>
      <c r="I77" s="59"/>
      <c r="J77" s="63"/>
      <c r="K77" s="59"/>
      <c r="L77" s="63"/>
      <c r="M77" s="59"/>
      <c r="N77" s="63"/>
      <c r="O77" s="59"/>
      <c r="P77" s="63"/>
      <c r="Q77" s="59"/>
      <c r="R77" s="63"/>
      <c r="S77" s="59"/>
      <c r="T77" s="63"/>
      <c r="U77" s="59"/>
      <c r="V77" s="63"/>
      <c r="W77" s="59"/>
      <c r="X77" s="63"/>
      <c r="Y77" s="59"/>
      <c r="Z77" s="63"/>
      <c r="AA77" s="59"/>
      <c r="AB77" s="61" t="s">
        <v>1341</v>
      </c>
      <c r="AC77" s="59"/>
      <c r="AD77" s="63"/>
      <c r="AE77" s="63"/>
    </row>
    <row r="78" ht="13.5" customHeight="1">
      <c r="A78" s="59"/>
      <c r="B78" s="62" t="s">
        <v>1342</v>
      </c>
      <c r="C78" s="59"/>
      <c r="D78" s="61" t="s">
        <v>1343</v>
      </c>
      <c r="E78" s="59"/>
      <c r="F78" s="63"/>
      <c r="G78" s="59"/>
      <c r="H78" s="63"/>
      <c r="I78" s="59"/>
      <c r="J78" s="63"/>
      <c r="K78" s="59"/>
      <c r="L78" s="63"/>
      <c r="M78" s="59"/>
      <c r="N78" s="63"/>
      <c r="O78" s="59"/>
      <c r="P78" s="63"/>
      <c r="Q78" s="59"/>
      <c r="R78" s="63"/>
      <c r="S78" s="59"/>
      <c r="T78" s="63"/>
      <c r="U78" s="59"/>
      <c r="V78" s="63"/>
      <c r="W78" s="59"/>
      <c r="X78" s="63"/>
      <c r="Y78" s="59"/>
      <c r="Z78" s="63"/>
      <c r="AA78" s="59"/>
      <c r="AB78" s="61" t="s">
        <v>1344</v>
      </c>
      <c r="AC78" s="59"/>
      <c r="AD78" s="63"/>
      <c r="AE78" s="63"/>
    </row>
    <row r="79" ht="13.5" customHeight="1">
      <c r="A79" s="59"/>
      <c r="B79" s="63"/>
      <c r="C79" s="59"/>
      <c r="D79" s="62" t="s">
        <v>1345</v>
      </c>
      <c r="E79" s="59"/>
      <c r="F79" s="63"/>
      <c r="G79" s="59"/>
      <c r="H79" s="63"/>
      <c r="I79" s="59"/>
      <c r="J79" s="63"/>
      <c r="K79" s="59"/>
      <c r="L79" s="63"/>
      <c r="M79" s="59"/>
      <c r="N79" s="63"/>
      <c r="O79" s="59"/>
      <c r="P79" s="63"/>
      <c r="Q79" s="59"/>
      <c r="R79" s="63"/>
      <c r="S79" s="59"/>
      <c r="T79" s="63"/>
      <c r="U79" s="59"/>
      <c r="V79" s="63"/>
      <c r="W79" s="59"/>
      <c r="X79" s="63"/>
      <c r="Y79" s="59"/>
      <c r="Z79" s="63"/>
      <c r="AA79" s="59"/>
      <c r="AB79" s="61" t="s">
        <v>1346</v>
      </c>
      <c r="AC79" s="59"/>
      <c r="AD79" s="63"/>
      <c r="AE79" s="63"/>
    </row>
    <row r="80" ht="13.5" customHeight="1">
      <c r="A80" s="59"/>
      <c r="B80" s="63"/>
      <c r="C80" s="59"/>
      <c r="D80" s="60" t="s">
        <v>1347</v>
      </c>
      <c r="E80" s="59"/>
      <c r="F80" s="63"/>
      <c r="G80" s="59"/>
      <c r="H80" s="63"/>
      <c r="I80" s="59"/>
      <c r="J80" s="63"/>
      <c r="K80" s="59"/>
      <c r="L80" s="63"/>
      <c r="M80" s="59"/>
      <c r="N80" s="63"/>
      <c r="O80" s="59"/>
      <c r="P80" s="63"/>
      <c r="Q80" s="59"/>
      <c r="R80" s="63"/>
      <c r="S80" s="59"/>
      <c r="T80" s="63"/>
      <c r="U80" s="59"/>
      <c r="V80" s="63"/>
      <c r="W80" s="59"/>
      <c r="X80" s="63"/>
      <c r="Y80" s="59"/>
      <c r="Z80" s="63"/>
      <c r="AA80" s="59"/>
      <c r="AB80" s="61" t="s">
        <v>1348</v>
      </c>
      <c r="AC80" s="59"/>
      <c r="AD80" s="63"/>
      <c r="AE80" s="63"/>
    </row>
    <row r="81" ht="13.5" customHeight="1">
      <c r="A81" s="59"/>
      <c r="B81" s="63"/>
      <c r="C81" s="59"/>
      <c r="D81" s="64" t="s">
        <v>1349</v>
      </c>
      <c r="E81" s="59"/>
      <c r="F81" s="63"/>
      <c r="G81" s="59"/>
      <c r="H81" s="63"/>
      <c r="I81" s="59"/>
      <c r="J81" s="63"/>
      <c r="K81" s="59"/>
      <c r="L81" s="63"/>
      <c r="M81" s="59"/>
      <c r="N81" s="63"/>
      <c r="O81" s="59"/>
      <c r="P81" s="63"/>
      <c r="Q81" s="59"/>
      <c r="R81" s="63"/>
      <c r="S81" s="59"/>
      <c r="T81" s="63"/>
      <c r="U81" s="59"/>
      <c r="V81" s="63"/>
      <c r="W81" s="59"/>
      <c r="X81" s="63"/>
      <c r="Y81" s="59"/>
      <c r="Z81" s="63"/>
      <c r="AA81" s="59"/>
      <c r="AB81" s="61" t="s">
        <v>1350</v>
      </c>
      <c r="AC81" s="59"/>
      <c r="AD81" s="63"/>
      <c r="AE81" s="63"/>
    </row>
    <row r="82" ht="13.5" customHeight="1">
      <c r="A82" s="59"/>
      <c r="B82" s="63"/>
      <c r="C82" s="59"/>
      <c r="D82" s="62" t="s">
        <v>1351</v>
      </c>
      <c r="E82" s="59"/>
      <c r="F82" s="63"/>
      <c r="G82" s="59"/>
      <c r="H82" s="63"/>
      <c r="I82" s="59"/>
      <c r="J82" s="63"/>
      <c r="K82" s="59"/>
      <c r="L82" s="63"/>
      <c r="M82" s="59"/>
      <c r="N82" s="63"/>
      <c r="O82" s="59"/>
      <c r="P82" s="63"/>
      <c r="Q82" s="59"/>
      <c r="R82" s="63"/>
      <c r="S82" s="59"/>
      <c r="T82" s="63"/>
      <c r="U82" s="59"/>
      <c r="V82" s="63"/>
      <c r="W82" s="59"/>
      <c r="X82" s="63"/>
      <c r="Y82" s="59"/>
      <c r="Z82" s="63"/>
      <c r="AA82" s="59"/>
      <c r="AB82" s="61" t="s">
        <v>1352</v>
      </c>
      <c r="AC82" s="59"/>
      <c r="AD82" s="63"/>
      <c r="AE82" s="63"/>
    </row>
    <row r="83" ht="13.5" customHeight="1">
      <c r="A83" s="59"/>
      <c r="B83" s="63"/>
      <c r="C83" s="59"/>
      <c r="D83" s="63"/>
      <c r="E83" s="59"/>
      <c r="F83" s="63"/>
      <c r="G83" s="59"/>
      <c r="H83" s="63"/>
      <c r="I83" s="59"/>
      <c r="J83" s="63"/>
      <c r="K83" s="59"/>
      <c r="L83" s="63"/>
      <c r="M83" s="59"/>
      <c r="N83" s="63"/>
      <c r="O83" s="59"/>
      <c r="P83" s="63"/>
      <c r="Q83" s="59"/>
      <c r="R83" s="63"/>
      <c r="S83" s="59"/>
      <c r="T83" s="63"/>
      <c r="U83" s="59"/>
      <c r="V83" s="63"/>
      <c r="W83" s="59"/>
      <c r="X83" s="63"/>
      <c r="Y83" s="59"/>
      <c r="Z83" s="63"/>
      <c r="AA83" s="59"/>
      <c r="AB83" s="61" t="s">
        <v>1353</v>
      </c>
      <c r="AC83" s="59"/>
      <c r="AD83" s="63"/>
      <c r="AE83" s="63"/>
    </row>
    <row r="84" ht="13.5" customHeight="1">
      <c r="A84" s="59"/>
      <c r="B84" s="63"/>
      <c r="C84" s="59"/>
      <c r="D84" s="63"/>
      <c r="E84" s="59"/>
      <c r="F84" s="63"/>
      <c r="G84" s="59"/>
      <c r="H84" s="63"/>
      <c r="I84" s="59"/>
      <c r="J84" s="63"/>
      <c r="K84" s="59"/>
      <c r="L84" s="63"/>
      <c r="M84" s="59"/>
      <c r="N84" s="63"/>
      <c r="O84" s="59"/>
      <c r="P84" s="63"/>
      <c r="Q84" s="59"/>
      <c r="R84" s="63"/>
      <c r="S84" s="59"/>
      <c r="T84" s="63"/>
      <c r="U84" s="59"/>
      <c r="V84" s="63"/>
      <c r="W84" s="59"/>
      <c r="X84" s="63"/>
      <c r="Y84" s="59"/>
      <c r="Z84" s="63"/>
      <c r="AA84" s="59"/>
      <c r="AB84" s="61" t="s">
        <v>1354</v>
      </c>
      <c r="AC84" s="59"/>
      <c r="AD84" s="63"/>
      <c r="AE84" s="63"/>
    </row>
    <row r="85" ht="13.5" customHeight="1">
      <c r="A85" s="59"/>
      <c r="B85" s="63"/>
      <c r="C85" s="59"/>
      <c r="D85" s="63"/>
      <c r="E85" s="59"/>
      <c r="F85" s="63"/>
      <c r="G85" s="59"/>
      <c r="H85" s="63"/>
      <c r="I85" s="59"/>
      <c r="J85" s="63"/>
      <c r="K85" s="59"/>
      <c r="L85" s="63"/>
      <c r="M85" s="59"/>
      <c r="N85" s="63"/>
      <c r="O85" s="59"/>
      <c r="P85" s="63"/>
      <c r="Q85" s="59"/>
      <c r="R85" s="63"/>
      <c r="S85" s="59"/>
      <c r="T85" s="63"/>
      <c r="U85" s="59"/>
      <c r="V85" s="63"/>
      <c r="W85" s="59"/>
      <c r="X85" s="63"/>
      <c r="Y85" s="59"/>
      <c r="Z85" s="63"/>
      <c r="AA85" s="59"/>
      <c r="AB85" s="61" t="s">
        <v>1355</v>
      </c>
      <c r="AC85" s="59"/>
      <c r="AD85" s="63"/>
      <c r="AE85" s="63"/>
    </row>
    <row r="86" ht="13.5" customHeight="1">
      <c r="A86" s="59"/>
      <c r="B86" s="63"/>
      <c r="C86" s="59"/>
      <c r="D86" s="63"/>
      <c r="E86" s="59"/>
      <c r="F86" s="63"/>
      <c r="G86" s="59"/>
      <c r="H86" s="63"/>
      <c r="I86" s="59"/>
      <c r="J86" s="63"/>
      <c r="K86" s="59"/>
      <c r="L86" s="63"/>
      <c r="M86" s="59"/>
      <c r="N86" s="63"/>
      <c r="O86" s="59"/>
      <c r="P86" s="63"/>
      <c r="Q86" s="59"/>
      <c r="R86" s="63"/>
      <c r="S86" s="59"/>
      <c r="T86" s="63"/>
      <c r="U86" s="59"/>
      <c r="V86" s="63"/>
      <c r="W86" s="59"/>
      <c r="X86" s="63"/>
      <c r="Y86" s="59"/>
      <c r="Z86" s="63"/>
      <c r="AA86" s="59"/>
      <c r="AB86" s="61" t="s">
        <v>1356</v>
      </c>
      <c r="AC86" s="59"/>
      <c r="AD86" s="63"/>
      <c r="AE86" s="63"/>
    </row>
    <row r="87" ht="13.5" customHeight="1">
      <c r="A87" s="59"/>
      <c r="B87" s="63"/>
      <c r="C87" s="59"/>
      <c r="D87" s="63"/>
      <c r="E87" s="59"/>
      <c r="F87" s="63"/>
      <c r="G87" s="59"/>
      <c r="H87" s="63"/>
      <c r="I87" s="59"/>
      <c r="J87" s="63"/>
      <c r="K87" s="59"/>
      <c r="L87" s="63"/>
      <c r="M87" s="59"/>
      <c r="N87" s="63"/>
      <c r="O87" s="59"/>
      <c r="P87" s="63"/>
      <c r="Q87" s="59"/>
      <c r="R87" s="63"/>
      <c r="S87" s="59"/>
      <c r="T87" s="63"/>
      <c r="U87" s="59"/>
      <c r="V87" s="63"/>
      <c r="W87" s="59"/>
      <c r="X87" s="63"/>
      <c r="Y87" s="59"/>
      <c r="Z87" s="63"/>
      <c r="AA87" s="59"/>
      <c r="AB87" s="61" t="s">
        <v>1357</v>
      </c>
      <c r="AC87" s="59"/>
      <c r="AD87" s="63"/>
      <c r="AE87" s="63"/>
    </row>
    <row r="88" ht="13.5" customHeight="1">
      <c r="A88" s="59"/>
      <c r="B88" s="63"/>
      <c r="C88" s="59"/>
      <c r="D88" s="63"/>
      <c r="E88" s="59"/>
      <c r="F88" s="63"/>
      <c r="G88" s="59"/>
      <c r="H88" s="63"/>
      <c r="I88" s="59"/>
      <c r="J88" s="63"/>
      <c r="K88" s="59"/>
      <c r="L88" s="63"/>
      <c r="M88" s="59"/>
      <c r="N88" s="63"/>
      <c r="O88" s="59"/>
      <c r="P88" s="63"/>
      <c r="Q88" s="59"/>
      <c r="R88" s="63"/>
      <c r="S88" s="59"/>
      <c r="T88" s="63"/>
      <c r="U88" s="59"/>
      <c r="V88" s="63"/>
      <c r="W88" s="59"/>
      <c r="X88" s="63"/>
      <c r="Y88" s="59"/>
      <c r="Z88" s="63"/>
      <c r="AA88" s="59"/>
      <c r="AB88" s="61" t="s">
        <v>1358</v>
      </c>
      <c r="AC88" s="59"/>
      <c r="AD88" s="63"/>
      <c r="AE88" s="63"/>
    </row>
    <row r="89" ht="13.5" customHeight="1">
      <c r="A89" s="59"/>
      <c r="B89" s="63"/>
      <c r="C89" s="59"/>
      <c r="D89" s="63"/>
      <c r="E89" s="59"/>
      <c r="F89" s="63"/>
      <c r="G89" s="59"/>
      <c r="H89" s="63"/>
      <c r="I89" s="59"/>
      <c r="J89" s="63"/>
      <c r="K89" s="59"/>
      <c r="L89" s="63"/>
      <c r="M89" s="59"/>
      <c r="N89" s="63"/>
      <c r="O89" s="59"/>
      <c r="P89" s="63"/>
      <c r="Q89" s="59"/>
      <c r="R89" s="63"/>
      <c r="S89" s="59"/>
      <c r="T89" s="63"/>
      <c r="U89" s="59"/>
      <c r="V89" s="63"/>
      <c r="W89" s="59"/>
      <c r="X89" s="63"/>
      <c r="Y89" s="59"/>
      <c r="Z89" s="63"/>
      <c r="AA89" s="59"/>
      <c r="AB89" s="60" t="s">
        <v>1359</v>
      </c>
      <c r="AC89" s="59"/>
      <c r="AD89" s="63"/>
      <c r="AE89" s="63"/>
    </row>
    <row r="90" ht="13.5" customHeight="1">
      <c r="A90" s="59"/>
      <c r="B90" s="63"/>
      <c r="C90" s="59"/>
      <c r="D90" s="63"/>
      <c r="E90" s="59"/>
      <c r="F90" s="63"/>
      <c r="G90" s="59"/>
      <c r="H90" s="63"/>
      <c r="I90" s="59"/>
      <c r="J90" s="63"/>
      <c r="K90" s="59"/>
      <c r="L90" s="63"/>
      <c r="M90" s="59"/>
      <c r="N90" s="63"/>
      <c r="O90" s="59"/>
      <c r="P90" s="63"/>
      <c r="Q90" s="59"/>
      <c r="R90" s="63"/>
      <c r="S90" s="59"/>
      <c r="T90" s="63"/>
      <c r="U90" s="59"/>
      <c r="V90" s="63"/>
      <c r="W90" s="59"/>
      <c r="X90" s="63"/>
      <c r="Y90" s="59"/>
      <c r="Z90" s="63"/>
      <c r="AA90" s="59"/>
      <c r="AB90" s="61" t="s">
        <v>1360</v>
      </c>
      <c r="AC90" s="59"/>
      <c r="AD90" s="63"/>
      <c r="AE90" s="63"/>
    </row>
    <row r="91" ht="13.5" customHeight="1">
      <c r="A91" s="59"/>
      <c r="B91" s="63"/>
      <c r="C91" s="59"/>
      <c r="D91" s="63"/>
      <c r="E91" s="59"/>
      <c r="F91" s="63"/>
      <c r="G91" s="59"/>
      <c r="H91" s="63"/>
      <c r="I91" s="59"/>
      <c r="J91" s="63"/>
      <c r="K91" s="59"/>
      <c r="L91" s="63"/>
      <c r="M91" s="59"/>
      <c r="N91" s="63"/>
      <c r="O91" s="59"/>
      <c r="P91" s="63"/>
      <c r="Q91" s="59"/>
      <c r="R91" s="63"/>
      <c r="S91" s="59"/>
      <c r="T91" s="63"/>
      <c r="U91" s="59"/>
      <c r="V91" s="63"/>
      <c r="W91" s="59"/>
      <c r="X91" s="63"/>
      <c r="Y91" s="59"/>
      <c r="Z91" s="63"/>
      <c r="AA91" s="59"/>
      <c r="AB91" s="61" t="s">
        <v>1361</v>
      </c>
      <c r="AC91" s="59"/>
      <c r="AD91" s="63"/>
      <c r="AE91" s="63"/>
    </row>
    <row r="92" ht="13.5" customHeight="1">
      <c r="A92" s="59"/>
      <c r="B92" s="63"/>
      <c r="C92" s="59"/>
      <c r="D92" s="63"/>
      <c r="E92" s="59"/>
      <c r="F92" s="63"/>
      <c r="G92" s="59"/>
      <c r="H92" s="63"/>
      <c r="I92" s="59"/>
      <c r="J92" s="63"/>
      <c r="K92" s="59"/>
      <c r="L92" s="63"/>
      <c r="M92" s="59"/>
      <c r="N92" s="63"/>
      <c r="O92" s="59"/>
      <c r="P92" s="63"/>
      <c r="Q92" s="59"/>
      <c r="R92" s="63"/>
      <c r="S92" s="59"/>
      <c r="T92" s="63"/>
      <c r="U92" s="59"/>
      <c r="V92" s="63"/>
      <c r="W92" s="59"/>
      <c r="X92" s="63"/>
      <c r="Y92" s="59"/>
      <c r="Z92" s="63"/>
      <c r="AA92" s="59"/>
      <c r="AB92" s="61" t="s">
        <v>1362</v>
      </c>
      <c r="AC92" s="59"/>
      <c r="AD92" s="63"/>
      <c r="AE92" s="63"/>
    </row>
    <row r="93" ht="13.5" customHeight="1">
      <c r="A93" s="59"/>
      <c r="B93" s="63"/>
      <c r="C93" s="59"/>
      <c r="D93" s="63"/>
      <c r="E93" s="59"/>
      <c r="F93" s="63"/>
      <c r="G93" s="59"/>
      <c r="H93" s="63"/>
      <c r="I93" s="59"/>
      <c r="J93" s="63"/>
      <c r="K93" s="59"/>
      <c r="L93" s="63"/>
      <c r="M93" s="59"/>
      <c r="N93" s="63"/>
      <c r="O93" s="59"/>
      <c r="P93" s="63"/>
      <c r="Q93" s="59"/>
      <c r="R93" s="63"/>
      <c r="S93" s="59"/>
      <c r="T93" s="63"/>
      <c r="U93" s="59"/>
      <c r="V93" s="63"/>
      <c r="W93" s="59"/>
      <c r="X93" s="63"/>
      <c r="Y93" s="59"/>
      <c r="Z93" s="63"/>
      <c r="AA93" s="59"/>
      <c r="AB93" s="61" t="s">
        <v>1363</v>
      </c>
      <c r="AC93" s="59"/>
      <c r="AD93" s="63"/>
      <c r="AE93" s="63"/>
    </row>
    <row r="94" ht="13.5" customHeight="1">
      <c r="A94" s="59"/>
      <c r="B94" s="63"/>
      <c r="C94" s="59"/>
      <c r="D94" s="63"/>
      <c r="E94" s="59"/>
      <c r="F94" s="63"/>
      <c r="G94" s="59"/>
      <c r="H94" s="63"/>
      <c r="I94" s="59"/>
      <c r="J94" s="63"/>
      <c r="K94" s="59"/>
      <c r="L94" s="63"/>
      <c r="M94" s="59"/>
      <c r="N94" s="63"/>
      <c r="O94" s="59"/>
      <c r="P94" s="63"/>
      <c r="Q94" s="59"/>
      <c r="R94" s="63"/>
      <c r="S94" s="59"/>
      <c r="T94" s="63"/>
      <c r="U94" s="59"/>
      <c r="V94" s="63"/>
      <c r="W94" s="59"/>
      <c r="X94" s="63"/>
      <c r="Y94" s="59"/>
      <c r="Z94" s="63"/>
      <c r="AA94" s="59"/>
      <c r="AB94" s="61" t="s">
        <v>1364</v>
      </c>
      <c r="AC94" s="59"/>
      <c r="AD94" s="63"/>
      <c r="AE94" s="63"/>
    </row>
    <row r="95" ht="13.5" customHeight="1">
      <c r="A95" s="59"/>
      <c r="B95" s="63"/>
      <c r="C95" s="59"/>
      <c r="D95" s="63"/>
      <c r="E95" s="59"/>
      <c r="F95" s="63"/>
      <c r="G95" s="59"/>
      <c r="H95" s="63"/>
      <c r="I95" s="59"/>
      <c r="J95" s="63"/>
      <c r="K95" s="59"/>
      <c r="L95" s="63"/>
      <c r="M95" s="59"/>
      <c r="N95" s="63"/>
      <c r="O95" s="59"/>
      <c r="P95" s="63"/>
      <c r="Q95" s="59"/>
      <c r="R95" s="63"/>
      <c r="S95" s="59"/>
      <c r="T95" s="63"/>
      <c r="U95" s="59"/>
      <c r="V95" s="63"/>
      <c r="W95" s="59"/>
      <c r="X95" s="63"/>
      <c r="Y95" s="59"/>
      <c r="Z95" s="63"/>
      <c r="AA95" s="59"/>
      <c r="AB95" s="60" t="s">
        <v>1365</v>
      </c>
      <c r="AC95" s="59"/>
      <c r="AD95" s="63"/>
      <c r="AE95" s="63"/>
    </row>
    <row r="96" ht="13.5" customHeight="1">
      <c r="A96" s="59"/>
      <c r="B96" s="63"/>
      <c r="C96" s="59"/>
      <c r="D96" s="63"/>
      <c r="E96" s="59"/>
      <c r="F96" s="63"/>
      <c r="G96" s="59"/>
      <c r="H96" s="63"/>
      <c r="I96" s="59"/>
      <c r="J96" s="63"/>
      <c r="K96" s="59"/>
      <c r="L96" s="63"/>
      <c r="M96" s="59"/>
      <c r="N96" s="63"/>
      <c r="O96" s="59"/>
      <c r="P96" s="63"/>
      <c r="Q96" s="59"/>
      <c r="R96" s="63"/>
      <c r="S96" s="59"/>
      <c r="T96" s="63"/>
      <c r="U96" s="59"/>
      <c r="V96" s="63"/>
      <c r="W96" s="59"/>
      <c r="X96" s="63"/>
      <c r="Y96" s="59"/>
      <c r="Z96" s="63"/>
      <c r="AA96" s="59"/>
      <c r="AB96" s="60" t="s">
        <v>1366</v>
      </c>
      <c r="AC96" s="59"/>
      <c r="AD96" s="63"/>
      <c r="AE96" s="63"/>
    </row>
    <row r="97" ht="13.5" customHeight="1">
      <c r="A97" s="59"/>
      <c r="B97" s="63"/>
      <c r="C97" s="59"/>
      <c r="D97" s="63"/>
      <c r="E97" s="59"/>
      <c r="F97" s="63"/>
      <c r="G97" s="59"/>
      <c r="H97" s="63"/>
      <c r="I97" s="59"/>
      <c r="J97" s="63"/>
      <c r="K97" s="59"/>
      <c r="L97" s="63"/>
      <c r="M97" s="59"/>
      <c r="N97" s="63"/>
      <c r="O97" s="59"/>
      <c r="P97" s="63"/>
      <c r="Q97" s="59"/>
      <c r="R97" s="63"/>
      <c r="S97" s="59"/>
      <c r="T97" s="63"/>
      <c r="U97" s="59"/>
      <c r="V97" s="63"/>
      <c r="W97" s="59"/>
      <c r="X97" s="63"/>
      <c r="Y97" s="59"/>
      <c r="Z97" s="63"/>
      <c r="AA97" s="59"/>
      <c r="AB97" s="60" t="s">
        <v>1367</v>
      </c>
      <c r="AC97" s="59"/>
      <c r="AD97" s="63"/>
      <c r="AE97" s="63"/>
    </row>
    <row r="98" ht="13.5" customHeight="1">
      <c r="A98" s="59"/>
      <c r="B98" s="63"/>
      <c r="C98" s="59"/>
      <c r="D98" s="63"/>
      <c r="E98" s="59"/>
      <c r="F98" s="63"/>
      <c r="G98" s="59"/>
      <c r="H98" s="63"/>
      <c r="I98" s="59"/>
      <c r="J98" s="63"/>
      <c r="K98" s="59"/>
      <c r="L98" s="63"/>
      <c r="M98" s="59"/>
      <c r="N98" s="63"/>
      <c r="O98" s="59"/>
      <c r="P98" s="63"/>
      <c r="Q98" s="59"/>
      <c r="R98" s="63"/>
      <c r="S98" s="59"/>
      <c r="T98" s="63"/>
      <c r="U98" s="59"/>
      <c r="V98" s="63"/>
      <c r="W98" s="59"/>
      <c r="X98" s="63"/>
      <c r="Y98" s="59"/>
      <c r="Z98" s="63"/>
      <c r="AA98" s="59"/>
      <c r="AB98" s="60" t="s">
        <v>1368</v>
      </c>
      <c r="AC98" s="59"/>
      <c r="AD98" s="63"/>
      <c r="AE98" s="63"/>
    </row>
    <row r="99" ht="13.5" customHeight="1">
      <c r="A99" s="59"/>
      <c r="B99" s="63"/>
      <c r="C99" s="59"/>
      <c r="D99" s="63"/>
      <c r="E99" s="59"/>
      <c r="F99" s="63"/>
      <c r="G99" s="59"/>
      <c r="H99" s="63"/>
      <c r="I99" s="59"/>
      <c r="J99" s="63"/>
      <c r="K99" s="59"/>
      <c r="L99" s="63"/>
      <c r="M99" s="59"/>
      <c r="N99" s="63"/>
      <c r="O99" s="59"/>
      <c r="P99" s="63"/>
      <c r="Q99" s="59"/>
      <c r="R99" s="63"/>
      <c r="S99" s="59"/>
      <c r="T99" s="63"/>
      <c r="U99" s="59"/>
      <c r="V99" s="63"/>
      <c r="W99" s="59"/>
      <c r="X99" s="63"/>
      <c r="Y99" s="59"/>
      <c r="Z99" s="63"/>
      <c r="AA99" s="59"/>
      <c r="AB99" s="61" t="s">
        <v>1369</v>
      </c>
      <c r="AC99" s="59"/>
      <c r="AD99" s="63"/>
      <c r="AE99" s="63"/>
    </row>
    <row r="100" ht="13.5" customHeight="1">
      <c r="A100" s="59"/>
      <c r="B100" s="63"/>
      <c r="C100" s="59"/>
      <c r="D100" s="63"/>
      <c r="E100" s="59"/>
      <c r="F100" s="63"/>
      <c r="G100" s="59"/>
      <c r="H100" s="63"/>
      <c r="I100" s="59"/>
      <c r="J100" s="63"/>
      <c r="K100" s="59"/>
      <c r="L100" s="63"/>
      <c r="M100" s="59"/>
      <c r="N100" s="63"/>
      <c r="O100" s="59"/>
      <c r="P100" s="63"/>
      <c r="Q100" s="59"/>
      <c r="R100" s="63"/>
      <c r="S100" s="59"/>
      <c r="T100" s="63"/>
      <c r="U100" s="59"/>
      <c r="V100" s="63"/>
      <c r="W100" s="59"/>
      <c r="X100" s="63"/>
      <c r="Y100" s="59"/>
      <c r="Z100" s="63"/>
      <c r="AA100" s="59"/>
      <c r="AB100" s="61" t="s">
        <v>1370</v>
      </c>
      <c r="AC100" s="59"/>
      <c r="AD100" s="63"/>
      <c r="AE100" s="63"/>
    </row>
    <row r="101" ht="13.5" customHeight="1">
      <c r="A101" s="59"/>
      <c r="B101" s="63"/>
      <c r="C101" s="59"/>
      <c r="D101" s="63"/>
      <c r="E101" s="59"/>
      <c r="F101" s="63"/>
      <c r="G101" s="59"/>
      <c r="H101" s="63"/>
      <c r="I101" s="59"/>
      <c r="J101" s="63"/>
      <c r="K101" s="59"/>
      <c r="L101" s="63"/>
      <c r="M101" s="59"/>
      <c r="N101" s="63"/>
      <c r="O101" s="59"/>
      <c r="P101" s="63"/>
      <c r="Q101" s="59"/>
      <c r="R101" s="63"/>
      <c r="S101" s="59"/>
      <c r="T101" s="63"/>
      <c r="U101" s="59"/>
      <c r="V101" s="63"/>
      <c r="W101" s="59"/>
      <c r="X101" s="63"/>
      <c r="Y101" s="59"/>
      <c r="Z101" s="63"/>
      <c r="AA101" s="59"/>
      <c r="AB101" s="61" t="s">
        <v>1371</v>
      </c>
      <c r="AC101" s="59"/>
      <c r="AD101" s="63"/>
      <c r="AE101" s="63"/>
    </row>
    <row r="102" ht="13.5" customHeight="1">
      <c r="A102" s="59"/>
      <c r="B102" s="63"/>
      <c r="C102" s="59"/>
      <c r="D102" s="63"/>
      <c r="E102" s="59"/>
      <c r="F102" s="63"/>
      <c r="G102" s="59"/>
      <c r="H102" s="63"/>
      <c r="I102" s="59"/>
      <c r="J102" s="63"/>
      <c r="K102" s="59"/>
      <c r="L102" s="63"/>
      <c r="M102" s="59"/>
      <c r="N102" s="63"/>
      <c r="O102" s="59"/>
      <c r="P102" s="63"/>
      <c r="Q102" s="59"/>
      <c r="R102" s="63"/>
      <c r="S102" s="59"/>
      <c r="T102" s="63"/>
      <c r="U102" s="59"/>
      <c r="V102" s="63"/>
      <c r="W102" s="59"/>
      <c r="X102" s="63"/>
      <c r="Y102" s="59"/>
      <c r="Z102" s="63"/>
      <c r="AA102" s="59"/>
      <c r="AB102" s="61" t="s">
        <v>1372</v>
      </c>
      <c r="AC102" s="59"/>
      <c r="AD102" s="63"/>
      <c r="AE102" s="63"/>
    </row>
    <row r="103" ht="13.5" customHeight="1">
      <c r="A103" s="59"/>
      <c r="B103" s="63"/>
      <c r="C103" s="59"/>
      <c r="D103" s="63"/>
      <c r="E103" s="59"/>
      <c r="F103" s="63"/>
      <c r="G103" s="59"/>
      <c r="H103" s="63"/>
      <c r="I103" s="59"/>
      <c r="J103" s="63"/>
      <c r="K103" s="59"/>
      <c r="L103" s="63"/>
      <c r="M103" s="59"/>
      <c r="N103" s="63"/>
      <c r="O103" s="59"/>
      <c r="P103" s="63"/>
      <c r="Q103" s="59"/>
      <c r="R103" s="63"/>
      <c r="S103" s="59"/>
      <c r="T103" s="63"/>
      <c r="U103" s="59"/>
      <c r="V103" s="63"/>
      <c r="W103" s="59"/>
      <c r="X103" s="63"/>
      <c r="Y103" s="59"/>
      <c r="Z103" s="63"/>
      <c r="AA103" s="59"/>
      <c r="AB103" s="61" t="s">
        <v>1373</v>
      </c>
      <c r="AC103" s="59"/>
      <c r="AD103" s="63"/>
      <c r="AE103" s="63"/>
    </row>
    <row r="104" ht="13.5" customHeight="1">
      <c r="A104" s="59"/>
      <c r="B104" s="63"/>
      <c r="C104" s="59"/>
      <c r="D104" s="63"/>
      <c r="E104" s="59"/>
      <c r="F104" s="63"/>
      <c r="G104" s="59"/>
      <c r="H104" s="63"/>
      <c r="I104" s="59"/>
      <c r="J104" s="63"/>
      <c r="K104" s="59"/>
      <c r="L104" s="63"/>
      <c r="M104" s="59"/>
      <c r="N104" s="63"/>
      <c r="O104" s="59"/>
      <c r="P104" s="63"/>
      <c r="Q104" s="59"/>
      <c r="R104" s="63"/>
      <c r="S104" s="59"/>
      <c r="T104" s="63"/>
      <c r="U104" s="59"/>
      <c r="V104" s="63"/>
      <c r="W104" s="59"/>
      <c r="X104" s="63"/>
      <c r="Y104" s="59"/>
      <c r="Z104" s="63"/>
      <c r="AA104" s="59"/>
      <c r="AB104" s="61" t="s">
        <v>1374</v>
      </c>
      <c r="AC104" s="59"/>
      <c r="AD104" s="63"/>
      <c r="AE104" s="63"/>
    </row>
    <row r="105" ht="13.5" customHeight="1">
      <c r="A105" s="59"/>
      <c r="B105" s="63"/>
      <c r="C105" s="59"/>
      <c r="D105" s="63"/>
      <c r="E105" s="59"/>
      <c r="F105" s="63"/>
      <c r="G105" s="59"/>
      <c r="H105" s="63"/>
      <c r="I105" s="59"/>
      <c r="J105" s="63"/>
      <c r="K105" s="59"/>
      <c r="L105" s="63"/>
      <c r="M105" s="59"/>
      <c r="N105" s="63"/>
      <c r="O105" s="59"/>
      <c r="P105" s="63"/>
      <c r="Q105" s="59"/>
      <c r="R105" s="63"/>
      <c r="S105" s="59"/>
      <c r="T105" s="63"/>
      <c r="U105" s="59"/>
      <c r="V105" s="63"/>
      <c r="W105" s="59"/>
      <c r="X105" s="63"/>
      <c r="Y105" s="59"/>
      <c r="Z105" s="63"/>
      <c r="AA105" s="59"/>
      <c r="AB105" s="61" t="s">
        <v>1375</v>
      </c>
      <c r="AC105" s="59"/>
      <c r="AD105" s="63"/>
      <c r="AE105" s="63"/>
    </row>
    <row r="106" ht="13.5" customHeight="1">
      <c r="A106" s="59"/>
      <c r="B106" s="63"/>
      <c r="C106" s="59"/>
      <c r="D106" s="63"/>
      <c r="E106" s="59"/>
      <c r="F106" s="63"/>
      <c r="G106" s="59"/>
      <c r="H106" s="63"/>
      <c r="I106" s="59"/>
      <c r="J106" s="63"/>
      <c r="K106" s="59"/>
      <c r="L106" s="63"/>
      <c r="M106" s="59"/>
      <c r="N106" s="63"/>
      <c r="O106" s="59"/>
      <c r="P106" s="63"/>
      <c r="Q106" s="59"/>
      <c r="R106" s="63"/>
      <c r="S106" s="59"/>
      <c r="T106" s="63"/>
      <c r="U106" s="59"/>
      <c r="V106" s="63"/>
      <c r="W106" s="59"/>
      <c r="X106" s="63"/>
      <c r="Y106" s="59"/>
      <c r="Z106" s="63"/>
      <c r="AA106" s="59"/>
      <c r="AB106" s="61" t="s">
        <v>1376</v>
      </c>
      <c r="AC106" s="59"/>
      <c r="AD106" s="63"/>
      <c r="AE106" s="63"/>
    </row>
    <row r="107" ht="13.5" customHeight="1">
      <c r="A107" s="59"/>
      <c r="B107" s="63"/>
      <c r="C107" s="59"/>
      <c r="D107" s="63"/>
      <c r="E107" s="59"/>
      <c r="F107" s="63"/>
      <c r="G107" s="59"/>
      <c r="H107" s="63"/>
      <c r="I107" s="59"/>
      <c r="J107" s="63"/>
      <c r="K107" s="59"/>
      <c r="L107" s="63"/>
      <c r="M107" s="59"/>
      <c r="N107" s="63"/>
      <c r="O107" s="59"/>
      <c r="P107" s="63"/>
      <c r="Q107" s="59"/>
      <c r="R107" s="63"/>
      <c r="S107" s="59"/>
      <c r="T107" s="63"/>
      <c r="U107" s="59"/>
      <c r="V107" s="63"/>
      <c r="W107" s="59"/>
      <c r="X107" s="63"/>
      <c r="Y107" s="59"/>
      <c r="Z107" s="63"/>
      <c r="AA107" s="59"/>
      <c r="AB107" s="61" t="s">
        <v>1377</v>
      </c>
      <c r="AC107" s="59"/>
      <c r="AD107" s="63"/>
      <c r="AE107" s="63"/>
    </row>
    <row r="108" ht="13.5" customHeight="1">
      <c r="A108" s="59"/>
      <c r="B108" s="63"/>
      <c r="C108" s="59"/>
      <c r="D108" s="63"/>
      <c r="E108" s="59"/>
      <c r="F108" s="63"/>
      <c r="G108" s="59"/>
      <c r="H108" s="63"/>
      <c r="I108" s="59"/>
      <c r="J108" s="63"/>
      <c r="K108" s="59"/>
      <c r="L108" s="63"/>
      <c r="M108" s="59"/>
      <c r="N108" s="63"/>
      <c r="O108" s="59"/>
      <c r="P108" s="63"/>
      <c r="Q108" s="59"/>
      <c r="R108" s="63"/>
      <c r="S108" s="59"/>
      <c r="T108" s="63"/>
      <c r="U108" s="59"/>
      <c r="V108" s="63"/>
      <c r="W108" s="59"/>
      <c r="X108" s="63"/>
      <c r="Y108" s="59"/>
      <c r="Z108" s="63"/>
      <c r="AA108" s="59"/>
      <c r="AB108" s="61" t="s">
        <v>1378</v>
      </c>
      <c r="AC108" s="59"/>
      <c r="AD108" s="63"/>
      <c r="AE108" s="63"/>
    </row>
    <row r="109" ht="13.5" customHeight="1">
      <c r="A109" s="59"/>
      <c r="B109" s="63"/>
      <c r="C109" s="59"/>
      <c r="D109" s="63"/>
      <c r="E109" s="59"/>
      <c r="F109" s="63"/>
      <c r="G109" s="59"/>
      <c r="H109" s="63"/>
      <c r="I109" s="59"/>
      <c r="J109" s="63"/>
      <c r="K109" s="59"/>
      <c r="L109" s="63"/>
      <c r="M109" s="59"/>
      <c r="N109" s="63"/>
      <c r="O109" s="59"/>
      <c r="P109" s="63"/>
      <c r="Q109" s="59"/>
      <c r="R109" s="63"/>
      <c r="S109" s="59"/>
      <c r="T109" s="63"/>
      <c r="U109" s="59"/>
      <c r="V109" s="63"/>
      <c r="W109" s="59"/>
      <c r="X109" s="63"/>
      <c r="Y109" s="59"/>
      <c r="Z109" s="63"/>
      <c r="AA109" s="59"/>
      <c r="AB109" s="61" t="s">
        <v>1379</v>
      </c>
      <c r="AC109" s="59"/>
      <c r="AD109" s="63"/>
      <c r="AE109" s="63"/>
    </row>
    <row r="110" ht="13.5" customHeight="1">
      <c r="A110" s="59"/>
      <c r="B110" s="63"/>
      <c r="C110" s="59"/>
      <c r="D110" s="63"/>
      <c r="E110" s="59"/>
      <c r="F110" s="63"/>
      <c r="G110" s="59"/>
      <c r="H110" s="63"/>
      <c r="I110" s="59"/>
      <c r="J110" s="63"/>
      <c r="K110" s="59"/>
      <c r="L110" s="63"/>
      <c r="M110" s="59"/>
      <c r="N110" s="63"/>
      <c r="O110" s="59"/>
      <c r="P110" s="63"/>
      <c r="Q110" s="59"/>
      <c r="R110" s="63"/>
      <c r="S110" s="59"/>
      <c r="T110" s="63"/>
      <c r="U110" s="59"/>
      <c r="V110" s="63"/>
      <c r="W110" s="59"/>
      <c r="X110" s="63"/>
      <c r="Y110" s="59"/>
      <c r="Z110" s="63"/>
      <c r="AA110" s="59"/>
      <c r="AB110" s="61" t="s">
        <v>1380</v>
      </c>
      <c r="AC110" s="59"/>
      <c r="AD110" s="63"/>
      <c r="AE110" s="63"/>
    </row>
    <row r="111" ht="13.5" customHeight="1">
      <c r="A111" s="59"/>
      <c r="B111" s="63"/>
      <c r="C111" s="59"/>
      <c r="D111" s="63"/>
      <c r="E111" s="59"/>
      <c r="F111" s="63"/>
      <c r="G111" s="59"/>
      <c r="H111" s="63"/>
      <c r="I111" s="59"/>
      <c r="J111" s="63"/>
      <c r="K111" s="59"/>
      <c r="L111" s="63"/>
      <c r="M111" s="59"/>
      <c r="N111" s="63"/>
      <c r="O111" s="59"/>
      <c r="P111" s="63"/>
      <c r="Q111" s="59"/>
      <c r="R111" s="63"/>
      <c r="S111" s="59"/>
      <c r="T111" s="63"/>
      <c r="U111" s="59"/>
      <c r="V111" s="63"/>
      <c r="W111" s="59"/>
      <c r="X111" s="63"/>
      <c r="Y111" s="59"/>
      <c r="Z111" s="63"/>
      <c r="AA111" s="59"/>
      <c r="AB111" s="61" t="s">
        <v>1381</v>
      </c>
      <c r="AC111" s="59"/>
      <c r="AD111" s="63"/>
      <c r="AE111" s="63"/>
    </row>
    <row r="112" ht="13.5" customHeight="1">
      <c r="A112" s="59"/>
      <c r="B112" s="63"/>
      <c r="C112" s="59"/>
      <c r="D112" s="63"/>
      <c r="E112" s="59"/>
      <c r="F112" s="63"/>
      <c r="G112" s="59"/>
      <c r="H112" s="63"/>
      <c r="I112" s="59"/>
      <c r="J112" s="63"/>
      <c r="K112" s="59"/>
      <c r="L112" s="63"/>
      <c r="M112" s="59"/>
      <c r="N112" s="63"/>
      <c r="O112" s="59"/>
      <c r="P112" s="63"/>
      <c r="Q112" s="59"/>
      <c r="R112" s="63"/>
      <c r="S112" s="59"/>
      <c r="T112" s="63"/>
      <c r="U112" s="59"/>
      <c r="V112" s="63"/>
      <c r="W112" s="59"/>
      <c r="X112" s="63"/>
      <c r="Y112" s="59"/>
      <c r="Z112" s="63"/>
      <c r="AA112" s="59"/>
      <c r="AB112" s="61" t="s">
        <v>1382</v>
      </c>
      <c r="AC112" s="59"/>
      <c r="AD112" s="63"/>
      <c r="AE112" s="63"/>
    </row>
    <row r="113" ht="13.5" customHeight="1">
      <c r="A113" s="59"/>
      <c r="B113" s="63"/>
      <c r="C113" s="59"/>
      <c r="D113" s="63"/>
      <c r="E113" s="59"/>
      <c r="F113" s="63"/>
      <c r="G113" s="59"/>
      <c r="H113" s="63"/>
      <c r="I113" s="59"/>
      <c r="J113" s="63"/>
      <c r="K113" s="59"/>
      <c r="L113" s="63"/>
      <c r="M113" s="59"/>
      <c r="N113" s="63"/>
      <c r="O113" s="59"/>
      <c r="P113" s="63"/>
      <c r="Q113" s="59"/>
      <c r="R113" s="63"/>
      <c r="S113" s="59"/>
      <c r="T113" s="63"/>
      <c r="U113" s="59"/>
      <c r="V113" s="63"/>
      <c r="W113" s="59"/>
      <c r="X113" s="63"/>
      <c r="Y113" s="59"/>
      <c r="Z113" s="63"/>
      <c r="AA113" s="59"/>
      <c r="AB113" s="61" t="s">
        <v>1383</v>
      </c>
      <c r="AC113" s="59"/>
      <c r="AD113" s="63"/>
      <c r="AE113" s="63"/>
    </row>
    <row r="114" ht="13.5" customHeight="1">
      <c r="A114" s="59"/>
      <c r="B114" s="63"/>
      <c r="C114" s="59"/>
      <c r="D114" s="63"/>
      <c r="E114" s="59"/>
      <c r="F114" s="63"/>
      <c r="G114" s="59"/>
      <c r="H114" s="63"/>
      <c r="I114" s="59"/>
      <c r="J114" s="63"/>
      <c r="K114" s="59"/>
      <c r="L114" s="63"/>
      <c r="M114" s="59"/>
      <c r="N114" s="63"/>
      <c r="O114" s="59"/>
      <c r="P114" s="63"/>
      <c r="Q114" s="59"/>
      <c r="R114" s="63"/>
      <c r="S114" s="59"/>
      <c r="T114" s="63"/>
      <c r="U114" s="59"/>
      <c r="V114" s="63"/>
      <c r="W114" s="59"/>
      <c r="X114" s="63"/>
      <c r="Y114" s="59"/>
      <c r="Z114" s="63"/>
      <c r="AA114" s="59"/>
      <c r="AB114" s="60" t="s">
        <v>1384</v>
      </c>
      <c r="AC114" s="59"/>
      <c r="AD114" s="63"/>
      <c r="AE114" s="63"/>
    </row>
    <row r="115" ht="13.5" customHeight="1">
      <c r="A115" s="59"/>
      <c r="B115" s="63"/>
      <c r="C115" s="59"/>
      <c r="D115" s="63"/>
      <c r="E115" s="59"/>
      <c r="F115" s="63"/>
      <c r="G115" s="59"/>
      <c r="H115" s="63"/>
      <c r="I115" s="59"/>
      <c r="J115" s="63"/>
      <c r="K115" s="59"/>
      <c r="L115" s="63"/>
      <c r="M115" s="59"/>
      <c r="N115" s="63"/>
      <c r="O115" s="59"/>
      <c r="P115" s="63"/>
      <c r="Q115" s="59"/>
      <c r="R115" s="63"/>
      <c r="S115" s="59"/>
      <c r="T115" s="63"/>
      <c r="U115" s="59"/>
      <c r="V115" s="63"/>
      <c r="W115" s="59"/>
      <c r="X115" s="63"/>
      <c r="Y115" s="59"/>
      <c r="Z115" s="63"/>
      <c r="AA115" s="59"/>
      <c r="AB115" s="61" t="s">
        <v>1385</v>
      </c>
      <c r="AC115" s="59"/>
      <c r="AD115" s="63"/>
      <c r="AE115" s="63"/>
    </row>
    <row r="116" ht="408.75" customHeight="1">
      <c r="A116" s="59"/>
      <c r="B116" s="63"/>
      <c r="C116" s="59"/>
      <c r="D116" s="63"/>
      <c r="E116" s="59"/>
      <c r="F116" s="63"/>
      <c r="G116" s="59"/>
      <c r="H116" s="63"/>
      <c r="I116" s="59"/>
      <c r="J116" s="63"/>
      <c r="K116" s="59"/>
      <c r="L116" s="63"/>
      <c r="M116" s="59"/>
      <c r="N116" s="63"/>
      <c r="O116" s="59"/>
      <c r="P116" s="63"/>
      <c r="Q116" s="59"/>
      <c r="R116" s="63"/>
      <c r="S116" s="59"/>
      <c r="T116" s="63"/>
      <c r="U116" s="59"/>
      <c r="V116" s="63"/>
      <c r="W116" s="59"/>
      <c r="X116" s="63"/>
      <c r="Y116" s="59"/>
      <c r="Z116" s="63"/>
      <c r="AA116" s="59"/>
      <c r="AB116" s="61" t="s">
        <v>1386</v>
      </c>
      <c r="AC116" s="59"/>
      <c r="AD116" s="63"/>
      <c r="AE116" s="63"/>
    </row>
    <row r="117" ht="408.75" customHeight="1">
      <c r="A117" s="59"/>
      <c r="B117" s="63"/>
      <c r="C117" s="59"/>
      <c r="D117" s="63"/>
      <c r="E117" s="59"/>
      <c r="F117" s="63"/>
      <c r="G117" s="59"/>
      <c r="H117" s="63"/>
      <c r="I117" s="59"/>
      <c r="J117" s="63"/>
      <c r="K117" s="59"/>
      <c r="L117" s="63"/>
      <c r="M117" s="59"/>
      <c r="N117" s="63"/>
      <c r="O117" s="59"/>
      <c r="P117" s="63"/>
      <c r="Q117" s="59"/>
      <c r="R117" s="63"/>
      <c r="S117" s="59"/>
      <c r="T117" s="63"/>
      <c r="U117" s="59"/>
      <c r="V117" s="63"/>
      <c r="W117" s="59"/>
      <c r="X117" s="63"/>
      <c r="Y117" s="59"/>
      <c r="Z117" s="63"/>
      <c r="AA117" s="59"/>
      <c r="AB117" s="61" t="s">
        <v>1387</v>
      </c>
      <c r="AC117" s="59"/>
      <c r="AD117" s="63"/>
      <c r="AE117" s="63"/>
    </row>
    <row r="118" ht="408.75" customHeight="1">
      <c r="A118" s="59"/>
      <c r="B118" s="63"/>
      <c r="C118" s="59"/>
      <c r="D118" s="63"/>
      <c r="E118" s="59"/>
      <c r="F118" s="63"/>
      <c r="G118" s="59"/>
      <c r="H118" s="63"/>
      <c r="I118" s="59"/>
      <c r="J118" s="63"/>
      <c r="K118" s="59"/>
      <c r="L118" s="63"/>
      <c r="M118" s="59"/>
      <c r="N118" s="63"/>
      <c r="O118" s="59"/>
      <c r="P118" s="63"/>
      <c r="Q118" s="59"/>
      <c r="R118" s="63"/>
      <c r="S118" s="59"/>
      <c r="T118" s="63"/>
      <c r="U118" s="59"/>
      <c r="V118" s="63"/>
      <c r="W118" s="59"/>
      <c r="X118" s="63"/>
      <c r="Y118" s="59"/>
      <c r="Z118" s="63"/>
      <c r="AA118" s="59"/>
      <c r="AB118" s="61" t="s">
        <v>1388</v>
      </c>
      <c r="AC118" s="59"/>
      <c r="AD118" s="63"/>
      <c r="AE118" s="63"/>
    </row>
    <row r="119" ht="408.75" customHeight="1">
      <c r="A119" s="59"/>
      <c r="B119" s="63"/>
      <c r="C119" s="59"/>
      <c r="D119" s="63"/>
      <c r="E119" s="59"/>
      <c r="F119" s="63"/>
      <c r="G119" s="59"/>
      <c r="H119" s="63"/>
      <c r="I119" s="59"/>
      <c r="J119" s="63"/>
      <c r="K119" s="59"/>
      <c r="L119" s="63"/>
      <c r="M119" s="59"/>
      <c r="N119" s="63"/>
      <c r="O119" s="59"/>
      <c r="P119" s="63"/>
      <c r="Q119" s="59"/>
      <c r="R119" s="63"/>
      <c r="S119" s="59"/>
      <c r="T119" s="63"/>
      <c r="U119" s="59"/>
      <c r="V119" s="63"/>
      <c r="W119" s="59"/>
      <c r="X119" s="63"/>
      <c r="Y119" s="59"/>
      <c r="Z119" s="63"/>
      <c r="AA119" s="59"/>
      <c r="AB119" s="61" t="s">
        <v>1389</v>
      </c>
      <c r="AC119" s="59"/>
      <c r="AD119" s="63"/>
      <c r="AE119" s="63"/>
    </row>
    <row r="120" ht="408.75" customHeight="1">
      <c r="A120" s="59"/>
      <c r="B120" s="63"/>
      <c r="C120" s="59"/>
      <c r="D120" s="63"/>
      <c r="E120" s="59"/>
      <c r="F120" s="63"/>
      <c r="G120" s="59"/>
      <c r="H120" s="63"/>
      <c r="I120" s="59"/>
      <c r="J120" s="63"/>
      <c r="K120" s="59"/>
      <c r="L120" s="63"/>
      <c r="M120" s="59"/>
      <c r="N120" s="63"/>
      <c r="O120" s="59"/>
      <c r="P120" s="63"/>
      <c r="Q120" s="59"/>
      <c r="R120" s="63"/>
      <c r="S120" s="59"/>
      <c r="T120" s="63"/>
      <c r="U120" s="59"/>
      <c r="V120" s="63"/>
      <c r="W120" s="59"/>
      <c r="X120" s="63"/>
      <c r="Y120" s="59"/>
      <c r="Z120" s="63"/>
      <c r="AA120" s="59"/>
      <c r="AB120" s="61" t="s">
        <v>1390</v>
      </c>
      <c r="AC120" s="59"/>
      <c r="AD120" s="63"/>
      <c r="AE120" s="63"/>
    </row>
    <row r="121" ht="13.5" customHeight="1">
      <c r="A121" s="66"/>
      <c r="B121" s="67"/>
      <c r="C121" s="66"/>
      <c r="D121" s="67"/>
      <c r="E121" s="66"/>
      <c r="F121" s="67"/>
      <c r="G121" s="66"/>
      <c r="H121" s="67"/>
      <c r="I121" s="66"/>
      <c r="J121" s="67"/>
      <c r="K121" s="66"/>
      <c r="L121" s="67"/>
      <c r="M121" s="66"/>
      <c r="N121" s="67"/>
      <c r="O121" s="66"/>
      <c r="P121" s="67"/>
      <c r="Q121" s="66"/>
      <c r="R121" s="67"/>
      <c r="S121" s="66"/>
      <c r="T121" s="67"/>
      <c r="U121" s="66"/>
      <c r="V121" s="67"/>
      <c r="W121" s="66"/>
      <c r="X121" s="67"/>
      <c r="Y121" s="66"/>
      <c r="Z121" s="67"/>
      <c r="AA121" s="66"/>
      <c r="AB121" s="67"/>
      <c r="AC121" s="66"/>
      <c r="AD121" s="67"/>
      <c r="AE121" s="67"/>
    </row>
    <row r="122" ht="13.5" customHeight="1">
      <c r="A122" s="66"/>
      <c r="B122" s="67"/>
      <c r="C122" s="66"/>
      <c r="D122" s="67"/>
      <c r="E122" s="66"/>
      <c r="F122" s="67"/>
      <c r="G122" s="66"/>
      <c r="H122" s="67"/>
      <c r="I122" s="66"/>
      <c r="J122" s="67"/>
      <c r="K122" s="66"/>
      <c r="L122" s="67"/>
      <c r="M122" s="66"/>
      <c r="N122" s="67"/>
      <c r="O122" s="66"/>
      <c r="P122" s="67"/>
      <c r="Q122" s="66"/>
      <c r="R122" s="67"/>
      <c r="S122" s="66"/>
      <c r="T122" s="67"/>
      <c r="U122" s="66"/>
      <c r="V122" s="67"/>
      <c r="W122" s="66"/>
      <c r="X122" s="67"/>
      <c r="Y122" s="66"/>
      <c r="Z122" s="67"/>
      <c r="AA122" s="66"/>
      <c r="AB122" s="67"/>
      <c r="AC122" s="66"/>
      <c r="AD122" s="67"/>
      <c r="AE122" s="67"/>
    </row>
    <row r="123" ht="13.5" customHeight="1">
      <c r="A123" s="66"/>
      <c r="B123" s="67"/>
      <c r="C123" s="66"/>
      <c r="D123" s="67"/>
      <c r="E123" s="66"/>
      <c r="F123" s="67"/>
      <c r="G123" s="66"/>
      <c r="H123" s="67"/>
      <c r="I123" s="66"/>
      <c r="J123" s="67"/>
      <c r="K123" s="66"/>
      <c r="L123" s="67"/>
      <c r="M123" s="66"/>
      <c r="N123" s="67"/>
      <c r="O123" s="66"/>
      <c r="P123" s="67"/>
      <c r="Q123" s="66"/>
      <c r="R123" s="67"/>
      <c r="S123" s="66"/>
      <c r="T123" s="67"/>
      <c r="U123" s="66"/>
      <c r="V123" s="67"/>
      <c r="W123" s="66"/>
      <c r="X123" s="67"/>
      <c r="Y123" s="66"/>
      <c r="Z123" s="67"/>
      <c r="AA123" s="66"/>
      <c r="AB123" s="67"/>
      <c r="AC123" s="66"/>
      <c r="AD123" s="67"/>
      <c r="AE123" s="67"/>
    </row>
    <row r="124" ht="13.5" customHeight="1">
      <c r="A124" s="66"/>
      <c r="B124" s="67"/>
      <c r="C124" s="66"/>
      <c r="D124" s="67"/>
      <c r="E124" s="66"/>
      <c r="F124" s="67"/>
      <c r="G124" s="66"/>
      <c r="H124" s="67"/>
      <c r="I124" s="66"/>
      <c r="J124" s="67"/>
      <c r="K124" s="66"/>
      <c r="L124" s="67"/>
      <c r="M124" s="66"/>
      <c r="N124" s="67"/>
      <c r="O124" s="66"/>
      <c r="P124" s="67"/>
      <c r="Q124" s="66"/>
      <c r="R124" s="67"/>
      <c r="S124" s="66"/>
      <c r="T124" s="67"/>
      <c r="U124" s="66"/>
      <c r="V124" s="67"/>
      <c r="W124" s="66"/>
      <c r="X124" s="67"/>
      <c r="Y124" s="66"/>
      <c r="Z124" s="67"/>
      <c r="AA124" s="66"/>
      <c r="AB124" s="67"/>
      <c r="AC124" s="66"/>
      <c r="AD124" s="67"/>
      <c r="AE124" s="67"/>
    </row>
    <row r="125" ht="13.5" customHeight="1">
      <c r="A125" s="66"/>
      <c r="B125" s="67"/>
      <c r="C125" s="66"/>
      <c r="D125" s="67"/>
      <c r="E125" s="66"/>
      <c r="F125" s="67"/>
      <c r="G125" s="66"/>
      <c r="H125" s="67"/>
      <c r="I125" s="66"/>
      <c r="J125" s="67"/>
      <c r="K125" s="66"/>
      <c r="L125" s="67"/>
      <c r="M125" s="66"/>
      <c r="N125" s="67"/>
      <c r="O125" s="66"/>
      <c r="P125" s="67"/>
      <c r="Q125" s="66"/>
      <c r="R125" s="67"/>
      <c r="S125" s="66"/>
      <c r="T125" s="67"/>
      <c r="U125" s="66"/>
      <c r="V125" s="67"/>
      <c r="W125" s="66"/>
      <c r="X125" s="67"/>
      <c r="Y125" s="66"/>
      <c r="Z125" s="67"/>
      <c r="AA125" s="66"/>
      <c r="AB125" s="67"/>
      <c r="AC125" s="66"/>
      <c r="AD125" s="67"/>
      <c r="AE125" s="6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1" max="11" width="23.86"/>
  </cols>
  <sheetData>
    <row r="1">
      <c r="A1" s="68" t="s">
        <v>1391</v>
      </c>
      <c r="B1" s="69" t="s">
        <v>216</v>
      </c>
      <c r="C1" s="69" t="s">
        <v>235</v>
      </c>
      <c r="D1" s="69" t="s">
        <v>252</v>
      </c>
      <c r="E1" s="69" t="s">
        <v>269</v>
      </c>
      <c r="F1" s="69" t="s">
        <v>285</v>
      </c>
      <c r="G1" s="69" t="s">
        <v>295</v>
      </c>
      <c r="H1" s="69" t="s">
        <v>304</v>
      </c>
      <c r="I1" s="69" t="s">
        <v>311</v>
      </c>
      <c r="J1" s="69" t="s">
        <v>318</v>
      </c>
      <c r="K1" s="69" t="s">
        <v>325</v>
      </c>
      <c r="L1" s="69" t="s">
        <v>333</v>
      </c>
      <c r="M1" s="69" t="s">
        <v>338</v>
      </c>
      <c r="N1" s="69" t="s">
        <v>343</v>
      </c>
      <c r="O1" s="70" t="s">
        <v>1392</v>
      </c>
      <c r="P1" s="69" t="s">
        <v>1393</v>
      </c>
      <c r="Q1" s="71"/>
      <c r="R1" s="71"/>
      <c r="S1" s="71"/>
      <c r="T1" s="71"/>
      <c r="U1" s="72"/>
      <c r="V1" s="72"/>
      <c r="W1" s="72"/>
      <c r="X1" s="72"/>
      <c r="Y1" s="72"/>
      <c r="Z1" s="72"/>
    </row>
    <row r="2">
      <c r="A2" s="73" t="s">
        <v>1394</v>
      </c>
      <c r="B2" s="74">
        <v>3.0</v>
      </c>
      <c r="C2" s="74">
        <v>0.0</v>
      </c>
      <c r="D2" s="74">
        <v>0.0</v>
      </c>
      <c r="E2" s="74">
        <v>0.0</v>
      </c>
      <c r="F2" s="74">
        <v>2.0</v>
      </c>
      <c r="G2" s="74">
        <v>0.0</v>
      </c>
      <c r="H2" s="74">
        <v>0.0</v>
      </c>
      <c r="I2" s="74">
        <v>1.0</v>
      </c>
      <c r="J2" s="74">
        <v>0.0</v>
      </c>
      <c r="K2" s="74">
        <v>0.0</v>
      </c>
      <c r="L2" s="74">
        <v>0.0</v>
      </c>
      <c r="M2" s="74">
        <v>0.0</v>
      </c>
      <c r="N2" s="74">
        <v>0.0</v>
      </c>
      <c r="O2" s="75">
        <v>0.0</v>
      </c>
      <c r="P2" s="74">
        <f t="shared" ref="P2:P12" si="1">SUM(B2:N2)</f>
        <v>6</v>
      </c>
      <c r="Q2" s="71"/>
      <c r="R2" s="71"/>
      <c r="S2" s="71"/>
      <c r="T2" s="71"/>
      <c r="U2" s="72"/>
      <c r="V2" s="72"/>
      <c r="W2" s="72"/>
      <c r="X2" s="72"/>
      <c r="Y2" s="72"/>
      <c r="Z2" s="72"/>
    </row>
    <row r="3">
      <c r="A3" s="73">
        <v>100.0</v>
      </c>
      <c r="B3" s="74">
        <v>12.0</v>
      </c>
      <c r="C3" s="74">
        <v>10.0</v>
      </c>
      <c r="D3" s="74">
        <v>3.0</v>
      </c>
      <c r="E3" s="74">
        <v>2.0</v>
      </c>
      <c r="F3" s="74">
        <v>3.0</v>
      </c>
      <c r="G3" s="74">
        <v>2.0</v>
      </c>
      <c r="H3" s="74">
        <v>1.0</v>
      </c>
      <c r="I3" s="74">
        <v>11.0</v>
      </c>
      <c r="J3" s="74">
        <v>3.0</v>
      </c>
      <c r="K3" s="74">
        <v>4.0</v>
      </c>
      <c r="L3" s="74">
        <v>1.0</v>
      </c>
      <c r="M3" s="74">
        <v>3.0</v>
      </c>
      <c r="N3" s="74">
        <v>0.0</v>
      </c>
      <c r="O3" s="75">
        <v>0.0</v>
      </c>
      <c r="P3" s="74">
        <f t="shared" si="1"/>
        <v>55</v>
      </c>
      <c r="Q3" s="71"/>
      <c r="R3" s="71"/>
      <c r="S3" s="71"/>
      <c r="T3" s="71"/>
      <c r="U3" s="72"/>
      <c r="V3" s="72"/>
      <c r="W3" s="72"/>
      <c r="X3" s="72"/>
      <c r="Y3" s="72"/>
      <c r="Z3" s="72"/>
    </row>
    <row r="4">
      <c r="A4" s="73">
        <v>200.0</v>
      </c>
      <c r="B4" s="74">
        <v>5.0</v>
      </c>
      <c r="C4" s="74">
        <v>6.0</v>
      </c>
      <c r="D4" s="74">
        <v>2.0</v>
      </c>
      <c r="E4" s="74">
        <v>1.0</v>
      </c>
      <c r="F4" s="74">
        <v>3.0</v>
      </c>
      <c r="G4" s="74">
        <v>5.0</v>
      </c>
      <c r="H4" s="74">
        <v>5.0</v>
      </c>
      <c r="I4" s="74">
        <v>7.0</v>
      </c>
      <c r="J4" s="74">
        <v>1.0</v>
      </c>
      <c r="K4" s="74">
        <v>1.0</v>
      </c>
      <c r="L4" s="74">
        <v>1.0</v>
      </c>
      <c r="M4" s="74">
        <v>3.0</v>
      </c>
      <c r="N4" s="74">
        <v>0.0</v>
      </c>
      <c r="O4" s="75">
        <v>0.0</v>
      </c>
      <c r="P4" s="74">
        <f t="shared" si="1"/>
        <v>40</v>
      </c>
      <c r="Q4" s="71"/>
      <c r="R4" s="71"/>
      <c r="S4" s="71"/>
      <c r="T4" s="71"/>
      <c r="U4" s="72"/>
      <c r="V4" s="72"/>
      <c r="W4" s="72"/>
      <c r="X4" s="72"/>
      <c r="Y4" s="72"/>
      <c r="Z4" s="72"/>
    </row>
    <row r="5">
      <c r="A5" s="73">
        <v>300.0</v>
      </c>
      <c r="B5" s="74">
        <v>2.0</v>
      </c>
      <c r="C5" s="74">
        <v>4.0</v>
      </c>
      <c r="D5" s="74">
        <v>4.0</v>
      </c>
      <c r="E5" s="74">
        <v>1.0</v>
      </c>
      <c r="F5" s="74">
        <v>8.0</v>
      </c>
      <c r="G5" s="74">
        <v>2.0</v>
      </c>
      <c r="H5" s="74">
        <v>1.0</v>
      </c>
      <c r="I5" s="74">
        <v>2.0</v>
      </c>
      <c r="J5" s="74">
        <v>2.0</v>
      </c>
      <c r="K5" s="74">
        <v>8.0</v>
      </c>
      <c r="L5" s="74">
        <v>1.0</v>
      </c>
      <c r="M5" s="74">
        <v>3.0</v>
      </c>
      <c r="N5" s="74">
        <v>0.0</v>
      </c>
      <c r="O5" s="75">
        <v>0.0</v>
      </c>
      <c r="P5" s="74">
        <f t="shared" si="1"/>
        <v>38</v>
      </c>
      <c r="Q5" s="71"/>
      <c r="R5" s="71"/>
      <c r="S5" s="71"/>
      <c r="T5" s="71"/>
      <c r="U5" s="72"/>
      <c r="V5" s="72"/>
      <c r="W5" s="72"/>
      <c r="X5" s="72"/>
      <c r="Y5" s="72"/>
      <c r="Z5" s="72"/>
    </row>
    <row r="6">
      <c r="A6" s="73">
        <v>400.0</v>
      </c>
      <c r="B6" s="74">
        <v>4.0</v>
      </c>
      <c r="C6" s="74">
        <v>1.0</v>
      </c>
      <c r="D6" s="74">
        <v>1.0</v>
      </c>
      <c r="E6" s="74">
        <v>5.0</v>
      </c>
      <c r="F6" s="74">
        <v>2.0</v>
      </c>
      <c r="G6" s="74">
        <v>2.0</v>
      </c>
      <c r="H6" s="74">
        <v>1.0</v>
      </c>
      <c r="I6" s="74">
        <v>6.0</v>
      </c>
      <c r="J6" s="74">
        <v>4.0</v>
      </c>
      <c r="K6" s="74">
        <v>4.0</v>
      </c>
      <c r="L6" s="74">
        <v>0.0</v>
      </c>
      <c r="M6" s="74">
        <v>2.0</v>
      </c>
      <c r="N6" s="74">
        <v>0.0</v>
      </c>
      <c r="O6" s="75">
        <v>0.0</v>
      </c>
      <c r="P6" s="74">
        <f t="shared" si="1"/>
        <v>32</v>
      </c>
      <c r="Q6" s="71"/>
      <c r="R6" s="71"/>
      <c r="S6" s="71"/>
      <c r="T6" s="71"/>
      <c r="U6" s="72"/>
      <c r="V6" s="72"/>
      <c r="W6" s="72"/>
      <c r="X6" s="72"/>
      <c r="Y6" s="72"/>
      <c r="Z6" s="72"/>
    </row>
    <row r="7">
      <c r="A7" s="73">
        <v>500.0</v>
      </c>
      <c r="B7" s="74">
        <v>1.0</v>
      </c>
      <c r="C7" s="74">
        <v>0.0</v>
      </c>
      <c r="D7" s="74">
        <v>0.0</v>
      </c>
      <c r="E7" s="74">
        <v>0.0</v>
      </c>
      <c r="F7" s="74">
        <v>0.0</v>
      </c>
      <c r="G7" s="74">
        <v>0.0</v>
      </c>
      <c r="H7" s="74">
        <v>1.0</v>
      </c>
      <c r="I7" s="74">
        <v>0.0</v>
      </c>
      <c r="J7" s="74">
        <v>0.0</v>
      </c>
      <c r="K7" s="74">
        <v>0.0</v>
      </c>
      <c r="L7" s="74">
        <v>0.0</v>
      </c>
      <c r="M7" s="74">
        <v>0.0</v>
      </c>
      <c r="N7" s="74">
        <v>0.0</v>
      </c>
      <c r="O7" s="75">
        <v>0.0</v>
      </c>
      <c r="P7" s="74">
        <f t="shared" si="1"/>
        <v>2</v>
      </c>
      <c r="Q7" s="71"/>
      <c r="R7" s="71"/>
      <c r="S7" s="71"/>
      <c r="T7" s="71"/>
      <c r="U7" s="72"/>
      <c r="V7" s="72"/>
      <c r="W7" s="72"/>
      <c r="X7" s="72"/>
      <c r="Y7" s="72"/>
      <c r="Z7" s="72"/>
    </row>
    <row r="8">
      <c r="A8" s="76">
        <v>600.0</v>
      </c>
      <c r="B8" s="77">
        <v>0.0</v>
      </c>
      <c r="C8" s="74">
        <v>0.0</v>
      </c>
      <c r="D8" s="74">
        <v>1.0</v>
      </c>
      <c r="E8" s="74">
        <v>1.0</v>
      </c>
      <c r="F8" s="74">
        <v>0.0</v>
      </c>
      <c r="G8" s="74">
        <v>0.0</v>
      </c>
      <c r="H8" s="74">
        <v>2.0</v>
      </c>
      <c r="I8" s="74">
        <v>2.0</v>
      </c>
      <c r="J8" s="74">
        <v>1.0</v>
      </c>
      <c r="K8" s="74">
        <v>0.0</v>
      </c>
      <c r="L8" s="74">
        <v>0.0</v>
      </c>
      <c r="M8" s="74">
        <v>0.0</v>
      </c>
      <c r="N8" s="74">
        <v>0.0</v>
      </c>
      <c r="O8" s="75">
        <v>0.0</v>
      </c>
      <c r="P8" s="74">
        <f t="shared" si="1"/>
        <v>7</v>
      </c>
      <c r="Q8" s="71"/>
      <c r="R8" s="71"/>
      <c r="S8" s="71"/>
      <c r="T8" s="78"/>
      <c r="U8" s="72"/>
      <c r="V8" s="72"/>
      <c r="W8" s="72"/>
      <c r="X8" s="72"/>
      <c r="Y8" s="72"/>
      <c r="Z8" s="72"/>
    </row>
    <row r="9">
      <c r="A9" s="73">
        <v>700.0</v>
      </c>
      <c r="B9" s="74">
        <v>0.0</v>
      </c>
      <c r="C9" s="74">
        <v>0.0</v>
      </c>
      <c r="D9" s="74">
        <v>0.0</v>
      </c>
      <c r="E9" s="74">
        <v>0.0</v>
      </c>
      <c r="F9" s="74">
        <v>0.0</v>
      </c>
      <c r="G9" s="74">
        <v>0.0</v>
      </c>
      <c r="H9" s="74">
        <v>0.0</v>
      </c>
      <c r="I9" s="74">
        <v>0.0</v>
      </c>
      <c r="J9" s="74">
        <v>0.0</v>
      </c>
      <c r="K9" s="74">
        <v>0.0</v>
      </c>
      <c r="L9" s="74">
        <v>0.0</v>
      </c>
      <c r="M9" s="74">
        <v>0.0</v>
      </c>
      <c r="N9" s="74">
        <v>0.0</v>
      </c>
      <c r="O9" s="75">
        <v>0.0</v>
      </c>
      <c r="P9" s="74">
        <f t="shared" si="1"/>
        <v>0</v>
      </c>
      <c r="Q9" s="71"/>
      <c r="R9" s="71"/>
      <c r="S9" s="71"/>
      <c r="T9" s="71"/>
      <c r="U9" s="72"/>
      <c r="V9" s="72"/>
      <c r="W9" s="72"/>
      <c r="X9" s="72"/>
      <c r="Y9" s="72"/>
      <c r="Z9" s="72"/>
    </row>
    <row r="10">
      <c r="A10" s="73">
        <v>800.0</v>
      </c>
      <c r="B10" s="74">
        <v>0.0</v>
      </c>
      <c r="C10" s="74">
        <v>0.0</v>
      </c>
      <c r="D10" s="74">
        <v>0.0</v>
      </c>
      <c r="E10" s="74">
        <v>0.0</v>
      </c>
      <c r="F10" s="74">
        <v>0.0</v>
      </c>
      <c r="G10" s="74">
        <v>0.0</v>
      </c>
      <c r="H10" s="74">
        <v>0.0</v>
      </c>
      <c r="I10" s="74">
        <v>0.0</v>
      </c>
      <c r="J10" s="74">
        <v>0.0</v>
      </c>
      <c r="K10" s="74">
        <v>0.0</v>
      </c>
      <c r="L10" s="74">
        <v>0.0</v>
      </c>
      <c r="M10" s="74">
        <v>0.0</v>
      </c>
      <c r="N10" s="74">
        <v>0.0</v>
      </c>
      <c r="O10" s="75">
        <v>0.0</v>
      </c>
      <c r="P10" s="74">
        <f t="shared" si="1"/>
        <v>0</v>
      </c>
      <c r="Q10" s="71"/>
      <c r="R10" s="71"/>
      <c r="S10" s="71"/>
      <c r="T10" s="71"/>
      <c r="U10" s="72"/>
      <c r="V10" s="72"/>
      <c r="W10" s="72"/>
      <c r="X10" s="72"/>
      <c r="Y10" s="72"/>
      <c r="Z10" s="72"/>
    </row>
    <row r="11">
      <c r="A11" s="73">
        <v>900.0</v>
      </c>
      <c r="B11" s="74">
        <v>0.0</v>
      </c>
      <c r="C11" s="74">
        <v>0.0</v>
      </c>
      <c r="D11" s="74">
        <v>0.0</v>
      </c>
      <c r="E11" s="74">
        <v>0.0</v>
      </c>
      <c r="F11" s="74">
        <v>0.0</v>
      </c>
      <c r="G11" s="74">
        <v>0.0</v>
      </c>
      <c r="H11" s="74">
        <v>0.0</v>
      </c>
      <c r="I11" s="74">
        <v>0.0</v>
      </c>
      <c r="J11" s="74">
        <v>0.0</v>
      </c>
      <c r="K11" s="74">
        <v>0.0</v>
      </c>
      <c r="L11" s="74">
        <v>0.0</v>
      </c>
      <c r="M11" s="74">
        <v>0.0</v>
      </c>
      <c r="N11" s="74">
        <v>0.0</v>
      </c>
      <c r="O11" s="75">
        <v>0.0</v>
      </c>
      <c r="P11" s="74">
        <f t="shared" si="1"/>
        <v>0</v>
      </c>
      <c r="Q11" s="71"/>
      <c r="R11" s="71"/>
      <c r="S11" s="71"/>
      <c r="T11" s="71"/>
      <c r="U11" s="72"/>
      <c r="V11" s="72"/>
      <c r="W11" s="72"/>
      <c r="X11" s="72"/>
      <c r="Y11" s="72"/>
      <c r="Z11" s="72"/>
    </row>
    <row r="12">
      <c r="A12" s="73">
        <v>1200.0</v>
      </c>
      <c r="B12" s="74">
        <v>0.0</v>
      </c>
      <c r="C12" s="74">
        <v>0.0</v>
      </c>
      <c r="D12" s="74">
        <v>0.0</v>
      </c>
      <c r="E12" s="74">
        <v>0.0</v>
      </c>
      <c r="F12" s="74">
        <v>0.0</v>
      </c>
      <c r="G12" s="74">
        <v>0.0</v>
      </c>
      <c r="H12" s="74">
        <v>0.0</v>
      </c>
      <c r="I12" s="74">
        <v>0.0</v>
      </c>
      <c r="J12" s="74">
        <v>0.0</v>
      </c>
      <c r="K12" s="74">
        <v>0.0</v>
      </c>
      <c r="L12" s="74">
        <v>0.0</v>
      </c>
      <c r="M12" s="74">
        <v>0.0</v>
      </c>
      <c r="N12" s="74">
        <v>0.0</v>
      </c>
      <c r="O12" s="75">
        <v>0.0</v>
      </c>
      <c r="P12" s="74">
        <f t="shared" si="1"/>
        <v>0</v>
      </c>
      <c r="Q12" s="71"/>
      <c r="R12" s="71"/>
      <c r="S12" s="71"/>
      <c r="T12" s="71"/>
      <c r="U12" s="72"/>
      <c r="V12" s="72"/>
      <c r="W12" s="72"/>
      <c r="X12" s="72"/>
      <c r="Y12" s="72"/>
      <c r="Z12" s="72"/>
    </row>
    <row r="13">
      <c r="A13" s="73" t="s">
        <v>1393</v>
      </c>
      <c r="B13" s="74">
        <f t="shared" ref="B13:O13" si="2">SUM(B2:B12)</f>
        <v>27</v>
      </c>
      <c r="C13" s="74">
        <f t="shared" si="2"/>
        <v>21</v>
      </c>
      <c r="D13" s="74">
        <f t="shared" si="2"/>
        <v>11</v>
      </c>
      <c r="E13" s="74">
        <f t="shared" si="2"/>
        <v>10</v>
      </c>
      <c r="F13" s="74">
        <f t="shared" si="2"/>
        <v>18</v>
      </c>
      <c r="G13" s="74">
        <f t="shared" si="2"/>
        <v>11</v>
      </c>
      <c r="H13" s="74">
        <f t="shared" si="2"/>
        <v>11</v>
      </c>
      <c r="I13" s="74">
        <f t="shared" si="2"/>
        <v>29</v>
      </c>
      <c r="J13" s="74">
        <f t="shared" si="2"/>
        <v>11</v>
      </c>
      <c r="K13" s="74">
        <f t="shared" si="2"/>
        <v>17</v>
      </c>
      <c r="L13" s="74">
        <f t="shared" si="2"/>
        <v>3</v>
      </c>
      <c r="M13" s="74">
        <f t="shared" si="2"/>
        <v>11</v>
      </c>
      <c r="N13" s="74">
        <f t="shared" si="2"/>
        <v>0</v>
      </c>
      <c r="O13" s="75">
        <f t="shared" si="2"/>
        <v>0</v>
      </c>
      <c r="P13" s="74">
        <f>SUM(B2:N12)</f>
        <v>180</v>
      </c>
      <c r="Q13" s="71"/>
      <c r="R13" s="71"/>
      <c r="S13" s="71"/>
      <c r="T13" s="71"/>
      <c r="U13" s="72"/>
      <c r="V13" s="72"/>
      <c r="W13" s="72"/>
      <c r="X13" s="72"/>
      <c r="Y13" s="72"/>
      <c r="Z13" s="72"/>
    </row>
    <row r="14">
      <c r="A14" s="71"/>
      <c r="B14" s="71"/>
      <c r="C14" s="71"/>
      <c r="D14" s="71"/>
      <c r="E14" s="71"/>
      <c r="F14" s="71"/>
      <c r="G14" s="71"/>
      <c r="H14" s="71"/>
      <c r="I14" s="71"/>
      <c r="J14" s="71"/>
      <c r="K14" s="71"/>
      <c r="L14" s="71"/>
      <c r="M14" s="71"/>
      <c r="N14" s="71"/>
      <c r="O14" s="71"/>
      <c r="P14" s="71"/>
      <c r="Q14" s="71"/>
      <c r="R14" s="71"/>
      <c r="S14" s="71"/>
      <c r="T14" s="71"/>
      <c r="U14" s="72"/>
      <c r="V14" s="72"/>
      <c r="W14" s="72"/>
      <c r="X14" s="72"/>
      <c r="Y14" s="72"/>
      <c r="Z14" s="72"/>
    </row>
    <row r="15">
      <c r="A15" s="79" t="s">
        <v>1395</v>
      </c>
      <c r="B15" s="80" t="s">
        <v>216</v>
      </c>
      <c r="C15" s="80" t="s">
        <v>235</v>
      </c>
      <c r="D15" s="80" t="s">
        <v>252</v>
      </c>
      <c r="E15" s="80" t="s">
        <v>269</v>
      </c>
      <c r="F15" s="80" t="s">
        <v>285</v>
      </c>
      <c r="G15" s="80" t="s">
        <v>295</v>
      </c>
      <c r="H15" s="80" t="s">
        <v>304</v>
      </c>
      <c r="I15" s="80" t="s">
        <v>311</v>
      </c>
      <c r="J15" s="80" t="s">
        <v>318</v>
      </c>
      <c r="K15" s="80" t="s">
        <v>325</v>
      </c>
      <c r="L15" s="80" t="s">
        <v>333</v>
      </c>
      <c r="M15" s="80" t="s">
        <v>338</v>
      </c>
      <c r="N15" s="80" t="s">
        <v>343</v>
      </c>
      <c r="O15" s="81" t="s">
        <v>1392</v>
      </c>
      <c r="P15" s="80" t="s">
        <v>1393</v>
      </c>
      <c r="Q15" s="71"/>
      <c r="R15" s="71"/>
      <c r="S15" s="71"/>
      <c r="T15" s="71"/>
      <c r="U15" s="72"/>
      <c r="V15" s="72"/>
      <c r="W15" s="72"/>
      <c r="X15" s="72"/>
      <c r="Y15" s="72"/>
      <c r="Z15" s="72"/>
    </row>
    <row r="16">
      <c r="A16" s="82" t="s">
        <v>1394</v>
      </c>
      <c r="B16" s="74">
        <v>0.0</v>
      </c>
      <c r="C16" s="74">
        <v>0.0</v>
      </c>
      <c r="D16" s="74">
        <v>0.0</v>
      </c>
      <c r="E16" s="74">
        <v>0.0</v>
      </c>
      <c r="F16" s="74">
        <v>0.0</v>
      </c>
      <c r="G16" s="74">
        <v>0.0</v>
      </c>
      <c r="H16" s="74">
        <v>0.0</v>
      </c>
      <c r="I16" s="74">
        <v>0.0</v>
      </c>
      <c r="J16" s="74">
        <v>0.0</v>
      </c>
      <c r="K16" s="74">
        <v>0.0</v>
      </c>
      <c r="L16" s="74">
        <v>0.0</v>
      </c>
      <c r="M16" s="74">
        <v>0.0</v>
      </c>
      <c r="N16" s="74">
        <v>0.0</v>
      </c>
      <c r="O16" s="75">
        <v>28.0</v>
      </c>
      <c r="P16" s="74">
        <f t="shared" ref="P16:P26" si="3">SUM(B16:N16)</f>
        <v>0</v>
      </c>
      <c r="Q16" s="71"/>
      <c r="R16" s="71"/>
      <c r="S16" s="71"/>
      <c r="T16" s="71"/>
      <c r="U16" s="72"/>
      <c r="V16" s="72"/>
      <c r="W16" s="72"/>
      <c r="X16" s="72"/>
      <c r="Y16" s="72"/>
      <c r="Z16" s="72"/>
    </row>
    <row r="17">
      <c r="A17" s="82">
        <v>100.0</v>
      </c>
      <c r="B17" s="74">
        <v>1.0</v>
      </c>
      <c r="C17" s="74">
        <v>6.0</v>
      </c>
      <c r="D17" s="74">
        <v>1.0</v>
      </c>
      <c r="E17" s="74">
        <v>0.0</v>
      </c>
      <c r="F17" s="74">
        <v>0.0</v>
      </c>
      <c r="G17" s="74">
        <v>0.0</v>
      </c>
      <c r="H17" s="74">
        <v>0.0</v>
      </c>
      <c r="I17" s="74">
        <v>0.0</v>
      </c>
      <c r="J17" s="74">
        <v>0.0</v>
      </c>
      <c r="K17" s="74">
        <v>0.0</v>
      </c>
      <c r="L17" s="74">
        <v>0.0</v>
      </c>
      <c r="M17" s="74">
        <v>0.0</v>
      </c>
      <c r="N17" s="74">
        <v>2.0</v>
      </c>
      <c r="O17" s="75">
        <v>37.0</v>
      </c>
      <c r="P17" s="74">
        <f t="shared" si="3"/>
        <v>10</v>
      </c>
      <c r="Q17" s="71"/>
      <c r="R17" s="71"/>
      <c r="S17" s="71"/>
      <c r="T17" s="71"/>
      <c r="U17" s="72"/>
      <c r="V17" s="72"/>
      <c r="W17" s="72"/>
      <c r="X17" s="72"/>
      <c r="Y17" s="72"/>
      <c r="Z17" s="72"/>
    </row>
    <row r="18">
      <c r="A18" s="82">
        <v>200.0</v>
      </c>
      <c r="B18" s="74">
        <v>0.0</v>
      </c>
      <c r="C18" s="74">
        <v>1.0</v>
      </c>
      <c r="D18" s="74">
        <v>0.0</v>
      </c>
      <c r="E18" s="74">
        <v>0.0</v>
      </c>
      <c r="F18" s="74">
        <v>0.0</v>
      </c>
      <c r="G18" s="74">
        <v>1.0</v>
      </c>
      <c r="H18" s="74">
        <v>0.0</v>
      </c>
      <c r="I18" s="74">
        <v>0.0</v>
      </c>
      <c r="J18" s="74">
        <v>0.0</v>
      </c>
      <c r="K18" s="74">
        <v>0.0</v>
      </c>
      <c r="L18" s="74">
        <v>0.0</v>
      </c>
      <c r="M18" s="74">
        <v>1.0</v>
      </c>
      <c r="N18" s="74">
        <v>0.0</v>
      </c>
      <c r="O18" s="75">
        <v>37.0</v>
      </c>
      <c r="P18" s="74">
        <f t="shared" si="3"/>
        <v>3</v>
      </c>
      <c r="Q18" s="71"/>
      <c r="R18" s="71"/>
      <c r="S18" s="71"/>
      <c r="T18" s="71"/>
      <c r="U18" s="72"/>
      <c r="V18" s="72"/>
      <c r="W18" s="72"/>
      <c r="X18" s="72"/>
      <c r="Y18" s="72"/>
      <c r="Z18" s="72"/>
    </row>
    <row r="19">
      <c r="A19" s="82">
        <v>300.0</v>
      </c>
      <c r="B19" s="74">
        <v>0.0</v>
      </c>
      <c r="C19" s="74">
        <v>1.0</v>
      </c>
      <c r="D19" s="74">
        <v>0.0</v>
      </c>
      <c r="E19" s="74">
        <v>0.0</v>
      </c>
      <c r="F19" s="74">
        <v>0.0</v>
      </c>
      <c r="G19" s="74">
        <v>0.0</v>
      </c>
      <c r="H19" s="74">
        <v>1.0</v>
      </c>
      <c r="I19" s="74">
        <v>1.0</v>
      </c>
      <c r="J19" s="74">
        <v>0.0</v>
      </c>
      <c r="K19" s="74">
        <v>0.0</v>
      </c>
      <c r="L19" s="74">
        <v>0.0</v>
      </c>
      <c r="M19" s="74">
        <v>0.0</v>
      </c>
      <c r="N19" s="74">
        <v>3.0</v>
      </c>
      <c r="O19" s="75">
        <v>8.0</v>
      </c>
      <c r="P19" s="74">
        <f t="shared" si="3"/>
        <v>6</v>
      </c>
      <c r="Q19" s="71"/>
      <c r="R19" s="71"/>
      <c r="S19" s="71"/>
      <c r="T19" s="71"/>
      <c r="U19" s="72"/>
      <c r="V19" s="72"/>
      <c r="W19" s="72"/>
      <c r="X19" s="72"/>
      <c r="Y19" s="72"/>
      <c r="Z19" s="72"/>
    </row>
    <row r="20">
      <c r="A20" s="82">
        <v>400.0</v>
      </c>
      <c r="B20" s="74">
        <v>0.0</v>
      </c>
      <c r="C20" s="74">
        <v>3.0</v>
      </c>
      <c r="D20" s="74">
        <v>0.0</v>
      </c>
      <c r="E20" s="74">
        <v>0.0</v>
      </c>
      <c r="F20" s="74">
        <v>0.0</v>
      </c>
      <c r="G20" s="74">
        <v>0.0</v>
      </c>
      <c r="H20" s="74">
        <v>1.0</v>
      </c>
      <c r="I20" s="74">
        <v>0.0</v>
      </c>
      <c r="J20" s="74">
        <v>1.0</v>
      </c>
      <c r="K20" s="74">
        <v>3.0</v>
      </c>
      <c r="L20" s="74">
        <v>1.0</v>
      </c>
      <c r="M20" s="74">
        <v>0.0</v>
      </c>
      <c r="N20" s="74">
        <v>3.0</v>
      </c>
      <c r="O20" s="75">
        <v>3.0</v>
      </c>
      <c r="P20" s="74">
        <f t="shared" si="3"/>
        <v>12</v>
      </c>
      <c r="Q20" s="71"/>
      <c r="R20" s="71"/>
      <c r="S20" s="71"/>
      <c r="T20" s="71"/>
      <c r="U20" s="72"/>
      <c r="V20" s="72"/>
      <c r="W20" s="72"/>
      <c r="X20" s="72"/>
      <c r="Y20" s="72"/>
      <c r="Z20" s="72"/>
    </row>
    <row r="21">
      <c r="A21" s="82">
        <v>500.0</v>
      </c>
      <c r="B21" s="74">
        <v>0.0</v>
      </c>
      <c r="C21" s="74">
        <v>2.0</v>
      </c>
      <c r="D21" s="74">
        <v>0.0</v>
      </c>
      <c r="E21" s="74">
        <v>0.0</v>
      </c>
      <c r="F21" s="74">
        <v>0.0</v>
      </c>
      <c r="G21" s="74">
        <v>0.0</v>
      </c>
      <c r="H21" s="74">
        <v>0.0</v>
      </c>
      <c r="I21" s="74">
        <v>1.0</v>
      </c>
      <c r="J21" s="74">
        <v>0.0</v>
      </c>
      <c r="K21" s="74">
        <v>0.0</v>
      </c>
      <c r="L21" s="74">
        <v>0.0</v>
      </c>
      <c r="M21" s="74">
        <v>0.0</v>
      </c>
      <c r="N21" s="74">
        <v>4.0</v>
      </c>
      <c r="O21" s="75">
        <v>0.0</v>
      </c>
      <c r="P21" s="74">
        <f t="shared" si="3"/>
        <v>7</v>
      </c>
      <c r="Q21" s="71"/>
      <c r="R21" s="71"/>
      <c r="S21" s="71"/>
      <c r="T21" s="71"/>
      <c r="U21" s="72"/>
      <c r="V21" s="72"/>
      <c r="W21" s="72"/>
      <c r="X21" s="72"/>
      <c r="Y21" s="72"/>
      <c r="Z21" s="72"/>
    </row>
    <row r="22">
      <c r="A22" s="82">
        <v>600.0</v>
      </c>
      <c r="B22" s="74">
        <v>0.0</v>
      </c>
      <c r="C22" s="74">
        <v>9.0</v>
      </c>
      <c r="D22" s="74">
        <v>4.0</v>
      </c>
      <c r="E22" s="74">
        <v>2.0</v>
      </c>
      <c r="F22" s="74">
        <v>0.0</v>
      </c>
      <c r="G22" s="74">
        <v>0.0</v>
      </c>
      <c r="H22" s="74">
        <v>2.0</v>
      </c>
      <c r="I22" s="74">
        <v>3.0</v>
      </c>
      <c r="J22" s="74">
        <v>2.0</v>
      </c>
      <c r="K22" s="74">
        <v>2.0</v>
      </c>
      <c r="L22" s="74">
        <v>8.0</v>
      </c>
      <c r="M22" s="74">
        <v>4.0</v>
      </c>
      <c r="N22" s="74">
        <v>0.0</v>
      </c>
      <c r="O22" s="75">
        <v>1.0</v>
      </c>
      <c r="P22" s="74">
        <f t="shared" si="3"/>
        <v>36</v>
      </c>
      <c r="Q22" s="71"/>
      <c r="R22" s="71"/>
      <c r="S22" s="71"/>
      <c r="T22" s="71"/>
      <c r="U22" s="72"/>
      <c r="V22" s="72"/>
      <c r="W22" s="72"/>
      <c r="X22" s="72"/>
      <c r="Y22" s="72"/>
      <c r="Z22" s="72"/>
    </row>
    <row r="23">
      <c r="A23" s="82">
        <v>700.0</v>
      </c>
      <c r="B23" s="74">
        <v>0.0</v>
      </c>
      <c r="C23" s="74">
        <v>0.0</v>
      </c>
      <c r="D23" s="74">
        <v>0.0</v>
      </c>
      <c r="E23" s="74">
        <v>0.0</v>
      </c>
      <c r="F23" s="74">
        <v>0.0</v>
      </c>
      <c r="G23" s="74">
        <v>0.0</v>
      </c>
      <c r="H23" s="74">
        <v>0.0</v>
      </c>
      <c r="I23" s="74">
        <v>0.0</v>
      </c>
      <c r="J23" s="74">
        <v>0.0</v>
      </c>
      <c r="K23" s="74">
        <v>0.0</v>
      </c>
      <c r="L23" s="74">
        <v>0.0</v>
      </c>
      <c r="M23" s="74">
        <v>0.0</v>
      </c>
      <c r="N23" s="74">
        <v>0.0</v>
      </c>
      <c r="O23" s="75">
        <v>0.0</v>
      </c>
      <c r="P23" s="74">
        <f t="shared" si="3"/>
        <v>0</v>
      </c>
      <c r="Q23" s="71"/>
      <c r="R23" s="71"/>
      <c r="S23" s="71"/>
      <c r="T23" s="71"/>
      <c r="U23" s="72"/>
      <c r="V23" s="72"/>
      <c r="W23" s="72"/>
      <c r="X23" s="72"/>
      <c r="Y23" s="72"/>
      <c r="Z23" s="72"/>
    </row>
    <row r="24">
      <c r="A24" s="82">
        <v>800.0</v>
      </c>
      <c r="B24" s="74">
        <v>1.0</v>
      </c>
      <c r="C24" s="74">
        <v>2.0</v>
      </c>
      <c r="D24" s="74">
        <v>0.0</v>
      </c>
      <c r="E24" s="74">
        <v>0.0</v>
      </c>
      <c r="F24" s="74">
        <v>0.0</v>
      </c>
      <c r="G24" s="74">
        <v>0.0</v>
      </c>
      <c r="H24" s="74">
        <v>0.0</v>
      </c>
      <c r="I24" s="74">
        <v>0.0</v>
      </c>
      <c r="J24" s="74">
        <v>0.0</v>
      </c>
      <c r="K24" s="74">
        <v>0.0</v>
      </c>
      <c r="L24" s="74">
        <v>0.0</v>
      </c>
      <c r="M24" s="74">
        <v>1.0</v>
      </c>
      <c r="N24" s="74">
        <v>2.0</v>
      </c>
      <c r="O24" s="75">
        <v>0.0</v>
      </c>
      <c r="P24" s="74">
        <f t="shared" si="3"/>
        <v>6</v>
      </c>
      <c r="Q24" s="71"/>
      <c r="R24" s="71"/>
      <c r="S24" s="71"/>
      <c r="T24" s="71"/>
      <c r="U24" s="72"/>
      <c r="V24" s="72"/>
      <c r="W24" s="72"/>
      <c r="X24" s="72"/>
      <c r="Y24" s="72"/>
      <c r="Z24" s="72"/>
    </row>
    <row r="25">
      <c r="A25" s="82">
        <v>900.0</v>
      </c>
      <c r="B25" s="74">
        <v>0.0</v>
      </c>
      <c r="C25" s="74">
        <v>0.0</v>
      </c>
      <c r="D25" s="74">
        <v>0.0</v>
      </c>
      <c r="E25" s="74">
        <v>0.0</v>
      </c>
      <c r="F25" s="74">
        <v>0.0</v>
      </c>
      <c r="G25" s="74">
        <v>0.0</v>
      </c>
      <c r="H25" s="74">
        <v>0.0</v>
      </c>
      <c r="I25" s="74">
        <v>0.0</v>
      </c>
      <c r="J25" s="74">
        <v>0.0</v>
      </c>
      <c r="K25" s="74">
        <v>0.0</v>
      </c>
      <c r="L25" s="74">
        <v>0.0</v>
      </c>
      <c r="M25" s="74">
        <v>0.0</v>
      </c>
      <c r="N25" s="74">
        <v>0.0</v>
      </c>
      <c r="O25" s="75">
        <v>0.0</v>
      </c>
      <c r="P25" s="74">
        <f t="shared" si="3"/>
        <v>0</v>
      </c>
      <c r="Q25" s="71"/>
      <c r="R25" s="71"/>
      <c r="S25" s="71"/>
      <c r="T25" s="71"/>
      <c r="U25" s="72"/>
      <c r="V25" s="72"/>
      <c r="W25" s="72"/>
      <c r="X25" s="72"/>
      <c r="Y25" s="72"/>
      <c r="Z25" s="72"/>
    </row>
    <row r="26">
      <c r="A26" s="82">
        <v>1200.0</v>
      </c>
      <c r="B26" s="74">
        <v>0.0</v>
      </c>
      <c r="C26" s="74">
        <v>0.0</v>
      </c>
      <c r="D26" s="74">
        <v>0.0</v>
      </c>
      <c r="E26" s="74">
        <v>0.0</v>
      </c>
      <c r="F26" s="74">
        <v>0.0</v>
      </c>
      <c r="G26" s="74">
        <v>0.0</v>
      </c>
      <c r="H26" s="74">
        <v>0.0</v>
      </c>
      <c r="I26" s="74">
        <v>0.0</v>
      </c>
      <c r="J26" s="74">
        <v>0.0</v>
      </c>
      <c r="K26" s="74">
        <v>0.0</v>
      </c>
      <c r="L26" s="74">
        <v>0.0</v>
      </c>
      <c r="M26" s="74">
        <v>0.0</v>
      </c>
      <c r="N26" s="74">
        <v>0.0</v>
      </c>
      <c r="O26" s="75">
        <v>0.0</v>
      </c>
      <c r="P26" s="74">
        <f t="shared" si="3"/>
        <v>0</v>
      </c>
      <c r="Q26" s="71"/>
      <c r="R26" s="71"/>
      <c r="S26" s="71"/>
      <c r="T26" s="71"/>
      <c r="U26" s="72"/>
      <c r="V26" s="72"/>
      <c r="W26" s="72"/>
      <c r="X26" s="72"/>
      <c r="Y26" s="72"/>
      <c r="Z26" s="72"/>
    </row>
    <row r="27">
      <c r="A27" s="82" t="s">
        <v>1393</v>
      </c>
      <c r="B27" s="74">
        <f t="shared" ref="B27:O27" si="4">SUM(B16:B26)</f>
        <v>2</v>
      </c>
      <c r="C27" s="74">
        <f t="shared" si="4"/>
        <v>24</v>
      </c>
      <c r="D27" s="74">
        <f t="shared" si="4"/>
        <v>5</v>
      </c>
      <c r="E27" s="74">
        <f t="shared" si="4"/>
        <v>2</v>
      </c>
      <c r="F27" s="74">
        <f t="shared" si="4"/>
        <v>0</v>
      </c>
      <c r="G27" s="74">
        <f t="shared" si="4"/>
        <v>1</v>
      </c>
      <c r="H27" s="74">
        <f t="shared" si="4"/>
        <v>4</v>
      </c>
      <c r="I27" s="74">
        <f t="shared" si="4"/>
        <v>5</v>
      </c>
      <c r="J27" s="74">
        <f t="shared" si="4"/>
        <v>3</v>
      </c>
      <c r="K27" s="74">
        <f t="shared" si="4"/>
        <v>5</v>
      </c>
      <c r="L27" s="74">
        <f t="shared" si="4"/>
        <v>9</v>
      </c>
      <c r="M27" s="74">
        <f t="shared" si="4"/>
        <v>6</v>
      </c>
      <c r="N27" s="74">
        <f t="shared" si="4"/>
        <v>14</v>
      </c>
      <c r="O27" s="75">
        <f t="shared" si="4"/>
        <v>114</v>
      </c>
      <c r="P27" s="74">
        <f>SUM(B16:N26)</f>
        <v>80</v>
      </c>
      <c r="Q27" s="71"/>
      <c r="R27" s="71"/>
      <c r="S27" s="71"/>
      <c r="T27" s="71"/>
      <c r="U27" s="72"/>
      <c r="V27" s="72"/>
      <c r="W27" s="72"/>
      <c r="X27" s="72"/>
      <c r="Y27" s="72"/>
      <c r="Z27" s="72"/>
    </row>
    <row r="28">
      <c r="A28" s="78"/>
      <c r="B28" s="71"/>
      <c r="C28" s="71"/>
      <c r="D28" s="71"/>
      <c r="E28" s="71"/>
      <c r="F28" s="71"/>
      <c r="G28" s="71"/>
      <c r="H28" s="71"/>
      <c r="I28" s="71"/>
      <c r="J28" s="71"/>
      <c r="K28" s="71"/>
      <c r="L28" s="71"/>
      <c r="M28" s="71"/>
      <c r="N28" s="71"/>
      <c r="O28" s="71"/>
      <c r="P28" s="71"/>
      <c r="Q28" s="71"/>
      <c r="R28" s="71"/>
      <c r="S28" s="71"/>
      <c r="T28" s="71"/>
      <c r="U28" s="72"/>
      <c r="V28" s="72"/>
      <c r="W28" s="72"/>
      <c r="X28" s="72"/>
      <c r="Y28" s="72"/>
      <c r="Z28" s="72"/>
    </row>
    <row r="29">
      <c r="A29" s="83" t="s">
        <v>1396</v>
      </c>
      <c r="B29" s="84" t="s">
        <v>216</v>
      </c>
      <c r="C29" s="84" t="s">
        <v>235</v>
      </c>
      <c r="D29" s="84" t="s">
        <v>252</v>
      </c>
      <c r="E29" s="84" t="s">
        <v>269</v>
      </c>
      <c r="F29" s="84" t="s">
        <v>285</v>
      </c>
      <c r="G29" s="84" t="s">
        <v>295</v>
      </c>
      <c r="H29" s="84" t="s">
        <v>304</v>
      </c>
      <c r="I29" s="84" t="s">
        <v>311</v>
      </c>
      <c r="J29" s="84" t="s">
        <v>318</v>
      </c>
      <c r="K29" s="84" t="s">
        <v>325</v>
      </c>
      <c r="L29" s="84" t="s">
        <v>333</v>
      </c>
      <c r="M29" s="84" t="s">
        <v>338</v>
      </c>
      <c r="N29" s="84" t="s">
        <v>343</v>
      </c>
      <c r="O29" s="85" t="s">
        <v>1392</v>
      </c>
      <c r="P29" s="84" t="s">
        <v>1393</v>
      </c>
      <c r="Q29" s="71"/>
      <c r="R29" s="71"/>
      <c r="S29" s="71"/>
      <c r="T29" s="71"/>
      <c r="U29" s="72"/>
      <c r="V29" s="72"/>
      <c r="W29" s="72"/>
      <c r="X29" s="72"/>
      <c r="Y29" s="72"/>
      <c r="Z29" s="72"/>
    </row>
    <row r="30">
      <c r="A30" s="86" t="s">
        <v>1394</v>
      </c>
      <c r="B30" s="74">
        <v>2.0</v>
      </c>
      <c r="C30" s="74">
        <v>0.0</v>
      </c>
      <c r="D30" s="74">
        <v>1.0</v>
      </c>
      <c r="E30" s="74">
        <v>0.0</v>
      </c>
      <c r="F30" s="74">
        <v>0.0</v>
      </c>
      <c r="G30" s="74">
        <v>0.0</v>
      </c>
      <c r="H30" s="74">
        <v>0.0</v>
      </c>
      <c r="I30" s="74">
        <v>2.0</v>
      </c>
      <c r="J30" s="74">
        <v>0.0</v>
      </c>
      <c r="K30" s="74">
        <v>0.0</v>
      </c>
      <c r="L30" s="74">
        <v>2.0</v>
      </c>
      <c r="M30" s="74">
        <v>0.0</v>
      </c>
      <c r="N30" s="74">
        <v>0.0</v>
      </c>
      <c r="O30" s="75">
        <v>0.0</v>
      </c>
      <c r="P30" s="74">
        <f t="shared" ref="P30:P40" si="5">SUM(B30:N30)</f>
        <v>7</v>
      </c>
      <c r="Q30" s="71"/>
      <c r="R30" s="71"/>
      <c r="S30" s="71"/>
      <c r="T30" s="71"/>
      <c r="U30" s="72"/>
      <c r="V30" s="72"/>
      <c r="W30" s="72"/>
      <c r="X30" s="72"/>
      <c r="Y30" s="72"/>
      <c r="Z30" s="72"/>
    </row>
    <row r="31">
      <c r="A31" s="86">
        <v>100.0</v>
      </c>
      <c r="B31" s="74">
        <v>9.0</v>
      </c>
      <c r="C31" s="74">
        <v>4.0</v>
      </c>
      <c r="D31" s="74">
        <v>2.0</v>
      </c>
      <c r="E31" s="74">
        <v>0.0</v>
      </c>
      <c r="F31" s="74">
        <v>2.0</v>
      </c>
      <c r="G31" s="74">
        <v>1.0</v>
      </c>
      <c r="H31" s="74">
        <v>2.0</v>
      </c>
      <c r="I31" s="74">
        <v>4.0</v>
      </c>
      <c r="J31" s="74">
        <v>0.0</v>
      </c>
      <c r="K31" s="74">
        <v>4.0</v>
      </c>
      <c r="L31" s="74">
        <v>6.0</v>
      </c>
      <c r="M31" s="74">
        <v>2.0</v>
      </c>
      <c r="N31" s="74">
        <v>0.0</v>
      </c>
      <c r="O31" s="75">
        <v>0.0</v>
      </c>
      <c r="P31" s="74">
        <f t="shared" si="5"/>
        <v>36</v>
      </c>
      <c r="Q31" s="71"/>
      <c r="R31" s="71"/>
      <c r="S31" s="71"/>
      <c r="T31" s="71"/>
      <c r="U31" s="72"/>
      <c r="V31" s="72"/>
      <c r="W31" s="72"/>
      <c r="X31" s="72"/>
      <c r="Y31" s="72"/>
      <c r="Z31" s="72"/>
    </row>
    <row r="32">
      <c r="A32" s="86">
        <v>200.0</v>
      </c>
      <c r="B32" s="74">
        <v>7.0</v>
      </c>
      <c r="C32" s="74">
        <v>2.0</v>
      </c>
      <c r="D32" s="74">
        <v>2.0</v>
      </c>
      <c r="E32" s="74">
        <v>0.0</v>
      </c>
      <c r="F32" s="74">
        <v>3.0</v>
      </c>
      <c r="G32" s="74">
        <v>4.0</v>
      </c>
      <c r="H32" s="74">
        <v>5.0</v>
      </c>
      <c r="I32" s="74">
        <v>5.0</v>
      </c>
      <c r="J32" s="74">
        <v>2.0</v>
      </c>
      <c r="K32" s="74">
        <v>4.0</v>
      </c>
      <c r="L32" s="74">
        <v>7.0</v>
      </c>
      <c r="M32" s="74">
        <v>1.0</v>
      </c>
      <c r="N32" s="74">
        <v>0.0</v>
      </c>
      <c r="O32" s="75">
        <v>0.0</v>
      </c>
      <c r="P32" s="74">
        <f t="shared" si="5"/>
        <v>42</v>
      </c>
      <c r="Q32" s="71"/>
      <c r="R32" s="71"/>
      <c r="S32" s="71"/>
      <c r="T32" s="71"/>
      <c r="U32" s="72"/>
      <c r="V32" s="72"/>
      <c r="W32" s="72"/>
      <c r="X32" s="72"/>
      <c r="Y32" s="72"/>
      <c r="Z32" s="72"/>
    </row>
    <row r="33">
      <c r="A33" s="86">
        <v>300.0</v>
      </c>
      <c r="B33" s="74">
        <v>2.0</v>
      </c>
      <c r="C33" s="74">
        <v>1.0</v>
      </c>
      <c r="D33" s="74">
        <v>0.0</v>
      </c>
      <c r="E33" s="74">
        <v>0.0</v>
      </c>
      <c r="F33" s="74">
        <v>5.0</v>
      </c>
      <c r="G33" s="74">
        <v>1.0</v>
      </c>
      <c r="H33" s="74">
        <v>7.0</v>
      </c>
      <c r="I33" s="74">
        <v>2.0</v>
      </c>
      <c r="J33" s="74">
        <v>0.0</v>
      </c>
      <c r="K33" s="74">
        <v>1.0</v>
      </c>
      <c r="L33" s="74">
        <v>0.0</v>
      </c>
      <c r="M33" s="74">
        <v>3.0</v>
      </c>
      <c r="N33" s="74">
        <v>0.0</v>
      </c>
      <c r="O33" s="75">
        <v>0.0</v>
      </c>
      <c r="P33" s="74">
        <f t="shared" si="5"/>
        <v>22</v>
      </c>
      <c r="Q33" s="71"/>
      <c r="R33" s="71"/>
      <c r="S33" s="71"/>
      <c r="T33" s="71"/>
      <c r="U33" s="72"/>
      <c r="V33" s="72"/>
      <c r="W33" s="72"/>
      <c r="X33" s="72"/>
      <c r="Y33" s="72"/>
      <c r="Z33" s="72"/>
    </row>
    <row r="34">
      <c r="A34" s="86">
        <v>400.0</v>
      </c>
      <c r="B34" s="74">
        <v>0.0</v>
      </c>
      <c r="C34" s="74">
        <v>5.0</v>
      </c>
      <c r="D34" s="74">
        <v>3.0</v>
      </c>
      <c r="E34" s="74">
        <v>2.0</v>
      </c>
      <c r="F34" s="74">
        <v>2.0</v>
      </c>
      <c r="G34" s="74">
        <v>0.0</v>
      </c>
      <c r="H34" s="74">
        <v>5.0</v>
      </c>
      <c r="I34" s="74">
        <v>5.0</v>
      </c>
      <c r="J34" s="74">
        <v>1.0</v>
      </c>
      <c r="K34" s="74">
        <v>1.0</v>
      </c>
      <c r="L34" s="74">
        <v>2.0</v>
      </c>
      <c r="M34" s="74">
        <v>4.0</v>
      </c>
      <c r="N34" s="74">
        <v>0.0</v>
      </c>
      <c r="O34" s="75">
        <v>0.0</v>
      </c>
      <c r="P34" s="74">
        <f t="shared" si="5"/>
        <v>30</v>
      </c>
      <c r="Q34" s="71"/>
      <c r="R34" s="71"/>
      <c r="S34" s="71"/>
      <c r="T34" s="71"/>
      <c r="U34" s="72"/>
      <c r="V34" s="72"/>
      <c r="W34" s="72"/>
      <c r="X34" s="72"/>
      <c r="Y34" s="72"/>
      <c r="Z34" s="72"/>
    </row>
    <row r="35">
      <c r="A35" s="86">
        <v>500.0</v>
      </c>
      <c r="B35" s="74">
        <v>1.0</v>
      </c>
      <c r="C35" s="74">
        <v>0.0</v>
      </c>
      <c r="D35" s="74">
        <v>0.0</v>
      </c>
      <c r="E35" s="74">
        <v>0.0</v>
      </c>
      <c r="F35" s="74">
        <v>0.0</v>
      </c>
      <c r="G35" s="74">
        <v>0.0</v>
      </c>
      <c r="H35" s="74">
        <v>0.0</v>
      </c>
      <c r="I35" s="74">
        <v>4.0</v>
      </c>
      <c r="J35" s="74">
        <v>0.0</v>
      </c>
      <c r="K35" s="74">
        <v>0.0</v>
      </c>
      <c r="L35" s="74">
        <v>1.0</v>
      </c>
      <c r="M35" s="74">
        <v>0.0</v>
      </c>
      <c r="N35" s="74">
        <v>0.0</v>
      </c>
      <c r="O35" s="75">
        <v>0.0</v>
      </c>
      <c r="P35" s="74">
        <f t="shared" si="5"/>
        <v>6</v>
      </c>
      <c r="Q35" s="71"/>
      <c r="R35" s="71"/>
      <c r="S35" s="71"/>
      <c r="T35" s="71"/>
      <c r="U35" s="72"/>
      <c r="V35" s="72"/>
      <c r="W35" s="72"/>
      <c r="X35" s="72"/>
      <c r="Y35" s="72"/>
      <c r="Z35" s="72"/>
    </row>
    <row r="36">
      <c r="A36" s="86">
        <v>600.0</v>
      </c>
      <c r="B36" s="74">
        <v>2.0</v>
      </c>
      <c r="C36" s="74">
        <v>1.0</v>
      </c>
      <c r="D36" s="74">
        <v>3.0</v>
      </c>
      <c r="E36" s="74">
        <v>0.0</v>
      </c>
      <c r="F36" s="74">
        <v>1.0</v>
      </c>
      <c r="G36" s="74">
        <v>0.0</v>
      </c>
      <c r="H36" s="74">
        <v>5.0</v>
      </c>
      <c r="I36" s="74">
        <v>0.0</v>
      </c>
      <c r="J36" s="74">
        <v>1.0</v>
      </c>
      <c r="K36" s="74">
        <v>1.0</v>
      </c>
      <c r="L36" s="74">
        <v>1.0</v>
      </c>
      <c r="M36" s="74">
        <v>3.0</v>
      </c>
      <c r="N36" s="74">
        <v>0.0</v>
      </c>
      <c r="O36" s="75">
        <v>0.0</v>
      </c>
      <c r="P36" s="74">
        <f t="shared" si="5"/>
        <v>18</v>
      </c>
      <c r="Q36" s="71"/>
      <c r="R36" s="71"/>
      <c r="S36" s="71"/>
      <c r="T36" s="71"/>
      <c r="U36" s="72"/>
      <c r="V36" s="72"/>
      <c r="W36" s="72"/>
      <c r="X36" s="72"/>
      <c r="Y36" s="72"/>
      <c r="Z36" s="72"/>
    </row>
    <row r="37">
      <c r="A37" s="86">
        <v>700.0</v>
      </c>
      <c r="B37" s="74">
        <v>0.0</v>
      </c>
      <c r="C37" s="74">
        <v>0.0</v>
      </c>
      <c r="D37" s="74">
        <v>0.0</v>
      </c>
      <c r="E37" s="74">
        <v>0.0</v>
      </c>
      <c r="F37" s="74">
        <v>0.0</v>
      </c>
      <c r="G37" s="74">
        <v>0.0</v>
      </c>
      <c r="H37" s="74">
        <v>1.0</v>
      </c>
      <c r="I37" s="74">
        <v>0.0</v>
      </c>
      <c r="J37" s="74">
        <v>0.0</v>
      </c>
      <c r="K37" s="74">
        <v>0.0</v>
      </c>
      <c r="L37" s="74">
        <v>0.0</v>
      </c>
      <c r="M37" s="74">
        <v>0.0</v>
      </c>
      <c r="N37" s="74">
        <v>0.0</v>
      </c>
      <c r="O37" s="75">
        <v>0.0</v>
      </c>
      <c r="P37" s="74">
        <f t="shared" si="5"/>
        <v>1</v>
      </c>
      <c r="Q37" s="71"/>
      <c r="R37" s="71"/>
      <c r="S37" s="71"/>
      <c r="T37" s="71"/>
      <c r="U37" s="72"/>
      <c r="V37" s="72"/>
      <c r="W37" s="72"/>
      <c r="X37" s="72"/>
      <c r="Y37" s="72"/>
      <c r="Z37" s="72"/>
    </row>
    <row r="38">
      <c r="A38" s="86">
        <v>800.0</v>
      </c>
      <c r="B38" s="74">
        <v>0.0</v>
      </c>
      <c r="C38" s="74">
        <v>1.0</v>
      </c>
      <c r="D38" s="74">
        <v>0.0</v>
      </c>
      <c r="E38" s="74">
        <v>0.0</v>
      </c>
      <c r="F38" s="74">
        <v>0.0</v>
      </c>
      <c r="G38" s="74">
        <v>0.0</v>
      </c>
      <c r="H38" s="74">
        <v>0.0</v>
      </c>
      <c r="I38" s="74">
        <v>0.0</v>
      </c>
      <c r="J38" s="74">
        <v>0.0</v>
      </c>
      <c r="K38" s="74">
        <v>0.0</v>
      </c>
      <c r="L38" s="74">
        <v>0.0</v>
      </c>
      <c r="M38" s="74">
        <v>0.0</v>
      </c>
      <c r="N38" s="74">
        <v>0.0</v>
      </c>
      <c r="O38" s="75">
        <v>0.0</v>
      </c>
      <c r="P38" s="74">
        <f t="shared" si="5"/>
        <v>1</v>
      </c>
      <c r="Q38" s="71"/>
      <c r="R38" s="71"/>
      <c r="S38" s="71"/>
      <c r="T38" s="71"/>
      <c r="U38" s="72"/>
      <c r="V38" s="72"/>
      <c r="W38" s="72"/>
      <c r="X38" s="72"/>
      <c r="Y38" s="72"/>
      <c r="Z38" s="72"/>
    </row>
    <row r="39">
      <c r="A39" s="86">
        <v>900.0</v>
      </c>
      <c r="B39" s="74">
        <v>0.0</v>
      </c>
      <c r="C39" s="74">
        <v>0.0</v>
      </c>
      <c r="D39" s="74">
        <v>1.0</v>
      </c>
      <c r="E39" s="74">
        <v>0.0</v>
      </c>
      <c r="F39" s="74">
        <v>0.0</v>
      </c>
      <c r="G39" s="74">
        <v>0.0</v>
      </c>
      <c r="H39" s="74">
        <v>0.0</v>
      </c>
      <c r="I39" s="74">
        <v>0.0</v>
      </c>
      <c r="J39" s="74">
        <v>0.0</v>
      </c>
      <c r="K39" s="74">
        <v>0.0</v>
      </c>
      <c r="L39" s="74">
        <v>0.0</v>
      </c>
      <c r="M39" s="74">
        <v>0.0</v>
      </c>
      <c r="N39" s="74">
        <v>0.0</v>
      </c>
      <c r="O39" s="75">
        <v>0.0</v>
      </c>
      <c r="P39" s="74">
        <f t="shared" si="5"/>
        <v>1</v>
      </c>
      <c r="Q39" s="71"/>
      <c r="R39" s="71"/>
      <c r="S39" s="71"/>
      <c r="T39" s="71"/>
      <c r="U39" s="72"/>
      <c r="V39" s="72"/>
      <c r="W39" s="72"/>
      <c r="X39" s="72"/>
      <c r="Y39" s="72"/>
      <c r="Z39" s="72"/>
    </row>
    <row r="40">
      <c r="A40" s="86">
        <v>1200.0</v>
      </c>
      <c r="B40" s="74">
        <v>0.0</v>
      </c>
      <c r="C40" s="74">
        <v>0.0</v>
      </c>
      <c r="D40" s="74">
        <v>1.0</v>
      </c>
      <c r="E40" s="74">
        <v>0.0</v>
      </c>
      <c r="F40" s="74">
        <v>0.0</v>
      </c>
      <c r="G40" s="74">
        <v>0.0</v>
      </c>
      <c r="H40" s="74">
        <v>1.0</v>
      </c>
      <c r="I40" s="74">
        <v>1.0</v>
      </c>
      <c r="J40" s="74">
        <v>0.0</v>
      </c>
      <c r="K40" s="74">
        <v>0.0</v>
      </c>
      <c r="L40" s="74">
        <v>0.0</v>
      </c>
      <c r="M40" s="74">
        <v>0.0</v>
      </c>
      <c r="N40" s="74">
        <v>0.0</v>
      </c>
      <c r="O40" s="75">
        <v>0.0</v>
      </c>
      <c r="P40" s="74">
        <f t="shared" si="5"/>
        <v>3</v>
      </c>
      <c r="Q40" s="71"/>
      <c r="R40" s="71"/>
      <c r="S40" s="71"/>
      <c r="T40" s="71"/>
      <c r="U40" s="72"/>
      <c r="V40" s="72"/>
      <c r="W40" s="72"/>
      <c r="X40" s="72"/>
      <c r="Y40" s="72"/>
      <c r="Z40" s="72"/>
    </row>
    <row r="41">
      <c r="A41" s="86" t="s">
        <v>1393</v>
      </c>
      <c r="B41" s="74">
        <f t="shared" ref="B41:O41" si="6">SUM(B30:B40)</f>
        <v>23</v>
      </c>
      <c r="C41" s="74">
        <f t="shared" si="6"/>
        <v>14</v>
      </c>
      <c r="D41" s="74">
        <f t="shared" si="6"/>
        <v>13</v>
      </c>
      <c r="E41" s="74">
        <f t="shared" si="6"/>
        <v>2</v>
      </c>
      <c r="F41" s="74">
        <f t="shared" si="6"/>
        <v>13</v>
      </c>
      <c r="G41" s="74">
        <f t="shared" si="6"/>
        <v>6</v>
      </c>
      <c r="H41" s="74">
        <f t="shared" si="6"/>
        <v>26</v>
      </c>
      <c r="I41" s="74">
        <f t="shared" si="6"/>
        <v>23</v>
      </c>
      <c r="J41" s="74">
        <f t="shared" si="6"/>
        <v>4</v>
      </c>
      <c r="K41" s="74">
        <f t="shared" si="6"/>
        <v>11</v>
      </c>
      <c r="L41" s="74">
        <f t="shared" si="6"/>
        <v>19</v>
      </c>
      <c r="M41" s="74">
        <f t="shared" si="6"/>
        <v>13</v>
      </c>
      <c r="N41" s="74">
        <f t="shared" si="6"/>
        <v>0</v>
      </c>
      <c r="O41" s="75">
        <f t="shared" si="6"/>
        <v>0</v>
      </c>
      <c r="P41" s="74">
        <f>SUM(B30:N40)</f>
        <v>167</v>
      </c>
      <c r="Q41" s="71"/>
      <c r="R41" s="71"/>
      <c r="S41" s="71"/>
      <c r="T41" s="71"/>
      <c r="U41" s="72"/>
      <c r="V41" s="72"/>
      <c r="W41" s="72"/>
      <c r="X41" s="72"/>
      <c r="Y41" s="72"/>
      <c r="Z41" s="72"/>
    </row>
    <row r="42">
      <c r="A42" s="78"/>
      <c r="B42" s="71"/>
      <c r="C42" s="71"/>
      <c r="D42" s="71"/>
      <c r="E42" s="71"/>
      <c r="F42" s="71"/>
      <c r="G42" s="71"/>
      <c r="H42" s="71"/>
      <c r="I42" s="71"/>
      <c r="J42" s="71"/>
      <c r="K42" s="71"/>
      <c r="L42" s="71"/>
      <c r="M42" s="71"/>
      <c r="N42" s="71"/>
      <c r="O42" s="71"/>
      <c r="P42" s="71"/>
      <c r="Q42" s="71"/>
      <c r="R42" s="71"/>
      <c r="S42" s="71"/>
      <c r="T42" s="71"/>
      <c r="U42" s="72"/>
      <c r="V42" s="72"/>
      <c r="W42" s="72"/>
      <c r="X42" s="72"/>
      <c r="Y42" s="72"/>
      <c r="Z42" s="72"/>
    </row>
    <row r="43">
      <c r="A43" s="87" t="s">
        <v>1397</v>
      </c>
      <c r="B43" s="88" t="s">
        <v>216</v>
      </c>
      <c r="C43" s="88" t="s">
        <v>235</v>
      </c>
      <c r="D43" s="88" t="s">
        <v>252</v>
      </c>
      <c r="E43" s="88" t="s">
        <v>269</v>
      </c>
      <c r="F43" s="88" t="s">
        <v>285</v>
      </c>
      <c r="G43" s="88" t="s">
        <v>295</v>
      </c>
      <c r="H43" s="88" t="s">
        <v>304</v>
      </c>
      <c r="I43" s="88" t="s">
        <v>311</v>
      </c>
      <c r="J43" s="88" t="s">
        <v>318</v>
      </c>
      <c r="K43" s="88" t="s">
        <v>325</v>
      </c>
      <c r="L43" s="88" t="s">
        <v>333</v>
      </c>
      <c r="M43" s="88" t="s">
        <v>338</v>
      </c>
      <c r="N43" s="88" t="s">
        <v>343</v>
      </c>
      <c r="O43" s="89" t="s">
        <v>1392</v>
      </c>
      <c r="P43" s="88" t="s">
        <v>1393</v>
      </c>
      <c r="Q43" s="71"/>
      <c r="R43" s="71"/>
      <c r="S43" s="71"/>
      <c r="T43" s="71"/>
      <c r="U43" s="72"/>
      <c r="V43" s="72"/>
      <c r="W43" s="72"/>
      <c r="X43" s="72"/>
      <c r="Y43" s="72"/>
      <c r="Z43" s="72"/>
    </row>
    <row r="44">
      <c r="A44" s="90" t="s">
        <v>1398</v>
      </c>
      <c r="B44" s="74">
        <v>28.0</v>
      </c>
      <c r="C44" s="74">
        <v>19.0</v>
      </c>
      <c r="D44" s="74">
        <v>3.0</v>
      </c>
      <c r="E44" s="74">
        <v>0.0</v>
      </c>
      <c r="F44" s="74">
        <v>9.0</v>
      </c>
      <c r="G44" s="74">
        <v>3.0</v>
      </c>
      <c r="H44" s="74">
        <v>7.0</v>
      </c>
      <c r="I44" s="74">
        <v>16.0</v>
      </c>
      <c r="J44" s="74">
        <v>12.0</v>
      </c>
      <c r="K44" s="74">
        <v>3.0</v>
      </c>
      <c r="L44" s="74">
        <v>1.0</v>
      </c>
      <c r="M44" s="74">
        <v>4.0</v>
      </c>
      <c r="N44" s="74">
        <v>0.0</v>
      </c>
      <c r="O44" s="75">
        <v>0.0</v>
      </c>
      <c r="P44" s="74">
        <f t="shared" ref="P44:P47" si="7">SUM(B44:N44)</f>
        <v>105</v>
      </c>
      <c r="Q44" s="71"/>
      <c r="R44" s="71"/>
      <c r="S44" s="71"/>
      <c r="T44" s="71"/>
      <c r="U44" s="72"/>
      <c r="V44" s="72"/>
      <c r="W44" s="72"/>
      <c r="X44" s="72"/>
      <c r="Y44" s="72"/>
      <c r="Z44" s="72"/>
    </row>
    <row r="45">
      <c r="A45" s="91" t="s">
        <v>1399</v>
      </c>
      <c r="B45" s="74">
        <v>2.0</v>
      </c>
      <c r="C45" s="74">
        <v>1.0</v>
      </c>
      <c r="D45" s="74">
        <v>0.0</v>
      </c>
      <c r="E45" s="74">
        <v>0.0</v>
      </c>
      <c r="F45" s="74">
        <v>0.0</v>
      </c>
      <c r="G45" s="74">
        <v>0.0</v>
      </c>
      <c r="H45" s="74">
        <v>0.0</v>
      </c>
      <c r="I45" s="74">
        <v>2.0</v>
      </c>
      <c r="J45" s="74">
        <v>1.0</v>
      </c>
      <c r="K45" s="74">
        <v>0.0</v>
      </c>
      <c r="L45" s="74">
        <v>0.0</v>
      </c>
      <c r="M45" s="74">
        <v>1.0</v>
      </c>
      <c r="N45" s="74">
        <v>1.0</v>
      </c>
      <c r="O45" s="75">
        <v>18.0</v>
      </c>
      <c r="P45" s="74">
        <f t="shared" si="7"/>
        <v>8</v>
      </c>
      <c r="Q45" s="71"/>
      <c r="R45" s="71"/>
      <c r="S45" s="71"/>
      <c r="T45" s="71"/>
      <c r="U45" s="72"/>
      <c r="V45" s="72"/>
      <c r="W45" s="72"/>
      <c r="X45" s="72"/>
      <c r="Y45" s="72"/>
      <c r="Z45" s="72"/>
    </row>
    <row r="46">
      <c r="A46" s="91" t="s">
        <v>1400</v>
      </c>
      <c r="B46" s="74">
        <v>1.0</v>
      </c>
      <c r="C46" s="74">
        <v>1.0</v>
      </c>
      <c r="D46" s="74">
        <v>0.0</v>
      </c>
      <c r="E46" s="74">
        <v>0.0</v>
      </c>
      <c r="F46" s="74">
        <v>0.0</v>
      </c>
      <c r="G46" s="74">
        <v>0.0</v>
      </c>
      <c r="H46" s="74">
        <v>0.0</v>
      </c>
      <c r="I46" s="74">
        <v>2.0</v>
      </c>
      <c r="J46" s="74">
        <v>0.0</v>
      </c>
      <c r="K46" s="74">
        <v>0.0</v>
      </c>
      <c r="L46" s="74">
        <v>0.0</v>
      </c>
      <c r="M46" s="74">
        <v>0.0</v>
      </c>
      <c r="N46" s="74">
        <v>1.0</v>
      </c>
      <c r="O46" s="75">
        <v>18.0</v>
      </c>
      <c r="P46" s="74">
        <f t="shared" si="7"/>
        <v>5</v>
      </c>
      <c r="Q46" s="71"/>
      <c r="R46" s="71"/>
      <c r="S46" s="71"/>
      <c r="T46" s="71"/>
      <c r="U46" s="72"/>
      <c r="V46" s="72"/>
      <c r="W46" s="72"/>
      <c r="X46" s="72"/>
      <c r="Y46" s="72"/>
      <c r="Z46" s="72"/>
    </row>
    <row r="47">
      <c r="A47" s="91" t="s">
        <v>1401</v>
      </c>
      <c r="B47" s="74">
        <v>5.0</v>
      </c>
      <c r="C47" s="74">
        <v>6.0</v>
      </c>
      <c r="D47" s="74">
        <v>0.0</v>
      </c>
      <c r="E47" s="74">
        <v>0.0</v>
      </c>
      <c r="F47" s="74">
        <v>0.0</v>
      </c>
      <c r="G47" s="74">
        <v>0.0</v>
      </c>
      <c r="H47" s="74">
        <v>0.0</v>
      </c>
      <c r="I47" s="74">
        <v>10.0</v>
      </c>
      <c r="J47" s="74">
        <v>2.0</v>
      </c>
      <c r="K47" s="74">
        <v>0.0</v>
      </c>
      <c r="L47" s="74">
        <v>0.0</v>
      </c>
      <c r="M47" s="74">
        <v>2.0</v>
      </c>
      <c r="N47" s="74">
        <v>0.0</v>
      </c>
      <c r="O47" s="75">
        <v>0.0</v>
      </c>
      <c r="P47" s="74">
        <f t="shared" si="7"/>
        <v>25</v>
      </c>
      <c r="Q47" s="71"/>
      <c r="R47" s="71"/>
      <c r="S47" s="71"/>
      <c r="T47" s="71"/>
      <c r="U47" s="72"/>
      <c r="V47" s="72"/>
      <c r="W47" s="72"/>
      <c r="X47" s="72"/>
      <c r="Y47" s="72"/>
      <c r="Z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42.14"/>
    <col customWidth="1" min="3" max="3" width="19.43"/>
    <col customWidth="1" min="4" max="4" width="16.43"/>
    <col customWidth="1" min="5" max="5" width="19.43"/>
    <col customWidth="1" min="6" max="6" width="16.43"/>
    <col customWidth="1" min="8" max="8" width="41.14"/>
    <col customWidth="1" min="9" max="9" width="19.43"/>
    <col customWidth="1" min="10" max="10" width="16.43"/>
    <col customWidth="1" min="11" max="11" width="19.43"/>
    <col customWidth="1" min="12" max="12" width="16.43"/>
    <col customWidth="1" min="14" max="14" width="48.0"/>
    <col customWidth="1" min="15" max="15" width="19.43"/>
    <col customWidth="1" min="16" max="16" width="16.43"/>
    <col customWidth="1" min="17" max="17" width="19.43"/>
    <col customWidth="1" min="18" max="18" width="16.43"/>
  </cols>
  <sheetData>
    <row r="1" ht="30.0" customHeight="1">
      <c r="A1" s="92"/>
      <c r="B1" s="93" t="s">
        <v>1402</v>
      </c>
      <c r="C1" s="93" t="s">
        <v>1403</v>
      </c>
      <c r="D1" s="94" t="s">
        <v>1404</v>
      </c>
      <c r="E1" s="93" t="s">
        <v>1405</v>
      </c>
      <c r="F1" s="95" t="s">
        <v>1406</v>
      </c>
      <c r="G1" s="92"/>
      <c r="H1" s="93" t="s">
        <v>1407</v>
      </c>
      <c r="I1" s="93" t="s">
        <v>1403</v>
      </c>
      <c r="J1" s="93" t="s">
        <v>1404</v>
      </c>
      <c r="K1" s="93" t="s">
        <v>1405</v>
      </c>
      <c r="L1" s="93" t="s">
        <v>1406</v>
      </c>
      <c r="M1" s="92"/>
      <c r="N1" s="93" t="s">
        <v>1408</v>
      </c>
      <c r="O1" s="93" t="s">
        <v>1403</v>
      </c>
      <c r="P1" s="93" t="s">
        <v>1404</v>
      </c>
      <c r="Q1" s="93" t="s">
        <v>1405</v>
      </c>
      <c r="R1" s="93" t="s">
        <v>1406</v>
      </c>
      <c r="S1" s="92"/>
    </row>
    <row r="2" ht="15.0" customHeight="1">
      <c r="A2" s="92"/>
      <c r="B2" s="93" t="s">
        <v>1409</v>
      </c>
      <c r="C2" s="93">
        <f>I2</f>
        <v>4</v>
      </c>
      <c r="D2" s="93">
        <f>C2</f>
        <v>4</v>
      </c>
      <c r="E2" s="93">
        <f>K2</f>
        <v>804</v>
      </c>
      <c r="F2" s="93">
        <f>E2</f>
        <v>804</v>
      </c>
      <c r="G2" s="92"/>
      <c r="H2" s="93" t="s">
        <v>1409</v>
      </c>
      <c r="I2" s="93">
        <v>4.0</v>
      </c>
      <c r="J2" s="93">
        <f>I2</f>
        <v>4</v>
      </c>
      <c r="K2" s="93">
        <v>804.0</v>
      </c>
      <c r="L2" s="93">
        <f>K2</f>
        <v>804</v>
      </c>
      <c r="M2" s="92"/>
      <c r="N2" s="93" t="s">
        <v>1410</v>
      </c>
      <c r="O2" s="93">
        <v>0.0</v>
      </c>
      <c r="P2" s="93">
        <f>O2</f>
        <v>0</v>
      </c>
      <c r="Q2" s="93">
        <v>0.0</v>
      </c>
      <c r="R2" s="93">
        <f>Q2</f>
        <v>0</v>
      </c>
      <c r="S2" s="92"/>
    </row>
    <row r="3" ht="15.0" customHeight="1">
      <c r="A3" s="92"/>
      <c r="B3" s="93" t="s">
        <v>1410</v>
      </c>
      <c r="C3" s="93">
        <f>O2</f>
        <v>0</v>
      </c>
      <c r="D3" s="93">
        <f t="shared" ref="D3:D603" si="1">D2+C3</f>
        <v>4</v>
      </c>
      <c r="E3" s="93">
        <f>Q2</f>
        <v>0</v>
      </c>
      <c r="F3" s="93">
        <f t="shared" ref="F3:F603" si="2">F2+E3</f>
        <v>804</v>
      </c>
      <c r="G3" s="92"/>
      <c r="H3" s="93" t="s">
        <v>1411</v>
      </c>
      <c r="I3" s="93">
        <v>2.0</v>
      </c>
      <c r="J3" s="93">
        <f t="shared" ref="J3:J301" si="3">J2+I3</f>
        <v>6</v>
      </c>
      <c r="K3" s="93">
        <v>58.0</v>
      </c>
      <c r="L3" s="93">
        <f t="shared" ref="L3:L301" si="4">L2+K3</f>
        <v>862</v>
      </c>
      <c r="M3" s="92"/>
      <c r="N3" s="93" t="s">
        <v>1412</v>
      </c>
      <c r="O3" s="93">
        <v>0.0</v>
      </c>
      <c r="P3" s="93">
        <f t="shared" ref="P3:P301" si="5">P2+O3</f>
        <v>0</v>
      </c>
      <c r="Q3" s="93">
        <v>0.0</v>
      </c>
      <c r="R3" s="93">
        <f t="shared" ref="R3:R301" si="6">R2+Q3</f>
        <v>0</v>
      </c>
      <c r="S3" s="92"/>
    </row>
    <row r="4" ht="15.0" customHeight="1">
      <c r="A4" s="92"/>
      <c r="B4" s="93" t="s">
        <v>1411</v>
      </c>
      <c r="C4" s="93">
        <f>I3</f>
        <v>2</v>
      </c>
      <c r="D4" s="93">
        <f t="shared" si="1"/>
        <v>6</v>
      </c>
      <c r="E4" s="93">
        <f>K3</f>
        <v>58</v>
      </c>
      <c r="F4" s="93">
        <f t="shared" si="2"/>
        <v>862</v>
      </c>
      <c r="G4" s="92"/>
      <c r="H4" s="93" t="s">
        <v>1413</v>
      </c>
      <c r="I4" s="93">
        <v>2.0</v>
      </c>
      <c r="J4" s="93">
        <f t="shared" si="3"/>
        <v>8</v>
      </c>
      <c r="K4" s="93">
        <v>158.0</v>
      </c>
      <c r="L4" s="93">
        <f t="shared" si="4"/>
        <v>1020</v>
      </c>
      <c r="M4" s="92"/>
      <c r="N4" s="93" t="s">
        <v>1414</v>
      </c>
      <c r="O4" s="93">
        <v>0.0</v>
      </c>
      <c r="P4" s="93">
        <f t="shared" si="5"/>
        <v>0</v>
      </c>
      <c r="Q4" s="93">
        <v>0.0</v>
      </c>
      <c r="R4" s="93">
        <f t="shared" si="6"/>
        <v>0</v>
      </c>
      <c r="S4" s="92"/>
    </row>
    <row r="5" ht="15.0" customHeight="1">
      <c r="A5" s="92"/>
      <c r="B5" s="93" t="s">
        <v>1412</v>
      </c>
      <c r="C5" s="93">
        <f>O3</f>
        <v>0</v>
      </c>
      <c r="D5" s="93">
        <f t="shared" si="1"/>
        <v>6</v>
      </c>
      <c r="E5" s="93">
        <f>Q3</f>
        <v>0</v>
      </c>
      <c r="F5" s="93">
        <f t="shared" si="2"/>
        <v>862</v>
      </c>
      <c r="G5" s="92"/>
      <c r="H5" s="93" t="s">
        <v>1415</v>
      </c>
      <c r="I5" s="93">
        <v>2.0</v>
      </c>
      <c r="J5" s="93">
        <f t="shared" si="3"/>
        <v>10</v>
      </c>
      <c r="K5" s="93">
        <v>141.0</v>
      </c>
      <c r="L5" s="93">
        <f t="shared" si="4"/>
        <v>1161</v>
      </c>
      <c r="M5" s="92"/>
      <c r="N5" s="93" t="s">
        <v>1416</v>
      </c>
      <c r="O5" s="93">
        <v>0.0</v>
      </c>
      <c r="P5" s="93">
        <f t="shared" si="5"/>
        <v>0</v>
      </c>
      <c r="Q5" s="93">
        <v>0.0</v>
      </c>
      <c r="R5" s="93">
        <f t="shared" si="6"/>
        <v>0</v>
      </c>
      <c r="S5" s="92"/>
    </row>
    <row r="6" ht="15.0" customHeight="1">
      <c r="A6" s="92"/>
      <c r="B6" s="93" t="s">
        <v>1413</v>
      </c>
      <c r="C6" s="93">
        <f>I4</f>
        <v>2</v>
      </c>
      <c r="D6" s="93">
        <f t="shared" si="1"/>
        <v>8</v>
      </c>
      <c r="E6" s="93">
        <f>K4</f>
        <v>158</v>
      </c>
      <c r="F6" s="93">
        <f t="shared" si="2"/>
        <v>1020</v>
      </c>
      <c r="G6" s="92"/>
      <c r="H6" s="93" t="s">
        <v>1417</v>
      </c>
      <c r="I6" s="93">
        <v>4.0</v>
      </c>
      <c r="J6" s="93">
        <f t="shared" si="3"/>
        <v>14</v>
      </c>
      <c r="K6" s="93">
        <v>774.0</v>
      </c>
      <c r="L6" s="93">
        <f t="shared" si="4"/>
        <v>1935</v>
      </c>
      <c r="M6" s="92"/>
      <c r="N6" s="93" t="s">
        <v>1418</v>
      </c>
      <c r="O6" s="93">
        <v>1.0</v>
      </c>
      <c r="P6" s="93">
        <f t="shared" si="5"/>
        <v>1</v>
      </c>
      <c r="Q6" s="93">
        <v>48.0</v>
      </c>
      <c r="R6" s="93">
        <f t="shared" si="6"/>
        <v>48</v>
      </c>
      <c r="S6" s="92"/>
    </row>
    <row r="7" ht="15.0" customHeight="1">
      <c r="A7" s="92"/>
      <c r="B7" s="93" t="s">
        <v>1414</v>
      </c>
      <c r="C7" s="93">
        <f>O4</f>
        <v>0</v>
      </c>
      <c r="D7" s="93">
        <f t="shared" si="1"/>
        <v>8</v>
      </c>
      <c r="E7" s="93">
        <f>Q4</f>
        <v>0</v>
      </c>
      <c r="F7" s="93">
        <f t="shared" si="2"/>
        <v>1020</v>
      </c>
      <c r="G7" s="92"/>
      <c r="H7" s="93" t="s">
        <v>1419</v>
      </c>
      <c r="I7" s="93">
        <v>8.0</v>
      </c>
      <c r="J7" s="93">
        <f t="shared" si="3"/>
        <v>22</v>
      </c>
      <c r="K7" s="93">
        <v>1568.0</v>
      </c>
      <c r="L7" s="93">
        <f t="shared" si="4"/>
        <v>3503</v>
      </c>
      <c r="M7" s="92"/>
      <c r="N7" s="93" t="s">
        <v>1420</v>
      </c>
      <c r="O7" s="93">
        <v>0.0</v>
      </c>
      <c r="P7" s="93">
        <f t="shared" si="5"/>
        <v>1</v>
      </c>
      <c r="Q7" s="93">
        <v>0.0</v>
      </c>
      <c r="R7" s="93">
        <f t="shared" si="6"/>
        <v>48</v>
      </c>
      <c r="S7" s="92"/>
    </row>
    <row r="8" ht="15.0" customHeight="1">
      <c r="A8" s="92"/>
      <c r="B8" s="93" t="s">
        <v>1415</v>
      </c>
      <c r="C8" s="93">
        <f>I5</f>
        <v>2</v>
      </c>
      <c r="D8" s="93">
        <f t="shared" si="1"/>
        <v>10</v>
      </c>
      <c r="E8" s="93">
        <f>K5</f>
        <v>141</v>
      </c>
      <c r="F8" s="93">
        <f t="shared" si="2"/>
        <v>1161</v>
      </c>
      <c r="G8" s="92"/>
      <c r="H8" s="93" t="s">
        <v>1421</v>
      </c>
      <c r="I8" s="93">
        <v>6.0</v>
      </c>
      <c r="J8" s="93">
        <f t="shared" si="3"/>
        <v>28</v>
      </c>
      <c r="K8" s="93">
        <v>1115.0</v>
      </c>
      <c r="L8" s="93">
        <f t="shared" si="4"/>
        <v>4618</v>
      </c>
      <c r="M8" s="92"/>
      <c r="N8" s="93" t="s">
        <v>1422</v>
      </c>
      <c r="O8" s="93">
        <v>2.0</v>
      </c>
      <c r="P8" s="93">
        <f t="shared" si="5"/>
        <v>3</v>
      </c>
      <c r="Q8" s="93">
        <v>228.0</v>
      </c>
      <c r="R8" s="93">
        <f t="shared" si="6"/>
        <v>276</v>
      </c>
      <c r="S8" s="92"/>
    </row>
    <row r="9" ht="15.0" customHeight="1">
      <c r="A9" s="92"/>
      <c r="B9" s="93" t="s">
        <v>1416</v>
      </c>
      <c r="C9" s="93">
        <f>O5</f>
        <v>0</v>
      </c>
      <c r="D9" s="93">
        <f t="shared" si="1"/>
        <v>10</v>
      </c>
      <c r="E9" s="93">
        <f>Q5</f>
        <v>0</v>
      </c>
      <c r="F9" s="93">
        <f t="shared" si="2"/>
        <v>1161</v>
      </c>
      <c r="G9" s="92"/>
      <c r="H9" s="93" t="s">
        <v>1423</v>
      </c>
      <c r="I9" s="93">
        <v>3.0</v>
      </c>
      <c r="J9" s="93">
        <f t="shared" si="3"/>
        <v>31</v>
      </c>
      <c r="K9" s="93">
        <v>377.0</v>
      </c>
      <c r="L9" s="93">
        <f t="shared" si="4"/>
        <v>4995</v>
      </c>
      <c r="M9" s="92"/>
      <c r="N9" s="93" t="s">
        <v>1424</v>
      </c>
      <c r="O9" s="93">
        <v>0.0</v>
      </c>
      <c r="P9" s="93">
        <f t="shared" si="5"/>
        <v>3</v>
      </c>
      <c r="Q9" s="93">
        <v>0.0</v>
      </c>
      <c r="R9" s="93">
        <f t="shared" si="6"/>
        <v>276</v>
      </c>
      <c r="S9" s="92"/>
    </row>
    <row r="10" ht="15.0" customHeight="1">
      <c r="A10" s="92"/>
      <c r="B10" s="93" t="s">
        <v>1417</v>
      </c>
      <c r="C10" s="93">
        <f>I6</f>
        <v>4</v>
      </c>
      <c r="D10" s="93">
        <f t="shared" si="1"/>
        <v>14</v>
      </c>
      <c r="E10" s="93">
        <f>K6</f>
        <v>774</v>
      </c>
      <c r="F10" s="93">
        <f t="shared" si="2"/>
        <v>1935</v>
      </c>
      <c r="G10" s="92"/>
      <c r="H10" s="93" t="s">
        <v>1425</v>
      </c>
      <c r="I10" s="93">
        <v>8.0</v>
      </c>
      <c r="J10" s="93">
        <f t="shared" si="3"/>
        <v>39</v>
      </c>
      <c r="K10" s="93">
        <v>763.0</v>
      </c>
      <c r="L10" s="93">
        <f t="shared" si="4"/>
        <v>5758</v>
      </c>
      <c r="M10" s="92"/>
      <c r="N10" s="93" t="s">
        <v>1426</v>
      </c>
      <c r="O10" s="93">
        <v>1.0</v>
      </c>
      <c r="P10" s="93">
        <f t="shared" si="5"/>
        <v>4</v>
      </c>
      <c r="Q10" s="93">
        <v>172.0</v>
      </c>
      <c r="R10" s="93">
        <f t="shared" si="6"/>
        <v>448</v>
      </c>
      <c r="S10" s="92"/>
    </row>
    <row r="11" ht="15.0" customHeight="1">
      <c r="A11" s="92"/>
      <c r="B11" s="93" t="s">
        <v>1418</v>
      </c>
      <c r="C11" s="93">
        <f>O6</f>
        <v>1</v>
      </c>
      <c r="D11" s="93">
        <f t="shared" si="1"/>
        <v>15</v>
      </c>
      <c r="E11" s="93">
        <f>Q6</f>
        <v>48</v>
      </c>
      <c r="F11" s="93">
        <f t="shared" si="2"/>
        <v>1983</v>
      </c>
      <c r="G11" s="92"/>
      <c r="H11" s="93" t="s">
        <v>1427</v>
      </c>
      <c r="I11" s="93">
        <v>3.0</v>
      </c>
      <c r="J11" s="93">
        <f t="shared" si="3"/>
        <v>42</v>
      </c>
      <c r="K11" s="93">
        <v>886.0</v>
      </c>
      <c r="L11" s="93">
        <f t="shared" si="4"/>
        <v>6644</v>
      </c>
      <c r="M11" s="92"/>
      <c r="N11" s="93" t="s">
        <v>1428</v>
      </c>
      <c r="O11" s="93">
        <v>0.0</v>
      </c>
      <c r="P11" s="93">
        <f t="shared" si="5"/>
        <v>4</v>
      </c>
      <c r="Q11" s="93">
        <v>0.0</v>
      </c>
      <c r="R11" s="93">
        <f t="shared" si="6"/>
        <v>448</v>
      </c>
      <c r="S11" s="92"/>
    </row>
    <row r="12" ht="15.0" customHeight="1">
      <c r="A12" s="92"/>
      <c r="B12" s="93" t="s">
        <v>1419</v>
      </c>
      <c r="C12" s="93">
        <f>I7</f>
        <v>8</v>
      </c>
      <c r="D12" s="93">
        <f t="shared" si="1"/>
        <v>23</v>
      </c>
      <c r="E12" s="93">
        <f>K7</f>
        <v>1568</v>
      </c>
      <c r="F12" s="93">
        <f t="shared" si="2"/>
        <v>3551</v>
      </c>
      <c r="G12" s="92"/>
      <c r="H12" s="93" t="s">
        <v>1429</v>
      </c>
      <c r="I12" s="93">
        <v>7.0</v>
      </c>
      <c r="J12" s="93">
        <f t="shared" si="3"/>
        <v>49</v>
      </c>
      <c r="K12" s="93">
        <v>761.0</v>
      </c>
      <c r="L12" s="93">
        <f t="shared" si="4"/>
        <v>7405</v>
      </c>
      <c r="M12" s="92"/>
      <c r="N12" s="93" t="s">
        <v>1430</v>
      </c>
      <c r="O12" s="93">
        <v>1.0</v>
      </c>
      <c r="P12" s="93">
        <f t="shared" si="5"/>
        <v>5</v>
      </c>
      <c r="Q12" s="93">
        <v>379.0</v>
      </c>
      <c r="R12" s="93">
        <f t="shared" si="6"/>
        <v>827</v>
      </c>
      <c r="S12" s="92"/>
    </row>
    <row r="13" ht="15.0" customHeight="1">
      <c r="A13" s="92"/>
      <c r="B13" s="93" t="s">
        <v>1420</v>
      </c>
      <c r="C13" s="93">
        <f>O7</f>
        <v>0</v>
      </c>
      <c r="D13" s="93">
        <f t="shared" si="1"/>
        <v>23</v>
      </c>
      <c r="E13" s="93">
        <f>Q7</f>
        <v>0</v>
      </c>
      <c r="F13" s="93">
        <f t="shared" si="2"/>
        <v>3551</v>
      </c>
      <c r="G13" s="92"/>
      <c r="H13" s="93" t="s">
        <v>1431</v>
      </c>
      <c r="I13" s="93">
        <v>7.0</v>
      </c>
      <c r="J13" s="93">
        <f t="shared" si="3"/>
        <v>56</v>
      </c>
      <c r="K13" s="93">
        <v>895.0</v>
      </c>
      <c r="L13" s="93">
        <f t="shared" si="4"/>
        <v>8300</v>
      </c>
      <c r="M13" s="92"/>
      <c r="N13" s="93" t="s">
        <v>1432</v>
      </c>
      <c r="O13" s="93">
        <v>0.0</v>
      </c>
      <c r="P13" s="93">
        <f t="shared" si="5"/>
        <v>5</v>
      </c>
      <c r="Q13" s="93">
        <v>0.0</v>
      </c>
      <c r="R13" s="93">
        <f t="shared" si="6"/>
        <v>827</v>
      </c>
      <c r="S13" s="92"/>
    </row>
    <row r="14" ht="15.0" customHeight="1">
      <c r="A14" s="92"/>
      <c r="B14" s="93" t="s">
        <v>1421</v>
      </c>
      <c r="C14" s="93">
        <f>I8</f>
        <v>6</v>
      </c>
      <c r="D14" s="93">
        <f t="shared" si="1"/>
        <v>29</v>
      </c>
      <c r="E14" s="93">
        <f>K8</f>
        <v>1115</v>
      </c>
      <c r="F14" s="93">
        <f t="shared" si="2"/>
        <v>4666</v>
      </c>
      <c r="G14" s="92"/>
      <c r="H14" s="93" t="s">
        <v>1433</v>
      </c>
      <c r="I14" s="93">
        <v>6.0</v>
      </c>
      <c r="J14" s="93">
        <f t="shared" si="3"/>
        <v>62</v>
      </c>
      <c r="K14" s="93">
        <v>717.0</v>
      </c>
      <c r="L14" s="93">
        <f t="shared" si="4"/>
        <v>9017</v>
      </c>
      <c r="M14" s="92"/>
      <c r="N14" s="93" t="s">
        <v>1434</v>
      </c>
      <c r="O14" s="93">
        <v>0.0</v>
      </c>
      <c r="P14" s="93">
        <f t="shared" si="5"/>
        <v>5</v>
      </c>
      <c r="Q14" s="93">
        <v>0.0</v>
      </c>
      <c r="R14" s="93">
        <f t="shared" si="6"/>
        <v>827</v>
      </c>
      <c r="S14" s="92"/>
    </row>
    <row r="15" ht="15.0" customHeight="1">
      <c r="A15" s="92"/>
      <c r="B15" s="93" t="s">
        <v>1422</v>
      </c>
      <c r="C15" s="93">
        <f>O8</f>
        <v>2</v>
      </c>
      <c r="D15" s="93">
        <f t="shared" si="1"/>
        <v>31</v>
      </c>
      <c r="E15" s="93">
        <f>Q8</f>
        <v>228</v>
      </c>
      <c r="F15" s="93">
        <f t="shared" si="2"/>
        <v>4894</v>
      </c>
      <c r="G15" s="92"/>
      <c r="H15" s="93" t="s">
        <v>1435</v>
      </c>
      <c r="I15" s="93">
        <v>5.0</v>
      </c>
      <c r="J15" s="93">
        <f t="shared" si="3"/>
        <v>67</v>
      </c>
      <c r="K15" s="93">
        <v>484.0</v>
      </c>
      <c r="L15" s="93">
        <f t="shared" si="4"/>
        <v>9501</v>
      </c>
      <c r="M15" s="92"/>
      <c r="N15" s="93" t="s">
        <v>1436</v>
      </c>
      <c r="O15" s="93">
        <v>1.0</v>
      </c>
      <c r="P15" s="93">
        <f t="shared" si="5"/>
        <v>6</v>
      </c>
      <c r="Q15" s="93">
        <v>1120.0</v>
      </c>
      <c r="R15" s="93">
        <f t="shared" si="6"/>
        <v>1947</v>
      </c>
      <c r="S15" s="92"/>
    </row>
    <row r="16" ht="15.0" customHeight="1">
      <c r="A16" s="92"/>
      <c r="B16" s="93" t="s">
        <v>1423</v>
      </c>
      <c r="C16" s="93">
        <f>I9</f>
        <v>3</v>
      </c>
      <c r="D16" s="93">
        <f t="shared" si="1"/>
        <v>34</v>
      </c>
      <c r="E16" s="93">
        <f>K9</f>
        <v>377</v>
      </c>
      <c r="F16" s="93">
        <f t="shared" si="2"/>
        <v>5271</v>
      </c>
      <c r="G16" s="92"/>
      <c r="H16" s="93" t="s">
        <v>1437</v>
      </c>
      <c r="I16" s="93">
        <v>11.0</v>
      </c>
      <c r="J16" s="93">
        <f t="shared" si="3"/>
        <v>78</v>
      </c>
      <c r="K16" s="93">
        <v>1827.0</v>
      </c>
      <c r="L16" s="93">
        <f t="shared" si="4"/>
        <v>11328</v>
      </c>
      <c r="M16" s="92"/>
      <c r="N16" s="93" t="s">
        <v>1438</v>
      </c>
      <c r="O16" s="93">
        <v>0.0</v>
      </c>
      <c r="P16" s="93">
        <f t="shared" si="5"/>
        <v>6</v>
      </c>
      <c r="Q16" s="93">
        <v>0.0</v>
      </c>
      <c r="R16" s="93">
        <f t="shared" si="6"/>
        <v>1947</v>
      </c>
      <c r="S16" s="92"/>
    </row>
    <row r="17" ht="15.0" customHeight="1">
      <c r="A17" s="92"/>
      <c r="B17" s="93" t="s">
        <v>1424</v>
      </c>
      <c r="C17" s="93">
        <f>O9</f>
        <v>0</v>
      </c>
      <c r="D17" s="93">
        <f t="shared" si="1"/>
        <v>34</v>
      </c>
      <c r="E17" s="93">
        <f>Q9</f>
        <v>0</v>
      </c>
      <c r="F17" s="93">
        <f t="shared" si="2"/>
        <v>5271</v>
      </c>
      <c r="G17" s="92"/>
      <c r="H17" s="93" t="s">
        <v>1439</v>
      </c>
      <c r="I17" s="93">
        <v>12.0</v>
      </c>
      <c r="J17" s="93">
        <f t="shared" si="3"/>
        <v>90</v>
      </c>
      <c r="K17" s="93">
        <v>1299.0</v>
      </c>
      <c r="L17" s="93">
        <f t="shared" si="4"/>
        <v>12627</v>
      </c>
      <c r="M17" s="92"/>
      <c r="N17" s="93" t="s">
        <v>1440</v>
      </c>
      <c r="O17" s="93">
        <v>0.0</v>
      </c>
      <c r="P17" s="93">
        <f t="shared" si="5"/>
        <v>6</v>
      </c>
      <c r="Q17" s="93">
        <v>0.0</v>
      </c>
      <c r="R17" s="93">
        <f t="shared" si="6"/>
        <v>1947</v>
      </c>
      <c r="S17" s="92"/>
    </row>
    <row r="18" ht="15.0" customHeight="1">
      <c r="A18" s="92"/>
      <c r="B18" s="93" t="s">
        <v>1425</v>
      </c>
      <c r="C18" s="93">
        <f>I10</f>
        <v>8</v>
      </c>
      <c r="D18" s="93">
        <f t="shared" si="1"/>
        <v>42</v>
      </c>
      <c r="E18" s="93">
        <f>K10</f>
        <v>763</v>
      </c>
      <c r="F18" s="93">
        <f t="shared" si="2"/>
        <v>6034</v>
      </c>
      <c r="G18" s="92"/>
      <c r="H18" s="93" t="s">
        <v>1441</v>
      </c>
      <c r="I18" s="93">
        <v>5.0</v>
      </c>
      <c r="J18" s="93">
        <f t="shared" si="3"/>
        <v>95</v>
      </c>
      <c r="K18" s="93">
        <v>1621.0</v>
      </c>
      <c r="L18" s="93">
        <f t="shared" si="4"/>
        <v>14248</v>
      </c>
      <c r="M18" s="92"/>
      <c r="N18" s="93" t="s">
        <v>1442</v>
      </c>
      <c r="O18" s="93">
        <v>1.0</v>
      </c>
      <c r="P18" s="93">
        <f t="shared" si="5"/>
        <v>7</v>
      </c>
      <c r="Q18" s="93">
        <v>21.0</v>
      </c>
      <c r="R18" s="93">
        <f t="shared" si="6"/>
        <v>1968</v>
      </c>
      <c r="S18" s="92"/>
    </row>
    <row r="19" ht="15.0" customHeight="1">
      <c r="A19" s="92"/>
      <c r="B19" s="93" t="s">
        <v>1426</v>
      </c>
      <c r="C19" s="93">
        <f>O10</f>
        <v>1</v>
      </c>
      <c r="D19" s="93">
        <f t="shared" si="1"/>
        <v>43</v>
      </c>
      <c r="E19" s="93">
        <f>Q10</f>
        <v>172</v>
      </c>
      <c r="F19" s="93">
        <f t="shared" si="2"/>
        <v>6206</v>
      </c>
      <c r="G19" s="92"/>
      <c r="H19" s="93" t="s">
        <v>1443</v>
      </c>
      <c r="I19" s="93">
        <v>8.0</v>
      </c>
      <c r="J19" s="93">
        <f t="shared" si="3"/>
        <v>103</v>
      </c>
      <c r="K19" s="93">
        <v>662.0</v>
      </c>
      <c r="L19" s="93">
        <f t="shared" si="4"/>
        <v>14910</v>
      </c>
      <c r="M19" s="92"/>
      <c r="N19" s="93" t="s">
        <v>1444</v>
      </c>
      <c r="O19" s="93">
        <v>0.0</v>
      </c>
      <c r="P19" s="93">
        <f t="shared" si="5"/>
        <v>7</v>
      </c>
      <c r="Q19" s="93">
        <v>0.0</v>
      </c>
      <c r="R19" s="93">
        <f t="shared" si="6"/>
        <v>1968</v>
      </c>
      <c r="S19" s="92"/>
    </row>
    <row r="20" ht="15.0" customHeight="1">
      <c r="A20" s="92"/>
      <c r="B20" s="93" t="s">
        <v>1427</v>
      </c>
      <c r="C20" s="93">
        <f>I11</f>
        <v>3</v>
      </c>
      <c r="D20" s="93">
        <f t="shared" si="1"/>
        <v>46</v>
      </c>
      <c r="E20" s="93">
        <f>K11</f>
        <v>886</v>
      </c>
      <c r="F20" s="93">
        <f t="shared" si="2"/>
        <v>7092</v>
      </c>
      <c r="G20" s="92"/>
      <c r="H20" s="93" t="s">
        <v>1445</v>
      </c>
      <c r="I20" s="93">
        <v>10.0</v>
      </c>
      <c r="J20" s="93">
        <f t="shared" si="3"/>
        <v>113</v>
      </c>
      <c r="K20" s="93">
        <v>1970.0</v>
      </c>
      <c r="L20" s="93">
        <f t="shared" si="4"/>
        <v>16880</v>
      </c>
      <c r="M20" s="92"/>
      <c r="N20" s="93" t="s">
        <v>1446</v>
      </c>
      <c r="O20" s="93">
        <v>1.0</v>
      </c>
      <c r="P20" s="93">
        <f t="shared" si="5"/>
        <v>8</v>
      </c>
      <c r="Q20" s="93">
        <v>102.0</v>
      </c>
      <c r="R20" s="93">
        <f t="shared" si="6"/>
        <v>2070</v>
      </c>
      <c r="S20" s="92"/>
    </row>
    <row r="21" ht="15.0" customHeight="1">
      <c r="A21" s="92"/>
      <c r="B21" s="93" t="s">
        <v>1428</v>
      </c>
      <c r="C21" s="93">
        <f>O11</f>
        <v>0</v>
      </c>
      <c r="D21" s="93">
        <f t="shared" si="1"/>
        <v>46</v>
      </c>
      <c r="E21" s="93">
        <f>Q11</f>
        <v>0</v>
      </c>
      <c r="F21" s="93">
        <f t="shared" si="2"/>
        <v>7092</v>
      </c>
      <c r="G21" s="92"/>
      <c r="H21" s="93" t="s">
        <v>1447</v>
      </c>
      <c r="I21" s="93">
        <v>6.0</v>
      </c>
      <c r="J21" s="93">
        <f t="shared" si="3"/>
        <v>119</v>
      </c>
      <c r="K21" s="93">
        <v>903.0</v>
      </c>
      <c r="L21" s="93">
        <f t="shared" si="4"/>
        <v>17783</v>
      </c>
      <c r="M21" s="92"/>
      <c r="N21" s="93" t="s">
        <v>1448</v>
      </c>
      <c r="O21" s="93">
        <v>0.0</v>
      </c>
      <c r="P21" s="93">
        <f t="shared" si="5"/>
        <v>8</v>
      </c>
      <c r="Q21" s="93">
        <v>0.0</v>
      </c>
      <c r="R21" s="93">
        <f t="shared" si="6"/>
        <v>2070</v>
      </c>
      <c r="S21" s="92"/>
    </row>
    <row r="22" ht="15.0" customHeight="1">
      <c r="A22" s="92"/>
      <c r="B22" s="93" t="s">
        <v>1429</v>
      </c>
      <c r="C22" s="93">
        <f>I12</f>
        <v>7</v>
      </c>
      <c r="D22" s="93">
        <f t="shared" si="1"/>
        <v>53</v>
      </c>
      <c r="E22" s="93">
        <f>K12</f>
        <v>761</v>
      </c>
      <c r="F22" s="93">
        <f t="shared" si="2"/>
        <v>7853</v>
      </c>
      <c r="G22" s="92"/>
      <c r="H22" s="93" t="s">
        <v>1449</v>
      </c>
      <c r="I22" s="93">
        <v>13.0</v>
      </c>
      <c r="J22" s="93">
        <f t="shared" si="3"/>
        <v>132</v>
      </c>
      <c r="K22" s="93">
        <v>3257.0</v>
      </c>
      <c r="L22" s="93">
        <f t="shared" si="4"/>
        <v>21040</v>
      </c>
      <c r="M22" s="92"/>
      <c r="N22" s="93" t="s">
        <v>1450</v>
      </c>
      <c r="O22" s="93">
        <v>1.0</v>
      </c>
      <c r="P22" s="93">
        <f t="shared" si="5"/>
        <v>9</v>
      </c>
      <c r="Q22" s="93">
        <v>124.0</v>
      </c>
      <c r="R22" s="93">
        <f t="shared" si="6"/>
        <v>2194</v>
      </c>
      <c r="S22" s="92"/>
    </row>
    <row r="23" ht="15.0" customHeight="1">
      <c r="A23" s="92"/>
      <c r="B23" s="93" t="s">
        <v>1430</v>
      </c>
      <c r="C23" s="93">
        <f>O12</f>
        <v>1</v>
      </c>
      <c r="D23" s="93">
        <f t="shared" si="1"/>
        <v>54</v>
      </c>
      <c r="E23" s="93">
        <f>Q12</f>
        <v>379</v>
      </c>
      <c r="F23" s="93">
        <f t="shared" si="2"/>
        <v>8232</v>
      </c>
      <c r="G23" s="92"/>
      <c r="H23" s="93" t="s">
        <v>1451</v>
      </c>
      <c r="I23" s="93">
        <v>2.0</v>
      </c>
      <c r="J23" s="93">
        <f t="shared" si="3"/>
        <v>134</v>
      </c>
      <c r="K23" s="93">
        <v>342.0</v>
      </c>
      <c r="L23" s="93">
        <f t="shared" si="4"/>
        <v>21382</v>
      </c>
      <c r="M23" s="92"/>
      <c r="N23" s="93" t="s">
        <v>1452</v>
      </c>
      <c r="O23" s="93">
        <v>1.0</v>
      </c>
      <c r="P23" s="93">
        <f t="shared" si="5"/>
        <v>10</v>
      </c>
      <c r="Q23" s="93">
        <v>114.0</v>
      </c>
      <c r="R23" s="93">
        <f t="shared" si="6"/>
        <v>2308</v>
      </c>
      <c r="S23" s="92"/>
    </row>
    <row r="24" ht="15.0" customHeight="1">
      <c r="A24" s="92"/>
      <c r="B24" s="93" t="s">
        <v>1431</v>
      </c>
      <c r="C24" s="93">
        <f>I13</f>
        <v>7</v>
      </c>
      <c r="D24" s="93">
        <f t="shared" si="1"/>
        <v>61</v>
      </c>
      <c r="E24" s="93">
        <f>K13</f>
        <v>895</v>
      </c>
      <c r="F24" s="93">
        <f t="shared" si="2"/>
        <v>9127</v>
      </c>
      <c r="G24" s="92"/>
      <c r="H24" s="93" t="s">
        <v>1453</v>
      </c>
      <c r="I24" s="93">
        <v>17.0</v>
      </c>
      <c r="J24" s="93">
        <f t="shared" si="3"/>
        <v>151</v>
      </c>
      <c r="K24" s="93">
        <v>3663.0</v>
      </c>
      <c r="L24" s="93">
        <f t="shared" si="4"/>
        <v>25045</v>
      </c>
      <c r="M24" s="92"/>
      <c r="N24" s="93" t="s">
        <v>1454</v>
      </c>
      <c r="O24" s="93">
        <v>1.0</v>
      </c>
      <c r="P24" s="93">
        <f t="shared" si="5"/>
        <v>11</v>
      </c>
      <c r="Q24" s="93">
        <v>148.0</v>
      </c>
      <c r="R24" s="93">
        <f t="shared" si="6"/>
        <v>2456</v>
      </c>
      <c r="S24" s="92"/>
    </row>
    <row r="25" ht="15.0" customHeight="1">
      <c r="A25" s="92"/>
      <c r="B25" s="93" t="s">
        <v>1432</v>
      </c>
      <c r="C25" s="93">
        <f>O13</f>
        <v>0</v>
      </c>
      <c r="D25" s="93">
        <f t="shared" si="1"/>
        <v>61</v>
      </c>
      <c r="E25" s="93">
        <f>Q13</f>
        <v>0</v>
      </c>
      <c r="F25" s="93">
        <f t="shared" si="2"/>
        <v>9127</v>
      </c>
      <c r="G25" s="92"/>
      <c r="H25" s="93" t="s">
        <v>1455</v>
      </c>
      <c r="I25" s="93">
        <v>25.0</v>
      </c>
      <c r="J25" s="93">
        <f t="shared" si="3"/>
        <v>176</v>
      </c>
      <c r="K25" s="93">
        <v>4226.0</v>
      </c>
      <c r="L25" s="93">
        <f t="shared" si="4"/>
        <v>29271</v>
      </c>
      <c r="M25" s="92"/>
      <c r="N25" s="93" t="s">
        <v>1456</v>
      </c>
      <c r="O25" s="93">
        <v>0.0</v>
      </c>
      <c r="P25" s="93">
        <f t="shared" si="5"/>
        <v>11</v>
      </c>
      <c r="Q25" s="93">
        <v>0.0</v>
      </c>
      <c r="R25" s="93">
        <f t="shared" si="6"/>
        <v>2456</v>
      </c>
      <c r="S25" s="92"/>
    </row>
    <row r="26" ht="15.0" customHeight="1">
      <c r="A26" s="92"/>
      <c r="B26" s="93" t="s">
        <v>1433</v>
      </c>
      <c r="C26" s="93">
        <f>I14</f>
        <v>6</v>
      </c>
      <c r="D26" s="93">
        <f t="shared" si="1"/>
        <v>67</v>
      </c>
      <c r="E26" s="93">
        <f>K14</f>
        <v>717</v>
      </c>
      <c r="F26" s="93">
        <f t="shared" si="2"/>
        <v>9844</v>
      </c>
      <c r="G26" s="92"/>
      <c r="H26" s="93" t="s">
        <v>1457</v>
      </c>
      <c r="I26" s="93">
        <v>16.0</v>
      </c>
      <c r="J26" s="93">
        <f t="shared" si="3"/>
        <v>192</v>
      </c>
      <c r="K26" s="93">
        <v>3237.0</v>
      </c>
      <c r="L26" s="93">
        <f t="shared" si="4"/>
        <v>32508</v>
      </c>
      <c r="M26" s="92"/>
      <c r="N26" s="93" t="s">
        <v>1458</v>
      </c>
      <c r="O26" s="93">
        <v>0.0</v>
      </c>
      <c r="P26" s="93">
        <f t="shared" si="5"/>
        <v>11</v>
      </c>
      <c r="Q26" s="93">
        <v>0.0</v>
      </c>
      <c r="R26" s="93">
        <f t="shared" si="6"/>
        <v>2456</v>
      </c>
      <c r="S26" s="92"/>
    </row>
    <row r="27" ht="15.0" customHeight="1">
      <c r="A27" s="92"/>
      <c r="B27" s="93" t="s">
        <v>1434</v>
      </c>
      <c r="C27" s="93">
        <f>O14</f>
        <v>0</v>
      </c>
      <c r="D27" s="93">
        <f t="shared" si="1"/>
        <v>67</v>
      </c>
      <c r="E27" s="93">
        <f>Q14</f>
        <v>0</v>
      </c>
      <c r="F27" s="93">
        <f t="shared" si="2"/>
        <v>9844</v>
      </c>
      <c r="G27" s="92"/>
      <c r="H27" s="93" t="s">
        <v>1459</v>
      </c>
      <c r="I27" s="93">
        <v>24.0</v>
      </c>
      <c r="J27" s="93">
        <f t="shared" si="3"/>
        <v>216</v>
      </c>
      <c r="K27" s="93">
        <v>2752.0</v>
      </c>
      <c r="L27" s="93">
        <f t="shared" si="4"/>
        <v>35260</v>
      </c>
      <c r="M27" s="92"/>
      <c r="N27" s="93" t="s">
        <v>1460</v>
      </c>
      <c r="O27" s="93">
        <v>2.0</v>
      </c>
      <c r="P27" s="93">
        <f t="shared" si="5"/>
        <v>13</v>
      </c>
      <c r="Q27" s="93">
        <v>1953.0</v>
      </c>
      <c r="R27" s="93">
        <f t="shared" si="6"/>
        <v>4409</v>
      </c>
      <c r="S27" s="92"/>
    </row>
    <row r="28" ht="15.0" customHeight="1">
      <c r="A28" s="92"/>
      <c r="B28" s="93" t="s">
        <v>1435</v>
      </c>
      <c r="C28" s="93">
        <f>I15</f>
        <v>5</v>
      </c>
      <c r="D28" s="93">
        <f t="shared" si="1"/>
        <v>72</v>
      </c>
      <c r="E28" s="93">
        <f>K15</f>
        <v>484</v>
      </c>
      <c r="F28" s="93">
        <f t="shared" si="2"/>
        <v>10328</v>
      </c>
      <c r="G28" s="92"/>
      <c r="H28" s="93" t="s">
        <v>1461</v>
      </c>
      <c r="I28" s="93">
        <v>16.0</v>
      </c>
      <c r="J28" s="93">
        <f t="shared" si="3"/>
        <v>232</v>
      </c>
      <c r="K28" s="93">
        <v>3799.0</v>
      </c>
      <c r="L28" s="93">
        <f t="shared" si="4"/>
        <v>39059</v>
      </c>
      <c r="M28" s="92"/>
      <c r="N28" s="93" t="s">
        <v>1462</v>
      </c>
      <c r="O28" s="93">
        <v>3.0</v>
      </c>
      <c r="P28" s="93">
        <f t="shared" si="5"/>
        <v>16</v>
      </c>
      <c r="Q28" s="93">
        <v>1877.0</v>
      </c>
      <c r="R28" s="93">
        <f t="shared" si="6"/>
        <v>6286</v>
      </c>
      <c r="S28" s="92"/>
    </row>
    <row r="29" ht="15.0" customHeight="1">
      <c r="A29" s="92"/>
      <c r="B29" s="93" t="s">
        <v>1436</v>
      </c>
      <c r="C29" s="93">
        <f>O15</f>
        <v>1</v>
      </c>
      <c r="D29" s="93">
        <f t="shared" si="1"/>
        <v>73</v>
      </c>
      <c r="E29" s="93">
        <f>Q15</f>
        <v>1120</v>
      </c>
      <c r="F29" s="93">
        <f t="shared" si="2"/>
        <v>11448</v>
      </c>
      <c r="G29" s="92"/>
      <c r="H29" s="93" t="s">
        <v>1463</v>
      </c>
      <c r="I29" s="93">
        <v>16.0</v>
      </c>
      <c r="J29" s="93">
        <f t="shared" si="3"/>
        <v>248</v>
      </c>
      <c r="K29" s="93">
        <v>2476.0</v>
      </c>
      <c r="L29" s="93">
        <f t="shared" si="4"/>
        <v>41535</v>
      </c>
      <c r="M29" s="92"/>
      <c r="N29" s="93" t="s">
        <v>1464</v>
      </c>
      <c r="O29" s="93">
        <v>1.0</v>
      </c>
      <c r="P29" s="93">
        <f t="shared" si="5"/>
        <v>17</v>
      </c>
      <c r="Q29" s="93">
        <v>315.0</v>
      </c>
      <c r="R29" s="93">
        <f t="shared" si="6"/>
        <v>6601</v>
      </c>
      <c r="S29" s="92"/>
    </row>
    <row r="30" ht="15.0" customHeight="1">
      <c r="A30" s="92"/>
      <c r="B30" s="93" t="s">
        <v>1437</v>
      </c>
      <c r="C30" s="93">
        <f>I16</f>
        <v>11</v>
      </c>
      <c r="D30" s="93">
        <f t="shared" si="1"/>
        <v>84</v>
      </c>
      <c r="E30" s="93">
        <f>K16</f>
        <v>1827</v>
      </c>
      <c r="F30" s="93">
        <f t="shared" si="2"/>
        <v>13275</v>
      </c>
      <c r="G30" s="92"/>
      <c r="H30" s="93" t="s">
        <v>1465</v>
      </c>
      <c r="I30" s="93">
        <v>21.0</v>
      </c>
      <c r="J30" s="93">
        <f t="shared" si="3"/>
        <v>269</v>
      </c>
      <c r="K30" s="93">
        <v>4283.0</v>
      </c>
      <c r="L30" s="93">
        <f t="shared" si="4"/>
        <v>45818</v>
      </c>
      <c r="M30" s="92"/>
      <c r="N30" s="93" t="s">
        <v>1466</v>
      </c>
      <c r="O30" s="93">
        <v>4.0</v>
      </c>
      <c r="P30" s="93">
        <f t="shared" si="5"/>
        <v>21</v>
      </c>
      <c r="Q30" s="93">
        <v>2391.0</v>
      </c>
      <c r="R30" s="93">
        <f t="shared" si="6"/>
        <v>8992</v>
      </c>
      <c r="S30" s="92"/>
    </row>
    <row r="31" ht="15.0" customHeight="1">
      <c r="A31" s="92"/>
      <c r="B31" s="93" t="s">
        <v>1438</v>
      </c>
      <c r="C31" s="93">
        <f>O16</f>
        <v>0</v>
      </c>
      <c r="D31" s="93">
        <f t="shared" si="1"/>
        <v>84</v>
      </c>
      <c r="E31" s="93">
        <f>Q16</f>
        <v>0</v>
      </c>
      <c r="F31" s="93">
        <f t="shared" si="2"/>
        <v>13275</v>
      </c>
      <c r="G31" s="92"/>
      <c r="H31" s="93" t="s">
        <v>1467</v>
      </c>
      <c r="I31" s="93">
        <v>17.0</v>
      </c>
      <c r="J31" s="93">
        <f t="shared" si="3"/>
        <v>286</v>
      </c>
      <c r="K31" s="93">
        <v>3654.0</v>
      </c>
      <c r="L31" s="93">
        <f t="shared" si="4"/>
        <v>49472</v>
      </c>
      <c r="M31" s="92"/>
      <c r="N31" s="93" t="s">
        <v>1468</v>
      </c>
      <c r="O31" s="93">
        <v>4.0</v>
      </c>
      <c r="P31" s="93">
        <f t="shared" si="5"/>
        <v>25</v>
      </c>
      <c r="Q31" s="93">
        <v>2567.0</v>
      </c>
      <c r="R31" s="93">
        <f t="shared" si="6"/>
        <v>11559</v>
      </c>
      <c r="S31" s="92"/>
    </row>
    <row r="32" ht="15.0" customHeight="1">
      <c r="A32" s="92"/>
      <c r="B32" s="93" t="s">
        <v>1439</v>
      </c>
      <c r="C32" s="93">
        <f>I17</f>
        <v>12</v>
      </c>
      <c r="D32" s="93">
        <f t="shared" si="1"/>
        <v>96</v>
      </c>
      <c r="E32" s="93">
        <f>K17</f>
        <v>1299</v>
      </c>
      <c r="F32" s="93">
        <f t="shared" si="2"/>
        <v>14574</v>
      </c>
      <c r="G32" s="92"/>
      <c r="H32" s="93" t="s">
        <v>1469</v>
      </c>
      <c r="I32" s="93">
        <v>16.0</v>
      </c>
      <c r="J32" s="93">
        <f t="shared" si="3"/>
        <v>302</v>
      </c>
      <c r="K32" s="93">
        <v>2976.0</v>
      </c>
      <c r="L32" s="93">
        <f t="shared" si="4"/>
        <v>52448</v>
      </c>
      <c r="M32" s="92"/>
      <c r="N32" s="93" t="s">
        <v>1470</v>
      </c>
      <c r="O32" s="93">
        <v>3.0</v>
      </c>
      <c r="P32" s="93">
        <f t="shared" si="5"/>
        <v>28</v>
      </c>
      <c r="Q32" s="93">
        <v>3175.0</v>
      </c>
      <c r="R32" s="93">
        <f t="shared" si="6"/>
        <v>14734</v>
      </c>
      <c r="S32" s="92"/>
    </row>
    <row r="33" ht="15.0" customHeight="1">
      <c r="A33" s="92"/>
      <c r="B33" s="93" t="s">
        <v>1440</v>
      </c>
      <c r="C33" s="93">
        <f>O17</f>
        <v>0</v>
      </c>
      <c r="D33" s="93">
        <f t="shared" si="1"/>
        <v>96</v>
      </c>
      <c r="E33" s="93">
        <f>Q17</f>
        <v>0</v>
      </c>
      <c r="F33" s="93">
        <f t="shared" si="2"/>
        <v>14574</v>
      </c>
      <c r="G33" s="92"/>
      <c r="H33" s="93" t="s">
        <v>1471</v>
      </c>
      <c r="I33" s="93">
        <v>22.0</v>
      </c>
      <c r="J33" s="93">
        <f t="shared" si="3"/>
        <v>324</v>
      </c>
      <c r="K33" s="93">
        <v>3356.0</v>
      </c>
      <c r="L33" s="93">
        <f t="shared" si="4"/>
        <v>55804</v>
      </c>
      <c r="M33" s="92"/>
      <c r="N33" s="93" t="s">
        <v>1472</v>
      </c>
      <c r="O33" s="93">
        <v>3.0</v>
      </c>
      <c r="P33" s="93">
        <f t="shared" si="5"/>
        <v>31</v>
      </c>
      <c r="Q33" s="93">
        <v>1801.0</v>
      </c>
      <c r="R33" s="93">
        <f t="shared" si="6"/>
        <v>16535</v>
      </c>
      <c r="S33" s="92"/>
    </row>
    <row r="34" ht="15.0" customHeight="1">
      <c r="A34" s="92"/>
      <c r="B34" s="93" t="s">
        <v>1441</v>
      </c>
      <c r="C34" s="93">
        <f>I18</f>
        <v>5</v>
      </c>
      <c r="D34" s="93">
        <f t="shared" si="1"/>
        <v>101</v>
      </c>
      <c r="E34" s="93">
        <f>K18</f>
        <v>1621</v>
      </c>
      <c r="F34" s="93">
        <f t="shared" si="2"/>
        <v>16195</v>
      </c>
      <c r="G34" s="92"/>
      <c r="H34" s="93" t="s">
        <v>1473</v>
      </c>
      <c r="I34" s="93">
        <v>20.0</v>
      </c>
      <c r="J34" s="93">
        <f t="shared" si="3"/>
        <v>344</v>
      </c>
      <c r="K34" s="93">
        <v>3281.0</v>
      </c>
      <c r="L34" s="93">
        <f t="shared" si="4"/>
        <v>59085</v>
      </c>
      <c r="M34" s="92"/>
      <c r="N34" s="93" t="s">
        <v>1474</v>
      </c>
      <c r="O34" s="93">
        <v>2.0</v>
      </c>
      <c r="P34" s="93">
        <f t="shared" si="5"/>
        <v>33</v>
      </c>
      <c r="Q34" s="93">
        <v>93.0</v>
      </c>
      <c r="R34" s="93">
        <f t="shared" si="6"/>
        <v>16628</v>
      </c>
      <c r="S34" s="92"/>
    </row>
    <row r="35" ht="15.0" customHeight="1">
      <c r="A35" s="92"/>
      <c r="B35" s="93" t="s">
        <v>1442</v>
      </c>
      <c r="C35" s="93">
        <f>O18</f>
        <v>1</v>
      </c>
      <c r="D35" s="93">
        <f t="shared" si="1"/>
        <v>102</v>
      </c>
      <c r="E35" s="93">
        <f>Q18</f>
        <v>21</v>
      </c>
      <c r="F35" s="93">
        <f t="shared" si="2"/>
        <v>16216</v>
      </c>
      <c r="G35" s="92"/>
      <c r="H35" s="93" t="s">
        <v>1475</v>
      </c>
      <c r="I35" s="93">
        <v>29.0</v>
      </c>
      <c r="J35" s="93">
        <f t="shared" si="3"/>
        <v>373</v>
      </c>
      <c r="K35" s="93">
        <v>5670.0</v>
      </c>
      <c r="L35" s="93">
        <f t="shared" si="4"/>
        <v>64755</v>
      </c>
      <c r="M35" s="92"/>
      <c r="N35" s="93" t="s">
        <v>1476</v>
      </c>
      <c r="O35" s="93">
        <v>3.0</v>
      </c>
      <c r="P35" s="93">
        <f t="shared" si="5"/>
        <v>36</v>
      </c>
      <c r="Q35" s="93">
        <v>1255.0</v>
      </c>
      <c r="R35" s="93">
        <f t="shared" si="6"/>
        <v>17883</v>
      </c>
      <c r="S35" s="92"/>
    </row>
    <row r="36" ht="15.0" customHeight="1">
      <c r="A36" s="92"/>
      <c r="B36" s="93" t="s">
        <v>1443</v>
      </c>
      <c r="C36" s="93">
        <f>I19</f>
        <v>8</v>
      </c>
      <c r="D36" s="93">
        <f t="shared" si="1"/>
        <v>110</v>
      </c>
      <c r="E36" s="93">
        <f>K19</f>
        <v>662</v>
      </c>
      <c r="F36" s="93">
        <f t="shared" si="2"/>
        <v>16878</v>
      </c>
      <c r="G36" s="92"/>
      <c r="H36" s="93" t="s">
        <v>1477</v>
      </c>
      <c r="I36" s="93">
        <v>29.0</v>
      </c>
      <c r="J36" s="93">
        <f t="shared" si="3"/>
        <v>402</v>
      </c>
      <c r="K36" s="93">
        <v>5363.0</v>
      </c>
      <c r="L36" s="93">
        <f t="shared" si="4"/>
        <v>70118</v>
      </c>
      <c r="M36" s="92"/>
      <c r="N36" s="93" t="s">
        <v>1478</v>
      </c>
      <c r="O36" s="93">
        <v>1.0</v>
      </c>
      <c r="P36" s="93">
        <f t="shared" si="5"/>
        <v>37</v>
      </c>
      <c r="Q36" s="93">
        <v>1343.0</v>
      </c>
      <c r="R36" s="93">
        <f t="shared" si="6"/>
        <v>19226</v>
      </c>
      <c r="S36" s="92"/>
    </row>
    <row r="37" ht="15.0" customHeight="1">
      <c r="A37" s="92"/>
      <c r="B37" s="93" t="s">
        <v>1444</v>
      </c>
      <c r="C37" s="93">
        <f>O19</f>
        <v>0</v>
      </c>
      <c r="D37" s="93">
        <f t="shared" si="1"/>
        <v>110</v>
      </c>
      <c r="E37" s="93">
        <f>Q19</f>
        <v>0</v>
      </c>
      <c r="F37" s="93">
        <f t="shared" si="2"/>
        <v>16878</v>
      </c>
      <c r="G37" s="92"/>
      <c r="H37" s="93" t="s">
        <v>1479</v>
      </c>
      <c r="I37" s="93">
        <v>23.0</v>
      </c>
      <c r="J37" s="93">
        <f t="shared" si="3"/>
        <v>425</v>
      </c>
      <c r="K37" s="93">
        <v>2967.0</v>
      </c>
      <c r="L37" s="93">
        <f t="shared" si="4"/>
        <v>73085</v>
      </c>
      <c r="M37" s="92"/>
      <c r="N37" s="93" t="s">
        <v>1480</v>
      </c>
      <c r="O37" s="93">
        <v>3.0</v>
      </c>
      <c r="P37" s="93">
        <f t="shared" si="5"/>
        <v>40</v>
      </c>
      <c r="Q37" s="93">
        <v>616.0</v>
      </c>
      <c r="R37" s="93">
        <f t="shared" si="6"/>
        <v>19842</v>
      </c>
      <c r="S37" s="92"/>
    </row>
    <row r="38" ht="15.0" customHeight="1">
      <c r="A38" s="92"/>
      <c r="B38" s="93" t="s">
        <v>1445</v>
      </c>
      <c r="C38" s="93">
        <f>I20</f>
        <v>10</v>
      </c>
      <c r="D38" s="93">
        <f t="shared" si="1"/>
        <v>120</v>
      </c>
      <c r="E38" s="93">
        <f>K20</f>
        <v>1970</v>
      </c>
      <c r="F38" s="93">
        <f t="shared" si="2"/>
        <v>18848</v>
      </c>
      <c r="G38" s="92"/>
      <c r="H38" s="93" t="s">
        <v>1481</v>
      </c>
      <c r="I38" s="93">
        <v>35.0</v>
      </c>
      <c r="J38" s="93">
        <f t="shared" si="3"/>
        <v>460</v>
      </c>
      <c r="K38" s="93">
        <v>3386.0</v>
      </c>
      <c r="L38" s="93">
        <f t="shared" si="4"/>
        <v>76471</v>
      </c>
      <c r="M38" s="92"/>
      <c r="N38" s="93" t="s">
        <v>1482</v>
      </c>
      <c r="O38" s="93">
        <v>1.0</v>
      </c>
      <c r="P38" s="93">
        <f t="shared" si="5"/>
        <v>41</v>
      </c>
      <c r="Q38" s="93">
        <v>12.0</v>
      </c>
      <c r="R38" s="93">
        <f t="shared" si="6"/>
        <v>19854</v>
      </c>
      <c r="S38" s="92"/>
    </row>
    <row r="39" ht="15.0" customHeight="1">
      <c r="A39" s="92"/>
      <c r="B39" s="93" t="s">
        <v>1446</v>
      </c>
      <c r="C39" s="93">
        <f>O20</f>
        <v>1</v>
      </c>
      <c r="D39" s="93">
        <f t="shared" si="1"/>
        <v>121</v>
      </c>
      <c r="E39" s="93">
        <f>Q20</f>
        <v>102</v>
      </c>
      <c r="F39" s="93">
        <f t="shared" si="2"/>
        <v>18950</v>
      </c>
      <c r="G39" s="92"/>
      <c r="H39" s="93" t="s">
        <v>1483</v>
      </c>
      <c r="I39" s="93">
        <v>37.0</v>
      </c>
      <c r="J39" s="93">
        <f t="shared" si="3"/>
        <v>497</v>
      </c>
      <c r="K39" s="93">
        <v>5641.0</v>
      </c>
      <c r="L39" s="93">
        <f t="shared" si="4"/>
        <v>82112</v>
      </c>
      <c r="M39" s="92"/>
      <c r="N39" s="93" t="s">
        <v>1484</v>
      </c>
      <c r="O39" s="93">
        <v>3.0</v>
      </c>
      <c r="P39" s="93">
        <f t="shared" si="5"/>
        <v>44</v>
      </c>
      <c r="Q39" s="93">
        <v>1322.0</v>
      </c>
      <c r="R39" s="93">
        <f t="shared" si="6"/>
        <v>21176</v>
      </c>
      <c r="S39" s="92"/>
    </row>
    <row r="40" ht="15.0" customHeight="1">
      <c r="A40" s="92"/>
      <c r="B40" s="93" t="s">
        <v>1447</v>
      </c>
      <c r="C40" s="93">
        <f>I21</f>
        <v>6</v>
      </c>
      <c r="D40" s="93">
        <f t="shared" si="1"/>
        <v>127</v>
      </c>
      <c r="E40" s="93">
        <f>K21</f>
        <v>903</v>
      </c>
      <c r="F40" s="93">
        <f t="shared" si="2"/>
        <v>19853</v>
      </c>
      <c r="G40" s="92"/>
      <c r="H40" s="93" t="s">
        <v>1485</v>
      </c>
      <c r="I40" s="93">
        <v>29.0</v>
      </c>
      <c r="J40" s="93">
        <f t="shared" si="3"/>
        <v>526</v>
      </c>
      <c r="K40" s="93">
        <v>3874.0</v>
      </c>
      <c r="L40" s="93">
        <f t="shared" si="4"/>
        <v>85986</v>
      </c>
      <c r="M40" s="92"/>
      <c r="N40" s="93" t="s">
        <v>1486</v>
      </c>
      <c r="O40" s="93">
        <v>0.0</v>
      </c>
      <c r="P40" s="93">
        <f t="shared" si="5"/>
        <v>44</v>
      </c>
      <c r="Q40" s="93">
        <v>0.0</v>
      </c>
      <c r="R40" s="93">
        <f t="shared" si="6"/>
        <v>21176</v>
      </c>
      <c r="S40" s="92"/>
    </row>
    <row r="41" ht="15.0" customHeight="1">
      <c r="A41" s="92"/>
      <c r="B41" s="93" t="s">
        <v>1448</v>
      </c>
      <c r="C41" s="93">
        <f>O21</f>
        <v>0</v>
      </c>
      <c r="D41" s="93">
        <f t="shared" si="1"/>
        <v>127</v>
      </c>
      <c r="E41" s="93">
        <f>Q21</f>
        <v>0</v>
      </c>
      <c r="F41" s="93">
        <f t="shared" si="2"/>
        <v>19853</v>
      </c>
      <c r="G41" s="92"/>
      <c r="H41" s="93" t="s">
        <v>1487</v>
      </c>
      <c r="I41" s="93">
        <v>27.0</v>
      </c>
      <c r="J41" s="93">
        <f t="shared" si="3"/>
        <v>553</v>
      </c>
      <c r="K41" s="93">
        <v>5031.0</v>
      </c>
      <c r="L41" s="93">
        <f t="shared" si="4"/>
        <v>91017</v>
      </c>
      <c r="M41" s="92"/>
      <c r="N41" s="93" t="s">
        <v>1488</v>
      </c>
      <c r="O41" s="93">
        <v>2.0</v>
      </c>
      <c r="P41" s="93">
        <f t="shared" si="5"/>
        <v>46</v>
      </c>
      <c r="Q41" s="93">
        <v>1819.0</v>
      </c>
      <c r="R41" s="93">
        <f t="shared" si="6"/>
        <v>22995</v>
      </c>
      <c r="S41" s="92"/>
    </row>
    <row r="42" ht="15.0" customHeight="1">
      <c r="A42" s="92"/>
      <c r="B42" s="93" t="s">
        <v>1449</v>
      </c>
      <c r="C42" s="93">
        <f>I22</f>
        <v>13</v>
      </c>
      <c r="D42" s="93">
        <f t="shared" si="1"/>
        <v>140</v>
      </c>
      <c r="E42" s="93">
        <f>K22</f>
        <v>3257</v>
      </c>
      <c r="F42" s="93">
        <f t="shared" si="2"/>
        <v>23110</v>
      </c>
      <c r="G42" s="92"/>
      <c r="H42" s="93" t="s">
        <v>1489</v>
      </c>
      <c r="I42" s="93">
        <v>25.0</v>
      </c>
      <c r="J42" s="93">
        <f t="shared" si="3"/>
        <v>578</v>
      </c>
      <c r="K42" s="93">
        <v>4072.0</v>
      </c>
      <c r="L42" s="93">
        <f t="shared" si="4"/>
        <v>95089</v>
      </c>
      <c r="M42" s="92"/>
      <c r="N42" s="93" t="s">
        <v>1490</v>
      </c>
      <c r="O42" s="93">
        <v>2.0</v>
      </c>
      <c r="P42" s="93">
        <f t="shared" si="5"/>
        <v>48</v>
      </c>
      <c r="Q42" s="93">
        <v>1056.0</v>
      </c>
      <c r="R42" s="93">
        <f t="shared" si="6"/>
        <v>24051</v>
      </c>
      <c r="S42" s="92"/>
    </row>
    <row r="43" ht="15.0" customHeight="1">
      <c r="A43" s="92"/>
      <c r="B43" s="93" t="s">
        <v>1450</v>
      </c>
      <c r="C43" s="93">
        <f>O22</f>
        <v>1</v>
      </c>
      <c r="D43" s="93">
        <f t="shared" si="1"/>
        <v>141</v>
      </c>
      <c r="E43" s="93">
        <f>Q22</f>
        <v>124</v>
      </c>
      <c r="F43" s="93">
        <f t="shared" si="2"/>
        <v>23234</v>
      </c>
      <c r="G43" s="92"/>
      <c r="H43" s="93" t="s">
        <v>1491</v>
      </c>
      <c r="I43" s="93">
        <v>30.0</v>
      </c>
      <c r="J43" s="93">
        <f t="shared" si="3"/>
        <v>608</v>
      </c>
      <c r="K43" s="93">
        <v>5296.0</v>
      </c>
      <c r="L43" s="93">
        <f t="shared" si="4"/>
        <v>100385</v>
      </c>
      <c r="M43" s="92"/>
      <c r="N43" s="93" t="s">
        <v>1492</v>
      </c>
      <c r="O43" s="93">
        <v>1.0</v>
      </c>
      <c r="P43" s="93">
        <f t="shared" si="5"/>
        <v>49</v>
      </c>
      <c r="Q43" s="93">
        <v>44.0</v>
      </c>
      <c r="R43" s="93">
        <f t="shared" si="6"/>
        <v>24095</v>
      </c>
      <c r="S43" s="92"/>
    </row>
    <row r="44" ht="15.0" customHeight="1">
      <c r="A44" s="92"/>
      <c r="B44" s="93" t="s">
        <v>1493</v>
      </c>
      <c r="C44" s="93">
        <f t="shared" ref="C44:C45" si="7">I23</f>
        <v>2</v>
      </c>
      <c r="D44" s="93">
        <f t="shared" si="1"/>
        <v>143</v>
      </c>
      <c r="E44" s="93">
        <f t="shared" ref="E44:E45" si="8">K23</f>
        <v>342</v>
      </c>
      <c r="F44" s="93">
        <f t="shared" si="2"/>
        <v>23576</v>
      </c>
      <c r="G44" s="92"/>
      <c r="H44" s="93" t="s">
        <v>1494</v>
      </c>
      <c r="I44" s="93">
        <v>41.0</v>
      </c>
      <c r="J44" s="93">
        <f t="shared" si="3"/>
        <v>649</v>
      </c>
      <c r="K44" s="93">
        <v>6754.0</v>
      </c>
      <c r="L44" s="93">
        <f t="shared" si="4"/>
        <v>107139</v>
      </c>
      <c r="M44" s="92"/>
      <c r="N44" s="93" t="s">
        <v>1495</v>
      </c>
      <c r="O44" s="93">
        <v>1.0</v>
      </c>
      <c r="P44" s="93">
        <f t="shared" si="5"/>
        <v>50</v>
      </c>
      <c r="Q44" s="93">
        <v>85.0</v>
      </c>
      <c r="R44" s="93">
        <f t="shared" si="6"/>
        <v>24180</v>
      </c>
      <c r="S44" s="92"/>
    </row>
    <row r="45" ht="15.0" customHeight="1">
      <c r="A45" s="92"/>
      <c r="B45" s="93" t="s">
        <v>1453</v>
      </c>
      <c r="C45" s="93">
        <f t="shared" si="7"/>
        <v>17</v>
      </c>
      <c r="D45" s="93">
        <f t="shared" si="1"/>
        <v>160</v>
      </c>
      <c r="E45" s="93">
        <f t="shared" si="8"/>
        <v>3663</v>
      </c>
      <c r="F45" s="93">
        <f t="shared" si="2"/>
        <v>27239</v>
      </c>
      <c r="G45" s="92"/>
      <c r="H45" s="93" t="s">
        <v>1496</v>
      </c>
      <c r="I45" s="93">
        <v>39.0</v>
      </c>
      <c r="J45" s="93">
        <f t="shared" si="3"/>
        <v>688</v>
      </c>
      <c r="K45" s="93">
        <v>6014.0</v>
      </c>
      <c r="L45" s="93">
        <f t="shared" si="4"/>
        <v>113153</v>
      </c>
      <c r="M45" s="92"/>
      <c r="N45" s="93" t="s">
        <v>1497</v>
      </c>
      <c r="O45" s="93">
        <v>1.0</v>
      </c>
      <c r="P45" s="93">
        <f t="shared" si="5"/>
        <v>51</v>
      </c>
      <c r="Q45" s="93">
        <v>90.0</v>
      </c>
      <c r="R45" s="93">
        <f t="shared" si="6"/>
        <v>24270</v>
      </c>
      <c r="S45" s="92"/>
    </row>
    <row r="46" ht="15.0" customHeight="1">
      <c r="A46" s="92"/>
      <c r="B46" s="93" t="s">
        <v>1452</v>
      </c>
      <c r="C46" s="93">
        <f>O23</f>
        <v>1</v>
      </c>
      <c r="D46" s="93">
        <f t="shared" si="1"/>
        <v>161</v>
      </c>
      <c r="E46" s="93">
        <f>Q23</f>
        <v>114</v>
      </c>
      <c r="F46" s="93">
        <f t="shared" si="2"/>
        <v>27353</v>
      </c>
      <c r="G46" s="92"/>
      <c r="H46" s="93" t="s">
        <v>1498</v>
      </c>
      <c r="I46" s="93">
        <v>32.0</v>
      </c>
      <c r="J46" s="93">
        <f t="shared" si="3"/>
        <v>720</v>
      </c>
      <c r="K46" s="93">
        <v>5215.0</v>
      </c>
      <c r="L46" s="93">
        <f t="shared" si="4"/>
        <v>118368</v>
      </c>
      <c r="M46" s="92"/>
      <c r="N46" s="93" t="s">
        <v>1499</v>
      </c>
      <c r="O46" s="93">
        <v>2.0</v>
      </c>
      <c r="P46" s="93">
        <f t="shared" si="5"/>
        <v>53</v>
      </c>
      <c r="Q46" s="93">
        <v>187.0</v>
      </c>
      <c r="R46" s="93">
        <f t="shared" si="6"/>
        <v>24457</v>
      </c>
      <c r="S46" s="92"/>
    </row>
    <row r="47" ht="15.0" customHeight="1">
      <c r="A47" s="92"/>
      <c r="B47" s="93" t="s">
        <v>1455</v>
      </c>
      <c r="C47" s="93">
        <f>I25</f>
        <v>25</v>
      </c>
      <c r="D47" s="93">
        <f t="shared" si="1"/>
        <v>186</v>
      </c>
      <c r="E47" s="93">
        <f>K25</f>
        <v>4226</v>
      </c>
      <c r="F47" s="93">
        <f t="shared" si="2"/>
        <v>31579</v>
      </c>
      <c r="G47" s="92"/>
      <c r="H47" s="93" t="s">
        <v>1500</v>
      </c>
      <c r="I47" s="93">
        <v>39.0</v>
      </c>
      <c r="J47" s="93">
        <f t="shared" si="3"/>
        <v>759</v>
      </c>
      <c r="K47" s="93">
        <v>8990.0</v>
      </c>
      <c r="L47" s="93">
        <f t="shared" si="4"/>
        <v>127358</v>
      </c>
      <c r="M47" s="92"/>
      <c r="N47" s="93" t="s">
        <v>1501</v>
      </c>
      <c r="O47" s="93">
        <v>1.0</v>
      </c>
      <c r="P47" s="93">
        <f t="shared" si="5"/>
        <v>54</v>
      </c>
      <c r="Q47" s="93">
        <v>992.0</v>
      </c>
      <c r="R47" s="93">
        <f t="shared" si="6"/>
        <v>25449</v>
      </c>
      <c r="S47" s="92"/>
    </row>
    <row r="48" ht="15.0" customHeight="1">
      <c r="A48" s="92"/>
      <c r="B48" s="93" t="s">
        <v>1454</v>
      </c>
      <c r="C48" s="93">
        <f>O24</f>
        <v>1</v>
      </c>
      <c r="D48" s="93">
        <f t="shared" si="1"/>
        <v>187</v>
      </c>
      <c r="E48" s="93">
        <f>Q24</f>
        <v>148</v>
      </c>
      <c r="F48" s="93">
        <f t="shared" si="2"/>
        <v>31727</v>
      </c>
      <c r="G48" s="92"/>
      <c r="H48" s="93" t="s">
        <v>1502</v>
      </c>
      <c r="I48" s="93">
        <v>32.0</v>
      </c>
      <c r="J48" s="93">
        <f t="shared" si="3"/>
        <v>791</v>
      </c>
      <c r="K48" s="93">
        <v>5843.0</v>
      </c>
      <c r="L48" s="93">
        <f t="shared" si="4"/>
        <v>133201</v>
      </c>
      <c r="M48" s="92"/>
      <c r="N48" s="93" t="s">
        <v>1503</v>
      </c>
      <c r="O48" s="93">
        <v>1.0</v>
      </c>
      <c r="P48" s="93">
        <f t="shared" si="5"/>
        <v>55</v>
      </c>
      <c r="Q48" s="93">
        <v>979.0</v>
      </c>
      <c r="R48" s="93">
        <f t="shared" si="6"/>
        <v>26428</v>
      </c>
      <c r="S48" s="92"/>
    </row>
    <row r="49" ht="15.0" customHeight="1">
      <c r="A49" s="92"/>
      <c r="B49" s="93" t="s">
        <v>1457</v>
      </c>
      <c r="C49" s="93">
        <f>I26</f>
        <v>16</v>
      </c>
      <c r="D49" s="93">
        <f t="shared" si="1"/>
        <v>203</v>
      </c>
      <c r="E49" s="93">
        <f>K26</f>
        <v>3237</v>
      </c>
      <c r="F49" s="93">
        <f t="shared" si="2"/>
        <v>34964</v>
      </c>
      <c r="G49" s="92"/>
      <c r="H49" s="93" t="s">
        <v>1504</v>
      </c>
      <c r="I49" s="93">
        <v>32.0</v>
      </c>
      <c r="J49" s="93">
        <f t="shared" si="3"/>
        <v>823</v>
      </c>
      <c r="K49" s="93">
        <v>6546.0</v>
      </c>
      <c r="L49" s="93">
        <f t="shared" si="4"/>
        <v>139747</v>
      </c>
      <c r="M49" s="92"/>
      <c r="N49" s="93" t="s">
        <v>1505</v>
      </c>
      <c r="O49" s="93">
        <v>2.0</v>
      </c>
      <c r="P49" s="93">
        <f t="shared" si="5"/>
        <v>57</v>
      </c>
      <c r="Q49" s="93">
        <v>1086.0</v>
      </c>
      <c r="R49" s="93">
        <f t="shared" si="6"/>
        <v>27514</v>
      </c>
      <c r="S49" s="92"/>
    </row>
    <row r="50" ht="15.0" customHeight="1">
      <c r="A50" s="92"/>
      <c r="B50" s="93" t="s">
        <v>1456</v>
      </c>
      <c r="C50" s="93">
        <f>O25</f>
        <v>0</v>
      </c>
      <c r="D50" s="93">
        <f t="shared" si="1"/>
        <v>203</v>
      </c>
      <c r="E50" s="93">
        <f>Q25</f>
        <v>0</v>
      </c>
      <c r="F50" s="93">
        <f t="shared" si="2"/>
        <v>34964</v>
      </c>
      <c r="G50" s="92"/>
      <c r="H50" s="93" t="s">
        <v>1506</v>
      </c>
      <c r="I50" s="93">
        <v>76.0</v>
      </c>
      <c r="J50" s="93">
        <f t="shared" si="3"/>
        <v>899</v>
      </c>
      <c r="K50" s="93">
        <v>13385.0</v>
      </c>
      <c r="L50" s="93">
        <f t="shared" si="4"/>
        <v>153132</v>
      </c>
      <c r="M50" s="92"/>
      <c r="N50" s="93" t="s">
        <v>1507</v>
      </c>
      <c r="O50" s="93">
        <v>5.0</v>
      </c>
      <c r="P50" s="93">
        <f t="shared" si="5"/>
        <v>62</v>
      </c>
      <c r="Q50" s="93">
        <v>5333.0</v>
      </c>
      <c r="R50" s="93">
        <f t="shared" si="6"/>
        <v>32847</v>
      </c>
      <c r="S50" s="92"/>
    </row>
    <row r="51" ht="15.0" customHeight="1">
      <c r="A51" s="92"/>
      <c r="B51" s="93" t="s">
        <v>1459</v>
      </c>
      <c r="C51" s="93">
        <f>I27</f>
        <v>24</v>
      </c>
      <c r="D51" s="93">
        <f t="shared" si="1"/>
        <v>227</v>
      </c>
      <c r="E51" s="93">
        <f>K27</f>
        <v>2752</v>
      </c>
      <c r="F51" s="93">
        <f t="shared" si="2"/>
        <v>37716</v>
      </c>
      <c r="G51" s="92"/>
      <c r="H51" s="93" t="s">
        <v>1508</v>
      </c>
      <c r="I51" s="93">
        <v>33.0</v>
      </c>
      <c r="J51" s="93">
        <f t="shared" si="3"/>
        <v>932</v>
      </c>
      <c r="K51" s="93">
        <v>6790.0</v>
      </c>
      <c r="L51" s="93">
        <f t="shared" si="4"/>
        <v>159922</v>
      </c>
      <c r="M51" s="92"/>
      <c r="N51" s="93" t="s">
        <v>1509</v>
      </c>
      <c r="O51" s="93">
        <v>2.0</v>
      </c>
      <c r="P51" s="93">
        <f t="shared" si="5"/>
        <v>64</v>
      </c>
      <c r="Q51" s="93">
        <v>467.0</v>
      </c>
      <c r="R51" s="93">
        <f t="shared" si="6"/>
        <v>33314</v>
      </c>
      <c r="S51" s="92"/>
    </row>
    <row r="52" ht="15.0" customHeight="1">
      <c r="A52" s="92"/>
      <c r="B52" s="93" t="s">
        <v>1458</v>
      </c>
      <c r="C52" s="93">
        <f>O26</f>
        <v>0</v>
      </c>
      <c r="D52" s="93">
        <f t="shared" si="1"/>
        <v>227</v>
      </c>
      <c r="E52" s="93">
        <f>Q26</f>
        <v>0</v>
      </c>
      <c r="F52" s="93">
        <f t="shared" si="2"/>
        <v>37716</v>
      </c>
      <c r="G52" s="92"/>
      <c r="H52" s="93" t="s">
        <v>1510</v>
      </c>
      <c r="I52" s="93">
        <v>32.0</v>
      </c>
      <c r="J52" s="93">
        <f t="shared" si="3"/>
        <v>964</v>
      </c>
      <c r="K52" s="93">
        <v>4778.0</v>
      </c>
      <c r="L52" s="93">
        <f t="shared" si="4"/>
        <v>164700</v>
      </c>
      <c r="M52" s="92"/>
      <c r="N52" s="93" t="s">
        <v>1511</v>
      </c>
      <c r="O52" s="93">
        <v>4.0</v>
      </c>
      <c r="P52" s="93">
        <f t="shared" si="5"/>
        <v>68</v>
      </c>
      <c r="Q52" s="93">
        <v>4320.0</v>
      </c>
      <c r="R52" s="93">
        <f t="shared" si="6"/>
        <v>37634</v>
      </c>
      <c r="S52" s="92"/>
    </row>
    <row r="53" ht="15.0" customHeight="1">
      <c r="A53" s="92"/>
      <c r="B53" s="93" t="s">
        <v>1461</v>
      </c>
      <c r="C53" s="93">
        <f>I28</f>
        <v>16</v>
      </c>
      <c r="D53" s="93">
        <f t="shared" si="1"/>
        <v>243</v>
      </c>
      <c r="E53" s="93">
        <f>K28</f>
        <v>3799</v>
      </c>
      <c r="F53" s="93">
        <f t="shared" si="2"/>
        <v>41515</v>
      </c>
      <c r="G53" s="92"/>
      <c r="H53" s="93" t="s">
        <v>1512</v>
      </c>
      <c r="I53" s="93">
        <v>30.0</v>
      </c>
      <c r="J53" s="93">
        <f t="shared" si="3"/>
        <v>994</v>
      </c>
      <c r="K53" s="93">
        <v>7279.0</v>
      </c>
      <c r="L53" s="93">
        <f t="shared" si="4"/>
        <v>171979</v>
      </c>
      <c r="M53" s="92"/>
      <c r="N53" s="93" t="s">
        <v>1513</v>
      </c>
      <c r="O53" s="93">
        <v>6.0</v>
      </c>
      <c r="P53" s="93">
        <f t="shared" si="5"/>
        <v>74</v>
      </c>
      <c r="Q53" s="93">
        <v>3755.0</v>
      </c>
      <c r="R53" s="93">
        <f t="shared" si="6"/>
        <v>41389</v>
      </c>
      <c r="S53" s="92"/>
    </row>
    <row r="54" ht="15.0" customHeight="1">
      <c r="A54" s="92"/>
      <c r="B54" s="93" t="s">
        <v>1460</v>
      </c>
      <c r="C54" s="93">
        <f>O27</f>
        <v>2</v>
      </c>
      <c r="D54" s="93">
        <f t="shared" si="1"/>
        <v>245</v>
      </c>
      <c r="E54" s="93">
        <f>Q27</f>
        <v>1953</v>
      </c>
      <c r="F54" s="93">
        <f t="shared" si="2"/>
        <v>43468</v>
      </c>
      <c r="G54" s="92"/>
      <c r="H54" s="93" t="s">
        <v>1514</v>
      </c>
      <c r="I54" s="93">
        <v>36.0</v>
      </c>
      <c r="J54" s="93">
        <f t="shared" si="3"/>
        <v>1030</v>
      </c>
      <c r="K54" s="93">
        <v>5544.0</v>
      </c>
      <c r="L54" s="93">
        <f t="shared" si="4"/>
        <v>177523</v>
      </c>
      <c r="M54" s="92"/>
      <c r="N54" s="93" t="s">
        <v>1515</v>
      </c>
      <c r="O54" s="93">
        <v>1.0</v>
      </c>
      <c r="P54" s="93">
        <f t="shared" si="5"/>
        <v>75</v>
      </c>
      <c r="Q54" s="93">
        <v>1010.0</v>
      </c>
      <c r="R54" s="93">
        <f t="shared" si="6"/>
        <v>42399</v>
      </c>
      <c r="S54" s="92"/>
    </row>
    <row r="55" ht="15.0" customHeight="1">
      <c r="A55" s="92"/>
      <c r="B55" s="93" t="s">
        <v>1463</v>
      </c>
      <c r="C55" s="93">
        <f>I29</f>
        <v>16</v>
      </c>
      <c r="D55" s="93">
        <f t="shared" si="1"/>
        <v>261</v>
      </c>
      <c r="E55" s="93">
        <f>K29</f>
        <v>2476</v>
      </c>
      <c r="F55" s="93">
        <f t="shared" si="2"/>
        <v>45944</v>
      </c>
      <c r="G55" s="92"/>
      <c r="H55" s="93" t="s">
        <v>1516</v>
      </c>
      <c r="I55" s="93">
        <v>36.0</v>
      </c>
      <c r="J55" s="93">
        <f t="shared" si="3"/>
        <v>1066</v>
      </c>
      <c r="K55" s="93">
        <v>6719.0</v>
      </c>
      <c r="L55" s="93">
        <f t="shared" si="4"/>
        <v>184242</v>
      </c>
      <c r="M55" s="92"/>
      <c r="N55" s="93" t="s">
        <v>1517</v>
      </c>
      <c r="O55" s="93">
        <v>2.0</v>
      </c>
      <c r="P55" s="93">
        <f t="shared" si="5"/>
        <v>77</v>
      </c>
      <c r="Q55" s="93">
        <v>1423.0</v>
      </c>
      <c r="R55" s="93">
        <f t="shared" si="6"/>
        <v>43822</v>
      </c>
      <c r="S55" s="92"/>
    </row>
    <row r="56" ht="15.0" customHeight="1">
      <c r="A56" s="92"/>
      <c r="B56" s="93" t="s">
        <v>1462</v>
      </c>
      <c r="C56" s="93">
        <f t="shared" ref="C56:C57" si="9">O28</f>
        <v>3</v>
      </c>
      <c r="D56" s="93">
        <f t="shared" si="1"/>
        <v>264</v>
      </c>
      <c r="E56" s="93">
        <f t="shared" ref="E56:E57" si="10">Q28</f>
        <v>1877</v>
      </c>
      <c r="F56" s="93">
        <f t="shared" si="2"/>
        <v>47821</v>
      </c>
      <c r="G56" s="92"/>
      <c r="H56" s="93" t="s">
        <v>1518</v>
      </c>
      <c r="I56" s="93">
        <v>37.0</v>
      </c>
      <c r="J56" s="93">
        <f t="shared" si="3"/>
        <v>1103</v>
      </c>
      <c r="K56" s="93">
        <v>10179.0</v>
      </c>
      <c r="L56" s="93">
        <f t="shared" si="4"/>
        <v>194421</v>
      </c>
      <c r="M56" s="92"/>
      <c r="N56" s="93" t="s">
        <v>1519</v>
      </c>
      <c r="O56" s="93">
        <v>1.0</v>
      </c>
      <c r="P56" s="93">
        <f t="shared" si="5"/>
        <v>78</v>
      </c>
      <c r="Q56" s="93">
        <v>1571.0</v>
      </c>
      <c r="R56" s="93">
        <f t="shared" si="6"/>
        <v>45393</v>
      </c>
      <c r="S56" s="92"/>
    </row>
    <row r="57" ht="15.0" customHeight="1">
      <c r="A57" s="92"/>
      <c r="B57" s="93" t="s">
        <v>1520</v>
      </c>
      <c r="C57" s="93">
        <f t="shared" si="9"/>
        <v>1</v>
      </c>
      <c r="D57" s="93">
        <f t="shared" si="1"/>
        <v>265</v>
      </c>
      <c r="E57" s="93">
        <f t="shared" si="10"/>
        <v>315</v>
      </c>
      <c r="F57" s="93">
        <f t="shared" si="2"/>
        <v>48136</v>
      </c>
      <c r="G57" s="92"/>
      <c r="H57" s="93" t="s">
        <v>1521</v>
      </c>
      <c r="I57" s="93">
        <v>31.0</v>
      </c>
      <c r="J57" s="93">
        <f t="shared" si="3"/>
        <v>1134</v>
      </c>
      <c r="K57" s="93">
        <v>6968.0</v>
      </c>
      <c r="L57" s="93">
        <f t="shared" si="4"/>
        <v>201389</v>
      </c>
      <c r="M57" s="92"/>
      <c r="N57" s="93" t="s">
        <v>1522</v>
      </c>
      <c r="O57" s="93">
        <v>1.0</v>
      </c>
      <c r="P57" s="93">
        <f t="shared" si="5"/>
        <v>79</v>
      </c>
      <c r="Q57" s="93">
        <v>730.0</v>
      </c>
      <c r="R57" s="93">
        <f t="shared" si="6"/>
        <v>46123</v>
      </c>
      <c r="S57" s="92"/>
    </row>
    <row r="58" ht="15.0" customHeight="1">
      <c r="A58" s="92"/>
      <c r="B58" s="93" t="s">
        <v>1465</v>
      </c>
      <c r="C58" s="93">
        <f>I30</f>
        <v>21</v>
      </c>
      <c r="D58" s="93">
        <f t="shared" si="1"/>
        <v>286</v>
      </c>
      <c r="E58" s="93">
        <f>K30</f>
        <v>4283</v>
      </c>
      <c r="F58" s="93">
        <f t="shared" si="2"/>
        <v>52419</v>
      </c>
      <c r="G58" s="92"/>
      <c r="H58" s="93" t="s">
        <v>1523</v>
      </c>
      <c r="I58" s="93">
        <v>26.0</v>
      </c>
      <c r="J58" s="93">
        <f t="shared" si="3"/>
        <v>1160</v>
      </c>
      <c r="K58" s="93">
        <v>4377.0</v>
      </c>
      <c r="L58" s="93">
        <f t="shared" si="4"/>
        <v>205766</v>
      </c>
      <c r="M58" s="92"/>
      <c r="N58" s="93" t="s">
        <v>1524</v>
      </c>
      <c r="O58" s="93">
        <v>2.0</v>
      </c>
      <c r="P58" s="93">
        <f t="shared" si="5"/>
        <v>81</v>
      </c>
      <c r="Q58" s="93">
        <v>2190.0</v>
      </c>
      <c r="R58" s="93">
        <f t="shared" si="6"/>
        <v>48313</v>
      </c>
      <c r="S58" s="92"/>
    </row>
    <row r="59" ht="15.0" customHeight="1">
      <c r="A59" s="92"/>
      <c r="B59" s="93" t="s">
        <v>1466</v>
      </c>
      <c r="C59" s="93">
        <f>O30</f>
        <v>4</v>
      </c>
      <c r="D59" s="93">
        <f t="shared" si="1"/>
        <v>290</v>
      </c>
      <c r="E59" s="93">
        <f>Q30</f>
        <v>2391</v>
      </c>
      <c r="F59" s="93">
        <f t="shared" si="2"/>
        <v>54810</v>
      </c>
      <c r="G59" s="92"/>
      <c r="H59" s="93" t="s">
        <v>1525</v>
      </c>
      <c r="I59" s="93">
        <v>34.0</v>
      </c>
      <c r="J59" s="93">
        <f t="shared" si="3"/>
        <v>1194</v>
      </c>
      <c r="K59" s="93">
        <v>9557.0</v>
      </c>
      <c r="L59" s="93">
        <f t="shared" si="4"/>
        <v>215323</v>
      </c>
      <c r="M59" s="92"/>
      <c r="N59" s="93" t="s">
        <v>1526</v>
      </c>
      <c r="O59" s="93">
        <v>3.0</v>
      </c>
      <c r="P59" s="93">
        <f t="shared" si="5"/>
        <v>84</v>
      </c>
      <c r="Q59" s="93">
        <v>4445.0</v>
      </c>
      <c r="R59" s="93">
        <f t="shared" si="6"/>
        <v>52758</v>
      </c>
      <c r="S59" s="92"/>
    </row>
    <row r="60" ht="15.0" customHeight="1">
      <c r="A60" s="92"/>
      <c r="B60" s="93" t="s">
        <v>1467</v>
      </c>
      <c r="C60" s="93">
        <f>I31</f>
        <v>17</v>
      </c>
      <c r="D60" s="93">
        <f t="shared" si="1"/>
        <v>307</v>
      </c>
      <c r="E60" s="93">
        <f>K31</f>
        <v>3654</v>
      </c>
      <c r="F60" s="93">
        <f t="shared" si="2"/>
        <v>58464</v>
      </c>
      <c r="G60" s="92"/>
      <c r="H60" s="93" t="s">
        <v>1527</v>
      </c>
      <c r="I60" s="93">
        <v>24.0</v>
      </c>
      <c r="J60" s="93">
        <f t="shared" si="3"/>
        <v>1218</v>
      </c>
      <c r="K60" s="93">
        <v>5972.0</v>
      </c>
      <c r="L60" s="93">
        <f t="shared" si="4"/>
        <v>221295</v>
      </c>
      <c r="M60" s="92"/>
      <c r="N60" s="93" t="s">
        <v>1528</v>
      </c>
      <c r="O60" s="93">
        <v>4.0</v>
      </c>
      <c r="P60" s="93">
        <f t="shared" si="5"/>
        <v>88</v>
      </c>
      <c r="Q60" s="93">
        <v>5555.0</v>
      </c>
      <c r="R60" s="93">
        <f t="shared" si="6"/>
        <v>58313</v>
      </c>
      <c r="S60" s="92"/>
    </row>
    <row r="61" ht="15.0" customHeight="1">
      <c r="A61" s="92"/>
      <c r="B61" s="93" t="s">
        <v>1468</v>
      </c>
      <c r="C61" s="93">
        <f>O31</f>
        <v>4</v>
      </c>
      <c r="D61" s="93">
        <f t="shared" si="1"/>
        <v>311</v>
      </c>
      <c r="E61" s="93">
        <f>Q31</f>
        <v>2567</v>
      </c>
      <c r="F61" s="93">
        <f t="shared" si="2"/>
        <v>61031</v>
      </c>
      <c r="G61" s="92"/>
      <c r="H61" s="93" t="s">
        <v>1529</v>
      </c>
      <c r="I61" s="93">
        <v>26.0</v>
      </c>
      <c r="J61" s="93">
        <f t="shared" si="3"/>
        <v>1244</v>
      </c>
      <c r="K61" s="93">
        <v>9801.0</v>
      </c>
      <c r="L61" s="93">
        <f t="shared" si="4"/>
        <v>231096</v>
      </c>
      <c r="M61" s="92"/>
      <c r="N61" s="93" t="s">
        <v>1530</v>
      </c>
      <c r="O61" s="93">
        <v>2.0</v>
      </c>
      <c r="P61" s="93">
        <f t="shared" si="5"/>
        <v>90</v>
      </c>
      <c r="Q61" s="93">
        <v>1423.0</v>
      </c>
      <c r="R61" s="93">
        <f t="shared" si="6"/>
        <v>59736</v>
      </c>
      <c r="S61" s="92"/>
    </row>
    <row r="62" ht="15.0" customHeight="1">
      <c r="A62" s="92"/>
      <c r="B62" s="93" t="s">
        <v>1469</v>
      </c>
      <c r="C62" s="93">
        <f>I32</f>
        <v>16</v>
      </c>
      <c r="D62" s="93">
        <f t="shared" si="1"/>
        <v>327</v>
      </c>
      <c r="E62" s="93">
        <f>K32</f>
        <v>2976</v>
      </c>
      <c r="F62" s="93">
        <f t="shared" si="2"/>
        <v>64007</v>
      </c>
      <c r="G62" s="92"/>
      <c r="H62" s="93" t="s">
        <v>1531</v>
      </c>
      <c r="I62" s="93">
        <v>28.0</v>
      </c>
      <c r="J62" s="93">
        <f t="shared" si="3"/>
        <v>1272</v>
      </c>
      <c r="K62" s="93">
        <v>8409.0</v>
      </c>
      <c r="L62" s="93">
        <f t="shared" si="4"/>
        <v>239505</v>
      </c>
      <c r="M62" s="92"/>
      <c r="N62" s="93" t="s">
        <v>1532</v>
      </c>
      <c r="O62" s="93">
        <v>3.0</v>
      </c>
      <c r="P62" s="93">
        <f t="shared" si="5"/>
        <v>93</v>
      </c>
      <c r="Q62" s="93">
        <v>12138.0</v>
      </c>
      <c r="R62" s="93">
        <f t="shared" si="6"/>
        <v>71874</v>
      </c>
      <c r="S62" s="92"/>
    </row>
    <row r="63" ht="15.0" customHeight="1">
      <c r="A63" s="92"/>
      <c r="B63" s="93" t="s">
        <v>1470</v>
      </c>
      <c r="C63" s="93">
        <f>O32</f>
        <v>3</v>
      </c>
      <c r="D63" s="93">
        <f t="shared" si="1"/>
        <v>330</v>
      </c>
      <c r="E63" s="93">
        <f>Q32</f>
        <v>3175</v>
      </c>
      <c r="F63" s="93">
        <f t="shared" si="2"/>
        <v>67182</v>
      </c>
      <c r="G63" s="92"/>
      <c r="H63" s="93" t="s">
        <v>1533</v>
      </c>
      <c r="I63" s="93">
        <v>21.0</v>
      </c>
      <c r="J63" s="93">
        <f t="shared" si="3"/>
        <v>1293</v>
      </c>
      <c r="K63" s="93">
        <v>6645.0</v>
      </c>
      <c r="L63" s="93">
        <f t="shared" si="4"/>
        <v>246150</v>
      </c>
      <c r="M63" s="92"/>
      <c r="N63" s="93" t="s">
        <v>1534</v>
      </c>
      <c r="O63" s="93">
        <v>2.0</v>
      </c>
      <c r="P63" s="93">
        <f t="shared" si="5"/>
        <v>95</v>
      </c>
      <c r="Q63" s="93">
        <v>2488.0</v>
      </c>
      <c r="R63" s="93">
        <f t="shared" si="6"/>
        <v>74362</v>
      </c>
      <c r="S63" s="92"/>
    </row>
    <row r="64" ht="15.0" customHeight="1">
      <c r="A64" s="92"/>
      <c r="B64" s="93" t="s">
        <v>1471</v>
      </c>
      <c r="C64" s="93">
        <f>I33</f>
        <v>22</v>
      </c>
      <c r="D64" s="93">
        <f t="shared" si="1"/>
        <v>352</v>
      </c>
      <c r="E64" s="93">
        <f>K33</f>
        <v>3356</v>
      </c>
      <c r="F64" s="93">
        <f t="shared" si="2"/>
        <v>70538</v>
      </c>
      <c r="G64" s="92"/>
      <c r="H64" s="93" t="s">
        <v>1535</v>
      </c>
      <c r="I64" s="93">
        <v>16.0</v>
      </c>
      <c r="J64" s="93">
        <f t="shared" si="3"/>
        <v>1309</v>
      </c>
      <c r="K64" s="93">
        <v>6900.0</v>
      </c>
      <c r="L64" s="93">
        <f t="shared" si="4"/>
        <v>253050</v>
      </c>
      <c r="M64" s="92"/>
      <c r="N64" s="93" t="s">
        <v>1536</v>
      </c>
      <c r="O64" s="93">
        <v>0.0</v>
      </c>
      <c r="P64" s="93">
        <f t="shared" si="5"/>
        <v>95</v>
      </c>
      <c r="Q64" s="93">
        <v>0.0</v>
      </c>
      <c r="R64" s="93">
        <f t="shared" si="6"/>
        <v>74362</v>
      </c>
      <c r="S64" s="92"/>
    </row>
    <row r="65" ht="15.0" customHeight="1">
      <c r="A65" s="92"/>
      <c r="B65" s="93" t="s">
        <v>1472</v>
      </c>
      <c r="C65" s="93">
        <f>O33</f>
        <v>3</v>
      </c>
      <c r="D65" s="93">
        <f t="shared" si="1"/>
        <v>355</v>
      </c>
      <c r="E65" s="93">
        <f>Q33</f>
        <v>1801</v>
      </c>
      <c r="F65" s="93">
        <f t="shared" si="2"/>
        <v>72339</v>
      </c>
      <c r="G65" s="92"/>
      <c r="H65" s="93" t="s">
        <v>1537</v>
      </c>
      <c r="I65" s="93">
        <v>22.0</v>
      </c>
      <c r="J65" s="93">
        <f t="shared" si="3"/>
        <v>1331</v>
      </c>
      <c r="K65" s="93">
        <v>6243.0</v>
      </c>
      <c r="L65" s="93">
        <f t="shared" si="4"/>
        <v>259293</v>
      </c>
      <c r="M65" s="92"/>
      <c r="N65" s="93" t="s">
        <v>1538</v>
      </c>
      <c r="O65" s="93">
        <v>2.0</v>
      </c>
      <c r="P65" s="93">
        <f t="shared" si="5"/>
        <v>97</v>
      </c>
      <c r="Q65" s="93">
        <v>3911.0</v>
      </c>
      <c r="R65" s="93">
        <f t="shared" si="6"/>
        <v>78273</v>
      </c>
      <c r="S65" s="92"/>
    </row>
    <row r="66" ht="15.0" customHeight="1">
      <c r="A66" s="92"/>
      <c r="B66" s="93" t="s">
        <v>1473</v>
      </c>
      <c r="C66" s="93">
        <f>I34</f>
        <v>20</v>
      </c>
      <c r="D66" s="93">
        <f t="shared" si="1"/>
        <v>375</v>
      </c>
      <c r="E66" s="93">
        <f>K34</f>
        <v>3281</v>
      </c>
      <c r="F66" s="93">
        <f t="shared" si="2"/>
        <v>75620</v>
      </c>
      <c r="G66" s="92"/>
      <c r="H66" s="93" t="s">
        <v>1539</v>
      </c>
      <c r="I66" s="93">
        <v>17.0</v>
      </c>
      <c r="J66" s="93">
        <f t="shared" si="3"/>
        <v>1348</v>
      </c>
      <c r="K66" s="93">
        <v>5101.0</v>
      </c>
      <c r="L66" s="93">
        <f t="shared" si="4"/>
        <v>264394</v>
      </c>
      <c r="M66" s="92"/>
      <c r="N66" s="93" t="s">
        <v>1540</v>
      </c>
      <c r="O66" s="93">
        <v>0.0</v>
      </c>
      <c r="P66" s="93">
        <f t="shared" si="5"/>
        <v>97</v>
      </c>
      <c r="Q66" s="93">
        <v>0.0</v>
      </c>
      <c r="R66" s="93">
        <f t="shared" si="6"/>
        <v>78273</v>
      </c>
      <c r="S66" s="92"/>
    </row>
    <row r="67" ht="15.0" customHeight="1">
      <c r="A67" s="92"/>
      <c r="B67" s="93" t="s">
        <v>1474</v>
      </c>
      <c r="C67" s="93">
        <f>O34</f>
        <v>2</v>
      </c>
      <c r="D67" s="93">
        <f t="shared" si="1"/>
        <v>377</v>
      </c>
      <c r="E67" s="93">
        <f>Q34</f>
        <v>93</v>
      </c>
      <c r="F67" s="93">
        <f t="shared" si="2"/>
        <v>75713</v>
      </c>
      <c r="G67" s="92"/>
      <c r="H67" s="93" t="s">
        <v>1541</v>
      </c>
      <c r="I67" s="93">
        <v>19.0</v>
      </c>
      <c r="J67" s="93">
        <f t="shared" si="3"/>
        <v>1367</v>
      </c>
      <c r="K67" s="93">
        <v>5924.0</v>
      </c>
      <c r="L67" s="93">
        <f t="shared" si="4"/>
        <v>270318</v>
      </c>
      <c r="M67" s="92"/>
      <c r="N67" s="93" t="s">
        <v>1542</v>
      </c>
      <c r="O67" s="93">
        <v>1.0</v>
      </c>
      <c r="P67" s="93">
        <f t="shared" si="5"/>
        <v>98</v>
      </c>
      <c r="Q67" s="93">
        <v>6054.0</v>
      </c>
      <c r="R67" s="93">
        <f t="shared" si="6"/>
        <v>84327</v>
      </c>
      <c r="S67" s="92"/>
    </row>
    <row r="68" ht="15.0" customHeight="1">
      <c r="A68" s="92"/>
      <c r="B68" s="93" t="s">
        <v>1475</v>
      </c>
      <c r="C68" s="93">
        <f>I35</f>
        <v>29</v>
      </c>
      <c r="D68" s="93">
        <f t="shared" si="1"/>
        <v>406</v>
      </c>
      <c r="E68" s="93">
        <f>K35</f>
        <v>5670</v>
      </c>
      <c r="F68" s="93">
        <f t="shared" si="2"/>
        <v>81383</v>
      </c>
      <c r="G68" s="92"/>
      <c r="H68" s="93" t="s">
        <v>1543</v>
      </c>
      <c r="I68" s="93">
        <v>15.0</v>
      </c>
      <c r="J68" s="93">
        <f t="shared" si="3"/>
        <v>1382</v>
      </c>
      <c r="K68" s="93">
        <v>4430.0</v>
      </c>
      <c r="L68" s="93">
        <f t="shared" si="4"/>
        <v>274748</v>
      </c>
      <c r="M68" s="92"/>
      <c r="N68" s="93" t="s">
        <v>1544</v>
      </c>
      <c r="O68" s="93">
        <v>0.0</v>
      </c>
      <c r="P68" s="93">
        <f t="shared" si="5"/>
        <v>98</v>
      </c>
      <c r="Q68" s="93">
        <v>0.0</v>
      </c>
      <c r="R68" s="93">
        <f t="shared" si="6"/>
        <v>84327</v>
      </c>
      <c r="S68" s="92"/>
    </row>
    <row r="69" ht="15.0" customHeight="1">
      <c r="A69" s="92"/>
      <c r="B69" s="93" t="s">
        <v>1476</v>
      </c>
      <c r="C69" s="93">
        <f>O35</f>
        <v>3</v>
      </c>
      <c r="D69" s="93">
        <f t="shared" si="1"/>
        <v>409</v>
      </c>
      <c r="E69" s="93">
        <f>Q35</f>
        <v>1255</v>
      </c>
      <c r="F69" s="93">
        <f t="shared" si="2"/>
        <v>82638</v>
      </c>
      <c r="G69" s="92"/>
      <c r="H69" s="93" t="s">
        <v>1545</v>
      </c>
      <c r="I69" s="93">
        <v>23.0</v>
      </c>
      <c r="J69" s="93">
        <f t="shared" si="3"/>
        <v>1405</v>
      </c>
      <c r="K69" s="93">
        <v>7533.0</v>
      </c>
      <c r="L69" s="93">
        <f t="shared" si="4"/>
        <v>282281</v>
      </c>
      <c r="M69" s="92"/>
      <c r="N69" s="93" t="s">
        <v>1546</v>
      </c>
      <c r="O69" s="93">
        <v>1.0</v>
      </c>
      <c r="P69" s="93">
        <f t="shared" si="5"/>
        <v>99</v>
      </c>
      <c r="Q69" s="93">
        <v>1714.0</v>
      </c>
      <c r="R69" s="93">
        <f t="shared" si="6"/>
        <v>86041</v>
      </c>
      <c r="S69" s="92"/>
    </row>
    <row r="70" ht="15.0" customHeight="1">
      <c r="A70" s="92"/>
      <c r="B70" s="93" t="s">
        <v>1477</v>
      </c>
      <c r="C70" s="93">
        <f>I36</f>
        <v>29</v>
      </c>
      <c r="D70" s="93">
        <f t="shared" si="1"/>
        <v>438</v>
      </c>
      <c r="E70" s="93">
        <f>K36</f>
        <v>5363</v>
      </c>
      <c r="F70" s="93">
        <f t="shared" si="2"/>
        <v>88001</v>
      </c>
      <c r="G70" s="92"/>
      <c r="H70" s="93" t="s">
        <v>1547</v>
      </c>
      <c r="I70" s="93">
        <v>19.0</v>
      </c>
      <c r="J70" s="93">
        <f t="shared" si="3"/>
        <v>1424</v>
      </c>
      <c r="K70" s="93">
        <v>5049.0</v>
      </c>
      <c r="L70" s="93">
        <f t="shared" si="4"/>
        <v>287330</v>
      </c>
      <c r="M70" s="92"/>
      <c r="N70" s="93" t="s">
        <v>1548</v>
      </c>
      <c r="O70" s="93">
        <v>1.0</v>
      </c>
      <c r="P70" s="93">
        <f t="shared" si="5"/>
        <v>100</v>
      </c>
      <c r="Q70" s="93">
        <v>2373.0</v>
      </c>
      <c r="R70" s="93">
        <f t="shared" si="6"/>
        <v>88414</v>
      </c>
      <c r="S70" s="92"/>
    </row>
    <row r="71" ht="15.0" customHeight="1">
      <c r="A71" s="92"/>
      <c r="B71" s="93" t="s">
        <v>1478</v>
      </c>
      <c r="C71" s="93">
        <f>O36</f>
        <v>1</v>
      </c>
      <c r="D71" s="93">
        <f t="shared" si="1"/>
        <v>439</v>
      </c>
      <c r="E71" s="93">
        <f>Q36</f>
        <v>1343</v>
      </c>
      <c r="F71" s="93">
        <f t="shared" si="2"/>
        <v>89344</v>
      </c>
      <c r="G71" s="92"/>
      <c r="H71" s="93" t="s">
        <v>1549</v>
      </c>
      <c r="I71" s="93">
        <v>32.0</v>
      </c>
      <c r="J71" s="93">
        <f t="shared" si="3"/>
        <v>1456</v>
      </c>
      <c r="K71" s="93">
        <v>7298.0</v>
      </c>
      <c r="L71" s="93">
        <f t="shared" si="4"/>
        <v>294628</v>
      </c>
      <c r="M71" s="92"/>
      <c r="N71" s="93" t="s">
        <v>1550</v>
      </c>
      <c r="O71" s="93">
        <v>3.0</v>
      </c>
      <c r="P71" s="93">
        <f t="shared" si="5"/>
        <v>103</v>
      </c>
      <c r="Q71" s="93">
        <v>4723.0</v>
      </c>
      <c r="R71" s="93">
        <f t="shared" si="6"/>
        <v>93137</v>
      </c>
      <c r="S71" s="92"/>
    </row>
    <row r="72" ht="15.0" customHeight="1">
      <c r="A72" s="92"/>
      <c r="B72" s="93" t="s">
        <v>1479</v>
      </c>
      <c r="C72" s="93">
        <f>I37</f>
        <v>23</v>
      </c>
      <c r="D72" s="93">
        <f t="shared" si="1"/>
        <v>462</v>
      </c>
      <c r="E72" s="93">
        <f>K37</f>
        <v>2967</v>
      </c>
      <c r="F72" s="93">
        <f t="shared" si="2"/>
        <v>92311</v>
      </c>
      <c r="G72" s="92"/>
      <c r="H72" s="93" t="s">
        <v>1551</v>
      </c>
      <c r="I72" s="93">
        <v>26.0</v>
      </c>
      <c r="J72" s="93">
        <f t="shared" si="3"/>
        <v>1482</v>
      </c>
      <c r="K72" s="93">
        <v>11125.0</v>
      </c>
      <c r="L72" s="93">
        <f t="shared" si="4"/>
        <v>305753</v>
      </c>
      <c r="M72" s="92"/>
      <c r="N72" s="93" t="s">
        <v>1552</v>
      </c>
      <c r="O72" s="93">
        <v>2.0</v>
      </c>
      <c r="P72" s="93">
        <f t="shared" si="5"/>
        <v>105</v>
      </c>
      <c r="Q72" s="93">
        <v>3107.0</v>
      </c>
      <c r="R72" s="93">
        <f t="shared" si="6"/>
        <v>96244</v>
      </c>
      <c r="S72" s="92"/>
    </row>
    <row r="73" ht="15.0" customHeight="1">
      <c r="A73" s="92"/>
      <c r="B73" s="93" t="s">
        <v>1480</v>
      </c>
      <c r="C73" s="93">
        <f>O37</f>
        <v>3</v>
      </c>
      <c r="D73" s="93">
        <f t="shared" si="1"/>
        <v>465</v>
      </c>
      <c r="E73" s="93">
        <f>Q37</f>
        <v>616</v>
      </c>
      <c r="F73" s="93">
        <f t="shared" si="2"/>
        <v>92927</v>
      </c>
      <c r="G73" s="92"/>
      <c r="H73" s="93" t="s">
        <v>1553</v>
      </c>
      <c r="I73" s="93">
        <v>11.0</v>
      </c>
      <c r="J73" s="93">
        <f t="shared" si="3"/>
        <v>1493</v>
      </c>
      <c r="K73" s="93">
        <v>5033.0</v>
      </c>
      <c r="L73" s="93">
        <f t="shared" si="4"/>
        <v>310786</v>
      </c>
      <c r="M73" s="92"/>
      <c r="N73" s="93" t="s">
        <v>1554</v>
      </c>
      <c r="O73" s="93">
        <v>1.0</v>
      </c>
      <c r="P73" s="93">
        <f t="shared" si="5"/>
        <v>106</v>
      </c>
      <c r="Q73" s="93">
        <v>2268.0</v>
      </c>
      <c r="R73" s="93">
        <f t="shared" si="6"/>
        <v>98512</v>
      </c>
      <c r="S73" s="92"/>
    </row>
    <row r="74" ht="15.0" customHeight="1">
      <c r="A74" s="92"/>
      <c r="B74" s="93" t="s">
        <v>1481</v>
      </c>
      <c r="C74" s="93">
        <f>I38</f>
        <v>35</v>
      </c>
      <c r="D74" s="93">
        <f t="shared" si="1"/>
        <v>500</v>
      </c>
      <c r="E74" s="93">
        <f>K38</f>
        <v>3386</v>
      </c>
      <c r="F74" s="93">
        <f t="shared" si="2"/>
        <v>96313</v>
      </c>
      <c r="G74" s="92"/>
      <c r="H74" s="93" t="s">
        <v>1555</v>
      </c>
      <c r="I74" s="93">
        <v>14.0</v>
      </c>
      <c r="J74" s="93">
        <f t="shared" si="3"/>
        <v>1507</v>
      </c>
      <c r="K74" s="93">
        <v>5619.0</v>
      </c>
      <c r="L74" s="93">
        <f t="shared" si="4"/>
        <v>316405</v>
      </c>
      <c r="M74" s="92"/>
      <c r="N74" s="93" t="s">
        <v>1556</v>
      </c>
      <c r="O74" s="93">
        <v>3.0</v>
      </c>
      <c r="P74" s="93">
        <f t="shared" si="5"/>
        <v>109</v>
      </c>
      <c r="Q74" s="93">
        <v>5233.0</v>
      </c>
      <c r="R74" s="93">
        <f t="shared" si="6"/>
        <v>103745</v>
      </c>
      <c r="S74" s="92"/>
    </row>
    <row r="75" ht="15.0" customHeight="1">
      <c r="A75" s="92"/>
      <c r="B75" s="93" t="s">
        <v>1482</v>
      </c>
      <c r="C75" s="93">
        <f>O38</f>
        <v>1</v>
      </c>
      <c r="D75" s="93">
        <f t="shared" si="1"/>
        <v>501</v>
      </c>
      <c r="E75" s="93">
        <f>Q38</f>
        <v>12</v>
      </c>
      <c r="F75" s="93">
        <f t="shared" si="2"/>
        <v>96325</v>
      </c>
      <c r="G75" s="92"/>
      <c r="H75" s="93" t="s">
        <v>1557</v>
      </c>
      <c r="I75" s="93">
        <v>22.0</v>
      </c>
      <c r="J75" s="93">
        <f t="shared" si="3"/>
        <v>1529</v>
      </c>
      <c r="K75" s="93">
        <v>9021.0</v>
      </c>
      <c r="L75" s="93">
        <f t="shared" si="4"/>
        <v>325426</v>
      </c>
      <c r="M75" s="92"/>
      <c r="N75" s="93" t="s">
        <v>1558</v>
      </c>
      <c r="O75" s="93">
        <v>1.0</v>
      </c>
      <c r="P75" s="93">
        <f t="shared" si="5"/>
        <v>110</v>
      </c>
      <c r="Q75" s="93">
        <v>4747.0</v>
      </c>
      <c r="R75" s="93">
        <f t="shared" si="6"/>
        <v>108492</v>
      </c>
      <c r="S75" s="92"/>
    </row>
    <row r="76" ht="15.0" customHeight="1">
      <c r="A76" s="92"/>
      <c r="B76" s="93" t="s">
        <v>1483</v>
      </c>
      <c r="C76" s="93">
        <f>I39</f>
        <v>37</v>
      </c>
      <c r="D76" s="93">
        <f t="shared" si="1"/>
        <v>538</v>
      </c>
      <c r="E76" s="93">
        <f>K39</f>
        <v>5641</v>
      </c>
      <c r="F76" s="93">
        <f t="shared" si="2"/>
        <v>101966</v>
      </c>
      <c r="G76" s="92"/>
      <c r="H76" s="93" t="s">
        <v>1559</v>
      </c>
      <c r="I76" s="93">
        <v>28.0</v>
      </c>
      <c r="J76" s="93">
        <f t="shared" si="3"/>
        <v>1557</v>
      </c>
      <c r="K76" s="93">
        <v>6950.0</v>
      </c>
      <c r="L76" s="93">
        <f t="shared" si="4"/>
        <v>332376</v>
      </c>
      <c r="M76" s="92"/>
      <c r="N76" s="93" t="s">
        <v>1560</v>
      </c>
      <c r="O76" s="93">
        <v>2.0</v>
      </c>
      <c r="P76" s="93">
        <f t="shared" si="5"/>
        <v>112</v>
      </c>
      <c r="Q76" s="93">
        <v>289.0</v>
      </c>
      <c r="R76" s="93">
        <f t="shared" si="6"/>
        <v>108781</v>
      </c>
      <c r="S76" s="92"/>
    </row>
    <row r="77" ht="15.0" customHeight="1">
      <c r="A77" s="92"/>
      <c r="B77" s="93" t="s">
        <v>1484</v>
      </c>
      <c r="C77" s="93">
        <f>O39</f>
        <v>3</v>
      </c>
      <c r="D77" s="93">
        <f t="shared" si="1"/>
        <v>541</v>
      </c>
      <c r="E77" s="93">
        <f>Q39</f>
        <v>1322</v>
      </c>
      <c r="F77" s="93">
        <f t="shared" si="2"/>
        <v>103288</v>
      </c>
      <c r="G77" s="92"/>
      <c r="H77" s="93" t="s">
        <v>1561</v>
      </c>
      <c r="I77" s="93">
        <v>3.0</v>
      </c>
      <c r="J77" s="93">
        <f t="shared" si="3"/>
        <v>1560</v>
      </c>
      <c r="K77" s="93">
        <v>772.0</v>
      </c>
      <c r="L77" s="93">
        <f t="shared" si="4"/>
        <v>333148</v>
      </c>
      <c r="M77" s="92"/>
      <c r="N77" s="93" t="s">
        <v>1562</v>
      </c>
      <c r="O77" s="93">
        <v>1.0</v>
      </c>
      <c r="P77" s="93">
        <f t="shared" si="5"/>
        <v>113</v>
      </c>
      <c r="Q77" s="93">
        <v>2457.0</v>
      </c>
      <c r="R77" s="93">
        <f t="shared" si="6"/>
        <v>111238</v>
      </c>
      <c r="S77" s="92"/>
    </row>
    <row r="78" ht="15.0" customHeight="1">
      <c r="A78" s="92"/>
      <c r="B78" s="93" t="s">
        <v>1485</v>
      </c>
      <c r="C78" s="93">
        <f>I40</f>
        <v>29</v>
      </c>
      <c r="D78" s="93">
        <f t="shared" si="1"/>
        <v>570</v>
      </c>
      <c r="E78" s="93">
        <f>K40</f>
        <v>3874</v>
      </c>
      <c r="F78" s="93">
        <f t="shared" si="2"/>
        <v>107162</v>
      </c>
      <c r="G78" s="92"/>
      <c r="H78" s="93" t="s">
        <v>1563</v>
      </c>
      <c r="I78" s="93">
        <v>31.0</v>
      </c>
      <c r="J78" s="93">
        <f t="shared" si="3"/>
        <v>1591</v>
      </c>
      <c r="K78" s="93">
        <v>6015.0</v>
      </c>
      <c r="L78" s="93">
        <f t="shared" si="4"/>
        <v>339163</v>
      </c>
      <c r="M78" s="92"/>
      <c r="N78" s="93" t="s">
        <v>1564</v>
      </c>
      <c r="O78" s="93">
        <v>0.0</v>
      </c>
      <c r="P78" s="93">
        <f t="shared" si="5"/>
        <v>113</v>
      </c>
      <c r="Q78" s="93">
        <v>0.0</v>
      </c>
      <c r="R78" s="93">
        <f t="shared" si="6"/>
        <v>111238</v>
      </c>
      <c r="S78" s="92"/>
    </row>
    <row r="79" ht="15.0" customHeight="1">
      <c r="A79" s="92"/>
      <c r="B79" s="93" t="s">
        <v>1486</v>
      </c>
      <c r="C79" s="93">
        <f>O40</f>
        <v>0</v>
      </c>
      <c r="D79" s="93">
        <f t="shared" si="1"/>
        <v>570</v>
      </c>
      <c r="E79" s="93">
        <f>Q40</f>
        <v>0</v>
      </c>
      <c r="F79" s="93">
        <f t="shared" si="2"/>
        <v>107162</v>
      </c>
      <c r="G79" s="92"/>
      <c r="H79" s="93" t="s">
        <v>1565</v>
      </c>
      <c r="I79" s="93">
        <v>1.0</v>
      </c>
      <c r="J79" s="93">
        <f t="shared" si="3"/>
        <v>1592</v>
      </c>
      <c r="K79" s="93">
        <v>856.0</v>
      </c>
      <c r="L79" s="93">
        <f t="shared" si="4"/>
        <v>340019</v>
      </c>
      <c r="M79" s="92"/>
      <c r="N79" s="93" t="s">
        <v>1566</v>
      </c>
      <c r="O79" s="93">
        <v>1.0</v>
      </c>
      <c r="P79" s="93">
        <f t="shared" si="5"/>
        <v>114</v>
      </c>
      <c r="Q79" s="93">
        <v>5137.0</v>
      </c>
      <c r="R79" s="93">
        <f t="shared" si="6"/>
        <v>116375</v>
      </c>
      <c r="S79" s="92"/>
    </row>
    <row r="80" ht="15.0" customHeight="1">
      <c r="A80" s="92"/>
      <c r="B80" s="93" t="s">
        <v>1487</v>
      </c>
      <c r="C80" s="93">
        <f>I41</f>
        <v>27</v>
      </c>
      <c r="D80" s="93">
        <f t="shared" si="1"/>
        <v>597</v>
      </c>
      <c r="E80" s="93">
        <f>K41</f>
        <v>5031</v>
      </c>
      <c r="F80" s="93">
        <f t="shared" si="2"/>
        <v>112193</v>
      </c>
      <c r="G80" s="92"/>
      <c r="H80" s="93" t="s">
        <v>1567</v>
      </c>
      <c r="I80" s="93">
        <v>21.0</v>
      </c>
      <c r="J80" s="93">
        <f t="shared" si="3"/>
        <v>1613</v>
      </c>
      <c r="K80" s="93">
        <v>5792.0</v>
      </c>
      <c r="L80" s="93">
        <f t="shared" si="4"/>
        <v>345811</v>
      </c>
      <c r="M80" s="92"/>
      <c r="N80" s="93" t="s">
        <v>1568</v>
      </c>
      <c r="O80" s="93">
        <v>2.0</v>
      </c>
      <c r="P80" s="93">
        <f t="shared" si="5"/>
        <v>116</v>
      </c>
      <c r="Q80" s="93">
        <v>3741.0</v>
      </c>
      <c r="R80" s="93">
        <f t="shared" si="6"/>
        <v>120116</v>
      </c>
      <c r="S80" s="92"/>
    </row>
    <row r="81" ht="15.0" customHeight="1">
      <c r="A81" s="92"/>
      <c r="B81" s="93" t="s">
        <v>1488</v>
      </c>
      <c r="C81" s="93">
        <f>O41</f>
        <v>2</v>
      </c>
      <c r="D81" s="93">
        <f t="shared" si="1"/>
        <v>599</v>
      </c>
      <c r="E81" s="93">
        <f>Q41</f>
        <v>1819</v>
      </c>
      <c r="F81" s="93">
        <f t="shared" si="2"/>
        <v>114012</v>
      </c>
      <c r="G81" s="92"/>
      <c r="H81" s="93" t="s">
        <v>1569</v>
      </c>
      <c r="I81" s="93">
        <v>31.0</v>
      </c>
      <c r="J81" s="93">
        <f t="shared" si="3"/>
        <v>1644</v>
      </c>
      <c r="K81" s="93">
        <v>3573.0</v>
      </c>
      <c r="L81" s="93">
        <f t="shared" si="4"/>
        <v>349384</v>
      </c>
      <c r="M81" s="92"/>
      <c r="N81" s="93" t="s">
        <v>1570</v>
      </c>
      <c r="O81" s="93">
        <v>2.0</v>
      </c>
      <c r="P81" s="93">
        <f t="shared" si="5"/>
        <v>118</v>
      </c>
      <c r="Q81" s="93">
        <v>230.0</v>
      </c>
      <c r="R81" s="93">
        <f t="shared" si="6"/>
        <v>120346</v>
      </c>
      <c r="S81" s="92"/>
    </row>
    <row r="82" ht="15.0" customHeight="1">
      <c r="A82" s="92"/>
      <c r="B82" s="93" t="s">
        <v>1489</v>
      </c>
      <c r="C82" s="93">
        <f>I42</f>
        <v>25</v>
      </c>
      <c r="D82" s="93">
        <f t="shared" si="1"/>
        <v>624</v>
      </c>
      <c r="E82" s="93">
        <f>K42</f>
        <v>4072</v>
      </c>
      <c r="F82" s="93">
        <f t="shared" si="2"/>
        <v>118084</v>
      </c>
      <c r="G82" s="92"/>
      <c r="H82" s="93" t="s">
        <v>1571</v>
      </c>
      <c r="I82" s="93">
        <v>26.0</v>
      </c>
      <c r="J82" s="93">
        <f t="shared" si="3"/>
        <v>1670</v>
      </c>
      <c r="K82" s="93">
        <v>4667.0</v>
      </c>
      <c r="L82" s="93">
        <f t="shared" si="4"/>
        <v>354051</v>
      </c>
      <c r="M82" s="92"/>
      <c r="N82" s="93" t="s">
        <v>1572</v>
      </c>
      <c r="O82" s="93">
        <v>1.0</v>
      </c>
      <c r="P82" s="93">
        <f t="shared" si="5"/>
        <v>119</v>
      </c>
      <c r="Q82" s="93">
        <v>4442.0</v>
      </c>
      <c r="R82" s="93">
        <f t="shared" si="6"/>
        <v>124788</v>
      </c>
      <c r="S82" s="92"/>
    </row>
    <row r="83" ht="15.0" customHeight="1">
      <c r="A83" s="92"/>
      <c r="B83" s="93" t="s">
        <v>1490</v>
      </c>
      <c r="C83" s="93">
        <f>O42</f>
        <v>2</v>
      </c>
      <c r="D83" s="93">
        <f t="shared" si="1"/>
        <v>626</v>
      </c>
      <c r="E83" s="93">
        <f>Q42</f>
        <v>1056</v>
      </c>
      <c r="F83" s="93">
        <f t="shared" si="2"/>
        <v>119140</v>
      </c>
      <c r="G83" s="92"/>
      <c r="H83" s="93" t="s">
        <v>1573</v>
      </c>
      <c r="I83" s="93">
        <v>23.0</v>
      </c>
      <c r="J83" s="93">
        <f t="shared" si="3"/>
        <v>1693</v>
      </c>
      <c r="K83" s="93">
        <v>3757.0</v>
      </c>
      <c r="L83" s="93">
        <f t="shared" si="4"/>
        <v>357808</v>
      </c>
      <c r="M83" s="92"/>
      <c r="N83" s="93" t="s">
        <v>1574</v>
      </c>
      <c r="O83" s="93">
        <v>1.0</v>
      </c>
      <c r="P83" s="93">
        <f t="shared" si="5"/>
        <v>120</v>
      </c>
      <c r="Q83" s="93">
        <v>4661.0</v>
      </c>
      <c r="R83" s="93">
        <f t="shared" si="6"/>
        <v>129449</v>
      </c>
      <c r="S83" s="92"/>
    </row>
    <row r="84" ht="15.0" customHeight="1">
      <c r="A84" s="92"/>
      <c r="B84" s="93" t="s">
        <v>1491</v>
      </c>
      <c r="C84" s="93">
        <f>I43</f>
        <v>30</v>
      </c>
      <c r="D84" s="93">
        <f t="shared" si="1"/>
        <v>656</v>
      </c>
      <c r="E84" s="93">
        <f>K43</f>
        <v>5296</v>
      </c>
      <c r="F84" s="93">
        <f t="shared" si="2"/>
        <v>124436</v>
      </c>
      <c r="G84" s="92"/>
      <c r="H84" s="93" t="s">
        <v>1575</v>
      </c>
      <c r="I84" s="93">
        <v>33.0</v>
      </c>
      <c r="J84" s="93">
        <f t="shared" si="3"/>
        <v>1726</v>
      </c>
      <c r="K84" s="93">
        <v>5165.0</v>
      </c>
      <c r="L84" s="93">
        <f t="shared" si="4"/>
        <v>362973</v>
      </c>
      <c r="M84" s="92"/>
      <c r="N84" s="93" t="s">
        <v>1576</v>
      </c>
      <c r="O84" s="93">
        <v>0.0</v>
      </c>
      <c r="P84" s="93">
        <f t="shared" si="5"/>
        <v>120</v>
      </c>
      <c r="Q84" s="93">
        <v>0.0</v>
      </c>
      <c r="R84" s="93">
        <f t="shared" si="6"/>
        <v>129449</v>
      </c>
      <c r="S84" s="92"/>
    </row>
    <row r="85" ht="15.0" customHeight="1">
      <c r="A85" s="92"/>
      <c r="B85" s="93" t="s">
        <v>1492</v>
      </c>
      <c r="C85" s="93">
        <f>O43</f>
        <v>1</v>
      </c>
      <c r="D85" s="93">
        <f t="shared" si="1"/>
        <v>657</v>
      </c>
      <c r="E85" s="93">
        <f>Q43</f>
        <v>44</v>
      </c>
      <c r="F85" s="93">
        <f t="shared" si="2"/>
        <v>124480</v>
      </c>
      <c r="G85" s="92"/>
      <c r="H85" s="93" t="s">
        <v>1577</v>
      </c>
      <c r="I85" s="93">
        <v>24.0</v>
      </c>
      <c r="J85" s="93">
        <f t="shared" si="3"/>
        <v>1750</v>
      </c>
      <c r="K85" s="93">
        <v>4589.0</v>
      </c>
      <c r="L85" s="93">
        <f t="shared" si="4"/>
        <v>367562</v>
      </c>
      <c r="M85" s="92"/>
      <c r="N85" s="93" t="s">
        <v>1578</v>
      </c>
      <c r="O85" s="93">
        <v>1.0</v>
      </c>
      <c r="P85" s="93">
        <f t="shared" si="5"/>
        <v>121</v>
      </c>
      <c r="Q85" s="93">
        <v>5514.0</v>
      </c>
      <c r="R85" s="93">
        <f t="shared" si="6"/>
        <v>134963</v>
      </c>
      <c r="S85" s="92"/>
    </row>
    <row r="86" ht="15.0" customHeight="1">
      <c r="A86" s="92"/>
      <c r="B86" s="93" t="s">
        <v>1494</v>
      </c>
      <c r="C86" s="93">
        <f>I44</f>
        <v>41</v>
      </c>
      <c r="D86" s="93">
        <f t="shared" si="1"/>
        <v>698</v>
      </c>
      <c r="E86" s="93">
        <f>K44</f>
        <v>6754</v>
      </c>
      <c r="F86" s="93">
        <f t="shared" si="2"/>
        <v>131234</v>
      </c>
      <c r="G86" s="92"/>
      <c r="H86" s="93" t="s">
        <v>1579</v>
      </c>
      <c r="I86" s="93">
        <v>23.0</v>
      </c>
      <c r="J86" s="93">
        <f t="shared" si="3"/>
        <v>1773</v>
      </c>
      <c r="K86" s="93">
        <v>6013.0</v>
      </c>
      <c r="L86" s="93">
        <f t="shared" si="4"/>
        <v>373575</v>
      </c>
      <c r="M86" s="92"/>
      <c r="N86" s="93" t="s">
        <v>1580</v>
      </c>
      <c r="O86" s="93">
        <v>0.0</v>
      </c>
      <c r="P86" s="93">
        <f t="shared" si="5"/>
        <v>121</v>
      </c>
      <c r="Q86" s="93">
        <v>0.0</v>
      </c>
      <c r="R86" s="93">
        <f t="shared" si="6"/>
        <v>134963</v>
      </c>
      <c r="S86" s="92"/>
    </row>
    <row r="87" ht="15.0" customHeight="1">
      <c r="A87" s="92"/>
      <c r="B87" s="93" t="s">
        <v>1495</v>
      </c>
      <c r="C87" s="93">
        <f>O44</f>
        <v>1</v>
      </c>
      <c r="D87" s="93">
        <f t="shared" si="1"/>
        <v>699</v>
      </c>
      <c r="E87" s="93">
        <f>Q44</f>
        <v>85</v>
      </c>
      <c r="F87" s="93">
        <f t="shared" si="2"/>
        <v>131319</v>
      </c>
      <c r="G87" s="92"/>
      <c r="H87" s="93" t="s">
        <v>1581</v>
      </c>
      <c r="I87" s="93">
        <v>27.0</v>
      </c>
      <c r="J87" s="93">
        <f t="shared" si="3"/>
        <v>1800</v>
      </c>
      <c r="K87" s="93">
        <v>5621.0</v>
      </c>
      <c r="L87" s="93">
        <f t="shared" si="4"/>
        <v>379196</v>
      </c>
      <c r="M87" s="92"/>
      <c r="N87" s="93" t="s">
        <v>1582</v>
      </c>
      <c r="O87" s="93">
        <v>1.0</v>
      </c>
      <c r="P87" s="93">
        <f t="shared" si="5"/>
        <v>122</v>
      </c>
      <c r="Q87" s="93">
        <v>3156.0</v>
      </c>
      <c r="R87" s="93">
        <f t="shared" si="6"/>
        <v>138119</v>
      </c>
      <c r="S87" s="92"/>
    </row>
    <row r="88" ht="15.0" customHeight="1">
      <c r="A88" s="92"/>
      <c r="B88" s="93" t="s">
        <v>1496</v>
      </c>
      <c r="C88" s="93">
        <f>I45</f>
        <v>39</v>
      </c>
      <c r="D88" s="93">
        <f t="shared" si="1"/>
        <v>738</v>
      </c>
      <c r="E88" s="93">
        <f>K45</f>
        <v>6014</v>
      </c>
      <c r="F88" s="93">
        <f t="shared" si="2"/>
        <v>137333</v>
      </c>
      <c r="G88" s="92"/>
      <c r="H88" s="93" t="s">
        <v>1583</v>
      </c>
      <c r="I88" s="93">
        <v>24.0</v>
      </c>
      <c r="J88" s="93">
        <f t="shared" si="3"/>
        <v>1824</v>
      </c>
      <c r="K88" s="93">
        <v>3905.0</v>
      </c>
      <c r="L88" s="93">
        <f t="shared" si="4"/>
        <v>383101</v>
      </c>
      <c r="M88" s="92"/>
      <c r="N88" s="93" t="s">
        <v>1584</v>
      </c>
      <c r="O88" s="93">
        <v>0.0</v>
      </c>
      <c r="P88" s="93">
        <f t="shared" si="5"/>
        <v>122</v>
      </c>
      <c r="Q88" s="93">
        <v>0.0</v>
      </c>
      <c r="R88" s="93">
        <f t="shared" si="6"/>
        <v>138119</v>
      </c>
      <c r="S88" s="92"/>
    </row>
    <row r="89" ht="15.0" customHeight="1">
      <c r="A89" s="92"/>
      <c r="B89" s="93" t="s">
        <v>1497</v>
      </c>
      <c r="C89" s="93">
        <f>O45</f>
        <v>1</v>
      </c>
      <c r="D89" s="93">
        <f t="shared" si="1"/>
        <v>739</v>
      </c>
      <c r="E89" s="93">
        <f>Q45</f>
        <v>90</v>
      </c>
      <c r="F89" s="93">
        <f t="shared" si="2"/>
        <v>137423</v>
      </c>
      <c r="G89" s="92"/>
      <c r="H89" s="93" t="s">
        <v>1585</v>
      </c>
      <c r="I89" s="93">
        <v>25.0</v>
      </c>
      <c r="J89" s="93">
        <f t="shared" si="3"/>
        <v>1849</v>
      </c>
      <c r="K89" s="93">
        <v>4528.0</v>
      </c>
      <c r="L89" s="93">
        <f t="shared" si="4"/>
        <v>387629</v>
      </c>
      <c r="M89" s="92"/>
      <c r="N89" s="93" t="s">
        <v>1586</v>
      </c>
      <c r="O89" s="93">
        <v>0.0</v>
      </c>
      <c r="P89" s="93">
        <f t="shared" si="5"/>
        <v>122</v>
      </c>
      <c r="Q89" s="93">
        <v>0.0</v>
      </c>
      <c r="R89" s="93">
        <f t="shared" si="6"/>
        <v>138119</v>
      </c>
      <c r="S89" s="92"/>
    </row>
    <row r="90" ht="15.0" customHeight="1">
      <c r="A90" s="92"/>
      <c r="B90" s="93" t="s">
        <v>1498</v>
      </c>
      <c r="C90" s="93">
        <f>I46</f>
        <v>32</v>
      </c>
      <c r="D90" s="93">
        <f t="shared" si="1"/>
        <v>771</v>
      </c>
      <c r="E90" s="93">
        <f>K46</f>
        <v>5215</v>
      </c>
      <c r="F90" s="93">
        <f t="shared" si="2"/>
        <v>142638</v>
      </c>
      <c r="G90" s="92"/>
      <c r="H90" s="93" t="s">
        <v>1587</v>
      </c>
      <c r="I90" s="93">
        <v>33.0</v>
      </c>
      <c r="J90" s="93">
        <f t="shared" si="3"/>
        <v>1882</v>
      </c>
      <c r="K90" s="93">
        <v>5273.0</v>
      </c>
      <c r="L90" s="93">
        <f t="shared" si="4"/>
        <v>392902</v>
      </c>
      <c r="M90" s="92"/>
      <c r="N90" s="93" t="s">
        <v>1588</v>
      </c>
      <c r="O90" s="93">
        <v>1.0</v>
      </c>
      <c r="P90" s="93">
        <f t="shared" si="5"/>
        <v>123</v>
      </c>
      <c r="Q90" s="93">
        <v>1111.0</v>
      </c>
      <c r="R90" s="93">
        <f t="shared" si="6"/>
        <v>139230</v>
      </c>
      <c r="S90" s="92"/>
    </row>
    <row r="91" ht="15.0" customHeight="1">
      <c r="A91" s="92"/>
      <c r="B91" s="93" t="s">
        <v>1499</v>
      </c>
      <c r="C91" s="93">
        <f>O46</f>
        <v>2</v>
      </c>
      <c r="D91" s="93">
        <f t="shared" si="1"/>
        <v>773</v>
      </c>
      <c r="E91" s="93">
        <f>Q46</f>
        <v>187</v>
      </c>
      <c r="F91" s="93">
        <f t="shared" si="2"/>
        <v>142825</v>
      </c>
      <c r="G91" s="92"/>
      <c r="H91" s="93" t="s">
        <v>1589</v>
      </c>
      <c r="I91" s="93">
        <v>33.0</v>
      </c>
      <c r="J91" s="93">
        <f t="shared" si="3"/>
        <v>1915</v>
      </c>
      <c r="K91" s="93">
        <v>5854.0</v>
      </c>
      <c r="L91" s="93">
        <f t="shared" si="4"/>
        <v>398756</v>
      </c>
      <c r="M91" s="92"/>
      <c r="N91" s="93" t="s">
        <v>1590</v>
      </c>
      <c r="O91" s="93">
        <v>1.0</v>
      </c>
      <c r="P91" s="93">
        <f t="shared" si="5"/>
        <v>124</v>
      </c>
      <c r="Q91" s="93">
        <v>2238.0</v>
      </c>
      <c r="R91" s="93">
        <f t="shared" si="6"/>
        <v>141468</v>
      </c>
      <c r="S91" s="92"/>
    </row>
    <row r="92" ht="15.0" customHeight="1">
      <c r="A92" s="92"/>
      <c r="B92" s="93" t="s">
        <v>1500</v>
      </c>
      <c r="C92" s="93">
        <f>I47</f>
        <v>39</v>
      </c>
      <c r="D92" s="93">
        <f t="shared" si="1"/>
        <v>812</v>
      </c>
      <c r="E92" s="93">
        <f>K47</f>
        <v>8990</v>
      </c>
      <c r="F92" s="93">
        <f t="shared" si="2"/>
        <v>151815</v>
      </c>
      <c r="G92" s="92"/>
      <c r="H92" s="93" t="s">
        <v>1591</v>
      </c>
      <c r="I92" s="93">
        <v>28.0</v>
      </c>
      <c r="J92" s="93">
        <f t="shared" si="3"/>
        <v>1943</v>
      </c>
      <c r="K92" s="93">
        <v>5410.0</v>
      </c>
      <c r="L92" s="93">
        <f t="shared" si="4"/>
        <v>404166</v>
      </c>
      <c r="M92" s="92"/>
      <c r="N92" s="93" t="s">
        <v>1592</v>
      </c>
      <c r="O92" s="93">
        <v>1.0</v>
      </c>
      <c r="P92" s="93">
        <f t="shared" si="5"/>
        <v>125</v>
      </c>
      <c r="Q92" s="93">
        <v>3997.0</v>
      </c>
      <c r="R92" s="93">
        <f t="shared" si="6"/>
        <v>145465</v>
      </c>
      <c r="S92" s="92"/>
    </row>
    <row r="93" ht="15.0" customHeight="1">
      <c r="A93" s="92"/>
      <c r="B93" s="93" t="s">
        <v>1501</v>
      </c>
      <c r="C93" s="93">
        <f>O47</f>
        <v>1</v>
      </c>
      <c r="D93" s="93">
        <f t="shared" si="1"/>
        <v>813</v>
      </c>
      <c r="E93" s="93">
        <f>Q47</f>
        <v>992</v>
      </c>
      <c r="F93" s="93">
        <f t="shared" si="2"/>
        <v>152807</v>
      </c>
      <c r="G93" s="92"/>
      <c r="H93" s="93" t="s">
        <v>1593</v>
      </c>
      <c r="I93" s="93">
        <v>9.0</v>
      </c>
      <c r="J93" s="93">
        <f t="shared" si="3"/>
        <v>1952</v>
      </c>
      <c r="K93" s="93">
        <v>1725.0</v>
      </c>
      <c r="L93" s="93">
        <f t="shared" si="4"/>
        <v>405891</v>
      </c>
      <c r="M93" s="92"/>
      <c r="N93" s="93" t="s">
        <v>1594</v>
      </c>
      <c r="O93" s="93">
        <v>0.0</v>
      </c>
      <c r="P93" s="93">
        <f t="shared" si="5"/>
        <v>125</v>
      </c>
      <c r="Q93" s="93">
        <v>0.0</v>
      </c>
      <c r="R93" s="93">
        <f t="shared" si="6"/>
        <v>145465</v>
      </c>
      <c r="S93" s="92"/>
    </row>
    <row r="94" ht="15.0" customHeight="1">
      <c r="A94" s="92"/>
      <c r="B94" s="93" t="s">
        <v>1502</v>
      </c>
      <c r="C94" s="93">
        <f>I48</f>
        <v>32</v>
      </c>
      <c r="D94" s="93">
        <f t="shared" si="1"/>
        <v>845</v>
      </c>
      <c r="E94" s="93">
        <f>K48</f>
        <v>5843</v>
      </c>
      <c r="F94" s="93">
        <f t="shared" si="2"/>
        <v>158650</v>
      </c>
      <c r="G94" s="92"/>
      <c r="H94" s="93" t="s">
        <v>1595</v>
      </c>
      <c r="I94" s="93">
        <v>0.0</v>
      </c>
      <c r="J94" s="93">
        <f t="shared" si="3"/>
        <v>1952</v>
      </c>
      <c r="K94" s="93">
        <v>0.0</v>
      </c>
      <c r="L94" s="93">
        <f t="shared" si="4"/>
        <v>405891</v>
      </c>
      <c r="M94" s="92"/>
      <c r="N94" s="93" t="s">
        <v>1596</v>
      </c>
      <c r="O94" s="93">
        <v>0.0</v>
      </c>
      <c r="P94" s="93">
        <f t="shared" si="5"/>
        <v>125</v>
      </c>
      <c r="Q94" s="93">
        <v>0.0</v>
      </c>
      <c r="R94" s="93">
        <f t="shared" si="6"/>
        <v>145465</v>
      </c>
      <c r="S94" s="92"/>
    </row>
    <row r="95" ht="15.0" customHeight="1">
      <c r="A95" s="92"/>
      <c r="B95" s="93" t="s">
        <v>1503</v>
      </c>
      <c r="C95" s="93">
        <f>O48</f>
        <v>1</v>
      </c>
      <c r="D95" s="93">
        <f t="shared" si="1"/>
        <v>846</v>
      </c>
      <c r="E95" s="93">
        <f>Q48</f>
        <v>979</v>
      </c>
      <c r="F95" s="93">
        <f t="shared" si="2"/>
        <v>159629</v>
      </c>
      <c r="G95" s="92"/>
      <c r="H95" s="93" t="s">
        <v>1597</v>
      </c>
      <c r="I95" s="93">
        <v>27.0</v>
      </c>
      <c r="J95" s="93">
        <f t="shared" si="3"/>
        <v>1979</v>
      </c>
      <c r="K95" s="93">
        <v>5301.0</v>
      </c>
      <c r="L95" s="93">
        <f t="shared" si="4"/>
        <v>411192</v>
      </c>
      <c r="M95" s="92"/>
      <c r="N95" s="93" t="s">
        <v>1598</v>
      </c>
      <c r="O95" s="93">
        <v>0.0</v>
      </c>
      <c r="P95" s="93">
        <f t="shared" si="5"/>
        <v>125</v>
      </c>
      <c r="Q95" s="93">
        <v>0.0</v>
      </c>
      <c r="R95" s="93">
        <f t="shared" si="6"/>
        <v>145465</v>
      </c>
      <c r="S95" s="92"/>
    </row>
    <row r="96" ht="15.0" customHeight="1">
      <c r="A96" s="92"/>
      <c r="B96" s="93" t="s">
        <v>1504</v>
      </c>
      <c r="C96" s="93">
        <f>I49</f>
        <v>32</v>
      </c>
      <c r="D96" s="93">
        <f t="shared" si="1"/>
        <v>878</v>
      </c>
      <c r="E96" s="93">
        <f>K49</f>
        <v>6546</v>
      </c>
      <c r="F96" s="93">
        <f t="shared" si="2"/>
        <v>166175</v>
      </c>
      <c r="G96" s="92"/>
      <c r="H96" s="93" t="s">
        <v>1599</v>
      </c>
      <c r="I96" s="93">
        <v>30.0</v>
      </c>
      <c r="J96" s="93">
        <f t="shared" si="3"/>
        <v>2009</v>
      </c>
      <c r="K96" s="93">
        <v>3483.0</v>
      </c>
      <c r="L96" s="93">
        <f t="shared" si="4"/>
        <v>414675</v>
      </c>
      <c r="M96" s="92"/>
      <c r="N96" s="93" t="s">
        <v>1600</v>
      </c>
      <c r="O96" s="93">
        <v>0.0</v>
      </c>
      <c r="P96" s="93">
        <f t="shared" si="5"/>
        <v>125</v>
      </c>
      <c r="Q96" s="93">
        <v>0.0</v>
      </c>
      <c r="R96" s="93">
        <f t="shared" si="6"/>
        <v>145465</v>
      </c>
      <c r="S96" s="92"/>
    </row>
    <row r="97" ht="15.0" customHeight="1">
      <c r="A97" s="92"/>
      <c r="B97" s="93" t="s">
        <v>1505</v>
      </c>
      <c r="C97" s="93">
        <f>O49</f>
        <v>2</v>
      </c>
      <c r="D97" s="93">
        <f t="shared" si="1"/>
        <v>880</v>
      </c>
      <c r="E97" s="93">
        <f>Q49</f>
        <v>1086</v>
      </c>
      <c r="F97" s="93">
        <f t="shared" si="2"/>
        <v>167261</v>
      </c>
      <c r="G97" s="92"/>
      <c r="H97" s="93" t="s">
        <v>1601</v>
      </c>
      <c r="I97" s="93">
        <v>35.0</v>
      </c>
      <c r="J97" s="93">
        <f t="shared" si="3"/>
        <v>2044</v>
      </c>
      <c r="K97" s="93">
        <v>7444.0</v>
      </c>
      <c r="L97" s="93">
        <f t="shared" si="4"/>
        <v>422119</v>
      </c>
      <c r="M97" s="92"/>
      <c r="N97" s="93" t="s">
        <v>1602</v>
      </c>
      <c r="O97" s="93">
        <v>1.0</v>
      </c>
      <c r="P97" s="93">
        <f t="shared" si="5"/>
        <v>126</v>
      </c>
      <c r="Q97" s="93">
        <v>244.0</v>
      </c>
      <c r="R97" s="93">
        <f t="shared" si="6"/>
        <v>145709</v>
      </c>
      <c r="S97" s="92"/>
    </row>
    <row r="98" ht="15.0" customHeight="1">
      <c r="A98" s="92"/>
      <c r="B98" s="93" t="s">
        <v>1506</v>
      </c>
      <c r="C98" s="93">
        <f>I50</f>
        <v>76</v>
      </c>
      <c r="D98" s="93">
        <f t="shared" si="1"/>
        <v>956</v>
      </c>
      <c r="E98" s="93">
        <f>K50</f>
        <v>13385</v>
      </c>
      <c r="F98" s="93">
        <f t="shared" si="2"/>
        <v>180646</v>
      </c>
      <c r="G98" s="92"/>
      <c r="H98" s="93" t="s">
        <v>1603</v>
      </c>
      <c r="I98" s="93">
        <v>20.0</v>
      </c>
      <c r="J98" s="93">
        <f t="shared" si="3"/>
        <v>2064</v>
      </c>
      <c r="K98" s="93">
        <v>4650.0</v>
      </c>
      <c r="L98" s="93">
        <f t="shared" si="4"/>
        <v>426769</v>
      </c>
      <c r="M98" s="92"/>
      <c r="N98" s="93" t="s">
        <v>1604</v>
      </c>
      <c r="O98" s="93">
        <v>0.0</v>
      </c>
      <c r="P98" s="93">
        <f t="shared" si="5"/>
        <v>126</v>
      </c>
      <c r="Q98" s="93">
        <v>0.0</v>
      </c>
      <c r="R98" s="93">
        <f t="shared" si="6"/>
        <v>145709</v>
      </c>
      <c r="S98" s="92"/>
    </row>
    <row r="99" ht="15.0" customHeight="1">
      <c r="A99" s="92"/>
      <c r="B99" s="93" t="s">
        <v>1507</v>
      </c>
      <c r="C99" s="93">
        <f>O50</f>
        <v>5</v>
      </c>
      <c r="D99" s="93">
        <f t="shared" si="1"/>
        <v>961</v>
      </c>
      <c r="E99" s="93">
        <f>Q50</f>
        <v>5333</v>
      </c>
      <c r="F99" s="93">
        <f t="shared" si="2"/>
        <v>185979</v>
      </c>
      <c r="G99" s="92"/>
      <c r="H99" s="93" t="s">
        <v>1605</v>
      </c>
      <c r="I99" s="93">
        <v>22.0</v>
      </c>
      <c r="J99" s="93">
        <f t="shared" si="3"/>
        <v>2086</v>
      </c>
      <c r="K99" s="93">
        <v>4084.0</v>
      </c>
      <c r="L99" s="93">
        <f t="shared" si="4"/>
        <v>430853</v>
      </c>
      <c r="M99" s="92"/>
      <c r="N99" s="93" t="s">
        <v>1606</v>
      </c>
      <c r="O99" s="93">
        <v>0.0</v>
      </c>
      <c r="P99" s="93">
        <f t="shared" si="5"/>
        <v>126</v>
      </c>
      <c r="Q99" s="93">
        <v>0.0</v>
      </c>
      <c r="R99" s="93">
        <f t="shared" si="6"/>
        <v>145709</v>
      </c>
      <c r="S99" s="92"/>
    </row>
    <row r="100" ht="15.0" customHeight="1">
      <c r="A100" s="92"/>
      <c r="B100" s="93" t="s">
        <v>1508</v>
      </c>
      <c r="C100" s="93">
        <f>I51</f>
        <v>33</v>
      </c>
      <c r="D100" s="93">
        <f t="shared" si="1"/>
        <v>994</v>
      </c>
      <c r="E100" s="93">
        <f>K51</f>
        <v>6790</v>
      </c>
      <c r="F100" s="93">
        <f t="shared" si="2"/>
        <v>192769</v>
      </c>
      <c r="G100" s="92"/>
      <c r="H100" s="93" t="s">
        <v>1607</v>
      </c>
      <c r="I100" s="93">
        <f>21+13</f>
        <v>34</v>
      </c>
      <c r="J100" s="93">
        <f t="shared" si="3"/>
        <v>2120</v>
      </c>
      <c r="K100" s="93">
        <v>5533.0</v>
      </c>
      <c r="L100" s="93">
        <f t="shared" si="4"/>
        <v>436386</v>
      </c>
      <c r="M100" s="92"/>
      <c r="N100" s="93" t="s">
        <v>1608</v>
      </c>
      <c r="O100" s="93">
        <v>0.0</v>
      </c>
      <c r="P100" s="93">
        <f t="shared" si="5"/>
        <v>126</v>
      </c>
      <c r="Q100" s="93">
        <v>0.0</v>
      </c>
      <c r="R100" s="93">
        <f t="shared" si="6"/>
        <v>145709</v>
      </c>
      <c r="S100" s="92"/>
    </row>
    <row r="101" ht="15.0" customHeight="1">
      <c r="A101" s="92"/>
      <c r="B101" s="93" t="s">
        <v>1509</v>
      </c>
      <c r="C101" s="93">
        <f>O51</f>
        <v>2</v>
      </c>
      <c r="D101" s="93">
        <f t="shared" si="1"/>
        <v>996</v>
      </c>
      <c r="E101" s="93">
        <f>Q51</f>
        <v>467</v>
      </c>
      <c r="F101" s="93">
        <f t="shared" si="2"/>
        <v>193236</v>
      </c>
      <c r="G101" s="92"/>
      <c r="H101" s="93" t="s">
        <v>1609</v>
      </c>
      <c r="I101" s="93">
        <f>20+3</f>
        <v>23</v>
      </c>
      <c r="J101" s="93">
        <f t="shared" si="3"/>
        <v>2143</v>
      </c>
      <c r="K101" s="93">
        <v>4132.0</v>
      </c>
      <c r="L101" s="93">
        <f t="shared" si="4"/>
        <v>440518</v>
      </c>
      <c r="M101" s="92"/>
      <c r="N101" s="93" t="s">
        <v>1610</v>
      </c>
      <c r="O101" s="93">
        <v>1.0</v>
      </c>
      <c r="P101" s="93">
        <f t="shared" si="5"/>
        <v>127</v>
      </c>
      <c r="Q101" s="93">
        <v>190.0</v>
      </c>
      <c r="R101" s="93">
        <f t="shared" si="6"/>
        <v>145899</v>
      </c>
      <c r="S101" s="92"/>
    </row>
    <row r="102" ht="15.0" customHeight="1">
      <c r="A102" s="92"/>
      <c r="B102" s="93" t="s">
        <v>1510</v>
      </c>
      <c r="C102" s="93">
        <f>I52</f>
        <v>32</v>
      </c>
      <c r="D102" s="93">
        <f t="shared" si="1"/>
        <v>1028</v>
      </c>
      <c r="E102" s="93">
        <f>K52</f>
        <v>4778</v>
      </c>
      <c r="F102" s="93">
        <f t="shared" si="2"/>
        <v>198014</v>
      </c>
      <c r="G102" s="92"/>
      <c r="H102" s="93" t="s">
        <v>1611</v>
      </c>
      <c r="I102" s="93">
        <f>20+9</f>
        <v>29</v>
      </c>
      <c r="J102" s="93">
        <f t="shared" si="3"/>
        <v>2172</v>
      </c>
      <c r="K102" s="93">
        <v>4897.0</v>
      </c>
      <c r="L102" s="93">
        <f t="shared" si="4"/>
        <v>445415</v>
      </c>
      <c r="M102" s="92"/>
      <c r="N102" s="93" t="s">
        <v>1612</v>
      </c>
      <c r="O102" s="93">
        <v>1.0</v>
      </c>
      <c r="P102" s="93">
        <f t="shared" si="5"/>
        <v>128</v>
      </c>
      <c r="Q102" s="93">
        <v>83.0</v>
      </c>
      <c r="R102" s="93">
        <f t="shared" si="6"/>
        <v>145982</v>
      </c>
      <c r="S102" s="92"/>
    </row>
    <row r="103" ht="15.0" customHeight="1">
      <c r="A103" s="92"/>
      <c r="B103" s="93" t="s">
        <v>1511</v>
      </c>
      <c r="C103" s="93">
        <f>O52</f>
        <v>4</v>
      </c>
      <c r="D103" s="93">
        <f t="shared" si="1"/>
        <v>1032</v>
      </c>
      <c r="E103" s="93">
        <f>Q52</f>
        <v>4320</v>
      </c>
      <c r="F103" s="93">
        <f t="shared" si="2"/>
        <v>202334</v>
      </c>
      <c r="G103" s="92"/>
      <c r="H103" s="93" t="s">
        <v>1613</v>
      </c>
      <c r="I103" s="96">
        <f>20+1</f>
        <v>21</v>
      </c>
      <c r="J103" s="93">
        <f t="shared" si="3"/>
        <v>2193</v>
      </c>
      <c r="K103" s="93">
        <v>4258.0</v>
      </c>
      <c r="L103" s="93">
        <f t="shared" si="4"/>
        <v>449673</v>
      </c>
      <c r="M103" s="92"/>
      <c r="N103" s="93" t="s">
        <v>1614</v>
      </c>
      <c r="O103" s="93">
        <v>2.0</v>
      </c>
      <c r="P103" s="93">
        <f t="shared" si="5"/>
        <v>130</v>
      </c>
      <c r="Q103" s="93">
        <v>347.0</v>
      </c>
      <c r="R103" s="93">
        <f t="shared" si="6"/>
        <v>146329</v>
      </c>
      <c r="S103" s="92"/>
    </row>
    <row r="104" ht="15.0" customHeight="1">
      <c r="A104" s="92"/>
      <c r="B104" s="93" t="s">
        <v>1512</v>
      </c>
      <c r="C104" s="93">
        <f>I53</f>
        <v>30</v>
      </c>
      <c r="D104" s="93">
        <f t="shared" si="1"/>
        <v>1062</v>
      </c>
      <c r="E104" s="93">
        <f>K53</f>
        <v>7279</v>
      </c>
      <c r="F104" s="93">
        <f t="shared" si="2"/>
        <v>209613</v>
      </c>
      <c r="G104" s="92"/>
      <c r="H104" s="93" t="s">
        <v>1615</v>
      </c>
      <c r="I104" s="96">
        <f>0+0</f>
        <v>0</v>
      </c>
      <c r="J104" s="93">
        <f t="shared" si="3"/>
        <v>2193</v>
      </c>
      <c r="K104" s="93">
        <v>0.0</v>
      </c>
      <c r="L104" s="93">
        <f t="shared" si="4"/>
        <v>449673</v>
      </c>
      <c r="M104" s="92"/>
      <c r="N104" s="93" t="s">
        <v>1616</v>
      </c>
      <c r="O104" s="93">
        <v>0.0</v>
      </c>
      <c r="P104" s="93">
        <f t="shared" si="5"/>
        <v>130</v>
      </c>
      <c r="Q104" s="93">
        <v>0.0</v>
      </c>
      <c r="R104" s="93">
        <f t="shared" si="6"/>
        <v>146329</v>
      </c>
      <c r="S104" s="92"/>
    </row>
    <row r="105" ht="15.0" customHeight="1">
      <c r="A105" s="92"/>
      <c r="B105" s="93" t="s">
        <v>1513</v>
      </c>
      <c r="C105" s="93">
        <f>O53</f>
        <v>6</v>
      </c>
      <c r="D105" s="93">
        <f t="shared" si="1"/>
        <v>1068</v>
      </c>
      <c r="E105" s="93">
        <f>Q53</f>
        <v>3755</v>
      </c>
      <c r="F105" s="93">
        <f t="shared" si="2"/>
        <v>213368</v>
      </c>
      <c r="G105" s="92"/>
      <c r="H105" s="93" t="s">
        <v>1617</v>
      </c>
      <c r="I105" s="96">
        <f>20+2</f>
        <v>22</v>
      </c>
      <c r="J105" s="93">
        <f t="shared" si="3"/>
        <v>2215</v>
      </c>
      <c r="K105" s="93">
        <v>4734.0</v>
      </c>
      <c r="L105" s="93">
        <f t="shared" si="4"/>
        <v>454407</v>
      </c>
      <c r="M105" s="92"/>
      <c r="N105" s="93" t="s">
        <v>1618</v>
      </c>
      <c r="O105" s="93">
        <v>2.0</v>
      </c>
      <c r="P105" s="93">
        <f t="shared" si="5"/>
        <v>132</v>
      </c>
      <c r="Q105" s="93">
        <v>225.0</v>
      </c>
      <c r="R105" s="93">
        <f t="shared" si="6"/>
        <v>146554</v>
      </c>
      <c r="S105" s="92"/>
    </row>
    <row r="106" ht="15.0" customHeight="1">
      <c r="A106" s="92"/>
      <c r="B106" s="93" t="s">
        <v>1514</v>
      </c>
      <c r="C106" s="93">
        <f>I54</f>
        <v>36</v>
      </c>
      <c r="D106" s="93">
        <f t="shared" si="1"/>
        <v>1104</v>
      </c>
      <c r="E106" s="93">
        <f>K54</f>
        <v>5544</v>
      </c>
      <c r="F106" s="93">
        <f t="shared" si="2"/>
        <v>218912</v>
      </c>
      <c r="G106" s="92"/>
      <c r="H106" s="93" t="s">
        <v>1619</v>
      </c>
      <c r="I106" s="96">
        <f>20+10</f>
        <v>30</v>
      </c>
      <c r="J106" s="93">
        <f t="shared" si="3"/>
        <v>2245</v>
      </c>
      <c r="K106" s="93">
        <v>6844.0</v>
      </c>
      <c r="L106" s="93">
        <f t="shared" si="4"/>
        <v>461251</v>
      </c>
      <c r="M106" s="92"/>
      <c r="N106" s="93" t="s">
        <v>1620</v>
      </c>
      <c r="O106" s="93">
        <v>0.0</v>
      </c>
      <c r="P106" s="93">
        <f t="shared" si="5"/>
        <v>132</v>
      </c>
      <c r="Q106" s="93">
        <v>0.0</v>
      </c>
      <c r="R106" s="93">
        <f t="shared" si="6"/>
        <v>146554</v>
      </c>
      <c r="S106" s="92"/>
    </row>
    <row r="107" ht="15.0" customHeight="1">
      <c r="A107" s="92"/>
      <c r="B107" s="93" t="s">
        <v>1515</v>
      </c>
      <c r="C107" s="93">
        <f>O54</f>
        <v>1</v>
      </c>
      <c r="D107" s="93">
        <f t="shared" si="1"/>
        <v>1105</v>
      </c>
      <c r="E107" s="93">
        <f>Q54</f>
        <v>1010</v>
      </c>
      <c r="F107" s="93">
        <f t="shared" si="2"/>
        <v>219922</v>
      </c>
      <c r="G107" s="92"/>
      <c r="H107" s="93" t="s">
        <v>1621</v>
      </c>
      <c r="I107" s="96">
        <f>20+7</f>
        <v>27</v>
      </c>
      <c r="J107" s="93">
        <f t="shared" si="3"/>
        <v>2272</v>
      </c>
      <c r="K107" s="93">
        <v>6260.0</v>
      </c>
      <c r="L107" s="93">
        <f t="shared" si="4"/>
        <v>467511</v>
      </c>
      <c r="M107" s="92"/>
      <c r="N107" s="93" t="s">
        <v>1622</v>
      </c>
      <c r="O107" s="93">
        <v>0.0</v>
      </c>
      <c r="P107" s="93">
        <f t="shared" si="5"/>
        <v>132</v>
      </c>
      <c r="Q107" s="93">
        <v>0.0</v>
      </c>
      <c r="R107" s="93">
        <f t="shared" si="6"/>
        <v>146554</v>
      </c>
      <c r="S107" s="92"/>
    </row>
    <row r="108" ht="15.0" customHeight="1">
      <c r="A108" s="92"/>
      <c r="B108" s="93" t="s">
        <v>1516</v>
      </c>
      <c r="C108" s="93">
        <f>I55</f>
        <v>36</v>
      </c>
      <c r="D108" s="93">
        <f t="shared" si="1"/>
        <v>1141</v>
      </c>
      <c r="E108" s="93">
        <f>K55</f>
        <v>6719</v>
      </c>
      <c r="F108" s="93">
        <f t="shared" si="2"/>
        <v>226641</v>
      </c>
      <c r="G108" s="92"/>
      <c r="H108" s="93" t="s">
        <v>1623</v>
      </c>
      <c r="I108" s="96">
        <f>22+5</f>
        <v>27</v>
      </c>
      <c r="J108" s="93">
        <f t="shared" si="3"/>
        <v>2299</v>
      </c>
      <c r="K108" s="93">
        <v>11445.0</v>
      </c>
      <c r="L108" s="93">
        <f t="shared" si="4"/>
        <v>478956</v>
      </c>
      <c r="M108" s="92"/>
      <c r="N108" s="93" t="s">
        <v>1624</v>
      </c>
      <c r="O108" s="93">
        <v>1.0</v>
      </c>
      <c r="P108" s="93">
        <f t="shared" si="5"/>
        <v>133</v>
      </c>
      <c r="Q108" s="93">
        <v>94.0</v>
      </c>
      <c r="R108" s="93">
        <f t="shared" si="6"/>
        <v>146648</v>
      </c>
      <c r="S108" s="92"/>
    </row>
    <row r="109" ht="15.0" customHeight="1">
      <c r="A109" s="92"/>
      <c r="B109" s="93" t="s">
        <v>1517</v>
      </c>
      <c r="C109" s="93">
        <f>O55</f>
        <v>2</v>
      </c>
      <c r="D109" s="93">
        <f t="shared" si="1"/>
        <v>1143</v>
      </c>
      <c r="E109" s="93">
        <f>Q55</f>
        <v>1423</v>
      </c>
      <c r="F109" s="93">
        <f t="shared" si="2"/>
        <v>228064</v>
      </c>
      <c r="G109" s="92"/>
      <c r="H109" s="93" t="s">
        <v>1625</v>
      </c>
      <c r="I109" s="96">
        <f>20+20+4</f>
        <v>44</v>
      </c>
      <c r="J109" s="93">
        <f t="shared" si="3"/>
        <v>2343</v>
      </c>
      <c r="K109" s="93">
        <v>11537.0</v>
      </c>
      <c r="L109" s="93">
        <f t="shared" si="4"/>
        <v>490493</v>
      </c>
      <c r="M109" s="92"/>
      <c r="N109" s="93" t="s">
        <v>1626</v>
      </c>
      <c r="O109" s="93">
        <v>0.0</v>
      </c>
      <c r="P109" s="93">
        <f t="shared" si="5"/>
        <v>133</v>
      </c>
      <c r="Q109" s="93">
        <v>0.0</v>
      </c>
      <c r="R109" s="93">
        <f t="shared" si="6"/>
        <v>146648</v>
      </c>
      <c r="S109" s="92"/>
    </row>
    <row r="110" ht="15.0" customHeight="1">
      <c r="A110" s="92"/>
      <c r="B110" s="93" t="s">
        <v>1518</v>
      </c>
      <c r="C110" s="93">
        <f>I56</f>
        <v>37</v>
      </c>
      <c r="D110" s="93">
        <f t="shared" si="1"/>
        <v>1180</v>
      </c>
      <c r="E110" s="93">
        <f>K56</f>
        <v>10179</v>
      </c>
      <c r="F110" s="93">
        <f t="shared" si="2"/>
        <v>238243</v>
      </c>
      <c r="G110" s="92"/>
      <c r="H110" s="97" t="s">
        <v>1627</v>
      </c>
      <c r="I110" s="98">
        <f>20+1+0</f>
        <v>21</v>
      </c>
      <c r="J110" s="93">
        <f t="shared" si="3"/>
        <v>2364</v>
      </c>
      <c r="K110" s="97">
        <v>6836.0</v>
      </c>
      <c r="L110" s="93">
        <f t="shared" si="4"/>
        <v>497329</v>
      </c>
      <c r="M110" s="92"/>
      <c r="N110" s="97" t="s">
        <v>1628</v>
      </c>
      <c r="O110" s="97">
        <v>0.0</v>
      </c>
      <c r="P110" s="93">
        <f t="shared" si="5"/>
        <v>133</v>
      </c>
      <c r="Q110" s="97">
        <v>0.0</v>
      </c>
      <c r="R110" s="93">
        <f t="shared" si="6"/>
        <v>146648</v>
      </c>
      <c r="S110" s="92"/>
    </row>
    <row r="111" ht="15.0" customHeight="1">
      <c r="A111" s="92"/>
      <c r="B111" s="93" t="s">
        <v>1519</v>
      </c>
      <c r="C111" s="93">
        <f>O56</f>
        <v>1</v>
      </c>
      <c r="D111" s="93">
        <f t="shared" si="1"/>
        <v>1181</v>
      </c>
      <c r="E111" s="93">
        <f>Q56</f>
        <v>1571</v>
      </c>
      <c r="F111" s="93">
        <f t="shared" si="2"/>
        <v>239814</v>
      </c>
      <c r="G111" s="92"/>
      <c r="H111" s="97" t="s">
        <v>1629</v>
      </c>
      <c r="I111" s="98">
        <f>13+0</f>
        <v>13</v>
      </c>
      <c r="J111" s="93">
        <f t="shared" si="3"/>
        <v>2377</v>
      </c>
      <c r="K111" s="97">
        <v>6119.0</v>
      </c>
      <c r="L111" s="93">
        <f t="shared" si="4"/>
        <v>503448</v>
      </c>
      <c r="M111" s="92"/>
      <c r="N111" s="97" t="s">
        <v>1630</v>
      </c>
      <c r="O111" s="97">
        <v>0.0</v>
      </c>
      <c r="P111" s="93">
        <f t="shared" si="5"/>
        <v>133</v>
      </c>
      <c r="Q111" s="97">
        <v>0.0</v>
      </c>
      <c r="R111" s="93">
        <f t="shared" si="6"/>
        <v>146648</v>
      </c>
      <c r="S111" s="92"/>
    </row>
    <row r="112" ht="15.0" customHeight="1">
      <c r="A112" s="92"/>
      <c r="B112" s="93" t="s">
        <v>1521</v>
      </c>
      <c r="C112" s="93">
        <f>I57</f>
        <v>31</v>
      </c>
      <c r="D112" s="93">
        <f t="shared" si="1"/>
        <v>1212</v>
      </c>
      <c r="E112" s="93">
        <f>K57</f>
        <v>6968</v>
      </c>
      <c r="F112" s="93">
        <f t="shared" si="2"/>
        <v>246782</v>
      </c>
      <c r="G112" s="92"/>
      <c r="H112" s="97" t="s">
        <v>1631</v>
      </c>
      <c r="I112" s="98">
        <f>19+0</f>
        <v>19</v>
      </c>
      <c r="J112" s="93">
        <f t="shared" si="3"/>
        <v>2396</v>
      </c>
      <c r="K112" s="97">
        <v>4087.0</v>
      </c>
      <c r="L112" s="93">
        <f t="shared" si="4"/>
        <v>507535</v>
      </c>
      <c r="M112" s="92"/>
      <c r="N112" s="97" t="s">
        <v>1632</v>
      </c>
      <c r="O112" s="97">
        <v>0.0</v>
      </c>
      <c r="P112" s="93">
        <f t="shared" si="5"/>
        <v>133</v>
      </c>
      <c r="Q112" s="97">
        <v>0.0</v>
      </c>
      <c r="R112" s="93">
        <f t="shared" si="6"/>
        <v>146648</v>
      </c>
      <c r="S112" s="92"/>
    </row>
    <row r="113" ht="15.0" customHeight="1">
      <c r="A113" s="92"/>
      <c r="B113" s="93" t="s">
        <v>1522</v>
      </c>
      <c r="C113" s="93">
        <f>O57</f>
        <v>1</v>
      </c>
      <c r="D113" s="93">
        <f t="shared" si="1"/>
        <v>1213</v>
      </c>
      <c r="E113" s="93">
        <f>Q57</f>
        <v>730</v>
      </c>
      <c r="F113" s="93">
        <f t="shared" si="2"/>
        <v>247512</v>
      </c>
      <c r="G113" s="92"/>
      <c r="H113" s="97" t="s">
        <v>1633</v>
      </c>
      <c r="I113" s="98">
        <f>20+9</f>
        <v>29</v>
      </c>
      <c r="J113" s="93">
        <f t="shared" si="3"/>
        <v>2425</v>
      </c>
      <c r="K113" s="97">
        <v>5601.0</v>
      </c>
      <c r="L113" s="93">
        <f t="shared" si="4"/>
        <v>513136</v>
      </c>
      <c r="M113" s="92"/>
      <c r="N113" s="97" t="s">
        <v>1634</v>
      </c>
      <c r="O113" s="97">
        <v>1.0</v>
      </c>
      <c r="P113" s="93">
        <f t="shared" si="5"/>
        <v>134</v>
      </c>
      <c r="Q113" s="97">
        <v>365.0</v>
      </c>
      <c r="R113" s="93">
        <f t="shared" si="6"/>
        <v>147013</v>
      </c>
      <c r="S113" s="92"/>
    </row>
    <row r="114" ht="15.0" customHeight="1">
      <c r="A114" s="92"/>
      <c r="B114" s="93" t="s">
        <v>1523</v>
      </c>
      <c r="C114" s="93">
        <f>I58</f>
        <v>26</v>
      </c>
      <c r="D114" s="93">
        <f t="shared" si="1"/>
        <v>1239</v>
      </c>
      <c r="E114" s="93">
        <f>K58</f>
        <v>4377</v>
      </c>
      <c r="F114" s="93">
        <f t="shared" si="2"/>
        <v>251889</v>
      </c>
      <c r="G114" s="92"/>
      <c r="H114" s="97" t="s">
        <v>1635</v>
      </c>
      <c r="I114" s="97">
        <f>20+6</f>
        <v>26</v>
      </c>
      <c r="J114" s="93">
        <f t="shared" si="3"/>
        <v>2451</v>
      </c>
      <c r="K114" s="97">
        <v>7720.0</v>
      </c>
      <c r="L114" s="93">
        <f t="shared" si="4"/>
        <v>520856</v>
      </c>
      <c r="M114" s="92"/>
      <c r="N114" s="97" t="s">
        <v>1636</v>
      </c>
      <c r="O114" s="97">
        <v>1.0</v>
      </c>
      <c r="P114" s="93">
        <f t="shared" si="5"/>
        <v>135</v>
      </c>
      <c r="Q114" s="97">
        <v>100.0</v>
      </c>
      <c r="R114" s="93">
        <f t="shared" si="6"/>
        <v>147113</v>
      </c>
      <c r="S114" s="92"/>
    </row>
    <row r="115" ht="15.0" customHeight="1">
      <c r="A115" s="92"/>
      <c r="B115" s="93" t="s">
        <v>1524</v>
      </c>
      <c r="C115" s="93">
        <f>O58</f>
        <v>2</v>
      </c>
      <c r="D115" s="93">
        <f t="shared" si="1"/>
        <v>1241</v>
      </c>
      <c r="E115" s="93">
        <f>Q58</f>
        <v>2190</v>
      </c>
      <c r="F115" s="93">
        <f t="shared" si="2"/>
        <v>254079</v>
      </c>
      <c r="G115" s="92"/>
      <c r="H115" s="97" t="s">
        <v>1637</v>
      </c>
      <c r="I115" s="97">
        <f>15+0+0</f>
        <v>15</v>
      </c>
      <c r="J115" s="93">
        <f t="shared" si="3"/>
        <v>2466</v>
      </c>
      <c r="K115" s="97">
        <v>5599.0</v>
      </c>
      <c r="L115" s="93">
        <f t="shared" si="4"/>
        <v>526455</v>
      </c>
      <c r="M115" s="92"/>
      <c r="N115" s="97" t="s">
        <v>1638</v>
      </c>
      <c r="O115" s="97">
        <v>0.0</v>
      </c>
      <c r="P115" s="93">
        <f t="shared" si="5"/>
        <v>135</v>
      </c>
      <c r="Q115" s="97">
        <v>0.0</v>
      </c>
      <c r="R115" s="93">
        <f t="shared" si="6"/>
        <v>147113</v>
      </c>
      <c r="S115" s="92"/>
    </row>
    <row r="116" ht="15.0" customHeight="1">
      <c r="A116" s="92"/>
      <c r="B116" s="93" t="s">
        <v>1525</v>
      </c>
      <c r="C116" s="93">
        <f>I59</f>
        <v>34</v>
      </c>
      <c r="D116" s="93">
        <f t="shared" si="1"/>
        <v>1275</v>
      </c>
      <c r="E116" s="93">
        <f>K59</f>
        <v>9557</v>
      </c>
      <c r="F116" s="93">
        <f t="shared" si="2"/>
        <v>263636</v>
      </c>
      <c r="G116" s="92"/>
      <c r="H116" s="97" t="s">
        <v>1639</v>
      </c>
      <c r="I116" s="97">
        <f>20+10</f>
        <v>30</v>
      </c>
      <c r="J116" s="93">
        <f t="shared" si="3"/>
        <v>2496</v>
      </c>
      <c r="K116" s="97">
        <v>8664.0</v>
      </c>
      <c r="L116" s="93">
        <f t="shared" si="4"/>
        <v>535119</v>
      </c>
      <c r="M116" s="92"/>
      <c r="N116" s="97" t="s">
        <v>1640</v>
      </c>
      <c r="O116" s="97">
        <v>1.0</v>
      </c>
      <c r="P116" s="93">
        <f t="shared" si="5"/>
        <v>136</v>
      </c>
      <c r="Q116" s="97">
        <v>236.0</v>
      </c>
      <c r="R116" s="93">
        <f t="shared" si="6"/>
        <v>147349</v>
      </c>
      <c r="S116" s="92"/>
    </row>
    <row r="117" ht="15.0" customHeight="1">
      <c r="A117" s="92"/>
      <c r="B117" s="93" t="s">
        <v>1526</v>
      </c>
      <c r="C117" s="93">
        <f>O59</f>
        <v>3</v>
      </c>
      <c r="D117" s="93">
        <f t="shared" si="1"/>
        <v>1278</v>
      </c>
      <c r="E117" s="93">
        <f>Q59</f>
        <v>4445</v>
      </c>
      <c r="F117" s="93">
        <f t="shared" si="2"/>
        <v>268081</v>
      </c>
      <c r="G117" s="92"/>
      <c r="H117" s="97" t="s">
        <v>1641</v>
      </c>
      <c r="I117" s="97">
        <f>20+7</f>
        <v>27</v>
      </c>
      <c r="J117" s="93">
        <f t="shared" si="3"/>
        <v>2523</v>
      </c>
      <c r="K117" s="97">
        <v>5210.0</v>
      </c>
      <c r="L117" s="93">
        <f t="shared" si="4"/>
        <v>540329</v>
      </c>
      <c r="M117" s="92"/>
      <c r="N117" s="97" t="s">
        <v>1642</v>
      </c>
      <c r="O117" s="97">
        <v>1.0</v>
      </c>
      <c r="P117" s="93">
        <f t="shared" si="5"/>
        <v>137</v>
      </c>
      <c r="Q117" s="97">
        <v>1211.0</v>
      </c>
      <c r="R117" s="93">
        <f t="shared" si="6"/>
        <v>148560</v>
      </c>
      <c r="S117" s="92"/>
    </row>
    <row r="118" ht="15.0" customHeight="1">
      <c r="A118" s="92"/>
      <c r="B118" s="93" t="s">
        <v>1527</v>
      </c>
      <c r="C118" s="93">
        <f>I60</f>
        <v>24</v>
      </c>
      <c r="D118" s="93">
        <f t="shared" si="1"/>
        <v>1302</v>
      </c>
      <c r="E118" s="93">
        <f>K60</f>
        <v>5972</v>
      </c>
      <c r="F118" s="93">
        <f t="shared" si="2"/>
        <v>274053</v>
      </c>
      <c r="G118" s="92"/>
      <c r="H118" s="97" t="s">
        <v>1643</v>
      </c>
      <c r="I118" s="97">
        <f>20+15</f>
        <v>35</v>
      </c>
      <c r="J118" s="93">
        <f t="shared" si="3"/>
        <v>2558</v>
      </c>
      <c r="K118" s="97">
        <v>8912.0</v>
      </c>
      <c r="L118" s="93">
        <f t="shared" si="4"/>
        <v>549241</v>
      </c>
      <c r="M118" s="92"/>
      <c r="N118" s="97" t="s">
        <v>1644</v>
      </c>
      <c r="O118" s="97">
        <v>2.0</v>
      </c>
      <c r="P118" s="93">
        <f t="shared" si="5"/>
        <v>139</v>
      </c>
      <c r="Q118" s="97">
        <v>347.0</v>
      </c>
      <c r="R118" s="93">
        <f t="shared" si="6"/>
        <v>148907</v>
      </c>
      <c r="S118" s="92"/>
    </row>
    <row r="119" ht="15.0" customHeight="1">
      <c r="A119" s="92"/>
      <c r="B119" s="93" t="s">
        <v>1528</v>
      </c>
      <c r="C119" s="93">
        <f>O60</f>
        <v>4</v>
      </c>
      <c r="D119" s="93">
        <f t="shared" si="1"/>
        <v>1306</v>
      </c>
      <c r="E119" s="93">
        <f>Q60</f>
        <v>5555</v>
      </c>
      <c r="F119" s="93">
        <f t="shared" si="2"/>
        <v>279608</v>
      </c>
      <c r="G119" s="92"/>
      <c r="H119" s="97" t="s">
        <v>1645</v>
      </c>
      <c r="I119" s="97">
        <f t="shared" ref="I119:I120" si="11">20+8</f>
        <v>28</v>
      </c>
      <c r="J119" s="93">
        <f t="shared" si="3"/>
        <v>2586</v>
      </c>
      <c r="K119" s="97">
        <v>6030.0</v>
      </c>
      <c r="L119" s="93">
        <f t="shared" si="4"/>
        <v>555271</v>
      </c>
      <c r="M119" s="92"/>
      <c r="N119" s="97" t="s">
        <v>1646</v>
      </c>
      <c r="O119" s="97">
        <v>2.0</v>
      </c>
      <c r="P119" s="93">
        <f t="shared" si="5"/>
        <v>141</v>
      </c>
      <c r="Q119" s="97">
        <v>1263.0</v>
      </c>
      <c r="R119" s="93">
        <f t="shared" si="6"/>
        <v>150170</v>
      </c>
      <c r="S119" s="92"/>
    </row>
    <row r="120" ht="15.0" customHeight="1">
      <c r="A120" s="92"/>
      <c r="B120" s="93" t="s">
        <v>1529</v>
      </c>
      <c r="C120" s="93">
        <f>I61</f>
        <v>26</v>
      </c>
      <c r="D120" s="93">
        <f t="shared" si="1"/>
        <v>1332</v>
      </c>
      <c r="E120" s="93">
        <f>K61</f>
        <v>9801</v>
      </c>
      <c r="F120" s="93">
        <f t="shared" si="2"/>
        <v>289409</v>
      </c>
      <c r="G120" s="92"/>
      <c r="H120" s="97" t="s">
        <v>1647</v>
      </c>
      <c r="I120" s="97">
        <f t="shared" si="11"/>
        <v>28</v>
      </c>
      <c r="J120" s="93">
        <f t="shared" si="3"/>
        <v>2614</v>
      </c>
      <c r="K120" s="97">
        <v>5768.0</v>
      </c>
      <c r="L120" s="93">
        <f t="shared" si="4"/>
        <v>561039</v>
      </c>
      <c r="M120" s="92"/>
      <c r="N120" s="97" t="s">
        <v>1648</v>
      </c>
      <c r="O120" s="97">
        <v>1.0</v>
      </c>
      <c r="P120" s="93">
        <f t="shared" si="5"/>
        <v>142</v>
      </c>
      <c r="Q120" s="97">
        <v>66.0</v>
      </c>
      <c r="R120" s="93">
        <f t="shared" si="6"/>
        <v>150236</v>
      </c>
      <c r="S120" s="92"/>
    </row>
    <row r="121" ht="15.0" customHeight="1">
      <c r="A121" s="92"/>
      <c r="B121" s="93" t="s">
        <v>1530</v>
      </c>
      <c r="C121" s="93">
        <f>O61</f>
        <v>2</v>
      </c>
      <c r="D121" s="93">
        <f t="shared" si="1"/>
        <v>1334</v>
      </c>
      <c r="E121" s="93">
        <f>Q61</f>
        <v>1423</v>
      </c>
      <c r="F121" s="93">
        <f t="shared" si="2"/>
        <v>290832</v>
      </c>
      <c r="G121" s="92"/>
      <c r="H121" s="97" t="s">
        <v>1649</v>
      </c>
      <c r="I121" s="97">
        <f>20+5</f>
        <v>25</v>
      </c>
      <c r="J121" s="93">
        <f t="shared" si="3"/>
        <v>2639</v>
      </c>
      <c r="K121" s="97">
        <v>5152.0</v>
      </c>
      <c r="L121" s="93">
        <f t="shared" si="4"/>
        <v>566191</v>
      </c>
      <c r="M121" s="92"/>
      <c r="N121" s="97" t="s">
        <v>1650</v>
      </c>
      <c r="O121" s="97">
        <v>0.0</v>
      </c>
      <c r="P121" s="93">
        <f t="shared" si="5"/>
        <v>142</v>
      </c>
      <c r="Q121" s="97">
        <v>0.0</v>
      </c>
      <c r="R121" s="93">
        <f t="shared" si="6"/>
        <v>150236</v>
      </c>
      <c r="S121" s="92"/>
    </row>
    <row r="122" ht="15.0" customHeight="1">
      <c r="A122" s="92"/>
      <c r="B122" s="93" t="s">
        <v>1531</v>
      </c>
      <c r="C122" s="93">
        <f>I62</f>
        <v>28</v>
      </c>
      <c r="D122" s="93">
        <f t="shared" si="1"/>
        <v>1362</v>
      </c>
      <c r="E122" s="93">
        <f>K62</f>
        <v>8409</v>
      </c>
      <c r="F122" s="93">
        <f t="shared" si="2"/>
        <v>299241</v>
      </c>
      <c r="G122" s="92"/>
      <c r="H122" s="97" t="s">
        <v>1651</v>
      </c>
      <c r="I122" s="97">
        <f>22+5</f>
        <v>27</v>
      </c>
      <c r="J122" s="93">
        <f t="shared" si="3"/>
        <v>2666</v>
      </c>
      <c r="K122" s="97">
        <v>9986.0</v>
      </c>
      <c r="L122" s="93">
        <f t="shared" si="4"/>
        <v>576177</v>
      </c>
      <c r="M122" s="92"/>
      <c r="N122" s="97" t="s">
        <v>1652</v>
      </c>
      <c r="O122" s="97">
        <v>1.0</v>
      </c>
      <c r="P122" s="93">
        <f t="shared" si="5"/>
        <v>143</v>
      </c>
      <c r="Q122" s="97">
        <v>138.0</v>
      </c>
      <c r="R122" s="93">
        <f t="shared" si="6"/>
        <v>150374</v>
      </c>
      <c r="S122" s="92"/>
    </row>
    <row r="123" ht="15.0" customHeight="1">
      <c r="A123" s="92"/>
      <c r="B123" s="93" t="s">
        <v>1532</v>
      </c>
      <c r="C123" s="93">
        <f>O62</f>
        <v>3</v>
      </c>
      <c r="D123" s="93">
        <f t="shared" si="1"/>
        <v>1365</v>
      </c>
      <c r="E123" s="93">
        <f>Q62</f>
        <v>12138</v>
      </c>
      <c r="F123" s="93">
        <f t="shared" si="2"/>
        <v>311379</v>
      </c>
      <c r="G123" s="92"/>
      <c r="H123" s="97" t="s">
        <v>1653</v>
      </c>
      <c r="I123" s="97">
        <f>20+15</f>
        <v>35</v>
      </c>
      <c r="J123" s="93">
        <f t="shared" si="3"/>
        <v>2701</v>
      </c>
      <c r="K123" s="98"/>
      <c r="L123" s="93">
        <f t="shared" si="4"/>
        <v>576177</v>
      </c>
      <c r="M123" s="92"/>
      <c r="N123" s="97" t="s">
        <v>1654</v>
      </c>
      <c r="O123" s="97">
        <v>0.0</v>
      </c>
      <c r="P123" s="93">
        <f t="shared" si="5"/>
        <v>143</v>
      </c>
      <c r="Q123" s="97">
        <v>0.0</v>
      </c>
      <c r="R123" s="93">
        <f t="shared" si="6"/>
        <v>150374</v>
      </c>
      <c r="S123" s="92"/>
    </row>
    <row r="124" ht="15.0" customHeight="1">
      <c r="A124" s="92"/>
      <c r="B124" s="93" t="s">
        <v>1533</v>
      </c>
      <c r="C124" s="93">
        <f>I63</f>
        <v>21</v>
      </c>
      <c r="D124" s="93">
        <f t="shared" si="1"/>
        <v>1386</v>
      </c>
      <c r="E124" s="93">
        <f>K63</f>
        <v>6645</v>
      </c>
      <c r="F124" s="93">
        <f t="shared" si="2"/>
        <v>318024</v>
      </c>
      <c r="G124" s="92"/>
      <c r="H124" s="97" t="s">
        <v>1655</v>
      </c>
      <c r="I124" s="97">
        <f>20+10</f>
        <v>30</v>
      </c>
      <c r="J124" s="93">
        <f t="shared" si="3"/>
        <v>2731</v>
      </c>
      <c r="K124" s="98"/>
      <c r="L124" s="93">
        <f t="shared" si="4"/>
        <v>576177</v>
      </c>
      <c r="M124" s="92"/>
      <c r="N124" s="97" t="s">
        <v>1656</v>
      </c>
      <c r="O124" s="97">
        <v>2.0</v>
      </c>
      <c r="P124" s="93">
        <f t="shared" si="5"/>
        <v>145</v>
      </c>
      <c r="Q124" s="97">
        <v>362.0</v>
      </c>
      <c r="R124" s="93">
        <f t="shared" si="6"/>
        <v>150736</v>
      </c>
      <c r="S124" s="92"/>
    </row>
    <row r="125" ht="15.0" customHeight="1">
      <c r="A125" s="92"/>
      <c r="B125" s="93" t="s">
        <v>1534</v>
      </c>
      <c r="C125" s="93">
        <f>O63</f>
        <v>2</v>
      </c>
      <c r="D125" s="93">
        <f t="shared" si="1"/>
        <v>1388</v>
      </c>
      <c r="E125" s="93">
        <f>Q63</f>
        <v>2488</v>
      </c>
      <c r="F125" s="93">
        <f t="shared" si="2"/>
        <v>320512</v>
      </c>
      <c r="G125" s="92"/>
      <c r="H125" s="97" t="s">
        <v>1657</v>
      </c>
      <c r="I125" s="97">
        <f>20+20+2</f>
        <v>42</v>
      </c>
      <c r="J125" s="93">
        <f t="shared" si="3"/>
        <v>2773</v>
      </c>
      <c r="K125" s="98"/>
      <c r="L125" s="93">
        <f t="shared" si="4"/>
        <v>576177</v>
      </c>
      <c r="M125" s="92"/>
      <c r="N125" s="97" t="s">
        <v>1658</v>
      </c>
      <c r="O125" s="97">
        <v>2.0</v>
      </c>
      <c r="P125" s="93">
        <f t="shared" si="5"/>
        <v>147</v>
      </c>
      <c r="Q125" s="97">
        <v>179.0</v>
      </c>
      <c r="R125" s="93">
        <f t="shared" si="6"/>
        <v>150915</v>
      </c>
      <c r="S125" s="92"/>
    </row>
    <row r="126" ht="15.0" customHeight="1">
      <c r="A126" s="92"/>
      <c r="B126" s="93" t="s">
        <v>1535</v>
      </c>
      <c r="C126" s="93">
        <f>I64</f>
        <v>16</v>
      </c>
      <c r="D126" s="93">
        <f t="shared" si="1"/>
        <v>1404</v>
      </c>
      <c r="E126" s="93">
        <f>K64</f>
        <v>6900</v>
      </c>
      <c r="F126" s="93">
        <f t="shared" si="2"/>
        <v>327412</v>
      </c>
      <c r="G126" s="92"/>
      <c r="H126" s="97" t="s">
        <v>1659</v>
      </c>
      <c r="I126" s="97">
        <f>20+18</f>
        <v>38</v>
      </c>
      <c r="J126" s="93">
        <f t="shared" si="3"/>
        <v>2811</v>
      </c>
      <c r="K126" s="98"/>
      <c r="L126" s="93">
        <f t="shared" si="4"/>
        <v>576177</v>
      </c>
      <c r="M126" s="92"/>
      <c r="N126" s="97" t="s">
        <v>1660</v>
      </c>
      <c r="O126" s="97">
        <v>0.0</v>
      </c>
      <c r="P126" s="93">
        <f t="shared" si="5"/>
        <v>147</v>
      </c>
      <c r="Q126" s="97">
        <v>0.0</v>
      </c>
      <c r="R126" s="93">
        <f t="shared" si="6"/>
        <v>150915</v>
      </c>
      <c r="S126" s="92"/>
    </row>
    <row r="127" ht="15.0" customHeight="1">
      <c r="A127" s="92"/>
      <c r="B127" s="93" t="s">
        <v>1536</v>
      </c>
      <c r="C127" s="93">
        <f>O64</f>
        <v>0</v>
      </c>
      <c r="D127" s="93">
        <f t="shared" si="1"/>
        <v>1404</v>
      </c>
      <c r="E127" s="93">
        <f>Q64</f>
        <v>0</v>
      </c>
      <c r="F127" s="93">
        <f t="shared" si="2"/>
        <v>327412</v>
      </c>
      <c r="G127" s="92"/>
      <c r="H127" s="97" t="s">
        <v>1661</v>
      </c>
      <c r="I127" s="97">
        <f>19+20+4</f>
        <v>43</v>
      </c>
      <c r="J127" s="93">
        <f t="shared" si="3"/>
        <v>2854</v>
      </c>
      <c r="K127" s="98"/>
      <c r="L127" s="93">
        <f t="shared" si="4"/>
        <v>576177</v>
      </c>
      <c r="M127" s="92"/>
      <c r="N127" s="97" t="s">
        <v>1662</v>
      </c>
      <c r="O127" s="97">
        <v>0.0</v>
      </c>
      <c r="P127" s="93">
        <f t="shared" si="5"/>
        <v>147</v>
      </c>
      <c r="Q127" s="97">
        <v>0.0</v>
      </c>
      <c r="R127" s="93">
        <f t="shared" si="6"/>
        <v>150915</v>
      </c>
      <c r="S127" s="92"/>
    </row>
    <row r="128" ht="15.0" customHeight="1">
      <c r="A128" s="92"/>
      <c r="B128" s="93" t="s">
        <v>1537</v>
      </c>
      <c r="C128" s="93">
        <f>I65</f>
        <v>22</v>
      </c>
      <c r="D128" s="93">
        <f t="shared" si="1"/>
        <v>1426</v>
      </c>
      <c r="E128" s="93">
        <f>K65</f>
        <v>6243</v>
      </c>
      <c r="F128" s="93">
        <f t="shared" si="2"/>
        <v>333655</v>
      </c>
      <c r="G128" s="92"/>
      <c r="H128" s="97" t="s">
        <v>1663</v>
      </c>
      <c r="I128" s="97">
        <f>20+16</f>
        <v>36</v>
      </c>
      <c r="J128" s="93">
        <f t="shared" si="3"/>
        <v>2890</v>
      </c>
      <c r="K128" s="98"/>
      <c r="L128" s="93">
        <f t="shared" si="4"/>
        <v>576177</v>
      </c>
      <c r="M128" s="92"/>
      <c r="N128" s="97" t="s">
        <v>1664</v>
      </c>
      <c r="O128" s="97">
        <v>1.0</v>
      </c>
      <c r="P128" s="93">
        <f t="shared" si="5"/>
        <v>148</v>
      </c>
      <c r="Q128" s="97">
        <v>68.0</v>
      </c>
      <c r="R128" s="93">
        <f t="shared" si="6"/>
        <v>150983</v>
      </c>
      <c r="S128" s="92"/>
    </row>
    <row r="129" ht="15.0" customHeight="1">
      <c r="A129" s="92"/>
      <c r="B129" s="93" t="s">
        <v>1538</v>
      </c>
      <c r="C129" s="93">
        <f>O65</f>
        <v>2</v>
      </c>
      <c r="D129" s="93">
        <f t="shared" si="1"/>
        <v>1428</v>
      </c>
      <c r="E129" s="93">
        <f>Q65</f>
        <v>3911</v>
      </c>
      <c r="F129" s="93">
        <f t="shared" si="2"/>
        <v>337566</v>
      </c>
      <c r="G129" s="92"/>
      <c r="H129" s="97" t="s">
        <v>1665</v>
      </c>
      <c r="I129" s="97">
        <f>15+0+0</f>
        <v>15</v>
      </c>
      <c r="J129" s="93">
        <f t="shared" si="3"/>
        <v>2905</v>
      </c>
      <c r="K129" s="98"/>
      <c r="L129" s="93">
        <f t="shared" si="4"/>
        <v>576177</v>
      </c>
      <c r="M129" s="92"/>
      <c r="N129" s="97" t="s">
        <v>1666</v>
      </c>
      <c r="O129" s="97">
        <v>0.0</v>
      </c>
      <c r="P129" s="93">
        <f t="shared" si="5"/>
        <v>148</v>
      </c>
      <c r="Q129" s="97">
        <v>0.0</v>
      </c>
      <c r="R129" s="93">
        <f t="shared" si="6"/>
        <v>150983</v>
      </c>
      <c r="S129" s="92"/>
    </row>
    <row r="130" ht="15.0" customHeight="1">
      <c r="A130" s="92"/>
      <c r="B130" s="93" t="s">
        <v>1539</v>
      </c>
      <c r="C130" s="93">
        <f>I66</f>
        <v>17</v>
      </c>
      <c r="D130" s="93">
        <f t="shared" si="1"/>
        <v>1445</v>
      </c>
      <c r="E130" s="93">
        <f>K66</f>
        <v>5101</v>
      </c>
      <c r="F130" s="93">
        <f t="shared" si="2"/>
        <v>342667</v>
      </c>
      <c r="G130" s="92"/>
      <c r="H130" s="97" t="s">
        <v>1667</v>
      </c>
      <c r="I130" s="97">
        <f>20+12</f>
        <v>32</v>
      </c>
      <c r="J130" s="93">
        <f t="shared" si="3"/>
        <v>2937</v>
      </c>
      <c r="K130" s="98"/>
      <c r="L130" s="93">
        <f t="shared" si="4"/>
        <v>576177</v>
      </c>
      <c r="M130" s="92"/>
      <c r="N130" s="97" t="s">
        <v>1668</v>
      </c>
      <c r="O130" s="97">
        <v>1.0</v>
      </c>
      <c r="P130" s="93">
        <f t="shared" si="5"/>
        <v>149</v>
      </c>
      <c r="Q130" s="97">
        <v>80.0</v>
      </c>
      <c r="R130" s="93">
        <f t="shared" si="6"/>
        <v>151063</v>
      </c>
      <c r="S130" s="92"/>
    </row>
    <row r="131" ht="15.0" customHeight="1">
      <c r="A131" s="92"/>
      <c r="B131" s="93" t="s">
        <v>1540</v>
      </c>
      <c r="C131" s="93">
        <f>O66</f>
        <v>0</v>
      </c>
      <c r="D131" s="93">
        <f t="shared" si="1"/>
        <v>1445</v>
      </c>
      <c r="E131" s="93">
        <f>Q66</f>
        <v>0</v>
      </c>
      <c r="F131" s="93">
        <f t="shared" si="2"/>
        <v>342667</v>
      </c>
      <c r="G131" s="92"/>
      <c r="H131" s="97" t="s">
        <v>1669</v>
      </c>
      <c r="I131" s="97">
        <f>20+17</f>
        <v>37</v>
      </c>
      <c r="J131" s="93">
        <f t="shared" si="3"/>
        <v>2974</v>
      </c>
      <c r="K131" s="98"/>
      <c r="L131" s="93">
        <f t="shared" si="4"/>
        <v>576177</v>
      </c>
      <c r="M131" s="92"/>
      <c r="N131" s="97" t="s">
        <v>1670</v>
      </c>
      <c r="O131" s="97">
        <v>0.0</v>
      </c>
      <c r="P131" s="93">
        <f t="shared" si="5"/>
        <v>149</v>
      </c>
      <c r="Q131" s="97">
        <v>0.0</v>
      </c>
      <c r="R131" s="93">
        <f t="shared" si="6"/>
        <v>151063</v>
      </c>
      <c r="S131" s="92"/>
    </row>
    <row r="132" ht="15.0" customHeight="1">
      <c r="A132" s="92"/>
      <c r="B132" s="93" t="s">
        <v>1541</v>
      </c>
      <c r="C132" s="93">
        <f>I67</f>
        <v>19</v>
      </c>
      <c r="D132" s="93">
        <f t="shared" si="1"/>
        <v>1464</v>
      </c>
      <c r="E132" s="93">
        <f>K67</f>
        <v>5924</v>
      </c>
      <c r="F132" s="93">
        <f t="shared" si="2"/>
        <v>348591</v>
      </c>
      <c r="G132" s="92"/>
      <c r="H132" s="97" t="s">
        <v>1671</v>
      </c>
      <c r="I132" s="97">
        <f>20+10</f>
        <v>30</v>
      </c>
      <c r="J132" s="93">
        <f t="shared" si="3"/>
        <v>3004</v>
      </c>
      <c r="K132" s="98"/>
      <c r="L132" s="93">
        <f t="shared" si="4"/>
        <v>576177</v>
      </c>
      <c r="M132" s="92"/>
      <c r="N132" s="97" t="s">
        <v>1672</v>
      </c>
      <c r="O132" s="97">
        <v>2.0</v>
      </c>
      <c r="P132" s="93">
        <f t="shared" si="5"/>
        <v>151</v>
      </c>
      <c r="Q132" s="97">
        <v>331.0</v>
      </c>
      <c r="R132" s="93">
        <f t="shared" si="6"/>
        <v>151394</v>
      </c>
      <c r="S132" s="92"/>
    </row>
    <row r="133" ht="15.0" customHeight="1">
      <c r="A133" s="92"/>
      <c r="B133" s="93" t="s">
        <v>1542</v>
      </c>
      <c r="C133" s="93">
        <f>O67</f>
        <v>1</v>
      </c>
      <c r="D133" s="93">
        <f t="shared" si="1"/>
        <v>1465</v>
      </c>
      <c r="E133" s="93">
        <f>Q67</f>
        <v>6054</v>
      </c>
      <c r="F133" s="93">
        <f t="shared" si="2"/>
        <v>354645</v>
      </c>
      <c r="G133" s="92"/>
      <c r="H133" s="97" t="s">
        <v>1673</v>
      </c>
      <c r="I133" s="97">
        <f>18+1</f>
        <v>19</v>
      </c>
      <c r="J133" s="93">
        <f t="shared" si="3"/>
        <v>3023</v>
      </c>
      <c r="K133" s="98"/>
      <c r="L133" s="93">
        <f t="shared" si="4"/>
        <v>576177</v>
      </c>
      <c r="M133" s="92"/>
      <c r="N133" s="97" t="s">
        <v>1674</v>
      </c>
      <c r="O133" s="97">
        <v>1.0</v>
      </c>
      <c r="P133" s="93">
        <f t="shared" si="5"/>
        <v>152</v>
      </c>
      <c r="Q133" s="97">
        <v>96.0</v>
      </c>
      <c r="R133" s="93">
        <f t="shared" si="6"/>
        <v>151490</v>
      </c>
      <c r="S133" s="92"/>
    </row>
    <row r="134" ht="15.0" customHeight="1">
      <c r="A134" s="92"/>
      <c r="B134" s="93" t="s">
        <v>1543</v>
      </c>
      <c r="C134" s="93">
        <f>I68</f>
        <v>15</v>
      </c>
      <c r="D134" s="93">
        <f t="shared" si="1"/>
        <v>1480</v>
      </c>
      <c r="E134" s="93">
        <f>K68</f>
        <v>4430</v>
      </c>
      <c r="F134" s="93">
        <f t="shared" si="2"/>
        <v>359075</v>
      </c>
      <c r="G134" s="92"/>
      <c r="H134" s="97" t="s">
        <v>1675</v>
      </c>
      <c r="I134" s="97">
        <f>20+13</f>
        <v>33</v>
      </c>
      <c r="J134" s="93">
        <f t="shared" si="3"/>
        <v>3056</v>
      </c>
      <c r="K134" s="98"/>
      <c r="L134" s="93">
        <f t="shared" si="4"/>
        <v>576177</v>
      </c>
      <c r="M134" s="92"/>
      <c r="N134" s="97" t="s">
        <v>1676</v>
      </c>
      <c r="O134" s="97">
        <v>0.0</v>
      </c>
      <c r="P134" s="93">
        <f t="shared" si="5"/>
        <v>152</v>
      </c>
      <c r="Q134" s="97">
        <v>0.0</v>
      </c>
      <c r="R134" s="93">
        <f t="shared" si="6"/>
        <v>151490</v>
      </c>
      <c r="S134" s="92"/>
    </row>
    <row r="135" ht="15.0" customHeight="1">
      <c r="A135" s="92"/>
      <c r="B135" s="93" t="s">
        <v>1544</v>
      </c>
      <c r="C135" s="93">
        <f>O68</f>
        <v>0</v>
      </c>
      <c r="D135" s="93">
        <f t="shared" si="1"/>
        <v>1480</v>
      </c>
      <c r="E135" s="93">
        <f>Q68</f>
        <v>0</v>
      </c>
      <c r="F135" s="93">
        <f t="shared" si="2"/>
        <v>359075</v>
      </c>
      <c r="G135" s="92"/>
      <c r="H135" s="97" t="s">
        <v>1677</v>
      </c>
      <c r="I135" s="97">
        <f>20+14</f>
        <v>34</v>
      </c>
      <c r="J135" s="93">
        <f t="shared" si="3"/>
        <v>3090</v>
      </c>
      <c r="K135" s="98"/>
      <c r="L135" s="93">
        <f t="shared" si="4"/>
        <v>576177</v>
      </c>
      <c r="M135" s="92"/>
      <c r="N135" s="97" t="s">
        <v>1678</v>
      </c>
      <c r="O135" s="97">
        <v>1.0</v>
      </c>
      <c r="P135" s="93">
        <f t="shared" si="5"/>
        <v>153</v>
      </c>
      <c r="Q135" s="97">
        <v>71.0</v>
      </c>
      <c r="R135" s="93">
        <f t="shared" si="6"/>
        <v>151561</v>
      </c>
      <c r="S135" s="92"/>
    </row>
    <row r="136" ht="15.0" customHeight="1">
      <c r="A136" s="92"/>
      <c r="B136" s="93" t="s">
        <v>1545</v>
      </c>
      <c r="C136" s="93">
        <f>I69</f>
        <v>23</v>
      </c>
      <c r="D136" s="93">
        <f t="shared" si="1"/>
        <v>1503</v>
      </c>
      <c r="E136" s="93">
        <f>K69</f>
        <v>7533</v>
      </c>
      <c r="F136" s="93">
        <f t="shared" si="2"/>
        <v>366608</v>
      </c>
      <c r="G136" s="92"/>
      <c r="H136" s="97" t="s">
        <v>1679</v>
      </c>
      <c r="I136" s="97">
        <f>6+0</f>
        <v>6</v>
      </c>
      <c r="J136" s="93">
        <f t="shared" si="3"/>
        <v>3096</v>
      </c>
      <c r="K136" s="98"/>
      <c r="L136" s="93">
        <f t="shared" si="4"/>
        <v>576177</v>
      </c>
      <c r="M136" s="92"/>
      <c r="N136" s="97" t="s">
        <v>1680</v>
      </c>
      <c r="O136" s="97">
        <v>0.0</v>
      </c>
      <c r="P136" s="93">
        <f t="shared" si="5"/>
        <v>153</v>
      </c>
      <c r="Q136" s="97">
        <v>0.0</v>
      </c>
      <c r="R136" s="93">
        <f t="shared" si="6"/>
        <v>151561</v>
      </c>
      <c r="S136" s="92"/>
    </row>
    <row r="137" ht="15.0" customHeight="1">
      <c r="A137" s="92"/>
      <c r="B137" s="93" t="s">
        <v>1546</v>
      </c>
      <c r="C137" s="93">
        <f>O69</f>
        <v>1</v>
      </c>
      <c r="D137" s="93">
        <f t="shared" si="1"/>
        <v>1504</v>
      </c>
      <c r="E137" s="93">
        <f>Q69</f>
        <v>1714</v>
      </c>
      <c r="F137" s="93">
        <f t="shared" si="2"/>
        <v>368322</v>
      </c>
      <c r="G137" s="92"/>
      <c r="H137" s="97" t="s">
        <v>1681</v>
      </c>
      <c r="I137" s="97">
        <f>20+9</f>
        <v>29</v>
      </c>
      <c r="J137" s="93">
        <f t="shared" si="3"/>
        <v>3125</v>
      </c>
      <c r="K137" s="98"/>
      <c r="L137" s="93">
        <f t="shared" si="4"/>
        <v>576177</v>
      </c>
      <c r="M137" s="92"/>
      <c r="N137" s="97" t="s">
        <v>1682</v>
      </c>
      <c r="O137" s="97">
        <v>0.0</v>
      </c>
      <c r="P137" s="93">
        <f t="shared" si="5"/>
        <v>153</v>
      </c>
      <c r="Q137" s="97">
        <v>0.0</v>
      </c>
      <c r="R137" s="93">
        <f t="shared" si="6"/>
        <v>151561</v>
      </c>
      <c r="S137" s="92"/>
    </row>
    <row r="138" ht="15.0" customHeight="1">
      <c r="A138" s="92"/>
      <c r="B138" s="93" t="s">
        <v>1547</v>
      </c>
      <c r="C138" s="93">
        <f>I70</f>
        <v>19</v>
      </c>
      <c r="D138" s="93">
        <f t="shared" si="1"/>
        <v>1523</v>
      </c>
      <c r="E138" s="93">
        <f>K70</f>
        <v>5049</v>
      </c>
      <c r="F138" s="93">
        <f t="shared" si="2"/>
        <v>373371</v>
      </c>
      <c r="G138" s="92"/>
      <c r="H138" s="97" t="s">
        <v>1683</v>
      </c>
      <c r="I138" s="97">
        <v>0.0</v>
      </c>
      <c r="J138" s="93">
        <f t="shared" si="3"/>
        <v>3125</v>
      </c>
      <c r="K138" s="97">
        <v>0.0</v>
      </c>
      <c r="L138" s="93">
        <f t="shared" si="4"/>
        <v>576177</v>
      </c>
      <c r="M138" s="92"/>
      <c r="N138" s="97" t="s">
        <v>1683</v>
      </c>
      <c r="O138" s="97">
        <v>0.0</v>
      </c>
      <c r="P138" s="93">
        <f t="shared" si="5"/>
        <v>153</v>
      </c>
      <c r="Q138" s="97">
        <v>0.0</v>
      </c>
      <c r="R138" s="93">
        <f t="shared" si="6"/>
        <v>151561</v>
      </c>
      <c r="S138" s="92"/>
    </row>
    <row r="139" ht="15.0" customHeight="1">
      <c r="A139" s="92"/>
      <c r="B139" s="93" t="s">
        <v>1548</v>
      </c>
      <c r="C139" s="93">
        <f>O70</f>
        <v>1</v>
      </c>
      <c r="D139" s="93">
        <f t="shared" si="1"/>
        <v>1524</v>
      </c>
      <c r="E139" s="93">
        <f>Q70</f>
        <v>2373</v>
      </c>
      <c r="F139" s="93">
        <f t="shared" si="2"/>
        <v>375744</v>
      </c>
      <c r="G139" s="92"/>
      <c r="H139" s="97" t="s">
        <v>1684</v>
      </c>
      <c r="I139" s="97">
        <f>20+1</f>
        <v>21</v>
      </c>
      <c r="J139" s="93">
        <f t="shared" si="3"/>
        <v>3146</v>
      </c>
      <c r="K139" s="98"/>
      <c r="L139" s="93">
        <f t="shared" si="4"/>
        <v>576177</v>
      </c>
      <c r="M139" s="92"/>
      <c r="N139" s="97" t="s">
        <v>1685</v>
      </c>
      <c r="O139" s="97">
        <v>1.0</v>
      </c>
      <c r="P139" s="93">
        <f t="shared" si="5"/>
        <v>154</v>
      </c>
      <c r="Q139" s="97">
        <v>509.0</v>
      </c>
      <c r="R139" s="93">
        <f t="shared" si="6"/>
        <v>152070</v>
      </c>
      <c r="S139" s="92"/>
    </row>
    <row r="140" ht="15.0" customHeight="1">
      <c r="A140" s="92"/>
      <c r="B140" s="93" t="s">
        <v>1549</v>
      </c>
      <c r="C140" s="93">
        <f>I71</f>
        <v>32</v>
      </c>
      <c r="D140" s="93">
        <f t="shared" si="1"/>
        <v>1556</v>
      </c>
      <c r="E140" s="93">
        <f>K71</f>
        <v>7298</v>
      </c>
      <c r="F140" s="93">
        <f t="shared" si="2"/>
        <v>383042</v>
      </c>
      <c r="G140" s="92"/>
      <c r="H140" s="97" t="s">
        <v>1686</v>
      </c>
      <c r="I140" s="97">
        <f>20+19+4</f>
        <v>43</v>
      </c>
      <c r="J140" s="93">
        <f t="shared" si="3"/>
        <v>3189</v>
      </c>
      <c r="K140" s="98"/>
      <c r="L140" s="93">
        <f t="shared" si="4"/>
        <v>576177</v>
      </c>
      <c r="M140" s="92"/>
      <c r="N140" s="97" t="s">
        <v>1687</v>
      </c>
      <c r="O140" s="97">
        <v>0.0</v>
      </c>
      <c r="P140" s="93">
        <f t="shared" si="5"/>
        <v>154</v>
      </c>
      <c r="Q140" s="97">
        <v>0.0</v>
      </c>
      <c r="R140" s="93">
        <f t="shared" si="6"/>
        <v>152070</v>
      </c>
      <c r="S140" s="92"/>
    </row>
    <row r="141" ht="15.0" customHeight="1">
      <c r="A141" s="92"/>
      <c r="B141" s="93" t="s">
        <v>1550</v>
      </c>
      <c r="C141" s="93">
        <f>O71</f>
        <v>3</v>
      </c>
      <c r="D141" s="93">
        <f t="shared" si="1"/>
        <v>1559</v>
      </c>
      <c r="E141" s="93">
        <f>Q71</f>
        <v>4723</v>
      </c>
      <c r="F141" s="93">
        <f t="shared" si="2"/>
        <v>387765</v>
      </c>
      <c r="G141" s="92"/>
      <c r="H141" s="97" t="s">
        <v>1688</v>
      </c>
      <c r="I141" s="97">
        <f>20+20+7</f>
        <v>47</v>
      </c>
      <c r="J141" s="93">
        <f t="shared" si="3"/>
        <v>3236</v>
      </c>
      <c r="K141" s="98"/>
      <c r="L141" s="93">
        <f t="shared" si="4"/>
        <v>576177</v>
      </c>
      <c r="M141" s="92"/>
      <c r="N141" s="97" t="s">
        <v>1689</v>
      </c>
      <c r="O141" s="97">
        <v>1.0</v>
      </c>
      <c r="P141" s="93">
        <f t="shared" si="5"/>
        <v>155</v>
      </c>
      <c r="Q141" s="97">
        <v>157.0</v>
      </c>
      <c r="R141" s="93">
        <f t="shared" si="6"/>
        <v>152227</v>
      </c>
      <c r="S141" s="92"/>
    </row>
    <row r="142" ht="15.0" customHeight="1">
      <c r="A142" s="92"/>
      <c r="B142" s="93" t="s">
        <v>1551</v>
      </c>
      <c r="C142" s="93">
        <f>I72</f>
        <v>26</v>
      </c>
      <c r="D142" s="93">
        <f t="shared" si="1"/>
        <v>1585</v>
      </c>
      <c r="E142" s="93">
        <f>K72</f>
        <v>11125</v>
      </c>
      <c r="F142" s="93">
        <f t="shared" si="2"/>
        <v>398890</v>
      </c>
      <c r="G142" s="92"/>
      <c r="H142" s="97" t="s">
        <v>1690</v>
      </c>
      <c r="I142" s="97">
        <f>21+20+0</f>
        <v>41</v>
      </c>
      <c r="J142" s="93">
        <f t="shared" si="3"/>
        <v>3277</v>
      </c>
      <c r="K142" s="98"/>
      <c r="L142" s="93">
        <f t="shared" si="4"/>
        <v>576177</v>
      </c>
      <c r="M142" s="92"/>
      <c r="N142" s="97" t="s">
        <v>1691</v>
      </c>
      <c r="O142" s="97">
        <v>0.0</v>
      </c>
      <c r="P142" s="93">
        <f t="shared" si="5"/>
        <v>155</v>
      </c>
      <c r="Q142" s="97">
        <v>0.0</v>
      </c>
      <c r="R142" s="93">
        <f t="shared" si="6"/>
        <v>152227</v>
      </c>
      <c r="S142" s="92"/>
    </row>
    <row r="143" ht="15.0" customHeight="1">
      <c r="A143" s="92"/>
      <c r="B143" s="93" t="s">
        <v>1552</v>
      </c>
      <c r="C143" s="93">
        <f>O72</f>
        <v>2</v>
      </c>
      <c r="D143" s="93">
        <f t="shared" si="1"/>
        <v>1587</v>
      </c>
      <c r="E143" s="93">
        <f>Q72</f>
        <v>3107</v>
      </c>
      <c r="F143" s="93">
        <f t="shared" si="2"/>
        <v>401997</v>
      </c>
      <c r="G143" s="92"/>
      <c r="H143" s="97" t="s">
        <v>1692</v>
      </c>
      <c r="I143" s="97">
        <f>20+6+0</f>
        <v>26</v>
      </c>
      <c r="J143" s="93">
        <f t="shared" si="3"/>
        <v>3303</v>
      </c>
      <c r="K143" s="98"/>
      <c r="L143" s="93">
        <f t="shared" si="4"/>
        <v>576177</v>
      </c>
      <c r="M143" s="92"/>
      <c r="N143" s="97" t="s">
        <v>1693</v>
      </c>
      <c r="O143" s="97">
        <v>0.0</v>
      </c>
      <c r="P143" s="93">
        <f t="shared" si="5"/>
        <v>155</v>
      </c>
      <c r="Q143" s="97">
        <v>0.0</v>
      </c>
      <c r="R143" s="93">
        <f t="shared" si="6"/>
        <v>152227</v>
      </c>
      <c r="S143" s="92"/>
    </row>
    <row r="144" ht="15.0" customHeight="1">
      <c r="A144" s="92"/>
      <c r="B144" s="93" t="s">
        <v>1553</v>
      </c>
      <c r="C144" s="93">
        <f>I73</f>
        <v>11</v>
      </c>
      <c r="D144" s="93">
        <f t="shared" si="1"/>
        <v>1598</v>
      </c>
      <c r="E144" s="93">
        <f>K73</f>
        <v>5033</v>
      </c>
      <c r="F144" s="93">
        <f t="shared" si="2"/>
        <v>407030</v>
      </c>
      <c r="G144" s="92"/>
      <c r="H144" s="97" t="s">
        <v>1694</v>
      </c>
      <c r="I144" s="97">
        <f>14+0+1</f>
        <v>15</v>
      </c>
      <c r="J144" s="93">
        <f t="shared" si="3"/>
        <v>3318</v>
      </c>
      <c r="K144" s="98"/>
      <c r="L144" s="93">
        <f t="shared" si="4"/>
        <v>576177</v>
      </c>
      <c r="M144" s="92"/>
      <c r="N144" s="97" t="s">
        <v>1695</v>
      </c>
      <c r="O144" s="97">
        <v>1.0</v>
      </c>
      <c r="P144" s="93">
        <f t="shared" si="5"/>
        <v>156</v>
      </c>
      <c r="Q144" s="97">
        <v>98.0</v>
      </c>
      <c r="R144" s="93">
        <f t="shared" si="6"/>
        <v>152325</v>
      </c>
      <c r="S144" s="92"/>
    </row>
    <row r="145" ht="15.0" customHeight="1">
      <c r="A145" s="92"/>
      <c r="B145" s="93" t="s">
        <v>1554</v>
      </c>
      <c r="C145" s="93">
        <f>O73</f>
        <v>1</v>
      </c>
      <c r="D145" s="93">
        <f t="shared" si="1"/>
        <v>1599</v>
      </c>
      <c r="E145" s="93">
        <f>Q73</f>
        <v>2268</v>
      </c>
      <c r="F145" s="93">
        <f t="shared" si="2"/>
        <v>409298</v>
      </c>
      <c r="G145" s="92"/>
      <c r="H145" s="97" t="s">
        <v>1696</v>
      </c>
      <c r="I145" s="97">
        <f>20+21+10</f>
        <v>51</v>
      </c>
      <c r="J145" s="93">
        <f t="shared" si="3"/>
        <v>3369</v>
      </c>
      <c r="K145" s="98"/>
      <c r="L145" s="93">
        <f t="shared" si="4"/>
        <v>576177</v>
      </c>
      <c r="M145" s="92"/>
      <c r="N145" s="97" t="s">
        <v>1697</v>
      </c>
      <c r="O145" s="97">
        <v>0.0</v>
      </c>
      <c r="P145" s="93">
        <f t="shared" si="5"/>
        <v>156</v>
      </c>
      <c r="Q145" s="97">
        <v>0.0</v>
      </c>
      <c r="R145" s="93">
        <f t="shared" si="6"/>
        <v>152325</v>
      </c>
      <c r="S145" s="92"/>
    </row>
    <row r="146" ht="15.0" customHeight="1">
      <c r="A146" s="92"/>
      <c r="B146" s="93" t="s">
        <v>1555</v>
      </c>
      <c r="C146" s="93">
        <f>I74</f>
        <v>14</v>
      </c>
      <c r="D146" s="93">
        <f t="shared" si="1"/>
        <v>1613</v>
      </c>
      <c r="E146" s="93">
        <f>K74</f>
        <v>5619</v>
      </c>
      <c r="F146" s="93">
        <f t="shared" si="2"/>
        <v>414917</v>
      </c>
      <c r="G146" s="92"/>
      <c r="H146" s="97" t="s">
        <v>1698</v>
      </c>
      <c r="I146" s="97">
        <f>20+20+4</f>
        <v>44</v>
      </c>
      <c r="J146" s="93">
        <f t="shared" si="3"/>
        <v>3413</v>
      </c>
      <c r="K146" s="98"/>
      <c r="L146" s="93">
        <f t="shared" si="4"/>
        <v>576177</v>
      </c>
      <c r="M146" s="92"/>
      <c r="N146" s="97" t="s">
        <v>1699</v>
      </c>
      <c r="O146" s="97">
        <v>1.0</v>
      </c>
      <c r="P146" s="93">
        <f t="shared" si="5"/>
        <v>157</v>
      </c>
      <c r="Q146" s="97">
        <v>69.0</v>
      </c>
      <c r="R146" s="93">
        <f t="shared" si="6"/>
        <v>152394</v>
      </c>
      <c r="S146" s="92"/>
    </row>
    <row r="147" ht="15.0" customHeight="1">
      <c r="A147" s="92"/>
      <c r="B147" s="93" t="s">
        <v>1556</v>
      </c>
      <c r="C147" s="93">
        <f>O74</f>
        <v>3</v>
      </c>
      <c r="D147" s="93">
        <f t="shared" si="1"/>
        <v>1616</v>
      </c>
      <c r="E147" s="93">
        <f>Q74</f>
        <v>5233</v>
      </c>
      <c r="F147" s="93">
        <f t="shared" si="2"/>
        <v>420150</v>
      </c>
      <c r="G147" s="92"/>
      <c r="H147" s="97" t="s">
        <v>1700</v>
      </c>
      <c r="I147" s="97">
        <f>20+10+1</f>
        <v>31</v>
      </c>
      <c r="J147" s="93">
        <f t="shared" si="3"/>
        <v>3444</v>
      </c>
      <c r="K147" s="98"/>
      <c r="L147" s="93">
        <f t="shared" si="4"/>
        <v>576177</v>
      </c>
      <c r="M147" s="92"/>
      <c r="N147" s="97" t="s">
        <v>1701</v>
      </c>
      <c r="O147" s="97">
        <v>1.0</v>
      </c>
      <c r="P147" s="93">
        <f t="shared" si="5"/>
        <v>158</v>
      </c>
      <c r="Q147" s="97">
        <v>71.0</v>
      </c>
      <c r="R147" s="93">
        <f t="shared" si="6"/>
        <v>152465</v>
      </c>
      <c r="S147" s="92"/>
    </row>
    <row r="148" ht="15.0" customHeight="1">
      <c r="A148" s="92"/>
      <c r="B148" s="93" t="s">
        <v>1557</v>
      </c>
      <c r="C148" s="93">
        <f>I75</f>
        <v>22</v>
      </c>
      <c r="D148" s="93">
        <f t="shared" si="1"/>
        <v>1638</v>
      </c>
      <c r="E148" s="93">
        <f>K75</f>
        <v>9021</v>
      </c>
      <c r="F148" s="93">
        <f t="shared" si="2"/>
        <v>429171</v>
      </c>
      <c r="G148" s="92"/>
      <c r="H148" s="97" t="s">
        <v>1702</v>
      </c>
      <c r="I148" s="97">
        <f>20+21+0</f>
        <v>41</v>
      </c>
      <c r="J148" s="93">
        <f t="shared" si="3"/>
        <v>3485</v>
      </c>
      <c r="K148" s="98"/>
      <c r="L148" s="93">
        <f t="shared" si="4"/>
        <v>576177</v>
      </c>
      <c r="M148" s="92"/>
      <c r="N148" s="97" t="s">
        <v>1703</v>
      </c>
      <c r="O148" s="97">
        <v>0.0</v>
      </c>
      <c r="P148" s="93">
        <f t="shared" si="5"/>
        <v>158</v>
      </c>
      <c r="Q148" s="97">
        <v>0.0</v>
      </c>
      <c r="R148" s="93">
        <f t="shared" si="6"/>
        <v>152465</v>
      </c>
      <c r="S148" s="92"/>
    </row>
    <row r="149" ht="15.0" customHeight="1">
      <c r="A149" s="92"/>
      <c r="B149" s="93" t="s">
        <v>1558</v>
      </c>
      <c r="C149" s="93">
        <f>O75</f>
        <v>1</v>
      </c>
      <c r="D149" s="93">
        <f t="shared" si="1"/>
        <v>1639</v>
      </c>
      <c r="E149" s="93">
        <f>Q75</f>
        <v>4747</v>
      </c>
      <c r="F149" s="93">
        <f t="shared" si="2"/>
        <v>433918</v>
      </c>
      <c r="G149" s="92"/>
      <c r="H149" s="97" t="s">
        <v>1704</v>
      </c>
      <c r="I149" s="97">
        <f>19+1</f>
        <v>20</v>
      </c>
      <c r="J149" s="93">
        <f t="shared" si="3"/>
        <v>3505</v>
      </c>
      <c r="K149" s="98"/>
      <c r="L149" s="93">
        <f t="shared" si="4"/>
        <v>576177</v>
      </c>
      <c r="M149" s="92"/>
      <c r="N149" s="97" t="s">
        <v>1705</v>
      </c>
      <c r="O149" s="97">
        <v>1.0</v>
      </c>
      <c r="P149" s="93">
        <f t="shared" si="5"/>
        <v>159</v>
      </c>
      <c r="Q149" s="97">
        <v>56.0</v>
      </c>
      <c r="R149" s="93">
        <f t="shared" si="6"/>
        <v>152521</v>
      </c>
      <c r="S149" s="92"/>
    </row>
    <row r="150" ht="15.0" customHeight="1">
      <c r="A150" s="92"/>
      <c r="B150" s="93" t="s">
        <v>1559</v>
      </c>
      <c r="C150" s="93">
        <f>I76</f>
        <v>28</v>
      </c>
      <c r="D150" s="93">
        <f t="shared" si="1"/>
        <v>1667</v>
      </c>
      <c r="E150" s="93">
        <f>K76</f>
        <v>6950</v>
      </c>
      <c r="F150" s="93">
        <f t="shared" si="2"/>
        <v>440868</v>
      </c>
      <c r="G150" s="92"/>
      <c r="H150" s="97" t="s">
        <v>1706</v>
      </c>
      <c r="I150" s="97">
        <f>20+20+0</f>
        <v>40</v>
      </c>
      <c r="J150" s="93">
        <f t="shared" si="3"/>
        <v>3545</v>
      </c>
      <c r="K150" s="98"/>
      <c r="L150" s="93">
        <f t="shared" si="4"/>
        <v>576177</v>
      </c>
      <c r="M150" s="92"/>
      <c r="N150" s="97" t="s">
        <v>1707</v>
      </c>
      <c r="O150" s="97">
        <v>1.0</v>
      </c>
      <c r="P150" s="93">
        <f t="shared" si="5"/>
        <v>160</v>
      </c>
      <c r="Q150" s="97">
        <v>159.0</v>
      </c>
      <c r="R150" s="93">
        <f t="shared" si="6"/>
        <v>152680</v>
      </c>
      <c r="S150" s="92"/>
    </row>
    <row r="151" ht="15.0" customHeight="1">
      <c r="A151" s="92"/>
      <c r="B151" s="93" t="s">
        <v>1560</v>
      </c>
      <c r="C151" s="93">
        <f>O76</f>
        <v>2</v>
      </c>
      <c r="D151" s="93">
        <f t="shared" si="1"/>
        <v>1669</v>
      </c>
      <c r="E151" s="93">
        <f>Q76</f>
        <v>289</v>
      </c>
      <c r="F151" s="93">
        <f t="shared" si="2"/>
        <v>441157</v>
      </c>
      <c r="G151" s="92"/>
      <c r="H151" s="97" t="s">
        <v>1708</v>
      </c>
      <c r="I151" s="97">
        <f>4+1</f>
        <v>5</v>
      </c>
      <c r="J151" s="93">
        <f t="shared" si="3"/>
        <v>3550</v>
      </c>
      <c r="K151" s="98"/>
      <c r="L151" s="93">
        <f t="shared" si="4"/>
        <v>576177</v>
      </c>
      <c r="M151" s="92"/>
      <c r="N151" s="97" t="s">
        <v>1709</v>
      </c>
      <c r="O151" s="97">
        <v>1.0</v>
      </c>
      <c r="P151" s="93">
        <f t="shared" si="5"/>
        <v>161</v>
      </c>
      <c r="Q151" s="97">
        <v>94.0</v>
      </c>
      <c r="R151" s="93">
        <f t="shared" si="6"/>
        <v>152774</v>
      </c>
      <c r="S151" s="92"/>
    </row>
    <row r="152" ht="15.0" customHeight="1">
      <c r="A152" s="92"/>
      <c r="B152" s="93" t="s">
        <v>1561</v>
      </c>
      <c r="C152" s="93">
        <f>I77</f>
        <v>3</v>
      </c>
      <c r="D152" s="93">
        <f t="shared" si="1"/>
        <v>1672</v>
      </c>
      <c r="E152" s="93">
        <f>K77</f>
        <v>772</v>
      </c>
      <c r="F152" s="93">
        <f t="shared" si="2"/>
        <v>441929</v>
      </c>
      <c r="G152" s="92"/>
      <c r="H152" s="97" t="s">
        <v>1710</v>
      </c>
      <c r="I152" s="97">
        <f>20+0+3</f>
        <v>23</v>
      </c>
      <c r="J152" s="93">
        <f t="shared" si="3"/>
        <v>3573</v>
      </c>
      <c r="K152" s="98"/>
      <c r="L152" s="93">
        <f t="shared" si="4"/>
        <v>576177</v>
      </c>
      <c r="M152" s="92"/>
      <c r="N152" s="97" t="s">
        <v>1711</v>
      </c>
      <c r="O152" s="97">
        <v>4.0</v>
      </c>
      <c r="P152" s="93">
        <f t="shared" si="5"/>
        <v>165</v>
      </c>
      <c r="Q152" s="97">
        <v>1020.0</v>
      </c>
      <c r="R152" s="93">
        <f t="shared" si="6"/>
        <v>153794</v>
      </c>
      <c r="S152" s="92"/>
    </row>
    <row r="153" ht="15.0" customHeight="1">
      <c r="A153" s="92"/>
      <c r="B153" s="93" t="s">
        <v>1562</v>
      </c>
      <c r="C153" s="93">
        <f>O77</f>
        <v>1</v>
      </c>
      <c r="D153" s="93">
        <f t="shared" si="1"/>
        <v>1673</v>
      </c>
      <c r="E153" s="93">
        <f>Q77</f>
        <v>2457</v>
      </c>
      <c r="F153" s="93">
        <f t="shared" si="2"/>
        <v>444386</v>
      </c>
      <c r="G153" s="92"/>
      <c r="H153" s="99" t="s">
        <v>1712</v>
      </c>
      <c r="I153" s="98"/>
      <c r="J153" s="93">
        <f t="shared" si="3"/>
        <v>3573</v>
      </c>
      <c r="K153" s="98"/>
      <c r="L153" s="93">
        <f t="shared" si="4"/>
        <v>576177</v>
      </c>
      <c r="M153" s="92"/>
      <c r="N153" s="99" t="s">
        <v>1713</v>
      </c>
      <c r="O153" s="97">
        <v>1.0</v>
      </c>
      <c r="P153" s="93">
        <f t="shared" si="5"/>
        <v>166</v>
      </c>
      <c r="Q153" s="97">
        <v>88.0</v>
      </c>
      <c r="R153" s="93">
        <f t="shared" si="6"/>
        <v>153882</v>
      </c>
      <c r="S153" s="92"/>
    </row>
    <row r="154" ht="15.0" customHeight="1">
      <c r="A154" s="92"/>
      <c r="B154" s="93" t="s">
        <v>1563</v>
      </c>
      <c r="C154" s="93">
        <f>I78</f>
        <v>31</v>
      </c>
      <c r="D154" s="93">
        <f t="shared" si="1"/>
        <v>1704</v>
      </c>
      <c r="E154" s="93">
        <f>K78</f>
        <v>6015</v>
      </c>
      <c r="F154" s="93">
        <f t="shared" si="2"/>
        <v>450401</v>
      </c>
      <c r="G154" s="92"/>
      <c r="H154" s="100" t="s">
        <v>1714</v>
      </c>
      <c r="I154" s="98"/>
      <c r="J154" s="93">
        <f t="shared" si="3"/>
        <v>3573</v>
      </c>
      <c r="K154" s="98"/>
      <c r="L154" s="93">
        <f t="shared" si="4"/>
        <v>576177</v>
      </c>
      <c r="M154" s="92"/>
      <c r="N154" s="100" t="s">
        <v>1715</v>
      </c>
      <c r="O154" s="97">
        <v>2.0</v>
      </c>
      <c r="P154" s="93">
        <f t="shared" si="5"/>
        <v>168</v>
      </c>
      <c r="Q154" s="97">
        <v>1860.0</v>
      </c>
      <c r="R154" s="93">
        <f t="shared" si="6"/>
        <v>155742</v>
      </c>
      <c r="S154" s="92"/>
    </row>
    <row r="155" ht="15.0" customHeight="1">
      <c r="A155" s="92"/>
      <c r="B155" s="93" t="s">
        <v>1564</v>
      </c>
      <c r="C155" s="93">
        <f>O78</f>
        <v>0</v>
      </c>
      <c r="D155" s="93">
        <f t="shared" si="1"/>
        <v>1704</v>
      </c>
      <c r="E155" s="93">
        <f>Q78</f>
        <v>0</v>
      </c>
      <c r="F155" s="93">
        <f t="shared" si="2"/>
        <v>450401</v>
      </c>
      <c r="G155" s="92"/>
      <c r="H155" s="100" t="s">
        <v>1716</v>
      </c>
      <c r="I155" s="98"/>
      <c r="J155" s="93">
        <f t="shared" si="3"/>
        <v>3573</v>
      </c>
      <c r="K155" s="98"/>
      <c r="L155" s="93">
        <f t="shared" si="4"/>
        <v>576177</v>
      </c>
      <c r="M155" s="92"/>
      <c r="N155" s="100" t="s">
        <v>1717</v>
      </c>
      <c r="O155" s="97">
        <v>1.0</v>
      </c>
      <c r="P155" s="93">
        <f t="shared" si="5"/>
        <v>169</v>
      </c>
      <c r="Q155" s="97">
        <v>68.0</v>
      </c>
      <c r="R155" s="93">
        <f t="shared" si="6"/>
        <v>155810</v>
      </c>
      <c r="S155" s="92"/>
    </row>
    <row r="156" ht="15.0" customHeight="1">
      <c r="A156" s="92"/>
      <c r="B156" s="93" t="s">
        <v>1565</v>
      </c>
      <c r="C156" s="93">
        <f>I79</f>
        <v>1</v>
      </c>
      <c r="D156" s="93">
        <f t="shared" si="1"/>
        <v>1705</v>
      </c>
      <c r="E156" s="93">
        <f>K79</f>
        <v>856</v>
      </c>
      <c r="F156" s="93">
        <f t="shared" si="2"/>
        <v>451257</v>
      </c>
      <c r="G156" s="92"/>
      <c r="H156" s="100" t="s">
        <v>1718</v>
      </c>
      <c r="I156" s="98"/>
      <c r="J156" s="93">
        <f t="shared" si="3"/>
        <v>3573</v>
      </c>
      <c r="K156" s="98"/>
      <c r="L156" s="93">
        <f t="shared" si="4"/>
        <v>576177</v>
      </c>
      <c r="M156" s="92"/>
      <c r="N156" s="100" t="s">
        <v>1719</v>
      </c>
      <c r="O156" s="97">
        <v>1.0</v>
      </c>
      <c r="P156" s="93">
        <f t="shared" si="5"/>
        <v>170</v>
      </c>
      <c r="Q156" s="97">
        <v>38.0</v>
      </c>
      <c r="R156" s="93">
        <f t="shared" si="6"/>
        <v>155848</v>
      </c>
      <c r="S156" s="92"/>
    </row>
    <row r="157" ht="15.0" customHeight="1">
      <c r="A157" s="92"/>
      <c r="B157" s="93" t="s">
        <v>1566</v>
      </c>
      <c r="C157" s="93">
        <f>O79</f>
        <v>1</v>
      </c>
      <c r="D157" s="93">
        <f t="shared" si="1"/>
        <v>1706</v>
      </c>
      <c r="E157" s="93">
        <f>Q79</f>
        <v>5137</v>
      </c>
      <c r="F157" s="93">
        <f t="shared" si="2"/>
        <v>456394</v>
      </c>
      <c r="G157" s="92"/>
      <c r="H157" s="100" t="s">
        <v>1720</v>
      </c>
      <c r="I157" s="98"/>
      <c r="J157" s="93">
        <f t="shared" si="3"/>
        <v>3573</v>
      </c>
      <c r="K157" s="98"/>
      <c r="L157" s="93">
        <f t="shared" si="4"/>
        <v>576177</v>
      </c>
      <c r="M157" s="92"/>
      <c r="N157" s="100" t="s">
        <v>1721</v>
      </c>
      <c r="O157" s="97">
        <v>2.0</v>
      </c>
      <c r="P157" s="93">
        <f t="shared" si="5"/>
        <v>172</v>
      </c>
      <c r="Q157" s="97">
        <v>139.0</v>
      </c>
      <c r="R157" s="93">
        <f t="shared" si="6"/>
        <v>155987</v>
      </c>
      <c r="S157" s="92"/>
    </row>
    <row r="158" ht="15.0" customHeight="1">
      <c r="A158" s="92"/>
      <c r="B158" s="93" t="s">
        <v>1567</v>
      </c>
      <c r="C158" s="93">
        <f>I80</f>
        <v>21</v>
      </c>
      <c r="D158" s="93">
        <f t="shared" si="1"/>
        <v>1727</v>
      </c>
      <c r="E158" s="93">
        <f>K80</f>
        <v>5792</v>
      </c>
      <c r="F158" s="93">
        <f t="shared" si="2"/>
        <v>462186</v>
      </c>
      <c r="G158" s="92"/>
      <c r="H158" s="100" t="s">
        <v>1722</v>
      </c>
      <c r="I158" s="98"/>
      <c r="J158" s="93">
        <f t="shared" si="3"/>
        <v>3573</v>
      </c>
      <c r="K158" s="98"/>
      <c r="L158" s="93">
        <f t="shared" si="4"/>
        <v>576177</v>
      </c>
      <c r="M158" s="92"/>
      <c r="N158" s="100" t="s">
        <v>1723</v>
      </c>
      <c r="O158" s="97">
        <v>1.0</v>
      </c>
      <c r="P158" s="93">
        <f t="shared" si="5"/>
        <v>173</v>
      </c>
      <c r="Q158" s="97">
        <v>56.0</v>
      </c>
      <c r="R158" s="93">
        <f t="shared" si="6"/>
        <v>156043</v>
      </c>
      <c r="S158" s="92"/>
    </row>
    <row r="159" ht="15.0" customHeight="1">
      <c r="A159" s="92"/>
      <c r="B159" s="93" t="s">
        <v>1568</v>
      </c>
      <c r="C159" s="93">
        <f>O80</f>
        <v>2</v>
      </c>
      <c r="D159" s="93">
        <f t="shared" si="1"/>
        <v>1729</v>
      </c>
      <c r="E159" s="93">
        <f>Q80</f>
        <v>3741</v>
      </c>
      <c r="F159" s="93">
        <f t="shared" si="2"/>
        <v>465927</v>
      </c>
      <c r="G159" s="92"/>
      <c r="H159" s="100" t="s">
        <v>1724</v>
      </c>
      <c r="I159" s="98"/>
      <c r="J159" s="93">
        <f t="shared" si="3"/>
        <v>3573</v>
      </c>
      <c r="K159" s="98"/>
      <c r="L159" s="93">
        <f t="shared" si="4"/>
        <v>576177</v>
      </c>
      <c r="M159" s="92"/>
      <c r="N159" s="100" t="s">
        <v>1725</v>
      </c>
      <c r="O159" s="97">
        <v>0.0</v>
      </c>
      <c r="P159" s="93">
        <f t="shared" si="5"/>
        <v>173</v>
      </c>
      <c r="Q159" s="97">
        <v>0.0</v>
      </c>
      <c r="R159" s="93">
        <f t="shared" si="6"/>
        <v>156043</v>
      </c>
      <c r="S159" s="92"/>
    </row>
    <row r="160" ht="15.0" customHeight="1">
      <c r="A160" s="92"/>
      <c r="B160" s="93" t="s">
        <v>1569</v>
      </c>
      <c r="C160" s="93">
        <f>I81</f>
        <v>31</v>
      </c>
      <c r="D160" s="93">
        <f t="shared" si="1"/>
        <v>1760</v>
      </c>
      <c r="E160" s="93">
        <f>K81</f>
        <v>3573</v>
      </c>
      <c r="F160" s="93">
        <f t="shared" si="2"/>
        <v>469500</v>
      </c>
      <c r="G160" s="92"/>
      <c r="H160" s="100" t="s">
        <v>1726</v>
      </c>
      <c r="I160" s="98"/>
      <c r="J160" s="93">
        <f t="shared" si="3"/>
        <v>3573</v>
      </c>
      <c r="K160" s="98"/>
      <c r="L160" s="93">
        <f t="shared" si="4"/>
        <v>576177</v>
      </c>
      <c r="M160" s="92"/>
      <c r="N160" s="100" t="s">
        <v>1727</v>
      </c>
      <c r="O160" s="97">
        <v>0.0</v>
      </c>
      <c r="P160" s="93">
        <f t="shared" si="5"/>
        <v>173</v>
      </c>
      <c r="Q160" s="97">
        <v>0.0</v>
      </c>
      <c r="R160" s="93">
        <f t="shared" si="6"/>
        <v>156043</v>
      </c>
      <c r="S160" s="92"/>
    </row>
    <row r="161" ht="15.0" customHeight="1">
      <c r="A161" s="92"/>
      <c r="B161" s="93" t="s">
        <v>1570</v>
      </c>
      <c r="C161" s="93">
        <f>O81</f>
        <v>2</v>
      </c>
      <c r="D161" s="93">
        <f t="shared" si="1"/>
        <v>1762</v>
      </c>
      <c r="E161" s="93">
        <f>Q81</f>
        <v>230</v>
      </c>
      <c r="F161" s="93">
        <f t="shared" si="2"/>
        <v>469730</v>
      </c>
      <c r="G161" s="92"/>
      <c r="H161" s="100" t="s">
        <v>1728</v>
      </c>
      <c r="I161" s="97">
        <v>7.0</v>
      </c>
      <c r="J161" s="93">
        <f t="shared" si="3"/>
        <v>3580</v>
      </c>
      <c r="K161" s="97">
        <v>968.0</v>
      </c>
      <c r="L161" s="93">
        <f t="shared" si="4"/>
        <v>577145</v>
      </c>
      <c r="M161" s="92"/>
      <c r="N161" s="100" t="s">
        <v>1729</v>
      </c>
      <c r="O161" s="97">
        <v>0.0</v>
      </c>
      <c r="P161" s="93">
        <f t="shared" si="5"/>
        <v>173</v>
      </c>
      <c r="Q161" s="97">
        <v>0.0</v>
      </c>
      <c r="R161" s="93">
        <f t="shared" si="6"/>
        <v>156043</v>
      </c>
      <c r="S161" s="92"/>
    </row>
    <row r="162" ht="15.0" customHeight="1">
      <c r="A162" s="92"/>
      <c r="B162" s="93" t="s">
        <v>1571</v>
      </c>
      <c r="C162" s="93">
        <f>I82</f>
        <v>26</v>
      </c>
      <c r="D162" s="93">
        <f t="shared" si="1"/>
        <v>1788</v>
      </c>
      <c r="E162" s="93">
        <f>K82</f>
        <v>4667</v>
      </c>
      <c r="F162" s="93">
        <f t="shared" si="2"/>
        <v>474397</v>
      </c>
      <c r="G162" s="92"/>
      <c r="H162" s="100" t="s">
        <v>1730</v>
      </c>
      <c r="I162" s="98"/>
      <c r="J162" s="93">
        <f t="shared" si="3"/>
        <v>3580</v>
      </c>
      <c r="K162" s="98"/>
      <c r="L162" s="93">
        <f t="shared" si="4"/>
        <v>577145</v>
      </c>
      <c r="M162" s="92"/>
      <c r="N162" s="100" t="s">
        <v>1731</v>
      </c>
      <c r="O162" s="97">
        <v>1.0</v>
      </c>
      <c r="P162" s="93">
        <f t="shared" si="5"/>
        <v>174</v>
      </c>
      <c r="Q162" s="97">
        <v>42.0</v>
      </c>
      <c r="R162" s="93">
        <f t="shared" si="6"/>
        <v>156085</v>
      </c>
      <c r="S162" s="92"/>
    </row>
    <row r="163" ht="15.0" customHeight="1">
      <c r="A163" s="92"/>
      <c r="B163" s="93" t="s">
        <v>1572</v>
      </c>
      <c r="C163" s="93">
        <f>O82</f>
        <v>1</v>
      </c>
      <c r="D163" s="93">
        <f t="shared" si="1"/>
        <v>1789</v>
      </c>
      <c r="E163" s="93">
        <f>Q82</f>
        <v>4442</v>
      </c>
      <c r="F163" s="93">
        <f t="shared" si="2"/>
        <v>478839</v>
      </c>
      <c r="G163" s="92"/>
      <c r="H163" s="100" t="s">
        <v>1732</v>
      </c>
      <c r="I163" s="98"/>
      <c r="J163" s="93">
        <f t="shared" si="3"/>
        <v>3580</v>
      </c>
      <c r="K163" s="98"/>
      <c r="L163" s="93">
        <f t="shared" si="4"/>
        <v>577145</v>
      </c>
      <c r="M163" s="92"/>
      <c r="N163" s="100" t="s">
        <v>1733</v>
      </c>
      <c r="O163" s="97">
        <v>1.0</v>
      </c>
      <c r="P163" s="93">
        <f t="shared" si="5"/>
        <v>175</v>
      </c>
      <c r="Q163" s="97">
        <v>62.0</v>
      </c>
      <c r="R163" s="93">
        <f t="shared" si="6"/>
        <v>156147</v>
      </c>
      <c r="S163" s="92"/>
    </row>
    <row r="164" ht="15.0" customHeight="1">
      <c r="A164" s="92"/>
      <c r="B164" s="93" t="s">
        <v>1573</v>
      </c>
      <c r="C164" s="93">
        <f>I83</f>
        <v>23</v>
      </c>
      <c r="D164" s="93">
        <f t="shared" si="1"/>
        <v>1812</v>
      </c>
      <c r="E164" s="93">
        <f>K83</f>
        <v>3757</v>
      </c>
      <c r="F164" s="93">
        <f t="shared" si="2"/>
        <v>482596</v>
      </c>
      <c r="G164" s="92"/>
      <c r="H164" s="100" t="s">
        <v>1734</v>
      </c>
      <c r="I164" s="98"/>
      <c r="J164" s="93">
        <f t="shared" si="3"/>
        <v>3580</v>
      </c>
      <c r="K164" s="98"/>
      <c r="L164" s="93">
        <f t="shared" si="4"/>
        <v>577145</v>
      </c>
      <c r="M164" s="92"/>
      <c r="N164" s="100" t="s">
        <v>1735</v>
      </c>
      <c r="O164" s="97">
        <v>2.0</v>
      </c>
      <c r="P164" s="93">
        <f t="shared" si="5"/>
        <v>177</v>
      </c>
      <c r="Q164" s="97">
        <v>137.0</v>
      </c>
      <c r="R164" s="93">
        <f t="shared" si="6"/>
        <v>156284</v>
      </c>
      <c r="S164" s="92"/>
    </row>
    <row r="165" ht="15.0" customHeight="1">
      <c r="A165" s="92"/>
      <c r="B165" s="93" t="s">
        <v>1574</v>
      </c>
      <c r="C165" s="93">
        <f>O83</f>
        <v>1</v>
      </c>
      <c r="D165" s="93">
        <f t="shared" si="1"/>
        <v>1813</v>
      </c>
      <c r="E165" s="93">
        <f>Q83</f>
        <v>4661</v>
      </c>
      <c r="F165" s="93">
        <f t="shared" si="2"/>
        <v>487257</v>
      </c>
      <c r="G165" s="92"/>
      <c r="H165" s="100" t="s">
        <v>1736</v>
      </c>
      <c r="I165" s="98"/>
      <c r="J165" s="93">
        <f t="shared" si="3"/>
        <v>3580</v>
      </c>
      <c r="K165" s="98"/>
      <c r="L165" s="93">
        <f t="shared" si="4"/>
        <v>577145</v>
      </c>
      <c r="M165" s="92"/>
      <c r="N165" s="100" t="s">
        <v>1737</v>
      </c>
      <c r="O165" s="97">
        <v>2.0</v>
      </c>
      <c r="P165" s="93">
        <f t="shared" si="5"/>
        <v>179</v>
      </c>
      <c r="Q165" s="97">
        <v>119.0</v>
      </c>
      <c r="R165" s="93">
        <f t="shared" si="6"/>
        <v>156403</v>
      </c>
      <c r="S165" s="92"/>
    </row>
    <row r="166" ht="15.0" customHeight="1">
      <c r="A166" s="92"/>
      <c r="B166" s="93" t="s">
        <v>1575</v>
      </c>
      <c r="C166" s="93">
        <f>I84</f>
        <v>33</v>
      </c>
      <c r="D166" s="93">
        <f t="shared" si="1"/>
        <v>1846</v>
      </c>
      <c r="E166" s="93">
        <f>K84</f>
        <v>5165</v>
      </c>
      <c r="F166" s="93">
        <f t="shared" si="2"/>
        <v>492422</v>
      </c>
      <c r="G166" s="92"/>
      <c r="H166" s="100" t="s">
        <v>1738</v>
      </c>
      <c r="I166" s="98"/>
      <c r="J166" s="93">
        <f t="shared" si="3"/>
        <v>3580</v>
      </c>
      <c r="K166" s="98"/>
      <c r="L166" s="93">
        <f t="shared" si="4"/>
        <v>577145</v>
      </c>
      <c r="M166" s="92"/>
      <c r="N166" s="100" t="s">
        <v>1739</v>
      </c>
      <c r="O166" s="97">
        <v>2.0</v>
      </c>
      <c r="P166" s="93">
        <f t="shared" si="5"/>
        <v>181</v>
      </c>
      <c r="Q166" s="97">
        <v>129.0</v>
      </c>
      <c r="R166" s="93">
        <f t="shared" si="6"/>
        <v>156532</v>
      </c>
      <c r="S166" s="92"/>
    </row>
    <row r="167" ht="15.0" customHeight="1">
      <c r="A167" s="92"/>
      <c r="B167" s="93" t="s">
        <v>1576</v>
      </c>
      <c r="C167" s="93">
        <f>O84</f>
        <v>0</v>
      </c>
      <c r="D167" s="93">
        <f t="shared" si="1"/>
        <v>1846</v>
      </c>
      <c r="E167" s="93">
        <f>Q84</f>
        <v>0</v>
      </c>
      <c r="F167" s="93">
        <f t="shared" si="2"/>
        <v>492422</v>
      </c>
      <c r="G167" s="92"/>
      <c r="H167" s="100" t="s">
        <v>1740</v>
      </c>
      <c r="I167" s="98"/>
      <c r="J167" s="93">
        <f t="shared" si="3"/>
        <v>3580</v>
      </c>
      <c r="K167" s="98"/>
      <c r="L167" s="93">
        <f t="shared" si="4"/>
        <v>577145</v>
      </c>
      <c r="M167" s="92"/>
      <c r="N167" s="100" t="s">
        <v>1741</v>
      </c>
      <c r="O167" s="97">
        <v>0.0</v>
      </c>
      <c r="P167" s="93">
        <f t="shared" si="5"/>
        <v>181</v>
      </c>
      <c r="Q167" s="97">
        <v>0.0</v>
      </c>
      <c r="R167" s="93">
        <f t="shared" si="6"/>
        <v>156532</v>
      </c>
      <c r="S167" s="92"/>
    </row>
    <row r="168" ht="15.0" customHeight="1">
      <c r="A168" s="92"/>
      <c r="B168" s="93" t="s">
        <v>1577</v>
      </c>
      <c r="C168" s="93">
        <f>I85</f>
        <v>24</v>
      </c>
      <c r="D168" s="93">
        <f t="shared" si="1"/>
        <v>1870</v>
      </c>
      <c r="E168" s="93">
        <f>K85</f>
        <v>4589</v>
      </c>
      <c r="F168" s="93">
        <f t="shared" si="2"/>
        <v>497011</v>
      </c>
      <c r="G168" s="92"/>
      <c r="H168" s="100" t="s">
        <v>1742</v>
      </c>
      <c r="I168" s="98"/>
      <c r="J168" s="93">
        <f t="shared" si="3"/>
        <v>3580</v>
      </c>
      <c r="K168" s="98"/>
      <c r="L168" s="93">
        <f t="shared" si="4"/>
        <v>577145</v>
      </c>
      <c r="M168" s="92"/>
      <c r="N168" s="100" t="s">
        <v>1743</v>
      </c>
      <c r="O168" s="97">
        <v>1.0</v>
      </c>
      <c r="P168" s="93">
        <f t="shared" si="5"/>
        <v>182</v>
      </c>
      <c r="Q168" s="97">
        <v>44.0</v>
      </c>
      <c r="R168" s="93">
        <f t="shared" si="6"/>
        <v>156576</v>
      </c>
      <c r="S168" s="92"/>
    </row>
    <row r="169" ht="15.0" customHeight="1">
      <c r="A169" s="92"/>
      <c r="B169" s="93" t="s">
        <v>1578</v>
      </c>
      <c r="C169" s="93">
        <f>O85</f>
        <v>1</v>
      </c>
      <c r="D169" s="93">
        <f t="shared" si="1"/>
        <v>1871</v>
      </c>
      <c r="E169" s="93">
        <f>Q85</f>
        <v>5514</v>
      </c>
      <c r="F169" s="93">
        <f t="shared" si="2"/>
        <v>502525</v>
      </c>
      <c r="G169" s="92"/>
      <c r="H169" s="100" t="s">
        <v>1744</v>
      </c>
      <c r="I169" s="98"/>
      <c r="J169" s="93">
        <f t="shared" si="3"/>
        <v>3580</v>
      </c>
      <c r="K169" s="98"/>
      <c r="L169" s="93">
        <f t="shared" si="4"/>
        <v>577145</v>
      </c>
      <c r="M169" s="92"/>
      <c r="N169" s="100" t="s">
        <v>1745</v>
      </c>
      <c r="O169" s="97">
        <v>1.0</v>
      </c>
      <c r="P169" s="93">
        <f t="shared" si="5"/>
        <v>183</v>
      </c>
      <c r="Q169" s="97">
        <v>60.0</v>
      </c>
      <c r="R169" s="93">
        <f t="shared" si="6"/>
        <v>156636</v>
      </c>
      <c r="S169" s="92"/>
    </row>
    <row r="170" ht="15.0" customHeight="1">
      <c r="A170" s="92"/>
      <c r="B170" s="93" t="s">
        <v>1579</v>
      </c>
      <c r="C170" s="93">
        <f>I86</f>
        <v>23</v>
      </c>
      <c r="D170" s="93">
        <f t="shared" si="1"/>
        <v>1894</v>
      </c>
      <c r="E170" s="93">
        <f>K86</f>
        <v>6013</v>
      </c>
      <c r="F170" s="93">
        <f t="shared" si="2"/>
        <v>508538</v>
      </c>
      <c r="G170" s="92"/>
      <c r="H170" s="100" t="s">
        <v>1746</v>
      </c>
      <c r="I170" s="98"/>
      <c r="J170" s="93">
        <f t="shared" si="3"/>
        <v>3580</v>
      </c>
      <c r="K170" s="98"/>
      <c r="L170" s="93">
        <f t="shared" si="4"/>
        <v>577145</v>
      </c>
      <c r="M170" s="92"/>
      <c r="N170" s="100" t="s">
        <v>1747</v>
      </c>
      <c r="O170" s="97">
        <v>0.0</v>
      </c>
      <c r="P170" s="93">
        <f t="shared" si="5"/>
        <v>183</v>
      </c>
      <c r="Q170" s="97">
        <v>0.0</v>
      </c>
      <c r="R170" s="93">
        <f t="shared" si="6"/>
        <v>156636</v>
      </c>
      <c r="S170" s="92"/>
    </row>
    <row r="171" ht="15.0" customHeight="1">
      <c r="A171" s="92"/>
      <c r="B171" s="93" t="s">
        <v>1580</v>
      </c>
      <c r="C171" s="93">
        <f>O86</f>
        <v>0</v>
      </c>
      <c r="D171" s="93">
        <f t="shared" si="1"/>
        <v>1894</v>
      </c>
      <c r="E171" s="93">
        <f>Q86</f>
        <v>0</v>
      </c>
      <c r="F171" s="93">
        <f t="shared" si="2"/>
        <v>508538</v>
      </c>
      <c r="G171" s="92"/>
      <c r="H171" s="100" t="s">
        <v>1748</v>
      </c>
      <c r="I171" s="98"/>
      <c r="J171" s="93">
        <f t="shared" si="3"/>
        <v>3580</v>
      </c>
      <c r="K171" s="98"/>
      <c r="L171" s="93">
        <f t="shared" si="4"/>
        <v>577145</v>
      </c>
      <c r="M171" s="92"/>
      <c r="N171" s="100" t="s">
        <v>1749</v>
      </c>
      <c r="O171" s="97">
        <v>0.0</v>
      </c>
      <c r="P171" s="93">
        <f t="shared" si="5"/>
        <v>183</v>
      </c>
      <c r="Q171" s="97">
        <v>0.0</v>
      </c>
      <c r="R171" s="93">
        <f t="shared" si="6"/>
        <v>156636</v>
      </c>
      <c r="S171" s="92"/>
    </row>
    <row r="172" ht="15.0" customHeight="1">
      <c r="A172" s="92"/>
      <c r="B172" s="93" t="s">
        <v>1581</v>
      </c>
      <c r="C172" s="93">
        <f>I87</f>
        <v>27</v>
      </c>
      <c r="D172" s="93">
        <f t="shared" si="1"/>
        <v>1921</v>
      </c>
      <c r="E172" s="93">
        <f>K87</f>
        <v>5621</v>
      </c>
      <c r="F172" s="93">
        <f t="shared" si="2"/>
        <v>514159</v>
      </c>
      <c r="G172" s="92"/>
      <c r="H172" s="100" t="s">
        <v>1750</v>
      </c>
      <c r="I172" s="98"/>
      <c r="J172" s="93">
        <f t="shared" si="3"/>
        <v>3580</v>
      </c>
      <c r="K172" s="98"/>
      <c r="L172" s="93">
        <f t="shared" si="4"/>
        <v>577145</v>
      </c>
      <c r="M172" s="92"/>
      <c r="N172" s="100" t="s">
        <v>1751</v>
      </c>
      <c r="O172" s="97">
        <v>1.0</v>
      </c>
      <c r="P172" s="93">
        <f t="shared" si="5"/>
        <v>184</v>
      </c>
      <c r="Q172" s="97">
        <v>73.0</v>
      </c>
      <c r="R172" s="93">
        <f t="shared" si="6"/>
        <v>156709</v>
      </c>
      <c r="S172" s="92"/>
    </row>
    <row r="173" ht="15.0" customHeight="1">
      <c r="A173" s="92"/>
      <c r="B173" s="93" t="s">
        <v>1582</v>
      </c>
      <c r="C173" s="93">
        <f>O87</f>
        <v>1</v>
      </c>
      <c r="D173" s="93">
        <f t="shared" si="1"/>
        <v>1922</v>
      </c>
      <c r="E173" s="93">
        <f>Q87</f>
        <v>3156</v>
      </c>
      <c r="F173" s="93">
        <f t="shared" si="2"/>
        <v>517315</v>
      </c>
      <c r="G173" s="92"/>
      <c r="H173" s="100" t="s">
        <v>1752</v>
      </c>
      <c r="I173" s="98"/>
      <c r="J173" s="93">
        <f t="shared" si="3"/>
        <v>3580</v>
      </c>
      <c r="K173" s="98"/>
      <c r="L173" s="93">
        <f t="shared" si="4"/>
        <v>577145</v>
      </c>
      <c r="M173" s="92"/>
      <c r="N173" s="100" t="s">
        <v>1753</v>
      </c>
      <c r="O173" s="97">
        <v>2.0</v>
      </c>
      <c r="P173" s="93">
        <f t="shared" si="5"/>
        <v>186</v>
      </c>
      <c r="Q173" s="97">
        <v>68.0</v>
      </c>
      <c r="R173" s="93">
        <f t="shared" si="6"/>
        <v>156777</v>
      </c>
      <c r="S173" s="92"/>
    </row>
    <row r="174" ht="15.0" customHeight="1">
      <c r="A174" s="92"/>
      <c r="B174" s="93" t="s">
        <v>1583</v>
      </c>
      <c r="C174" s="93">
        <f>I88</f>
        <v>24</v>
      </c>
      <c r="D174" s="93">
        <f t="shared" si="1"/>
        <v>1946</v>
      </c>
      <c r="E174" s="93">
        <f>K88</f>
        <v>3905</v>
      </c>
      <c r="F174" s="93">
        <f t="shared" si="2"/>
        <v>521220</v>
      </c>
      <c r="G174" s="92"/>
      <c r="H174" s="100" t="s">
        <v>1754</v>
      </c>
      <c r="I174" s="98"/>
      <c r="J174" s="93">
        <f t="shared" si="3"/>
        <v>3580</v>
      </c>
      <c r="K174" s="98"/>
      <c r="L174" s="93">
        <f t="shared" si="4"/>
        <v>577145</v>
      </c>
      <c r="M174" s="92"/>
      <c r="N174" s="100" t="s">
        <v>1755</v>
      </c>
      <c r="O174" s="97">
        <v>2.0</v>
      </c>
      <c r="P174" s="93">
        <f t="shared" si="5"/>
        <v>188</v>
      </c>
      <c r="Q174" s="97">
        <v>168.0</v>
      </c>
      <c r="R174" s="93">
        <f t="shared" si="6"/>
        <v>156945</v>
      </c>
      <c r="S174" s="92"/>
    </row>
    <row r="175" ht="15.0" customHeight="1">
      <c r="A175" s="92"/>
      <c r="B175" s="93" t="s">
        <v>1584</v>
      </c>
      <c r="C175" s="93">
        <f>O88</f>
        <v>0</v>
      </c>
      <c r="D175" s="93">
        <f t="shared" si="1"/>
        <v>1946</v>
      </c>
      <c r="E175" s="93">
        <f>Q88</f>
        <v>0</v>
      </c>
      <c r="F175" s="93">
        <f t="shared" si="2"/>
        <v>521220</v>
      </c>
      <c r="G175" s="92"/>
      <c r="H175" s="100" t="s">
        <v>1756</v>
      </c>
      <c r="I175" s="98"/>
      <c r="J175" s="93">
        <f t="shared" si="3"/>
        <v>3580</v>
      </c>
      <c r="K175" s="98"/>
      <c r="L175" s="93">
        <f t="shared" si="4"/>
        <v>577145</v>
      </c>
      <c r="M175" s="92"/>
      <c r="N175" s="100" t="s">
        <v>1757</v>
      </c>
      <c r="O175" s="97">
        <v>2.0</v>
      </c>
      <c r="P175" s="93">
        <f t="shared" si="5"/>
        <v>190</v>
      </c>
      <c r="Q175" s="97">
        <v>153.0</v>
      </c>
      <c r="R175" s="93">
        <f t="shared" si="6"/>
        <v>157098</v>
      </c>
      <c r="S175" s="92"/>
    </row>
    <row r="176" ht="15.0" customHeight="1">
      <c r="A176" s="92"/>
      <c r="B176" s="93" t="s">
        <v>1585</v>
      </c>
      <c r="C176" s="93">
        <f>I89</f>
        <v>25</v>
      </c>
      <c r="D176" s="93">
        <f t="shared" si="1"/>
        <v>1971</v>
      </c>
      <c r="E176" s="93">
        <f>K89</f>
        <v>4528</v>
      </c>
      <c r="F176" s="93">
        <f t="shared" si="2"/>
        <v>525748</v>
      </c>
      <c r="G176" s="92"/>
      <c r="H176" s="99" t="s">
        <v>1758</v>
      </c>
      <c r="I176" s="98"/>
      <c r="J176" s="93">
        <f t="shared" si="3"/>
        <v>3580</v>
      </c>
      <c r="K176" s="98"/>
      <c r="L176" s="93">
        <f t="shared" si="4"/>
        <v>577145</v>
      </c>
      <c r="M176" s="92"/>
      <c r="N176" s="100" t="s">
        <v>1759</v>
      </c>
      <c r="O176" s="97">
        <v>1.0</v>
      </c>
      <c r="P176" s="93">
        <f t="shared" si="5"/>
        <v>191</v>
      </c>
      <c r="Q176" s="97">
        <v>76.0</v>
      </c>
      <c r="R176" s="93">
        <f t="shared" si="6"/>
        <v>157174</v>
      </c>
      <c r="S176" s="92"/>
    </row>
    <row r="177" ht="15.0" customHeight="1">
      <c r="A177" s="92"/>
      <c r="B177" s="93" t="s">
        <v>1586</v>
      </c>
      <c r="C177" s="93">
        <f>O89</f>
        <v>0</v>
      </c>
      <c r="D177" s="93">
        <f t="shared" si="1"/>
        <v>1971</v>
      </c>
      <c r="E177" s="93">
        <f>Q89</f>
        <v>0</v>
      </c>
      <c r="F177" s="93">
        <f t="shared" si="2"/>
        <v>525748</v>
      </c>
      <c r="G177" s="92"/>
      <c r="H177" s="100" t="s">
        <v>1760</v>
      </c>
      <c r="I177" s="98"/>
      <c r="J177" s="93">
        <f t="shared" si="3"/>
        <v>3580</v>
      </c>
      <c r="K177" s="98"/>
      <c r="L177" s="93">
        <f t="shared" si="4"/>
        <v>577145</v>
      </c>
      <c r="M177" s="92"/>
      <c r="N177" s="100" t="s">
        <v>1761</v>
      </c>
      <c r="O177" s="97">
        <v>1.0</v>
      </c>
      <c r="P177" s="93">
        <f t="shared" si="5"/>
        <v>192</v>
      </c>
      <c r="Q177" s="97">
        <v>96.0</v>
      </c>
      <c r="R177" s="93">
        <f t="shared" si="6"/>
        <v>157270</v>
      </c>
      <c r="S177" s="92"/>
    </row>
    <row r="178" ht="15.0" customHeight="1">
      <c r="A178" s="92"/>
      <c r="B178" s="93" t="s">
        <v>1587</v>
      </c>
      <c r="C178" s="93">
        <f>I90</f>
        <v>33</v>
      </c>
      <c r="D178" s="93">
        <f t="shared" si="1"/>
        <v>2004</v>
      </c>
      <c r="E178" s="93">
        <f>K90</f>
        <v>5273</v>
      </c>
      <c r="F178" s="93">
        <f t="shared" si="2"/>
        <v>531021</v>
      </c>
      <c r="G178" s="92"/>
      <c r="H178" s="100" t="s">
        <v>1762</v>
      </c>
      <c r="I178" s="98"/>
      <c r="J178" s="93">
        <f t="shared" si="3"/>
        <v>3580</v>
      </c>
      <c r="K178" s="98"/>
      <c r="L178" s="93">
        <f t="shared" si="4"/>
        <v>577145</v>
      </c>
      <c r="M178" s="92"/>
      <c r="N178" s="100" t="s">
        <v>1763</v>
      </c>
      <c r="O178" s="97">
        <v>0.0</v>
      </c>
      <c r="P178" s="93">
        <f t="shared" si="5"/>
        <v>192</v>
      </c>
      <c r="Q178" s="97">
        <v>0.0</v>
      </c>
      <c r="R178" s="93">
        <f t="shared" si="6"/>
        <v>157270</v>
      </c>
      <c r="S178" s="92"/>
    </row>
    <row r="179" ht="15.0" customHeight="1">
      <c r="A179" s="92"/>
      <c r="B179" s="93" t="s">
        <v>1588</v>
      </c>
      <c r="C179" s="93">
        <f>O90</f>
        <v>1</v>
      </c>
      <c r="D179" s="93">
        <f t="shared" si="1"/>
        <v>2005</v>
      </c>
      <c r="E179" s="93">
        <f>Q90</f>
        <v>1111</v>
      </c>
      <c r="F179" s="93">
        <f t="shared" si="2"/>
        <v>532132</v>
      </c>
      <c r="G179" s="92"/>
      <c r="H179" s="97" t="s">
        <v>1764</v>
      </c>
      <c r="I179" s="98"/>
      <c r="J179" s="93">
        <f t="shared" si="3"/>
        <v>3580</v>
      </c>
      <c r="K179" s="98"/>
      <c r="L179" s="93">
        <f t="shared" si="4"/>
        <v>577145</v>
      </c>
      <c r="M179" s="92"/>
      <c r="N179" s="97" t="s">
        <v>1765</v>
      </c>
      <c r="O179" s="98"/>
      <c r="P179" s="93">
        <f t="shared" si="5"/>
        <v>192</v>
      </c>
      <c r="Q179" s="98"/>
      <c r="R179" s="93">
        <f t="shared" si="6"/>
        <v>157270</v>
      </c>
      <c r="S179" s="92"/>
    </row>
    <row r="180" ht="15.0" customHeight="1">
      <c r="A180" s="92"/>
      <c r="B180" s="93" t="s">
        <v>1589</v>
      </c>
      <c r="C180" s="93">
        <f>I91</f>
        <v>33</v>
      </c>
      <c r="D180" s="93">
        <f t="shared" si="1"/>
        <v>2038</v>
      </c>
      <c r="E180" s="93">
        <f>K91</f>
        <v>5854</v>
      </c>
      <c r="F180" s="93">
        <f t="shared" si="2"/>
        <v>537986</v>
      </c>
      <c r="G180" s="92"/>
      <c r="H180" s="98"/>
      <c r="I180" s="98"/>
      <c r="J180" s="93">
        <f t="shared" si="3"/>
        <v>3580</v>
      </c>
      <c r="K180" s="98"/>
      <c r="L180" s="93">
        <f t="shared" si="4"/>
        <v>577145</v>
      </c>
      <c r="M180" s="92"/>
      <c r="N180" s="98"/>
      <c r="O180" s="98"/>
      <c r="P180" s="93">
        <f t="shared" si="5"/>
        <v>192</v>
      </c>
      <c r="Q180" s="98"/>
      <c r="R180" s="93">
        <f t="shared" si="6"/>
        <v>157270</v>
      </c>
      <c r="S180" s="92"/>
    </row>
    <row r="181" ht="15.0" customHeight="1">
      <c r="A181" s="92"/>
      <c r="B181" s="93" t="s">
        <v>1590</v>
      </c>
      <c r="C181" s="93">
        <f>O91</f>
        <v>1</v>
      </c>
      <c r="D181" s="93">
        <f t="shared" si="1"/>
        <v>2039</v>
      </c>
      <c r="E181" s="93">
        <f>Q91</f>
        <v>2238</v>
      </c>
      <c r="F181" s="93">
        <f t="shared" si="2"/>
        <v>540224</v>
      </c>
      <c r="G181" s="92"/>
      <c r="H181" s="98"/>
      <c r="I181" s="98"/>
      <c r="J181" s="93">
        <f t="shared" si="3"/>
        <v>3580</v>
      </c>
      <c r="K181" s="98"/>
      <c r="L181" s="93">
        <f t="shared" si="4"/>
        <v>577145</v>
      </c>
      <c r="M181" s="92"/>
      <c r="N181" s="98"/>
      <c r="O181" s="98"/>
      <c r="P181" s="93">
        <f t="shared" si="5"/>
        <v>192</v>
      </c>
      <c r="Q181" s="98"/>
      <c r="R181" s="93">
        <f t="shared" si="6"/>
        <v>157270</v>
      </c>
      <c r="S181" s="92"/>
    </row>
    <row r="182" ht="15.0" customHeight="1">
      <c r="A182" s="92"/>
      <c r="B182" s="93" t="s">
        <v>1591</v>
      </c>
      <c r="C182" s="93">
        <f>I92</f>
        <v>28</v>
      </c>
      <c r="D182" s="93">
        <f t="shared" si="1"/>
        <v>2067</v>
      </c>
      <c r="E182" s="93">
        <f>K92</f>
        <v>5410</v>
      </c>
      <c r="F182" s="93">
        <f t="shared" si="2"/>
        <v>545634</v>
      </c>
      <c r="G182" s="92"/>
      <c r="H182" s="98"/>
      <c r="I182" s="98"/>
      <c r="J182" s="93">
        <f t="shared" si="3"/>
        <v>3580</v>
      </c>
      <c r="K182" s="98"/>
      <c r="L182" s="93">
        <f t="shared" si="4"/>
        <v>577145</v>
      </c>
      <c r="M182" s="92"/>
      <c r="N182" s="98"/>
      <c r="O182" s="98"/>
      <c r="P182" s="93">
        <f t="shared" si="5"/>
        <v>192</v>
      </c>
      <c r="Q182" s="98"/>
      <c r="R182" s="93">
        <f t="shared" si="6"/>
        <v>157270</v>
      </c>
      <c r="S182" s="92"/>
    </row>
    <row r="183" ht="15.0" customHeight="1">
      <c r="A183" s="92"/>
      <c r="B183" s="93" t="s">
        <v>1592</v>
      </c>
      <c r="C183" s="93">
        <f>O92</f>
        <v>1</v>
      </c>
      <c r="D183" s="93">
        <f t="shared" si="1"/>
        <v>2068</v>
      </c>
      <c r="E183" s="93">
        <f>Q92</f>
        <v>3997</v>
      </c>
      <c r="F183" s="93">
        <f t="shared" si="2"/>
        <v>549631</v>
      </c>
      <c r="G183" s="92"/>
      <c r="H183" s="98"/>
      <c r="I183" s="98"/>
      <c r="J183" s="93">
        <f t="shared" si="3"/>
        <v>3580</v>
      </c>
      <c r="K183" s="98"/>
      <c r="L183" s="93">
        <f t="shared" si="4"/>
        <v>577145</v>
      </c>
      <c r="M183" s="92"/>
      <c r="N183" s="98"/>
      <c r="O183" s="98"/>
      <c r="P183" s="93">
        <f t="shared" si="5"/>
        <v>192</v>
      </c>
      <c r="Q183" s="98"/>
      <c r="R183" s="93">
        <f t="shared" si="6"/>
        <v>157270</v>
      </c>
      <c r="S183" s="92"/>
    </row>
    <row r="184" ht="15.0" customHeight="1">
      <c r="A184" s="92"/>
      <c r="B184" s="93" t="s">
        <v>1593</v>
      </c>
      <c r="C184" s="93">
        <f>I93</f>
        <v>9</v>
      </c>
      <c r="D184" s="93">
        <f t="shared" si="1"/>
        <v>2077</v>
      </c>
      <c r="E184" s="93">
        <f>K93</f>
        <v>1725</v>
      </c>
      <c r="F184" s="93">
        <f t="shared" si="2"/>
        <v>551356</v>
      </c>
      <c r="G184" s="92"/>
      <c r="H184" s="98"/>
      <c r="I184" s="98"/>
      <c r="J184" s="93">
        <f t="shared" si="3"/>
        <v>3580</v>
      </c>
      <c r="K184" s="98"/>
      <c r="L184" s="93">
        <f t="shared" si="4"/>
        <v>577145</v>
      </c>
      <c r="M184" s="92"/>
      <c r="N184" s="98"/>
      <c r="O184" s="98"/>
      <c r="P184" s="93">
        <f t="shared" si="5"/>
        <v>192</v>
      </c>
      <c r="Q184" s="98"/>
      <c r="R184" s="93">
        <f t="shared" si="6"/>
        <v>157270</v>
      </c>
      <c r="S184" s="92"/>
    </row>
    <row r="185" ht="15.0" customHeight="1">
      <c r="A185" s="92"/>
      <c r="B185" s="93" t="s">
        <v>1594</v>
      </c>
      <c r="C185" s="93">
        <f>O93</f>
        <v>0</v>
      </c>
      <c r="D185" s="93">
        <f t="shared" si="1"/>
        <v>2077</v>
      </c>
      <c r="E185" s="93">
        <f>Q93</f>
        <v>0</v>
      </c>
      <c r="F185" s="93">
        <f t="shared" si="2"/>
        <v>551356</v>
      </c>
      <c r="G185" s="92"/>
      <c r="H185" s="98"/>
      <c r="I185" s="98"/>
      <c r="J185" s="93">
        <f t="shared" si="3"/>
        <v>3580</v>
      </c>
      <c r="K185" s="98"/>
      <c r="L185" s="93">
        <f t="shared" si="4"/>
        <v>577145</v>
      </c>
      <c r="M185" s="92"/>
      <c r="N185" s="98"/>
      <c r="O185" s="98"/>
      <c r="P185" s="93">
        <f t="shared" si="5"/>
        <v>192</v>
      </c>
      <c r="Q185" s="98"/>
      <c r="R185" s="93">
        <f t="shared" si="6"/>
        <v>157270</v>
      </c>
      <c r="S185" s="92"/>
    </row>
    <row r="186" ht="15.0" customHeight="1">
      <c r="A186" s="92"/>
      <c r="B186" s="93" t="s">
        <v>1595</v>
      </c>
      <c r="C186" s="93">
        <f>I94</f>
        <v>0</v>
      </c>
      <c r="D186" s="93">
        <f t="shared" si="1"/>
        <v>2077</v>
      </c>
      <c r="E186" s="93">
        <f>K94</f>
        <v>0</v>
      </c>
      <c r="F186" s="93">
        <f t="shared" si="2"/>
        <v>551356</v>
      </c>
      <c r="G186" s="92"/>
      <c r="H186" s="98"/>
      <c r="I186" s="98"/>
      <c r="J186" s="93">
        <f t="shared" si="3"/>
        <v>3580</v>
      </c>
      <c r="K186" s="98"/>
      <c r="L186" s="93">
        <f t="shared" si="4"/>
        <v>577145</v>
      </c>
      <c r="M186" s="92"/>
      <c r="N186" s="98"/>
      <c r="O186" s="98"/>
      <c r="P186" s="93">
        <f t="shared" si="5"/>
        <v>192</v>
      </c>
      <c r="Q186" s="98"/>
      <c r="R186" s="93">
        <f t="shared" si="6"/>
        <v>157270</v>
      </c>
      <c r="S186" s="92"/>
    </row>
    <row r="187" ht="15.0" customHeight="1">
      <c r="A187" s="92"/>
      <c r="B187" s="93" t="s">
        <v>1596</v>
      </c>
      <c r="C187" s="93">
        <f>O94</f>
        <v>0</v>
      </c>
      <c r="D187" s="93">
        <f t="shared" si="1"/>
        <v>2077</v>
      </c>
      <c r="E187" s="93">
        <f>Q94</f>
        <v>0</v>
      </c>
      <c r="F187" s="93">
        <f t="shared" si="2"/>
        <v>551356</v>
      </c>
      <c r="G187" s="92"/>
      <c r="H187" s="98"/>
      <c r="I187" s="98"/>
      <c r="J187" s="93">
        <f t="shared" si="3"/>
        <v>3580</v>
      </c>
      <c r="K187" s="98"/>
      <c r="L187" s="93">
        <f t="shared" si="4"/>
        <v>577145</v>
      </c>
      <c r="M187" s="92"/>
      <c r="N187" s="98"/>
      <c r="O187" s="98"/>
      <c r="P187" s="93">
        <f t="shared" si="5"/>
        <v>192</v>
      </c>
      <c r="Q187" s="98"/>
      <c r="R187" s="93">
        <f t="shared" si="6"/>
        <v>157270</v>
      </c>
      <c r="S187" s="92"/>
    </row>
    <row r="188" ht="15.0" customHeight="1">
      <c r="A188" s="92"/>
      <c r="B188" s="93" t="s">
        <v>1597</v>
      </c>
      <c r="C188" s="93">
        <f>I95</f>
        <v>27</v>
      </c>
      <c r="D188" s="93">
        <f t="shared" si="1"/>
        <v>2104</v>
      </c>
      <c r="E188" s="93">
        <f>K95</f>
        <v>5301</v>
      </c>
      <c r="F188" s="93">
        <f t="shared" si="2"/>
        <v>556657</v>
      </c>
      <c r="G188" s="92"/>
      <c r="H188" s="98"/>
      <c r="I188" s="98"/>
      <c r="J188" s="93">
        <f t="shared" si="3"/>
        <v>3580</v>
      </c>
      <c r="K188" s="98"/>
      <c r="L188" s="93">
        <f t="shared" si="4"/>
        <v>577145</v>
      </c>
      <c r="M188" s="92"/>
      <c r="N188" s="98"/>
      <c r="O188" s="98"/>
      <c r="P188" s="93">
        <f t="shared" si="5"/>
        <v>192</v>
      </c>
      <c r="Q188" s="98"/>
      <c r="R188" s="93">
        <f t="shared" si="6"/>
        <v>157270</v>
      </c>
      <c r="S188" s="92"/>
    </row>
    <row r="189" ht="15.0" customHeight="1">
      <c r="A189" s="92"/>
      <c r="B189" s="93" t="s">
        <v>1598</v>
      </c>
      <c r="C189" s="93">
        <f>O95</f>
        <v>0</v>
      </c>
      <c r="D189" s="93">
        <f t="shared" si="1"/>
        <v>2104</v>
      </c>
      <c r="E189" s="93">
        <f>Q95</f>
        <v>0</v>
      </c>
      <c r="F189" s="93">
        <f t="shared" si="2"/>
        <v>556657</v>
      </c>
      <c r="G189" s="92"/>
      <c r="H189" s="98"/>
      <c r="I189" s="98"/>
      <c r="J189" s="93">
        <f t="shared" si="3"/>
        <v>3580</v>
      </c>
      <c r="K189" s="98"/>
      <c r="L189" s="93">
        <f t="shared" si="4"/>
        <v>577145</v>
      </c>
      <c r="M189" s="92"/>
      <c r="N189" s="98"/>
      <c r="O189" s="98"/>
      <c r="P189" s="93">
        <f t="shared" si="5"/>
        <v>192</v>
      </c>
      <c r="Q189" s="98"/>
      <c r="R189" s="93">
        <f t="shared" si="6"/>
        <v>157270</v>
      </c>
      <c r="S189" s="92"/>
    </row>
    <row r="190" ht="15.0" customHeight="1">
      <c r="A190" s="92"/>
      <c r="B190" s="93" t="s">
        <v>1599</v>
      </c>
      <c r="C190" s="93">
        <f>I96</f>
        <v>30</v>
      </c>
      <c r="D190" s="93">
        <f t="shared" si="1"/>
        <v>2134</v>
      </c>
      <c r="E190" s="93">
        <f>K96</f>
        <v>3483</v>
      </c>
      <c r="F190" s="93">
        <f t="shared" si="2"/>
        <v>560140</v>
      </c>
      <c r="G190" s="92"/>
      <c r="H190" s="98"/>
      <c r="I190" s="98"/>
      <c r="J190" s="93">
        <f t="shared" si="3"/>
        <v>3580</v>
      </c>
      <c r="K190" s="98"/>
      <c r="L190" s="93">
        <f t="shared" si="4"/>
        <v>577145</v>
      </c>
      <c r="M190" s="92"/>
      <c r="N190" s="98"/>
      <c r="O190" s="98"/>
      <c r="P190" s="93">
        <f t="shared" si="5"/>
        <v>192</v>
      </c>
      <c r="Q190" s="98"/>
      <c r="R190" s="93">
        <f t="shared" si="6"/>
        <v>157270</v>
      </c>
      <c r="S190" s="92"/>
    </row>
    <row r="191" ht="15.0" customHeight="1">
      <c r="A191" s="92"/>
      <c r="B191" s="93" t="s">
        <v>1600</v>
      </c>
      <c r="C191" s="93">
        <f>O96</f>
        <v>0</v>
      </c>
      <c r="D191" s="93">
        <f t="shared" si="1"/>
        <v>2134</v>
      </c>
      <c r="E191" s="93">
        <f>Q96</f>
        <v>0</v>
      </c>
      <c r="F191" s="93">
        <f t="shared" si="2"/>
        <v>560140</v>
      </c>
      <c r="G191" s="92"/>
      <c r="H191" s="98"/>
      <c r="I191" s="98"/>
      <c r="J191" s="93">
        <f t="shared" si="3"/>
        <v>3580</v>
      </c>
      <c r="K191" s="98"/>
      <c r="L191" s="93">
        <f t="shared" si="4"/>
        <v>577145</v>
      </c>
      <c r="M191" s="92"/>
      <c r="N191" s="98"/>
      <c r="O191" s="98"/>
      <c r="P191" s="93">
        <f t="shared" si="5"/>
        <v>192</v>
      </c>
      <c r="Q191" s="98"/>
      <c r="R191" s="93">
        <f t="shared" si="6"/>
        <v>157270</v>
      </c>
      <c r="S191" s="92"/>
    </row>
    <row r="192" ht="15.0" customHeight="1">
      <c r="A192" s="92"/>
      <c r="B192" s="93" t="s">
        <v>1601</v>
      </c>
      <c r="C192" s="93">
        <f>I97</f>
        <v>35</v>
      </c>
      <c r="D192" s="93">
        <f t="shared" si="1"/>
        <v>2169</v>
      </c>
      <c r="E192" s="93">
        <f>K97</f>
        <v>7444</v>
      </c>
      <c r="F192" s="93">
        <f t="shared" si="2"/>
        <v>567584</v>
      </c>
      <c r="G192" s="92"/>
      <c r="H192" s="98"/>
      <c r="I192" s="98"/>
      <c r="J192" s="93">
        <f t="shared" si="3"/>
        <v>3580</v>
      </c>
      <c r="K192" s="98"/>
      <c r="L192" s="93">
        <f t="shared" si="4"/>
        <v>577145</v>
      </c>
      <c r="M192" s="92"/>
      <c r="N192" s="98"/>
      <c r="O192" s="98"/>
      <c r="P192" s="93">
        <f t="shared" si="5"/>
        <v>192</v>
      </c>
      <c r="Q192" s="98"/>
      <c r="R192" s="93">
        <f t="shared" si="6"/>
        <v>157270</v>
      </c>
      <c r="S192" s="92"/>
    </row>
    <row r="193" ht="15.0" customHeight="1">
      <c r="A193" s="92"/>
      <c r="B193" s="93" t="s">
        <v>1602</v>
      </c>
      <c r="C193" s="93">
        <f>O97</f>
        <v>1</v>
      </c>
      <c r="D193" s="93">
        <f t="shared" si="1"/>
        <v>2170</v>
      </c>
      <c r="E193" s="93">
        <f>Q97</f>
        <v>244</v>
      </c>
      <c r="F193" s="93">
        <f t="shared" si="2"/>
        <v>567828</v>
      </c>
      <c r="G193" s="92"/>
      <c r="H193" s="98"/>
      <c r="I193" s="98"/>
      <c r="J193" s="93">
        <f t="shared" si="3"/>
        <v>3580</v>
      </c>
      <c r="K193" s="98"/>
      <c r="L193" s="93">
        <f t="shared" si="4"/>
        <v>577145</v>
      </c>
      <c r="M193" s="92"/>
      <c r="N193" s="98"/>
      <c r="O193" s="98"/>
      <c r="P193" s="93">
        <f t="shared" si="5"/>
        <v>192</v>
      </c>
      <c r="Q193" s="98"/>
      <c r="R193" s="93">
        <f t="shared" si="6"/>
        <v>157270</v>
      </c>
      <c r="S193" s="92"/>
    </row>
    <row r="194" ht="15.0" customHeight="1">
      <c r="A194" s="92"/>
      <c r="B194" s="93" t="s">
        <v>1603</v>
      </c>
      <c r="C194" s="93">
        <f>I98</f>
        <v>20</v>
      </c>
      <c r="D194" s="93">
        <f t="shared" si="1"/>
        <v>2190</v>
      </c>
      <c r="E194" s="93">
        <f>K98</f>
        <v>4650</v>
      </c>
      <c r="F194" s="93">
        <f t="shared" si="2"/>
        <v>572478</v>
      </c>
      <c r="G194" s="92"/>
      <c r="H194" s="98"/>
      <c r="I194" s="98"/>
      <c r="J194" s="93">
        <f t="shared" si="3"/>
        <v>3580</v>
      </c>
      <c r="K194" s="98"/>
      <c r="L194" s="93">
        <f t="shared" si="4"/>
        <v>577145</v>
      </c>
      <c r="M194" s="92"/>
      <c r="N194" s="98"/>
      <c r="O194" s="98"/>
      <c r="P194" s="93">
        <f t="shared" si="5"/>
        <v>192</v>
      </c>
      <c r="Q194" s="98"/>
      <c r="R194" s="93">
        <f t="shared" si="6"/>
        <v>157270</v>
      </c>
      <c r="S194" s="92"/>
    </row>
    <row r="195" ht="15.0" customHeight="1">
      <c r="A195" s="92"/>
      <c r="B195" s="93" t="s">
        <v>1604</v>
      </c>
      <c r="C195" s="93">
        <f>O98</f>
        <v>0</v>
      </c>
      <c r="D195" s="93">
        <f t="shared" si="1"/>
        <v>2190</v>
      </c>
      <c r="E195" s="93">
        <f>Q98</f>
        <v>0</v>
      </c>
      <c r="F195" s="93">
        <f t="shared" si="2"/>
        <v>572478</v>
      </c>
      <c r="G195" s="92"/>
      <c r="H195" s="98"/>
      <c r="I195" s="98"/>
      <c r="J195" s="93">
        <f t="shared" si="3"/>
        <v>3580</v>
      </c>
      <c r="K195" s="98"/>
      <c r="L195" s="93">
        <f t="shared" si="4"/>
        <v>577145</v>
      </c>
      <c r="M195" s="92"/>
      <c r="N195" s="98"/>
      <c r="O195" s="98"/>
      <c r="P195" s="93">
        <f t="shared" si="5"/>
        <v>192</v>
      </c>
      <c r="Q195" s="98"/>
      <c r="R195" s="93">
        <f t="shared" si="6"/>
        <v>157270</v>
      </c>
      <c r="S195" s="92"/>
    </row>
    <row r="196" ht="15.0" customHeight="1">
      <c r="A196" s="92"/>
      <c r="B196" s="93" t="s">
        <v>1605</v>
      </c>
      <c r="C196" s="93">
        <f>I99</f>
        <v>22</v>
      </c>
      <c r="D196" s="93">
        <f t="shared" si="1"/>
        <v>2212</v>
      </c>
      <c r="E196" s="93">
        <f>K99</f>
        <v>4084</v>
      </c>
      <c r="F196" s="93">
        <f t="shared" si="2"/>
        <v>576562</v>
      </c>
      <c r="G196" s="92"/>
      <c r="H196" s="98"/>
      <c r="I196" s="98"/>
      <c r="J196" s="93">
        <f t="shared" si="3"/>
        <v>3580</v>
      </c>
      <c r="K196" s="98"/>
      <c r="L196" s="93">
        <f t="shared" si="4"/>
        <v>577145</v>
      </c>
      <c r="M196" s="92"/>
      <c r="N196" s="98"/>
      <c r="O196" s="98"/>
      <c r="P196" s="93">
        <f t="shared" si="5"/>
        <v>192</v>
      </c>
      <c r="Q196" s="98"/>
      <c r="R196" s="93">
        <f t="shared" si="6"/>
        <v>157270</v>
      </c>
      <c r="S196" s="92"/>
    </row>
    <row r="197" ht="15.0" customHeight="1">
      <c r="A197" s="92"/>
      <c r="B197" s="93" t="s">
        <v>1606</v>
      </c>
      <c r="C197" s="93">
        <f>O99</f>
        <v>0</v>
      </c>
      <c r="D197" s="93">
        <f t="shared" si="1"/>
        <v>2212</v>
      </c>
      <c r="E197" s="93">
        <f>Q99</f>
        <v>0</v>
      </c>
      <c r="F197" s="93">
        <f t="shared" si="2"/>
        <v>576562</v>
      </c>
      <c r="G197" s="92"/>
      <c r="H197" s="98"/>
      <c r="I197" s="98"/>
      <c r="J197" s="93">
        <f t="shared" si="3"/>
        <v>3580</v>
      </c>
      <c r="K197" s="98"/>
      <c r="L197" s="93">
        <f t="shared" si="4"/>
        <v>577145</v>
      </c>
      <c r="M197" s="92"/>
      <c r="N197" s="98"/>
      <c r="O197" s="98"/>
      <c r="P197" s="93">
        <f t="shared" si="5"/>
        <v>192</v>
      </c>
      <c r="Q197" s="98"/>
      <c r="R197" s="93">
        <f t="shared" si="6"/>
        <v>157270</v>
      </c>
      <c r="S197" s="92"/>
    </row>
    <row r="198" ht="15.0" customHeight="1">
      <c r="A198" s="92"/>
      <c r="B198" s="93" t="s">
        <v>1607</v>
      </c>
      <c r="C198" s="93">
        <f>I100</f>
        <v>34</v>
      </c>
      <c r="D198" s="93">
        <f t="shared" si="1"/>
        <v>2246</v>
      </c>
      <c r="E198" s="93">
        <f>K100</f>
        <v>5533</v>
      </c>
      <c r="F198" s="93">
        <f t="shared" si="2"/>
        <v>582095</v>
      </c>
      <c r="G198" s="92"/>
      <c r="H198" s="98"/>
      <c r="I198" s="98"/>
      <c r="J198" s="93">
        <f t="shared" si="3"/>
        <v>3580</v>
      </c>
      <c r="K198" s="98"/>
      <c r="L198" s="93">
        <f t="shared" si="4"/>
        <v>577145</v>
      </c>
      <c r="M198" s="92"/>
      <c r="N198" s="98"/>
      <c r="O198" s="98"/>
      <c r="P198" s="93">
        <f t="shared" si="5"/>
        <v>192</v>
      </c>
      <c r="Q198" s="98"/>
      <c r="R198" s="93">
        <f t="shared" si="6"/>
        <v>157270</v>
      </c>
      <c r="S198" s="92"/>
    </row>
    <row r="199" ht="15.0" customHeight="1">
      <c r="A199" s="92"/>
      <c r="B199" s="93" t="s">
        <v>1608</v>
      </c>
      <c r="C199" s="93">
        <f>O100</f>
        <v>0</v>
      </c>
      <c r="D199" s="93">
        <f t="shared" si="1"/>
        <v>2246</v>
      </c>
      <c r="E199" s="93">
        <f>Q100</f>
        <v>0</v>
      </c>
      <c r="F199" s="93">
        <f t="shared" si="2"/>
        <v>582095</v>
      </c>
      <c r="G199" s="92"/>
      <c r="H199" s="98"/>
      <c r="I199" s="98"/>
      <c r="J199" s="93">
        <f t="shared" si="3"/>
        <v>3580</v>
      </c>
      <c r="K199" s="98"/>
      <c r="L199" s="93">
        <f t="shared" si="4"/>
        <v>577145</v>
      </c>
      <c r="M199" s="92"/>
      <c r="N199" s="98"/>
      <c r="O199" s="98"/>
      <c r="P199" s="93">
        <f t="shared" si="5"/>
        <v>192</v>
      </c>
      <c r="Q199" s="98"/>
      <c r="R199" s="93">
        <f t="shared" si="6"/>
        <v>157270</v>
      </c>
      <c r="S199" s="92"/>
    </row>
    <row r="200" ht="15.0" customHeight="1">
      <c r="A200" s="92"/>
      <c r="B200" s="93" t="s">
        <v>1609</v>
      </c>
      <c r="C200" s="93">
        <f>I101</f>
        <v>23</v>
      </c>
      <c r="D200" s="93">
        <f t="shared" si="1"/>
        <v>2269</v>
      </c>
      <c r="E200" s="93">
        <f>K101</f>
        <v>4132</v>
      </c>
      <c r="F200" s="93">
        <f t="shared" si="2"/>
        <v>586227</v>
      </c>
      <c r="G200" s="92"/>
      <c r="H200" s="98"/>
      <c r="I200" s="98"/>
      <c r="J200" s="93">
        <f t="shared" si="3"/>
        <v>3580</v>
      </c>
      <c r="K200" s="98"/>
      <c r="L200" s="93">
        <f t="shared" si="4"/>
        <v>577145</v>
      </c>
      <c r="M200" s="92"/>
      <c r="N200" s="98"/>
      <c r="O200" s="98"/>
      <c r="P200" s="93">
        <f t="shared" si="5"/>
        <v>192</v>
      </c>
      <c r="Q200" s="98"/>
      <c r="R200" s="93">
        <f t="shared" si="6"/>
        <v>157270</v>
      </c>
      <c r="S200" s="92"/>
    </row>
    <row r="201" ht="15.0" customHeight="1">
      <c r="A201" s="92"/>
      <c r="B201" s="93" t="s">
        <v>1610</v>
      </c>
      <c r="C201" s="93">
        <f>O101</f>
        <v>1</v>
      </c>
      <c r="D201" s="93">
        <f t="shared" si="1"/>
        <v>2270</v>
      </c>
      <c r="E201" s="93">
        <f>Q101</f>
        <v>190</v>
      </c>
      <c r="F201" s="93">
        <f t="shared" si="2"/>
        <v>586417</v>
      </c>
      <c r="G201" s="92"/>
      <c r="H201" s="98"/>
      <c r="I201" s="98"/>
      <c r="J201" s="93">
        <f t="shared" si="3"/>
        <v>3580</v>
      </c>
      <c r="K201" s="98"/>
      <c r="L201" s="93">
        <f t="shared" si="4"/>
        <v>577145</v>
      </c>
      <c r="M201" s="92"/>
      <c r="N201" s="98"/>
      <c r="O201" s="98"/>
      <c r="P201" s="93">
        <f t="shared" si="5"/>
        <v>192</v>
      </c>
      <c r="Q201" s="98"/>
      <c r="R201" s="93">
        <f t="shared" si="6"/>
        <v>157270</v>
      </c>
      <c r="S201" s="92"/>
    </row>
    <row r="202" ht="15.0" customHeight="1">
      <c r="A202" s="92"/>
      <c r="B202" s="93" t="s">
        <v>1611</v>
      </c>
      <c r="C202" s="93">
        <f>I102</f>
        <v>29</v>
      </c>
      <c r="D202" s="93">
        <f t="shared" si="1"/>
        <v>2299</v>
      </c>
      <c r="E202" s="93">
        <f>K102</f>
        <v>4897</v>
      </c>
      <c r="F202" s="93">
        <f t="shared" si="2"/>
        <v>591314</v>
      </c>
      <c r="G202" s="92"/>
      <c r="H202" s="98"/>
      <c r="I202" s="98"/>
      <c r="J202" s="93">
        <f t="shared" si="3"/>
        <v>3580</v>
      </c>
      <c r="K202" s="98"/>
      <c r="L202" s="93">
        <f t="shared" si="4"/>
        <v>577145</v>
      </c>
      <c r="M202" s="92"/>
      <c r="N202" s="98"/>
      <c r="O202" s="98"/>
      <c r="P202" s="93">
        <f t="shared" si="5"/>
        <v>192</v>
      </c>
      <c r="Q202" s="98"/>
      <c r="R202" s="93">
        <f t="shared" si="6"/>
        <v>157270</v>
      </c>
      <c r="S202" s="92"/>
    </row>
    <row r="203" ht="15.0" customHeight="1">
      <c r="A203" s="92"/>
      <c r="B203" s="93" t="s">
        <v>1612</v>
      </c>
      <c r="C203" s="93">
        <f>O102</f>
        <v>1</v>
      </c>
      <c r="D203" s="93">
        <f t="shared" si="1"/>
        <v>2300</v>
      </c>
      <c r="E203" s="93">
        <f>Q102</f>
        <v>83</v>
      </c>
      <c r="F203" s="93">
        <f t="shared" si="2"/>
        <v>591397</v>
      </c>
      <c r="G203" s="92"/>
      <c r="H203" s="98"/>
      <c r="I203" s="98"/>
      <c r="J203" s="93">
        <f t="shared" si="3"/>
        <v>3580</v>
      </c>
      <c r="K203" s="98"/>
      <c r="L203" s="93">
        <f t="shared" si="4"/>
        <v>577145</v>
      </c>
      <c r="M203" s="92"/>
      <c r="N203" s="98"/>
      <c r="O203" s="98"/>
      <c r="P203" s="93">
        <f t="shared" si="5"/>
        <v>192</v>
      </c>
      <c r="Q203" s="98"/>
      <c r="R203" s="93">
        <f t="shared" si="6"/>
        <v>157270</v>
      </c>
      <c r="S203" s="92"/>
    </row>
    <row r="204" ht="15.0" customHeight="1">
      <c r="A204" s="92"/>
      <c r="B204" s="93" t="s">
        <v>1613</v>
      </c>
      <c r="C204" s="93">
        <f>I103</f>
        <v>21</v>
      </c>
      <c r="D204" s="93">
        <f t="shared" si="1"/>
        <v>2321</v>
      </c>
      <c r="E204" s="93">
        <f>K103</f>
        <v>4258</v>
      </c>
      <c r="F204" s="93">
        <f t="shared" si="2"/>
        <v>595655</v>
      </c>
      <c r="G204" s="92"/>
      <c r="H204" s="98"/>
      <c r="I204" s="98"/>
      <c r="J204" s="93">
        <f t="shared" si="3"/>
        <v>3580</v>
      </c>
      <c r="K204" s="98"/>
      <c r="L204" s="93">
        <f t="shared" si="4"/>
        <v>577145</v>
      </c>
      <c r="M204" s="92"/>
      <c r="N204" s="98"/>
      <c r="O204" s="98"/>
      <c r="P204" s="93">
        <f t="shared" si="5"/>
        <v>192</v>
      </c>
      <c r="Q204" s="98"/>
      <c r="R204" s="93">
        <f t="shared" si="6"/>
        <v>157270</v>
      </c>
      <c r="S204" s="92"/>
    </row>
    <row r="205" ht="15.0" customHeight="1">
      <c r="A205" s="92"/>
      <c r="B205" s="93" t="s">
        <v>1614</v>
      </c>
      <c r="C205" s="93">
        <f>O103</f>
        <v>2</v>
      </c>
      <c r="D205" s="93">
        <f t="shared" si="1"/>
        <v>2323</v>
      </c>
      <c r="E205" s="93">
        <f>Q103</f>
        <v>347</v>
      </c>
      <c r="F205" s="93">
        <f t="shared" si="2"/>
        <v>596002</v>
      </c>
      <c r="G205" s="92"/>
      <c r="H205" s="98"/>
      <c r="I205" s="98"/>
      <c r="J205" s="93">
        <f t="shared" si="3"/>
        <v>3580</v>
      </c>
      <c r="K205" s="98"/>
      <c r="L205" s="93">
        <f t="shared" si="4"/>
        <v>577145</v>
      </c>
      <c r="M205" s="92"/>
      <c r="N205" s="98"/>
      <c r="O205" s="98"/>
      <c r="P205" s="93">
        <f t="shared" si="5"/>
        <v>192</v>
      </c>
      <c r="Q205" s="98"/>
      <c r="R205" s="93">
        <f t="shared" si="6"/>
        <v>157270</v>
      </c>
      <c r="S205" s="92"/>
    </row>
    <row r="206" ht="15.0" customHeight="1">
      <c r="A206" s="92"/>
      <c r="B206" s="93" t="s">
        <v>1615</v>
      </c>
      <c r="C206" s="93">
        <f>I104</f>
        <v>0</v>
      </c>
      <c r="D206" s="93">
        <f t="shared" si="1"/>
        <v>2323</v>
      </c>
      <c r="E206" s="93">
        <f>K104</f>
        <v>0</v>
      </c>
      <c r="F206" s="93">
        <f t="shared" si="2"/>
        <v>596002</v>
      </c>
      <c r="G206" s="92"/>
      <c r="H206" s="98"/>
      <c r="I206" s="98"/>
      <c r="J206" s="93">
        <f t="shared" si="3"/>
        <v>3580</v>
      </c>
      <c r="K206" s="98"/>
      <c r="L206" s="93">
        <f t="shared" si="4"/>
        <v>577145</v>
      </c>
      <c r="M206" s="92"/>
      <c r="N206" s="98"/>
      <c r="O206" s="98"/>
      <c r="P206" s="93">
        <f t="shared" si="5"/>
        <v>192</v>
      </c>
      <c r="Q206" s="98"/>
      <c r="R206" s="93">
        <f t="shared" si="6"/>
        <v>157270</v>
      </c>
      <c r="S206" s="92"/>
    </row>
    <row r="207" ht="15.0" customHeight="1">
      <c r="A207" s="92"/>
      <c r="B207" s="93" t="s">
        <v>1616</v>
      </c>
      <c r="C207" s="93">
        <f>O104</f>
        <v>0</v>
      </c>
      <c r="D207" s="93">
        <f t="shared" si="1"/>
        <v>2323</v>
      </c>
      <c r="E207" s="93">
        <f>Q104</f>
        <v>0</v>
      </c>
      <c r="F207" s="93">
        <f t="shared" si="2"/>
        <v>596002</v>
      </c>
      <c r="G207" s="92"/>
      <c r="H207" s="98"/>
      <c r="I207" s="98"/>
      <c r="J207" s="93">
        <f t="shared" si="3"/>
        <v>3580</v>
      </c>
      <c r="K207" s="98"/>
      <c r="L207" s="93">
        <f t="shared" si="4"/>
        <v>577145</v>
      </c>
      <c r="M207" s="92"/>
      <c r="N207" s="98"/>
      <c r="O207" s="98"/>
      <c r="P207" s="93">
        <f t="shared" si="5"/>
        <v>192</v>
      </c>
      <c r="Q207" s="98"/>
      <c r="R207" s="93">
        <f t="shared" si="6"/>
        <v>157270</v>
      </c>
      <c r="S207" s="92"/>
    </row>
    <row r="208" ht="15.0" customHeight="1">
      <c r="A208" s="92"/>
      <c r="B208" s="93" t="s">
        <v>1617</v>
      </c>
      <c r="C208" s="93">
        <f>I105</f>
        <v>22</v>
      </c>
      <c r="D208" s="93">
        <f t="shared" si="1"/>
        <v>2345</v>
      </c>
      <c r="E208" s="93">
        <f>K105</f>
        <v>4734</v>
      </c>
      <c r="F208" s="93">
        <f t="shared" si="2"/>
        <v>600736</v>
      </c>
      <c r="G208" s="92"/>
      <c r="H208" s="98"/>
      <c r="I208" s="98"/>
      <c r="J208" s="93">
        <f t="shared" si="3"/>
        <v>3580</v>
      </c>
      <c r="K208" s="98"/>
      <c r="L208" s="93">
        <f t="shared" si="4"/>
        <v>577145</v>
      </c>
      <c r="M208" s="92"/>
      <c r="N208" s="98"/>
      <c r="O208" s="98"/>
      <c r="P208" s="93">
        <f t="shared" si="5"/>
        <v>192</v>
      </c>
      <c r="Q208" s="98"/>
      <c r="R208" s="93">
        <f t="shared" si="6"/>
        <v>157270</v>
      </c>
      <c r="S208" s="92"/>
    </row>
    <row r="209" ht="15.0" customHeight="1">
      <c r="A209" s="92"/>
      <c r="B209" s="93" t="s">
        <v>1618</v>
      </c>
      <c r="C209" s="93">
        <f>O105</f>
        <v>2</v>
      </c>
      <c r="D209" s="93">
        <f t="shared" si="1"/>
        <v>2347</v>
      </c>
      <c r="E209" s="93">
        <f>Q105</f>
        <v>225</v>
      </c>
      <c r="F209" s="93">
        <f t="shared" si="2"/>
        <v>600961</v>
      </c>
      <c r="G209" s="92"/>
      <c r="H209" s="98"/>
      <c r="I209" s="98"/>
      <c r="J209" s="93">
        <f t="shared" si="3"/>
        <v>3580</v>
      </c>
      <c r="K209" s="98"/>
      <c r="L209" s="93">
        <f t="shared" si="4"/>
        <v>577145</v>
      </c>
      <c r="M209" s="92"/>
      <c r="N209" s="98"/>
      <c r="O209" s="98"/>
      <c r="P209" s="93">
        <f t="shared" si="5"/>
        <v>192</v>
      </c>
      <c r="Q209" s="98"/>
      <c r="R209" s="93">
        <f t="shared" si="6"/>
        <v>157270</v>
      </c>
      <c r="S209" s="92"/>
    </row>
    <row r="210" ht="15.0" customHeight="1">
      <c r="A210" s="92"/>
      <c r="B210" s="93" t="s">
        <v>1619</v>
      </c>
      <c r="C210" s="93">
        <f>I106</f>
        <v>30</v>
      </c>
      <c r="D210" s="93">
        <f t="shared" si="1"/>
        <v>2377</v>
      </c>
      <c r="E210" s="93">
        <f>K106</f>
        <v>6844</v>
      </c>
      <c r="F210" s="93">
        <f t="shared" si="2"/>
        <v>607805</v>
      </c>
      <c r="G210" s="92"/>
      <c r="H210" s="98"/>
      <c r="I210" s="98"/>
      <c r="J210" s="93">
        <f t="shared" si="3"/>
        <v>3580</v>
      </c>
      <c r="K210" s="98"/>
      <c r="L210" s="93">
        <f t="shared" si="4"/>
        <v>577145</v>
      </c>
      <c r="M210" s="92"/>
      <c r="N210" s="98"/>
      <c r="O210" s="98"/>
      <c r="P210" s="93">
        <f t="shared" si="5"/>
        <v>192</v>
      </c>
      <c r="Q210" s="98"/>
      <c r="R210" s="93">
        <f t="shared" si="6"/>
        <v>157270</v>
      </c>
      <c r="S210" s="92"/>
    </row>
    <row r="211" ht="15.0" customHeight="1">
      <c r="A211" s="92"/>
      <c r="B211" s="93" t="s">
        <v>1620</v>
      </c>
      <c r="C211" s="93">
        <f>O106</f>
        <v>0</v>
      </c>
      <c r="D211" s="93">
        <f t="shared" si="1"/>
        <v>2377</v>
      </c>
      <c r="E211" s="93">
        <f>Q106</f>
        <v>0</v>
      </c>
      <c r="F211" s="93">
        <f t="shared" si="2"/>
        <v>607805</v>
      </c>
      <c r="G211" s="92"/>
      <c r="H211" s="98"/>
      <c r="I211" s="98"/>
      <c r="J211" s="93">
        <f t="shared" si="3"/>
        <v>3580</v>
      </c>
      <c r="K211" s="98"/>
      <c r="L211" s="93">
        <f t="shared" si="4"/>
        <v>577145</v>
      </c>
      <c r="M211" s="92"/>
      <c r="N211" s="98"/>
      <c r="O211" s="98"/>
      <c r="P211" s="93">
        <f t="shared" si="5"/>
        <v>192</v>
      </c>
      <c r="Q211" s="98"/>
      <c r="R211" s="93">
        <f t="shared" si="6"/>
        <v>157270</v>
      </c>
      <c r="S211" s="92"/>
    </row>
    <row r="212" ht="15.0" customHeight="1">
      <c r="A212" s="92"/>
      <c r="B212" s="93" t="s">
        <v>1621</v>
      </c>
      <c r="C212" s="93">
        <f>I107</f>
        <v>27</v>
      </c>
      <c r="D212" s="93">
        <f t="shared" si="1"/>
        <v>2404</v>
      </c>
      <c r="E212" s="93">
        <f>K107</f>
        <v>6260</v>
      </c>
      <c r="F212" s="93">
        <f t="shared" si="2"/>
        <v>614065</v>
      </c>
      <c r="G212" s="92"/>
      <c r="H212" s="98"/>
      <c r="I212" s="98"/>
      <c r="J212" s="93">
        <f t="shared" si="3"/>
        <v>3580</v>
      </c>
      <c r="K212" s="98"/>
      <c r="L212" s="93">
        <f t="shared" si="4"/>
        <v>577145</v>
      </c>
      <c r="M212" s="92"/>
      <c r="N212" s="98"/>
      <c r="O212" s="98"/>
      <c r="P212" s="93">
        <f t="shared" si="5"/>
        <v>192</v>
      </c>
      <c r="Q212" s="98"/>
      <c r="R212" s="93">
        <f t="shared" si="6"/>
        <v>157270</v>
      </c>
      <c r="S212" s="92"/>
    </row>
    <row r="213" ht="15.0" customHeight="1">
      <c r="A213" s="92"/>
      <c r="B213" s="93" t="s">
        <v>1622</v>
      </c>
      <c r="C213" s="93">
        <f>O107</f>
        <v>0</v>
      </c>
      <c r="D213" s="93">
        <f t="shared" si="1"/>
        <v>2404</v>
      </c>
      <c r="E213" s="93">
        <f>Q107</f>
        <v>0</v>
      </c>
      <c r="F213" s="93">
        <f t="shared" si="2"/>
        <v>614065</v>
      </c>
      <c r="G213" s="92"/>
      <c r="H213" s="98"/>
      <c r="I213" s="98"/>
      <c r="J213" s="93">
        <f t="shared" si="3"/>
        <v>3580</v>
      </c>
      <c r="K213" s="98"/>
      <c r="L213" s="93">
        <f t="shared" si="4"/>
        <v>577145</v>
      </c>
      <c r="M213" s="92"/>
      <c r="N213" s="98"/>
      <c r="O213" s="98"/>
      <c r="P213" s="93">
        <f t="shared" si="5"/>
        <v>192</v>
      </c>
      <c r="Q213" s="98"/>
      <c r="R213" s="93">
        <f t="shared" si="6"/>
        <v>157270</v>
      </c>
      <c r="S213" s="92"/>
    </row>
    <row r="214" ht="15.0" customHeight="1">
      <c r="A214" s="92"/>
      <c r="B214" s="93" t="s">
        <v>1623</v>
      </c>
      <c r="C214" s="93">
        <f>I108</f>
        <v>27</v>
      </c>
      <c r="D214" s="93">
        <f t="shared" si="1"/>
        <v>2431</v>
      </c>
      <c r="E214" s="93">
        <f>K108</f>
        <v>11445</v>
      </c>
      <c r="F214" s="93">
        <f t="shared" si="2"/>
        <v>625510</v>
      </c>
      <c r="G214" s="92"/>
      <c r="H214" s="98"/>
      <c r="I214" s="98"/>
      <c r="J214" s="93">
        <f t="shared" si="3"/>
        <v>3580</v>
      </c>
      <c r="K214" s="98"/>
      <c r="L214" s="93">
        <f t="shared" si="4"/>
        <v>577145</v>
      </c>
      <c r="M214" s="92"/>
      <c r="N214" s="98"/>
      <c r="O214" s="98"/>
      <c r="P214" s="93">
        <f t="shared" si="5"/>
        <v>192</v>
      </c>
      <c r="Q214" s="98"/>
      <c r="R214" s="93">
        <f t="shared" si="6"/>
        <v>157270</v>
      </c>
      <c r="S214" s="92"/>
    </row>
    <row r="215" ht="15.0" customHeight="1">
      <c r="A215" s="92"/>
      <c r="B215" s="93" t="s">
        <v>1624</v>
      </c>
      <c r="C215" s="93">
        <f>O108</f>
        <v>1</v>
      </c>
      <c r="D215" s="93">
        <f t="shared" si="1"/>
        <v>2432</v>
      </c>
      <c r="E215" s="93">
        <f>Q108</f>
        <v>94</v>
      </c>
      <c r="F215" s="93">
        <f t="shared" si="2"/>
        <v>625604</v>
      </c>
      <c r="G215" s="92"/>
      <c r="H215" s="98"/>
      <c r="I215" s="98"/>
      <c r="J215" s="93">
        <f t="shared" si="3"/>
        <v>3580</v>
      </c>
      <c r="K215" s="98"/>
      <c r="L215" s="93">
        <f t="shared" si="4"/>
        <v>577145</v>
      </c>
      <c r="M215" s="92"/>
      <c r="N215" s="98"/>
      <c r="O215" s="98"/>
      <c r="P215" s="93">
        <f t="shared" si="5"/>
        <v>192</v>
      </c>
      <c r="Q215" s="98"/>
      <c r="R215" s="93">
        <f t="shared" si="6"/>
        <v>157270</v>
      </c>
      <c r="S215" s="92"/>
    </row>
    <row r="216" ht="15.0" customHeight="1">
      <c r="A216" s="92"/>
      <c r="B216" s="93" t="s">
        <v>1625</v>
      </c>
      <c r="C216" s="93">
        <f>I109</f>
        <v>44</v>
      </c>
      <c r="D216" s="93">
        <f t="shared" si="1"/>
        <v>2476</v>
      </c>
      <c r="E216" s="93">
        <f>K109</f>
        <v>11537</v>
      </c>
      <c r="F216" s="93">
        <f t="shared" si="2"/>
        <v>637141</v>
      </c>
      <c r="G216" s="92"/>
      <c r="H216" s="98"/>
      <c r="I216" s="98"/>
      <c r="J216" s="93">
        <f t="shared" si="3"/>
        <v>3580</v>
      </c>
      <c r="K216" s="98"/>
      <c r="L216" s="93">
        <f t="shared" si="4"/>
        <v>577145</v>
      </c>
      <c r="M216" s="92"/>
      <c r="N216" s="98"/>
      <c r="O216" s="98"/>
      <c r="P216" s="93">
        <f t="shared" si="5"/>
        <v>192</v>
      </c>
      <c r="Q216" s="98"/>
      <c r="R216" s="93">
        <f t="shared" si="6"/>
        <v>157270</v>
      </c>
      <c r="S216" s="92"/>
    </row>
    <row r="217" ht="15.0" customHeight="1">
      <c r="A217" s="92"/>
      <c r="B217" s="93" t="s">
        <v>1626</v>
      </c>
      <c r="C217" s="93">
        <f>O109</f>
        <v>0</v>
      </c>
      <c r="D217" s="93">
        <f t="shared" si="1"/>
        <v>2476</v>
      </c>
      <c r="E217" s="93">
        <f>Q109</f>
        <v>0</v>
      </c>
      <c r="F217" s="93">
        <f t="shared" si="2"/>
        <v>637141</v>
      </c>
      <c r="G217" s="92"/>
      <c r="H217" s="98"/>
      <c r="I217" s="98"/>
      <c r="J217" s="93">
        <f t="shared" si="3"/>
        <v>3580</v>
      </c>
      <c r="K217" s="98"/>
      <c r="L217" s="93">
        <f t="shared" si="4"/>
        <v>577145</v>
      </c>
      <c r="M217" s="92"/>
      <c r="N217" s="98"/>
      <c r="O217" s="98"/>
      <c r="P217" s="93">
        <f t="shared" si="5"/>
        <v>192</v>
      </c>
      <c r="Q217" s="98"/>
      <c r="R217" s="93">
        <f t="shared" si="6"/>
        <v>157270</v>
      </c>
      <c r="S217" s="92"/>
    </row>
    <row r="218" ht="15.0" customHeight="1">
      <c r="A218" s="92"/>
      <c r="B218" s="97" t="s">
        <v>1627</v>
      </c>
      <c r="C218" s="93">
        <f>I110</f>
        <v>21</v>
      </c>
      <c r="D218" s="93">
        <f t="shared" si="1"/>
        <v>2497</v>
      </c>
      <c r="E218" s="93">
        <f>K110</f>
        <v>6836</v>
      </c>
      <c r="F218" s="93">
        <f t="shared" si="2"/>
        <v>643977</v>
      </c>
      <c r="G218" s="92"/>
      <c r="H218" s="98"/>
      <c r="I218" s="98"/>
      <c r="J218" s="93">
        <f t="shared" si="3"/>
        <v>3580</v>
      </c>
      <c r="K218" s="98"/>
      <c r="L218" s="93">
        <f t="shared" si="4"/>
        <v>577145</v>
      </c>
      <c r="M218" s="92"/>
      <c r="N218" s="98"/>
      <c r="O218" s="98"/>
      <c r="P218" s="93">
        <f t="shared" si="5"/>
        <v>192</v>
      </c>
      <c r="Q218" s="98"/>
      <c r="R218" s="93">
        <f t="shared" si="6"/>
        <v>157270</v>
      </c>
      <c r="S218" s="92"/>
    </row>
    <row r="219" ht="15.0" customHeight="1">
      <c r="A219" s="92"/>
      <c r="B219" s="97" t="s">
        <v>1628</v>
      </c>
      <c r="C219" s="93">
        <f>O110</f>
        <v>0</v>
      </c>
      <c r="D219" s="93">
        <f t="shared" si="1"/>
        <v>2497</v>
      </c>
      <c r="E219" s="93">
        <f>Q110</f>
        <v>0</v>
      </c>
      <c r="F219" s="93">
        <f t="shared" si="2"/>
        <v>643977</v>
      </c>
      <c r="G219" s="92"/>
      <c r="H219" s="98"/>
      <c r="I219" s="98"/>
      <c r="J219" s="93">
        <f t="shared" si="3"/>
        <v>3580</v>
      </c>
      <c r="K219" s="98"/>
      <c r="L219" s="93">
        <f t="shared" si="4"/>
        <v>577145</v>
      </c>
      <c r="M219" s="92"/>
      <c r="N219" s="98"/>
      <c r="O219" s="98"/>
      <c r="P219" s="93">
        <f t="shared" si="5"/>
        <v>192</v>
      </c>
      <c r="Q219" s="98"/>
      <c r="R219" s="93">
        <f t="shared" si="6"/>
        <v>157270</v>
      </c>
      <c r="S219" s="92"/>
    </row>
    <row r="220" ht="15.0" customHeight="1">
      <c r="A220" s="92"/>
      <c r="B220" s="97" t="s">
        <v>1629</v>
      </c>
      <c r="C220" s="93">
        <f>I111</f>
        <v>13</v>
      </c>
      <c r="D220" s="93">
        <f t="shared" si="1"/>
        <v>2510</v>
      </c>
      <c r="E220" s="93">
        <f>K111</f>
        <v>6119</v>
      </c>
      <c r="F220" s="93">
        <f t="shared" si="2"/>
        <v>650096</v>
      </c>
      <c r="G220" s="92"/>
      <c r="H220" s="98"/>
      <c r="I220" s="98"/>
      <c r="J220" s="93">
        <f t="shared" si="3"/>
        <v>3580</v>
      </c>
      <c r="K220" s="98"/>
      <c r="L220" s="93">
        <f t="shared" si="4"/>
        <v>577145</v>
      </c>
      <c r="M220" s="92"/>
      <c r="N220" s="98"/>
      <c r="O220" s="98"/>
      <c r="P220" s="93">
        <f t="shared" si="5"/>
        <v>192</v>
      </c>
      <c r="Q220" s="98"/>
      <c r="R220" s="93">
        <f t="shared" si="6"/>
        <v>157270</v>
      </c>
      <c r="S220" s="92"/>
    </row>
    <row r="221" ht="15.0" customHeight="1">
      <c r="A221" s="92"/>
      <c r="B221" s="97" t="s">
        <v>1630</v>
      </c>
      <c r="C221" s="93">
        <f>O111</f>
        <v>0</v>
      </c>
      <c r="D221" s="93">
        <f t="shared" si="1"/>
        <v>2510</v>
      </c>
      <c r="E221" s="93">
        <f>Q111</f>
        <v>0</v>
      </c>
      <c r="F221" s="93">
        <f t="shared" si="2"/>
        <v>650096</v>
      </c>
      <c r="G221" s="92"/>
      <c r="H221" s="98"/>
      <c r="I221" s="98"/>
      <c r="J221" s="93">
        <f t="shared" si="3"/>
        <v>3580</v>
      </c>
      <c r="K221" s="98"/>
      <c r="L221" s="93">
        <f t="shared" si="4"/>
        <v>577145</v>
      </c>
      <c r="M221" s="92"/>
      <c r="N221" s="98"/>
      <c r="O221" s="98"/>
      <c r="P221" s="93">
        <f t="shared" si="5"/>
        <v>192</v>
      </c>
      <c r="Q221" s="98"/>
      <c r="R221" s="93">
        <f t="shared" si="6"/>
        <v>157270</v>
      </c>
      <c r="S221" s="92"/>
    </row>
    <row r="222" ht="15.0" customHeight="1">
      <c r="A222" s="92"/>
      <c r="B222" s="97" t="s">
        <v>1631</v>
      </c>
      <c r="C222" s="93">
        <f>I112</f>
        <v>19</v>
      </c>
      <c r="D222" s="93">
        <f t="shared" si="1"/>
        <v>2529</v>
      </c>
      <c r="E222" s="93">
        <f>K112</f>
        <v>4087</v>
      </c>
      <c r="F222" s="93">
        <f t="shared" si="2"/>
        <v>654183</v>
      </c>
      <c r="G222" s="92"/>
      <c r="H222" s="98"/>
      <c r="I222" s="98"/>
      <c r="J222" s="93">
        <f t="shared" si="3"/>
        <v>3580</v>
      </c>
      <c r="K222" s="98"/>
      <c r="L222" s="93">
        <f t="shared" si="4"/>
        <v>577145</v>
      </c>
      <c r="M222" s="92"/>
      <c r="N222" s="98"/>
      <c r="O222" s="98"/>
      <c r="P222" s="93">
        <f t="shared" si="5"/>
        <v>192</v>
      </c>
      <c r="Q222" s="98"/>
      <c r="R222" s="93">
        <f t="shared" si="6"/>
        <v>157270</v>
      </c>
      <c r="S222" s="92"/>
    </row>
    <row r="223" ht="15.0" customHeight="1">
      <c r="A223" s="92"/>
      <c r="B223" s="97" t="s">
        <v>1632</v>
      </c>
      <c r="C223" s="93">
        <f>O112</f>
        <v>0</v>
      </c>
      <c r="D223" s="93">
        <f t="shared" si="1"/>
        <v>2529</v>
      </c>
      <c r="E223" s="93">
        <f>Q112</f>
        <v>0</v>
      </c>
      <c r="F223" s="93">
        <f t="shared" si="2"/>
        <v>654183</v>
      </c>
      <c r="G223" s="92"/>
      <c r="H223" s="98"/>
      <c r="I223" s="98"/>
      <c r="J223" s="93">
        <f t="shared" si="3"/>
        <v>3580</v>
      </c>
      <c r="K223" s="98"/>
      <c r="L223" s="93">
        <f t="shared" si="4"/>
        <v>577145</v>
      </c>
      <c r="M223" s="92"/>
      <c r="N223" s="98"/>
      <c r="O223" s="98"/>
      <c r="P223" s="93">
        <f t="shared" si="5"/>
        <v>192</v>
      </c>
      <c r="Q223" s="98"/>
      <c r="R223" s="93">
        <f t="shared" si="6"/>
        <v>157270</v>
      </c>
      <c r="S223" s="92"/>
    </row>
    <row r="224" ht="15.0" customHeight="1">
      <c r="A224" s="92"/>
      <c r="B224" s="97" t="s">
        <v>1633</v>
      </c>
      <c r="C224" s="93">
        <f>I113</f>
        <v>29</v>
      </c>
      <c r="D224" s="93">
        <f t="shared" si="1"/>
        <v>2558</v>
      </c>
      <c r="E224" s="93">
        <f>K113</f>
        <v>5601</v>
      </c>
      <c r="F224" s="93">
        <f t="shared" si="2"/>
        <v>659784</v>
      </c>
      <c r="G224" s="92"/>
      <c r="H224" s="98"/>
      <c r="I224" s="98"/>
      <c r="J224" s="93">
        <f t="shared" si="3"/>
        <v>3580</v>
      </c>
      <c r="K224" s="98"/>
      <c r="L224" s="93">
        <f t="shared" si="4"/>
        <v>577145</v>
      </c>
      <c r="M224" s="92"/>
      <c r="N224" s="98"/>
      <c r="O224" s="98"/>
      <c r="P224" s="93">
        <f t="shared" si="5"/>
        <v>192</v>
      </c>
      <c r="Q224" s="98"/>
      <c r="R224" s="93">
        <f t="shared" si="6"/>
        <v>157270</v>
      </c>
      <c r="S224" s="92"/>
    </row>
    <row r="225" ht="15.0" customHeight="1">
      <c r="A225" s="92"/>
      <c r="B225" s="97" t="s">
        <v>1634</v>
      </c>
      <c r="C225" s="93">
        <f>O113</f>
        <v>1</v>
      </c>
      <c r="D225" s="93">
        <f t="shared" si="1"/>
        <v>2559</v>
      </c>
      <c r="E225" s="93">
        <f>Q113</f>
        <v>365</v>
      </c>
      <c r="F225" s="93">
        <f t="shared" si="2"/>
        <v>660149</v>
      </c>
      <c r="G225" s="92"/>
      <c r="H225" s="98"/>
      <c r="I225" s="98"/>
      <c r="J225" s="93">
        <f t="shared" si="3"/>
        <v>3580</v>
      </c>
      <c r="K225" s="98"/>
      <c r="L225" s="93">
        <f t="shared" si="4"/>
        <v>577145</v>
      </c>
      <c r="M225" s="92"/>
      <c r="N225" s="98"/>
      <c r="O225" s="98"/>
      <c r="P225" s="93">
        <f t="shared" si="5"/>
        <v>192</v>
      </c>
      <c r="Q225" s="98"/>
      <c r="R225" s="93">
        <f t="shared" si="6"/>
        <v>157270</v>
      </c>
      <c r="S225" s="92"/>
    </row>
    <row r="226" ht="15.0" customHeight="1">
      <c r="A226" s="92"/>
      <c r="B226" s="97" t="s">
        <v>1635</v>
      </c>
      <c r="C226" s="93">
        <f>I114</f>
        <v>26</v>
      </c>
      <c r="D226" s="93">
        <f t="shared" si="1"/>
        <v>2585</v>
      </c>
      <c r="E226" s="93">
        <f>K114</f>
        <v>7720</v>
      </c>
      <c r="F226" s="93">
        <f t="shared" si="2"/>
        <v>667869</v>
      </c>
      <c r="G226" s="92"/>
      <c r="H226" s="98"/>
      <c r="I226" s="98"/>
      <c r="J226" s="93">
        <f t="shared" si="3"/>
        <v>3580</v>
      </c>
      <c r="K226" s="98"/>
      <c r="L226" s="93">
        <f t="shared" si="4"/>
        <v>577145</v>
      </c>
      <c r="M226" s="92"/>
      <c r="N226" s="98"/>
      <c r="O226" s="98"/>
      <c r="P226" s="93">
        <f t="shared" si="5"/>
        <v>192</v>
      </c>
      <c r="Q226" s="98"/>
      <c r="R226" s="93">
        <f t="shared" si="6"/>
        <v>157270</v>
      </c>
      <c r="S226" s="92"/>
    </row>
    <row r="227" ht="15.0" customHeight="1">
      <c r="A227" s="92"/>
      <c r="B227" s="97" t="s">
        <v>1636</v>
      </c>
      <c r="C227" s="93">
        <f>O114</f>
        <v>1</v>
      </c>
      <c r="D227" s="93">
        <f t="shared" si="1"/>
        <v>2586</v>
      </c>
      <c r="E227" s="93">
        <f>Q114</f>
        <v>100</v>
      </c>
      <c r="F227" s="93">
        <f t="shared" si="2"/>
        <v>667969</v>
      </c>
      <c r="G227" s="92"/>
      <c r="H227" s="98"/>
      <c r="I227" s="98"/>
      <c r="J227" s="93">
        <f t="shared" si="3"/>
        <v>3580</v>
      </c>
      <c r="K227" s="98"/>
      <c r="L227" s="93">
        <f t="shared" si="4"/>
        <v>577145</v>
      </c>
      <c r="M227" s="92"/>
      <c r="N227" s="98"/>
      <c r="O227" s="98"/>
      <c r="P227" s="93">
        <f t="shared" si="5"/>
        <v>192</v>
      </c>
      <c r="Q227" s="98"/>
      <c r="R227" s="93">
        <f t="shared" si="6"/>
        <v>157270</v>
      </c>
      <c r="S227" s="92"/>
    </row>
    <row r="228" ht="15.0" customHeight="1">
      <c r="A228" s="92"/>
      <c r="B228" s="97" t="s">
        <v>1637</v>
      </c>
      <c r="C228" s="93">
        <f>I115</f>
        <v>15</v>
      </c>
      <c r="D228" s="93">
        <f t="shared" si="1"/>
        <v>2601</v>
      </c>
      <c r="E228" s="93">
        <f>K115</f>
        <v>5599</v>
      </c>
      <c r="F228" s="93">
        <f t="shared" si="2"/>
        <v>673568</v>
      </c>
      <c r="G228" s="92"/>
      <c r="H228" s="98"/>
      <c r="I228" s="98"/>
      <c r="J228" s="93">
        <f t="shared" si="3"/>
        <v>3580</v>
      </c>
      <c r="K228" s="98"/>
      <c r="L228" s="93">
        <f t="shared" si="4"/>
        <v>577145</v>
      </c>
      <c r="M228" s="92"/>
      <c r="N228" s="98"/>
      <c r="O228" s="98"/>
      <c r="P228" s="93">
        <f t="shared" si="5"/>
        <v>192</v>
      </c>
      <c r="Q228" s="98"/>
      <c r="R228" s="93">
        <f t="shared" si="6"/>
        <v>157270</v>
      </c>
      <c r="S228" s="92"/>
    </row>
    <row r="229" ht="15.0" customHeight="1">
      <c r="A229" s="92"/>
      <c r="B229" s="97" t="s">
        <v>1638</v>
      </c>
      <c r="C229" s="93">
        <f>O115</f>
        <v>0</v>
      </c>
      <c r="D229" s="93">
        <f t="shared" si="1"/>
        <v>2601</v>
      </c>
      <c r="E229" s="93">
        <f>Q115</f>
        <v>0</v>
      </c>
      <c r="F229" s="93">
        <f t="shared" si="2"/>
        <v>673568</v>
      </c>
      <c r="G229" s="92"/>
      <c r="H229" s="98"/>
      <c r="I229" s="98"/>
      <c r="J229" s="93">
        <f t="shared" si="3"/>
        <v>3580</v>
      </c>
      <c r="K229" s="98"/>
      <c r="L229" s="93">
        <f t="shared" si="4"/>
        <v>577145</v>
      </c>
      <c r="M229" s="92"/>
      <c r="N229" s="98"/>
      <c r="O229" s="98"/>
      <c r="P229" s="93">
        <f t="shared" si="5"/>
        <v>192</v>
      </c>
      <c r="Q229" s="98"/>
      <c r="R229" s="93">
        <f t="shared" si="6"/>
        <v>157270</v>
      </c>
      <c r="S229" s="92"/>
    </row>
    <row r="230" ht="15.0" customHeight="1">
      <c r="A230" s="92"/>
      <c r="B230" s="97" t="s">
        <v>1639</v>
      </c>
      <c r="C230" s="93">
        <f>I116</f>
        <v>30</v>
      </c>
      <c r="D230" s="93">
        <f t="shared" si="1"/>
        <v>2631</v>
      </c>
      <c r="E230" s="93">
        <f>K116</f>
        <v>8664</v>
      </c>
      <c r="F230" s="93">
        <f t="shared" si="2"/>
        <v>682232</v>
      </c>
      <c r="G230" s="92"/>
      <c r="H230" s="98"/>
      <c r="I230" s="98"/>
      <c r="J230" s="93">
        <f t="shared" si="3"/>
        <v>3580</v>
      </c>
      <c r="K230" s="98"/>
      <c r="L230" s="93">
        <f t="shared" si="4"/>
        <v>577145</v>
      </c>
      <c r="M230" s="92"/>
      <c r="N230" s="98"/>
      <c r="O230" s="98"/>
      <c r="P230" s="93">
        <f t="shared" si="5"/>
        <v>192</v>
      </c>
      <c r="Q230" s="98"/>
      <c r="R230" s="93">
        <f t="shared" si="6"/>
        <v>157270</v>
      </c>
      <c r="S230" s="92"/>
    </row>
    <row r="231" ht="15.0" customHeight="1">
      <c r="A231" s="92"/>
      <c r="B231" s="97" t="s">
        <v>1640</v>
      </c>
      <c r="C231" s="93">
        <f>O116</f>
        <v>1</v>
      </c>
      <c r="D231" s="93">
        <f t="shared" si="1"/>
        <v>2632</v>
      </c>
      <c r="E231" s="93">
        <f>Q116</f>
        <v>236</v>
      </c>
      <c r="F231" s="93">
        <f t="shared" si="2"/>
        <v>682468</v>
      </c>
      <c r="G231" s="92"/>
      <c r="H231" s="98"/>
      <c r="I231" s="98"/>
      <c r="J231" s="93">
        <f t="shared" si="3"/>
        <v>3580</v>
      </c>
      <c r="K231" s="98"/>
      <c r="L231" s="93">
        <f t="shared" si="4"/>
        <v>577145</v>
      </c>
      <c r="M231" s="92"/>
      <c r="N231" s="98"/>
      <c r="O231" s="98"/>
      <c r="P231" s="93">
        <f t="shared" si="5"/>
        <v>192</v>
      </c>
      <c r="Q231" s="98"/>
      <c r="R231" s="93">
        <f t="shared" si="6"/>
        <v>157270</v>
      </c>
      <c r="S231" s="92"/>
    </row>
    <row r="232" ht="15.0" customHeight="1">
      <c r="A232" s="92"/>
      <c r="B232" s="97" t="s">
        <v>1641</v>
      </c>
      <c r="C232" s="93">
        <f>I117</f>
        <v>27</v>
      </c>
      <c r="D232" s="93">
        <f t="shared" si="1"/>
        <v>2659</v>
      </c>
      <c r="E232" s="93">
        <f>K117</f>
        <v>5210</v>
      </c>
      <c r="F232" s="93">
        <f t="shared" si="2"/>
        <v>687678</v>
      </c>
      <c r="G232" s="92"/>
      <c r="H232" s="98"/>
      <c r="I232" s="98"/>
      <c r="J232" s="93">
        <f t="shared" si="3"/>
        <v>3580</v>
      </c>
      <c r="K232" s="98"/>
      <c r="L232" s="93">
        <f t="shared" si="4"/>
        <v>577145</v>
      </c>
      <c r="M232" s="92"/>
      <c r="N232" s="98"/>
      <c r="O232" s="98"/>
      <c r="P232" s="93">
        <f t="shared" si="5"/>
        <v>192</v>
      </c>
      <c r="Q232" s="98"/>
      <c r="R232" s="93">
        <f t="shared" si="6"/>
        <v>157270</v>
      </c>
      <c r="S232" s="92"/>
    </row>
    <row r="233" ht="15.0" customHeight="1">
      <c r="A233" s="92"/>
      <c r="B233" s="97" t="s">
        <v>1642</v>
      </c>
      <c r="C233" s="93">
        <f>O117</f>
        <v>1</v>
      </c>
      <c r="D233" s="93">
        <f t="shared" si="1"/>
        <v>2660</v>
      </c>
      <c r="E233" s="93">
        <f>Q117</f>
        <v>1211</v>
      </c>
      <c r="F233" s="93">
        <f t="shared" si="2"/>
        <v>688889</v>
      </c>
      <c r="G233" s="92"/>
      <c r="H233" s="98"/>
      <c r="I233" s="98"/>
      <c r="J233" s="93">
        <f t="shared" si="3"/>
        <v>3580</v>
      </c>
      <c r="K233" s="98"/>
      <c r="L233" s="93">
        <f t="shared" si="4"/>
        <v>577145</v>
      </c>
      <c r="M233" s="92"/>
      <c r="N233" s="98"/>
      <c r="O233" s="98"/>
      <c r="P233" s="93">
        <f t="shared" si="5"/>
        <v>192</v>
      </c>
      <c r="Q233" s="98"/>
      <c r="R233" s="93">
        <f t="shared" si="6"/>
        <v>157270</v>
      </c>
      <c r="S233" s="92"/>
    </row>
    <row r="234" ht="15.0" customHeight="1">
      <c r="A234" s="92"/>
      <c r="B234" s="97" t="s">
        <v>1643</v>
      </c>
      <c r="C234" s="93">
        <f>I118</f>
        <v>35</v>
      </c>
      <c r="D234" s="93">
        <f t="shared" si="1"/>
        <v>2695</v>
      </c>
      <c r="E234" s="93">
        <f>K118</f>
        <v>8912</v>
      </c>
      <c r="F234" s="93">
        <f t="shared" si="2"/>
        <v>697801</v>
      </c>
      <c r="G234" s="92"/>
      <c r="H234" s="98"/>
      <c r="I234" s="98"/>
      <c r="J234" s="93">
        <f t="shared" si="3"/>
        <v>3580</v>
      </c>
      <c r="K234" s="98"/>
      <c r="L234" s="93">
        <f t="shared" si="4"/>
        <v>577145</v>
      </c>
      <c r="M234" s="92"/>
      <c r="N234" s="98"/>
      <c r="O234" s="98"/>
      <c r="P234" s="93">
        <f t="shared" si="5"/>
        <v>192</v>
      </c>
      <c r="Q234" s="98"/>
      <c r="R234" s="93">
        <f t="shared" si="6"/>
        <v>157270</v>
      </c>
      <c r="S234" s="92"/>
    </row>
    <row r="235" ht="15.0" customHeight="1">
      <c r="A235" s="92"/>
      <c r="B235" s="97" t="s">
        <v>1644</v>
      </c>
      <c r="C235" s="93">
        <f>O118</f>
        <v>2</v>
      </c>
      <c r="D235" s="93">
        <f t="shared" si="1"/>
        <v>2697</v>
      </c>
      <c r="E235" s="93">
        <f>Q118</f>
        <v>347</v>
      </c>
      <c r="F235" s="93">
        <f t="shared" si="2"/>
        <v>698148</v>
      </c>
      <c r="G235" s="92"/>
      <c r="H235" s="98"/>
      <c r="I235" s="98"/>
      <c r="J235" s="93">
        <f t="shared" si="3"/>
        <v>3580</v>
      </c>
      <c r="K235" s="98"/>
      <c r="L235" s="93">
        <f t="shared" si="4"/>
        <v>577145</v>
      </c>
      <c r="M235" s="92"/>
      <c r="N235" s="98"/>
      <c r="O235" s="98"/>
      <c r="P235" s="93">
        <f t="shared" si="5"/>
        <v>192</v>
      </c>
      <c r="Q235" s="98"/>
      <c r="R235" s="93">
        <f t="shared" si="6"/>
        <v>157270</v>
      </c>
      <c r="S235" s="92"/>
    </row>
    <row r="236" ht="15.0" customHeight="1">
      <c r="A236" s="92"/>
      <c r="B236" s="97" t="s">
        <v>1645</v>
      </c>
      <c r="C236" s="93">
        <f>I119</f>
        <v>28</v>
      </c>
      <c r="D236" s="93">
        <f t="shared" si="1"/>
        <v>2725</v>
      </c>
      <c r="E236" s="93">
        <f>K119</f>
        <v>6030</v>
      </c>
      <c r="F236" s="93">
        <f t="shared" si="2"/>
        <v>704178</v>
      </c>
      <c r="G236" s="92"/>
      <c r="H236" s="98"/>
      <c r="I236" s="98"/>
      <c r="J236" s="93">
        <f t="shared" si="3"/>
        <v>3580</v>
      </c>
      <c r="K236" s="98"/>
      <c r="L236" s="93">
        <f t="shared" si="4"/>
        <v>577145</v>
      </c>
      <c r="M236" s="92"/>
      <c r="N236" s="98"/>
      <c r="O236" s="98"/>
      <c r="P236" s="93">
        <f t="shared" si="5"/>
        <v>192</v>
      </c>
      <c r="Q236" s="98"/>
      <c r="R236" s="93">
        <f t="shared" si="6"/>
        <v>157270</v>
      </c>
      <c r="S236" s="92"/>
    </row>
    <row r="237" ht="15.0" customHeight="1">
      <c r="A237" s="92"/>
      <c r="B237" s="97" t="s">
        <v>1646</v>
      </c>
      <c r="C237" s="93">
        <f>O119</f>
        <v>2</v>
      </c>
      <c r="D237" s="93">
        <f t="shared" si="1"/>
        <v>2727</v>
      </c>
      <c r="E237" s="93">
        <f>Q119</f>
        <v>1263</v>
      </c>
      <c r="F237" s="93">
        <f t="shared" si="2"/>
        <v>705441</v>
      </c>
      <c r="G237" s="92"/>
      <c r="H237" s="98"/>
      <c r="I237" s="98"/>
      <c r="J237" s="93">
        <f t="shared" si="3"/>
        <v>3580</v>
      </c>
      <c r="K237" s="98"/>
      <c r="L237" s="93">
        <f t="shared" si="4"/>
        <v>577145</v>
      </c>
      <c r="M237" s="92"/>
      <c r="N237" s="98"/>
      <c r="O237" s="98"/>
      <c r="P237" s="93">
        <f t="shared" si="5"/>
        <v>192</v>
      </c>
      <c r="Q237" s="98"/>
      <c r="R237" s="93">
        <f t="shared" si="6"/>
        <v>157270</v>
      </c>
      <c r="S237" s="92"/>
    </row>
    <row r="238" ht="15.0" customHeight="1">
      <c r="A238" s="92"/>
      <c r="B238" s="97" t="s">
        <v>1647</v>
      </c>
      <c r="C238" s="93">
        <f>I120</f>
        <v>28</v>
      </c>
      <c r="D238" s="93">
        <f t="shared" si="1"/>
        <v>2755</v>
      </c>
      <c r="E238" s="93">
        <f>K120</f>
        <v>5768</v>
      </c>
      <c r="F238" s="93">
        <f t="shared" si="2"/>
        <v>711209</v>
      </c>
      <c r="G238" s="92"/>
      <c r="H238" s="98"/>
      <c r="I238" s="98"/>
      <c r="J238" s="93">
        <f t="shared" si="3"/>
        <v>3580</v>
      </c>
      <c r="K238" s="98"/>
      <c r="L238" s="93">
        <f t="shared" si="4"/>
        <v>577145</v>
      </c>
      <c r="M238" s="92"/>
      <c r="N238" s="98"/>
      <c r="O238" s="98"/>
      <c r="P238" s="93">
        <f t="shared" si="5"/>
        <v>192</v>
      </c>
      <c r="Q238" s="98"/>
      <c r="R238" s="93">
        <f t="shared" si="6"/>
        <v>157270</v>
      </c>
      <c r="S238" s="92"/>
    </row>
    <row r="239" ht="15.0" customHeight="1">
      <c r="A239" s="92"/>
      <c r="B239" s="97" t="s">
        <v>1648</v>
      </c>
      <c r="C239" s="93">
        <f>O120</f>
        <v>1</v>
      </c>
      <c r="D239" s="93">
        <f t="shared" si="1"/>
        <v>2756</v>
      </c>
      <c r="E239" s="93">
        <f>Q120</f>
        <v>66</v>
      </c>
      <c r="F239" s="93">
        <f t="shared" si="2"/>
        <v>711275</v>
      </c>
      <c r="G239" s="92"/>
      <c r="H239" s="98"/>
      <c r="I239" s="98"/>
      <c r="J239" s="93">
        <f t="shared" si="3"/>
        <v>3580</v>
      </c>
      <c r="K239" s="98"/>
      <c r="L239" s="93">
        <f t="shared" si="4"/>
        <v>577145</v>
      </c>
      <c r="M239" s="92"/>
      <c r="N239" s="98"/>
      <c r="O239" s="98"/>
      <c r="P239" s="93">
        <f t="shared" si="5"/>
        <v>192</v>
      </c>
      <c r="Q239" s="98"/>
      <c r="R239" s="93">
        <f t="shared" si="6"/>
        <v>157270</v>
      </c>
      <c r="S239" s="92"/>
    </row>
    <row r="240" ht="15.0" customHeight="1">
      <c r="A240" s="92"/>
      <c r="B240" s="97" t="s">
        <v>1649</v>
      </c>
      <c r="C240" s="93">
        <f>I121</f>
        <v>25</v>
      </c>
      <c r="D240" s="93">
        <f t="shared" si="1"/>
        <v>2781</v>
      </c>
      <c r="E240" s="93">
        <f>K121</f>
        <v>5152</v>
      </c>
      <c r="F240" s="93">
        <f t="shared" si="2"/>
        <v>716427</v>
      </c>
      <c r="G240" s="92"/>
      <c r="H240" s="98"/>
      <c r="I240" s="98"/>
      <c r="J240" s="93">
        <f t="shared" si="3"/>
        <v>3580</v>
      </c>
      <c r="K240" s="98"/>
      <c r="L240" s="93">
        <f t="shared" si="4"/>
        <v>577145</v>
      </c>
      <c r="M240" s="92"/>
      <c r="N240" s="98"/>
      <c r="O240" s="98"/>
      <c r="P240" s="93">
        <f t="shared" si="5"/>
        <v>192</v>
      </c>
      <c r="Q240" s="98"/>
      <c r="R240" s="93">
        <f t="shared" si="6"/>
        <v>157270</v>
      </c>
      <c r="S240" s="92"/>
    </row>
    <row r="241" ht="15.0" customHeight="1">
      <c r="A241" s="92"/>
      <c r="B241" s="97" t="s">
        <v>1650</v>
      </c>
      <c r="C241" s="93">
        <f>O121</f>
        <v>0</v>
      </c>
      <c r="D241" s="93">
        <f t="shared" si="1"/>
        <v>2781</v>
      </c>
      <c r="E241" s="93">
        <f>Q121</f>
        <v>0</v>
      </c>
      <c r="F241" s="93">
        <f t="shared" si="2"/>
        <v>716427</v>
      </c>
      <c r="G241" s="92"/>
      <c r="H241" s="98"/>
      <c r="I241" s="98"/>
      <c r="J241" s="93">
        <f t="shared" si="3"/>
        <v>3580</v>
      </c>
      <c r="K241" s="98"/>
      <c r="L241" s="93">
        <f t="shared" si="4"/>
        <v>577145</v>
      </c>
      <c r="M241" s="92"/>
      <c r="N241" s="98"/>
      <c r="O241" s="98"/>
      <c r="P241" s="93">
        <f t="shared" si="5"/>
        <v>192</v>
      </c>
      <c r="Q241" s="98"/>
      <c r="R241" s="93">
        <f t="shared" si="6"/>
        <v>157270</v>
      </c>
      <c r="S241" s="92"/>
    </row>
    <row r="242" ht="15.0" customHeight="1">
      <c r="A242" s="92"/>
      <c r="B242" s="97" t="s">
        <v>1651</v>
      </c>
      <c r="C242" s="93">
        <f>I122</f>
        <v>27</v>
      </c>
      <c r="D242" s="93">
        <f t="shared" si="1"/>
        <v>2808</v>
      </c>
      <c r="E242" s="93">
        <f>K122</f>
        <v>9986</v>
      </c>
      <c r="F242" s="93">
        <f t="shared" si="2"/>
        <v>726413</v>
      </c>
      <c r="G242" s="92"/>
      <c r="H242" s="98"/>
      <c r="I242" s="98"/>
      <c r="J242" s="93">
        <f t="shared" si="3"/>
        <v>3580</v>
      </c>
      <c r="K242" s="98"/>
      <c r="L242" s="93">
        <f t="shared" si="4"/>
        <v>577145</v>
      </c>
      <c r="M242" s="92"/>
      <c r="N242" s="98"/>
      <c r="O242" s="98"/>
      <c r="P242" s="93">
        <f t="shared" si="5"/>
        <v>192</v>
      </c>
      <c r="Q242" s="98"/>
      <c r="R242" s="93">
        <f t="shared" si="6"/>
        <v>157270</v>
      </c>
      <c r="S242" s="92"/>
    </row>
    <row r="243" ht="15.0" customHeight="1">
      <c r="A243" s="92"/>
      <c r="B243" s="97" t="s">
        <v>1652</v>
      </c>
      <c r="C243" s="93">
        <f>O122</f>
        <v>1</v>
      </c>
      <c r="D243" s="93">
        <f t="shared" si="1"/>
        <v>2809</v>
      </c>
      <c r="E243" s="93">
        <f>Q122</f>
        <v>138</v>
      </c>
      <c r="F243" s="93">
        <f t="shared" si="2"/>
        <v>726551</v>
      </c>
      <c r="G243" s="92"/>
      <c r="H243" s="98"/>
      <c r="I243" s="98"/>
      <c r="J243" s="93">
        <f t="shared" si="3"/>
        <v>3580</v>
      </c>
      <c r="K243" s="98"/>
      <c r="L243" s="93">
        <f t="shared" si="4"/>
        <v>577145</v>
      </c>
      <c r="M243" s="92"/>
      <c r="N243" s="98"/>
      <c r="O243" s="98"/>
      <c r="P243" s="93">
        <f t="shared" si="5"/>
        <v>192</v>
      </c>
      <c r="Q243" s="98"/>
      <c r="R243" s="93">
        <f t="shared" si="6"/>
        <v>157270</v>
      </c>
      <c r="S243" s="92"/>
    </row>
    <row r="244" ht="15.0" customHeight="1">
      <c r="A244" s="92"/>
      <c r="B244" s="97" t="s">
        <v>1766</v>
      </c>
      <c r="C244" s="93">
        <f>I123</f>
        <v>35</v>
      </c>
      <c r="D244" s="93">
        <f t="shared" si="1"/>
        <v>2844</v>
      </c>
      <c r="E244" s="93" t="str">
        <f>K123</f>
        <v/>
      </c>
      <c r="F244" s="93">
        <f t="shared" si="2"/>
        <v>726551</v>
      </c>
      <c r="G244" s="92"/>
      <c r="H244" s="98"/>
      <c r="I244" s="98"/>
      <c r="J244" s="93">
        <f t="shared" si="3"/>
        <v>3580</v>
      </c>
      <c r="K244" s="98"/>
      <c r="L244" s="93">
        <f t="shared" si="4"/>
        <v>577145</v>
      </c>
      <c r="M244" s="92"/>
      <c r="N244" s="98"/>
      <c r="O244" s="98"/>
      <c r="P244" s="93">
        <f t="shared" si="5"/>
        <v>192</v>
      </c>
      <c r="Q244" s="98"/>
      <c r="R244" s="93">
        <f t="shared" si="6"/>
        <v>157270</v>
      </c>
      <c r="S244" s="92"/>
    </row>
    <row r="245" ht="15.0" customHeight="1">
      <c r="A245" s="92"/>
      <c r="B245" s="97" t="s">
        <v>1654</v>
      </c>
      <c r="C245" s="93">
        <f>O123</f>
        <v>0</v>
      </c>
      <c r="D245" s="93">
        <f t="shared" si="1"/>
        <v>2844</v>
      </c>
      <c r="E245" s="93">
        <f>Q123</f>
        <v>0</v>
      </c>
      <c r="F245" s="93">
        <f t="shared" si="2"/>
        <v>726551</v>
      </c>
      <c r="G245" s="92"/>
      <c r="H245" s="98"/>
      <c r="I245" s="98"/>
      <c r="J245" s="93">
        <f t="shared" si="3"/>
        <v>3580</v>
      </c>
      <c r="K245" s="98"/>
      <c r="L245" s="93">
        <f t="shared" si="4"/>
        <v>577145</v>
      </c>
      <c r="M245" s="92"/>
      <c r="N245" s="98"/>
      <c r="O245" s="98"/>
      <c r="P245" s="93">
        <f t="shared" si="5"/>
        <v>192</v>
      </c>
      <c r="Q245" s="98"/>
      <c r="R245" s="93">
        <f t="shared" si="6"/>
        <v>157270</v>
      </c>
      <c r="S245" s="92"/>
    </row>
    <row r="246" ht="15.0" customHeight="1">
      <c r="A246" s="92"/>
      <c r="B246" s="97" t="s">
        <v>1655</v>
      </c>
      <c r="C246" s="93">
        <f>I124</f>
        <v>30</v>
      </c>
      <c r="D246" s="93">
        <f t="shared" si="1"/>
        <v>2874</v>
      </c>
      <c r="E246" s="93" t="str">
        <f>K124</f>
        <v/>
      </c>
      <c r="F246" s="93">
        <f t="shared" si="2"/>
        <v>726551</v>
      </c>
      <c r="G246" s="92"/>
      <c r="H246" s="98"/>
      <c r="I246" s="98"/>
      <c r="J246" s="93">
        <f t="shared" si="3"/>
        <v>3580</v>
      </c>
      <c r="K246" s="98"/>
      <c r="L246" s="93">
        <f t="shared" si="4"/>
        <v>577145</v>
      </c>
      <c r="M246" s="92"/>
      <c r="N246" s="98"/>
      <c r="O246" s="98"/>
      <c r="P246" s="93">
        <f t="shared" si="5"/>
        <v>192</v>
      </c>
      <c r="Q246" s="98"/>
      <c r="R246" s="93">
        <f t="shared" si="6"/>
        <v>157270</v>
      </c>
      <c r="S246" s="92"/>
    </row>
    <row r="247" ht="15.0" customHeight="1">
      <c r="A247" s="92"/>
      <c r="B247" s="97" t="s">
        <v>1656</v>
      </c>
      <c r="C247" s="93">
        <f>O124</f>
        <v>2</v>
      </c>
      <c r="D247" s="93">
        <f t="shared" si="1"/>
        <v>2876</v>
      </c>
      <c r="E247" s="93">
        <f>Q124</f>
        <v>362</v>
      </c>
      <c r="F247" s="93">
        <f t="shared" si="2"/>
        <v>726913</v>
      </c>
      <c r="G247" s="92"/>
      <c r="H247" s="98"/>
      <c r="I247" s="98"/>
      <c r="J247" s="93">
        <f t="shared" si="3"/>
        <v>3580</v>
      </c>
      <c r="K247" s="98"/>
      <c r="L247" s="93">
        <f t="shared" si="4"/>
        <v>577145</v>
      </c>
      <c r="M247" s="92"/>
      <c r="N247" s="98"/>
      <c r="O247" s="98"/>
      <c r="P247" s="93">
        <f t="shared" si="5"/>
        <v>192</v>
      </c>
      <c r="Q247" s="98"/>
      <c r="R247" s="93">
        <f t="shared" si="6"/>
        <v>157270</v>
      </c>
      <c r="S247" s="92"/>
    </row>
    <row r="248" ht="15.0" customHeight="1">
      <c r="A248" s="92"/>
      <c r="B248" s="97" t="s">
        <v>1657</v>
      </c>
      <c r="C248" s="93">
        <f>I125</f>
        <v>42</v>
      </c>
      <c r="D248" s="93">
        <f t="shared" si="1"/>
        <v>2918</v>
      </c>
      <c r="E248" s="93" t="str">
        <f>K125</f>
        <v/>
      </c>
      <c r="F248" s="93">
        <f t="shared" si="2"/>
        <v>726913</v>
      </c>
      <c r="G248" s="92"/>
      <c r="H248" s="98"/>
      <c r="I248" s="98"/>
      <c r="J248" s="93">
        <f t="shared" si="3"/>
        <v>3580</v>
      </c>
      <c r="K248" s="98"/>
      <c r="L248" s="93">
        <f t="shared" si="4"/>
        <v>577145</v>
      </c>
      <c r="M248" s="92"/>
      <c r="N248" s="98"/>
      <c r="O248" s="98"/>
      <c r="P248" s="93">
        <f t="shared" si="5"/>
        <v>192</v>
      </c>
      <c r="Q248" s="98"/>
      <c r="R248" s="93">
        <f t="shared" si="6"/>
        <v>157270</v>
      </c>
      <c r="S248" s="92"/>
    </row>
    <row r="249" ht="15.0" customHeight="1">
      <c r="A249" s="92"/>
      <c r="B249" s="97" t="s">
        <v>1658</v>
      </c>
      <c r="C249" s="93">
        <f>O125</f>
        <v>2</v>
      </c>
      <c r="D249" s="93">
        <f t="shared" si="1"/>
        <v>2920</v>
      </c>
      <c r="E249" s="93">
        <f>Q125</f>
        <v>179</v>
      </c>
      <c r="F249" s="93">
        <f t="shared" si="2"/>
        <v>727092</v>
      </c>
      <c r="G249" s="92"/>
      <c r="H249" s="98"/>
      <c r="I249" s="98"/>
      <c r="J249" s="93">
        <f t="shared" si="3"/>
        <v>3580</v>
      </c>
      <c r="K249" s="98"/>
      <c r="L249" s="93">
        <f t="shared" si="4"/>
        <v>577145</v>
      </c>
      <c r="M249" s="92"/>
      <c r="N249" s="98"/>
      <c r="O249" s="98"/>
      <c r="P249" s="93">
        <f t="shared" si="5"/>
        <v>192</v>
      </c>
      <c r="Q249" s="98"/>
      <c r="R249" s="93">
        <f t="shared" si="6"/>
        <v>157270</v>
      </c>
      <c r="S249" s="92"/>
    </row>
    <row r="250" ht="15.0" customHeight="1">
      <c r="A250" s="92"/>
      <c r="B250" s="97" t="s">
        <v>1659</v>
      </c>
      <c r="C250" s="93">
        <f>I126</f>
        <v>38</v>
      </c>
      <c r="D250" s="93">
        <f t="shared" si="1"/>
        <v>2958</v>
      </c>
      <c r="E250" s="93" t="str">
        <f>K126</f>
        <v/>
      </c>
      <c r="F250" s="93">
        <f t="shared" si="2"/>
        <v>727092</v>
      </c>
      <c r="G250" s="92"/>
      <c r="H250" s="98"/>
      <c r="I250" s="98"/>
      <c r="J250" s="93">
        <f t="shared" si="3"/>
        <v>3580</v>
      </c>
      <c r="K250" s="98"/>
      <c r="L250" s="93">
        <f t="shared" si="4"/>
        <v>577145</v>
      </c>
      <c r="M250" s="92"/>
      <c r="N250" s="98"/>
      <c r="O250" s="98"/>
      <c r="P250" s="93">
        <f t="shared" si="5"/>
        <v>192</v>
      </c>
      <c r="Q250" s="98"/>
      <c r="R250" s="93">
        <f t="shared" si="6"/>
        <v>157270</v>
      </c>
      <c r="S250" s="92"/>
    </row>
    <row r="251" ht="15.0" customHeight="1">
      <c r="A251" s="92"/>
      <c r="B251" s="97" t="s">
        <v>1660</v>
      </c>
      <c r="C251" s="93">
        <f>O126</f>
        <v>0</v>
      </c>
      <c r="D251" s="93">
        <f t="shared" si="1"/>
        <v>2958</v>
      </c>
      <c r="E251" s="93">
        <f>Q126</f>
        <v>0</v>
      </c>
      <c r="F251" s="93">
        <f t="shared" si="2"/>
        <v>727092</v>
      </c>
      <c r="G251" s="92"/>
      <c r="H251" s="98"/>
      <c r="I251" s="98"/>
      <c r="J251" s="93">
        <f t="shared" si="3"/>
        <v>3580</v>
      </c>
      <c r="K251" s="98"/>
      <c r="L251" s="93">
        <f t="shared" si="4"/>
        <v>577145</v>
      </c>
      <c r="M251" s="92"/>
      <c r="N251" s="98"/>
      <c r="O251" s="98"/>
      <c r="P251" s="93">
        <f t="shared" si="5"/>
        <v>192</v>
      </c>
      <c r="Q251" s="98"/>
      <c r="R251" s="93">
        <f t="shared" si="6"/>
        <v>157270</v>
      </c>
      <c r="S251" s="92"/>
    </row>
    <row r="252" ht="15.0" customHeight="1">
      <c r="A252" s="92"/>
      <c r="B252" s="97" t="s">
        <v>1661</v>
      </c>
      <c r="C252" s="93">
        <f>I127</f>
        <v>43</v>
      </c>
      <c r="D252" s="93">
        <f t="shared" si="1"/>
        <v>3001</v>
      </c>
      <c r="E252" s="93" t="str">
        <f>K127</f>
        <v/>
      </c>
      <c r="F252" s="93">
        <f t="shared" si="2"/>
        <v>727092</v>
      </c>
      <c r="G252" s="92"/>
      <c r="H252" s="98"/>
      <c r="I252" s="98"/>
      <c r="J252" s="93">
        <f t="shared" si="3"/>
        <v>3580</v>
      </c>
      <c r="K252" s="98"/>
      <c r="L252" s="93">
        <f t="shared" si="4"/>
        <v>577145</v>
      </c>
      <c r="M252" s="92"/>
      <c r="N252" s="98"/>
      <c r="O252" s="98"/>
      <c r="P252" s="93">
        <f t="shared" si="5"/>
        <v>192</v>
      </c>
      <c r="Q252" s="98"/>
      <c r="R252" s="93">
        <f t="shared" si="6"/>
        <v>157270</v>
      </c>
      <c r="S252" s="92"/>
    </row>
    <row r="253" ht="15.0" customHeight="1">
      <c r="A253" s="92"/>
      <c r="B253" s="97" t="s">
        <v>1662</v>
      </c>
      <c r="C253" s="93">
        <f>O127</f>
        <v>0</v>
      </c>
      <c r="D253" s="93">
        <f t="shared" si="1"/>
        <v>3001</v>
      </c>
      <c r="E253" s="93">
        <f>Q127</f>
        <v>0</v>
      </c>
      <c r="F253" s="93">
        <f t="shared" si="2"/>
        <v>727092</v>
      </c>
      <c r="G253" s="92"/>
      <c r="H253" s="98"/>
      <c r="I253" s="98"/>
      <c r="J253" s="93">
        <f t="shared" si="3"/>
        <v>3580</v>
      </c>
      <c r="K253" s="98"/>
      <c r="L253" s="93">
        <f t="shared" si="4"/>
        <v>577145</v>
      </c>
      <c r="M253" s="92"/>
      <c r="N253" s="98"/>
      <c r="O253" s="98"/>
      <c r="P253" s="93">
        <f t="shared" si="5"/>
        <v>192</v>
      </c>
      <c r="Q253" s="98"/>
      <c r="R253" s="93">
        <f t="shared" si="6"/>
        <v>157270</v>
      </c>
      <c r="S253" s="92"/>
    </row>
    <row r="254" ht="15.0" customHeight="1">
      <c r="A254" s="92"/>
      <c r="B254" s="97" t="s">
        <v>1663</v>
      </c>
      <c r="C254" s="93">
        <f>I128</f>
        <v>36</v>
      </c>
      <c r="D254" s="93">
        <f t="shared" si="1"/>
        <v>3037</v>
      </c>
      <c r="E254" s="93" t="str">
        <f>K128</f>
        <v/>
      </c>
      <c r="F254" s="93">
        <f t="shared" si="2"/>
        <v>727092</v>
      </c>
      <c r="G254" s="92"/>
      <c r="H254" s="98"/>
      <c r="I254" s="98"/>
      <c r="J254" s="93">
        <f t="shared" si="3"/>
        <v>3580</v>
      </c>
      <c r="K254" s="98"/>
      <c r="L254" s="93">
        <f t="shared" si="4"/>
        <v>577145</v>
      </c>
      <c r="M254" s="92"/>
      <c r="N254" s="98"/>
      <c r="O254" s="98"/>
      <c r="P254" s="93">
        <f t="shared" si="5"/>
        <v>192</v>
      </c>
      <c r="Q254" s="98"/>
      <c r="R254" s="93">
        <f t="shared" si="6"/>
        <v>157270</v>
      </c>
      <c r="S254" s="92"/>
    </row>
    <row r="255" ht="15.0" customHeight="1">
      <c r="A255" s="92"/>
      <c r="B255" s="97" t="s">
        <v>1664</v>
      </c>
      <c r="C255" s="93">
        <f>O128</f>
        <v>1</v>
      </c>
      <c r="D255" s="93">
        <f t="shared" si="1"/>
        <v>3038</v>
      </c>
      <c r="E255" s="93">
        <f>Q128</f>
        <v>68</v>
      </c>
      <c r="F255" s="93">
        <f t="shared" si="2"/>
        <v>727160</v>
      </c>
      <c r="G255" s="92"/>
      <c r="H255" s="98"/>
      <c r="I255" s="98"/>
      <c r="J255" s="93">
        <f t="shared" si="3"/>
        <v>3580</v>
      </c>
      <c r="K255" s="98"/>
      <c r="L255" s="93">
        <f t="shared" si="4"/>
        <v>577145</v>
      </c>
      <c r="M255" s="92"/>
      <c r="N255" s="98"/>
      <c r="O255" s="98"/>
      <c r="P255" s="93">
        <f t="shared" si="5"/>
        <v>192</v>
      </c>
      <c r="Q255" s="98"/>
      <c r="R255" s="93">
        <f t="shared" si="6"/>
        <v>157270</v>
      </c>
      <c r="S255" s="92"/>
    </row>
    <row r="256" ht="15.0" customHeight="1">
      <c r="A256" s="92"/>
      <c r="B256" s="97" t="s">
        <v>1665</v>
      </c>
      <c r="C256" s="93">
        <f>I129</f>
        <v>15</v>
      </c>
      <c r="D256" s="93">
        <f t="shared" si="1"/>
        <v>3053</v>
      </c>
      <c r="E256" s="93" t="str">
        <f>K129</f>
        <v/>
      </c>
      <c r="F256" s="93">
        <f t="shared" si="2"/>
        <v>727160</v>
      </c>
      <c r="G256" s="92"/>
      <c r="H256" s="98"/>
      <c r="I256" s="98"/>
      <c r="J256" s="93">
        <f t="shared" si="3"/>
        <v>3580</v>
      </c>
      <c r="K256" s="98"/>
      <c r="L256" s="93">
        <f t="shared" si="4"/>
        <v>577145</v>
      </c>
      <c r="M256" s="92"/>
      <c r="N256" s="98"/>
      <c r="O256" s="98"/>
      <c r="P256" s="93">
        <f t="shared" si="5"/>
        <v>192</v>
      </c>
      <c r="Q256" s="98"/>
      <c r="R256" s="93">
        <f t="shared" si="6"/>
        <v>157270</v>
      </c>
      <c r="S256" s="92"/>
    </row>
    <row r="257" ht="15.0" customHeight="1">
      <c r="A257" s="92"/>
      <c r="B257" s="97" t="s">
        <v>1666</v>
      </c>
      <c r="C257" s="93">
        <f>O129</f>
        <v>0</v>
      </c>
      <c r="D257" s="93">
        <f t="shared" si="1"/>
        <v>3053</v>
      </c>
      <c r="E257" s="93">
        <f>Q129</f>
        <v>0</v>
      </c>
      <c r="F257" s="93">
        <f t="shared" si="2"/>
        <v>727160</v>
      </c>
      <c r="G257" s="92"/>
      <c r="H257" s="98"/>
      <c r="I257" s="98"/>
      <c r="J257" s="93">
        <f t="shared" si="3"/>
        <v>3580</v>
      </c>
      <c r="K257" s="98"/>
      <c r="L257" s="93">
        <f t="shared" si="4"/>
        <v>577145</v>
      </c>
      <c r="M257" s="92"/>
      <c r="N257" s="98"/>
      <c r="O257" s="98"/>
      <c r="P257" s="93">
        <f t="shared" si="5"/>
        <v>192</v>
      </c>
      <c r="Q257" s="98"/>
      <c r="R257" s="93">
        <f t="shared" si="6"/>
        <v>157270</v>
      </c>
      <c r="S257" s="92"/>
    </row>
    <row r="258" ht="15.0" customHeight="1">
      <c r="A258" s="92"/>
      <c r="B258" s="97" t="s">
        <v>1667</v>
      </c>
      <c r="C258" s="93">
        <f>I130</f>
        <v>32</v>
      </c>
      <c r="D258" s="93">
        <f t="shared" si="1"/>
        <v>3085</v>
      </c>
      <c r="E258" s="93" t="str">
        <f>K130</f>
        <v/>
      </c>
      <c r="F258" s="93">
        <f t="shared" si="2"/>
        <v>727160</v>
      </c>
      <c r="G258" s="92"/>
      <c r="H258" s="98"/>
      <c r="I258" s="98"/>
      <c r="J258" s="93">
        <f t="shared" si="3"/>
        <v>3580</v>
      </c>
      <c r="K258" s="98"/>
      <c r="L258" s="93">
        <f t="shared" si="4"/>
        <v>577145</v>
      </c>
      <c r="M258" s="92"/>
      <c r="N258" s="98"/>
      <c r="O258" s="98"/>
      <c r="P258" s="93">
        <f t="shared" si="5"/>
        <v>192</v>
      </c>
      <c r="Q258" s="98"/>
      <c r="R258" s="93">
        <f t="shared" si="6"/>
        <v>157270</v>
      </c>
      <c r="S258" s="92"/>
    </row>
    <row r="259" ht="15.0" customHeight="1">
      <c r="A259" s="92"/>
      <c r="B259" s="97" t="s">
        <v>1668</v>
      </c>
      <c r="C259" s="93">
        <f>O130</f>
        <v>1</v>
      </c>
      <c r="D259" s="93">
        <f t="shared" si="1"/>
        <v>3086</v>
      </c>
      <c r="E259" s="93">
        <f>Q130</f>
        <v>80</v>
      </c>
      <c r="F259" s="93">
        <f t="shared" si="2"/>
        <v>727240</v>
      </c>
      <c r="G259" s="92"/>
      <c r="H259" s="98"/>
      <c r="I259" s="98"/>
      <c r="J259" s="93">
        <f t="shared" si="3"/>
        <v>3580</v>
      </c>
      <c r="K259" s="98"/>
      <c r="L259" s="93">
        <f t="shared" si="4"/>
        <v>577145</v>
      </c>
      <c r="M259" s="92"/>
      <c r="N259" s="98"/>
      <c r="O259" s="98"/>
      <c r="P259" s="93">
        <f t="shared" si="5"/>
        <v>192</v>
      </c>
      <c r="Q259" s="98"/>
      <c r="R259" s="93">
        <f t="shared" si="6"/>
        <v>157270</v>
      </c>
      <c r="S259" s="92"/>
    </row>
    <row r="260" ht="15.0" customHeight="1">
      <c r="A260" s="92"/>
      <c r="B260" s="97" t="s">
        <v>1669</v>
      </c>
      <c r="C260" s="93">
        <f>I131</f>
        <v>37</v>
      </c>
      <c r="D260" s="93">
        <f t="shared" si="1"/>
        <v>3123</v>
      </c>
      <c r="E260" s="93" t="str">
        <f>K131</f>
        <v/>
      </c>
      <c r="F260" s="93">
        <f t="shared" si="2"/>
        <v>727240</v>
      </c>
      <c r="G260" s="92"/>
      <c r="H260" s="98"/>
      <c r="I260" s="98"/>
      <c r="J260" s="93">
        <f t="shared" si="3"/>
        <v>3580</v>
      </c>
      <c r="K260" s="98"/>
      <c r="L260" s="93">
        <f t="shared" si="4"/>
        <v>577145</v>
      </c>
      <c r="M260" s="92"/>
      <c r="N260" s="98"/>
      <c r="O260" s="98"/>
      <c r="P260" s="93">
        <f t="shared" si="5"/>
        <v>192</v>
      </c>
      <c r="Q260" s="98"/>
      <c r="R260" s="93">
        <f t="shared" si="6"/>
        <v>157270</v>
      </c>
      <c r="S260" s="92"/>
    </row>
    <row r="261" ht="15.0" customHeight="1">
      <c r="A261" s="92"/>
      <c r="B261" s="97" t="s">
        <v>1670</v>
      </c>
      <c r="C261" s="93">
        <f>O131</f>
        <v>0</v>
      </c>
      <c r="D261" s="93">
        <f t="shared" si="1"/>
        <v>3123</v>
      </c>
      <c r="E261" s="93">
        <f>Q131</f>
        <v>0</v>
      </c>
      <c r="F261" s="93">
        <f t="shared" si="2"/>
        <v>727240</v>
      </c>
      <c r="G261" s="92"/>
      <c r="H261" s="98"/>
      <c r="I261" s="98"/>
      <c r="J261" s="93">
        <f t="shared" si="3"/>
        <v>3580</v>
      </c>
      <c r="K261" s="98"/>
      <c r="L261" s="93">
        <f t="shared" si="4"/>
        <v>577145</v>
      </c>
      <c r="M261" s="92"/>
      <c r="N261" s="98"/>
      <c r="O261" s="98"/>
      <c r="P261" s="93">
        <f t="shared" si="5"/>
        <v>192</v>
      </c>
      <c r="Q261" s="98"/>
      <c r="R261" s="93">
        <f t="shared" si="6"/>
        <v>157270</v>
      </c>
      <c r="S261" s="92"/>
    </row>
    <row r="262" ht="15.0" customHeight="1">
      <c r="A262" s="92"/>
      <c r="B262" s="97" t="s">
        <v>1671</v>
      </c>
      <c r="C262" s="93">
        <f>I132</f>
        <v>30</v>
      </c>
      <c r="D262" s="93">
        <f t="shared" si="1"/>
        <v>3153</v>
      </c>
      <c r="E262" s="93" t="str">
        <f>K132</f>
        <v/>
      </c>
      <c r="F262" s="93">
        <f t="shared" si="2"/>
        <v>727240</v>
      </c>
      <c r="G262" s="92"/>
      <c r="H262" s="98"/>
      <c r="I262" s="98"/>
      <c r="J262" s="93">
        <f t="shared" si="3"/>
        <v>3580</v>
      </c>
      <c r="K262" s="98"/>
      <c r="L262" s="93">
        <f t="shared" si="4"/>
        <v>577145</v>
      </c>
      <c r="M262" s="92"/>
      <c r="N262" s="98"/>
      <c r="O262" s="98"/>
      <c r="P262" s="93">
        <f t="shared" si="5"/>
        <v>192</v>
      </c>
      <c r="Q262" s="98"/>
      <c r="R262" s="93">
        <f t="shared" si="6"/>
        <v>157270</v>
      </c>
      <c r="S262" s="92"/>
    </row>
    <row r="263" ht="15.0" customHeight="1">
      <c r="A263" s="92"/>
      <c r="B263" s="97" t="s">
        <v>1672</v>
      </c>
      <c r="C263" s="93">
        <f>O132</f>
        <v>2</v>
      </c>
      <c r="D263" s="93">
        <f t="shared" si="1"/>
        <v>3155</v>
      </c>
      <c r="E263" s="93">
        <f>Q132</f>
        <v>331</v>
      </c>
      <c r="F263" s="93">
        <f t="shared" si="2"/>
        <v>727571</v>
      </c>
      <c r="G263" s="92"/>
      <c r="H263" s="98"/>
      <c r="I263" s="98"/>
      <c r="J263" s="93">
        <f t="shared" si="3"/>
        <v>3580</v>
      </c>
      <c r="K263" s="98"/>
      <c r="L263" s="93">
        <f t="shared" si="4"/>
        <v>577145</v>
      </c>
      <c r="M263" s="92"/>
      <c r="N263" s="98"/>
      <c r="O263" s="98"/>
      <c r="P263" s="93">
        <f t="shared" si="5"/>
        <v>192</v>
      </c>
      <c r="Q263" s="98"/>
      <c r="R263" s="93">
        <f t="shared" si="6"/>
        <v>157270</v>
      </c>
      <c r="S263" s="92"/>
    </row>
    <row r="264" ht="15.0" customHeight="1">
      <c r="A264" s="92"/>
      <c r="B264" s="97" t="s">
        <v>1673</v>
      </c>
      <c r="C264" s="93">
        <f>I133</f>
        <v>19</v>
      </c>
      <c r="D264" s="93">
        <f t="shared" si="1"/>
        <v>3174</v>
      </c>
      <c r="E264" s="93" t="str">
        <f>K133</f>
        <v/>
      </c>
      <c r="F264" s="93">
        <f t="shared" si="2"/>
        <v>727571</v>
      </c>
      <c r="G264" s="92"/>
      <c r="H264" s="98"/>
      <c r="I264" s="98"/>
      <c r="J264" s="93">
        <f t="shared" si="3"/>
        <v>3580</v>
      </c>
      <c r="K264" s="98"/>
      <c r="L264" s="93">
        <f t="shared" si="4"/>
        <v>577145</v>
      </c>
      <c r="M264" s="92"/>
      <c r="N264" s="98"/>
      <c r="O264" s="98"/>
      <c r="P264" s="93">
        <f t="shared" si="5"/>
        <v>192</v>
      </c>
      <c r="Q264" s="98"/>
      <c r="R264" s="93">
        <f t="shared" si="6"/>
        <v>157270</v>
      </c>
      <c r="S264" s="92"/>
    </row>
    <row r="265" ht="15.0" customHeight="1">
      <c r="A265" s="92"/>
      <c r="B265" s="97" t="s">
        <v>1674</v>
      </c>
      <c r="C265" s="93">
        <f>O133</f>
        <v>1</v>
      </c>
      <c r="D265" s="93">
        <f t="shared" si="1"/>
        <v>3175</v>
      </c>
      <c r="E265" s="93">
        <f>Q133</f>
        <v>96</v>
      </c>
      <c r="F265" s="93">
        <f t="shared" si="2"/>
        <v>727667</v>
      </c>
      <c r="G265" s="92"/>
      <c r="H265" s="98"/>
      <c r="I265" s="98"/>
      <c r="J265" s="93">
        <f t="shared" si="3"/>
        <v>3580</v>
      </c>
      <c r="K265" s="98"/>
      <c r="L265" s="93">
        <f t="shared" si="4"/>
        <v>577145</v>
      </c>
      <c r="M265" s="92"/>
      <c r="N265" s="98"/>
      <c r="O265" s="98"/>
      <c r="P265" s="93">
        <f t="shared" si="5"/>
        <v>192</v>
      </c>
      <c r="Q265" s="98"/>
      <c r="R265" s="93">
        <f t="shared" si="6"/>
        <v>157270</v>
      </c>
      <c r="S265" s="92"/>
    </row>
    <row r="266" ht="15.0" customHeight="1">
      <c r="A266" s="92"/>
      <c r="B266" s="97" t="s">
        <v>1675</v>
      </c>
      <c r="C266" s="93">
        <f>I134</f>
        <v>33</v>
      </c>
      <c r="D266" s="93">
        <f t="shared" si="1"/>
        <v>3208</v>
      </c>
      <c r="E266" s="93" t="str">
        <f>K134</f>
        <v/>
      </c>
      <c r="F266" s="93">
        <f t="shared" si="2"/>
        <v>727667</v>
      </c>
      <c r="G266" s="92"/>
      <c r="H266" s="98"/>
      <c r="I266" s="98"/>
      <c r="J266" s="93">
        <f t="shared" si="3"/>
        <v>3580</v>
      </c>
      <c r="K266" s="98"/>
      <c r="L266" s="93">
        <f t="shared" si="4"/>
        <v>577145</v>
      </c>
      <c r="M266" s="92"/>
      <c r="N266" s="98"/>
      <c r="O266" s="98"/>
      <c r="P266" s="93">
        <f t="shared" si="5"/>
        <v>192</v>
      </c>
      <c r="Q266" s="98"/>
      <c r="R266" s="93">
        <f t="shared" si="6"/>
        <v>157270</v>
      </c>
      <c r="S266" s="92"/>
    </row>
    <row r="267" ht="15.0" customHeight="1">
      <c r="A267" s="92"/>
      <c r="B267" s="97" t="s">
        <v>1676</v>
      </c>
      <c r="C267" s="93">
        <f>O134</f>
        <v>0</v>
      </c>
      <c r="D267" s="93">
        <f t="shared" si="1"/>
        <v>3208</v>
      </c>
      <c r="E267" s="93">
        <f>Q134</f>
        <v>0</v>
      </c>
      <c r="F267" s="93">
        <f t="shared" si="2"/>
        <v>727667</v>
      </c>
      <c r="G267" s="92"/>
      <c r="H267" s="98"/>
      <c r="I267" s="98"/>
      <c r="J267" s="93">
        <f t="shared" si="3"/>
        <v>3580</v>
      </c>
      <c r="K267" s="98"/>
      <c r="L267" s="93">
        <f t="shared" si="4"/>
        <v>577145</v>
      </c>
      <c r="M267" s="92"/>
      <c r="N267" s="98"/>
      <c r="O267" s="98"/>
      <c r="P267" s="93">
        <f t="shared" si="5"/>
        <v>192</v>
      </c>
      <c r="Q267" s="98"/>
      <c r="R267" s="93">
        <f t="shared" si="6"/>
        <v>157270</v>
      </c>
      <c r="S267" s="92"/>
    </row>
    <row r="268" ht="15.0" customHeight="1">
      <c r="A268" s="92"/>
      <c r="B268" s="97" t="s">
        <v>1677</v>
      </c>
      <c r="C268" s="93">
        <f>I135</f>
        <v>34</v>
      </c>
      <c r="D268" s="93">
        <f t="shared" si="1"/>
        <v>3242</v>
      </c>
      <c r="E268" s="93" t="str">
        <f>K135</f>
        <v/>
      </c>
      <c r="F268" s="93">
        <f t="shared" si="2"/>
        <v>727667</v>
      </c>
      <c r="G268" s="92"/>
      <c r="H268" s="98"/>
      <c r="I268" s="98"/>
      <c r="J268" s="93">
        <f t="shared" si="3"/>
        <v>3580</v>
      </c>
      <c r="K268" s="98"/>
      <c r="L268" s="93">
        <f t="shared" si="4"/>
        <v>577145</v>
      </c>
      <c r="M268" s="92"/>
      <c r="N268" s="98"/>
      <c r="O268" s="98"/>
      <c r="P268" s="93">
        <f t="shared" si="5"/>
        <v>192</v>
      </c>
      <c r="Q268" s="98"/>
      <c r="R268" s="93">
        <f t="shared" si="6"/>
        <v>157270</v>
      </c>
      <c r="S268" s="92"/>
    </row>
    <row r="269" ht="15.0" customHeight="1">
      <c r="A269" s="92"/>
      <c r="B269" s="97" t="s">
        <v>1678</v>
      </c>
      <c r="C269" s="93">
        <f>O135</f>
        <v>1</v>
      </c>
      <c r="D269" s="93">
        <f t="shared" si="1"/>
        <v>3243</v>
      </c>
      <c r="E269" s="93">
        <f>Q135</f>
        <v>71</v>
      </c>
      <c r="F269" s="93">
        <f t="shared" si="2"/>
        <v>727738</v>
      </c>
      <c r="G269" s="92"/>
      <c r="H269" s="98"/>
      <c r="I269" s="98"/>
      <c r="J269" s="93">
        <f t="shared" si="3"/>
        <v>3580</v>
      </c>
      <c r="K269" s="98"/>
      <c r="L269" s="93">
        <f t="shared" si="4"/>
        <v>577145</v>
      </c>
      <c r="M269" s="92"/>
      <c r="N269" s="98"/>
      <c r="O269" s="98"/>
      <c r="P269" s="93">
        <f t="shared" si="5"/>
        <v>192</v>
      </c>
      <c r="Q269" s="98"/>
      <c r="R269" s="93">
        <f t="shared" si="6"/>
        <v>157270</v>
      </c>
      <c r="S269" s="92"/>
    </row>
    <row r="270" ht="15.0" customHeight="1">
      <c r="A270" s="92"/>
      <c r="B270" s="97" t="s">
        <v>1679</v>
      </c>
      <c r="C270" s="93">
        <f>I136</f>
        <v>6</v>
      </c>
      <c r="D270" s="93">
        <f t="shared" si="1"/>
        <v>3249</v>
      </c>
      <c r="E270" s="93" t="str">
        <f>K136</f>
        <v/>
      </c>
      <c r="F270" s="93">
        <f t="shared" si="2"/>
        <v>727738</v>
      </c>
      <c r="G270" s="92"/>
      <c r="H270" s="98"/>
      <c r="I270" s="98"/>
      <c r="J270" s="93">
        <f t="shared" si="3"/>
        <v>3580</v>
      </c>
      <c r="K270" s="98"/>
      <c r="L270" s="93">
        <f t="shared" si="4"/>
        <v>577145</v>
      </c>
      <c r="M270" s="92"/>
      <c r="N270" s="98"/>
      <c r="O270" s="98"/>
      <c r="P270" s="93">
        <f t="shared" si="5"/>
        <v>192</v>
      </c>
      <c r="Q270" s="98"/>
      <c r="R270" s="93">
        <f t="shared" si="6"/>
        <v>157270</v>
      </c>
      <c r="S270" s="92"/>
    </row>
    <row r="271" ht="15.0" customHeight="1">
      <c r="A271" s="92"/>
      <c r="B271" s="97" t="s">
        <v>1680</v>
      </c>
      <c r="C271" s="93">
        <f>O136</f>
        <v>0</v>
      </c>
      <c r="D271" s="93">
        <f t="shared" si="1"/>
        <v>3249</v>
      </c>
      <c r="E271" s="93"/>
      <c r="F271" s="93">
        <f t="shared" si="2"/>
        <v>727738</v>
      </c>
      <c r="G271" s="92"/>
      <c r="H271" s="98"/>
      <c r="I271" s="98"/>
      <c r="J271" s="93">
        <f t="shared" si="3"/>
        <v>3580</v>
      </c>
      <c r="K271" s="98"/>
      <c r="L271" s="93">
        <f t="shared" si="4"/>
        <v>577145</v>
      </c>
      <c r="M271" s="92"/>
      <c r="N271" s="98"/>
      <c r="O271" s="98"/>
      <c r="P271" s="93">
        <f t="shared" si="5"/>
        <v>192</v>
      </c>
      <c r="Q271" s="98"/>
      <c r="R271" s="93">
        <f t="shared" si="6"/>
        <v>157270</v>
      </c>
      <c r="S271" s="92"/>
    </row>
    <row r="272" ht="15.0" customHeight="1">
      <c r="A272" s="92"/>
      <c r="B272" s="97" t="s">
        <v>1681</v>
      </c>
      <c r="C272" s="93"/>
      <c r="D272" s="93">
        <f t="shared" si="1"/>
        <v>3249</v>
      </c>
      <c r="E272" s="93"/>
      <c r="F272" s="93">
        <f t="shared" si="2"/>
        <v>727738</v>
      </c>
      <c r="G272" s="92"/>
      <c r="H272" s="98"/>
      <c r="I272" s="98"/>
      <c r="J272" s="93">
        <f t="shared" si="3"/>
        <v>3580</v>
      </c>
      <c r="K272" s="98"/>
      <c r="L272" s="93">
        <f t="shared" si="4"/>
        <v>577145</v>
      </c>
      <c r="M272" s="92"/>
      <c r="N272" s="98"/>
      <c r="O272" s="98"/>
      <c r="P272" s="93">
        <f t="shared" si="5"/>
        <v>192</v>
      </c>
      <c r="Q272" s="98"/>
      <c r="R272" s="93">
        <f t="shared" si="6"/>
        <v>157270</v>
      </c>
      <c r="S272" s="92"/>
    </row>
    <row r="273" ht="15.0" customHeight="1">
      <c r="A273" s="92"/>
      <c r="B273" s="97" t="s">
        <v>1682</v>
      </c>
      <c r="C273" s="93"/>
      <c r="D273" s="93">
        <f t="shared" si="1"/>
        <v>3249</v>
      </c>
      <c r="E273" s="93"/>
      <c r="F273" s="93">
        <f t="shared" si="2"/>
        <v>727738</v>
      </c>
      <c r="G273" s="92"/>
      <c r="H273" s="98"/>
      <c r="I273" s="98"/>
      <c r="J273" s="93">
        <f t="shared" si="3"/>
        <v>3580</v>
      </c>
      <c r="K273" s="98"/>
      <c r="L273" s="93">
        <f t="shared" si="4"/>
        <v>577145</v>
      </c>
      <c r="M273" s="92"/>
      <c r="N273" s="98"/>
      <c r="O273" s="98"/>
      <c r="P273" s="93">
        <f t="shared" si="5"/>
        <v>192</v>
      </c>
      <c r="Q273" s="98"/>
      <c r="R273" s="93">
        <f t="shared" si="6"/>
        <v>157270</v>
      </c>
      <c r="S273" s="92"/>
    </row>
    <row r="274" ht="15.0" customHeight="1">
      <c r="A274" s="92"/>
      <c r="B274" s="97" t="s">
        <v>1683</v>
      </c>
      <c r="C274" s="93"/>
      <c r="D274" s="93">
        <f t="shared" si="1"/>
        <v>3249</v>
      </c>
      <c r="E274" s="93"/>
      <c r="F274" s="93">
        <f t="shared" si="2"/>
        <v>727738</v>
      </c>
      <c r="G274" s="92"/>
      <c r="H274" s="98"/>
      <c r="I274" s="98"/>
      <c r="J274" s="93">
        <f t="shared" si="3"/>
        <v>3580</v>
      </c>
      <c r="K274" s="98"/>
      <c r="L274" s="93">
        <f t="shared" si="4"/>
        <v>577145</v>
      </c>
      <c r="M274" s="92"/>
      <c r="N274" s="98"/>
      <c r="O274" s="98"/>
      <c r="P274" s="93">
        <f t="shared" si="5"/>
        <v>192</v>
      </c>
      <c r="Q274" s="98"/>
      <c r="R274" s="93">
        <f t="shared" si="6"/>
        <v>157270</v>
      </c>
      <c r="S274" s="92"/>
    </row>
    <row r="275" ht="15.0" customHeight="1">
      <c r="A275" s="92"/>
      <c r="B275" s="97" t="s">
        <v>1767</v>
      </c>
      <c r="C275" s="93"/>
      <c r="D275" s="93">
        <f t="shared" si="1"/>
        <v>3249</v>
      </c>
      <c r="E275" s="93"/>
      <c r="F275" s="93">
        <f t="shared" si="2"/>
        <v>727738</v>
      </c>
      <c r="G275" s="92"/>
      <c r="H275" s="98"/>
      <c r="I275" s="98"/>
      <c r="J275" s="93">
        <f t="shared" si="3"/>
        <v>3580</v>
      </c>
      <c r="K275" s="98"/>
      <c r="L275" s="93">
        <f t="shared" si="4"/>
        <v>577145</v>
      </c>
      <c r="M275" s="92"/>
      <c r="N275" s="98"/>
      <c r="O275" s="98"/>
      <c r="P275" s="93">
        <f t="shared" si="5"/>
        <v>192</v>
      </c>
      <c r="Q275" s="98"/>
      <c r="R275" s="93">
        <f t="shared" si="6"/>
        <v>157270</v>
      </c>
      <c r="S275" s="92"/>
    </row>
    <row r="276" ht="15.0" customHeight="1">
      <c r="A276" s="92"/>
      <c r="B276" s="97" t="s">
        <v>1684</v>
      </c>
      <c r="C276" s="93"/>
      <c r="D276" s="93">
        <f t="shared" si="1"/>
        <v>3249</v>
      </c>
      <c r="E276" s="93"/>
      <c r="F276" s="93">
        <f t="shared" si="2"/>
        <v>727738</v>
      </c>
      <c r="G276" s="92"/>
      <c r="H276" s="98"/>
      <c r="I276" s="98"/>
      <c r="J276" s="93">
        <f t="shared" si="3"/>
        <v>3580</v>
      </c>
      <c r="K276" s="98"/>
      <c r="L276" s="93">
        <f t="shared" si="4"/>
        <v>577145</v>
      </c>
      <c r="M276" s="92"/>
      <c r="N276" s="98"/>
      <c r="O276" s="98"/>
      <c r="P276" s="93">
        <f t="shared" si="5"/>
        <v>192</v>
      </c>
      <c r="Q276" s="98"/>
      <c r="R276" s="93">
        <f t="shared" si="6"/>
        <v>157270</v>
      </c>
      <c r="S276" s="92"/>
    </row>
    <row r="277" ht="15.0" customHeight="1">
      <c r="A277" s="92"/>
      <c r="B277" s="97" t="s">
        <v>1685</v>
      </c>
      <c r="C277" s="93"/>
      <c r="D277" s="93">
        <f t="shared" si="1"/>
        <v>3249</v>
      </c>
      <c r="E277" s="93"/>
      <c r="F277" s="93">
        <f t="shared" si="2"/>
        <v>727738</v>
      </c>
      <c r="G277" s="92"/>
      <c r="H277" s="98"/>
      <c r="I277" s="98"/>
      <c r="J277" s="93">
        <f t="shared" si="3"/>
        <v>3580</v>
      </c>
      <c r="K277" s="98"/>
      <c r="L277" s="93">
        <f t="shared" si="4"/>
        <v>577145</v>
      </c>
      <c r="M277" s="92"/>
      <c r="N277" s="98"/>
      <c r="O277" s="98"/>
      <c r="P277" s="93">
        <f t="shared" si="5"/>
        <v>192</v>
      </c>
      <c r="Q277" s="98"/>
      <c r="R277" s="93">
        <f t="shared" si="6"/>
        <v>157270</v>
      </c>
      <c r="S277" s="92"/>
    </row>
    <row r="278" ht="15.0" customHeight="1">
      <c r="A278" s="92"/>
      <c r="B278" s="97" t="s">
        <v>1686</v>
      </c>
      <c r="C278" s="93"/>
      <c r="D278" s="93">
        <f t="shared" si="1"/>
        <v>3249</v>
      </c>
      <c r="E278" s="93"/>
      <c r="F278" s="93">
        <f t="shared" si="2"/>
        <v>727738</v>
      </c>
      <c r="G278" s="92"/>
      <c r="H278" s="98"/>
      <c r="I278" s="98"/>
      <c r="J278" s="93">
        <f t="shared" si="3"/>
        <v>3580</v>
      </c>
      <c r="K278" s="98"/>
      <c r="L278" s="93">
        <f t="shared" si="4"/>
        <v>577145</v>
      </c>
      <c r="M278" s="92"/>
      <c r="N278" s="98"/>
      <c r="O278" s="98"/>
      <c r="P278" s="93">
        <f t="shared" si="5"/>
        <v>192</v>
      </c>
      <c r="Q278" s="98"/>
      <c r="R278" s="93">
        <f t="shared" si="6"/>
        <v>157270</v>
      </c>
      <c r="S278" s="92"/>
    </row>
    <row r="279" ht="15.0" customHeight="1">
      <c r="A279" s="92"/>
      <c r="B279" s="97" t="s">
        <v>1687</v>
      </c>
      <c r="C279" s="93"/>
      <c r="D279" s="93">
        <f t="shared" si="1"/>
        <v>3249</v>
      </c>
      <c r="E279" s="93"/>
      <c r="F279" s="93">
        <f t="shared" si="2"/>
        <v>727738</v>
      </c>
      <c r="G279" s="92"/>
      <c r="H279" s="98"/>
      <c r="I279" s="98"/>
      <c r="J279" s="93">
        <f t="shared" si="3"/>
        <v>3580</v>
      </c>
      <c r="K279" s="98"/>
      <c r="L279" s="93">
        <f t="shared" si="4"/>
        <v>577145</v>
      </c>
      <c r="M279" s="92"/>
      <c r="N279" s="98"/>
      <c r="O279" s="98"/>
      <c r="P279" s="93">
        <f t="shared" si="5"/>
        <v>192</v>
      </c>
      <c r="Q279" s="98"/>
      <c r="R279" s="93">
        <f t="shared" si="6"/>
        <v>157270</v>
      </c>
      <c r="S279" s="92"/>
    </row>
    <row r="280" ht="15.0" customHeight="1">
      <c r="A280" s="92"/>
      <c r="B280" s="97" t="s">
        <v>1688</v>
      </c>
      <c r="C280" s="93"/>
      <c r="D280" s="93">
        <f t="shared" si="1"/>
        <v>3249</v>
      </c>
      <c r="E280" s="93"/>
      <c r="F280" s="93">
        <f t="shared" si="2"/>
        <v>727738</v>
      </c>
      <c r="G280" s="92"/>
      <c r="H280" s="98"/>
      <c r="I280" s="98"/>
      <c r="J280" s="93">
        <f t="shared" si="3"/>
        <v>3580</v>
      </c>
      <c r="K280" s="98"/>
      <c r="L280" s="93">
        <f t="shared" si="4"/>
        <v>577145</v>
      </c>
      <c r="M280" s="92"/>
      <c r="N280" s="98"/>
      <c r="O280" s="98"/>
      <c r="P280" s="93">
        <f t="shared" si="5"/>
        <v>192</v>
      </c>
      <c r="Q280" s="98"/>
      <c r="R280" s="93">
        <f t="shared" si="6"/>
        <v>157270</v>
      </c>
      <c r="S280" s="92"/>
    </row>
    <row r="281" ht="15.0" customHeight="1">
      <c r="A281" s="92"/>
      <c r="B281" s="97" t="s">
        <v>1689</v>
      </c>
      <c r="C281" s="93"/>
      <c r="D281" s="93">
        <f t="shared" si="1"/>
        <v>3249</v>
      </c>
      <c r="E281" s="93"/>
      <c r="F281" s="93">
        <f t="shared" si="2"/>
        <v>727738</v>
      </c>
      <c r="G281" s="92"/>
      <c r="H281" s="98"/>
      <c r="I281" s="98"/>
      <c r="J281" s="93">
        <f t="shared" si="3"/>
        <v>3580</v>
      </c>
      <c r="K281" s="98"/>
      <c r="L281" s="93">
        <f t="shared" si="4"/>
        <v>577145</v>
      </c>
      <c r="M281" s="92"/>
      <c r="N281" s="98"/>
      <c r="O281" s="98"/>
      <c r="P281" s="93">
        <f t="shared" si="5"/>
        <v>192</v>
      </c>
      <c r="Q281" s="98"/>
      <c r="R281" s="93">
        <f t="shared" si="6"/>
        <v>157270</v>
      </c>
      <c r="S281" s="92"/>
    </row>
    <row r="282" ht="15.0" customHeight="1">
      <c r="A282" s="92"/>
      <c r="B282" s="97" t="s">
        <v>1690</v>
      </c>
      <c r="C282" s="93"/>
      <c r="D282" s="93">
        <f t="shared" si="1"/>
        <v>3249</v>
      </c>
      <c r="E282" s="93"/>
      <c r="F282" s="93">
        <f t="shared" si="2"/>
        <v>727738</v>
      </c>
      <c r="G282" s="92"/>
      <c r="H282" s="98"/>
      <c r="I282" s="98"/>
      <c r="J282" s="93">
        <f t="shared" si="3"/>
        <v>3580</v>
      </c>
      <c r="K282" s="98"/>
      <c r="L282" s="93">
        <f t="shared" si="4"/>
        <v>577145</v>
      </c>
      <c r="M282" s="92"/>
      <c r="N282" s="98"/>
      <c r="O282" s="98"/>
      <c r="P282" s="93">
        <f t="shared" si="5"/>
        <v>192</v>
      </c>
      <c r="Q282" s="98"/>
      <c r="R282" s="93">
        <f t="shared" si="6"/>
        <v>157270</v>
      </c>
      <c r="S282" s="92"/>
    </row>
    <row r="283" ht="15.0" customHeight="1">
      <c r="A283" s="92"/>
      <c r="B283" s="97" t="s">
        <v>1691</v>
      </c>
      <c r="C283" s="93"/>
      <c r="D283" s="93">
        <f t="shared" si="1"/>
        <v>3249</v>
      </c>
      <c r="E283" s="93"/>
      <c r="F283" s="93">
        <f t="shared" si="2"/>
        <v>727738</v>
      </c>
      <c r="G283" s="92"/>
      <c r="H283" s="98"/>
      <c r="I283" s="98"/>
      <c r="J283" s="93">
        <f t="shared" si="3"/>
        <v>3580</v>
      </c>
      <c r="K283" s="98"/>
      <c r="L283" s="93">
        <f t="shared" si="4"/>
        <v>577145</v>
      </c>
      <c r="M283" s="92"/>
      <c r="N283" s="98"/>
      <c r="O283" s="98"/>
      <c r="P283" s="93">
        <f t="shared" si="5"/>
        <v>192</v>
      </c>
      <c r="Q283" s="98"/>
      <c r="R283" s="93">
        <f t="shared" si="6"/>
        <v>157270</v>
      </c>
      <c r="S283" s="92"/>
    </row>
    <row r="284" ht="15.0" customHeight="1">
      <c r="A284" s="92"/>
      <c r="B284" s="97" t="s">
        <v>1692</v>
      </c>
      <c r="C284" s="93"/>
      <c r="D284" s="93">
        <f t="shared" si="1"/>
        <v>3249</v>
      </c>
      <c r="E284" s="93"/>
      <c r="F284" s="93">
        <f t="shared" si="2"/>
        <v>727738</v>
      </c>
      <c r="G284" s="92"/>
      <c r="H284" s="98"/>
      <c r="I284" s="98"/>
      <c r="J284" s="93">
        <f t="shared" si="3"/>
        <v>3580</v>
      </c>
      <c r="K284" s="98"/>
      <c r="L284" s="93">
        <f t="shared" si="4"/>
        <v>577145</v>
      </c>
      <c r="M284" s="92"/>
      <c r="N284" s="98"/>
      <c r="O284" s="98"/>
      <c r="P284" s="93">
        <f t="shared" si="5"/>
        <v>192</v>
      </c>
      <c r="Q284" s="98"/>
      <c r="R284" s="93">
        <f t="shared" si="6"/>
        <v>157270</v>
      </c>
      <c r="S284" s="92"/>
    </row>
    <row r="285" ht="15.0" customHeight="1">
      <c r="A285" s="92"/>
      <c r="B285" s="97" t="s">
        <v>1693</v>
      </c>
      <c r="C285" s="93"/>
      <c r="D285" s="93">
        <f t="shared" si="1"/>
        <v>3249</v>
      </c>
      <c r="E285" s="93"/>
      <c r="F285" s="93">
        <f t="shared" si="2"/>
        <v>727738</v>
      </c>
      <c r="G285" s="92"/>
      <c r="H285" s="98"/>
      <c r="I285" s="98"/>
      <c r="J285" s="93">
        <f t="shared" si="3"/>
        <v>3580</v>
      </c>
      <c r="K285" s="98"/>
      <c r="L285" s="93">
        <f t="shared" si="4"/>
        <v>577145</v>
      </c>
      <c r="M285" s="92"/>
      <c r="N285" s="98"/>
      <c r="O285" s="98"/>
      <c r="P285" s="93">
        <f t="shared" si="5"/>
        <v>192</v>
      </c>
      <c r="Q285" s="98"/>
      <c r="R285" s="93">
        <f t="shared" si="6"/>
        <v>157270</v>
      </c>
      <c r="S285" s="92"/>
    </row>
    <row r="286" ht="15.0" customHeight="1">
      <c r="A286" s="92"/>
      <c r="B286" s="97" t="s">
        <v>1694</v>
      </c>
      <c r="C286" s="93"/>
      <c r="D286" s="93">
        <f t="shared" si="1"/>
        <v>3249</v>
      </c>
      <c r="E286" s="93"/>
      <c r="F286" s="93">
        <f t="shared" si="2"/>
        <v>727738</v>
      </c>
      <c r="G286" s="92"/>
      <c r="H286" s="98"/>
      <c r="I286" s="98"/>
      <c r="J286" s="93">
        <f t="shared" si="3"/>
        <v>3580</v>
      </c>
      <c r="K286" s="98"/>
      <c r="L286" s="93">
        <f t="shared" si="4"/>
        <v>577145</v>
      </c>
      <c r="M286" s="92"/>
      <c r="N286" s="98"/>
      <c r="O286" s="98"/>
      <c r="P286" s="93">
        <f t="shared" si="5"/>
        <v>192</v>
      </c>
      <c r="Q286" s="98"/>
      <c r="R286" s="93">
        <f t="shared" si="6"/>
        <v>157270</v>
      </c>
      <c r="S286" s="92"/>
    </row>
    <row r="287" ht="15.0" customHeight="1">
      <c r="A287" s="92"/>
      <c r="B287" s="97" t="s">
        <v>1695</v>
      </c>
      <c r="C287" s="93"/>
      <c r="D287" s="93">
        <f t="shared" si="1"/>
        <v>3249</v>
      </c>
      <c r="E287" s="93"/>
      <c r="F287" s="93">
        <f t="shared" si="2"/>
        <v>727738</v>
      </c>
      <c r="G287" s="92"/>
      <c r="H287" s="98"/>
      <c r="I287" s="98"/>
      <c r="J287" s="93">
        <f t="shared" si="3"/>
        <v>3580</v>
      </c>
      <c r="K287" s="98"/>
      <c r="L287" s="93">
        <f t="shared" si="4"/>
        <v>577145</v>
      </c>
      <c r="M287" s="92"/>
      <c r="N287" s="98"/>
      <c r="O287" s="98"/>
      <c r="P287" s="93">
        <f t="shared" si="5"/>
        <v>192</v>
      </c>
      <c r="Q287" s="98"/>
      <c r="R287" s="93">
        <f t="shared" si="6"/>
        <v>157270</v>
      </c>
      <c r="S287" s="92"/>
    </row>
    <row r="288" ht="15.0" customHeight="1">
      <c r="A288" s="92"/>
      <c r="B288" s="97" t="s">
        <v>1696</v>
      </c>
      <c r="C288" s="93"/>
      <c r="D288" s="93">
        <f t="shared" si="1"/>
        <v>3249</v>
      </c>
      <c r="E288" s="93"/>
      <c r="F288" s="93">
        <f t="shared" si="2"/>
        <v>727738</v>
      </c>
      <c r="G288" s="92"/>
      <c r="H288" s="98"/>
      <c r="I288" s="98"/>
      <c r="J288" s="93">
        <f t="shared" si="3"/>
        <v>3580</v>
      </c>
      <c r="K288" s="98"/>
      <c r="L288" s="93">
        <f t="shared" si="4"/>
        <v>577145</v>
      </c>
      <c r="M288" s="92"/>
      <c r="N288" s="98"/>
      <c r="O288" s="98"/>
      <c r="P288" s="93">
        <f t="shared" si="5"/>
        <v>192</v>
      </c>
      <c r="Q288" s="98"/>
      <c r="R288" s="93">
        <f t="shared" si="6"/>
        <v>157270</v>
      </c>
      <c r="S288" s="92"/>
    </row>
    <row r="289" ht="15.0" customHeight="1">
      <c r="A289" s="92"/>
      <c r="B289" s="97" t="s">
        <v>1697</v>
      </c>
      <c r="C289" s="93"/>
      <c r="D289" s="93">
        <f t="shared" si="1"/>
        <v>3249</v>
      </c>
      <c r="E289" s="93"/>
      <c r="F289" s="93">
        <f t="shared" si="2"/>
        <v>727738</v>
      </c>
      <c r="G289" s="92"/>
      <c r="H289" s="98"/>
      <c r="I289" s="98"/>
      <c r="J289" s="93">
        <f t="shared" si="3"/>
        <v>3580</v>
      </c>
      <c r="K289" s="98"/>
      <c r="L289" s="93">
        <f t="shared" si="4"/>
        <v>577145</v>
      </c>
      <c r="M289" s="92"/>
      <c r="N289" s="98"/>
      <c r="O289" s="98"/>
      <c r="P289" s="93">
        <f t="shared" si="5"/>
        <v>192</v>
      </c>
      <c r="Q289" s="98"/>
      <c r="R289" s="93">
        <f t="shared" si="6"/>
        <v>157270</v>
      </c>
      <c r="S289" s="92"/>
    </row>
    <row r="290" ht="15.0" customHeight="1">
      <c r="A290" s="92"/>
      <c r="B290" s="97" t="s">
        <v>1698</v>
      </c>
      <c r="C290" s="93"/>
      <c r="D290" s="93">
        <f t="shared" si="1"/>
        <v>3249</v>
      </c>
      <c r="E290" s="93"/>
      <c r="F290" s="93">
        <f t="shared" si="2"/>
        <v>727738</v>
      </c>
      <c r="G290" s="92"/>
      <c r="H290" s="98"/>
      <c r="I290" s="98"/>
      <c r="J290" s="93">
        <f t="shared" si="3"/>
        <v>3580</v>
      </c>
      <c r="K290" s="98"/>
      <c r="L290" s="93">
        <f t="shared" si="4"/>
        <v>577145</v>
      </c>
      <c r="M290" s="92"/>
      <c r="N290" s="98"/>
      <c r="O290" s="98"/>
      <c r="P290" s="93">
        <f t="shared" si="5"/>
        <v>192</v>
      </c>
      <c r="Q290" s="98"/>
      <c r="R290" s="93">
        <f t="shared" si="6"/>
        <v>157270</v>
      </c>
      <c r="S290" s="92"/>
    </row>
    <row r="291" ht="15.0" customHeight="1">
      <c r="A291" s="92"/>
      <c r="B291" s="97" t="s">
        <v>1699</v>
      </c>
      <c r="C291" s="93"/>
      <c r="D291" s="93">
        <f t="shared" si="1"/>
        <v>3249</v>
      </c>
      <c r="E291" s="93"/>
      <c r="F291" s="93">
        <f t="shared" si="2"/>
        <v>727738</v>
      </c>
      <c r="G291" s="92"/>
      <c r="H291" s="98"/>
      <c r="I291" s="98"/>
      <c r="J291" s="93">
        <f t="shared" si="3"/>
        <v>3580</v>
      </c>
      <c r="K291" s="98"/>
      <c r="L291" s="93">
        <f t="shared" si="4"/>
        <v>577145</v>
      </c>
      <c r="M291" s="92"/>
      <c r="N291" s="98"/>
      <c r="O291" s="98"/>
      <c r="P291" s="93">
        <f t="shared" si="5"/>
        <v>192</v>
      </c>
      <c r="Q291" s="98"/>
      <c r="R291" s="93">
        <f t="shared" si="6"/>
        <v>157270</v>
      </c>
      <c r="S291" s="92"/>
    </row>
    <row r="292" ht="15.0" customHeight="1">
      <c r="A292" s="92"/>
      <c r="B292" s="97" t="s">
        <v>1700</v>
      </c>
      <c r="C292" s="93"/>
      <c r="D292" s="93">
        <f t="shared" si="1"/>
        <v>3249</v>
      </c>
      <c r="E292" s="93"/>
      <c r="F292" s="93">
        <f t="shared" si="2"/>
        <v>727738</v>
      </c>
      <c r="G292" s="92"/>
      <c r="H292" s="98"/>
      <c r="I292" s="98"/>
      <c r="J292" s="93">
        <f t="shared" si="3"/>
        <v>3580</v>
      </c>
      <c r="K292" s="98"/>
      <c r="L292" s="93">
        <f t="shared" si="4"/>
        <v>577145</v>
      </c>
      <c r="M292" s="92"/>
      <c r="N292" s="98"/>
      <c r="O292" s="98"/>
      <c r="P292" s="93">
        <f t="shared" si="5"/>
        <v>192</v>
      </c>
      <c r="Q292" s="98"/>
      <c r="R292" s="93">
        <f t="shared" si="6"/>
        <v>157270</v>
      </c>
      <c r="S292" s="92"/>
    </row>
    <row r="293" ht="15.0" customHeight="1">
      <c r="A293" s="92"/>
      <c r="B293" s="97" t="s">
        <v>1701</v>
      </c>
      <c r="C293" s="93"/>
      <c r="D293" s="93">
        <f t="shared" si="1"/>
        <v>3249</v>
      </c>
      <c r="E293" s="93"/>
      <c r="F293" s="93">
        <f t="shared" si="2"/>
        <v>727738</v>
      </c>
      <c r="G293" s="92"/>
      <c r="H293" s="98"/>
      <c r="I293" s="98"/>
      <c r="J293" s="93">
        <f t="shared" si="3"/>
        <v>3580</v>
      </c>
      <c r="K293" s="98"/>
      <c r="L293" s="93">
        <f t="shared" si="4"/>
        <v>577145</v>
      </c>
      <c r="M293" s="92"/>
      <c r="N293" s="98"/>
      <c r="O293" s="98"/>
      <c r="P293" s="93">
        <f t="shared" si="5"/>
        <v>192</v>
      </c>
      <c r="Q293" s="98"/>
      <c r="R293" s="93">
        <f t="shared" si="6"/>
        <v>157270</v>
      </c>
      <c r="S293" s="92"/>
    </row>
    <row r="294" ht="15.0" customHeight="1">
      <c r="A294" s="92"/>
      <c r="B294" s="97" t="s">
        <v>1702</v>
      </c>
      <c r="C294" s="93"/>
      <c r="D294" s="93">
        <f t="shared" si="1"/>
        <v>3249</v>
      </c>
      <c r="E294" s="93"/>
      <c r="F294" s="93">
        <f t="shared" si="2"/>
        <v>727738</v>
      </c>
      <c r="G294" s="92"/>
      <c r="H294" s="98"/>
      <c r="I294" s="98"/>
      <c r="J294" s="93">
        <f t="shared" si="3"/>
        <v>3580</v>
      </c>
      <c r="K294" s="98"/>
      <c r="L294" s="93">
        <f t="shared" si="4"/>
        <v>577145</v>
      </c>
      <c r="M294" s="92"/>
      <c r="N294" s="98"/>
      <c r="O294" s="98"/>
      <c r="P294" s="93">
        <f t="shared" si="5"/>
        <v>192</v>
      </c>
      <c r="Q294" s="98"/>
      <c r="R294" s="93">
        <f t="shared" si="6"/>
        <v>157270</v>
      </c>
      <c r="S294" s="92"/>
    </row>
    <row r="295" ht="15.0" customHeight="1">
      <c r="A295" s="92"/>
      <c r="B295" s="97" t="s">
        <v>1703</v>
      </c>
      <c r="C295" s="93"/>
      <c r="D295" s="93">
        <f t="shared" si="1"/>
        <v>3249</v>
      </c>
      <c r="E295" s="93"/>
      <c r="F295" s="93">
        <f t="shared" si="2"/>
        <v>727738</v>
      </c>
      <c r="G295" s="92"/>
      <c r="H295" s="98"/>
      <c r="I295" s="98"/>
      <c r="J295" s="93">
        <f t="shared" si="3"/>
        <v>3580</v>
      </c>
      <c r="K295" s="98"/>
      <c r="L295" s="93">
        <f t="shared" si="4"/>
        <v>577145</v>
      </c>
      <c r="M295" s="92"/>
      <c r="N295" s="98"/>
      <c r="O295" s="98"/>
      <c r="P295" s="93">
        <f t="shared" si="5"/>
        <v>192</v>
      </c>
      <c r="Q295" s="98"/>
      <c r="R295" s="93">
        <f t="shared" si="6"/>
        <v>157270</v>
      </c>
      <c r="S295" s="92"/>
    </row>
    <row r="296" ht="15.0" customHeight="1">
      <c r="A296" s="92"/>
      <c r="B296" s="97" t="s">
        <v>1704</v>
      </c>
      <c r="C296" s="93"/>
      <c r="D296" s="93">
        <f t="shared" si="1"/>
        <v>3249</v>
      </c>
      <c r="E296" s="93"/>
      <c r="F296" s="93">
        <f t="shared" si="2"/>
        <v>727738</v>
      </c>
      <c r="G296" s="92"/>
      <c r="H296" s="98"/>
      <c r="I296" s="98"/>
      <c r="J296" s="93">
        <f t="shared" si="3"/>
        <v>3580</v>
      </c>
      <c r="K296" s="98"/>
      <c r="L296" s="93">
        <f t="shared" si="4"/>
        <v>577145</v>
      </c>
      <c r="M296" s="92"/>
      <c r="N296" s="98"/>
      <c r="O296" s="98"/>
      <c r="P296" s="93">
        <f t="shared" si="5"/>
        <v>192</v>
      </c>
      <c r="Q296" s="98"/>
      <c r="R296" s="93">
        <f t="shared" si="6"/>
        <v>157270</v>
      </c>
      <c r="S296" s="92"/>
    </row>
    <row r="297" ht="15.0" customHeight="1">
      <c r="A297" s="92"/>
      <c r="B297" s="97" t="s">
        <v>1705</v>
      </c>
      <c r="C297" s="93"/>
      <c r="D297" s="93">
        <f t="shared" si="1"/>
        <v>3249</v>
      </c>
      <c r="E297" s="93"/>
      <c r="F297" s="93">
        <f t="shared" si="2"/>
        <v>727738</v>
      </c>
      <c r="G297" s="92"/>
      <c r="H297" s="98"/>
      <c r="I297" s="98"/>
      <c r="J297" s="93">
        <f t="shared" si="3"/>
        <v>3580</v>
      </c>
      <c r="K297" s="98"/>
      <c r="L297" s="93">
        <f t="shared" si="4"/>
        <v>577145</v>
      </c>
      <c r="M297" s="92"/>
      <c r="N297" s="98"/>
      <c r="O297" s="98"/>
      <c r="P297" s="93">
        <f t="shared" si="5"/>
        <v>192</v>
      </c>
      <c r="Q297" s="98"/>
      <c r="R297" s="93">
        <f t="shared" si="6"/>
        <v>157270</v>
      </c>
      <c r="S297" s="92"/>
    </row>
    <row r="298" ht="15.0" customHeight="1">
      <c r="A298" s="92"/>
      <c r="B298" s="97" t="s">
        <v>1706</v>
      </c>
      <c r="C298" s="93"/>
      <c r="D298" s="93">
        <f t="shared" si="1"/>
        <v>3249</v>
      </c>
      <c r="E298" s="93"/>
      <c r="F298" s="93">
        <f t="shared" si="2"/>
        <v>727738</v>
      </c>
      <c r="G298" s="92"/>
      <c r="H298" s="98"/>
      <c r="I298" s="98"/>
      <c r="J298" s="93">
        <f t="shared" si="3"/>
        <v>3580</v>
      </c>
      <c r="K298" s="98"/>
      <c r="L298" s="93">
        <f t="shared" si="4"/>
        <v>577145</v>
      </c>
      <c r="M298" s="92"/>
      <c r="N298" s="98"/>
      <c r="O298" s="98"/>
      <c r="P298" s="93">
        <f t="shared" si="5"/>
        <v>192</v>
      </c>
      <c r="Q298" s="98"/>
      <c r="R298" s="93">
        <f t="shared" si="6"/>
        <v>157270</v>
      </c>
      <c r="S298" s="92"/>
    </row>
    <row r="299" ht="15.0" customHeight="1">
      <c r="A299" s="92"/>
      <c r="B299" s="97" t="s">
        <v>1707</v>
      </c>
      <c r="C299" s="93"/>
      <c r="D299" s="93">
        <f t="shared" si="1"/>
        <v>3249</v>
      </c>
      <c r="E299" s="93"/>
      <c r="F299" s="93">
        <f t="shared" si="2"/>
        <v>727738</v>
      </c>
      <c r="G299" s="92"/>
      <c r="H299" s="98"/>
      <c r="I299" s="98"/>
      <c r="J299" s="93">
        <f t="shared" si="3"/>
        <v>3580</v>
      </c>
      <c r="K299" s="98"/>
      <c r="L299" s="93">
        <f t="shared" si="4"/>
        <v>577145</v>
      </c>
      <c r="M299" s="92"/>
      <c r="N299" s="98"/>
      <c r="O299" s="98"/>
      <c r="P299" s="93">
        <f t="shared" si="5"/>
        <v>192</v>
      </c>
      <c r="Q299" s="98"/>
      <c r="R299" s="93">
        <f t="shared" si="6"/>
        <v>157270</v>
      </c>
      <c r="S299" s="92"/>
    </row>
    <row r="300" ht="15.0" customHeight="1">
      <c r="A300" s="92"/>
      <c r="B300" s="97" t="s">
        <v>1708</v>
      </c>
      <c r="C300" s="93"/>
      <c r="D300" s="93">
        <f t="shared" si="1"/>
        <v>3249</v>
      </c>
      <c r="E300" s="93"/>
      <c r="F300" s="93">
        <f t="shared" si="2"/>
        <v>727738</v>
      </c>
      <c r="G300" s="92"/>
      <c r="H300" s="98"/>
      <c r="I300" s="98"/>
      <c r="J300" s="93">
        <f t="shared" si="3"/>
        <v>3580</v>
      </c>
      <c r="K300" s="98"/>
      <c r="L300" s="93">
        <f t="shared" si="4"/>
        <v>577145</v>
      </c>
      <c r="M300" s="92"/>
      <c r="N300" s="98"/>
      <c r="O300" s="98"/>
      <c r="P300" s="93">
        <f t="shared" si="5"/>
        <v>192</v>
      </c>
      <c r="Q300" s="98"/>
      <c r="R300" s="93">
        <f t="shared" si="6"/>
        <v>157270</v>
      </c>
      <c r="S300" s="92"/>
    </row>
    <row r="301" ht="15.0" customHeight="1">
      <c r="A301" s="92"/>
      <c r="B301" s="97" t="s">
        <v>1709</v>
      </c>
      <c r="C301" s="93"/>
      <c r="D301" s="93">
        <f t="shared" si="1"/>
        <v>3249</v>
      </c>
      <c r="E301" s="93"/>
      <c r="F301" s="93">
        <f t="shared" si="2"/>
        <v>727738</v>
      </c>
      <c r="G301" s="92"/>
      <c r="H301" s="98"/>
      <c r="I301" s="98"/>
      <c r="J301" s="93">
        <f t="shared" si="3"/>
        <v>3580</v>
      </c>
      <c r="K301" s="98"/>
      <c r="L301" s="93">
        <f t="shared" si="4"/>
        <v>577145</v>
      </c>
      <c r="M301" s="92"/>
      <c r="N301" s="98"/>
      <c r="O301" s="98"/>
      <c r="P301" s="93">
        <f t="shared" si="5"/>
        <v>192</v>
      </c>
      <c r="Q301" s="98"/>
      <c r="R301" s="93">
        <f t="shared" si="6"/>
        <v>157270</v>
      </c>
      <c r="S301" s="92"/>
    </row>
    <row r="302" ht="15.0" customHeight="1">
      <c r="A302" s="92"/>
      <c r="B302" s="101" t="s">
        <v>1710</v>
      </c>
      <c r="C302" s="93"/>
      <c r="D302" s="93">
        <f t="shared" si="1"/>
        <v>3249</v>
      </c>
      <c r="E302" s="93"/>
      <c r="F302" s="93">
        <f t="shared" si="2"/>
        <v>727738</v>
      </c>
      <c r="G302" s="92"/>
      <c r="H302" s="98"/>
      <c r="I302" s="98"/>
      <c r="J302" s="98"/>
      <c r="K302" s="98"/>
      <c r="L302" s="98"/>
      <c r="M302" s="92"/>
      <c r="N302" s="98"/>
      <c r="O302" s="98"/>
      <c r="P302" s="93"/>
      <c r="Q302" s="98"/>
      <c r="R302" s="93"/>
      <c r="S302" s="92"/>
    </row>
    <row r="303" ht="15.0" customHeight="1">
      <c r="A303" s="92"/>
      <c r="B303" s="101" t="s">
        <v>1711</v>
      </c>
      <c r="C303" s="93"/>
      <c r="D303" s="93">
        <f t="shared" si="1"/>
        <v>3249</v>
      </c>
      <c r="E303" s="93"/>
      <c r="F303" s="93">
        <f t="shared" si="2"/>
        <v>727738</v>
      </c>
      <c r="G303" s="92"/>
      <c r="H303" s="98"/>
      <c r="I303" s="98"/>
      <c r="J303" s="98"/>
      <c r="K303" s="98"/>
      <c r="L303" s="98"/>
      <c r="M303" s="92"/>
      <c r="N303" s="98"/>
      <c r="O303" s="98"/>
      <c r="P303" s="93"/>
      <c r="Q303" s="98"/>
      <c r="R303" s="93"/>
      <c r="S303" s="92"/>
    </row>
    <row r="304" ht="15.0" customHeight="1">
      <c r="A304" s="92"/>
      <c r="B304" s="101" t="s">
        <v>1712</v>
      </c>
      <c r="C304" s="93"/>
      <c r="D304" s="93">
        <f t="shared" si="1"/>
        <v>3249</v>
      </c>
      <c r="E304" s="93"/>
      <c r="F304" s="93">
        <f t="shared" si="2"/>
        <v>727738</v>
      </c>
      <c r="G304" s="92"/>
      <c r="H304" s="98"/>
      <c r="I304" s="98"/>
      <c r="J304" s="98"/>
      <c r="K304" s="98"/>
      <c r="L304" s="98"/>
      <c r="M304" s="92"/>
      <c r="N304" s="98"/>
      <c r="O304" s="98"/>
      <c r="P304" s="93"/>
      <c r="Q304" s="98"/>
      <c r="R304" s="93"/>
      <c r="S304" s="92"/>
    </row>
    <row r="305" ht="15.0" customHeight="1">
      <c r="A305" s="92"/>
      <c r="B305" s="101" t="s">
        <v>1713</v>
      </c>
      <c r="C305" s="93"/>
      <c r="D305" s="93">
        <f t="shared" si="1"/>
        <v>3249</v>
      </c>
      <c r="E305" s="93"/>
      <c r="F305" s="93">
        <f t="shared" si="2"/>
        <v>727738</v>
      </c>
      <c r="G305" s="92"/>
      <c r="H305" s="98"/>
      <c r="I305" s="98"/>
      <c r="J305" s="98"/>
      <c r="K305" s="98"/>
      <c r="L305" s="98"/>
      <c r="M305" s="92"/>
      <c r="N305" s="98"/>
      <c r="O305" s="98"/>
      <c r="P305" s="93"/>
      <c r="Q305" s="98"/>
      <c r="R305" s="93"/>
      <c r="S305" s="92"/>
    </row>
    <row r="306" ht="15.0" customHeight="1">
      <c r="A306" s="92"/>
      <c r="B306" s="101" t="s">
        <v>1714</v>
      </c>
      <c r="C306" s="93"/>
      <c r="D306" s="93">
        <f t="shared" si="1"/>
        <v>3249</v>
      </c>
      <c r="E306" s="93"/>
      <c r="F306" s="93">
        <f t="shared" si="2"/>
        <v>727738</v>
      </c>
      <c r="G306" s="92"/>
      <c r="H306" s="98"/>
      <c r="I306" s="98"/>
      <c r="J306" s="98"/>
      <c r="K306" s="98"/>
      <c r="L306" s="98"/>
      <c r="M306" s="92"/>
      <c r="N306" s="98"/>
      <c r="O306" s="98"/>
      <c r="P306" s="93"/>
      <c r="Q306" s="98"/>
      <c r="R306" s="93"/>
      <c r="S306" s="92"/>
    </row>
    <row r="307" ht="15.0" customHeight="1">
      <c r="A307" s="92"/>
      <c r="B307" s="101" t="s">
        <v>1715</v>
      </c>
      <c r="C307" s="93"/>
      <c r="D307" s="93">
        <f t="shared" si="1"/>
        <v>3249</v>
      </c>
      <c r="E307" s="93"/>
      <c r="F307" s="93">
        <f t="shared" si="2"/>
        <v>727738</v>
      </c>
      <c r="G307" s="92"/>
      <c r="H307" s="98"/>
      <c r="I307" s="98"/>
      <c r="J307" s="98"/>
      <c r="K307" s="98"/>
      <c r="L307" s="98"/>
      <c r="M307" s="92"/>
      <c r="N307" s="98"/>
      <c r="O307" s="98"/>
      <c r="P307" s="93"/>
      <c r="Q307" s="98"/>
      <c r="R307" s="93"/>
      <c r="S307" s="92"/>
    </row>
    <row r="308" ht="15.0" customHeight="1">
      <c r="A308" s="92"/>
      <c r="B308" s="101" t="s">
        <v>1716</v>
      </c>
      <c r="C308" s="93"/>
      <c r="D308" s="93">
        <f t="shared" si="1"/>
        <v>3249</v>
      </c>
      <c r="E308" s="93"/>
      <c r="F308" s="93">
        <f t="shared" si="2"/>
        <v>727738</v>
      </c>
      <c r="G308" s="92"/>
      <c r="H308" s="98"/>
      <c r="I308" s="98"/>
      <c r="J308" s="98"/>
      <c r="K308" s="98"/>
      <c r="L308" s="98"/>
      <c r="M308" s="92"/>
      <c r="N308" s="98"/>
      <c r="O308" s="98"/>
      <c r="P308" s="93"/>
      <c r="Q308" s="98"/>
      <c r="R308" s="93"/>
      <c r="S308" s="92"/>
    </row>
    <row r="309" ht="15.0" customHeight="1">
      <c r="A309" s="92"/>
      <c r="B309" s="101" t="s">
        <v>1717</v>
      </c>
      <c r="C309" s="93"/>
      <c r="D309" s="93">
        <f t="shared" si="1"/>
        <v>3249</v>
      </c>
      <c r="E309" s="93"/>
      <c r="F309" s="93">
        <f t="shared" si="2"/>
        <v>727738</v>
      </c>
      <c r="G309" s="92"/>
      <c r="H309" s="98"/>
      <c r="I309" s="98"/>
      <c r="J309" s="98"/>
      <c r="K309" s="98"/>
      <c r="L309" s="98"/>
      <c r="M309" s="92"/>
      <c r="N309" s="98"/>
      <c r="O309" s="98"/>
      <c r="P309" s="93"/>
      <c r="Q309" s="98"/>
      <c r="R309" s="93"/>
      <c r="S309" s="92"/>
    </row>
    <row r="310" ht="15.0" customHeight="1">
      <c r="A310" s="92"/>
      <c r="B310" s="101" t="s">
        <v>1718</v>
      </c>
      <c r="C310" s="93"/>
      <c r="D310" s="93">
        <f t="shared" si="1"/>
        <v>3249</v>
      </c>
      <c r="E310" s="93"/>
      <c r="F310" s="93">
        <f t="shared" si="2"/>
        <v>727738</v>
      </c>
      <c r="G310" s="92"/>
      <c r="H310" s="98"/>
      <c r="I310" s="98"/>
      <c r="J310" s="98"/>
      <c r="K310" s="98"/>
      <c r="L310" s="98"/>
      <c r="M310" s="92"/>
      <c r="N310" s="98"/>
      <c r="O310" s="98"/>
      <c r="P310" s="93"/>
      <c r="Q310" s="98"/>
      <c r="R310" s="93"/>
      <c r="S310" s="92"/>
    </row>
    <row r="311" ht="15.0" customHeight="1">
      <c r="A311" s="92"/>
      <c r="B311" s="101" t="s">
        <v>1719</v>
      </c>
      <c r="C311" s="93"/>
      <c r="D311" s="93">
        <f t="shared" si="1"/>
        <v>3249</v>
      </c>
      <c r="E311" s="93"/>
      <c r="F311" s="93">
        <f t="shared" si="2"/>
        <v>727738</v>
      </c>
      <c r="G311" s="92"/>
      <c r="H311" s="98"/>
      <c r="I311" s="98"/>
      <c r="J311" s="98"/>
      <c r="K311" s="98"/>
      <c r="L311" s="98"/>
      <c r="M311" s="92"/>
      <c r="N311" s="98"/>
      <c r="O311" s="98"/>
      <c r="P311" s="93"/>
      <c r="Q311" s="98"/>
      <c r="R311" s="93"/>
      <c r="S311" s="92"/>
    </row>
    <row r="312" ht="15.0" customHeight="1">
      <c r="A312" s="92"/>
      <c r="B312" s="101" t="s">
        <v>1720</v>
      </c>
      <c r="C312" s="93"/>
      <c r="D312" s="93">
        <f t="shared" si="1"/>
        <v>3249</v>
      </c>
      <c r="E312" s="93"/>
      <c r="F312" s="93">
        <f t="shared" si="2"/>
        <v>727738</v>
      </c>
      <c r="G312" s="92"/>
      <c r="H312" s="98"/>
      <c r="I312" s="98"/>
      <c r="J312" s="98"/>
      <c r="K312" s="98"/>
      <c r="L312" s="98"/>
      <c r="M312" s="92"/>
      <c r="N312" s="98"/>
      <c r="O312" s="98"/>
      <c r="P312" s="93"/>
      <c r="Q312" s="98"/>
      <c r="R312" s="93"/>
      <c r="S312" s="92"/>
    </row>
    <row r="313" ht="15.0" customHeight="1">
      <c r="A313" s="92"/>
      <c r="B313" s="101" t="s">
        <v>1721</v>
      </c>
      <c r="C313" s="93"/>
      <c r="D313" s="93">
        <f t="shared" si="1"/>
        <v>3249</v>
      </c>
      <c r="E313" s="93"/>
      <c r="F313" s="93">
        <f t="shared" si="2"/>
        <v>727738</v>
      </c>
      <c r="G313" s="92"/>
      <c r="H313" s="98"/>
      <c r="I313" s="98"/>
      <c r="J313" s="98"/>
      <c r="K313" s="98"/>
      <c r="L313" s="98"/>
      <c r="M313" s="92"/>
      <c r="N313" s="98"/>
      <c r="O313" s="98"/>
      <c r="P313" s="93"/>
      <c r="Q313" s="98"/>
      <c r="R313" s="93"/>
      <c r="S313" s="92"/>
    </row>
    <row r="314" ht="15.0" customHeight="1">
      <c r="A314" s="92"/>
      <c r="B314" s="101" t="s">
        <v>1722</v>
      </c>
      <c r="C314" s="93"/>
      <c r="D314" s="93">
        <f t="shared" si="1"/>
        <v>3249</v>
      </c>
      <c r="E314" s="93"/>
      <c r="F314" s="93">
        <f t="shared" si="2"/>
        <v>727738</v>
      </c>
      <c r="G314" s="92"/>
      <c r="H314" s="98"/>
      <c r="I314" s="98"/>
      <c r="J314" s="98"/>
      <c r="K314" s="98"/>
      <c r="L314" s="98"/>
      <c r="M314" s="92"/>
      <c r="N314" s="98"/>
      <c r="O314" s="98"/>
      <c r="P314" s="93"/>
      <c r="Q314" s="98"/>
      <c r="R314" s="93"/>
      <c r="S314" s="92"/>
    </row>
    <row r="315" ht="15.0" customHeight="1">
      <c r="A315" s="92"/>
      <c r="B315" s="101" t="s">
        <v>1723</v>
      </c>
      <c r="C315" s="93"/>
      <c r="D315" s="93">
        <f t="shared" si="1"/>
        <v>3249</v>
      </c>
      <c r="E315" s="93"/>
      <c r="F315" s="93">
        <f t="shared" si="2"/>
        <v>727738</v>
      </c>
      <c r="G315" s="92"/>
      <c r="H315" s="98"/>
      <c r="I315" s="98"/>
      <c r="J315" s="98"/>
      <c r="K315" s="98"/>
      <c r="L315" s="98"/>
      <c r="M315" s="92"/>
      <c r="N315" s="98"/>
      <c r="O315" s="98"/>
      <c r="P315" s="93"/>
      <c r="Q315" s="98"/>
      <c r="R315" s="93"/>
      <c r="S315" s="92"/>
    </row>
    <row r="316" ht="15.0" customHeight="1">
      <c r="A316" s="92"/>
      <c r="B316" s="101" t="s">
        <v>1724</v>
      </c>
      <c r="C316" s="93"/>
      <c r="D316" s="93">
        <f t="shared" si="1"/>
        <v>3249</v>
      </c>
      <c r="E316" s="93"/>
      <c r="F316" s="93">
        <f t="shared" si="2"/>
        <v>727738</v>
      </c>
      <c r="G316" s="92"/>
      <c r="H316" s="98"/>
      <c r="I316" s="98"/>
      <c r="J316" s="98"/>
      <c r="K316" s="98"/>
      <c r="L316" s="98"/>
      <c r="M316" s="92"/>
      <c r="N316" s="98"/>
      <c r="O316" s="98"/>
      <c r="P316" s="93"/>
      <c r="Q316" s="98"/>
      <c r="R316" s="93"/>
      <c r="S316" s="92"/>
    </row>
    <row r="317" ht="15.0" customHeight="1">
      <c r="A317" s="92"/>
      <c r="B317" s="101" t="s">
        <v>1725</v>
      </c>
      <c r="C317" s="93"/>
      <c r="D317" s="93">
        <f t="shared" si="1"/>
        <v>3249</v>
      </c>
      <c r="E317" s="93"/>
      <c r="F317" s="93">
        <f t="shared" si="2"/>
        <v>727738</v>
      </c>
      <c r="G317" s="92"/>
      <c r="H317" s="98"/>
      <c r="I317" s="98"/>
      <c r="J317" s="98"/>
      <c r="K317" s="98"/>
      <c r="L317" s="98"/>
      <c r="M317" s="92"/>
      <c r="N317" s="98"/>
      <c r="O317" s="98"/>
      <c r="P317" s="93"/>
      <c r="Q317" s="98"/>
      <c r="R317" s="93"/>
      <c r="S317" s="92"/>
    </row>
    <row r="318" ht="15.0" customHeight="1">
      <c r="A318" s="92"/>
      <c r="B318" s="101" t="s">
        <v>1726</v>
      </c>
      <c r="C318" s="93"/>
      <c r="D318" s="93">
        <f t="shared" si="1"/>
        <v>3249</v>
      </c>
      <c r="E318" s="93"/>
      <c r="F318" s="93">
        <f t="shared" si="2"/>
        <v>727738</v>
      </c>
      <c r="G318" s="92"/>
      <c r="H318" s="98"/>
      <c r="I318" s="98"/>
      <c r="J318" s="98"/>
      <c r="K318" s="98"/>
      <c r="L318" s="98"/>
      <c r="M318" s="92"/>
      <c r="N318" s="98"/>
      <c r="O318" s="98"/>
      <c r="P318" s="93"/>
      <c r="Q318" s="98"/>
      <c r="R318" s="93"/>
      <c r="S318" s="92"/>
    </row>
    <row r="319" ht="15.0" customHeight="1">
      <c r="A319" s="92"/>
      <c r="B319" s="101" t="s">
        <v>1727</v>
      </c>
      <c r="C319" s="93"/>
      <c r="D319" s="93">
        <f t="shared" si="1"/>
        <v>3249</v>
      </c>
      <c r="E319" s="93"/>
      <c r="F319" s="93">
        <f t="shared" si="2"/>
        <v>727738</v>
      </c>
      <c r="G319" s="92"/>
      <c r="H319" s="98"/>
      <c r="I319" s="98"/>
      <c r="J319" s="98"/>
      <c r="K319" s="98"/>
      <c r="L319" s="98"/>
      <c r="M319" s="92"/>
      <c r="N319" s="98"/>
      <c r="O319" s="98"/>
      <c r="P319" s="93"/>
      <c r="Q319" s="98"/>
      <c r="R319" s="93"/>
      <c r="S319" s="92"/>
    </row>
    <row r="320" ht="15.0" customHeight="1">
      <c r="A320" s="92"/>
      <c r="B320" s="97" t="s">
        <v>1728</v>
      </c>
      <c r="C320" s="93"/>
      <c r="D320" s="93">
        <f t="shared" si="1"/>
        <v>3249</v>
      </c>
      <c r="E320" s="93"/>
      <c r="F320" s="93">
        <f t="shared" si="2"/>
        <v>727738</v>
      </c>
      <c r="G320" s="92"/>
      <c r="H320" s="98"/>
      <c r="I320" s="98"/>
      <c r="J320" s="98"/>
      <c r="K320" s="98"/>
      <c r="L320" s="98"/>
      <c r="M320" s="92"/>
      <c r="N320" s="98"/>
      <c r="O320" s="98"/>
      <c r="P320" s="93"/>
      <c r="Q320" s="98"/>
      <c r="R320" s="93"/>
      <c r="S320" s="92"/>
    </row>
    <row r="321" ht="15.0" customHeight="1">
      <c r="A321" s="92"/>
      <c r="B321" s="97" t="s">
        <v>1729</v>
      </c>
      <c r="C321" s="93"/>
      <c r="D321" s="93">
        <f t="shared" si="1"/>
        <v>3249</v>
      </c>
      <c r="E321" s="93"/>
      <c r="F321" s="93">
        <f t="shared" si="2"/>
        <v>727738</v>
      </c>
      <c r="G321" s="92"/>
      <c r="H321" s="98"/>
      <c r="I321" s="98"/>
      <c r="J321" s="98"/>
      <c r="K321" s="98"/>
      <c r="L321" s="98"/>
      <c r="M321" s="92"/>
      <c r="N321" s="98"/>
      <c r="O321" s="98"/>
      <c r="P321" s="93"/>
      <c r="Q321" s="98"/>
      <c r="R321" s="93"/>
      <c r="S321" s="92"/>
    </row>
    <row r="322" ht="15.0" customHeight="1">
      <c r="A322" s="92"/>
      <c r="B322" s="101" t="s">
        <v>1730</v>
      </c>
      <c r="C322" s="93"/>
      <c r="D322" s="93">
        <f t="shared" si="1"/>
        <v>3249</v>
      </c>
      <c r="E322" s="93"/>
      <c r="F322" s="93">
        <f t="shared" si="2"/>
        <v>727738</v>
      </c>
      <c r="G322" s="92"/>
      <c r="H322" s="98"/>
      <c r="I322" s="98"/>
      <c r="J322" s="98"/>
      <c r="K322" s="98"/>
      <c r="L322" s="98"/>
      <c r="M322" s="92"/>
      <c r="N322" s="98"/>
      <c r="O322" s="98"/>
      <c r="P322" s="93"/>
      <c r="Q322" s="98"/>
      <c r="R322" s="93"/>
      <c r="S322" s="92"/>
    </row>
    <row r="323" ht="15.0" customHeight="1">
      <c r="A323" s="92"/>
      <c r="B323" s="101" t="s">
        <v>1731</v>
      </c>
      <c r="C323" s="93"/>
      <c r="D323" s="93">
        <f t="shared" si="1"/>
        <v>3249</v>
      </c>
      <c r="E323" s="93"/>
      <c r="F323" s="93">
        <f t="shared" si="2"/>
        <v>727738</v>
      </c>
      <c r="G323" s="92"/>
      <c r="H323" s="98"/>
      <c r="I323" s="98"/>
      <c r="J323" s="98"/>
      <c r="K323" s="98"/>
      <c r="L323" s="98"/>
      <c r="M323" s="92"/>
      <c r="N323" s="98"/>
      <c r="O323" s="98"/>
      <c r="P323" s="93"/>
      <c r="Q323" s="98"/>
      <c r="R323" s="93"/>
      <c r="S323" s="92"/>
    </row>
    <row r="324" ht="15.0" customHeight="1">
      <c r="A324" s="92"/>
      <c r="B324" s="101" t="s">
        <v>1732</v>
      </c>
      <c r="C324" s="93"/>
      <c r="D324" s="93">
        <f t="shared" si="1"/>
        <v>3249</v>
      </c>
      <c r="E324" s="93"/>
      <c r="F324" s="93">
        <f t="shared" si="2"/>
        <v>727738</v>
      </c>
      <c r="G324" s="92"/>
      <c r="H324" s="98"/>
      <c r="I324" s="98"/>
      <c r="J324" s="98"/>
      <c r="K324" s="98"/>
      <c r="L324" s="98"/>
      <c r="M324" s="92"/>
      <c r="N324" s="98"/>
      <c r="O324" s="98"/>
      <c r="P324" s="93"/>
      <c r="Q324" s="98"/>
      <c r="R324" s="93"/>
      <c r="S324" s="92"/>
    </row>
    <row r="325" ht="15.0" customHeight="1">
      <c r="A325" s="92"/>
      <c r="B325" s="101" t="s">
        <v>1733</v>
      </c>
      <c r="C325" s="93"/>
      <c r="D325" s="93">
        <f t="shared" si="1"/>
        <v>3249</v>
      </c>
      <c r="E325" s="93"/>
      <c r="F325" s="93">
        <f t="shared" si="2"/>
        <v>727738</v>
      </c>
      <c r="G325" s="92"/>
      <c r="H325" s="98"/>
      <c r="I325" s="98"/>
      <c r="J325" s="98"/>
      <c r="K325" s="98"/>
      <c r="L325" s="98"/>
      <c r="M325" s="92"/>
      <c r="N325" s="98"/>
      <c r="O325" s="98"/>
      <c r="P325" s="93"/>
      <c r="Q325" s="98"/>
      <c r="R325" s="93"/>
      <c r="S325" s="92"/>
    </row>
    <row r="326" ht="15.0" customHeight="1">
      <c r="A326" s="92"/>
      <c r="B326" s="102" t="s">
        <v>1734</v>
      </c>
      <c r="C326" s="93"/>
      <c r="D326" s="93">
        <f t="shared" si="1"/>
        <v>3249</v>
      </c>
      <c r="E326" s="93"/>
      <c r="F326" s="93">
        <f t="shared" si="2"/>
        <v>727738</v>
      </c>
      <c r="G326" s="92"/>
      <c r="H326" s="98"/>
      <c r="I326" s="98"/>
      <c r="J326" s="98"/>
      <c r="K326" s="98"/>
      <c r="L326" s="98"/>
      <c r="M326" s="92"/>
      <c r="N326" s="98"/>
      <c r="O326" s="98"/>
      <c r="P326" s="93"/>
      <c r="Q326" s="98"/>
      <c r="R326" s="93"/>
      <c r="S326" s="92"/>
    </row>
    <row r="327" ht="15.0" customHeight="1">
      <c r="A327" s="92"/>
      <c r="B327" s="102" t="s">
        <v>1735</v>
      </c>
      <c r="C327" s="93"/>
      <c r="D327" s="93">
        <f t="shared" si="1"/>
        <v>3249</v>
      </c>
      <c r="E327" s="93"/>
      <c r="F327" s="93">
        <f t="shared" si="2"/>
        <v>727738</v>
      </c>
      <c r="G327" s="92"/>
      <c r="H327" s="98"/>
      <c r="I327" s="98"/>
      <c r="J327" s="98"/>
      <c r="K327" s="98"/>
      <c r="L327" s="98"/>
      <c r="M327" s="92"/>
      <c r="N327" s="98"/>
      <c r="O327" s="98"/>
      <c r="P327" s="93"/>
      <c r="Q327" s="98"/>
      <c r="R327" s="93"/>
      <c r="S327" s="92"/>
    </row>
    <row r="328" ht="15.0" customHeight="1">
      <c r="A328" s="92"/>
      <c r="B328" s="102" t="s">
        <v>1736</v>
      </c>
      <c r="C328" s="93"/>
      <c r="D328" s="93">
        <f t="shared" si="1"/>
        <v>3249</v>
      </c>
      <c r="E328" s="93"/>
      <c r="F328" s="93">
        <f t="shared" si="2"/>
        <v>727738</v>
      </c>
      <c r="G328" s="92"/>
      <c r="H328" s="98"/>
      <c r="I328" s="98"/>
      <c r="J328" s="98"/>
      <c r="K328" s="98"/>
      <c r="L328" s="98"/>
      <c r="M328" s="92"/>
      <c r="N328" s="98"/>
      <c r="O328" s="98"/>
      <c r="P328" s="93"/>
      <c r="Q328" s="98"/>
      <c r="R328" s="93"/>
      <c r="S328" s="92"/>
    </row>
    <row r="329" ht="15.0" customHeight="1">
      <c r="A329" s="92"/>
      <c r="B329" s="102" t="s">
        <v>1737</v>
      </c>
      <c r="C329" s="93"/>
      <c r="D329" s="93">
        <f t="shared" si="1"/>
        <v>3249</v>
      </c>
      <c r="E329" s="93"/>
      <c r="F329" s="93">
        <f t="shared" si="2"/>
        <v>727738</v>
      </c>
      <c r="G329" s="92"/>
      <c r="H329" s="98"/>
      <c r="I329" s="98"/>
      <c r="J329" s="98"/>
      <c r="K329" s="98"/>
      <c r="L329" s="98"/>
      <c r="M329" s="92"/>
      <c r="N329" s="98"/>
      <c r="O329" s="98"/>
      <c r="P329" s="93"/>
      <c r="Q329" s="98"/>
      <c r="R329" s="93"/>
      <c r="S329" s="92"/>
    </row>
    <row r="330" ht="15.0" customHeight="1">
      <c r="A330" s="92"/>
      <c r="B330" s="102" t="s">
        <v>1738</v>
      </c>
      <c r="C330" s="93"/>
      <c r="D330" s="93">
        <f t="shared" si="1"/>
        <v>3249</v>
      </c>
      <c r="E330" s="93"/>
      <c r="F330" s="93">
        <f t="shared" si="2"/>
        <v>727738</v>
      </c>
      <c r="G330" s="92"/>
      <c r="H330" s="98"/>
      <c r="I330" s="98"/>
      <c r="J330" s="98"/>
      <c r="K330" s="98"/>
      <c r="L330" s="98"/>
      <c r="M330" s="92"/>
      <c r="N330" s="98"/>
      <c r="O330" s="98"/>
      <c r="P330" s="93"/>
      <c r="Q330" s="98"/>
      <c r="R330" s="93"/>
      <c r="S330" s="92"/>
    </row>
    <row r="331" ht="15.0" customHeight="1">
      <c r="A331" s="92"/>
      <c r="B331" s="102" t="s">
        <v>1739</v>
      </c>
      <c r="C331" s="93"/>
      <c r="D331" s="93">
        <f t="shared" si="1"/>
        <v>3249</v>
      </c>
      <c r="E331" s="93"/>
      <c r="F331" s="93">
        <f t="shared" si="2"/>
        <v>727738</v>
      </c>
      <c r="G331" s="92"/>
      <c r="H331" s="98"/>
      <c r="I331" s="98"/>
      <c r="J331" s="98"/>
      <c r="K331" s="98"/>
      <c r="L331" s="98"/>
      <c r="M331" s="92"/>
      <c r="N331" s="98"/>
      <c r="O331" s="98"/>
      <c r="P331" s="93"/>
      <c r="Q331" s="98"/>
      <c r="R331" s="93"/>
      <c r="S331" s="92"/>
    </row>
    <row r="332" ht="15.0" customHeight="1">
      <c r="A332" s="92"/>
      <c r="B332" s="102" t="s">
        <v>1740</v>
      </c>
      <c r="C332" s="93"/>
      <c r="D332" s="93">
        <f t="shared" si="1"/>
        <v>3249</v>
      </c>
      <c r="E332" s="93"/>
      <c r="F332" s="93">
        <f t="shared" si="2"/>
        <v>727738</v>
      </c>
      <c r="G332" s="92"/>
      <c r="H332" s="98"/>
      <c r="I332" s="98"/>
      <c r="J332" s="98"/>
      <c r="K332" s="98"/>
      <c r="L332" s="98"/>
      <c r="M332" s="92"/>
      <c r="N332" s="98"/>
      <c r="O332" s="98"/>
      <c r="P332" s="93"/>
      <c r="Q332" s="98"/>
      <c r="R332" s="93"/>
      <c r="S332" s="92"/>
    </row>
    <row r="333" ht="15.0" customHeight="1">
      <c r="A333" s="92"/>
      <c r="B333" s="102" t="s">
        <v>1741</v>
      </c>
      <c r="C333" s="93"/>
      <c r="D333" s="93">
        <f t="shared" si="1"/>
        <v>3249</v>
      </c>
      <c r="E333" s="93"/>
      <c r="F333" s="93">
        <f t="shared" si="2"/>
        <v>727738</v>
      </c>
      <c r="G333" s="92"/>
      <c r="H333" s="98"/>
      <c r="I333" s="98"/>
      <c r="J333" s="98"/>
      <c r="K333" s="98"/>
      <c r="L333" s="98"/>
      <c r="M333" s="92"/>
      <c r="N333" s="98"/>
      <c r="O333" s="98"/>
      <c r="P333" s="93"/>
      <c r="Q333" s="98"/>
      <c r="R333" s="93"/>
      <c r="S333" s="92"/>
    </row>
    <row r="334" ht="15.0" customHeight="1">
      <c r="A334" s="92"/>
      <c r="B334" s="102" t="s">
        <v>1742</v>
      </c>
      <c r="C334" s="93"/>
      <c r="D334" s="93">
        <f t="shared" si="1"/>
        <v>3249</v>
      </c>
      <c r="E334" s="93"/>
      <c r="F334" s="93">
        <f t="shared" si="2"/>
        <v>727738</v>
      </c>
      <c r="G334" s="92"/>
      <c r="H334" s="98"/>
      <c r="I334" s="98"/>
      <c r="J334" s="98"/>
      <c r="K334" s="98"/>
      <c r="L334" s="98"/>
      <c r="M334" s="92"/>
      <c r="N334" s="98"/>
      <c r="O334" s="98"/>
      <c r="P334" s="93"/>
      <c r="Q334" s="98"/>
      <c r="R334" s="93"/>
      <c r="S334" s="92"/>
    </row>
    <row r="335" ht="15.0" customHeight="1">
      <c r="A335" s="92"/>
      <c r="B335" s="102" t="s">
        <v>1743</v>
      </c>
      <c r="C335" s="93"/>
      <c r="D335" s="93">
        <f t="shared" si="1"/>
        <v>3249</v>
      </c>
      <c r="E335" s="93"/>
      <c r="F335" s="93">
        <f t="shared" si="2"/>
        <v>727738</v>
      </c>
      <c r="G335" s="92"/>
      <c r="H335" s="98"/>
      <c r="I335" s="98"/>
      <c r="J335" s="98"/>
      <c r="K335" s="98"/>
      <c r="L335" s="98"/>
      <c r="M335" s="92"/>
      <c r="N335" s="98"/>
      <c r="O335" s="98"/>
      <c r="P335" s="93"/>
      <c r="Q335" s="98"/>
      <c r="R335" s="93"/>
      <c r="S335" s="92"/>
    </row>
    <row r="336" ht="15.0" customHeight="1">
      <c r="A336" s="92"/>
      <c r="B336" s="102" t="s">
        <v>1744</v>
      </c>
      <c r="C336" s="93"/>
      <c r="D336" s="93">
        <f t="shared" si="1"/>
        <v>3249</v>
      </c>
      <c r="E336" s="93"/>
      <c r="F336" s="93">
        <f t="shared" si="2"/>
        <v>727738</v>
      </c>
      <c r="G336" s="92"/>
      <c r="H336" s="98"/>
      <c r="I336" s="98"/>
      <c r="J336" s="98"/>
      <c r="K336" s="98"/>
      <c r="L336" s="98"/>
      <c r="M336" s="92"/>
      <c r="N336" s="98"/>
      <c r="O336" s="98"/>
      <c r="P336" s="93"/>
      <c r="Q336" s="98"/>
      <c r="R336" s="93"/>
      <c r="S336" s="92"/>
    </row>
    <row r="337" ht="15.0" customHeight="1">
      <c r="A337" s="92"/>
      <c r="B337" s="102" t="s">
        <v>1745</v>
      </c>
      <c r="C337" s="93"/>
      <c r="D337" s="93">
        <f t="shared" si="1"/>
        <v>3249</v>
      </c>
      <c r="E337" s="93"/>
      <c r="F337" s="93">
        <f t="shared" si="2"/>
        <v>727738</v>
      </c>
      <c r="G337" s="92"/>
      <c r="H337" s="98"/>
      <c r="I337" s="98"/>
      <c r="J337" s="98"/>
      <c r="K337" s="98"/>
      <c r="L337" s="98"/>
      <c r="M337" s="92"/>
      <c r="N337" s="98"/>
      <c r="O337" s="98"/>
      <c r="P337" s="93"/>
      <c r="Q337" s="98"/>
      <c r="R337" s="93"/>
      <c r="S337" s="92"/>
    </row>
    <row r="338" ht="15.0" customHeight="1">
      <c r="A338" s="92"/>
      <c r="B338" s="102" t="s">
        <v>1746</v>
      </c>
      <c r="C338" s="93"/>
      <c r="D338" s="93">
        <f t="shared" si="1"/>
        <v>3249</v>
      </c>
      <c r="E338" s="93"/>
      <c r="F338" s="93">
        <f t="shared" si="2"/>
        <v>727738</v>
      </c>
      <c r="G338" s="92"/>
      <c r="H338" s="98"/>
      <c r="I338" s="98"/>
      <c r="J338" s="98"/>
      <c r="K338" s="98"/>
      <c r="L338" s="98"/>
      <c r="M338" s="92"/>
      <c r="N338" s="98"/>
      <c r="O338" s="98"/>
      <c r="P338" s="93"/>
      <c r="Q338" s="98"/>
      <c r="R338" s="93"/>
      <c r="S338" s="92"/>
    </row>
    <row r="339" ht="15.0" customHeight="1">
      <c r="A339" s="92"/>
      <c r="B339" s="102" t="s">
        <v>1747</v>
      </c>
      <c r="C339" s="93"/>
      <c r="D339" s="93">
        <f t="shared" si="1"/>
        <v>3249</v>
      </c>
      <c r="E339" s="93"/>
      <c r="F339" s="93">
        <f t="shared" si="2"/>
        <v>727738</v>
      </c>
      <c r="G339" s="92"/>
      <c r="H339" s="98"/>
      <c r="I339" s="98"/>
      <c r="J339" s="98"/>
      <c r="K339" s="98"/>
      <c r="L339" s="98"/>
      <c r="M339" s="92"/>
      <c r="N339" s="98"/>
      <c r="O339" s="98"/>
      <c r="P339" s="93"/>
      <c r="Q339" s="98"/>
      <c r="R339" s="93"/>
      <c r="S339" s="92"/>
    </row>
    <row r="340" ht="15.0" customHeight="1">
      <c r="A340" s="92"/>
      <c r="B340" s="102" t="s">
        <v>1748</v>
      </c>
      <c r="C340" s="93"/>
      <c r="D340" s="93">
        <f t="shared" si="1"/>
        <v>3249</v>
      </c>
      <c r="E340" s="93"/>
      <c r="F340" s="93">
        <f t="shared" si="2"/>
        <v>727738</v>
      </c>
      <c r="G340" s="92"/>
      <c r="H340" s="98"/>
      <c r="I340" s="98"/>
      <c r="J340" s="98"/>
      <c r="K340" s="98"/>
      <c r="L340" s="98"/>
      <c r="M340" s="92"/>
      <c r="N340" s="98"/>
      <c r="O340" s="98"/>
      <c r="P340" s="98"/>
      <c r="Q340" s="98"/>
      <c r="R340" s="98"/>
      <c r="S340" s="92"/>
    </row>
    <row r="341" ht="15.0" customHeight="1">
      <c r="A341" s="92"/>
      <c r="B341" s="102" t="s">
        <v>1749</v>
      </c>
      <c r="C341" s="93"/>
      <c r="D341" s="93">
        <f t="shared" si="1"/>
        <v>3249</v>
      </c>
      <c r="E341" s="93"/>
      <c r="F341" s="93">
        <f t="shared" si="2"/>
        <v>727738</v>
      </c>
      <c r="G341" s="92"/>
      <c r="H341" s="98"/>
      <c r="I341" s="98"/>
      <c r="J341" s="98"/>
      <c r="K341" s="98"/>
      <c r="L341" s="98"/>
      <c r="M341" s="92"/>
      <c r="N341" s="98"/>
      <c r="O341" s="98"/>
      <c r="P341" s="98"/>
      <c r="Q341" s="98"/>
      <c r="R341" s="98"/>
      <c r="S341" s="92"/>
    </row>
    <row r="342" ht="15.0" customHeight="1">
      <c r="A342" s="92"/>
      <c r="B342" s="102" t="s">
        <v>1750</v>
      </c>
      <c r="C342" s="93"/>
      <c r="D342" s="93">
        <f t="shared" si="1"/>
        <v>3249</v>
      </c>
      <c r="E342" s="93"/>
      <c r="F342" s="93">
        <f t="shared" si="2"/>
        <v>727738</v>
      </c>
      <c r="G342" s="92"/>
      <c r="H342" s="98"/>
      <c r="I342" s="98"/>
      <c r="J342" s="98"/>
      <c r="K342" s="98"/>
      <c r="L342" s="98"/>
      <c r="M342" s="92"/>
      <c r="N342" s="98"/>
      <c r="O342" s="98"/>
      <c r="P342" s="98"/>
      <c r="Q342" s="98"/>
      <c r="R342" s="98"/>
      <c r="S342" s="92"/>
    </row>
    <row r="343" ht="15.0" customHeight="1">
      <c r="A343" s="92"/>
      <c r="B343" s="102" t="s">
        <v>1751</v>
      </c>
      <c r="C343" s="93"/>
      <c r="D343" s="93">
        <f t="shared" si="1"/>
        <v>3249</v>
      </c>
      <c r="E343" s="93"/>
      <c r="F343" s="93">
        <f t="shared" si="2"/>
        <v>727738</v>
      </c>
      <c r="G343" s="92"/>
      <c r="H343" s="98"/>
      <c r="I343" s="98"/>
      <c r="J343" s="98"/>
      <c r="K343" s="98"/>
      <c r="L343" s="98"/>
      <c r="M343" s="92"/>
      <c r="N343" s="98"/>
      <c r="O343" s="98"/>
      <c r="P343" s="98"/>
      <c r="Q343" s="98"/>
      <c r="R343" s="98"/>
      <c r="S343" s="92"/>
    </row>
    <row r="344" ht="15.0" customHeight="1">
      <c r="A344" s="92"/>
      <c r="B344" s="102" t="s">
        <v>1752</v>
      </c>
      <c r="C344" s="93"/>
      <c r="D344" s="93">
        <f t="shared" si="1"/>
        <v>3249</v>
      </c>
      <c r="E344" s="93"/>
      <c r="F344" s="93">
        <f t="shared" si="2"/>
        <v>727738</v>
      </c>
      <c r="G344" s="92"/>
      <c r="H344" s="98"/>
      <c r="I344" s="98"/>
      <c r="J344" s="98"/>
      <c r="K344" s="98"/>
      <c r="L344" s="98"/>
      <c r="M344" s="92"/>
      <c r="N344" s="98"/>
      <c r="O344" s="98"/>
      <c r="P344" s="98"/>
      <c r="Q344" s="98"/>
      <c r="R344" s="98"/>
      <c r="S344" s="92"/>
    </row>
    <row r="345" ht="15.0" customHeight="1">
      <c r="A345" s="92"/>
      <c r="B345" s="102" t="s">
        <v>1753</v>
      </c>
      <c r="C345" s="93"/>
      <c r="D345" s="93">
        <f t="shared" si="1"/>
        <v>3249</v>
      </c>
      <c r="E345" s="93"/>
      <c r="F345" s="93">
        <f t="shared" si="2"/>
        <v>727738</v>
      </c>
      <c r="G345" s="92"/>
      <c r="H345" s="98"/>
      <c r="I345" s="98"/>
      <c r="J345" s="98"/>
      <c r="K345" s="98"/>
      <c r="L345" s="98"/>
      <c r="M345" s="92"/>
      <c r="N345" s="98"/>
      <c r="O345" s="98"/>
      <c r="P345" s="98"/>
      <c r="Q345" s="98"/>
      <c r="R345" s="98"/>
      <c r="S345" s="92"/>
    </row>
    <row r="346" ht="15.0" customHeight="1">
      <c r="A346" s="92"/>
      <c r="B346" s="102" t="s">
        <v>1754</v>
      </c>
      <c r="C346" s="93"/>
      <c r="D346" s="93">
        <f t="shared" si="1"/>
        <v>3249</v>
      </c>
      <c r="E346" s="93"/>
      <c r="F346" s="93">
        <f t="shared" si="2"/>
        <v>727738</v>
      </c>
      <c r="G346" s="92"/>
      <c r="H346" s="98"/>
      <c r="I346" s="98"/>
      <c r="J346" s="98"/>
      <c r="K346" s="98"/>
      <c r="L346" s="98"/>
      <c r="M346" s="92"/>
      <c r="N346" s="98"/>
      <c r="O346" s="98"/>
      <c r="P346" s="98"/>
      <c r="Q346" s="98"/>
      <c r="R346" s="98"/>
      <c r="S346" s="92"/>
    </row>
    <row r="347" ht="15.0" customHeight="1">
      <c r="A347" s="92"/>
      <c r="B347" s="102" t="s">
        <v>1755</v>
      </c>
      <c r="C347" s="93"/>
      <c r="D347" s="93">
        <f t="shared" si="1"/>
        <v>3249</v>
      </c>
      <c r="E347" s="93"/>
      <c r="F347" s="93">
        <f t="shared" si="2"/>
        <v>727738</v>
      </c>
      <c r="G347" s="92"/>
      <c r="H347" s="98"/>
      <c r="I347" s="98"/>
      <c r="J347" s="98"/>
      <c r="K347" s="98"/>
      <c r="L347" s="98"/>
      <c r="M347" s="92"/>
      <c r="N347" s="98"/>
      <c r="O347" s="98"/>
      <c r="P347" s="98"/>
      <c r="Q347" s="98"/>
      <c r="R347" s="98"/>
      <c r="S347" s="92"/>
    </row>
    <row r="348" ht="15.0" customHeight="1">
      <c r="A348" s="92"/>
      <c r="B348" s="102" t="s">
        <v>1756</v>
      </c>
      <c r="C348" s="93"/>
      <c r="D348" s="93">
        <f t="shared" si="1"/>
        <v>3249</v>
      </c>
      <c r="E348" s="93"/>
      <c r="F348" s="93">
        <f t="shared" si="2"/>
        <v>727738</v>
      </c>
      <c r="G348" s="92"/>
      <c r="H348" s="98"/>
      <c r="I348" s="98"/>
      <c r="J348" s="98"/>
      <c r="K348" s="98"/>
      <c r="L348" s="98"/>
      <c r="M348" s="92"/>
      <c r="N348" s="98"/>
      <c r="O348" s="98"/>
      <c r="P348" s="98"/>
      <c r="Q348" s="98"/>
      <c r="R348" s="98"/>
      <c r="S348" s="92"/>
    </row>
    <row r="349" ht="15.0" customHeight="1">
      <c r="A349" s="92"/>
      <c r="B349" s="102" t="s">
        <v>1757</v>
      </c>
      <c r="C349" s="93"/>
      <c r="D349" s="93">
        <f t="shared" si="1"/>
        <v>3249</v>
      </c>
      <c r="E349" s="93"/>
      <c r="F349" s="93">
        <f t="shared" si="2"/>
        <v>727738</v>
      </c>
      <c r="G349" s="92"/>
      <c r="H349" s="98"/>
      <c r="I349" s="98"/>
      <c r="J349" s="98"/>
      <c r="K349" s="98"/>
      <c r="L349" s="98"/>
      <c r="M349" s="92"/>
      <c r="N349" s="98"/>
      <c r="O349" s="98"/>
      <c r="P349" s="98"/>
      <c r="Q349" s="98"/>
      <c r="R349" s="98"/>
      <c r="S349" s="92"/>
    </row>
    <row r="350" ht="15.0" customHeight="1">
      <c r="A350" s="92"/>
      <c r="B350" s="102" t="s">
        <v>1758</v>
      </c>
      <c r="C350" s="93"/>
      <c r="D350" s="93">
        <f t="shared" si="1"/>
        <v>3249</v>
      </c>
      <c r="E350" s="93"/>
      <c r="F350" s="93">
        <f t="shared" si="2"/>
        <v>727738</v>
      </c>
      <c r="G350" s="92"/>
      <c r="H350" s="98"/>
      <c r="I350" s="98"/>
      <c r="J350" s="98"/>
      <c r="K350" s="98"/>
      <c r="L350" s="98"/>
      <c r="M350" s="92"/>
      <c r="N350" s="98"/>
      <c r="O350" s="98"/>
      <c r="P350" s="98"/>
      <c r="Q350" s="98"/>
      <c r="R350" s="98"/>
      <c r="S350" s="92"/>
    </row>
    <row r="351" ht="15.0" customHeight="1">
      <c r="A351" s="92"/>
      <c r="B351" s="102" t="s">
        <v>1759</v>
      </c>
      <c r="C351" s="93"/>
      <c r="D351" s="93">
        <f t="shared" si="1"/>
        <v>3249</v>
      </c>
      <c r="E351" s="93"/>
      <c r="F351" s="93">
        <f t="shared" si="2"/>
        <v>727738</v>
      </c>
      <c r="G351" s="92"/>
      <c r="H351" s="98"/>
      <c r="I351" s="98"/>
      <c r="J351" s="98"/>
      <c r="K351" s="98"/>
      <c r="L351" s="98"/>
      <c r="M351" s="92"/>
      <c r="N351" s="98"/>
      <c r="O351" s="98"/>
      <c r="P351" s="98"/>
      <c r="Q351" s="98"/>
      <c r="R351" s="98"/>
      <c r="S351" s="92"/>
    </row>
    <row r="352" ht="15.0" customHeight="1">
      <c r="A352" s="92"/>
      <c r="B352" s="102" t="s">
        <v>1760</v>
      </c>
      <c r="C352" s="93"/>
      <c r="D352" s="93">
        <f t="shared" si="1"/>
        <v>3249</v>
      </c>
      <c r="E352" s="93"/>
      <c r="F352" s="93">
        <f t="shared" si="2"/>
        <v>727738</v>
      </c>
      <c r="G352" s="92"/>
      <c r="H352" s="98"/>
      <c r="I352" s="98"/>
      <c r="J352" s="98"/>
      <c r="K352" s="98"/>
      <c r="L352" s="98"/>
      <c r="M352" s="92"/>
      <c r="N352" s="98"/>
      <c r="O352" s="98"/>
      <c r="P352" s="98"/>
      <c r="Q352" s="98"/>
      <c r="R352" s="98"/>
      <c r="S352" s="92"/>
    </row>
    <row r="353" ht="15.0" customHeight="1">
      <c r="A353" s="92"/>
      <c r="B353" s="102" t="s">
        <v>1761</v>
      </c>
      <c r="C353" s="93"/>
      <c r="D353" s="93">
        <f t="shared" si="1"/>
        <v>3249</v>
      </c>
      <c r="E353" s="93"/>
      <c r="F353" s="93">
        <f t="shared" si="2"/>
        <v>727738</v>
      </c>
      <c r="G353" s="92"/>
      <c r="H353" s="98"/>
      <c r="I353" s="98"/>
      <c r="J353" s="98"/>
      <c r="K353" s="98"/>
      <c r="L353" s="98"/>
      <c r="M353" s="92"/>
      <c r="N353" s="98"/>
      <c r="O353" s="98"/>
      <c r="P353" s="98"/>
      <c r="Q353" s="98"/>
      <c r="R353" s="98"/>
      <c r="S353" s="92"/>
    </row>
    <row r="354" ht="15.0" customHeight="1">
      <c r="A354" s="92"/>
      <c r="B354" s="102" t="s">
        <v>1762</v>
      </c>
      <c r="C354" s="93"/>
      <c r="D354" s="93">
        <f t="shared" si="1"/>
        <v>3249</v>
      </c>
      <c r="E354" s="93"/>
      <c r="F354" s="93">
        <f t="shared" si="2"/>
        <v>727738</v>
      </c>
      <c r="G354" s="92"/>
      <c r="H354" s="98"/>
      <c r="I354" s="98"/>
      <c r="J354" s="98"/>
      <c r="K354" s="98"/>
      <c r="L354" s="98"/>
      <c r="M354" s="92"/>
      <c r="N354" s="98"/>
      <c r="O354" s="98"/>
      <c r="P354" s="98"/>
      <c r="Q354" s="98"/>
      <c r="R354" s="98"/>
      <c r="S354" s="92"/>
    </row>
    <row r="355" ht="15.0" customHeight="1">
      <c r="A355" s="92"/>
      <c r="B355" s="102" t="s">
        <v>1763</v>
      </c>
      <c r="C355" s="93"/>
      <c r="D355" s="93">
        <f t="shared" si="1"/>
        <v>3249</v>
      </c>
      <c r="E355" s="93"/>
      <c r="F355" s="93">
        <f t="shared" si="2"/>
        <v>727738</v>
      </c>
      <c r="G355" s="92"/>
      <c r="H355" s="98"/>
      <c r="I355" s="98"/>
      <c r="J355" s="98"/>
      <c r="K355" s="98"/>
      <c r="L355" s="98"/>
      <c r="M355" s="92"/>
      <c r="N355" s="98"/>
      <c r="O355" s="98"/>
      <c r="P355" s="98"/>
      <c r="Q355" s="98"/>
      <c r="R355" s="98"/>
      <c r="S355" s="92"/>
    </row>
    <row r="356" ht="15.0" customHeight="1">
      <c r="A356" s="92"/>
      <c r="B356" s="98"/>
      <c r="C356" s="93"/>
      <c r="D356" s="93">
        <f t="shared" si="1"/>
        <v>3249</v>
      </c>
      <c r="E356" s="93"/>
      <c r="F356" s="93">
        <f t="shared" si="2"/>
        <v>727738</v>
      </c>
      <c r="G356" s="92"/>
      <c r="H356" s="98"/>
      <c r="I356" s="98"/>
      <c r="J356" s="98"/>
      <c r="K356" s="98"/>
      <c r="L356" s="98"/>
      <c r="M356" s="92"/>
      <c r="N356" s="98"/>
      <c r="O356" s="98"/>
      <c r="P356" s="98"/>
      <c r="Q356" s="98"/>
      <c r="R356" s="98"/>
      <c r="S356" s="92"/>
    </row>
    <row r="357" ht="15.0" customHeight="1">
      <c r="A357" s="92"/>
      <c r="B357" s="98"/>
      <c r="C357" s="93"/>
      <c r="D357" s="93">
        <f t="shared" si="1"/>
        <v>3249</v>
      </c>
      <c r="E357" s="93"/>
      <c r="F357" s="93">
        <f t="shared" si="2"/>
        <v>727738</v>
      </c>
      <c r="G357" s="92"/>
      <c r="H357" s="98"/>
      <c r="I357" s="98"/>
      <c r="J357" s="98"/>
      <c r="K357" s="98"/>
      <c r="L357" s="98"/>
      <c r="M357" s="92"/>
      <c r="N357" s="98"/>
      <c r="O357" s="98"/>
      <c r="P357" s="98"/>
      <c r="Q357" s="98"/>
      <c r="R357" s="98"/>
      <c r="S357" s="92"/>
    </row>
    <row r="358" ht="15.0" customHeight="1">
      <c r="A358" s="92"/>
      <c r="B358" s="98"/>
      <c r="C358" s="93"/>
      <c r="D358" s="93">
        <f t="shared" si="1"/>
        <v>3249</v>
      </c>
      <c r="E358" s="93"/>
      <c r="F358" s="93">
        <f t="shared" si="2"/>
        <v>727738</v>
      </c>
      <c r="G358" s="92"/>
      <c r="H358" s="98"/>
      <c r="I358" s="98"/>
      <c r="J358" s="98"/>
      <c r="K358" s="98"/>
      <c r="L358" s="98"/>
      <c r="M358" s="92"/>
      <c r="N358" s="98"/>
      <c r="O358" s="98"/>
      <c r="P358" s="98"/>
      <c r="Q358" s="98"/>
      <c r="R358" s="98"/>
      <c r="S358" s="92"/>
    </row>
    <row r="359" ht="15.0" customHeight="1">
      <c r="A359" s="92"/>
      <c r="B359" s="98"/>
      <c r="C359" s="93"/>
      <c r="D359" s="93">
        <f t="shared" si="1"/>
        <v>3249</v>
      </c>
      <c r="E359" s="93"/>
      <c r="F359" s="93">
        <f t="shared" si="2"/>
        <v>727738</v>
      </c>
      <c r="G359" s="92"/>
      <c r="H359" s="98"/>
      <c r="I359" s="98"/>
      <c r="J359" s="98"/>
      <c r="K359" s="98"/>
      <c r="L359" s="98"/>
      <c r="M359" s="92"/>
      <c r="N359" s="98"/>
      <c r="O359" s="98"/>
      <c r="P359" s="98"/>
      <c r="Q359" s="98"/>
      <c r="R359" s="98"/>
      <c r="S359" s="92"/>
    </row>
    <row r="360" ht="15.0" customHeight="1">
      <c r="A360" s="92"/>
      <c r="B360" s="98"/>
      <c r="C360" s="93"/>
      <c r="D360" s="93">
        <f t="shared" si="1"/>
        <v>3249</v>
      </c>
      <c r="E360" s="93"/>
      <c r="F360" s="93">
        <f t="shared" si="2"/>
        <v>727738</v>
      </c>
      <c r="G360" s="92"/>
      <c r="H360" s="98"/>
      <c r="I360" s="98"/>
      <c r="J360" s="98"/>
      <c r="K360" s="98"/>
      <c r="L360" s="98"/>
      <c r="M360" s="92"/>
      <c r="N360" s="98"/>
      <c r="O360" s="98"/>
      <c r="P360" s="98"/>
      <c r="Q360" s="98"/>
      <c r="R360" s="98"/>
      <c r="S360" s="92"/>
    </row>
    <row r="361" ht="15.0" customHeight="1">
      <c r="A361" s="92"/>
      <c r="B361" s="98"/>
      <c r="C361" s="93"/>
      <c r="D361" s="93">
        <f t="shared" si="1"/>
        <v>3249</v>
      </c>
      <c r="E361" s="93"/>
      <c r="F361" s="93">
        <f t="shared" si="2"/>
        <v>727738</v>
      </c>
      <c r="G361" s="92"/>
      <c r="H361" s="98"/>
      <c r="I361" s="98"/>
      <c r="J361" s="98"/>
      <c r="K361" s="98"/>
      <c r="L361" s="98"/>
      <c r="M361" s="92"/>
      <c r="N361" s="98"/>
      <c r="O361" s="98"/>
      <c r="P361" s="98"/>
      <c r="Q361" s="98"/>
      <c r="R361" s="98"/>
      <c r="S361" s="92"/>
    </row>
    <row r="362" ht="15.0" customHeight="1">
      <c r="A362" s="92"/>
      <c r="B362" s="98"/>
      <c r="C362" s="93"/>
      <c r="D362" s="93">
        <f t="shared" si="1"/>
        <v>3249</v>
      </c>
      <c r="E362" s="93"/>
      <c r="F362" s="93">
        <f t="shared" si="2"/>
        <v>727738</v>
      </c>
      <c r="G362" s="92"/>
      <c r="H362" s="98"/>
      <c r="I362" s="98"/>
      <c r="J362" s="98"/>
      <c r="K362" s="98"/>
      <c r="L362" s="98"/>
      <c r="M362" s="92"/>
      <c r="N362" s="98"/>
      <c r="O362" s="98"/>
      <c r="P362" s="98"/>
      <c r="Q362" s="98"/>
      <c r="R362" s="98"/>
      <c r="S362" s="92"/>
    </row>
    <row r="363" ht="15.0" customHeight="1">
      <c r="A363" s="92"/>
      <c r="B363" s="98"/>
      <c r="C363" s="93"/>
      <c r="D363" s="93">
        <f t="shared" si="1"/>
        <v>3249</v>
      </c>
      <c r="E363" s="93"/>
      <c r="F363" s="93">
        <f t="shared" si="2"/>
        <v>727738</v>
      </c>
      <c r="G363" s="92"/>
      <c r="H363" s="98"/>
      <c r="I363" s="98"/>
      <c r="J363" s="98"/>
      <c r="K363" s="98"/>
      <c r="L363" s="98"/>
      <c r="M363" s="92"/>
      <c r="N363" s="98"/>
      <c r="O363" s="98"/>
      <c r="P363" s="98"/>
      <c r="Q363" s="98"/>
      <c r="R363" s="98"/>
      <c r="S363" s="92"/>
    </row>
    <row r="364" ht="15.0" customHeight="1">
      <c r="A364" s="92"/>
      <c r="B364" s="98"/>
      <c r="C364" s="93"/>
      <c r="D364" s="93">
        <f t="shared" si="1"/>
        <v>3249</v>
      </c>
      <c r="E364" s="93"/>
      <c r="F364" s="93">
        <f t="shared" si="2"/>
        <v>727738</v>
      </c>
      <c r="G364" s="92"/>
      <c r="H364" s="98"/>
      <c r="I364" s="98"/>
      <c r="J364" s="98"/>
      <c r="K364" s="98"/>
      <c r="L364" s="98"/>
      <c r="M364" s="92"/>
      <c r="N364" s="98"/>
      <c r="O364" s="98"/>
      <c r="P364" s="98"/>
      <c r="Q364" s="98"/>
      <c r="R364" s="98"/>
      <c r="S364" s="92"/>
    </row>
    <row r="365" ht="15.0" customHeight="1">
      <c r="A365" s="92"/>
      <c r="B365" s="98"/>
      <c r="C365" s="93"/>
      <c r="D365" s="93">
        <f t="shared" si="1"/>
        <v>3249</v>
      </c>
      <c r="E365" s="93"/>
      <c r="F365" s="93">
        <f t="shared" si="2"/>
        <v>727738</v>
      </c>
      <c r="G365" s="92"/>
      <c r="H365" s="98"/>
      <c r="I365" s="98"/>
      <c r="J365" s="98"/>
      <c r="K365" s="98"/>
      <c r="L365" s="98"/>
      <c r="M365" s="92"/>
      <c r="N365" s="98"/>
      <c r="O365" s="98"/>
      <c r="P365" s="98"/>
      <c r="Q365" s="98"/>
      <c r="R365" s="98"/>
      <c r="S365" s="92"/>
    </row>
    <row r="366" ht="15.0" customHeight="1">
      <c r="A366" s="92"/>
      <c r="B366" s="98"/>
      <c r="C366" s="93"/>
      <c r="D366" s="93">
        <f t="shared" si="1"/>
        <v>3249</v>
      </c>
      <c r="E366" s="93"/>
      <c r="F366" s="93">
        <f t="shared" si="2"/>
        <v>727738</v>
      </c>
      <c r="G366" s="92"/>
      <c r="H366" s="98"/>
      <c r="I366" s="98"/>
      <c r="J366" s="98"/>
      <c r="K366" s="98"/>
      <c r="L366" s="98"/>
      <c r="M366" s="92"/>
      <c r="N366" s="98"/>
      <c r="O366" s="98"/>
      <c r="P366" s="98"/>
      <c r="Q366" s="98"/>
      <c r="R366" s="98"/>
      <c r="S366" s="92"/>
    </row>
    <row r="367" ht="15.0" customHeight="1">
      <c r="A367" s="92"/>
      <c r="B367" s="98"/>
      <c r="C367" s="93"/>
      <c r="D367" s="93">
        <f t="shared" si="1"/>
        <v>3249</v>
      </c>
      <c r="E367" s="93"/>
      <c r="F367" s="93">
        <f t="shared" si="2"/>
        <v>727738</v>
      </c>
      <c r="G367" s="92"/>
      <c r="H367" s="98"/>
      <c r="I367" s="98"/>
      <c r="J367" s="98"/>
      <c r="K367" s="98"/>
      <c r="L367" s="98"/>
      <c r="M367" s="92"/>
      <c r="N367" s="98"/>
      <c r="O367" s="98"/>
      <c r="P367" s="98"/>
      <c r="Q367" s="98"/>
      <c r="R367" s="98"/>
      <c r="S367" s="92"/>
    </row>
    <row r="368" ht="15.0" customHeight="1">
      <c r="A368" s="92"/>
      <c r="B368" s="98"/>
      <c r="C368" s="93"/>
      <c r="D368" s="93">
        <f t="shared" si="1"/>
        <v>3249</v>
      </c>
      <c r="E368" s="93"/>
      <c r="F368" s="93">
        <f t="shared" si="2"/>
        <v>727738</v>
      </c>
      <c r="G368" s="92"/>
      <c r="H368" s="98"/>
      <c r="I368" s="98"/>
      <c r="J368" s="98"/>
      <c r="K368" s="98"/>
      <c r="L368" s="98"/>
      <c r="M368" s="92"/>
      <c r="N368" s="98"/>
      <c r="O368" s="98"/>
      <c r="P368" s="98"/>
      <c r="Q368" s="98"/>
      <c r="R368" s="98"/>
      <c r="S368" s="92"/>
    </row>
    <row r="369" ht="15.0" customHeight="1">
      <c r="A369" s="92"/>
      <c r="B369" s="98"/>
      <c r="C369" s="93"/>
      <c r="D369" s="93">
        <f t="shared" si="1"/>
        <v>3249</v>
      </c>
      <c r="E369" s="93"/>
      <c r="F369" s="93">
        <f t="shared" si="2"/>
        <v>727738</v>
      </c>
      <c r="G369" s="92"/>
      <c r="H369" s="98"/>
      <c r="I369" s="98"/>
      <c r="J369" s="98"/>
      <c r="K369" s="98"/>
      <c r="L369" s="98"/>
      <c r="M369" s="92"/>
      <c r="N369" s="98"/>
      <c r="O369" s="98"/>
      <c r="P369" s="98"/>
      <c r="Q369" s="98"/>
      <c r="R369" s="98"/>
      <c r="S369" s="92"/>
    </row>
    <row r="370" ht="15.0" customHeight="1">
      <c r="A370" s="92"/>
      <c r="B370" s="98"/>
      <c r="C370" s="93"/>
      <c r="D370" s="93">
        <f t="shared" si="1"/>
        <v>3249</v>
      </c>
      <c r="E370" s="93"/>
      <c r="F370" s="93">
        <f t="shared" si="2"/>
        <v>727738</v>
      </c>
      <c r="G370" s="92"/>
      <c r="H370" s="98"/>
      <c r="I370" s="98"/>
      <c r="J370" s="98"/>
      <c r="K370" s="98"/>
      <c r="L370" s="98"/>
      <c r="M370" s="92"/>
      <c r="N370" s="98"/>
      <c r="O370" s="98"/>
      <c r="P370" s="98"/>
      <c r="Q370" s="98"/>
      <c r="R370" s="98"/>
      <c r="S370" s="92"/>
    </row>
    <row r="371" ht="15.0" customHeight="1">
      <c r="A371" s="92"/>
      <c r="B371" s="98"/>
      <c r="C371" s="93"/>
      <c r="D371" s="93">
        <f t="shared" si="1"/>
        <v>3249</v>
      </c>
      <c r="E371" s="93"/>
      <c r="F371" s="93">
        <f t="shared" si="2"/>
        <v>727738</v>
      </c>
      <c r="G371" s="92"/>
      <c r="H371" s="98"/>
      <c r="I371" s="98"/>
      <c r="J371" s="98"/>
      <c r="K371" s="98"/>
      <c r="L371" s="98"/>
      <c r="M371" s="92"/>
      <c r="N371" s="98"/>
      <c r="O371" s="98"/>
      <c r="P371" s="98"/>
      <c r="Q371" s="98"/>
      <c r="R371" s="98"/>
      <c r="S371" s="92"/>
    </row>
    <row r="372" ht="15.0" customHeight="1">
      <c r="A372" s="92"/>
      <c r="B372" s="98"/>
      <c r="C372" s="93"/>
      <c r="D372" s="93">
        <f t="shared" si="1"/>
        <v>3249</v>
      </c>
      <c r="E372" s="93"/>
      <c r="F372" s="93">
        <f t="shared" si="2"/>
        <v>727738</v>
      </c>
      <c r="G372" s="92"/>
      <c r="H372" s="98"/>
      <c r="I372" s="98"/>
      <c r="J372" s="98"/>
      <c r="K372" s="98"/>
      <c r="L372" s="98"/>
      <c r="M372" s="92"/>
      <c r="N372" s="98"/>
      <c r="O372" s="98"/>
      <c r="P372" s="98"/>
      <c r="Q372" s="98"/>
      <c r="R372" s="98"/>
      <c r="S372" s="92"/>
    </row>
    <row r="373" ht="15.0" customHeight="1">
      <c r="A373" s="92"/>
      <c r="B373" s="98"/>
      <c r="C373" s="93"/>
      <c r="D373" s="93">
        <f t="shared" si="1"/>
        <v>3249</v>
      </c>
      <c r="E373" s="93"/>
      <c r="F373" s="93">
        <f t="shared" si="2"/>
        <v>727738</v>
      </c>
      <c r="G373" s="92"/>
      <c r="H373" s="98"/>
      <c r="I373" s="98"/>
      <c r="J373" s="98"/>
      <c r="K373" s="98"/>
      <c r="L373" s="98"/>
      <c r="M373" s="92"/>
      <c r="N373" s="98"/>
      <c r="O373" s="98"/>
      <c r="P373" s="98"/>
      <c r="Q373" s="98"/>
      <c r="R373" s="98"/>
      <c r="S373" s="92"/>
    </row>
    <row r="374" ht="15.0" customHeight="1">
      <c r="A374" s="92"/>
      <c r="B374" s="98"/>
      <c r="C374" s="93"/>
      <c r="D374" s="93">
        <f t="shared" si="1"/>
        <v>3249</v>
      </c>
      <c r="E374" s="93"/>
      <c r="F374" s="93">
        <f t="shared" si="2"/>
        <v>727738</v>
      </c>
      <c r="G374" s="92"/>
      <c r="H374" s="98"/>
      <c r="I374" s="98"/>
      <c r="J374" s="98"/>
      <c r="K374" s="98"/>
      <c r="L374" s="98"/>
      <c r="M374" s="92"/>
      <c r="N374" s="98"/>
      <c r="O374" s="98"/>
      <c r="P374" s="98"/>
      <c r="Q374" s="98"/>
      <c r="R374" s="98"/>
      <c r="S374" s="92"/>
    </row>
    <row r="375" ht="15.0" customHeight="1">
      <c r="A375" s="92"/>
      <c r="B375" s="98"/>
      <c r="C375" s="93"/>
      <c r="D375" s="93">
        <f t="shared" si="1"/>
        <v>3249</v>
      </c>
      <c r="E375" s="93"/>
      <c r="F375" s="93">
        <f t="shared" si="2"/>
        <v>727738</v>
      </c>
      <c r="G375" s="92"/>
      <c r="H375" s="98"/>
      <c r="I375" s="98"/>
      <c r="J375" s="98"/>
      <c r="K375" s="98"/>
      <c r="L375" s="98"/>
      <c r="M375" s="92"/>
      <c r="N375" s="98"/>
      <c r="O375" s="98"/>
      <c r="P375" s="98"/>
      <c r="Q375" s="98"/>
      <c r="R375" s="98"/>
      <c r="S375" s="92"/>
    </row>
    <row r="376" ht="15.0" customHeight="1">
      <c r="A376" s="92"/>
      <c r="B376" s="98"/>
      <c r="C376" s="93"/>
      <c r="D376" s="93">
        <f t="shared" si="1"/>
        <v>3249</v>
      </c>
      <c r="E376" s="93"/>
      <c r="F376" s="93">
        <f t="shared" si="2"/>
        <v>727738</v>
      </c>
      <c r="G376" s="92"/>
      <c r="H376" s="98"/>
      <c r="I376" s="98"/>
      <c r="J376" s="98"/>
      <c r="K376" s="98"/>
      <c r="L376" s="98"/>
      <c r="M376" s="92"/>
      <c r="N376" s="98"/>
      <c r="O376" s="98"/>
      <c r="P376" s="98"/>
      <c r="Q376" s="98"/>
      <c r="R376" s="98"/>
      <c r="S376" s="92"/>
    </row>
    <row r="377" ht="15.0" customHeight="1">
      <c r="A377" s="92"/>
      <c r="B377" s="98"/>
      <c r="C377" s="93"/>
      <c r="D377" s="93">
        <f t="shared" si="1"/>
        <v>3249</v>
      </c>
      <c r="E377" s="93"/>
      <c r="F377" s="93">
        <f t="shared" si="2"/>
        <v>727738</v>
      </c>
      <c r="G377" s="92"/>
      <c r="H377" s="98"/>
      <c r="I377" s="98"/>
      <c r="J377" s="98"/>
      <c r="K377" s="98"/>
      <c r="L377" s="98"/>
      <c r="M377" s="92"/>
      <c r="N377" s="98"/>
      <c r="O377" s="98"/>
      <c r="P377" s="98"/>
      <c r="Q377" s="98"/>
      <c r="R377" s="98"/>
      <c r="S377" s="92"/>
    </row>
    <row r="378" ht="15.0" customHeight="1">
      <c r="A378" s="92"/>
      <c r="B378" s="98"/>
      <c r="C378" s="93"/>
      <c r="D378" s="93">
        <f t="shared" si="1"/>
        <v>3249</v>
      </c>
      <c r="E378" s="93"/>
      <c r="F378" s="93">
        <f t="shared" si="2"/>
        <v>727738</v>
      </c>
      <c r="G378" s="92"/>
      <c r="H378" s="98"/>
      <c r="I378" s="98"/>
      <c r="J378" s="98"/>
      <c r="K378" s="98"/>
      <c r="L378" s="98"/>
      <c r="M378" s="92"/>
      <c r="N378" s="98"/>
      <c r="O378" s="98"/>
      <c r="P378" s="98"/>
      <c r="Q378" s="98"/>
      <c r="R378" s="98"/>
      <c r="S378" s="92"/>
    </row>
    <row r="379" ht="15.0" customHeight="1">
      <c r="A379" s="92"/>
      <c r="B379" s="98"/>
      <c r="C379" s="93"/>
      <c r="D379" s="93">
        <f t="shared" si="1"/>
        <v>3249</v>
      </c>
      <c r="E379" s="93"/>
      <c r="F379" s="93">
        <f t="shared" si="2"/>
        <v>727738</v>
      </c>
      <c r="G379" s="92"/>
      <c r="H379" s="98"/>
      <c r="I379" s="98"/>
      <c r="J379" s="98"/>
      <c r="K379" s="98"/>
      <c r="L379" s="98"/>
      <c r="M379" s="92"/>
      <c r="N379" s="98"/>
      <c r="O379" s="98"/>
      <c r="P379" s="98"/>
      <c r="Q379" s="98"/>
      <c r="R379" s="98"/>
      <c r="S379" s="92"/>
    </row>
    <row r="380" ht="15.0" customHeight="1">
      <c r="A380" s="92"/>
      <c r="B380" s="98"/>
      <c r="C380" s="93"/>
      <c r="D380" s="93">
        <f t="shared" si="1"/>
        <v>3249</v>
      </c>
      <c r="E380" s="93"/>
      <c r="F380" s="93">
        <f t="shared" si="2"/>
        <v>727738</v>
      </c>
      <c r="G380" s="92"/>
      <c r="H380" s="98"/>
      <c r="I380" s="98"/>
      <c r="J380" s="98"/>
      <c r="K380" s="98"/>
      <c r="L380" s="98"/>
      <c r="M380" s="92"/>
      <c r="N380" s="98"/>
      <c r="O380" s="98"/>
      <c r="P380" s="98"/>
      <c r="Q380" s="98"/>
      <c r="R380" s="98"/>
      <c r="S380" s="92"/>
    </row>
    <row r="381" ht="15.0" customHeight="1">
      <c r="A381" s="92"/>
      <c r="B381" s="98"/>
      <c r="C381" s="93"/>
      <c r="D381" s="93">
        <f t="shared" si="1"/>
        <v>3249</v>
      </c>
      <c r="E381" s="93"/>
      <c r="F381" s="93">
        <f t="shared" si="2"/>
        <v>727738</v>
      </c>
      <c r="G381" s="92"/>
      <c r="H381" s="98"/>
      <c r="I381" s="98"/>
      <c r="J381" s="98"/>
      <c r="K381" s="98"/>
      <c r="L381" s="98"/>
      <c r="M381" s="92"/>
      <c r="N381" s="98"/>
      <c r="O381" s="98"/>
      <c r="P381" s="98"/>
      <c r="Q381" s="98"/>
      <c r="R381" s="98"/>
      <c r="S381" s="92"/>
    </row>
    <row r="382" ht="15.0" customHeight="1">
      <c r="A382" s="92"/>
      <c r="B382" s="98"/>
      <c r="C382" s="93"/>
      <c r="D382" s="93">
        <f t="shared" si="1"/>
        <v>3249</v>
      </c>
      <c r="E382" s="93"/>
      <c r="F382" s="93">
        <f t="shared" si="2"/>
        <v>727738</v>
      </c>
      <c r="G382" s="92"/>
      <c r="H382" s="98"/>
      <c r="I382" s="98"/>
      <c r="J382" s="98"/>
      <c r="K382" s="98"/>
      <c r="L382" s="98"/>
      <c r="M382" s="92"/>
      <c r="N382" s="98"/>
      <c r="O382" s="98"/>
      <c r="P382" s="98"/>
      <c r="Q382" s="98"/>
      <c r="R382" s="98"/>
      <c r="S382" s="92"/>
    </row>
    <row r="383" ht="15.0" customHeight="1">
      <c r="A383" s="92"/>
      <c r="B383" s="98"/>
      <c r="C383" s="93"/>
      <c r="D383" s="93">
        <f t="shared" si="1"/>
        <v>3249</v>
      </c>
      <c r="E383" s="93"/>
      <c r="F383" s="93">
        <f t="shared" si="2"/>
        <v>727738</v>
      </c>
      <c r="G383" s="92"/>
      <c r="H383" s="98"/>
      <c r="I383" s="98"/>
      <c r="J383" s="98"/>
      <c r="K383" s="98"/>
      <c r="L383" s="98"/>
      <c r="M383" s="92"/>
      <c r="N383" s="98"/>
      <c r="O383" s="98"/>
      <c r="P383" s="98"/>
      <c r="Q383" s="98"/>
      <c r="R383" s="98"/>
      <c r="S383" s="92"/>
    </row>
    <row r="384" ht="15.0" customHeight="1">
      <c r="A384" s="92"/>
      <c r="B384" s="98"/>
      <c r="C384" s="93"/>
      <c r="D384" s="93">
        <f t="shared" si="1"/>
        <v>3249</v>
      </c>
      <c r="E384" s="93"/>
      <c r="F384" s="93">
        <f t="shared" si="2"/>
        <v>727738</v>
      </c>
      <c r="G384" s="92"/>
      <c r="H384" s="98"/>
      <c r="I384" s="98"/>
      <c r="J384" s="98"/>
      <c r="K384" s="98"/>
      <c r="L384" s="98"/>
      <c r="M384" s="92"/>
      <c r="N384" s="98"/>
      <c r="O384" s="98"/>
      <c r="P384" s="98"/>
      <c r="Q384" s="98"/>
      <c r="R384" s="98"/>
      <c r="S384" s="92"/>
    </row>
    <row r="385" ht="15.0" customHeight="1">
      <c r="A385" s="92"/>
      <c r="B385" s="98"/>
      <c r="C385" s="93"/>
      <c r="D385" s="93">
        <f t="shared" si="1"/>
        <v>3249</v>
      </c>
      <c r="E385" s="93"/>
      <c r="F385" s="93">
        <f t="shared" si="2"/>
        <v>727738</v>
      </c>
      <c r="G385" s="92"/>
      <c r="H385" s="98"/>
      <c r="I385" s="98"/>
      <c r="J385" s="98"/>
      <c r="K385" s="98"/>
      <c r="L385" s="98"/>
      <c r="M385" s="92"/>
      <c r="N385" s="98"/>
      <c r="O385" s="98"/>
      <c r="P385" s="98"/>
      <c r="Q385" s="98"/>
      <c r="R385" s="98"/>
      <c r="S385" s="92"/>
    </row>
    <row r="386" ht="15.0" customHeight="1">
      <c r="A386" s="92"/>
      <c r="B386" s="98"/>
      <c r="C386" s="93"/>
      <c r="D386" s="93">
        <f t="shared" si="1"/>
        <v>3249</v>
      </c>
      <c r="E386" s="93"/>
      <c r="F386" s="93">
        <f t="shared" si="2"/>
        <v>727738</v>
      </c>
      <c r="G386" s="92"/>
      <c r="H386" s="98"/>
      <c r="I386" s="98"/>
      <c r="J386" s="98"/>
      <c r="K386" s="98"/>
      <c r="L386" s="98"/>
      <c r="M386" s="92"/>
      <c r="N386" s="98"/>
      <c r="O386" s="98"/>
      <c r="P386" s="98"/>
      <c r="Q386" s="98"/>
      <c r="R386" s="98"/>
      <c r="S386" s="92"/>
    </row>
    <row r="387" ht="15.0" customHeight="1">
      <c r="A387" s="92"/>
      <c r="B387" s="98"/>
      <c r="C387" s="93"/>
      <c r="D387" s="93">
        <f t="shared" si="1"/>
        <v>3249</v>
      </c>
      <c r="E387" s="93"/>
      <c r="F387" s="93">
        <f t="shared" si="2"/>
        <v>727738</v>
      </c>
      <c r="G387" s="92"/>
      <c r="H387" s="98"/>
      <c r="I387" s="98"/>
      <c r="J387" s="98"/>
      <c r="K387" s="98"/>
      <c r="L387" s="98"/>
      <c r="M387" s="92"/>
      <c r="N387" s="98"/>
      <c r="O387" s="98"/>
      <c r="P387" s="98"/>
      <c r="Q387" s="98"/>
      <c r="R387" s="98"/>
      <c r="S387" s="92"/>
    </row>
    <row r="388" ht="15.0" customHeight="1">
      <c r="A388" s="92"/>
      <c r="B388" s="98"/>
      <c r="C388" s="93"/>
      <c r="D388" s="93">
        <f t="shared" si="1"/>
        <v>3249</v>
      </c>
      <c r="E388" s="93"/>
      <c r="F388" s="93">
        <f t="shared" si="2"/>
        <v>727738</v>
      </c>
      <c r="G388" s="92"/>
      <c r="H388" s="98"/>
      <c r="I388" s="98"/>
      <c r="J388" s="98"/>
      <c r="K388" s="98"/>
      <c r="L388" s="98"/>
      <c r="M388" s="92"/>
      <c r="N388" s="98"/>
      <c r="O388" s="98"/>
      <c r="P388" s="98"/>
      <c r="Q388" s="98"/>
      <c r="R388" s="98"/>
      <c r="S388" s="92"/>
    </row>
    <row r="389" ht="15.0" customHeight="1">
      <c r="A389" s="92"/>
      <c r="B389" s="98"/>
      <c r="C389" s="93"/>
      <c r="D389" s="93">
        <f t="shared" si="1"/>
        <v>3249</v>
      </c>
      <c r="E389" s="93"/>
      <c r="F389" s="93">
        <f t="shared" si="2"/>
        <v>727738</v>
      </c>
      <c r="G389" s="92"/>
      <c r="H389" s="98"/>
      <c r="I389" s="98"/>
      <c r="J389" s="98"/>
      <c r="K389" s="98"/>
      <c r="L389" s="98"/>
      <c r="M389" s="92"/>
      <c r="N389" s="98"/>
      <c r="O389" s="98"/>
      <c r="P389" s="98"/>
      <c r="Q389" s="98"/>
      <c r="R389" s="98"/>
      <c r="S389" s="92"/>
    </row>
    <row r="390" ht="15.0" customHeight="1">
      <c r="A390" s="92"/>
      <c r="B390" s="98"/>
      <c r="C390" s="93"/>
      <c r="D390" s="93">
        <f t="shared" si="1"/>
        <v>3249</v>
      </c>
      <c r="E390" s="93"/>
      <c r="F390" s="93">
        <f t="shared" si="2"/>
        <v>727738</v>
      </c>
      <c r="G390" s="92"/>
      <c r="H390" s="98"/>
      <c r="I390" s="98"/>
      <c r="J390" s="98"/>
      <c r="K390" s="98"/>
      <c r="L390" s="98"/>
      <c r="M390" s="92"/>
      <c r="N390" s="98"/>
      <c r="O390" s="98"/>
      <c r="P390" s="98"/>
      <c r="Q390" s="98"/>
      <c r="R390" s="98"/>
      <c r="S390" s="92"/>
    </row>
    <row r="391" ht="15.0" customHeight="1">
      <c r="A391" s="92"/>
      <c r="B391" s="98"/>
      <c r="C391" s="93"/>
      <c r="D391" s="93">
        <f t="shared" si="1"/>
        <v>3249</v>
      </c>
      <c r="E391" s="93"/>
      <c r="F391" s="93">
        <f t="shared" si="2"/>
        <v>727738</v>
      </c>
      <c r="G391" s="92"/>
      <c r="H391" s="98"/>
      <c r="I391" s="98"/>
      <c r="J391" s="98"/>
      <c r="K391" s="98"/>
      <c r="L391" s="98"/>
      <c r="M391" s="92"/>
      <c r="N391" s="98"/>
      <c r="O391" s="98"/>
      <c r="P391" s="98"/>
      <c r="Q391" s="98"/>
      <c r="R391" s="98"/>
      <c r="S391" s="92"/>
    </row>
    <row r="392" ht="15.0" customHeight="1">
      <c r="A392" s="92"/>
      <c r="B392" s="98"/>
      <c r="C392" s="93"/>
      <c r="D392" s="93">
        <f t="shared" si="1"/>
        <v>3249</v>
      </c>
      <c r="E392" s="93"/>
      <c r="F392" s="93">
        <f t="shared" si="2"/>
        <v>727738</v>
      </c>
      <c r="G392" s="92"/>
      <c r="H392" s="98"/>
      <c r="I392" s="98"/>
      <c r="J392" s="98"/>
      <c r="K392" s="98"/>
      <c r="L392" s="98"/>
      <c r="M392" s="92"/>
      <c r="N392" s="98"/>
      <c r="O392" s="98"/>
      <c r="P392" s="98"/>
      <c r="Q392" s="98"/>
      <c r="R392" s="98"/>
      <c r="S392" s="92"/>
    </row>
    <row r="393" ht="15.0" customHeight="1">
      <c r="A393" s="92"/>
      <c r="B393" s="98"/>
      <c r="C393" s="93"/>
      <c r="D393" s="93">
        <f t="shared" si="1"/>
        <v>3249</v>
      </c>
      <c r="E393" s="93"/>
      <c r="F393" s="93">
        <f t="shared" si="2"/>
        <v>727738</v>
      </c>
      <c r="G393" s="92"/>
      <c r="H393" s="98"/>
      <c r="I393" s="98"/>
      <c r="J393" s="98"/>
      <c r="K393" s="98"/>
      <c r="L393" s="98"/>
      <c r="M393" s="92"/>
      <c r="N393" s="98"/>
      <c r="O393" s="98"/>
      <c r="P393" s="98"/>
      <c r="Q393" s="98"/>
      <c r="R393" s="98"/>
      <c r="S393" s="92"/>
    </row>
    <row r="394" ht="15.0" customHeight="1">
      <c r="A394" s="92"/>
      <c r="B394" s="98"/>
      <c r="C394" s="93"/>
      <c r="D394" s="93">
        <f t="shared" si="1"/>
        <v>3249</v>
      </c>
      <c r="E394" s="93"/>
      <c r="F394" s="93">
        <f t="shared" si="2"/>
        <v>727738</v>
      </c>
      <c r="G394" s="92"/>
      <c r="H394" s="98"/>
      <c r="I394" s="98"/>
      <c r="J394" s="98"/>
      <c r="K394" s="98"/>
      <c r="L394" s="98"/>
      <c r="M394" s="92"/>
      <c r="N394" s="98"/>
      <c r="O394" s="98"/>
      <c r="P394" s="98"/>
      <c r="Q394" s="98"/>
      <c r="R394" s="98"/>
      <c r="S394" s="92"/>
    </row>
    <row r="395" ht="15.0" customHeight="1">
      <c r="A395" s="92"/>
      <c r="B395" s="98"/>
      <c r="C395" s="93"/>
      <c r="D395" s="93">
        <f t="shared" si="1"/>
        <v>3249</v>
      </c>
      <c r="E395" s="93"/>
      <c r="F395" s="93">
        <f t="shared" si="2"/>
        <v>727738</v>
      </c>
      <c r="G395" s="92"/>
      <c r="H395" s="98"/>
      <c r="I395" s="98"/>
      <c r="J395" s="98"/>
      <c r="K395" s="98"/>
      <c r="L395" s="98"/>
      <c r="M395" s="92"/>
      <c r="N395" s="98"/>
      <c r="O395" s="98"/>
      <c r="P395" s="98"/>
      <c r="Q395" s="98"/>
      <c r="R395" s="98"/>
      <c r="S395" s="92"/>
    </row>
    <row r="396" ht="15.0" customHeight="1">
      <c r="A396" s="92"/>
      <c r="B396" s="98"/>
      <c r="C396" s="93"/>
      <c r="D396" s="93">
        <f t="shared" si="1"/>
        <v>3249</v>
      </c>
      <c r="E396" s="93"/>
      <c r="F396" s="93">
        <f t="shared" si="2"/>
        <v>727738</v>
      </c>
      <c r="G396" s="92"/>
      <c r="H396" s="98"/>
      <c r="I396" s="98"/>
      <c r="J396" s="98"/>
      <c r="K396" s="98"/>
      <c r="L396" s="98"/>
      <c r="M396" s="92"/>
      <c r="N396" s="98"/>
      <c r="O396" s="98"/>
      <c r="P396" s="98"/>
      <c r="Q396" s="98"/>
      <c r="R396" s="98"/>
      <c r="S396" s="92"/>
    </row>
    <row r="397" ht="15.0" customHeight="1">
      <c r="A397" s="92"/>
      <c r="B397" s="98"/>
      <c r="C397" s="93"/>
      <c r="D397" s="93">
        <f t="shared" si="1"/>
        <v>3249</v>
      </c>
      <c r="E397" s="93"/>
      <c r="F397" s="93">
        <f t="shared" si="2"/>
        <v>727738</v>
      </c>
      <c r="G397" s="92"/>
      <c r="H397" s="98"/>
      <c r="I397" s="98"/>
      <c r="J397" s="98"/>
      <c r="K397" s="98"/>
      <c r="L397" s="98"/>
      <c r="M397" s="92"/>
      <c r="N397" s="98"/>
      <c r="O397" s="98"/>
      <c r="P397" s="98"/>
      <c r="Q397" s="98"/>
      <c r="R397" s="98"/>
      <c r="S397" s="92"/>
    </row>
    <row r="398" ht="15.0" customHeight="1">
      <c r="A398" s="92"/>
      <c r="B398" s="98"/>
      <c r="C398" s="93"/>
      <c r="D398" s="93">
        <f t="shared" si="1"/>
        <v>3249</v>
      </c>
      <c r="E398" s="93"/>
      <c r="F398" s="93">
        <f t="shared" si="2"/>
        <v>727738</v>
      </c>
      <c r="G398" s="92"/>
      <c r="H398" s="98"/>
      <c r="I398" s="98"/>
      <c r="J398" s="98"/>
      <c r="K398" s="98"/>
      <c r="L398" s="98"/>
      <c r="M398" s="92"/>
      <c r="N398" s="98"/>
      <c r="O398" s="98"/>
      <c r="P398" s="98"/>
      <c r="Q398" s="98"/>
      <c r="R398" s="98"/>
      <c r="S398" s="92"/>
    </row>
    <row r="399" ht="15.0" customHeight="1">
      <c r="A399" s="92"/>
      <c r="B399" s="98"/>
      <c r="C399" s="93"/>
      <c r="D399" s="93">
        <f t="shared" si="1"/>
        <v>3249</v>
      </c>
      <c r="E399" s="93"/>
      <c r="F399" s="93">
        <f t="shared" si="2"/>
        <v>727738</v>
      </c>
      <c r="G399" s="92"/>
      <c r="H399" s="98"/>
      <c r="I399" s="98"/>
      <c r="J399" s="98"/>
      <c r="K399" s="98"/>
      <c r="L399" s="98"/>
      <c r="M399" s="92"/>
      <c r="N399" s="98"/>
      <c r="O399" s="98"/>
      <c r="P399" s="98"/>
      <c r="Q399" s="98"/>
      <c r="R399" s="98"/>
      <c r="S399" s="92"/>
    </row>
    <row r="400" ht="15.0" customHeight="1">
      <c r="A400" s="92"/>
      <c r="B400" s="98"/>
      <c r="C400" s="93"/>
      <c r="D400" s="93">
        <f t="shared" si="1"/>
        <v>3249</v>
      </c>
      <c r="E400" s="93"/>
      <c r="F400" s="93">
        <f t="shared" si="2"/>
        <v>727738</v>
      </c>
      <c r="G400" s="92"/>
      <c r="H400" s="98"/>
      <c r="I400" s="98"/>
      <c r="J400" s="98"/>
      <c r="K400" s="98"/>
      <c r="L400" s="98"/>
      <c r="M400" s="92"/>
      <c r="N400" s="98"/>
      <c r="O400" s="98"/>
      <c r="P400" s="98"/>
      <c r="Q400" s="98"/>
      <c r="R400" s="98"/>
      <c r="S400" s="92"/>
    </row>
    <row r="401" ht="15.0" customHeight="1">
      <c r="A401" s="92"/>
      <c r="B401" s="98"/>
      <c r="C401" s="93"/>
      <c r="D401" s="93">
        <f t="shared" si="1"/>
        <v>3249</v>
      </c>
      <c r="E401" s="93"/>
      <c r="F401" s="93">
        <f t="shared" si="2"/>
        <v>727738</v>
      </c>
      <c r="G401" s="92"/>
      <c r="H401" s="98"/>
      <c r="I401" s="98"/>
      <c r="J401" s="98"/>
      <c r="K401" s="98"/>
      <c r="L401" s="98"/>
      <c r="M401" s="92"/>
      <c r="N401" s="98"/>
      <c r="O401" s="98"/>
      <c r="P401" s="98"/>
      <c r="Q401" s="98"/>
      <c r="R401" s="98"/>
      <c r="S401" s="92"/>
    </row>
    <row r="402" ht="15.0" customHeight="1">
      <c r="A402" s="92"/>
      <c r="B402" s="98"/>
      <c r="C402" s="93"/>
      <c r="D402" s="93">
        <f t="shared" si="1"/>
        <v>3249</v>
      </c>
      <c r="E402" s="93"/>
      <c r="F402" s="93">
        <f t="shared" si="2"/>
        <v>727738</v>
      </c>
      <c r="G402" s="92"/>
      <c r="H402" s="98"/>
      <c r="I402" s="98"/>
      <c r="J402" s="98"/>
      <c r="K402" s="98"/>
      <c r="L402" s="98"/>
      <c r="M402" s="92"/>
      <c r="N402" s="98"/>
      <c r="O402" s="98"/>
      <c r="P402" s="98"/>
      <c r="Q402" s="98"/>
      <c r="R402" s="98"/>
      <c r="S402" s="92"/>
    </row>
    <row r="403" ht="15.0" customHeight="1">
      <c r="A403" s="92"/>
      <c r="B403" s="98"/>
      <c r="C403" s="93"/>
      <c r="D403" s="93">
        <f t="shared" si="1"/>
        <v>3249</v>
      </c>
      <c r="E403" s="93"/>
      <c r="F403" s="93">
        <f t="shared" si="2"/>
        <v>727738</v>
      </c>
      <c r="G403" s="92"/>
      <c r="H403" s="98"/>
      <c r="I403" s="98"/>
      <c r="J403" s="98"/>
      <c r="K403" s="98"/>
      <c r="L403" s="98"/>
      <c r="M403" s="92"/>
      <c r="N403" s="98"/>
      <c r="O403" s="98"/>
      <c r="P403" s="98"/>
      <c r="Q403" s="98"/>
      <c r="R403" s="98"/>
      <c r="S403" s="92"/>
    </row>
    <row r="404" ht="15.0" customHeight="1">
      <c r="A404" s="92"/>
      <c r="B404" s="98"/>
      <c r="C404" s="93"/>
      <c r="D404" s="93">
        <f t="shared" si="1"/>
        <v>3249</v>
      </c>
      <c r="E404" s="93"/>
      <c r="F404" s="93">
        <f t="shared" si="2"/>
        <v>727738</v>
      </c>
      <c r="G404" s="92"/>
      <c r="H404" s="98"/>
      <c r="I404" s="98"/>
      <c r="J404" s="98"/>
      <c r="K404" s="98"/>
      <c r="L404" s="98"/>
      <c r="M404" s="92"/>
      <c r="N404" s="98"/>
      <c r="O404" s="98"/>
      <c r="P404" s="98"/>
      <c r="Q404" s="98"/>
      <c r="R404" s="98"/>
      <c r="S404" s="92"/>
    </row>
    <row r="405" ht="15.0" customHeight="1">
      <c r="A405" s="92"/>
      <c r="B405" s="98"/>
      <c r="C405" s="93"/>
      <c r="D405" s="93">
        <f t="shared" si="1"/>
        <v>3249</v>
      </c>
      <c r="E405" s="93"/>
      <c r="F405" s="93">
        <f t="shared" si="2"/>
        <v>727738</v>
      </c>
      <c r="G405" s="92"/>
      <c r="H405" s="98"/>
      <c r="I405" s="98"/>
      <c r="J405" s="98"/>
      <c r="K405" s="98"/>
      <c r="L405" s="98"/>
      <c r="M405" s="92"/>
      <c r="N405" s="98"/>
      <c r="O405" s="98"/>
      <c r="P405" s="98"/>
      <c r="Q405" s="98"/>
      <c r="R405" s="98"/>
      <c r="S405" s="92"/>
    </row>
    <row r="406" ht="15.0" customHeight="1">
      <c r="A406" s="92"/>
      <c r="B406" s="98"/>
      <c r="C406" s="93"/>
      <c r="D406" s="93">
        <f t="shared" si="1"/>
        <v>3249</v>
      </c>
      <c r="E406" s="93"/>
      <c r="F406" s="93">
        <f t="shared" si="2"/>
        <v>727738</v>
      </c>
      <c r="G406" s="92"/>
      <c r="H406" s="98"/>
      <c r="I406" s="98"/>
      <c r="J406" s="98"/>
      <c r="K406" s="98"/>
      <c r="L406" s="98"/>
      <c r="M406" s="92"/>
      <c r="N406" s="98"/>
      <c r="O406" s="98"/>
      <c r="P406" s="98"/>
      <c r="Q406" s="98"/>
      <c r="R406" s="98"/>
      <c r="S406" s="92"/>
    </row>
    <row r="407" ht="15.0" customHeight="1">
      <c r="A407" s="92"/>
      <c r="B407" s="98"/>
      <c r="C407" s="93"/>
      <c r="D407" s="93">
        <f t="shared" si="1"/>
        <v>3249</v>
      </c>
      <c r="E407" s="93"/>
      <c r="F407" s="93">
        <f t="shared" si="2"/>
        <v>727738</v>
      </c>
      <c r="G407" s="92"/>
      <c r="H407" s="98"/>
      <c r="I407" s="98"/>
      <c r="J407" s="98"/>
      <c r="K407" s="98"/>
      <c r="L407" s="98"/>
      <c r="M407" s="92"/>
      <c r="N407" s="98"/>
      <c r="O407" s="98"/>
      <c r="P407" s="98"/>
      <c r="Q407" s="98"/>
      <c r="R407" s="98"/>
      <c r="S407" s="92"/>
    </row>
    <row r="408" ht="15.0" customHeight="1">
      <c r="A408" s="92"/>
      <c r="B408" s="98"/>
      <c r="C408" s="93"/>
      <c r="D408" s="93">
        <f t="shared" si="1"/>
        <v>3249</v>
      </c>
      <c r="E408" s="93"/>
      <c r="F408" s="93">
        <f t="shared" si="2"/>
        <v>727738</v>
      </c>
      <c r="G408" s="92"/>
      <c r="H408" s="98"/>
      <c r="I408" s="98"/>
      <c r="J408" s="98"/>
      <c r="K408" s="98"/>
      <c r="L408" s="98"/>
      <c r="M408" s="92"/>
      <c r="N408" s="98"/>
      <c r="O408" s="98"/>
      <c r="P408" s="98"/>
      <c r="Q408" s="98"/>
      <c r="R408" s="98"/>
      <c r="S408" s="92"/>
    </row>
    <row r="409" ht="15.0" customHeight="1">
      <c r="A409" s="92"/>
      <c r="B409" s="98"/>
      <c r="C409" s="93"/>
      <c r="D409" s="93">
        <f t="shared" si="1"/>
        <v>3249</v>
      </c>
      <c r="E409" s="93"/>
      <c r="F409" s="93">
        <f t="shared" si="2"/>
        <v>727738</v>
      </c>
      <c r="G409" s="92"/>
      <c r="H409" s="98"/>
      <c r="I409" s="98"/>
      <c r="J409" s="98"/>
      <c r="K409" s="98"/>
      <c r="L409" s="98"/>
      <c r="M409" s="92"/>
      <c r="N409" s="98"/>
      <c r="O409" s="98"/>
      <c r="P409" s="98"/>
      <c r="Q409" s="98"/>
      <c r="R409" s="98"/>
      <c r="S409" s="92"/>
    </row>
    <row r="410" ht="15.0" customHeight="1">
      <c r="A410" s="92"/>
      <c r="B410" s="98"/>
      <c r="C410" s="93"/>
      <c r="D410" s="93">
        <f t="shared" si="1"/>
        <v>3249</v>
      </c>
      <c r="E410" s="93"/>
      <c r="F410" s="93">
        <f t="shared" si="2"/>
        <v>727738</v>
      </c>
      <c r="G410" s="92"/>
      <c r="H410" s="98"/>
      <c r="I410" s="98"/>
      <c r="J410" s="98"/>
      <c r="K410" s="98"/>
      <c r="L410" s="98"/>
      <c r="M410" s="92"/>
      <c r="N410" s="98"/>
      <c r="O410" s="98"/>
      <c r="P410" s="98"/>
      <c r="Q410" s="98"/>
      <c r="R410" s="98"/>
      <c r="S410" s="92"/>
    </row>
    <row r="411" ht="15.0" customHeight="1">
      <c r="A411" s="92"/>
      <c r="B411" s="98"/>
      <c r="C411" s="93"/>
      <c r="D411" s="93">
        <f t="shared" si="1"/>
        <v>3249</v>
      </c>
      <c r="E411" s="93"/>
      <c r="F411" s="93">
        <f t="shared" si="2"/>
        <v>727738</v>
      </c>
      <c r="G411" s="92"/>
      <c r="H411" s="98"/>
      <c r="I411" s="98"/>
      <c r="J411" s="98"/>
      <c r="K411" s="98"/>
      <c r="L411" s="98"/>
      <c r="M411" s="92"/>
      <c r="N411" s="98"/>
      <c r="O411" s="98"/>
      <c r="P411" s="98"/>
      <c r="Q411" s="98"/>
      <c r="R411" s="98"/>
      <c r="S411" s="92"/>
    </row>
    <row r="412" ht="15.0" customHeight="1">
      <c r="A412" s="92"/>
      <c r="B412" s="98"/>
      <c r="C412" s="93"/>
      <c r="D412" s="93">
        <f t="shared" si="1"/>
        <v>3249</v>
      </c>
      <c r="E412" s="93"/>
      <c r="F412" s="93">
        <f t="shared" si="2"/>
        <v>727738</v>
      </c>
      <c r="G412" s="92"/>
      <c r="H412" s="98"/>
      <c r="I412" s="98"/>
      <c r="J412" s="98"/>
      <c r="K412" s="98"/>
      <c r="L412" s="98"/>
      <c r="M412" s="92"/>
      <c r="N412" s="98"/>
      <c r="O412" s="98"/>
      <c r="P412" s="98"/>
      <c r="Q412" s="98"/>
      <c r="R412" s="98"/>
      <c r="S412" s="92"/>
    </row>
    <row r="413" ht="15.0" customHeight="1">
      <c r="A413" s="92"/>
      <c r="B413" s="98"/>
      <c r="C413" s="93"/>
      <c r="D413" s="93">
        <f t="shared" si="1"/>
        <v>3249</v>
      </c>
      <c r="E413" s="93"/>
      <c r="F413" s="93">
        <f t="shared" si="2"/>
        <v>727738</v>
      </c>
      <c r="G413" s="92"/>
      <c r="H413" s="98"/>
      <c r="I413" s="98"/>
      <c r="J413" s="98"/>
      <c r="K413" s="98"/>
      <c r="L413" s="98"/>
      <c r="M413" s="92"/>
      <c r="N413" s="98"/>
      <c r="O413" s="98"/>
      <c r="P413" s="98"/>
      <c r="Q413" s="98"/>
      <c r="R413" s="98"/>
      <c r="S413" s="92"/>
    </row>
    <row r="414" ht="15.0" customHeight="1">
      <c r="A414" s="92"/>
      <c r="B414" s="98"/>
      <c r="C414" s="93"/>
      <c r="D414" s="93">
        <f t="shared" si="1"/>
        <v>3249</v>
      </c>
      <c r="E414" s="93"/>
      <c r="F414" s="93">
        <f t="shared" si="2"/>
        <v>727738</v>
      </c>
      <c r="G414" s="92"/>
      <c r="H414" s="98"/>
      <c r="I414" s="98"/>
      <c r="J414" s="98"/>
      <c r="K414" s="98"/>
      <c r="L414" s="98"/>
      <c r="M414" s="92"/>
      <c r="N414" s="98"/>
      <c r="O414" s="98"/>
      <c r="P414" s="98"/>
      <c r="Q414" s="98"/>
      <c r="R414" s="98"/>
      <c r="S414" s="92"/>
    </row>
    <row r="415" ht="15.0" customHeight="1">
      <c r="A415" s="92"/>
      <c r="B415" s="98"/>
      <c r="C415" s="93"/>
      <c r="D415" s="93">
        <f t="shared" si="1"/>
        <v>3249</v>
      </c>
      <c r="E415" s="93"/>
      <c r="F415" s="93">
        <f t="shared" si="2"/>
        <v>727738</v>
      </c>
      <c r="G415" s="92"/>
      <c r="H415" s="98"/>
      <c r="I415" s="98"/>
      <c r="J415" s="98"/>
      <c r="K415" s="98"/>
      <c r="L415" s="98"/>
      <c r="M415" s="92"/>
      <c r="N415" s="98"/>
      <c r="O415" s="98"/>
      <c r="P415" s="98"/>
      <c r="Q415" s="98"/>
      <c r="R415" s="98"/>
      <c r="S415" s="92"/>
    </row>
    <row r="416" ht="15.0" customHeight="1">
      <c r="A416" s="92"/>
      <c r="B416" s="98"/>
      <c r="C416" s="93"/>
      <c r="D416" s="93">
        <f t="shared" si="1"/>
        <v>3249</v>
      </c>
      <c r="E416" s="93"/>
      <c r="F416" s="93">
        <f t="shared" si="2"/>
        <v>727738</v>
      </c>
      <c r="G416" s="92"/>
      <c r="H416" s="98"/>
      <c r="I416" s="98"/>
      <c r="J416" s="98"/>
      <c r="K416" s="98"/>
      <c r="L416" s="98"/>
      <c r="M416" s="92"/>
      <c r="N416" s="98"/>
      <c r="O416" s="98"/>
      <c r="P416" s="98"/>
      <c r="Q416" s="98"/>
      <c r="R416" s="98"/>
      <c r="S416" s="92"/>
    </row>
    <row r="417" ht="15.0" customHeight="1">
      <c r="A417" s="92"/>
      <c r="B417" s="98"/>
      <c r="C417" s="93"/>
      <c r="D417" s="93">
        <f t="shared" si="1"/>
        <v>3249</v>
      </c>
      <c r="E417" s="93"/>
      <c r="F417" s="93">
        <f t="shared" si="2"/>
        <v>727738</v>
      </c>
      <c r="G417" s="92"/>
      <c r="H417" s="98"/>
      <c r="I417" s="98"/>
      <c r="J417" s="98"/>
      <c r="K417" s="98"/>
      <c r="L417" s="98"/>
      <c r="M417" s="92"/>
      <c r="N417" s="98"/>
      <c r="O417" s="98"/>
      <c r="P417" s="98"/>
      <c r="Q417" s="98"/>
      <c r="R417" s="98"/>
      <c r="S417" s="92"/>
    </row>
    <row r="418" ht="15.0" customHeight="1">
      <c r="A418" s="92"/>
      <c r="B418" s="98"/>
      <c r="C418" s="93"/>
      <c r="D418" s="93">
        <f t="shared" si="1"/>
        <v>3249</v>
      </c>
      <c r="E418" s="93"/>
      <c r="F418" s="93">
        <f t="shared" si="2"/>
        <v>727738</v>
      </c>
      <c r="G418" s="92"/>
      <c r="H418" s="98"/>
      <c r="I418" s="98"/>
      <c r="J418" s="98"/>
      <c r="K418" s="98"/>
      <c r="L418" s="98"/>
      <c r="M418" s="92"/>
      <c r="N418" s="98"/>
      <c r="O418" s="98"/>
      <c r="P418" s="98"/>
      <c r="Q418" s="98"/>
      <c r="R418" s="98"/>
      <c r="S418" s="92"/>
    </row>
    <row r="419" ht="15.0" customHeight="1">
      <c r="A419" s="92"/>
      <c r="B419" s="98"/>
      <c r="C419" s="93"/>
      <c r="D419" s="93">
        <f t="shared" si="1"/>
        <v>3249</v>
      </c>
      <c r="E419" s="93"/>
      <c r="F419" s="93">
        <f t="shared" si="2"/>
        <v>727738</v>
      </c>
      <c r="G419" s="92"/>
      <c r="H419" s="98"/>
      <c r="I419" s="98"/>
      <c r="J419" s="98"/>
      <c r="K419" s="98"/>
      <c r="L419" s="98"/>
      <c r="M419" s="92"/>
      <c r="N419" s="98"/>
      <c r="O419" s="98"/>
      <c r="P419" s="98"/>
      <c r="Q419" s="98"/>
      <c r="R419" s="98"/>
      <c r="S419" s="92"/>
    </row>
    <row r="420" ht="15.0" customHeight="1">
      <c r="A420" s="92"/>
      <c r="B420" s="98"/>
      <c r="C420" s="93"/>
      <c r="D420" s="93">
        <f t="shared" si="1"/>
        <v>3249</v>
      </c>
      <c r="E420" s="93"/>
      <c r="F420" s="93">
        <f t="shared" si="2"/>
        <v>727738</v>
      </c>
      <c r="G420" s="92"/>
      <c r="H420" s="98"/>
      <c r="I420" s="98"/>
      <c r="J420" s="98"/>
      <c r="K420" s="98"/>
      <c r="L420" s="98"/>
      <c r="M420" s="92"/>
      <c r="N420" s="98"/>
      <c r="O420" s="98"/>
      <c r="P420" s="98"/>
      <c r="Q420" s="98"/>
      <c r="R420" s="98"/>
      <c r="S420" s="92"/>
    </row>
    <row r="421" ht="15.0" customHeight="1">
      <c r="A421" s="92"/>
      <c r="B421" s="98"/>
      <c r="C421" s="93"/>
      <c r="D421" s="93">
        <f t="shared" si="1"/>
        <v>3249</v>
      </c>
      <c r="E421" s="93"/>
      <c r="F421" s="93">
        <f t="shared" si="2"/>
        <v>727738</v>
      </c>
      <c r="G421" s="92"/>
      <c r="H421" s="98"/>
      <c r="I421" s="98"/>
      <c r="J421" s="98"/>
      <c r="K421" s="98"/>
      <c r="L421" s="98"/>
      <c r="M421" s="92"/>
      <c r="N421" s="98"/>
      <c r="O421" s="98"/>
      <c r="P421" s="98"/>
      <c r="Q421" s="98"/>
      <c r="R421" s="98"/>
      <c r="S421" s="92"/>
    </row>
    <row r="422" ht="15.0" customHeight="1">
      <c r="A422" s="92"/>
      <c r="B422" s="98"/>
      <c r="C422" s="93"/>
      <c r="D422" s="93">
        <f t="shared" si="1"/>
        <v>3249</v>
      </c>
      <c r="E422" s="93"/>
      <c r="F422" s="93">
        <f t="shared" si="2"/>
        <v>727738</v>
      </c>
      <c r="G422" s="92"/>
      <c r="H422" s="98"/>
      <c r="I422" s="98"/>
      <c r="J422" s="98"/>
      <c r="K422" s="98"/>
      <c r="L422" s="98"/>
      <c r="M422" s="92"/>
      <c r="N422" s="98"/>
      <c r="O422" s="98"/>
      <c r="P422" s="98"/>
      <c r="Q422" s="98"/>
      <c r="R422" s="98"/>
      <c r="S422" s="92"/>
    </row>
    <row r="423" ht="15.0" customHeight="1">
      <c r="A423" s="92"/>
      <c r="B423" s="98"/>
      <c r="C423" s="93"/>
      <c r="D423" s="93">
        <f t="shared" si="1"/>
        <v>3249</v>
      </c>
      <c r="E423" s="93"/>
      <c r="F423" s="93">
        <f t="shared" si="2"/>
        <v>727738</v>
      </c>
      <c r="G423" s="92"/>
      <c r="H423" s="98"/>
      <c r="I423" s="98"/>
      <c r="J423" s="98"/>
      <c r="K423" s="98"/>
      <c r="L423" s="98"/>
      <c r="M423" s="92"/>
      <c r="N423" s="98"/>
      <c r="O423" s="98"/>
      <c r="P423" s="98"/>
      <c r="Q423" s="98"/>
      <c r="R423" s="98"/>
      <c r="S423" s="92"/>
    </row>
    <row r="424" ht="15.0" customHeight="1">
      <c r="A424" s="92"/>
      <c r="B424" s="98"/>
      <c r="C424" s="93"/>
      <c r="D424" s="93">
        <f t="shared" si="1"/>
        <v>3249</v>
      </c>
      <c r="E424" s="93"/>
      <c r="F424" s="93">
        <f t="shared" si="2"/>
        <v>727738</v>
      </c>
      <c r="G424" s="92"/>
      <c r="H424" s="98"/>
      <c r="I424" s="98"/>
      <c r="J424" s="98"/>
      <c r="K424" s="98"/>
      <c r="L424" s="98"/>
      <c r="M424" s="92"/>
      <c r="N424" s="98"/>
      <c r="O424" s="98"/>
      <c r="P424" s="98"/>
      <c r="Q424" s="98"/>
      <c r="R424" s="98"/>
      <c r="S424" s="92"/>
    </row>
    <row r="425" ht="15.0" customHeight="1">
      <c r="A425" s="92"/>
      <c r="B425" s="98"/>
      <c r="C425" s="93"/>
      <c r="D425" s="93">
        <f t="shared" si="1"/>
        <v>3249</v>
      </c>
      <c r="E425" s="93"/>
      <c r="F425" s="93">
        <f t="shared" si="2"/>
        <v>727738</v>
      </c>
      <c r="G425" s="92"/>
      <c r="H425" s="98"/>
      <c r="I425" s="98"/>
      <c r="J425" s="98"/>
      <c r="K425" s="98"/>
      <c r="L425" s="98"/>
      <c r="M425" s="92"/>
      <c r="N425" s="98"/>
      <c r="O425" s="98"/>
      <c r="P425" s="98"/>
      <c r="Q425" s="98"/>
      <c r="R425" s="98"/>
      <c r="S425" s="92"/>
    </row>
    <row r="426" ht="15.0" customHeight="1">
      <c r="A426" s="92"/>
      <c r="B426" s="98"/>
      <c r="C426" s="93"/>
      <c r="D426" s="93">
        <f t="shared" si="1"/>
        <v>3249</v>
      </c>
      <c r="E426" s="93"/>
      <c r="F426" s="93">
        <f t="shared" si="2"/>
        <v>727738</v>
      </c>
      <c r="G426" s="92"/>
      <c r="H426" s="98"/>
      <c r="I426" s="98"/>
      <c r="J426" s="98"/>
      <c r="K426" s="98"/>
      <c r="L426" s="98"/>
      <c r="M426" s="92"/>
      <c r="N426" s="98"/>
      <c r="O426" s="98"/>
      <c r="P426" s="98"/>
      <c r="Q426" s="98"/>
      <c r="R426" s="98"/>
      <c r="S426" s="92"/>
    </row>
    <row r="427" ht="15.0" customHeight="1">
      <c r="A427" s="92"/>
      <c r="B427" s="98"/>
      <c r="C427" s="93"/>
      <c r="D427" s="93">
        <f t="shared" si="1"/>
        <v>3249</v>
      </c>
      <c r="E427" s="93"/>
      <c r="F427" s="93">
        <f t="shared" si="2"/>
        <v>727738</v>
      </c>
      <c r="G427" s="92"/>
      <c r="H427" s="98"/>
      <c r="I427" s="98"/>
      <c r="J427" s="98"/>
      <c r="K427" s="98"/>
      <c r="L427" s="98"/>
      <c r="M427" s="92"/>
      <c r="N427" s="98"/>
      <c r="O427" s="98"/>
      <c r="P427" s="98"/>
      <c r="Q427" s="98"/>
      <c r="R427" s="98"/>
      <c r="S427" s="92"/>
    </row>
    <row r="428" ht="15.0" customHeight="1">
      <c r="A428" s="92"/>
      <c r="B428" s="98"/>
      <c r="C428" s="93"/>
      <c r="D428" s="93">
        <f t="shared" si="1"/>
        <v>3249</v>
      </c>
      <c r="E428" s="93"/>
      <c r="F428" s="93">
        <f t="shared" si="2"/>
        <v>727738</v>
      </c>
      <c r="G428" s="92"/>
      <c r="H428" s="98"/>
      <c r="I428" s="98"/>
      <c r="J428" s="98"/>
      <c r="K428" s="98"/>
      <c r="L428" s="98"/>
      <c r="M428" s="92"/>
      <c r="N428" s="98"/>
      <c r="O428" s="98"/>
      <c r="P428" s="98"/>
      <c r="Q428" s="98"/>
      <c r="R428" s="98"/>
      <c r="S428" s="92"/>
    </row>
    <row r="429" ht="15.0" customHeight="1">
      <c r="A429" s="92"/>
      <c r="B429" s="98"/>
      <c r="C429" s="93"/>
      <c r="D429" s="93">
        <f t="shared" si="1"/>
        <v>3249</v>
      </c>
      <c r="E429" s="93"/>
      <c r="F429" s="93">
        <f t="shared" si="2"/>
        <v>727738</v>
      </c>
      <c r="G429" s="92"/>
      <c r="H429" s="98"/>
      <c r="I429" s="98"/>
      <c r="J429" s="98"/>
      <c r="K429" s="98"/>
      <c r="L429" s="98"/>
      <c r="M429" s="92"/>
      <c r="N429" s="98"/>
      <c r="O429" s="98"/>
      <c r="P429" s="98"/>
      <c r="Q429" s="98"/>
      <c r="R429" s="98"/>
      <c r="S429" s="92"/>
    </row>
    <row r="430" ht="15.0" customHeight="1">
      <c r="A430" s="92"/>
      <c r="B430" s="98"/>
      <c r="C430" s="93"/>
      <c r="D430" s="93">
        <f t="shared" si="1"/>
        <v>3249</v>
      </c>
      <c r="E430" s="93"/>
      <c r="F430" s="93">
        <f t="shared" si="2"/>
        <v>727738</v>
      </c>
      <c r="G430" s="92"/>
      <c r="H430" s="98"/>
      <c r="I430" s="98"/>
      <c r="J430" s="98"/>
      <c r="K430" s="98"/>
      <c r="L430" s="98"/>
      <c r="M430" s="92"/>
      <c r="N430" s="98"/>
      <c r="O430" s="98"/>
      <c r="P430" s="98"/>
      <c r="Q430" s="98"/>
      <c r="R430" s="98"/>
      <c r="S430" s="92"/>
    </row>
    <row r="431" ht="15.0" customHeight="1">
      <c r="A431" s="92"/>
      <c r="B431" s="98"/>
      <c r="C431" s="93"/>
      <c r="D431" s="93">
        <f t="shared" si="1"/>
        <v>3249</v>
      </c>
      <c r="E431" s="93"/>
      <c r="F431" s="93">
        <f t="shared" si="2"/>
        <v>727738</v>
      </c>
      <c r="G431" s="92"/>
      <c r="H431" s="98"/>
      <c r="I431" s="98"/>
      <c r="J431" s="98"/>
      <c r="K431" s="98"/>
      <c r="L431" s="98"/>
      <c r="M431" s="92"/>
      <c r="N431" s="98"/>
      <c r="O431" s="98"/>
      <c r="P431" s="98"/>
      <c r="Q431" s="98"/>
      <c r="R431" s="98"/>
      <c r="S431" s="92"/>
    </row>
    <row r="432" ht="15.0" customHeight="1">
      <c r="A432" s="92"/>
      <c r="B432" s="98"/>
      <c r="C432" s="93"/>
      <c r="D432" s="93">
        <f t="shared" si="1"/>
        <v>3249</v>
      </c>
      <c r="E432" s="93"/>
      <c r="F432" s="93">
        <f t="shared" si="2"/>
        <v>727738</v>
      </c>
      <c r="G432" s="92"/>
      <c r="H432" s="98"/>
      <c r="I432" s="98"/>
      <c r="J432" s="98"/>
      <c r="K432" s="98"/>
      <c r="L432" s="98"/>
      <c r="M432" s="92"/>
      <c r="N432" s="98"/>
      <c r="O432" s="98"/>
      <c r="P432" s="98"/>
      <c r="Q432" s="98"/>
      <c r="R432" s="98"/>
      <c r="S432" s="92"/>
    </row>
    <row r="433" ht="15.0" customHeight="1">
      <c r="A433" s="92"/>
      <c r="B433" s="98"/>
      <c r="C433" s="93"/>
      <c r="D433" s="93">
        <f t="shared" si="1"/>
        <v>3249</v>
      </c>
      <c r="E433" s="93"/>
      <c r="F433" s="93">
        <f t="shared" si="2"/>
        <v>727738</v>
      </c>
      <c r="G433" s="92"/>
      <c r="H433" s="98"/>
      <c r="I433" s="98"/>
      <c r="J433" s="98"/>
      <c r="K433" s="98"/>
      <c r="L433" s="98"/>
      <c r="M433" s="92"/>
      <c r="N433" s="98"/>
      <c r="O433" s="98"/>
      <c r="P433" s="98"/>
      <c r="Q433" s="98"/>
      <c r="R433" s="98"/>
      <c r="S433" s="92"/>
    </row>
    <row r="434" ht="15.0" customHeight="1">
      <c r="A434" s="92"/>
      <c r="B434" s="98"/>
      <c r="C434" s="93"/>
      <c r="D434" s="93">
        <f t="shared" si="1"/>
        <v>3249</v>
      </c>
      <c r="E434" s="93"/>
      <c r="F434" s="93">
        <f t="shared" si="2"/>
        <v>727738</v>
      </c>
      <c r="G434" s="92"/>
      <c r="H434" s="98"/>
      <c r="I434" s="98"/>
      <c r="J434" s="98"/>
      <c r="K434" s="98"/>
      <c r="L434" s="98"/>
      <c r="M434" s="92"/>
      <c r="N434" s="98"/>
      <c r="O434" s="98"/>
      <c r="P434" s="98"/>
      <c r="Q434" s="98"/>
      <c r="R434" s="98"/>
      <c r="S434" s="92"/>
    </row>
    <row r="435" ht="15.0" customHeight="1">
      <c r="A435" s="92"/>
      <c r="B435" s="98"/>
      <c r="C435" s="93"/>
      <c r="D435" s="93">
        <f t="shared" si="1"/>
        <v>3249</v>
      </c>
      <c r="E435" s="93"/>
      <c r="F435" s="93">
        <f t="shared" si="2"/>
        <v>727738</v>
      </c>
      <c r="G435" s="92"/>
      <c r="H435" s="98"/>
      <c r="I435" s="98"/>
      <c r="J435" s="98"/>
      <c r="K435" s="98"/>
      <c r="L435" s="98"/>
      <c r="M435" s="92"/>
      <c r="N435" s="98"/>
      <c r="O435" s="98"/>
      <c r="P435" s="98"/>
      <c r="Q435" s="98"/>
      <c r="R435" s="98"/>
      <c r="S435" s="92"/>
    </row>
    <row r="436" ht="15.0" customHeight="1">
      <c r="A436" s="92"/>
      <c r="B436" s="98"/>
      <c r="C436" s="93"/>
      <c r="D436" s="93">
        <f t="shared" si="1"/>
        <v>3249</v>
      </c>
      <c r="E436" s="93"/>
      <c r="F436" s="93">
        <f t="shared" si="2"/>
        <v>727738</v>
      </c>
      <c r="G436" s="92"/>
      <c r="H436" s="98"/>
      <c r="I436" s="98"/>
      <c r="J436" s="98"/>
      <c r="K436" s="98"/>
      <c r="L436" s="98"/>
      <c r="M436" s="92"/>
      <c r="N436" s="98"/>
      <c r="O436" s="98"/>
      <c r="P436" s="98"/>
      <c r="Q436" s="98"/>
      <c r="R436" s="98"/>
      <c r="S436" s="92"/>
    </row>
    <row r="437" ht="15.0" customHeight="1">
      <c r="A437" s="92"/>
      <c r="B437" s="98"/>
      <c r="C437" s="93"/>
      <c r="D437" s="93">
        <f t="shared" si="1"/>
        <v>3249</v>
      </c>
      <c r="E437" s="93"/>
      <c r="F437" s="93">
        <f t="shared" si="2"/>
        <v>727738</v>
      </c>
      <c r="G437" s="92"/>
      <c r="H437" s="98"/>
      <c r="I437" s="98"/>
      <c r="J437" s="98"/>
      <c r="K437" s="98"/>
      <c r="L437" s="98"/>
      <c r="M437" s="92"/>
      <c r="N437" s="98"/>
      <c r="O437" s="98"/>
      <c r="P437" s="98"/>
      <c r="Q437" s="98"/>
      <c r="R437" s="98"/>
      <c r="S437" s="92"/>
    </row>
    <row r="438" ht="15.0" customHeight="1">
      <c r="A438" s="92"/>
      <c r="B438" s="98"/>
      <c r="C438" s="93"/>
      <c r="D438" s="93">
        <f t="shared" si="1"/>
        <v>3249</v>
      </c>
      <c r="E438" s="93"/>
      <c r="F438" s="93">
        <f t="shared" si="2"/>
        <v>727738</v>
      </c>
      <c r="G438" s="92"/>
      <c r="H438" s="98"/>
      <c r="I438" s="98"/>
      <c r="J438" s="98"/>
      <c r="K438" s="98"/>
      <c r="L438" s="98"/>
      <c r="M438" s="92"/>
      <c r="N438" s="98"/>
      <c r="O438" s="98"/>
      <c r="P438" s="98"/>
      <c r="Q438" s="98"/>
      <c r="R438" s="98"/>
      <c r="S438" s="92"/>
    </row>
    <row r="439" ht="15.0" customHeight="1">
      <c r="A439" s="92"/>
      <c r="B439" s="98"/>
      <c r="C439" s="93"/>
      <c r="D439" s="93">
        <f t="shared" si="1"/>
        <v>3249</v>
      </c>
      <c r="E439" s="93"/>
      <c r="F439" s="93">
        <f t="shared" si="2"/>
        <v>727738</v>
      </c>
      <c r="G439" s="92"/>
      <c r="H439" s="98"/>
      <c r="I439" s="98"/>
      <c r="J439" s="98"/>
      <c r="K439" s="98"/>
      <c r="L439" s="98"/>
      <c r="M439" s="92"/>
      <c r="N439" s="98"/>
      <c r="O439" s="98"/>
      <c r="P439" s="98"/>
      <c r="Q439" s="98"/>
      <c r="R439" s="98"/>
      <c r="S439" s="92"/>
    </row>
    <row r="440" ht="15.0" customHeight="1">
      <c r="A440" s="92"/>
      <c r="B440" s="98"/>
      <c r="C440" s="93"/>
      <c r="D440" s="93">
        <f t="shared" si="1"/>
        <v>3249</v>
      </c>
      <c r="E440" s="93"/>
      <c r="F440" s="93">
        <f t="shared" si="2"/>
        <v>727738</v>
      </c>
      <c r="G440" s="92"/>
      <c r="H440" s="98"/>
      <c r="I440" s="98"/>
      <c r="J440" s="98"/>
      <c r="K440" s="98"/>
      <c r="L440" s="98"/>
      <c r="M440" s="92"/>
      <c r="N440" s="98"/>
      <c r="O440" s="98"/>
      <c r="P440" s="98"/>
      <c r="Q440" s="98"/>
      <c r="R440" s="98"/>
      <c r="S440" s="92"/>
    </row>
    <row r="441" ht="15.0" customHeight="1">
      <c r="A441" s="92"/>
      <c r="B441" s="98"/>
      <c r="C441" s="93"/>
      <c r="D441" s="93">
        <f t="shared" si="1"/>
        <v>3249</v>
      </c>
      <c r="E441" s="93"/>
      <c r="F441" s="93">
        <f t="shared" si="2"/>
        <v>727738</v>
      </c>
      <c r="G441" s="92"/>
      <c r="H441" s="98"/>
      <c r="I441" s="98"/>
      <c r="J441" s="98"/>
      <c r="K441" s="98"/>
      <c r="L441" s="98"/>
      <c r="M441" s="92"/>
      <c r="N441" s="98"/>
      <c r="O441" s="98"/>
      <c r="P441" s="98"/>
      <c r="Q441" s="98"/>
      <c r="R441" s="98"/>
      <c r="S441" s="92"/>
    </row>
    <row r="442" ht="15.0" customHeight="1">
      <c r="A442" s="92"/>
      <c r="B442" s="98"/>
      <c r="C442" s="93"/>
      <c r="D442" s="93">
        <f t="shared" si="1"/>
        <v>3249</v>
      </c>
      <c r="E442" s="93"/>
      <c r="F442" s="93">
        <f t="shared" si="2"/>
        <v>727738</v>
      </c>
      <c r="G442" s="92"/>
      <c r="H442" s="98"/>
      <c r="I442" s="98"/>
      <c r="J442" s="98"/>
      <c r="K442" s="98"/>
      <c r="L442" s="98"/>
      <c r="M442" s="92"/>
      <c r="N442" s="98"/>
      <c r="O442" s="98"/>
      <c r="P442" s="98"/>
      <c r="Q442" s="98"/>
      <c r="R442" s="98"/>
      <c r="S442" s="92"/>
    </row>
    <row r="443" ht="15.0" customHeight="1">
      <c r="A443" s="92"/>
      <c r="B443" s="98"/>
      <c r="C443" s="93"/>
      <c r="D443" s="93">
        <f t="shared" si="1"/>
        <v>3249</v>
      </c>
      <c r="E443" s="93"/>
      <c r="F443" s="93">
        <f t="shared" si="2"/>
        <v>727738</v>
      </c>
      <c r="G443" s="92"/>
      <c r="H443" s="98"/>
      <c r="I443" s="98"/>
      <c r="J443" s="98"/>
      <c r="K443" s="98"/>
      <c r="L443" s="98"/>
      <c r="M443" s="92"/>
      <c r="N443" s="98"/>
      <c r="O443" s="98"/>
      <c r="P443" s="98"/>
      <c r="Q443" s="98"/>
      <c r="R443" s="98"/>
      <c r="S443" s="92"/>
    </row>
    <row r="444" ht="15.0" customHeight="1">
      <c r="A444" s="92"/>
      <c r="B444" s="98"/>
      <c r="C444" s="93"/>
      <c r="D444" s="93">
        <f t="shared" si="1"/>
        <v>3249</v>
      </c>
      <c r="E444" s="93"/>
      <c r="F444" s="93">
        <f t="shared" si="2"/>
        <v>727738</v>
      </c>
      <c r="G444" s="92"/>
      <c r="H444" s="98"/>
      <c r="I444" s="98"/>
      <c r="J444" s="98"/>
      <c r="K444" s="98"/>
      <c r="L444" s="98"/>
      <c r="M444" s="92"/>
      <c r="N444" s="98"/>
      <c r="O444" s="98"/>
      <c r="P444" s="98"/>
      <c r="Q444" s="98"/>
      <c r="R444" s="98"/>
      <c r="S444" s="92"/>
    </row>
    <row r="445" ht="15.0" customHeight="1">
      <c r="A445" s="92"/>
      <c r="B445" s="98"/>
      <c r="C445" s="93"/>
      <c r="D445" s="93">
        <f t="shared" si="1"/>
        <v>3249</v>
      </c>
      <c r="E445" s="93"/>
      <c r="F445" s="93">
        <f t="shared" si="2"/>
        <v>727738</v>
      </c>
      <c r="G445" s="92"/>
      <c r="H445" s="98"/>
      <c r="I445" s="98"/>
      <c r="J445" s="98"/>
      <c r="K445" s="98"/>
      <c r="L445" s="98"/>
      <c r="M445" s="92"/>
      <c r="N445" s="98"/>
      <c r="O445" s="98"/>
      <c r="P445" s="98"/>
      <c r="Q445" s="98"/>
      <c r="R445" s="98"/>
      <c r="S445" s="92"/>
    </row>
    <row r="446" ht="15.0" customHeight="1">
      <c r="A446" s="92"/>
      <c r="B446" s="98"/>
      <c r="C446" s="93"/>
      <c r="D446" s="93">
        <f t="shared" si="1"/>
        <v>3249</v>
      </c>
      <c r="E446" s="93"/>
      <c r="F446" s="93">
        <f t="shared" si="2"/>
        <v>727738</v>
      </c>
      <c r="G446" s="92"/>
      <c r="H446" s="98"/>
      <c r="I446" s="98"/>
      <c r="J446" s="98"/>
      <c r="K446" s="98"/>
      <c r="L446" s="98"/>
      <c r="M446" s="92"/>
      <c r="N446" s="98"/>
      <c r="O446" s="98"/>
      <c r="P446" s="98"/>
      <c r="Q446" s="98"/>
      <c r="R446" s="98"/>
      <c r="S446" s="92"/>
    </row>
    <row r="447" ht="15.0" customHeight="1">
      <c r="A447" s="92"/>
      <c r="B447" s="98"/>
      <c r="C447" s="93"/>
      <c r="D447" s="93">
        <f t="shared" si="1"/>
        <v>3249</v>
      </c>
      <c r="E447" s="93"/>
      <c r="F447" s="93">
        <f t="shared" si="2"/>
        <v>727738</v>
      </c>
      <c r="G447" s="92"/>
      <c r="H447" s="98"/>
      <c r="I447" s="98"/>
      <c r="J447" s="98"/>
      <c r="K447" s="98"/>
      <c r="L447" s="98"/>
      <c r="M447" s="92"/>
      <c r="N447" s="98"/>
      <c r="O447" s="98"/>
      <c r="P447" s="98"/>
      <c r="Q447" s="98"/>
      <c r="R447" s="98"/>
      <c r="S447" s="92"/>
    </row>
    <row r="448" ht="15.0" customHeight="1">
      <c r="A448" s="92"/>
      <c r="B448" s="98"/>
      <c r="C448" s="93"/>
      <c r="D448" s="93">
        <f t="shared" si="1"/>
        <v>3249</v>
      </c>
      <c r="E448" s="93"/>
      <c r="F448" s="93">
        <f t="shared" si="2"/>
        <v>727738</v>
      </c>
      <c r="G448" s="92"/>
      <c r="H448" s="98"/>
      <c r="I448" s="98"/>
      <c r="J448" s="98"/>
      <c r="K448" s="98"/>
      <c r="L448" s="98"/>
      <c r="M448" s="92"/>
      <c r="N448" s="98"/>
      <c r="O448" s="98"/>
      <c r="P448" s="98"/>
      <c r="Q448" s="98"/>
      <c r="R448" s="98"/>
      <c r="S448" s="92"/>
    </row>
    <row r="449" ht="15.0" customHeight="1">
      <c r="A449" s="92"/>
      <c r="B449" s="98"/>
      <c r="C449" s="93"/>
      <c r="D449" s="93">
        <f t="shared" si="1"/>
        <v>3249</v>
      </c>
      <c r="E449" s="93"/>
      <c r="F449" s="93">
        <f t="shared" si="2"/>
        <v>727738</v>
      </c>
      <c r="G449" s="92"/>
      <c r="H449" s="98"/>
      <c r="I449" s="98"/>
      <c r="J449" s="98"/>
      <c r="K449" s="98"/>
      <c r="L449" s="98"/>
      <c r="M449" s="92"/>
      <c r="N449" s="98"/>
      <c r="O449" s="98"/>
      <c r="P449" s="98"/>
      <c r="Q449" s="98"/>
      <c r="R449" s="98"/>
      <c r="S449" s="92"/>
    </row>
    <row r="450" ht="15.0" customHeight="1">
      <c r="A450" s="92"/>
      <c r="B450" s="98"/>
      <c r="C450" s="93"/>
      <c r="D450" s="93">
        <f t="shared" si="1"/>
        <v>3249</v>
      </c>
      <c r="E450" s="93"/>
      <c r="F450" s="93">
        <f t="shared" si="2"/>
        <v>727738</v>
      </c>
      <c r="G450" s="92"/>
      <c r="H450" s="98"/>
      <c r="I450" s="98"/>
      <c r="J450" s="98"/>
      <c r="K450" s="98"/>
      <c r="L450" s="98"/>
      <c r="M450" s="92"/>
      <c r="N450" s="98"/>
      <c r="O450" s="98"/>
      <c r="P450" s="98"/>
      <c r="Q450" s="98"/>
      <c r="R450" s="98"/>
      <c r="S450" s="92"/>
    </row>
    <row r="451" ht="15.0" customHeight="1">
      <c r="A451" s="92"/>
      <c r="B451" s="98"/>
      <c r="C451" s="93"/>
      <c r="D451" s="93">
        <f t="shared" si="1"/>
        <v>3249</v>
      </c>
      <c r="E451" s="93"/>
      <c r="F451" s="93">
        <f t="shared" si="2"/>
        <v>727738</v>
      </c>
      <c r="G451" s="92"/>
      <c r="H451" s="98"/>
      <c r="I451" s="98"/>
      <c r="J451" s="98"/>
      <c r="K451" s="98"/>
      <c r="L451" s="98"/>
      <c r="M451" s="92"/>
      <c r="N451" s="98"/>
      <c r="O451" s="98"/>
      <c r="P451" s="98"/>
      <c r="Q451" s="98"/>
      <c r="R451" s="98"/>
      <c r="S451" s="92"/>
    </row>
    <row r="452" ht="15.0" customHeight="1">
      <c r="A452" s="92"/>
      <c r="B452" s="98"/>
      <c r="C452" s="93"/>
      <c r="D452" s="93">
        <f t="shared" si="1"/>
        <v>3249</v>
      </c>
      <c r="E452" s="93"/>
      <c r="F452" s="93">
        <f t="shared" si="2"/>
        <v>727738</v>
      </c>
      <c r="G452" s="92"/>
      <c r="H452" s="98"/>
      <c r="I452" s="98"/>
      <c r="J452" s="98"/>
      <c r="K452" s="98"/>
      <c r="L452" s="98"/>
      <c r="M452" s="92"/>
      <c r="N452" s="98"/>
      <c r="O452" s="98"/>
      <c r="P452" s="98"/>
      <c r="Q452" s="98"/>
      <c r="R452" s="98"/>
      <c r="S452" s="92"/>
    </row>
    <row r="453" ht="15.0" customHeight="1">
      <c r="A453" s="92"/>
      <c r="B453" s="98"/>
      <c r="C453" s="93"/>
      <c r="D453" s="93">
        <f t="shared" si="1"/>
        <v>3249</v>
      </c>
      <c r="E453" s="93"/>
      <c r="F453" s="93">
        <f t="shared" si="2"/>
        <v>727738</v>
      </c>
      <c r="G453" s="92"/>
      <c r="H453" s="98"/>
      <c r="I453" s="98"/>
      <c r="J453" s="98"/>
      <c r="K453" s="98"/>
      <c r="L453" s="98"/>
      <c r="M453" s="92"/>
      <c r="N453" s="98"/>
      <c r="O453" s="98"/>
      <c r="P453" s="98"/>
      <c r="Q453" s="98"/>
      <c r="R453" s="98"/>
      <c r="S453" s="92"/>
    </row>
    <row r="454" ht="15.0" customHeight="1">
      <c r="A454" s="92"/>
      <c r="B454" s="98"/>
      <c r="C454" s="93"/>
      <c r="D454" s="93">
        <f t="shared" si="1"/>
        <v>3249</v>
      </c>
      <c r="E454" s="93"/>
      <c r="F454" s="93">
        <f t="shared" si="2"/>
        <v>727738</v>
      </c>
      <c r="G454" s="92"/>
      <c r="H454" s="98"/>
      <c r="I454" s="98"/>
      <c r="J454" s="98"/>
      <c r="K454" s="98"/>
      <c r="L454" s="98"/>
      <c r="M454" s="92"/>
      <c r="N454" s="98"/>
      <c r="O454" s="98"/>
      <c r="P454" s="98"/>
      <c r="Q454" s="98"/>
      <c r="R454" s="98"/>
      <c r="S454" s="92"/>
    </row>
    <row r="455" ht="15.0" customHeight="1">
      <c r="A455" s="92"/>
      <c r="B455" s="98"/>
      <c r="C455" s="93"/>
      <c r="D455" s="93">
        <f t="shared" si="1"/>
        <v>3249</v>
      </c>
      <c r="E455" s="93"/>
      <c r="F455" s="93">
        <f t="shared" si="2"/>
        <v>727738</v>
      </c>
      <c r="G455" s="92"/>
      <c r="H455" s="98"/>
      <c r="I455" s="98"/>
      <c r="J455" s="98"/>
      <c r="K455" s="98"/>
      <c r="L455" s="98"/>
      <c r="M455" s="92"/>
      <c r="N455" s="98"/>
      <c r="O455" s="98"/>
      <c r="P455" s="98"/>
      <c r="Q455" s="98"/>
      <c r="R455" s="98"/>
      <c r="S455" s="92"/>
    </row>
    <row r="456" ht="15.0" customHeight="1">
      <c r="A456" s="92"/>
      <c r="B456" s="98"/>
      <c r="C456" s="93"/>
      <c r="D456" s="93">
        <f t="shared" si="1"/>
        <v>3249</v>
      </c>
      <c r="E456" s="93"/>
      <c r="F456" s="93">
        <f t="shared" si="2"/>
        <v>727738</v>
      </c>
      <c r="G456" s="92"/>
      <c r="H456" s="98"/>
      <c r="I456" s="98"/>
      <c r="J456" s="98"/>
      <c r="K456" s="98"/>
      <c r="L456" s="98"/>
      <c r="M456" s="92"/>
      <c r="N456" s="98"/>
      <c r="O456" s="98"/>
      <c r="P456" s="98"/>
      <c r="Q456" s="98"/>
      <c r="R456" s="98"/>
      <c r="S456" s="92"/>
    </row>
    <row r="457" ht="15.0" customHeight="1">
      <c r="A457" s="92"/>
      <c r="B457" s="103"/>
      <c r="C457" s="93"/>
      <c r="D457" s="93">
        <f t="shared" si="1"/>
        <v>3249</v>
      </c>
      <c r="E457" s="93"/>
      <c r="F457" s="93">
        <f t="shared" si="2"/>
        <v>727738</v>
      </c>
      <c r="G457" s="92"/>
      <c r="H457" s="98"/>
      <c r="I457" s="98"/>
      <c r="J457" s="98"/>
      <c r="K457" s="98"/>
      <c r="L457" s="98"/>
      <c r="M457" s="92"/>
      <c r="N457" s="98"/>
      <c r="O457" s="98"/>
      <c r="P457" s="98"/>
      <c r="Q457" s="98"/>
      <c r="R457" s="98"/>
      <c r="S457" s="92"/>
    </row>
    <row r="458" ht="15.0" customHeight="1">
      <c r="A458" s="92"/>
      <c r="B458" s="103"/>
      <c r="C458" s="93"/>
      <c r="D458" s="93">
        <f t="shared" si="1"/>
        <v>3249</v>
      </c>
      <c r="E458" s="93"/>
      <c r="F458" s="93">
        <f t="shared" si="2"/>
        <v>727738</v>
      </c>
      <c r="G458" s="92"/>
      <c r="H458" s="98"/>
      <c r="I458" s="98"/>
      <c r="J458" s="98"/>
      <c r="K458" s="98"/>
      <c r="L458" s="98"/>
      <c r="M458" s="92"/>
      <c r="N458" s="98"/>
      <c r="O458" s="98"/>
      <c r="P458" s="98"/>
      <c r="Q458" s="98"/>
      <c r="R458" s="98"/>
      <c r="S458" s="92"/>
    </row>
    <row r="459" ht="15.0" customHeight="1">
      <c r="A459" s="92"/>
      <c r="B459" s="103"/>
      <c r="C459" s="93"/>
      <c r="D459" s="93">
        <f t="shared" si="1"/>
        <v>3249</v>
      </c>
      <c r="E459" s="93"/>
      <c r="F459" s="93">
        <f t="shared" si="2"/>
        <v>727738</v>
      </c>
      <c r="G459" s="92"/>
      <c r="H459" s="98"/>
      <c r="I459" s="98"/>
      <c r="J459" s="98"/>
      <c r="K459" s="98"/>
      <c r="L459" s="98"/>
      <c r="M459" s="92"/>
      <c r="N459" s="98"/>
      <c r="O459" s="98"/>
      <c r="P459" s="98"/>
      <c r="Q459" s="98"/>
      <c r="R459" s="98"/>
      <c r="S459" s="92"/>
    </row>
    <row r="460" ht="15.0" customHeight="1">
      <c r="A460" s="92"/>
      <c r="B460" s="103"/>
      <c r="C460" s="93"/>
      <c r="D460" s="93">
        <f t="shared" si="1"/>
        <v>3249</v>
      </c>
      <c r="E460" s="93"/>
      <c r="F460" s="93">
        <f t="shared" si="2"/>
        <v>727738</v>
      </c>
      <c r="G460" s="92"/>
      <c r="H460" s="98"/>
      <c r="I460" s="98"/>
      <c r="J460" s="98"/>
      <c r="K460" s="98"/>
      <c r="L460" s="98"/>
      <c r="M460" s="92"/>
      <c r="N460" s="98"/>
      <c r="O460" s="98"/>
      <c r="P460" s="98"/>
      <c r="Q460" s="98"/>
      <c r="R460" s="98"/>
      <c r="S460" s="92"/>
    </row>
    <row r="461" ht="15.0" customHeight="1">
      <c r="A461" s="92"/>
      <c r="B461" s="103"/>
      <c r="C461" s="93"/>
      <c r="D461" s="93">
        <f t="shared" si="1"/>
        <v>3249</v>
      </c>
      <c r="E461" s="93"/>
      <c r="F461" s="93">
        <f t="shared" si="2"/>
        <v>727738</v>
      </c>
      <c r="G461" s="92"/>
      <c r="H461" s="98"/>
      <c r="I461" s="98"/>
      <c r="J461" s="98"/>
      <c r="K461" s="98"/>
      <c r="L461" s="98"/>
      <c r="M461" s="92"/>
      <c r="N461" s="98"/>
      <c r="O461" s="98"/>
      <c r="P461" s="98"/>
      <c r="Q461" s="98"/>
      <c r="R461" s="98"/>
      <c r="S461" s="92"/>
    </row>
    <row r="462" ht="15.0" customHeight="1">
      <c r="A462" s="92"/>
      <c r="B462" s="103"/>
      <c r="C462" s="93"/>
      <c r="D462" s="93">
        <f t="shared" si="1"/>
        <v>3249</v>
      </c>
      <c r="E462" s="93"/>
      <c r="F462" s="93">
        <f t="shared" si="2"/>
        <v>727738</v>
      </c>
      <c r="G462" s="92"/>
      <c r="H462" s="98"/>
      <c r="I462" s="98"/>
      <c r="J462" s="98"/>
      <c r="K462" s="98"/>
      <c r="L462" s="98"/>
      <c r="M462" s="92"/>
      <c r="N462" s="98"/>
      <c r="O462" s="98"/>
      <c r="P462" s="98"/>
      <c r="Q462" s="98"/>
      <c r="R462" s="98"/>
      <c r="S462" s="92"/>
    </row>
    <row r="463" ht="15.0" customHeight="1">
      <c r="A463" s="92"/>
      <c r="B463" s="103"/>
      <c r="C463" s="93"/>
      <c r="D463" s="93">
        <f t="shared" si="1"/>
        <v>3249</v>
      </c>
      <c r="E463" s="93"/>
      <c r="F463" s="93">
        <f t="shared" si="2"/>
        <v>727738</v>
      </c>
      <c r="G463" s="92"/>
      <c r="H463" s="98"/>
      <c r="I463" s="98"/>
      <c r="J463" s="98"/>
      <c r="K463" s="98"/>
      <c r="L463" s="98"/>
      <c r="M463" s="92"/>
      <c r="N463" s="98"/>
      <c r="O463" s="98"/>
      <c r="P463" s="98"/>
      <c r="Q463" s="98"/>
      <c r="R463" s="98"/>
      <c r="S463" s="92"/>
    </row>
    <row r="464" ht="15.0" customHeight="1">
      <c r="A464" s="92"/>
      <c r="B464" s="103"/>
      <c r="C464" s="93"/>
      <c r="D464" s="93">
        <f t="shared" si="1"/>
        <v>3249</v>
      </c>
      <c r="E464" s="93"/>
      <c r="F464" s="93">
        <f t="shared" si="2"/>
        <v>727738</v>
      </c>
      <c r="G464" s="92"/>
      <c r="H464" s="98"/>
      <c r="I464" s="98"/>
      <c r="J464" s="98"/>
      <c r="K464" s="98"/>
      <c r="L464" s="98"/>
      <c r="M464" s="92"/>
      <c r="N464" s="98"/>
      <c r="O464" s="98"/>
      <c r="P464" s="98"/>
      <c r="Q464" s="98"/>
      <c r="R464" s="98"/>
      <c r="S464" s="92"/>
    </row>
    <row r="465" ht="15.0" customHeight="1">
      <c r="A465" s="92"/>
      <c r="B465" s="103"/>
      <c r="C465" s="93"/>
      <c r="D465" s="93">
        <f t="shared" si="1"/>
        <v>3249</v>
      </c>
      <c r="E465" s="93"/>
      <c r="F465" s="93">
        <f t="shared" si="2"/>
        <v>727738</v>
      </c>
      <c r="G465" s="92"/>
      <c r="H465" s="98"/>
      <c r="I465" s="98"/>
      <c r="J465" s="98"/>
      <c r="K465" s="98"/>
      <c r="L465" s="98"/>
      <c r="M465" s="92"/>
      <c r="N465" s="98"/>
      <c r="O465" s="98"/>
      <c r="P465" s="98"/>
      <c r="Q465" s="98"/>
      <c r="R465" s="98"/>
      <c r="S465" s="92"/>
    </row>
    <row r="466" ht="15.0" customHeight="1">
      <c r="A466" s="92"/>
      <c r="B466" s="103"/>
      <c r="C466" s="93"/>
      <c r="D466" s="93">
        <f t="shared" si="1"/>
        <v>3249</v>
      </c>
      <c r="E466" s="93"/>
      <c r="F466" s="93">
        <f t="shared" si="2"/>
        <v>727738</v>
      </c>
      <c r="G466" s="92"/>
      <c r="H466" s="98"/>
      <c r="I466" s="98"/>
      <c r="J466" s="98"/>
      <c r="K466" s="98"/>
      <c r="L466" s="98"/>
      <c r="M466" s="92"/>
      <c r="N466" s="98"/>
      <c r="O466" s="98"/>
      <c r="P466" s="98"/>
      <c r="Q466" s="98"/>
      <c r="R466" s="98"/>
      <c r="S466" s="92"/>
    </row>
    <row r="467" ht="15.0" customHeight="1">
      <c r="A467" s="92"/>
      <c r="B467" s="103"/>
      <c r="C467" s="93"/>
      <c r="D467" s="93">
        <f t="shared" si="1"/>
        <v>3249</v>
      </c>
      <c r="E467" s="93"/>
      <c r="F467" s="93">
        <f t="shared" si="2"/>
        <v>727738</v>
      </c>
      <c r="G467" s="92"/>
      <c r="H467" s="98"/>
      <c r="I467" s="98"/>
      <c r="J467" s="98"/>
      <c r="K467" s="98"/>
      <c r="L467" s="98"/>
      <c r="M467" s="92"/>
      <c r="N467" s="98"/>
      <c r="O467" s="98"/>
      <c r="P467" s="98"/>
      <c r="Q467" s="98"/>
      <c r="R467" s="98"/>
      <c r="S467" s="92"/>
    </row>
    <row r="468" ht="15.0" customHeight="1">
      <c r="A468" s="92"/>
      <c r="B468" s="103"/>
      <c r="C468" s="93"/>
      <c r="D468" s="93">
        <f t="shared" si="1"/>
        <v>3249</v>
      </c>
      <c r="E468" s="93"/>
      <c r="F468" s="93">
        <f t="shared" si="2"/>
        <v>727738</v>
      </c>
      <c r="G468" s="92"/>
      <c r="H468" s="98"/>
      <c r="I468" s="98"/>
      <c r="J468" s="98"/>
      <c r="K468" s="98"/>
      <c r="L468" s="98"/>
      <c r="M468" s="92"/>
      <c r="N468" s="98"/>
      <c r="O468" s="98"/>
      <c r="P468" s="98"/>
      <c r="Q468" s="98"/>
      <c r="R468" s="98"/>
      <c r="S468" s="92"/>
    </row>
    <row r="469" ht="15.0" customHeight="1">
      <c r="A469" s="92"/>
      <c r="B469" s="103"/>
      <c r="C469" s="93"/>
      <c r="D469" s="93">
        <f t="shared" si="1"/>
        <v>3249</v>
      </c>
      <c r="E469" s="93"/>
      <c r="F469" s="93">
        <f t="shared" si="2"/>
        <v>727738</v>
      </c>
      <c r="G469" s="92"/>
      <c r="H469" s="98"/>
      <c r="I469" s="98"/>
      <c r="J469" s="98"/>
      <c r="K469" s="98"/>
      <c r="L469" s="98"/>
      <c r="M469" s="92"/>
      <c r="N469" s="98"/>
      <c r="O469" s="98"/>
      <c r="P469" s="98"/>
      <c r="Q469" s="98"/>
      <c r="R469" s="98"/>
      <c r="S469" s="92"/>
    </row>
    <row r="470" ht="15.0" customHeight="1">
      <c r="A470" s="92"/>
      <c r="B470" s="103"/>
      <c r="C470" s="93"/>
      <c r="D470" s="93">
        <f t="shared" si="1"/>
        <v>3249</v>
      </c>
      <c r="E470" s="93"/>
      <c r="F470" s="93">
        <f t="shared" si="2"/>
        <v>727738</v>
      </c>
      <c r="G470" s="92"/>
      <c r="H470" s="98"/>
      <c r="I470" s="98"/>
      <c r="J470" s="98"/>
      <c r="K470" s="98"/>
      <c r="L470" s="98"/>
      <c r="M470" s="92"/>
      <c r="N470" s="98"/>
      <c r="O470" s="98"/>
      <c r="P470" s="98"/>
      <c r="Q470" s="98"/>
      <c r="R470" s="98"/>
      <c r="S470" s="92"/>
    </row>
    <row r="471" ht="15.0" customHeight="1">
      <c r="A471" s="92"/>
      <c r="B471" s="103"/>
      <c r="C471" s="93"/>
      <c r="D471" s="93">
        <f t="shared" si="1"/>
        <v>3249</v>
      </c>
      <c r="E471" s="93"/>
      <c r="F471" s="93">
        <f t="shared" si="2"/>
        <v>727738</v>
      </c>
      <c r="G471" s="92"/>
      <c r="H471" s="98"/>
      <c r="I471" s="98"/>
      <c r="J471" s="98"/>
      <c r="K471" s="98"/>
      <c r="L471" s="98"/>
      <c r="M471" s="92"/>
      <c r="N471" s="98"/>
      <c r="O471" s="98"/>
      <c r="P471" s="98"/>
      <c r="Q471" s="98"/>
      <c r="R471" s="98"/>
      <c r="S471" s="92"/>
    </row>
    <row r="472" ht="15.0" customHeight="1">
      <c r="A472" s="92"/>
      <c r="B472" s="103"/>
      <c r="C472" s="93"/>
      <c r="D472" s="93">
        <f t="shared" si="1"/>
        <v>3249</v>
      </c>
      <c r="E472" s="93"/>
      <c r="F472" s="93">
        <f t="shared" si="2"/>
        <v>727738</v>
      </c>
      <c r="G472" s="92"/>
      <c r="H472" s="98"/>
      <c r="I472" s="98"/>
      <c r="J472" s="98"/>
      <c r="K472" s="98"/>
      <c r="L472" s="98"/>
      <c r="M472" s="92"/>
      <c r="N472" s="98"/>
      <c r="O472" s="98"/>
      <c r="P472" s="98"/>
      <c r="Q472" s="98"/>
      <c r="R472" s="98"/>
      <c r="S472" s="92"/>
    </row>
    <row r="473" ht="15.0" customHeight="1">
      <c r="A473" s="92"/>
      <c r="B473" s="103"/>
      <c r="C473" s="93"/>
      <c r="D473" s="93">
        <f t="shared" si="1"/>
        <v>3249</v>
      </c>
      <c r="E473" s="93"/>
      <c r="F473" s="93">
        <f t="shared" si="2"/>
        <v>727738</v>
      </c>
      <c r="G473" s="92"/>
      <c r="H473" s="98"/>
      <c r="I473" s="98"/>
      <c r="J473" s="98"/>
      <c r="K473" s="98"/>
      <c r="L473" s="98"/>
      <c r="M473" s="92"/>
      <c r="N473" s="98"/>
      <c r="O473" s="98"/>
      <c r="P473" s="98"/>
      <c r="Q473" s="98"/>
      <c r="R473" s="98"/>
      <c r="S473" s="92"/>
    </row>
    <row r="474" ht="15.0" customHeight="1">
      <c r="A474" s="92"/>
      <c r="B474" s="103"/>
      <c r="C474" s="93"/>
      <c r="D474" s="93">
        <f t="shared" si="1"/>
        <v>3249</v>
      </c>
      <c r="E474" s="93"/>
      <c r="F474" s="93">
        <f t="shared" si="2"/>
        <v>727738</v>
      </c>
      <c r="G474" s="92"/>
      <c r="H474" s="98"/>
      <c r="I474" s="98"/>
      <c r="J474" s="98"/>
      <c r="K474" s="98"/>
      <c r="L474" s="98"/>
      <c r="M474" s="92"/>
      <c r="N474" s="98"/>
      <c r="O474" s="98"/>
      <c r="P474" s="98"/>
      <c r="Q474" s="98"/>
      <c r="R474" s="98"/>
      <c r="S474" s="92"/>
    </row>
    <row r="475" ht="15.0" customHeight="1">
      <c r="A475" s="92"/>
      <c r="B475" s="103"/>
      <c r="C475" s="93"/>
      <c r="D475" s="93">
        <f t="shared" si="1"/>
        <v>3249</v>
      </c>
      <c r="E475" s="93"/>
      <c r="F475" s="93">
        <f t="shared" si="2"/>
        <v>727738</v>
      </c>
      <c r="G475" s="92"/>
      <c r="H475" s="98"/>
      <c r="I475" s="98"/>
      <c r="J475" s="98"/>
      <c r="K475" s="98"/>
      <c r="L475" s="98"/>
      <c r="M475" s="92"/>
      <c r="N475" s="98"/>
      <c r="O475" s="98"/>
      <c r="P475" s="98"/>
      <c r="Q475" s="98"/>
      <c r="R475" s="98"/>
      <c r="S475" s="92"/>
    </row>
    <row r="476" ht="15.0" customHeight="1">
      <c r="A476" s="92"/>
      <c r="B476" s="103"/>
      <c r="C476" s="93"/>
      <c r="D476" s="93">
        <f t="shared" si="1"/>
        <v>3249</v>
      </c>
      <c r="E476" s="93"/>
      <c r="F476" s="93">
        <f t="shared" si="2"/>
        <v>727738</v>
      </c>
      <c r="G476" s="92"/>
      <c r="H476" s="98"/>
      <c r="I476" s="98"/>
      <c r="J476" s="98"/>
      <c r="K476" s="98"/>
      <c r="L476" s="98"/>
      <c r="M476" s="92"/>
      <c r="N476" s="98"/>
      <c r="O476" s="98"/>
      <c r="P476" s="98"/>
      <c r="Q476" s="98"/>
      <c r="R476" s="98"/>
      <c r="S476" s="92"/>
    </row>
    <row r="477" ht="15.0" customHeight="1">
      <c r="A477" s="92"/>
      <c r="B477" s="103"/>
      <c r="C477" s="93"/>
      <c r="D477" s="93">
        <f t="shared" si="1"/>
        <v>3249</v>
      </c>
      <c r="E477" s="93"/>
      <c r="F477" s="93">
        <f t="shared" si="2"/>
        <v>727738</v>
      </c>
      <c r="G477" s="92"/>
      <c r="H477" s="98"/>
      <c r="I477" s="98"/>
      <c r="J477" s="98"/>
      <c r="K477" s="98"/>
      <c r="L477" s="98"/>
      <c r="M477" s="92"/>
      <c r="N477" s="98"/>
      <c r="O477" s="98"/>
      <c r="P477" s="98"/>
      <c r="Q477" s="98"/>
      <c r="R477" s="98"/>
      <c r="S477" s="92"/>
    </row>
    <row r="478" ht="15.0" customHeight="1">
      <c r="A478" s="92"/>
      <c r="B478" s="103"/>
      <c r="C478" s="93"/>
      <c r="D478" s="93">
        <f t="shared" si="1"/>
        <v>3249</v>
      </c>
      <c r="E478" s="93"/>
      <c r="F478" s="93">
        <f t="shared" si="2"/>
        <v>727738</v>
      </c>
      <c r="G478" s="92"/>
      <c r="H478" s="98"/>
      <c r="I478" s="98"/>
      <c r="J478" s="98"/>
      <c r="K478" s="98"/>
      <c r="L478" s="98"/>
      <c r="M478" s="92"/>
      <c r="N478" s="98"/>
      <c r="O478" s="98"/>
      <c r="P478" s="98"/>
      <c r="Q478" s="98"/>
      <c r="R478" s="98"/>
      <c r="S478" s="92"/>
    </row>
    <row r="479" ht="15.0" customHeight="1">
      <c r="A479" s="92"/>
      <c r="B479" s="103"/>
      <c r="C479" s="93"/>
      <c r="D479" s="93">
        <f t="shared" si="1"/>
        <v>3249</v>
      </c>
      <c r="E479" s="93"/>
      <c r="F479" s="93">
        <f t="shared" si="2"/>
        <v>727738</v>
      </c>
      <c r="G479" s="92"/>
      <c r="H479" s="98"/>
      <c r="I479" s="98"/>
      <c r="J479" s="98"/>
      <c r="K479" s="98"/>
      <c r="L479" s="98"/>
      <c r="M479" s="92"/>
      <c r="N479" s="98"/>
      <c r="O479" s="98"/>
      <c r="P479" s="98"/>
      <c r="Q479" s="98"/>
      <c r="R479" s="98"/>
      <c r="S479" s="92"/>
    </row>
    <row r="480" ht="15.0" customHeight="1">
      <c r="A480" s="92"/>
      <c r="B480" s="103"/>
      <c r="C480" s="93"/>
      <c r="D480" s="93">
        <f t="shared" si="1"/>
        <v>3249</v>
      </c>
      <c r="E480" s="93"/>
      <c r="F480" s="93">
        <f t="shared" si="2"/>
        <v>727738</v>
      </c>
      <c r="G480" s="92"/>
      <c r="H480" s="98"/>
      <c r="I480" s="98"/>
      <c r="J480" s="98"/>
      <c r="K480" s="98"/>
      <c r="L480" s="98"/>
      <c r="M480" s="92"/>
      <c r="N480" s="98"/>
      <c r="O480" s="98"/>
      <c r="P480" s="98"/>
      <c r="Q480" s="98"/>
      <c r="R480" s="98"/>
      <c r="S480" s="92"/>
    </row>
    <row r="481" ht="15.0" customHeight="1">
      <c r="A481" s="92"/>
      <c r="B481" s="103"/>
      <c r="C481" s="93"/>
      <c r="D481" s="93">
        <f t="shared" si="1"/>
        <v>3249</v>
      </c>
      <c r="E481" s="93"/>
      <c r="F481" s="93">
        <f t="shared" si="2"/>
        <v>727738</v>
      </c>
      <c r="G481" s="92"/>
      <c r="H481" s="98"/>
      <c r="I481" s="98"/>
      <c r="J481" s="98"/>
      <c r="K481" s="98"/>
      <c r="L481" s="98"/>
      <c r="M481" s="92"/>
      <c r="N481" s="98"/>
      <c r="O481" s="98"/>
      <c r="P481" s="98"/>
      <c r="Q481" s="98"/>
      <c r="R481" s="98"/>
      <c r="S481" s="92"/>
    </row>
    <row r="482" ht="15.0" customHeight="1">
      <c r="A482" s="92"/>
      <c r="B482" s="103"/>
      <c r="C482" s="93"/>
      <c r="D482" s="93">
        <f t="shared" si="1"/>
        <v>3249</v>
      </c>
      <c r="E482" s="93"/>
      <c r="F482" s="93">
        <f t="shared" si="2"/>
        <v>727738</v>
      </c>
      <c r="G482" s="92"/>
      <c r="H482" s="98"/>
      <c r="I482" s="98"/>
      <c r="J482" s="98"/>
      <c r="K482" s="98"/>
      <c r="L482" s="98"/>
      <c r="M482" s="92"/>
      <c r="N482" s="98"/>
      <c r="O482" s="98"/>
      <c r="P482" s="98"/>
      <c r="Q482" s="98"/>
      <c r="R482" s="98"/>
      <c r="S482" s="92"/>
    </row>
    <row r="483" ht="15.0" customHeight="1">
      <c r="A483" s="92"/>
      <c r="B483" s="98"/>
      <c r="C483" s="93"/>
      <c r="D483" s="93">
        <f t="shared" si="1"/>
        <v>3249</v>
      </c>
      <c r="E483" s="93"/>
      <c r="F483" s="93">
        <f t="shared" si="2"/>
        <v>727738</v>
      </c>
      <c r="G483" s="92"/>
      <c r="H483" s="98"/>
      <c r="I483" s="98"/>
      <c r="J483" s="98"/>
      <c r="K483" s="98"/>
      <c r="L483" s="98"/>
      <c r="M483" s="92"/>
      <c r="N483" s="98"/>
      <c r="O483" s="98"/>
      <c r="P483" s="98"/>
      <c r="Q483" s="98"/>
      <c r="R483" s="98"/>
      <c r="S483" s="92"/>
    </row>
    <row r="484" ht="15.0" customHeight="1">
      <c r="A484" s="92"/>
      <c r="B484" s="98"/>
      <c r="C484" s="93"/>
      <c r="D484" s="93">
        <f t="shared" si="1"/>
        <v>3249</v>
      </c>
      <c r="E484" s="93"/>
      <c r="F484" s="93">
        <f t="shared" si="2"/>
        <v>727738</v>
      </c>
      <c r="G484" s="92"/>
      <c r="H484" s="98"/>
      <c r="I484" s="98"/>
      <c r="J484" s="98"/>
      <c r="K484" s="98"/>
      <c r="L484" s="98"/>
      <c r="M484" s="92"/>
      <c r="N484" s="98"/>
      <c r="O484" s="98"/>
      <c r="P484" s="98"/>
      <c r="Q484" s="98"/>
      <c r="R484" s="98"/>
      <c r="S484" s="92"/>
    </row>
    <row r="485" ht="15.0" customHeight="1">
      <c r="A485" s="92"/>
      <c r="B485" s="98"/>
      <c r="C485" s="93"/>
      <c r="D485" s="93">
        <f t="shared" si="1"/>
        <v>3249</v>
      </c>
      <c r="E485" s="93"/>
      <c r="F485" s="93">
        <f t="shared" si="2"/>
        <v>727738</v>
      </c>
      <c r="G485" s="92"/>
      <c r="H485" s="98"/>
      <c r="I485" s="98"/>
      <c r="J485" s="98"/>
      <c r="K485" s="98"/>
      <c r="L485" s="98"/>
      <c r="M485" s="92"/>
      <c r="N485" s="98"/>
      <c r="O485" s="98"/>
      <c r="P485" s="98"/>
      <c r="Q485" s="98"/>
      <c r="R485" s="98"/>
      <c r="S485" s="92"/>
    </row>
    <row r="486" ht="15.0" customHeight="1">
      <c r="A486" s="92"/>
      <c r="B486" s="98"/>
      <c r="C486" s="93"/>
      <c r="D486" s="93">
        <f t="shared" si="1"/>
        <v>3249</v>
      </c>
      <c r="E486" s="93"/>
      <c r="F486" s="93">
        <f t="shared" si="2"/>
        <v>727738</v>
      </c>
      <c r="G486" s="92"/>
      <c r="H486" s="98"/>
      <c r="I486" s="98"/>
      <c r="J486" s="98"/>
      <c r="K486" s="98"/>
      <c r="L486" s="98"/>
      <c r="M486" s="92"/>
      <c r="N486" s="98"/>
      <c r="O486" s="98"/>
      <c r="P486" s="98"/>
      <c r="Q486" s="98"/>
      <c r="R486" s="98"/>
      <c r="S486" s="92"/>
    </row>
    <row r="487" ht="15.0" customHeight="1">
      <c r="A487" s="92"/>
      <c r="B487" s="98"/>
      <c r="C487" s="93"/>
      <c r="D487" s="93">
        <f t="shared" si="1"/>
        <v>3249</v>
      </c>
      <c r="E487" s="93"/>
      <c r="F487" s="93">
        <f t="shared" si="2"/>
        <v>727738</v>
      </c>
      <c r="G487" s="92"/>
      <c r="H487" s="98"/>
      <c r="I487" s="98"/>
      <c r="J487" s="98"/>
      <c r="K487" s="98"/>
      <c r="L487" s="98"/>
      <c r="M487" s="92"/>
      <c r="N487" s="98"/>
      <c r="O487" s="98"/>
      <c r="P487" s="98"/>
      <c r="Q487" s="98"/>
      <c r="R487" s="98"/>
      <c r="S487" s="92"/>
    </row>
    <row r="488" ht="15.0" customHeight="1">
      <c r="A488" s="92"/>
      <c r="B488" s="98"/>
      <c r="C488" s="93"/>
      <c r="D488" s="93">
        <f t="shared" si="1"/>
        <v>3249</v>
      </c>
      <c r="E488" s="93"/>
      <c r="F488" s="93">
        <f t="shared" si="2"/>
        <v>727738</v>
      </c>
      <c r="G488" s="92"/>
      <c r="H488" s="98"/>
      <c r="I488" s="98"/>
      <c r="J488" s="98"/>
      <c r="K488" s="98"/>
      <c r="L488" s="98"/>
      <c r="M488" s="92"/>
      <c r="N488" s="98"/>
      <c r="O488" s="98"/>
      <c r="P488" s="98"/>
      <c r="Q488" s="98"/>
      <c r="R488" s="98"/>
      <c r="S488" s="92"/>
    </row>
    <row r="489" ht="15.0" customHeight="1">
      <c r="A489" s="92"/>
      <c r="B489" s="98"/>
      <c r="C489" s="93"/>
      <c r="D489" s="93">
        <f t="shared" si="1"/>
        <v>3249</v>
      </c>
      <c r="E489" s="93"/>
      <c r="F489" s="93">
        <f t="shared" si="2"/>
        <v>727738</v>
      </c>
      <c r="G489" s="92"/>
      <c r="H489" s="98"/>
      <c r="I489" s="98"/>
      <c r="J489" s="98"/>
      <c r="K489" s="98"/>
      <c r="L489" s="98"/>
      <c r="M489" s="92"/>
      <c r="N489" s="98"/>
      <c r="O489" s="98"/>
      <c r="P489" s="98"/>
      <c r="Q489" s="98"/>
      <c r="R489" s="98"/>
      <c r="S489" s="92"/>
    </row>
    <row r="490" ht="15.0" customHeight="1">
      <c r="A490" s="92"/>
      <c r="B490" s="98"/>
      <c r="C490" s="93"/>
      <c r="D490" s="93">
        <f t="shared" si="1"/>
        <v>3249</v>
      </c>
      <c r="E490" s="93"/>
      <c r="F490" s="93">
        <f t="shared" si="2"/>
        <v>727738</v>
      </c>
      <c r="G490" s="92"/>
      <c r="H490" s="98"/>
      <c r="I490" s="98"/>
      <c r="J490" s="98"/>
      <c r="K490" s="98"/>
      <c r="L490" s="98"/>
      <c r="M490" s="92"/>
      <c r="N490" s="98"/>
      <c r="O490" s="98"/>
      <c r="P490" s="98"/>
      <c r="Q490" s="98"/>
      <c r="R490" s="98"/>
      <c r="S490" s="92"/>
    </row>
    <row r="491" ht="15.0" customHeight="1">
      <c r="A491" s="92"/>
      <c r="B491" s="98"/>
      <c r="C491" s="93"/>
      <c r="D491" s="93">
        <f t="shared" si="1"/>
        <v>3249</v>
      </c>
      <c r="E491" s="93"/>
      <c r="F491" s="93">
        <f t="shared" si="2"/>
        <v>727738</v>
      </c>
      <c r="G491" s="92"/>
      <c r="H491" s="98"/>
      <c r="I491" s="98"/>
      <c r="J491" s="98"/>
      <c r="K491" s="98"/>
      <c r="L491" s="98"/>
      <c r="M491" s="92"/>
      <c r="N491" s="98"/>
      <c r="O491" s="98"/>
      <c r="P491" s="98"/>
      <c r="Q491" s="98"/>
      <c r="R491" s="98"/>
      <c r="S491" s="92"/>
    </row>
    <row r="492" ht="15.0" customHeight="1">
      <c r="A492" s="92"/>
      <c r="B492" s="98"/>
      <c r="C492" s="93"/>
      <c r="D492" s="93">
        <f t="shared" si="1"/>
        <v>3249</v>
      </c>
      <c r="E492" s="93"/>
      <c r="F492" s="93">
        <f t="shared" si="2"/>
        <v>727738</v>
      </c>
      <c r="G492" s="92"/>
      <c r="H492" s="98"/>
      <c r="I492" s="98"/>
      <c r="J492" s="98"/>
      <c r="K492" s="98"/>
      <c r="L492" s="98"/>
      <c r="M492" s="92"/>
      <c r="N492" s="98"/>
      <c r="O492" s="98"/>
      <c r="P492" s="98"/>
      <c r="Q492" s="98"/>
      <c r="R492" s="98"/>
      <c r="S492" s="92"/>
    </row>
    <row r="493" ht="15.0" customHeight="1">
      <c r="A493" s="92"/>
      <c r="B493" s="98"/>
      <c r="C493" s="93"/>
      <c r="D493" s="93">
        <f t="shared" si="1"/>
        <v>3249</v>
      </c>
      <c r="E493" s="93"/>
      <c r="F493" s="93">
        <f t="shared" si="2"/>
        <v>727738</v>
      </c>
      <c r="G493" s="92"/>
      <c r="H493" s="98"/>
      <c r="I493" s="98"/>
      <c r="J493" s="98"/>
      <c r="K493" s="98"/>
      <c r="L493" s="98"/>
      <c r="M493" s="92"/>
      <c r="N493" s="98"/>
      <c r="O493" s="98"/>
      <c r="P493" s="98"/>
      <c r="Q493" s="98"/>
      <c r="R493" s="98"/>
      <c r="S493" s="92"/>
    </row>
    <row r="494" ht="15.0" customHeight="1">
      <c r="A494" s="92"/>
      <c r="B494" s="98"/>
      <c r="C494" s="93"/>
      <c r="D494" s="93">
        <f t="shared" si="1"/>
        <v>3249</v>
      </c>
      <c r="E494" s="93"/>
      <c r="F494" s="93">
        <f t="shared" si="2"/>
        <v>727738</v>
      </c>
      <c r="G494" s="92"/>
      <c r="H494" s="98"/>
      <c r="I494" s="98"/>
      <c r="J494" s="98"/>
      <c r="K494" s="98"/>
      <c r="L494" s="98"/>
      <c r="M494" s="92"/>
      <c r="N494" s="98"/>
      <c r="O494" s="98"/>
      <c r="P494" s="98"/>
      <c r="Q494" s="98"/>
      <c r="R494" s="98"/>
      <c r="S494" s="92"/>
    </row>
    <row r="495" ht="15.0" customHeight="1">
      <c r="A495" s="92"/>
      <c r="B495" s="98"/>
      <c r="C495" s="93"/>
      <c r="D495" s="93">
        <f t="shared" si="1"/>
        <v>3249</v>
      </c>
      <c r="E495" s="93"/>
      <c r="F495" s="93">
        <f t="shared" si="2"/>
        <v>727738</v>
      </c>
      <c r="G495" s="92"/>
      <c r="H495" s="98"/>
      <c r="I495" s="98"/>
      <c r="J495" s="98"/>
      <c r="K495" s="98"/>
      <c r="L495" s="98"/>
      <c r="M495" s="92"/>
      <c r="N495" s="98"/>
      <c r="O495" s="98"/>
      <c r="P495" s="98"/>
      <c r="Q495" s="98"/>
      <c r="R495" s="98"/>
      <c r="S495" s="92"/>
    </row>
    <row r="496" ht="15.0" customHeight="1">
      <c r="A496" s="92"/>
      <c r="B496" s="98"/>
      <c r="C496" s="93"/>
      <c r="D496" s="93">
        <f t="shared" si="1"/>
        <v>3249</v>
      </c>
      <c r="E496" s="93"/>
      <c r="F496" s="93">
        <f t="shared" si="2"/>
        <v>727738</v>
      </c>
      <c r="G496" s="92"/>
      <c r="H496" s="98"/>
      <c r="I496" s="98"/>
      <c r="J496" s="98"/>
      <c r="K496" s="98"/>
      <c r="L496" s="98"/>
      <c r="M496" s="92"/>
      <c r="N496" s="98"/>
      <c r="O496" s="98"/>
      <c r="P496" s="98"/>
      <c r="Q496" s="98"/>
      <c r="R496" s="98"/>
      <c r="S496" s="92"/>
    </row>
    <row r="497" ht="15.0" customHeight="1">
      <c r="A497" s="92"/>
      <c r="B497" s="98"/>
      <c r="C497" s="93"/>
      <c r="D497" s="93">
        <f t="shared" si="1"/>
        <v>3249</v>
      </c>
      <c r="E497" s="93"/>
      <c r="F497" s="93">
        <f t="shared" si="2"/>
        <v>727738</v>
      </c>
      <c r="G497" s="92"/>
      <c r="H497" s="98"/>
      <c r="I497" s="98"/>
      <c r="J497" s="98"/>
      <c r="K497" s="98"/>
      <c r="L497" s="98"/>
      <c r="M497" s="92"/>
      <c r="N497" s="98"/>
      <c r="O497" s="98"/>
      <c r="P497" s="98"/>
      <c r="Q497" s="98"/>
      <c r="R497" s="98"/>
      <c r="S497" s="92"/>
    </row>
    <row r="498" ht="15.0" customHeight="1">
      <c r="A498" s="92"/>
      <c r="B498" s="98"/>
      <c r="C498" s="93"/>
      <c r="D498" s="93">
        <f t="shared" si="1"/>
        <v>3249</v>
      </c>
      <c r="E498" s="93"/>
      <c r="F498" s="93">
        <f t="shared" si="2"/>
        <v>727738</v>
      </c>
      <c r="G498" s="92"/>
      <c r="H498" s="98"/>
      <c r="I498" s="98"/>
      <c r="J498" s="98"/>
      <c r="K498" s="98"/>
      <c r="L498" s="98"/>
      <c r="M498" s="92"/>
      <c r="N498" s="98"/>
      <c r="O498" s="98"/>
      <c r="P498" s="98"/>
      <c r="Q498" s="98"/>
      <c r="R498" s="98"/>
      <c r="S498" s="92"/>
    </row>
    <row r="499" ht="15.0" customHeight="1">
      <c r="A499" s="92"/>
      <c r="B499" s="98"/>
      <c r="C499" s="93"/>
      <c r="D499" s="93">
        <f t="shared" si="1"/>
        <v>3249</v>
      </c>
      <c r="E499" s="93"/>
      <c r="F499" s="93">
        <f t="shared" si="2"/>
        <v>727738</v>
      </c>
      <c r="G499" s="92"/>
      <c r="H499" s="98"/>
      <c r="I499" s="98"/>
      <c r="J499" s="98"/>
      <c r="K499" s="98"/>
      <c r="L499" s="98"/>
      <c r="M499" s="92"/>
      <c r="N499" s="98"/>
      <c r="O499" s="98"/>
      <c r="P499" s="98"/>
      <c r="Q499" s="98"/>
      <c r="R499" s="98"/>
      <c r="S499" s="92"/>
    </row>
    <row r="500" ht="15.0" customHeight="1">
      <c r="A500" s="92"/>
      <c r="B500" s="98"/>
      <c r="C500" s="93"/>
      <c r="D500" s="93">
        <f t="shared" si="1"/>
        <v>3249</v>
      </c>
      <c r="E500" s="93"/>
      <c r="F500" s="93">
        <f t="shared" si="2"/>
        <v>727738</v>
      </c>
      <c r="G500" s="92"/>
      <c r="H500" s="98"/>
      <c r="I500" s="98"/>
      <c r="J500" s="98"/>
      <c r="K500" s="98"/>
      <c r="L500" s="98"/>
      <c r="M500" s="92"/>
      <c r="N500" s="98"/>
      <c r="O500" s="98"/>
      <c r="P500" s="98"/>
      <c r="Q500" s="98"/>
      <c r="R500" s="98"/>
      <c r="S500" s="92"/>
    </row>
    <row r="501" ht="15.0" customHeight="1">
      <c r="A501" s="92"/>
      <c r="B501" s="98"/>
      <c r="C501" s="93"/>
      <c r="D501" s="93">
        <f t="shared" si="1"/>
        <v>3249</v>
      </c>
      <c r="E501" s="93"/>
      <c r="F501" s="93">
        <f t="shared" si="2"/>
        <v>727738</v>
      </c>
      <c r="G501" s="92"/>
      <c r="H501" s="98"/>
      <c r="I501" s="98"/>
      <c r="J501" s="98"/>
      <c r="K501" s="98"/>
      <c r="L501" s="98"/>
      <c r="M501" s="92"/>
      <c r="N501" s="98"/>
      <c r="O501" s="98"/>
      <c r="P501" s="98"/>
      <c r="Q501" s="98"/>
      <c r="R501" s="98"/>
      <c r="S501" s="92"/>
    </row>
    <row r="502" ht="15.0" customHeight="1">
      <c r="A502" s="92"/>
      <c r="B502" s="98"/>
      <c r="C502" s="93"/>
      <c r="D502" s="93">
        <f t="shared" si="1"/>
        <v>3249</v>
      </c>
      <c r="E502" s="93"/>
      <c r="F502" s="93">
        <f t="shared" si="2"/>
        <v>727738</v>
      </c>
      <c r="G502" s="92"/>
      <c r="H502" s="98"/>
      <c r="I502" s="98"/>
      <c r="J502" s="98"/>
      <c r="K502" s="98"/>
      <c r="L502" s="98"/>
      <c r="M502" s="92"/>
      <c r="N502" s="98"/>
      <c r="O502" s="98"/>
      <c r="P502" s="98"/>
      <c r="Q502" s="98"/>
      <c r="R502" s="98"/>
      <c r="S502" s="92"/>
    </row>
    <row r="503" ht="15.0" customHeight="1">
      <c r="A503" s="92"/>
      <c r="B503" s="98"/>
      <c r="C503" s="93"/>
      <c r="D503" s="93">
        <f t="shared" si="1"/>
        <v>3249</v>
      </c>
      <c r="E503" s="93"/>
      <c r="F503" s="93">
        <f t="shared" si="2"/>
        <v>727738</v>
      </c>
      <c r="G503" s="92"/>
      <c r="H503" s="98"/>
      <c r="I503" s="98"/>
      <c r="J503" s="98"/>
      <c r="K503" s="98"/>
      <c r="L503" s="98"/>
      <c r="M503" s="92"/>
      <c r="N503" s="98"/>
      <c r="O503" s="98"/>
      <c r="P503" s="98"/>
      <c r="Q503" s="98"/>
      <c r="R503" s="98"/>
      <c r="S503" s="92"/>
    </row>
    <row r="504" ht="15.0" customHeight="1">
      <c r="A504" s="92"/>
      <c r="B504" s="98"/>
      <c r="C504" s="93"/>
      <c r="D504" s="93">
        <f t="shared" si="1"/>
        <v>3249</v>
      </c>
      <c r="E504" s="93"/>
      <c r="F504" s="93">
        <f t="shared" si="2"/>
        <v>727738</v>
      </c>
      <c r="G504" s="92"/>
      <c r="H504" s="98"/>
      <c r="I504" s="98"/>
      <c r="J504" s="98"/>
      <c r="K504" s="98"/>
      <c r="L504" s="98"/>
      <c r="M504" s="92"/>
      <c r="N504" s="98"/>
      <c r="O504" s="98"/>
      <c r="P504" s="98"/>
      <c r="Q504" s="98"/>
      <c r="R504" s="98"/>
      <c r="S504" s="92"/>
    </row>
    <row r="505" ht="15.0" customHeight="1">
      <c r="A505" s="92"/>
      <c r="B505" s="98"/>
      <c r="C505" s="93"/>
      <c r="D505" s="93">
        <f t="shared" si="1"/>
        <v>3249</v>
      </c>
      <c r="E505" s="93"/>
      <c r="F505" s="93">
        <f t="shared" si="2"/>
        <v>727738</v>
      </c>
      <c r="G505" s="92"/>
      <c r="H505" s="98"/>
      <c r="I505" s="98"/>
      <c r="J505" s="98"/>
      <c r="K505" s="98"/>
      <c r="L505" s="98"/>
      <c r="M505" s="92"/>
      <c r="N505" s="98"/>
      <c r="O505" s="98"/>
      <c r="P505" s="98"/>
      <c r="Q505" s="98"/>
      <c r="R505" s="98"/>
      <c r="S505" s="92"/>
    </row>
    <row r="506" ht="15.0" customHeight="1">
      <c r="A506" s="92"/>
      <c r="B506" s="98"/>
      <c r="C506" s="93"/>
      <c r="D506" s="93">
        <f t="shared" si="1"/>
        <v>3249</v>
      </c>
      <c r="E506" s="93"/>
      <c r="F506" s="93">
        <f t="shared" si="2"/>
        <v>727738</v>
      </c>
      <c r="G506" s="92"/>
      <c r="H506" s="98"/>
      <c r="I506" s="98"/>
      <c r="J506" s="98"/>
      <c r="K506" s="98"/>
      <c r="L506" s="98"/>
      <c r="M506" s="92"/>
      <c r="N506" s="98"/>
      <c r="O506" s="98"/>
      <c r="P506" s="98"/>
      <c r="Q506" s="98"/>
      <c r="R506" s="98"/>
      <c r="S506" s="92"/>
    </row>
    <row r="507" ht="15.0" customHeight="1">
      <c r="A507" s="92"/>
      <c r="B507" s="98"/>
      <c r="C507" s="93"/>
      <c r="D507" s="93">
        <f t="shared" si="1"/>
        <v>3249</v>
      </c>
      <c r="E507" s="93"/>
      <c r="F507" s="93">
        <f t="shared" si="2"/>
        <v>727738</v>
      </c>
      <c r="G507" s="92"/>
      <c r="H507" s="98"/>
      <c r="I507" s="98"/>
      <c r="J507" s="98"/>
      <c r="K507" s="98"/>
      <c r="L507" s="98"/>
      <c r="M507" s="92"/>
      <c r="N507" s="98"/>
      <c r="O507" s="98"/>
      <c r="P507" s="98"/>
      <c r="Q507" s="98"/>
      <c r="R507" s="98"/>
      <c r="S507" s="92"/>
    </row>
    <row r="508" ht="15.0" customHeight="1">
      <c r="A508" s="92"/>
      <c r="B508" s="98"/>
      <c r="C508" s="93"/>
      <c r="D508" s="93">
        <f t="shared" si="1"/>
        <v>3249</v>
      </c>
      <c r="E508" s="93"/>
      <c r="F508" s="93">
        <f t="shared" si="2"/>
        <v>727738</v>
      </c>
      <c r="G508" s="92"/>
      <c r="H508" s="98"/>
      <c r="I508" s="98"/>
      <c r="J508" s="98"/>
      <c r="K508" s="98"/>
      <c r="L508" s="98"/>
      <c r="M508" s="92"/>
      <c r="N508" s="98"/>
      <c r="O508" s="98"/>
      <c r="P508" s="98"/>
      <c r="Q508" s="98"/>
      <c r="R508" s="98"/>
      <c r="S508" s="92"/>
    </row>
    <row r="509" ht="15.0" customHeight="1">
      <c r="A509" s="92"/>
      <c r="B509" s="98"/>
      <c r="C509" s="93"/>
      <c r="D509" s="93">
        <f t="shared" si="1"/>
        <v>3249</v>
      </c>
      <c r="E509" s="93"/>
      <c r="F509" s="93">
        <f t="shared" si="2"/>
        <v>727738</v>
      </c>
      <c r="G509" s="92"/>
      <c r="H509" s="98"/>
      <c r="I509" s="98"/>
      <c r="J509" s="98"/>
      <c r="K509" s="98"/>
      <c r="L509" s="98"/>
      <c r="M509" s="92"/>
      <c r="N509" s="98"/>
      <c r="O509" s="98"/>
      <c r="P509" s="98"/>
      <c r="Q509" s="98"/>
      <c r="R509" s="98"/>
      <c r="S509" s="92"/>
    </row>
    <row r="510" ht="15.0" customHeight="1">
      <c r="A510" s="92"/>
      <c r="B510" s="98"/>
      <c r="C510" s="93"/>
      <c r="D510" s="93">
        <f t="shared" si="1"/>
        <v>3249</v>
      </c>
      <c r="E510" s="93"/>
      <c r="F510" s="93">
        <f t="shared" si="2"/>
        <v>727738</v>
      </c>
      <c r="G510" s="92"/>
      <c r="H510" s="98"/>
      <c r="I510" s="98"/>
      <c r="J510" s="98"/>
      <c r="K510" s="98"/>
      <c r="L510" s="98"/>
      <c r="M510" s="92"/>
      <c r="N510" s="98"/>
      <c r="O510" s="98"/>
      <c r="P510" s="98"/>
      <c r="Q510" s="98"/>
      <c r="R510" s="98"/>
      <c r="S510" s="92"/>
    </row>
    <row r="511" ht="15.0" customHeight="1">
      <c r="A511" s="92"/>
      <c r="B511" s="98"/>
      <c r="C511" s="93"/>
      <c r="D511" s="93">
        <f t="shared" si="1"/>
        <v>3249</v>
      </c>
      <c r="E511" s="93"/>
      <c r="F511" s="93">
        <f t="shared" si="2"/>
        <v>727738</v>
      </c>
      <c r="G511" s="92"/>
      <c r="H511" s="98"/>
      <c r="I511" s="98"/>
      <c r="J511" s="98"/>
      <c r="K511" s="98"/>
      <c r="L511" s="98"/>
      <c r="M511" s="92"/>
      <c r="N511" s="98"/>
      <c r="O511" s="98"/>
      <c r="P511" s="98"/>
      <c r="Q511" s="98"/>
      <c r="R511" s="98"/>
      <c r="S511" s="92"/>
    </row>
    <row r="512" ht="15.0" customHeight="1">
      <c r="A512" s="92"/>
      <c r="B512" s="98"/>
      <c r="C512" s="93"/>
      <c r="D512" s="93">
        <f t="shared" si="1"/>
        <v>3249</v>
      </c>
      <c r="E512" s="93"/>
      <c r="F512" s="93">
        <f t="shared" si="2"/>
        <v>727738</v>
      </c>
      <c r="G512" s="92"/>
      <c r="H512" s="98"/>
      <c r="I512" s="98"/>
      <c r="J512" s="98"/>
      <c r="K512" s="98"/>
      <c r="L512" s="98"/>
      <c r="M512" s="92"/>
      <c r="N512" s="98"/>
      <c r="O512" s="98"/>
      <c r="P512" s="98"/>
      <c r="Q512" s="98"/>
      <c r="R512" s="98"/>
      <c r="S512" s="92"/>
    </row>
    <row r="513" ht="15.0" customHeight="1">
      <c r="A513" s="92"/>
      <c r="B513" s="98"/>
      <c r="C513" s="93"/>
      <c r="D513" s="93">
        <f t="shared" si="1"/>
        <v>3249</v>
      </c>
      <c r="E513" s="93"/>
      <c r="F513" s="93">
        <f t="shared" si="2"/>
        <v>727738</v>
      </c>
      <c r="G513" s="92"/>
      <c r="H513" s="98"/>
      <c r="I513" s="98"/>
      <c r="J513" s="98"/>
      <c r="K513" s="98"/>
      <c r="L513" s="98"/>
      <c r="M513" s="92"/>
      <c r="N513" s="98"/>
      <c r="O513" s="98"/>
      <c r="P513" s="98"/>
      <c r="Q513" s="98"/>
      <c r="R513" s="98"/>
      <c r="S513" s="92"/>
    </row>
    <row r="514" ht="15.0" customHeight="1">
      <c r="A514" s="92"/>
      <c r="B514" s="98"/>
      <c r="C514" s="93"/>
      <c r="D514" s="93">
        <f t="shared" si="1"/>
        <v>3249</v>
      </c>
      <c r="E514" s="93"/>
      <c r="F514" s="93">
        <f t="shared" si="2"/>
        <v>727738</v>
      </c>
      <c r="G514" s="92"/>
      <c r="H514" s="98"/>
      <c r="I514" s="98"/>
      <c r="J514" s="98"/>
      <c r="K514" s="98"/>
      <c r="L514" s="98"/>
      <c r="M514" s="92"/>
      <c r="N514" s="98"/>
      <c r="O514" s="98"/>
      <c r="P514" s="98"/>
      <c r="Q514" s="98"/>
      <c r="R514" s="98"/>
      <c r="S514" s="92"/>
    </row>
    <row r="515" ht="15.0" customHeight="1">
      <c r="A515" s="92"/>
      <c r="B515" s="98"/>
      <c r="C515" s="93"/>
      <c r="D515" s="93">
        <f t="shared" si="1"/>
        <v>3249</v>
      </c>
      <c r="E515" s="93"/>
      <c r="F515" s="93">
        <f t="shared" si="2"/>
        <v>727738</v>
      </c>
      <c r="G515" s="92"/>
      <c r="H515" s="98"/>
      <c r="I515" s="98"/>
      <c r="J515" s="98"/>
      <c r="K515" s="98"/>
      <c r="L515" s="98"/>
      <c r="M515" s="92"/>
      <c r="N515" s="98"/>
      <c r="O515" s="98"/>
      <c r="P515" s="98"/>
      <c r="Q515" s="98"/>
      <c r="R515" s="98"/>
      <c r="S515" s="92"/>
    </row>
    <row r="516" ht="15.0" customHeight="1">
      <c r="A516" s="92"/>
      <c r="B516" s="98"/>
      <c r="C516" s="93"/>
      <c r="D516" s="93">
        <f t="shared" si="1"/>
        <v>3249</v>
      </c>
      <c r="E516" s="93"/>
      <c r="F516" s="93">
        <f t="shared" si="2"/>
        <v>727738</v>
      </c>
      <c r="G516" s="92"/>
      <c r="H516" s="98"/>
      <c r="I516" s="98"/>
      <c r="J516" s="98"/>
      <c r="K516" s="98"/>
      <c r="L516" s="98"/>
      <c r="M516" s="92"/>
      <c r="N516" s="98"/>
      <c r="O516" s="98"/>
      <c r="P516" s="98"/>
      <c r="Q516" s="98"/>
      <c r="R516" s="98"/>
      <c r="S516" s="92"/>
    </row>
    <row r="517" ht="15.0" customHeight="1">
      <c r="A517" s="92"/>
      <c r="B517" s="98"/>
      <c r="C517" s="93"/>
      <c r="D517" s="93">
        <f t="shared" si="1"/>
        <v>3249</v>
      </c>
      <c r="E517" s="93"/>
      <c r="F517" s="93">
        <f t="shared" si="2"/>
        <v>727738</v>
      </c>
      <c r="G517" s="92"/>
      <c r="H517" s="98"/>
      <c r="I517" s="98"/>
      <c r="J517" s="98"/>
      <c r="K517" s="98"/>
      <c r="L517" s="98"/>
      <c r="M517" s="92"/>
      <c r="N517" s="98"/>
      <c r="O517" s="98"/>
      <c r="P517" s="98"/>
      <c r="Q517" s="98"/>
      <c r="R517" s="98"/>
      <c r="S517" s="92"/>
    </row>
    <row r="518" ht="15.0" customHeight="1">
      <c r="A518" s="92"/>
      <c r="B518" s="98"/>
      <c r="C518" s="93"/>
      <c r="D518" s="93">
        <f t="shared" si="1"/>
        <v>3249</v>
      </c>
      <c r="E518" s="93"/>
      <c r="F518" s="93">
        <f t="shared" si="2"/>
        <v>727738</v>
      </c>
      <c r="G518" s="92"/>
      <c r="H518" s="98"/>
      <c r="I518" s="98"/>
      <c r="J518" s="98"/>
      <c r="K518" s="98"/>
      <c r="L518" s="98"/>
      <c r="M518" s="92"/>
      <c r="N518" s="98"/>
      <c r="O518" s="98"/>
      <c r="P518" s="98"/>
      <c r="Q518" s="98"/>
      <c r="R518" s="98"/>
      <c r="S518" s="92"/>
    </row>
    <row r="519" ht="15.0" customHeight="1">
      <c r="A519" s="92"/>
      <c r="B519" s="98"/>
      <c r="C519" s="93"/>
      <c r="D519" s="93">
        <f t="shared" si="1"/>
        <v>3249</v>
      </c>
      <c r="E519" s="93"/>
      <c r="F519" s="93">
        <f t="shared" si="2"/>
        <v>727738</v>
      </c>
      <c r="G519" s="92"/>
      <c r="H519" s="98"/>
      <c r="I519" s="98"/>
      <c r="J519" s="98"/>
      <c r="K519" s="98"/>
      <c r="L519" s="98"/>
      <c r="M519" s="92"/>
      <c r="N519" s="98"/>
      <c r="O519" s="98"/>
      <c r="P519" s="98"/>
      <c r="Q519" s="98"/>
      <c r="R519" s="98"/>
      <c r="S519" s="92"/>
    </row>
    <row r="520" ht="15.0" customHeight="1">
      <c r="A520" s="92"/>
      <c r="B520" s="98"/>
      <c r="C520" s="93"/>
      <c r="D520" s="93">
        <f t="shared" si="1"/>
        <v>3249</v>
      </c>
      <c r="E520" s="93"/>
      <c r="F520" s="93">
        <f t="shared" si="2"/>
        <v>727738</v>
      </c>
      <c r="G520" s="92"/>
      <c r="H520" s="98"/>
      <c r="I520" s="98"/>
      <c r="J520" s="98"/>
      <c r="K520" s="98"/>
      <c r="L520" s="98"/>
      <c r="M520" s="92"/>
      <c r="N520" s="98"/>
      <c r="O520" s="98"/>
      <c r="P520" s="98"/>
      <c r="Q520" s="98"/>
      <c r="R520" s="98"/>
      <c r="S520" s="92"/>
    </row>
    <row r="521" ht="15.0" customHeight="1">
      <c r="A521" s="92"/>
      <c r="B521" s="98"/>
      <c r="C521" s="93"/>
      <c r="D521" s="93">
        <f t="shared" si="1"/>
        <v>3249</v>
      </c>
      <c r="E521" s="93"/>
      <c r="F521" s="93">
        <f t="shared" si="2"/>
        <v>727738</v>
      </c>
      <c r="G521" s="92"/>
      <c r="H521" s="98"/>
      <c r="I521" s="98"/>
      <c r="J521" s="98"/>
      <c r="K521" s="98"/>
      <c r="L521" s="98"/>
      <c r="M521" s="92"/>
      <c r="N521" s="98"/>
      <c r="O521" s="98"/>
      <c r="P521" s="98"/>
      <c r="Q521" s="98"/>
      <c r="R521" s="98"/>
      <c r="S521" s="92"/>
    </row>
    <row r="522" ht="15.0" customHeight="1">
      <c r="A522" s="92"/>
      <c r="B522" s="98"/>
      <c r="C522" s="93"/>
      <c r="D522" s="93">
        <f t="shared" si="1"/>
        <v>3249</v>
      </c>
      <c r="E522" s="93"/>
      <c r="F522" s="93">
        <f t="shared" si="2"/>
        <v>727738</v>
      </c>
      <c r="G522" s="92"/>
      <c r="H522" s="98"/>
      <c r="I522" s="98"/>
      <c r="J522" s="98"/>
      <c r="K522" s="98"/>
      <c r="L522" s="98"/>
      <c r="M522" s="92"/>
      <c r="N522" s="98"/>
      <c r="O522" s="98"/>
      <c r="P522" s="98"/>
      <c r="Q522" s="98"/>
      <c r="R522" s="98"/>
      <c r="S522" s="92"/>
    </row>
    <row r="523" ht="15.0" customHeight="1">
      <c r="A523" s="92"/>
      <c r="B523" s="98"/>
      <c r="C523" s="93"/>
      <c r="D523" s="93">
        <f t="shared" si="1"/>
        <v>3249</v>
      </c>
      <c r="E523" s="93"/>
      <c r="F523" s="93">
        <f t="shared" si="2"/>
        <v>727738</v>
      </c>
      <c r="G523" s="92"/>
      <c r="H523" s="98"/>
      <c r="I523" s="98"/>
      <c r="J523" s="98"/>
      <c r="K523" s="98"/>
      <c r="L523" s="98"/>
      <c r="M523" s="92"/>
      <c r="N523" s="98"/>
      <c r="O523" s="98"/>
      <c r="P523" s="98"/>
      <c r="Q523" s="98"/>
      <c r="R523" s="98"/>
      <c r="S523" s="92"/>
    </row>
    <row r="524" ht="15.0" customHeight="1">
      <c r="A524" s="92"/>
      <c r="B524" s="98"/>
      <c r="C524" s="93"/>
      <c r="D524" s="93">
        <f t="shared" si="1"/>
        <v>3249</v>
      </c>
      <c r="E524" s="93"/>
      <c r="F524" s="93">
        <f t="shared" si="2"/>
        <v>727738</v>
      </c>
      <c r="G524" s="92"/>
      <c r="H524" s="98"/>
      <c r="I524" s="98"/>
      <c r="J524" s="98"/>
      <c r="K524" s="98"/>
      <c r="L524" s="98"/>
      <c r="M524" s="92"/>
      <c r="N524" s="98"/>
      <c r="O524" s="98"/>
      <c r="P524" s="98"/>
      <c r="Q524" s="98"/>
      <c r="R524" s="98"/>
      <c r="S524" s="92"/>
    </row>
    <row r="525" ht="15.0" customHeight="1">
      <c r="A525" s="92"/>
      <c r="B525" s="98"/>
      <c r="C525" s="93"/>
      <c r="D525" s="93">
        <f t="shared" si="1"/>
        <v>3249</v>
      </c>
      <c r="E525" s="93"/>
      <c r="F525" s="93">
        <f t="shared" si="2"/>
        <v>727738</v>
      </c>
      <c r="G525" s="92"/>
      <c r="H525" s="98"/>
      <c r="I525" s="98"/>
      <c r="J525" s="98"/>
      <c r="K525" s="98"/>
      <c r="L525" s="98"/>
      <c r="M525" s="92"/>
      <c r="N525" s="98"/>
      <c r="O525" s="98"/>
      <c r="P525" s="98"/>
      <c r="Q525" s="98"/>
      <c r="R525" s="98"/>
      <c r="S525" s="92"/>
    </row>
    <row r="526" ht="15.0" customHeight="1">
      <c r="A526" s="92"/>
      <c r="B526" s="98"/>
      <c r="C526" s="93"/>
      <c r="D526" s="93">
        <f t="shared" si="1"/>
        <v>3249</v>
      </c>
      <c r="E526" s="93"/>
      <c r="F526" s="93">
        <f t="shared" si="2"/>
        <v>727738</v>
      </c>
      <c r="G526" s="92"/>
      <c r="H526" s="98"/>
      <c r="I526" s="98"/>
      <c r="J526" s="98"/>
      <c r="K526" s="98"/>
      <c r="L526" s="98"/>
      <c r="M526" s="92"/>
      <c r="N526" s="98"/>
      <c r="O526" s="98"/>
      <c r="P526" s="98"/>
      <c r="Q526" s="98"/>
      <c r="R526" s="98"/>
      <c r="S526" s="92"/>
    </row>
    <row r="527" ht="15.0" customHeight="1">
      <c r="A527" s="92"/>
      <c r="B527" s="98"/>
      <c r="C527" s="93"/>
      <c r="D527" s="93">
        <f t="shared" si="1"/>
        <v>3249</v>
      </c>
      <c r="E527" s="93"/>
      <c r="F527" s="93">
        <f t="shared" si="2"/>
        <v>727738</v>
      </c>
      <c r="G527" s="92"/>
      <c r="H527" s="98"/>
      <c r="I527" s="98"/>
      <c r="J527" s="98"/>
      <c r="K527" s="98"/>
      <c r="L527" s="98"/>
      <c r="M527" s="92"/>
      <c r="N527" s="98"/>
      <c r="O527" s="98"/>
      <c r="P527" s="98"/>
      <c r="Q527" s="98"/>
      <c r="R527" s="98"/>
      <c r="S527" s="92"/>
    </row>
    <row r="528" ht="15.0" customHeight="1">
      <c r="A528" s="92"/>
      <c r="B528" s="98"/>
      <c r="C528" s="93"/>
      <c r="D528" s="93">
        <f t="shared" si="1"/>
        <v>3249</v>
      </c>
      <c r="E528" s="93"/>
      <c r="F528" s="93">
        <f t="shared" si="2"/>
        <v>727738</v>
      </c>
      <c r="G528" s="92"/>
      <c r="H528" s="98"/>
      <c r="I528" s="98"/>
      <c r="J528" s="98"/>
      <c r="K528" s="98"/>
      <c r="L528" s="98"/>
      <c r="M528" s="92"/>
      <c r="N528" s="98"/>
      <c r="O528" s="98"/>
      <c r="P528" s="98"/>
      <c r="Q528" s="98"/>
      <c r="R528" s="98"/>
      <c r="S528" s="92"/>
    </row>
    <row r="529" ht="15.0" customHeight="1">
      <c r="A529" s="92"/>
      <c r="B529" s="98"/>
      <c r="C529" s="93"/>
      <c r="D529" s="93">
        <f t="shared" si="1"/>
        <v>3249</v>
      </c>
      <c r="E529" s="93"/>
      <c r="F529" s="93">
        <f t="shared" si="2"/>
        <v>727738</v>
      </c>
      <c r="G529" s="92"/>
      <c r="H529" s="98"/>
      <c r="I529" s="98"/>
      <c r="J529" s="98"/>
      <c r="K529" s="98"/>
      <c r="L529" s="98"/>
      <c r="M529" s="92"/>
      <c r="N529" s="98"/>
      <c r="O529" s="98"/>
      <c r="P529" s="98"/>
      <c r="Q529" s="98"/>
      <c r="R529" s="98"/>
      <c r="S529" s="92"/>
    </row>
    <row r="530" ht="15.0" customHeight="1">
      <c r="A530" s="92"/>
      <c r="B530" s="98"/>
      <c r="C530" s="93"/>
      <c r="D530" s="93">
        <f t="shared" si="1"/>
        <v>3249</v>
      </c>
      <c r="E530" s="93"/>
      <c r="F530" s="93">
        <f t="shared" si="2"/>
        <v>727738</v>
      </c>
      <c r="G530" s="92"/>
      <c r="H530" s="98"/>
      <c r="I530" s="98"/>
      <c r="J530" s="98"/>
      <c r="K530" s="98"/>
      <c r="L530" s="98"/>
      <c r="M530" s="92"/>
      <c r="N530" s="98"/>
      <c r="O530" s="98"/>
      <c r="P530" s="98"/>
      <c r="Q530" s="98"/>
      <c r="R530" s="98"/>
      <c r="S530" s="92"/>
    </row>
    <row r="531" ht="15.0" customHeight="1">
      <c r="A531" s="92"/>
      <c r="B531" s="98"/>
      <c r="C531" s="93"/>
      <c r="D531" s="93">
        <f t="shared" si="1"/>
        <v>3249</v>
      </c>
      <c r="E531" s="93"/>
      <c r="F531" s="93">
        <f t="shared" si="2"/>
        <v>727738</v>
      </c>
      <c r="G531" s="92"/>
      <c r="H531" s="98"/>
      <c r="I531" s="98"/>
      <c r="J531" s="98"/>
      <c r="K531" s="98"/>
      <c r="L531" s="98"/>
      <c r="M531" s="92"/>
      <c r="N531" s="98"/>
      <c r="O531" s="98"/>
      <c r="P531" s="98"/>
      <c r="Q531" s="98"/>
      <c r="R531" s="98"/>
      <c r="S531" s="92"/>
    </row>
    <row r="532" ht="15.0" customHeight="1">
      <c r="A532" s="92"/>
      <c r="B532" s="98"/>
      <c r="C532" s="93"/>
      <c r="D532" s="93">
        <f t="shared" si="1"/>
        <v>3249</v>
      </c>
      <c r="E532" s="93"/>
      <c r="F532" s="93">
        <f t="shared" si="2"/>
        <v>727738</v>
      </c>
      <c r="G532" s="92"/>
      <c r="H532" s="98"/>
      <c r="I532" s="98"/>
      <c r="J532" s="98"/>
      <c r="K532" s="98"/>
      <c r="L532" s="98"/>
      <c r="M532" s="92"/>
      <c r="N532" s="98"/>
      <c r="O532" s="98"/>
      <c r="P532" s="98"/>
      <c r="Q532" s="98"/>
      <c r="R532" s="98"/>
      <c r="S532" s="92"/>
    </row>
    <row r="533" ht="15.0" customHeight="1">
      <c r="A533" s="92"/>
      <c r="B533" s="98"/>
      <c r="C533" s="93"/>
      <c r="D533" s="93">
        <f t="shared" si="1"/>
        <v>3249</v>
      </c>
      <c r="E533" s="93"/>
      <c r="F533" s="93">
        <f t="shared" si="2"/>
        <v>727738</v>
      </c>
      <c r="G533" s="92"/>
      <c r="H533" s="98"/>
      <c r="I533" s="98"/>
      <c r="J533" s="98"/>
      <c r="K533" s="98"/>
      <c r="L533" s="98"/>
      <c r="M533" s="92"/>
      <c r="N533" s="98"/>
      <c r="O533" s="98"/>
      <c r="P533" s="98"/>
      <c r="Q533" s="98"/>
      <c r="R533" s="98"/>
      <c r="S533" s="92"/>
    </row>
    <row r="534" ht="15.0" customHeight="1">
      <c r="A534" s="92"/>
      <c r="B534" s="98"/>
      <c r="C534" s="93"/>
      <c r="D534" s="93">
        <f t="shared" si="1"/>
        <v>3249</v>
      </c>
      <c r="E534" s="93"/>
      <c r="F534" s="93">
        <f t="shared" si="2"/>
        <v>727738</v>
      </c>
      <c r="G534" s="92"/>
      <c r="H534" s="98"/>
      <c r="I534" s="98"/>
      <c r="J534" s="98"/>
      <c r="K534" s="98"/>
      <c r="L534" s="98"/>
      <c r="M534" s="92"/>
      <c r="N534" s="98"/>
      <c r="O534" s="98"/>
      <c r="P534" s="98"/>
      <c r="Q534" s="98"/>
      <c r="R534" s="98"/>
      <c r="S534" s="92"/>
    </row>
    <row r="535" ht="15.0" customHeight="1">
      <c r="A535" s="92"/>
      <c r="B535" s="98"/>
      <c r="C535" s="93"/>
      <c r="D535" s="93">
        <f t="shared" si="1"/>
        <v>3249</v>
      </c>
      <c r="E535" s="93"/>
      <c r="F535" s="93">
        <f t="shared" si="2"/>
        <v>727738</v>
      </c>
      <c r="G535" s="92"/>
      <c r="H535" s="98"/>
      <c r="I535" s="98"/>
      <c r="J535" s="98"/>
      <c r="K535" s="98"/>
      <c r="L535" s="98"/>
      <c r="M535" s="92"/>
      <c r="N535" s="98"/>
      <c r="O535" s="98"/>
      <c r="P535" s="98"/>
      <c r="Q535" s="98"/>
      <c r="R535" s="98"/>
      <c r="S535" s="92"/>
    </row>
    <row r="536" ht="15.0" customHeight="1">
      <c r="A536" s="92"/>
      <c r="B536" s="98"/>
      <c r="C536" s="93"/>
      <c r="D536" s="93">
        <f t="shared" si="1"/>
        <v>3249</v>
      </c>
      <c r="E536" s="93"/>
      <c r="F536" s="93">
        <f t="shared" si="2"/>
        <v>727738</v>
      </c>
      <c r="G536" s="92"/>
      <c r="H536" s="98"/>
      <c r="I536" s="98"/>
      <c r="J536" s="98"/>
      <c r="K536" s="98"/>
      <c r="L536" s="98"/>
      <c r="M536" s="92"/>
      <c r="N536" s="98"/>
      <c r="O536" s="98"/>
      <c r="P536" s="98"/>
      <c r="Q536" s="98"/>
      <c r="R536" s="98"/>
      <c r="S536" s="92"/>
    </row>
    <row r="537" ht="15.0" customHeight="1">
      <c r="A537" s="92"/>
      <c r="B537" s="98"/>
      <c r="C537" s="93"/>
      <c r="D537" s="93">
        <f t="shared" si="1"/>
        <v>3249</v>
      </c>
      <c r="E537" s="93"/>
      <c r="F537" s="93">
        <f t="shared" si="2"/>
        <v>727738</v>
      </c>
      <c r="G537" s="92"/>
      <c r="H537" s="98"/>
      <c r="I537" s="98"/>
      <c r="J537" s="98"/>
      <c r="K537" s="98"/>
      <c r="L537" s="98"/>
      <c r="M537" s="92"/>
      <c r="N537" s="98"/>
      <c r="O537" s="98"/>
      <c r="P537" s="98"/>
      <c r="Q537" s="98"/>
      <c r="R537" s="98"/>
      <c r="S537" s="92"/>
    </row>
    <row r="538" ht="15.0" customHeight="1">
      <c r="A538" s="92"/>
      <c r="B538" s="98"/>
      <c r="C538" s="93"/>
      <c r="D538" s="93">
        <f t="shared" si="1"/>
        <v>3249</v>
      </c>
      <c r="E538" s="93"/>
      <c r="F538" s="93">
        <f t="shared" si="2"/>
        <v>727738</v>
      </c>
      <c r="G538" s="92"/>
      <c r="H538" s="98"/>
      <c r="I538" s="98"/>
      <c r="J538" s="98"/>
      <c r="K538" s="98"/>
      <c r="L538" s="98"/>
      <c r="M538" s="92"/>
      <c r="N538" s="98"/>
      <c r="O538" s="98"/>
      <c r="P538" s="98"/>
      <c r="Q538" s="98"/>
      <c r="R538" s="98"/>
      <c r="S538" s="92"/>
    </row>
    <row r="539" ht="15.0" customHeight="1">
      <c r="A539" s="92"/>
      <c r="B539" s="98"/>
      <c r="C539" s="93"/>
      <c r="D539" s="93">
        <f t="shared" si="1"/>
        <v>3249</v>
      </c>
      <c r="E539" s="93"/>
      <c r="F539" s="93">
        <f t="shared" si="2"/>
        <v>727738</v>
      </c>
      <c r="G539" s="92"/>
      <c r="H539" s="98"/>
      <c r="I539" s="98"/>
      <c r="J539" s="98"/>
      <c r="K539" s="98"/>
      <c r="L539" s="98"/>
      <c r="M539" s="92"/>
      <c r="N539" s="98"/>
      <c r="O539" s="98"/>
      <c r="P539" s="98"/>
      <c r="Q539" s="98"/>
      <c r="R539" s="98"/>
      <c r="S539" s="92"/>
    </row>
    <row r="540" ht="15.0" customHeight="1">
      <c r="A540" s="92"/>
      <c r="B540" s="98"/>
      <c r="C540" s="93"/>
      <c r="D540" s="93">
        <f t="shared" si="1"/>
        <v>3249</v>
      </c>
      <c r="E540" s="93"/>
      <c r="F540" s="93">
        <f t="shared" si="2"/>
        <v>727738</v>
      </c>
      <c r="G540" s="92"/>
      <c r="H540" s="98"/>
      <c r="I540" s="98"/>
      <c r="J540" s="98"/>
      <c r="K540" s="98"/>
      <c r="L540" s="98"/>
      <c r="M540" s="92"/>
      <c r="N540" s="98"/>
      <c r="O540" s="98"/>
      <c r="P540" s="98"/>
      <c r="Q540" s="98"/>
      <c r="R540" s="98"/>
      <c r="S540" s="92"/>
    </row>
    <row r="541" ht="15.0" customHeight="1">
      <c r="A541" s="92"/>
      <c r="B541" s="98"/>
      <c r="C541" s="93"/>
      <c r="D541" s="93">
        <f t="shared" si="1"/>
        <v>3249</v>
      </c>
      <c r="E541" s="93"/>
      <c r="F541" s="93">
        <f t="shared" si="2"/>
        <v>727738</v>
      </c>
      <c r="G541" s="92"/>
      <c r="H541" s="98"/>
      <c r="I541" s="98"/>
      <c r="J541" s="98"/>
      <c r="K541" s="98"/>
      <c r="L541" s="98"/>
      <c r="M541" s="92"/>
      <c r="N541" s="98"/>
      <c r="O541" s="98"/>
      <c r="P541" s="98"/>
      <c r="Q541" s="98"/>
      <c r="R541" s="98"/>
      <c r="S541" s="92"/>
    </row>
    <row r="542" ht="15.0" customHeight="1">
      <c r="A542" s="92"/>
      <c r="B542" s="98"/>
      <c r="C542" s="93"/>
      <c r="D542" s="93">
        <f t="shared" si="1"/>
        <v>3249</v>
      </c>
      <c r="E542" s="93"/>
      <c r="F542" s="93">
        <f t="shared" si="2"/>
        <v>727738</v>
      </c>
      <c r="G542" s="92"/>
      <c r="H542" s="98"/>
      <c r="I542" s="98"/>
      <c r="J542" s="98"/>
      <c r="K542" s="98"/>
      <c r="L542" s="98"/>
      <c r="M542" s="92"/>
      <c r="N542" s="98"/>
      <c r="O542" s="98"/>
      <c r="P542" s="98"/>
      <c r="Q542" s="98"/>
      <c r="R542" s="98"/>
      <c r="S542" s="92"/>
    </row>
    <row r="543" ht="15.0" customHeight="1">
      <c r="A543" s="92"/>
      <c r="B543" s="98"/>
      <c r="C543" s="93"/>
      <c r="D543" s="93">
        <f t="shared" si="1"/>
        <v>3249</v>
      </c>
      <c r="E543" s="93"/>
      <c r="F543" s="93">
        <f t="shared" si="2"/>
        <v>727738</v>
      </c>
      <c r="G543" s="92"/>
      <c r="H543" s="98"/>
      <c r="I543" s="98"/>
      <c r="J543" s="98"/>
      <c r="K543" s="98"/>
      <c r="L543" s="98"/>
      <c r="M543" s="92"/>
      <c r="N543" s="98"/>
      <c r="O543" s="98"/>
      <c r="P543" s="98"/>
      <c r="Q543" s="98"/>
      <c r="R543" s="98"/>
      <c r="S543" s="92"/>
    </row>
    <row r="544" ht="15.0" customHeight="1">
      <c r="A544" s="92"/>
      <c r="B544" s="98"/>
      <c r="C544" s="93"/>
      <c r="D544" s="93">
        <f t="shared" si="1"/>
        <v>3249</v>
      </c>
      <c r="E544" s="93"/>
      <c r="F544" s="93">
        <f t="shared" si="2"/>
        <v>727738</v>
      </c>
      <c r="G544" s="92"/>
      <c r="H544" s="98"/>
      <c r="I544" s="98"/>
      <c r="J544" s="98"/>
      <c r="K544" s="98"/>
      <c r="L544" s="98"/>
      <c r="M544" s="92"/>
      <c r="N544" s="98"/>
      <c r="O544" s="98"/>
      <c r="P544" s="98"/>
      <c r="Q544" s="98"/>
      <c r="R544" s="98"/>
      <c r="S544" s="92"/>
    </row>
    <row r="545" ht="15.0" customHeight="1">
      <c r="A545" s="92"/>
      <c r="B545" s="98"/>
      <c r="C545" s="93"/>
      <c r="D545" s="93">
        <f t="shared" si="1"/>
        <v>3249</v>
      </c>
      <c r="E545" s="93"/>
      <c r="F545" s="93">
        <f t="shared" si="2"/>
        <v>727738</v>
      </c>
      <c r="G545" s="92"/>
      <c r="H545" s="98"/>
      <c r="I545" s="98"/>
      <c r="J545" s="98"/>
      <c r="K545" s="98"/>
      <c r="L545" s="98"/>
      <c r="M545" s="92"/>
      <c r="N545" s="98"/>
      <c r="O545" s="98"/>
      <c r="P545" s="98"/>
      <c r="Q545" s="98"/>
      <c r="R545" s="98"/>
      <c r="S545" s="92"/>
    </row>
    <row r="546" ht="15.0" customHeight="1">
      <c r="A546" s="92"/>
      <c r="B546" s="98"/>
      <c r="C546" s="93"/>
      <c r="D546" s="93">
        <f t="shared" si="1"/>
        <v>3249</v>
      </c>
      <c r="E546" s="93"/>
      <c r="F546" s="93">
        <f t="shared" si="2"/>
        <v>727738</v>
      </c>
      <c r="G546" s="92"/>
      <c r="H546" s="98"/>
      <c r="I546" s="98"/>
      <c r="J546" s="98"/>
      <c r="K546" s="98"/>
      <c r="L546" s="98"/>
      <c r="M546" s="92"/>
      <c r="N546" s="98"/>
      <c r="O546" s="98"/>
      <c r="P546" s="98"/>
      <c r="Q546" s="98"/>
      <c r="R546" s="98"/>
      <c r="S546" s="92"/>
    </row>
    <row r="547" ht="15.0" customHeight="1">
      <c r="A547" s="92"/>
      <c r="B547" s="98"/>
      <c r="C547" s="93"/>
      <c r="D547" s="93">
        <f t="shared" si="1"/>
        <v>3249</v>
      </c>
      <c r="E547" s="93"/>
      <c r="F547" s="93">
        <f t="shared" si="2"/>
        <v>727738</v>
      </c>
      <c r="G547" s="92"/>
      <c r="H547" s="98"/>
      <c r="I547" s="98"/>
      <c r="J547" s="98"/>
      <c r="K547" s="98"/>
      <c r="L547" s="98"/>
      <c r="M547" s="92"/>
      <c r="N547" s="98"/>
      <c r="O547" s="98"/>
      <c r="P547" s="98"/>
      <c r="Q547" s="98"/>
      <c r="R547" s="98"/>
      <c r="S547" s="92"/>
    </row>
    <row r="548" ht="15.0" customHeight="1">
      <c r="A548" s="92"/>
      <c r="B548" s="98"/>
      <c r="C548" s="93"/>
      <c r="D548" s="93">
        <f t="shared" si="1"/>
        <v>3249</v>
      </c>
      <c r="E548" s="93"/>
      <c r="F548" s="93">
        <f t="shared" si="2"/>
        <v>727738</v>
      </c>
      <c r="G548" s="92"/>
      <c r="H548" s="98"/>
      <c r="I548" s="98"/>
      <c r="J548" s="98"/>
      <c r="K548" s="98"/>
      <c r="L548" s="98"/>
      <c r="M548" s="92"/>
      <c r="N548" s="98"/>
      <c r="O548" s="98"/>
      <c r="P548" s="98"/>
      <c r="Q548" s="98"/>
      <c r="R548" s="98"/>
      <c r="S548" s="92"/>
    </row>
    <row r="549" ht="15.0" customHeight="1">
      <c r="A549" s="92"/>
      <c r="B549" s="98"/>
      <c r="C549" s="93"/>
      <c r="D549" s="93">
        <f t="shared" si="1"/>
        <v>3249</v>
      </c>
      <c r="E549" s="93"/>
      <c r="F549" s="93">
        <f t="shared" si="2"/>
        <v>727738</v>
      </c>
      <c r="G549" s="92"/>
      <c r="H549" s="98"/>
      <c r="I549" s="98"/>
      <c r="J549" s="98"/>
      <c r="K549" s="98"/>
      <c r="L549" s="98"/>
      <c r="M549" s="92"/>
      <c r="N549" s="98"/>
      <c r="O549" s="98"/>
      <c r="P549" s="98"/>
      <c r="Q549" s="98"/>
      <c r="R549" s="98"/>
      <c r="S549" s="92"/>
    </row>
    <row r="550" ht="15.0" customHeight="1">
      <c r="A550" s="92"/>
      <c r="B550" s="98"/>
      <c r="C550" s="93"/>
      <c r="D550" s="93">
        <f t="shared" si="1"/>
        <v>3249</v>
      </c>
      <c r="E550" s="93"/>
      <c r="F550" s="93">
        <f t="shared" si="2"/>
        <v>727738</v>
      </c>
      <c r="G550" s="92"/>
      <c r="H550" s="98"/>
      <c r="I550" s="98"/>
      <c r="J550" s="98"/>
      <c r="K550" s="98"/>
      <c r="L550" s="98"/>
      <c r="M550" s="92"/>
      <c r="N550" s="98"/>
      <c r="O550" s="98"/>
      <c r="P550" s="98"/>
      <c r="Q550" s="98"/>
      <c r="R550" s="98"/>
      <c r="S550" s="92"/>
    </row>
    <row r="551" ht="15.0" customHeight="1">
      <c r="A551" s="92"/>
      <c r="B551" s="98"/>
      <c r="C551" s="93"/>
      <c r="D551" s="93">
        <f t="shared" si="1"/>
        <v>3249</v>
      </c>
      <c r="E551" s="93"/>
      <c r="F551" s="93">
        <f t="shared" si="2"/>
        <v>727738</v>
      </c>
      <c r="G551" s="92"/>
      <c r="H551" s="98"/>
      <c r="I551" s="98"/>
      <c r="J551" s="98"/>
      <c r="K551" s="98"/>
      <c r="L551" s="98"/>
      <c r="M551" s="92"/>
      <c r="N551" s="98"/>
      <c r="O551" s="98"/>
      <c r="P551" s="98"/>
      <c r="Q551" s="98"/>
      <c r="R551" s="98"/>
      <c r="S551" s="92"/>
    </row>
    <row r="552" ht="15.0" customHeight="1">
      <c r="A552" s="92"/>
      <c r="B552" s="98"/>
      <c r="C552" s="93"/>
      <c r="D552" s="93">
        <f t="shared" si="1"/>
        <v>3249</v>
      </c>
      <c r="E552" s="93"/>
      <c r="F552" s="93">
        <f t="shared" si="2"/>
        <v>727738</v>
      </c>
      <c r="G552" s="92"/>
      <c r="H552" s="98"/>
      <c r="I552" s="98"/>
      <c r="J552" s="98"/>
      <c r="K552" s="98"/>
      <c r="L552" s="98"/>
      <c r="M552" s="92"/>
      <c r="N552" s="98"/>
      <c r="O552" s="98"/>
      <c r="P552" s="98"/>
      <c r="Q552" s="98"/>
      <c r="R552" s="98"/>
      <c r="S552" s="92"/>
    </row>
    <row r="553" ht="15.0" customHeight="1">
      <c r="A553" s="92"/>
      <c r="B553" s="98"/>
      <c r="C553" s="93"/>
      <c r="D553" s="93">
        <f t="shared" si="1"/>
        <v>3249</v>
      </c>
      <c r="E553" s="93"/>
      <c r="F553" s="93">
        <f t="shared" si="2"/>
        <v>727738</v>
      </c>
      <c r="G553" s="92"/>
      <c r="H553" s="98"/>
      <c r="I553" s="98"/>
      <c r="J553" s="98"/>
      <c r="K553" s="98"/>
      <c r="L553" s="98"/>
      <c r="M553" s="92"/>
      <c r="N553" s="98"/>
      <c r="O553" s="98"/>
      <c r="P553" s="98"/>
      <c r="Q553" s="98"/>
      <c r="R553" s="98"/>
      <c r="S553" s="92"/>
    </row>
    <row r="554" ht="15.0" customHeight="1">
      <c r="A554" s="92"/>
      <c r="B554" s="98"/>
      <c r="C554" s="93"/>
      <c r="D554" s="93">
        <f t="shared" si="1"/>
        <v>3249</v>
      </c>
      <c r="E554" s="93"/>
      <c r="F554" s="93">
        <f t="shared" si="2"/>
        <v>727738</v>
      </c>
      <c r="G554" s="92"/>
      <c r="H554" s="98"/>
      <c r="I554" s="98"/>
      <c r="J554" s="98"/>
      <c r="K554" s="98"/>
      <c r="L554" s="98"/>
      <c r="M554" s="92"/>
      <c r="N554" s="98"/>
      <c r="O554" s="98"/>
      <c r="P554" s="98"/>
      <c r="Q554" s="98"/>
      <c r="R554" s="98"/>
      <c r="S554" s="92"/>
    </row>
    <row r="555" ht="15.0" customHeight="1">
      <c r="A555" s="92"/>
      <c r="B555" s="98"/>
      <c r="C555" s="93"/>
      <c r="D555" s="93">
        <f t="shared" si="1"/>
        <v>3249</v>
      </c>
      <c r="E555" s="93"/>
      <c r="F555" s="93">
        <f t="shared" si="2"/>
        <v>727738</v>
      </c>
      <c r="G555" s="92"/>
      <c r="H555" s="98"/>
      <c r="I555" s="98"/>
      <c r="J555" s="98"/>
      <c r="K555" s="98"/>
      <c r="L555" s="98"/>
      <c r="M555" s="92"/>
      <c r="N555" s="98"/>
      <c r="O555" s="98"/>
      <c r="P555" s="98"/>
      <c r="Q555" s="98"/>
      <c r="R555" s="98"/>
      <c r="S555" s="92"/>
    </row>
    <row r="556" ht="15.0" customHeight="1">
      <c r="A556" s="92"/>
      <c r="B556" s="98"/>
      <c r="C556" s="93"/>
      <c r="D556" s="93">
        <f t="shared" si="1"/>
        <v>3249</v>
      </c>
      <c r="E556" s="93"/>
      <c r="F556" s="93">
        <f t="shared" si="2"/>
        <v>727738</v>
      </c>
      <c r="G556" s="92"/>
      <c r="H556" s="98"/>
      <c r="I556" s="98"/>
      <c r="J556" s="98"/>
      <c r="K556" s="98"/>
      <c r="L556" s="98"/>
      <c r="M556" s="92"/>
      <c r="N556" s="98"/>
      <c r="O556" s="98"/>
      <c r="P556" s="98"/>
      <c r="Q556" s="98"/>
      <c r="R556" s="98"/>
      <c r="S556" s="92"/>
    </row>
    <row r="557" ht="15.0" customHeight="1">
      <c r="A557" s="92"/>
      <c r="B557" s="98"/>
      <c r="C557" s="93"/>
      <c r="D557" s="93">
        <f t="shared" si="1"/>
        <v>3249</v>
      </c>
      <c r="E557" s="93"/>
      <c r="F557" s="93">
        <f t="shared" si="2"/>
        <v>727738</v>
      </c>
      <c r="G557" s="92"/>
      <c r="H557" s="98"/>
      <c r="I557" s="98"/>
      <c r="J557" s="98"/>
      <c r="K557" s="98"/>
      <c r="L557" s="98"/>
      <c r="M557" s="92"/>
      <c r="N557" s="98"/>
      <c r="O557" s="98"/>
      <c r="P557" s="98"/>
      <c r="Q557" s="98"/>
      <c r="R557" s="98"/>
      <c r="S557" s="92"/>
    </row>
    <row r="558" ht="15.0" customHeight="1">
      <c r="A558" s="92"/>
      <c r="B558" s="98"/>
      <c r="C558" s="93"/>
      <c r="D558" s="93">
        <f t="shared" si="1"/>
        <v>3249</v>
      </c>
      <c r="E558" s="93"/>
      <c r="F558" s="93">
        <f t="shared" si="2"/>
        <v>727738</v>
      </c>
      <c r="G558" s="92"/>
      <c r="H558" s="98"/>
      <c r="I558" s="98"/>
      <c r="J558" s="98"/>
      <c r="K558" s="98"/>
      <c r="L558" s="98"/>
      <c r="M558" s="92"/>
      <c r="N558" s="98"/>
      <c r="O558" s="98"/>
      <c r="P558" s="98"/>
      <c r="Q558" s="98"/>
      <c r="R558" s="98"/>
      <c r="S558" s="92"/>
    </row>
    <row r="559" ht="15.0" customHeight="1">
      <c r="A559" s="92"/>
      <c r="B559" s="98"/>
      <c r="C559" s="93"/>
      <c r="D559" s="93">
        <f t="shared" si="1"/>
        <v>3249</v>
      </c>
      <c r="E559" s="93"/>
      <c r="F559" s="93">
        <f t="shared" si="2"/>
        <v>727738</v>
      </c>
      <c r="G559" s="92"/>
      <c r="H559" s="98"/>
      <c r="I559" s="98"/>
      <c r="J559" s="98"/>
      <c r="K559" s="98"/>
      <c r="L559" s="98"/>
      <c r="M559" s="92"/>
      <c r="N559" s="98"/>
      <c r="O559" s="98"/>
      <c r="P559" s="98"/>
      <c r="Q559" s="98"/>
      <c r="R559" s="98"/>
      <c r="S559" s="92"/>
    </row>
    <row r="560" ht="15.0" customHeight="1">
      <c r="A560" s="92"/>
      <c r="B560" s="98"/>
      <c r="C560" s="93"/>
      <c r="D560" s="93">
        <f t="shared" si="1"/>
        <v>3249</v>
      </c>
      <c r="E560" s="93"/>
      <c r="F560" s="93">
        <f t="shared" si="2"/>
        <v>727738</v>
      </c>
      <c r="G560" s="92"/>
      <c r="H560" s="98"/>
      <c r="I560" s="98"/>
      <c r="J560" s="98"/>
      <c r="K560" s="98"/>
      <c r="L560" s="98"/>
      <c r="M560" s="92"/>
      <c r="N560" s="98"/>
      <c r="O560" s="98"/>
      <c r="P560" s="98"/>
      <c r="Q560" s="98"/>
      <c r="R560" s="98"/>
      <c r="S560" s="92"/>
    </row>
    <row r="561" ht="15.0" customHeight="1">
      <c r="A561" s="92"/>
      <c r="B561" s="98"/>
      <c r="C561" s="93"/>
      <c r="D561" s="93">
        <f t="shared" si="1"/>
        <v>3249</v>
      </c>
      <c r="E561" s="93"/>
      <c r="F561" s="93">
        <f t="shared" si="2"/>
        <v>727738</v>
      </c>
      <c r="G561" s="92"/>
      <c r="H561" s="98"/>
      <c r="I561" s="98"/>
      <c r="J561" s="98"/>
      <c r="K561" s="98"/>
      <c r="L561" s="98"/>
      <c r="M561" s="92"/>
      <c r="N561" s="98"/>
      <c r="O561" s="98"/>
      <c r="P561" s="98"/>
      <c r="Q561" s="98"/>
      <c r="R561" s="98"/>
      <c r="S561" s="92"/>
    </row>
    <row r="562" ht="15.0" customHeight="1">
      <c r="A562" s="92"/>
      <c r="B562" s="98"/>
      <c r="C562" s="93"/>
      <c r="D562" s="93">
        <f t="shared" si="1"/>
        <v>3249</v>
      </c>
      <c r="E562" s="93"/>
      <c r="F562" s="93">
        <f t="shared" si="2"/>
        <v>727738</v>
      </c>
      <c r="G562" s="92"/>
      <c r="H562" s="98"/>
      <c r="I562" s="98"/>
      <c r="J562" s="98"/>
      <c r="K562" s="98"/>
      <c r="L562" s="98"/>
      <c r="M562" s="92"/>
      <c r="N562" s="98"/>
      <c r="O562" s="98"/>
      <c r="P562" s="98"/>
      <c r="Q562" s="98"/>
      <c r="R562" s="98"/>
      <c r="S562" s="92"/>
    </row>
    <row r="563" ht="15.0" customHeight="1">
      <c r="A563" s="92"/>
      <c r="B563" s="98"/>
      <c r="C563" s="93"/>
      <c r="D563" s="93">
        <f t="shared" si="1"/>
        <v>3249</v>
      </c>
      <c r="E563" s="93"/>
      <c r="F563" s="93">
        <f t="shared" si="2"/>
        <v>727738</v>
      </c>
      <c r="G563" s="92"/>
      <c r="H563" s="98"/>
      <c r="I563" s="98"/>
      <c r="J563" s="98"/>
      <c r="K563" s="98"/>
      <c r="L563" s="98"/>
      <c r="M563" s="92"/>
      <c r="N563" s="98"/>
      <c r="O563" s="98"/>
      <c r="P563" s="98"/>
      <c r="Q563" s="98"/>
      <c r="R563" s="98"/>
      <c r="S563" s="92"/>
    </row>
    <row r="564" ht="15.0" customHeight="1">
      <c r="A564" s="92"/>
      <c r="B564" s="98"/>
      <c r="C564" s="93"/>
      <c r="D564" s="93">
        <f t="shared" si="1"/>
        <v>3249</v>
      </c>
      <c r="E564" s="93"/>
      <c r="F564" s="93">
        <f t="shared" si="2"/>
        <v>727738</v>
      </c>
      <c r="G564" s="92"/>
      <c r="H564" s="98"/>
      <c r="I564" s="98"/>
      <c r="J564" s="98"/>
      <c r="K564" s="98"/>
      <c r="L564" s="98"/>
      <c r="M564" s="92"/>
      <c r="N564" s="98"/>
      <c r="O564" s="98"/>
      <c r="P564" s="98"/>
      <c r="Q564" s="98"/>
      <c r="R564" s="98"/>
      <c r="S564" s="92"/>
    </row>
    <row r="565" ht="15.0" customHeight="1">
      <c r="A565" s="92"/>
      <c r="B565" s="98"/>
      <c r="C565" s="93"/>
      <c r="D565" s="93">
        <f t="shared" si="1"/>
        <v>3249</v>
      </c>
      <c r="E565" s="93"/>
      <c r="F565" s="93">
        <f t="shared" si="2"/>
        <v>727738</v>
      </c>
      <c r="G565" s="92"/>
      <c r="H565" s="98"/>
      <c r="I565" s="98"/>
      <c r="J565" s="98"/>
      <c r="K565" s="98"/>
      <c r="L565" s="98"/>
      <c r="M565" s="92"/>
      <c r="N565" s="98"/>
      <c r="O565" s="98"/>
      <c r="P565" s="98"/>
      <c r="Q565" s="98"/>
      <c r="R565" s="98"/>
      <c r="S565" s="92"/>
    </row>
    <row r="566" ht="15.0" customHeight="1">
      <c r="A566" s="92"/>
      <c r="B566" s="98"/>
      <c r="C566" s="93"/>
      <c r="D566" s="93">
        <f t="shared" si="1"/>
        <v>3249</v>
      </c>
      <c r="E566" s="93"/>
      <c r="F566" s="93">
        <f t="shared" si="2"/>
        <v>727738</v>
      </c>
      <c r="G566" s="92"/>
      <c r="H566" s="98"/>
      <c r="I566" s="98"/>
      <c r="J566" s="98"/>
      <c r="K566" s="98"/>
      <c r="L566" s="98"/>
      <c r="M566" s="92"/>
      <c r="N566" s="98"/>
      <c r="O566" s="98"/>
      <c r="P566" s="98"/>
      <c r="Q566" s="98"/>
      <c r="R566" s="98"/>
      <c r="S566" s="92"/>
    </row>
    <row r="567" ht="15.0" customHeight="1">
      <c r="A567" s="92"/>
      <c r="B567" s="98"/>
      <c r="C567" s="93"/>
      <c r="D567" s="93">
        <f t="shared" si="1"/>
        <v>3249</v>
      </c>
      <c r="E567" s="93"/>
      <c r="F567" s="93">
        <f t="shared" si="2"/>
        <v>727738</v>
      </c>
      <c r="G567" s="92"/>
      <c r="H567" s="98"/>
      <c r="I567" s="98"/>
      <c r="J567" s="98"/>
      <c r="K567" s="98"/>
      <c r="L567" s="98"/>
      <c r="M567" s="92"/>
      <c r="N567" s="98"/>
      <c r="O567" s="98"/>
      <c r="P567" s="98"/>
      <c r="Q567" s="98"/>
      <c r="R567" s="98"/>
      <c r="S567" s="92"/>
    </row>
    <row r="568" ht="15.0" customHeight="1">
      <c r="A568" s="92"/>
      <c r="B568" s="98"/>
      <c r="C568" s="93"/>
      <c r="D568" s="93">
        <f t="shared" si="1"/>
        <v>3249</v>
      </c>
      <c r="E568" s="93"/>
      <c r="F568" s="93">
        <f t="shared" si="2"/>
        <v>727738</v>
      </c>
      <c r="G568" s="92"/>
      <c r="H568" s="98"/>
      <c r="I568" s="98"/>
      <c r="J568" s="98"/>
      <c r="K568" s="98"/>
      <c r="L568" s="98"/>
      <c r="M568" s="92"/>
      <c r="N568" s="98"/>
      <c r="O568" s="98"/>
      <c r="P568" s="98"/>
      <c r="Q568" s="98"/>
      <c r="R568" s="98"/>
      <c r="S568" s="92"/>
    </row>
    <row r="569" ht="15.0" customHeight="1">
      <c r="A569" s="92"/>
      <c r="B569" s="98"/>
      <c r="C569" s="93"/>
      <c r="D569" s="93">
        <f t="shared" si="1"/>
        <v>3249</v>
      </c>
      <c r="E569" s="93"/>
      <c r="F569" s="93">
        <f t="shared" si="2"/>
        <v>727738</v>
      </c>
      <c r="G569" s="92"/>
      <c r="H569" s="98"/>
      <c r="I569" s="98"/>
      <c r="J569" s="98"/>
      <c r="K569" s="98"/>
      <c r="L569" s="98"/>
      <c r="M569" s="92"/>
      <c r="N569" s="98"/>
      <c r="O569" s="98"/>
      <c r="P569" s="98"/>
      <c r="Q569" s="98"/>
      <c r="R569" s="98"/>
      <c r="S569" s="92"/>
    </row>
    <row r="570" ht="15.0" customHeight="1">
      <c r="A570" s="92"/>
      <c r="B570" s="98"/>
      <c r="C570" s="93"/>
      <c r="D570" s="93">
        <f t="shared" si="1"/>
        <v>3249</v>
      </c>
      <c r="E570" s="93"/>
      <c r="F570" s="93">
        <f t="shared" si="2"/>
        <v>727738</v>
      </c>
      <c r="G570" s="92"/>
      <c r="H570" s="98"/>
      <c r="I570" s="98"/>
      <c r="J570" s="98"/>
      <c r="K570" s="98"/>
      <c r="L570" s="98"/>
      <c r="M570" s="92"/>
      <c r="N570" s="98"/>
      <c r="O570" s="98"/>
      <c r="P570" s="98"/>
      <c r="Q570" s="98"/>
      <c r="R570" s="98"/>
      <c r="S570" s="92"/>
    </row>
    <row r="571" ht="15.0" customHeight="1">
      <c r="A571" s="92"/>
      <c r="B571" s="98"/>
      <c r="C571" s="93"/>
      <c r="D571" s="93">
        <f t="shared" si="1"/>
        <v>3249</v>
      </c>
      <c r="E571" s="93"/>
      <c r="F571" s="93">
        <f t="shared" si="2"/>
        <v>727738</v>
      </c>
      <c r="G571" s="92"/>
      <c r="H571" s="98"/>
      <c r="I571" s="98"/>
      <c r="J571" s="98"/>
      <c r="K571" s="98"/>
      <c r="L571" s="98"/>
      <c r="M571" s="92"/>
      <c r="N571" s="98"/>
      <c r="O571" s="98"/>
      <c r="P571" s="98"/>
      <c r="Q571" s="98"/>
      <c r="R571" s="98"/>
      <c r="S571" s="92"/>
    </row>
    <row r="572" ht="15.0" customHeight="1">
      <c r="A572" s="92"/>
      <c r="B572" s="98"/>
      <c r="C572" s="93"/>
      <c r="D572" s="93">
        <f t="shared" si="1"/>
        <v>3249</v>
      </c>
      <c r="E572" s="93"/>
      <c r="F572" s="93">
        <f t="shared" si="2"/>
        <v>727738</v>
      </c>
      <c r="G572" s="92"/>
      <c r="H572" s="98"/>
      <c r="I572" s="98"/>
      <c r="J572" s="98"/>
      <c r="K572" s="98"/>
      <c r="L572" s="98"/>
      <c r="M572" s="92"/>
      <c r="N572" s="98"/>
      <c r="O572" s="98"/>
      <c r="P572" s="98"/>
      <c r="Q572" s="98"/>
      <c r="R572" s="98"/>
      <c r="S572" s="92"/>
    </row>
    <row r="573" ht="15.0" customHeight="1">
      <c r="A573" s="92"/>
      <c r="B573" s="98"/>
      <c r="C573" s="93"/>
      <c r="D573" s="93">
        <f t="shared" si="1"/>
        <v>3249</v>
      </c>
      <c r="E573" s="93"/>
      <c r="F573" s="93">
        <f t="shared" si="2"/>
        <v>727738</v>
      </c>
      <c r="G573" s="92"/>
      <c r="H573" s="98"/>
      <c r="I573" s="98"/>
      <c r="J573" s="98"/>
      <c r="K573" s="98"/>
      <c r="L573" s="98"/>
      <c r="M573" s="92"/>
      <c r="N573" s="98"/>
      <c r="O573" s="98"/>
      <c r="P573" s="98"/>
      <c r="Q573" s="98"/>
      <c r="R573" s="98"/>
      <c r="S573" s="92"/>
    </row>
    <row r="574" ht="15.0" customHeight="1">
      <c r="A574" s="92"/>
      <c r="B574" s="98"/>
      <c r="C574" s="93"/>
      <c r="D574" s="93">
        <f t="shared" si="1"/>
        <v>3249</v>
      </c>
      <c r="E574" s="93"/>
      <c r="F574" s="93">
        <f t="shared" si="2"/>
        <v>727738</v>
      </c>
      <c r="G574" s="92"/>
      <c r="H574" s="98"/>
      <c r="I574" s="98"/>
      <c r="J574" s="98"/>
      <c r="K574" s="98"/>
      <c r="L574" s="98"/>
      <c r="M574" s="92"/>
      <c r="N574" s="98"/>
      <c r="O574" s="98"/>
      <c r="P574" s="98"/>
      <c r="Q574" s="98"/>
      <c r="R574" s="98"/>
      <c r="S574" s="92"/>
    </row>
    <row r="575" ht="15.0" customHeight="1">
      <c r="A575" s="92"/>
      <c r="B575" s="98"/>
      <c r="C575" s="93"/>
      <c r="D575" s="93">
        <f t="shared" si="1"/>
        <v>3249</v>
      </c>
      <c r="E575" s="93"/>
      <c r="F575" s="93">
        <f t="shared" si="2"/>
        <v>727738</v>
      </c>
      <c r="G575" s="92"/>
      <c r="H575" s="98"/>
      <c r="I575" s="98"/>
      <c r="J575" s="98"/>
      <c r="K575" s="98"/>
      <c r="L575" s="98"/>
      <c r="M575" s="92"/>
      <c r="N575" s="98"/>
      <c r="O575" s="98"/>
      <c r="P575" s="98"/>
      <c r="Q575" s="98"/>
      <c r="R575" s="98"/>
      <c r="S575" s="92"/>
    </row>
    <row r="576" ht="15.0" customHeight="1">
      <c r="A576" s="92"/>
      <c r="B576" s="98"/>
      <c r="C576" s="93"/>
      <c r="D576" s="93">
        <f t="shared" si="1"/>
        <v>3249</v>
      </c>
      <c r="E576" s="93"/>
      <c r="F576" s="93">
        <f t="shared" si="2"/>
        <v>727738</v>
      </c>
      <c r="G576" s="92"/>
      <c r="H576" s="98"/>
      <c r="I576" s="98"/>
      <c r="J576" s="98"/>
      <c r="K576" s="98"/>
      <c r="L576" s="98"/>
      <c r="M576" s="92"/>
      <c r="N576" s="98"/>
      <c r="O576" s="98"/>
      <c r="P576" s="98"/>
      <c r="Q576" s="98"/>
      <c r="R576" s="98"/>
      <c r="S576" s="92"/>
    </row>
    <row r="577" ht="15.0" customHeight="1">
      <c r="A577" s="92"/>
      <c r="B577" s="98"/>
      <c r="C577" s="93"/>
      <c r="D577" s="93">
        <f t="shared" si="1"/>
        <v>3249</v>
      </c>
      <c r="E577" s="93"/>
      <c r="F577" s="93">
        <f t="shared" si="2"/>
        <v>727738</v>
      </c>
      <c r="G577" s="92"/>
      <c r="H577" s="98"/>
      <c r="I577" s="98"/>
      <c r="J577" s="98"/>
      <c r="K577" s="98"/>
      <c r="L577" s="98"/>
      <c r="M577" s="92"/>
      <c r="N577" s="98"/>
      <c r="O577" s="98"/>
      <c r="P577" s="98"/>
      <c r="Q577" s="98"/>
      <c r="R577" s="98"/>
      <c r="S577" s="92"/>
    </row>
    <row r="578" ht="15.0" customHeight="1">
      <c r="A578" s="92"/>
      <c r="B578" s="98"/>
      <c r="C578" s="93"/>
      <c r="D578" s="93">
        <f t="shared" si="1"/>
        <v>3249</v>
      </c>
      <c r="E578" s="93"/>
      <c r="F578" s="93">
        <f t="shared" si="2"/>
        <v>727738</v>
      </c>
      <c r="G578" s="92"/>
      <c r="H578" s="98"/>
      <c r="I578" s="98"/>
      <c r="J578" s="98"/>
      <c r="K578" s="98"/>
      <c r="L578" s="98"/>
      <c r="M578" s="92"/>
      <c r="N578" s="98"/>
      <c r="O578" s="98"/>
      <c r="P578" s="98"/>
      <c r="Q578" s="98"/>
      <c r="R578" s="98"/>
      <c r="S578" s="92"/>
    </row>
    <row r="579" ht="15.0" customHeight="1">
      <c r="A579" s="92"/>
      <c r="B579" s="98"/>
      <c r="C579" s="93"/>
      <c r="D579" s="93">
        <f t="shared" si="1"/>
        <v>3249</v>
      </c>
      <c r="E579" s="93"/>
      <c r="F579" s="93">
        <f t="shared" si="2"/>
        <v>727738</v>
      </c>
      <c r="G579" s="92"/>
      <c r="H579" s="98"/>
      <c r="I579" s="98"/>
      <c r="J579" s="98"/>
      <c r="K579" s="98"/>
      <c r="L579" s="98"/>
      <c r="M579" s="92"/>
      <c r="N579" s="98"/>
      <c r="O579" s="98"/>
      <c r="P579" s="98"/>
      <c r="Q579" s="98"/>
      <c r="R579" s="98"/>
      <c r="S579" s="92"/>
    </row>
    <row r="580" ht="15.0" customHeight="1">
      <c r="A580" s="92"/>
      <c r="B580" s="98"/>
      <c r="C580" s="93"/>
      <c r="D580" s="93">
        <f t="shared" si="1"/>
        <v>3249</v>
      </c>
      <c r="E580" s="93"/>
      <c r="F580" s="93">
        <f t="shared" si="2"/>
        <v>727738</v>
      </c>
      <c r="G580" s="92"/>
      <c r="H580" s="98"/>
      <c r="I580" s="98"/>
      <c r="J580" s="98"/>
      <c r="K580" s="98"/>
      <c r="L580" s="98"/>
      <c r="M580" s="92"/>
      <c r="N580" s="98"/>
      <c r="O580" s="98"/>
      <c r="P580" s="98"/>
      <c r="Q580" s="98"/>
      <c r="R580" s="98"/>
      <c r="S580" s="92"/>
    </row>
    <row r="581" ht="15.0" customHeight="1">
      <c r="A581" s="92"/>
      <c r="B581" s="98"/>
      <c r="C581" s="93"/>
      <c r="D581" s="93">
        <f t="shared" si="1"/>
        <v>3249</v>
      </c>
      <c r="E581" s="93"/>
      <c r="F581" s="93">
        <f t="shared" si="2"/>
        <v>727738</v>
      </c>
      <c r="G581" s="92"/>
      <c r="H581" s="98"/>
      <c r="I581" s="98"/>
      <c r="J581" s="98"/>
      <c r="K581" s="98"/>
      <c r="L581" s="98"/>
      <c r="M581" s="92"/>
      <c r="N581" s="98"/>
      <c r="O581" s="98"/>
      <c r="P581" s="98"/>
      <c r="Q581" s="98"/>
      <c r="R581" s="98"/>
      <c r="S581" s="92"/>
    </row>
    <row r="582" ht="15.0" customHeight="1">
      <c r="A582" s="92"/>
      <c r="B582" s="98"/>
      <c r="C582" s="93"/>
      <c r="D582" s="93">
        <f t="shared" si="1"/>
        <v>3249</v>
      </c>
      <c r="E582" s="93"/>
      <c r="F582" s="93">
        <f t="shared" si="2"/>
        <v>727738</v>
      </c>
      <c r="G582" s="92"/>
      <c r="H582" s="98"/>
      <c r="I582" s="98"/>
      <c r="J582" s="98"/>
      <c r="K582" s="98"/>
      <c r="L582" s="98"/>
      <c r="M582" s="92"/>
      <c r="N582" s="98"/>
      <c r="O582" s="98"/>
      <c r="P582" s="98"/>
      <c r="Q582" s="98"/>
      <c r="R582" s="98"/>
      <c r="S582" s="92"/>
    </row>
    <row r="583" ht="15.0" customHeight="1">
      <c r="A583" s="92"/>
      <c r="B583" s="98"/>
      <c r="C583" s="93"/>
      <c r="D583" s="93">
        <f t="shared" si="1"/>
        <v>3249</v>
      </c>
      <c r="E583" s="93"/>
      <c r="F583" s="93">
        <f t="shared" si="2"/>
        <v>727738</v>
      </c>
      <c r="G583" s="92"/>
      <c r="H583" s="98"/>
      <c r="I583" s="98"/>
      <c r="J583" s="98"/>
      <c r="K583" s="98"/>
      <c r="L583" s="98"/>
      <c r="M583" s="92"/>
      <c r="N583" s="98"/>
      <c r="O583" s="98"/>
      <c r="P583" s="98"/>
      <c r="Q583" s="98"/>
      <c r="R583" s="98"/>
      <c r="S583" s="92"/>
    </row>
    <row r="584" ht="15.0" customHeight="1">
      <c r="A584" s="92"/>
      <c r="B584" s="98"/>
      <c r="C584" s="93"/>
      <c r="D584" s="93">
        <f t="shared" si="1"/>
        <v>3249</v>
      </c>
      <c r="E584" s="93"/>
      <c r="F584" s="93">
        <f t="shared" si="2"/>
        <v>727738</v>
      </c>
      <c r="G584" s="92"/>
      <c r="H584" s="98"/>
      <c r="I584" s="98"/>
      <c r="J584" s="98"/>
      <c r="K584" s="98"/>
      <c r="L584" s="98"/>
      <c r="M584" s="92"/>
      <c r="N584" s="98"/>
      <c r="O584" s="98"/>
      <c r="P584" s="98"/>
      <c r="Q584" s="98"/>
      <c r="R584" s="98"/>
      <c r="S584" s="92"/>
    </row>
    <row r="585" ht="15.0" customHeight="1">
      <c r="A585" s="92"/>
      <c r="B585" s="98"/>
      <c r="C585" s="93"/>
      <c r="D585" s="93">
        <f t="shared" si="1"/>
        <v>3249</v>
      </c>
      <c r="E585" s="93"/>
      <c r="F585" s="93">
        <f t="shared" si="2"/>
        <v>727738</v>
      </c>
      <c r="G585" s="92"/>
      <c r="H585" s="98"/>
      <c r="I585" s="98"/>
      <c r="J585" s="98"/>
      <c r="K585" s="98"/>
      <c r="L585" s="98"/>
      <c r="M585" s="92"/>
      <c r="N585" s="98"/>
      <c r="O585" s="98"/>
      <c r="P585" s="98"/>
      <c r="Q585" s="98"/>
      <c r="R585" s="98"/>
      <c r="S585" s="92"/>
    </row>
    <row r="586" ht="15.0" customHeight="1">
      <c r="A586" s="92"/>
      <c r="B586" s="98"/>
      <c r="C586" s="93"/>
      <c r="D586" s="93">
        <f t="shared" si="1"/>
        <v>3249</v>
      </c>
      <c r="E586" s="93"/>
      <c r="F586" s="93">
        <f t="shared" si="2"/>
        <v>727738</v>
      </c>
      <c r="G586" s="92"/>
      <c r="H586" s="98"/>
      <c r="I586" s="98"/>
      <c r="J586" s="98"/>
      <c r="K586" s="98"/>
      <c r="L586" s="98"/>
      <c r="M586" s="92"/>
      <c r="N586" s="98"/>
      <c r="O586" s="98"/>
      <c r="P586" s="98"/>
      <c r="Q586" s="98"/>
      <c r="R586" s="98"/>
      <c r="S586" s="92"/>
    </row>
    <row r="587" ht="15.0" customHeight="1">
      <c r="A587" s="92"/>
      <c r="B587" s="98"/>
      <c r="C587" s="93"/>
      <c r="D587" s="93">
        <f t="shared" si="1"/>
        <v>3249</v>
      </c>
      <c r="E587" s="93"/>
      <c r="F587" s="93">
        <f t="shared" si="2"/>
        <v>727738</v>
      </c>
      <c r="G587" s="92"/>
      <c r="H587" s="98"/>
      <c r="I587" s="98"/>
      <c r="J587" s="98"/>
      <c r="K587" s="98"/>
      <c r="L587" s="98"/>
      <c r="M587" s="92"/>
      <c r="N587" s="98"/>
      <c r="O587" s="98"/>
      <c r="P587" s="98"/>
      <c r="Q587" s="98"/>
      <c r="R587" s="98"/>
      <c r="S587" s="92"/>
    </row>
    <row r="588" ht="15.0" customHeight="1">
      <c r="A588" s="92"/>
      <c r="B588" s="98"/>
      <c r="C588" s="93"/>
      <c r="D588" s="93">
        <f t="shared" si="1"/>
        <v>3249</v>
      </c>
      <c r="E588" s="93"/>
      <c r="F588" s="93">
        <f t="shared" si="2"/>
        <v>727738</v>
      </c>
      <c r="G588" s="92"/>
      <c r="H588" s="98"/>
      <c r="I588" s="98"/>
      <c r="J588" s="98"/>
      <c r="K588" s="98"/>
      <c r="L588" s="98"/>
      <c r="M588" s="92"/>
      <c r="N588" s="98"/>
      <c r="O588" s="98"/>
      <c r="P588" s="98"/>
      <c r="Q588" s="98"/>
      <c r="R588" s="98"/>
      <c r="S588" s="92"/>
    </row>
    <row r="589" ht="15.0" customHeight="1">
      <c r="A589" s="92"/>
      <c r="B589" s="98"/>
      <c r="C589" s="93"/>
      <c r="D589" s="93">
        <f t="shared" si="1"/>
        <v>3249</v>
      </c>
      <c r="E589" s="93"/>
      <c r="F589" s="93">
        <f t="shared" si="2"/>
        <v>727738</v>
      </c>
      <c r="G589" s="92"/>
      <c r="H589" s="98"/>
      <c r="I589" s="98"/>
      <c r="J589" s="98"/>
      <c r="K589" s="98"/>
      <c r="L589" s="98"/>
      <c r="M589" s="92"/>
      <c r="N589" s="98"/>
      <c r="O589" s="98"/>
      <c r="P589" s="98"/>
      <c r="Q589" s="98"/>
      <c r="R589" s="98"/>
      <c r="S589" s="92"/>
    </row>
    <row r="590" ht="15.0" customHeight="1">
      <c r="A590" s="92"/>
      <c r="B590" s="98"/>
      <c r="C590" s="93"/>
      <c r="D590" s="93">
        <f t="shared" si="1"/>
        <v>3249</v>
      </c>
      <c r="E590" s="93"/>
      <c r="F590" s="93">
        <f t="shared" si="2"/>
        <v>727738</v>
      </c>
      <c r="G590" s="92"/>
      <c r="H590" s="98"/>
      <c r="I590" s="98"/>
      <c r="J590" s="98"/>
      <c r="K590" s="98"/>
      <c r="L590" s="98"/>
      <c r="M590" s="92"/>
      <c r="N590" s="98"/>
      <c r="O590" s="98"/>
      <c r="P590" s="98"/>
      <c r="Q590" s="98"/>
      <c r="R590" s="98"/>
      <c r="S590" s="92"/>
    </row>
    <row r="591" ht="15.0" customHeight="1">
      <c r="A591" s="92"/>
      <c r="B591" s="98"/>
      <c r="C591" s="93"/>
      <c r="D591" s="93">
        <f t="shared" si="1"/>
        <v>3249</v>
      </c>
      <c r="E591" s="93"/>
      <c r="F591" s="93">
        <f t="shared" si="2"/>
        <v>727738</v>
      </c>
      <c r="G591" s="92"/>
      <c r="H591" s="98"/>
      <c r="I591" s="98"/>
      <c r="J591" s="98"/>
      <c r="K591" s="98"/>
      <c r="L591" s="98"/>
      <c r="M591" s="92"/>
      <c r="N591" s="98"/>
      <c r="O591" s="98"/>
      <c r="P591" s="98"/>
      <c r="Q591" s="98"/>
      <c r="R591" s="98"/>
      <c r="S591" s="92"/>
    </row>
    <row r="592" ht="15.0" customHeight="1">
      <c r="A592" s="92"/>
      <c r="B592" s="98"/>
      <c r="C592" s="93"/>
      <c r="D592" s="93">
        <f t="shared" si="1"/>
        <v>3249</v>
      </c>
      <c r="E592" s="93"/>
      <c r="F592" s="93">
        <f t="shared" si="2"/>
        <v>727738</v>
      </c>
      <c r="G592" s="92"/>
      <c r="H592" s="98"/>
      <c r="I592" s="98"/>
      <c r="J592" s="98"/>
      <c r="K592" s="98"/>
      <c r="L592" s="98"/>
      <c r="M592" s="92"/>
      <c r="N592" s="98"/>
      <c r="O592" s="98"/>
      <c r="P592" s="98"/>
      <c r="Q592" s="98"/>
      <c r="R592" s="98"/>
      <c r="S592" s="92"/>
    </row>
    <row r="593" ht="15.0" customHeight="1">
      <c r="A593" s="92"/>
      <c r="B593" s="98"/>
      <c r="C593" s="93"/>
      <c r="D593" s="93">
        <f t="shared" si="1"/>
        <v>3249</v>
      </c>
      <c r="E593" s="93"/>
      <c r="F593" s="93">
        <f t="shared" si="2"/>
        <v>727738</v>
      </c>
      <c r="G593" s="92"/>
      <c r="H593" s="98"/>
      <c r="I593" s="98"/>
      <c r="J593" s="98"/>
      <c r="K593" s="98"/>
      <c r="L593" s="98"/>
      <c r="M593" s="92"/>
      <c r="N593" s="98"/>
      <c r="O593" s="98"/>
      <c r="P593" s="98"/>
      <c r="Q593" s="98"/>
      <c r="R593" s="98"/>
      <c r="S593" s="92"/>
    </row>
    <row r="594" ht="15.0" customHeight="1">
      <c r="A594" s="92"/>
      <c r="B594" s="98"/>
      <c r="C594" s="93"/>
      <c r="D594" s="93">
        <f t="shared" si="1"/>
        <v>3249</v>
      </c>
      <c r="E594" s="93"/>
      <c r="F594" s="93">
        <f t="shared" si="2"/>
        <v>727738</v>
      </c>
      <c r="G594" s="92"/>
      <c r="H594" s="98"/>
      <c r="I594" s="98"/>
      <c r="J594" s="98"/>
      <c r="K594" s="98"/>
      <c r="L594" s="98"/>
      <c r="M594" s="92"/>
      <c r="N594" s="98"/>
      <c r="O594" s="98"/>
      <c r="P594" s="98"/>
      <c r="Q594" s="98"/>
      <c r="R594" s="98"/>
      <c r="S594" s="92"/>
    </row>
    <row r="595" ht="15.0" customHeight="1">
      <c r="A595" s="92"/>
      <c r="B595" s="98"/>
      <c r="C595" s="93"/>
      <c r="D595" s="93">
        <f t="shared" si="1"/>
        <v>3249</v>
      </c>
      <c r="E595" s="93"/>
      <c r="F595" s="93">
        <f t="shared" si="2"/>
        <v>727738</v>
      </c>
      <c r="G595" s="92"/>
      <c r="H595" s="98"/>
      <c r="I595" s="98"/>
      <c r="J595" s="98"/>
      <c r="K595" s="98"/>
      <c r="L595" s="98"/>
      <c r="M595" s="92"/>
      <c r="N595" s="98"/>
      <c r="O595" s="98"/>
      <c r="P595" s="98"/>
      <c r="Q595" s="98"/>
      <c r="R595" s="98"/>
      <c r="S595" s="92"/>
    </row>
    <row r="596" ht="15.0" customHeight="1">
      <c r="A596" s="92"/>
      <c r="B596" s="98"/>
      <c r="C596" s="93"/>
      <c r="D596" s="93">
        <f t="shared" si="1"/>
        <v>3249</v>
      </c>
      <c r="E596" s="93"/>
      <c r="F596" s="93">
        <f t="shared" si="2"/>
        <v>727738</v>
      </c>
      <c r="G596" s="92"/>
      <c r="H596" s="98"/>
      <c r="I596" s="98"/>
      <c r="J596" s="98"/>
      <c r="K596" s="98"/>
      <c r="L596" s="98"/>
      <c r="M596" s="92"/>
      <c r="N596" s="98"/>
      <c r="O596" s="98"/>
      <c r="P596" s="98"/>
      <c r="Q596" s="98"/>
      <c r="R596" s="98"/>
      <c r="S596" s="92"/>
    </row>
    <row r="597" ht="15.0" customHeight="1">
      <c r="A597" s="92"/>
      <c r="B597" s="98"/>
      <c r="C597" s="93"/>
      <c r="D597" s="93">
        <f t="shared" si="1"/>
        <v>3249</v>
      </c>
      <c r="E597" s="93"/>
      <c r="F597" s="93">
        <f t="shared" si="2"/>
        <v>727738</v>
      </c>
      <c r="G597" s="92"/>
      <c r="H597" s="98"/>
      <c r="I597" s="98"/>
      <c r="J597" s="98"/>
      <c r="K597" s="98"/>
      <c r="L597" s="98"/>
      <c r="M597" s="92"/>
      <c r="N597" s="98"/>
      <c r="O597" s="98"/>
      <c r="P597" s="98"/>
      <c r="Q597" s="98"/>
      <c r="R597" s="98"/>
      <c r="S597" s="92"/>
    </row>
    <row r="598" ht="15.0" customHeight="1">
      <c r="A598" s="92"/>
      <c r="B598" s="98"/>
      <c r="C598" s="93"/>
      <c r="D598" s="93">
        <f t="shared" si="1"/>
        <v>3249</v>
      </c>
      <c r="E598" s="93"/>
      <c r="F598" s="93">
        <f t="shared" si="2"/>
        <v>727738</v>
      </c>
      <c r="G598" s="92"/>
      <c r="H598" s="98"/>
      <c r="I598" s="98"/>
      <c r="J598" s="98"/>
      <c r="K598" s="98"/>
      <c r="L598" s="98"/>
      <c r="M598" s="92"/>
      <c r="N598" s="98"/>
      <c r="O598" s="98"/>
      <c r="P598" s="98"/>
      <c r="Q598" s="98"/>
      <c r="R598" s="98"/>
      <c r="S598" s="92"/>
    </row>
    <row r="599" ht="15.0" customHeight="1">
      <c r="A599" s="92"/>
      <c r="B599" s="98"/>
      <c r="C599" s="93"/>
      <c r="D599" s="93">
        <f t="shared" si="1"/>
        <v>3249</v>
      </c>
      <c r="E599" s="93"/>
      <c r="F599" s="93">
        <f t="shared" si="2"/>
        <v>727738</v>
      </c>
      <c r="G599" s="92"/>
      <c r="H599" s="98"/>
      <c r="I599" s="98"/>
      <c r="J599" s="98"/>
      <c r="K599" s="98"/>
      <c r="L599" s="98"/>
      <c r="M599" s="92"/>
      <c r="N599" s="98"/>
      <c r="O599" s="98"/>
      <c r="P599" s="98"/>
      <c r="Q599" s="98"/>
      <c r="R599" s="98"/>
      <c r="S599" s="92"/>
    </row>
    <row r="600" ht="15.0" customHeight="1">
      <c r="A600" s="92"/>
      <c r="B600" s="98"/>
      <c r="C600" s="93"/>
      <c r="D600" s="93">
        <f t="shared" si="1"/>
        <v>3249</v>
      </c>
      <c r="E600" s="93"/>
      <c r="F600" s="93">
        <f t="shared" si="2"/>
        <v>727738</v>
      </c>
      <c r="G600" s="92"/>
      <c r="H600" s="98"/>
      <c r="I600" s="98"/>
      <c r="J600" s="98"/>
      <c r="K600" s="98"/>
      <c r="L600" s="98"/>
      <c r="M600" s="92"/>
      <c r="N600" s="98"/>
      <c r="O600" s="98"/>
      <c r="P600" s="98"/>
      <c r="Q600" s="98"/>
      <c r="R600" s="98"/>
      <c r="S600" s="92"/>
    </row>
    <row r="601" ht="15.0" customHeight="1">
      <c r="A601" s="92"/>
      <c r="B601" s="98"/>
      <c r="C601" s="93"/>
      <c r="D601" s="93">
        <f t="shared" si="1"/>
        <v>3249</v>
      </c>
      <c r="E601" s="93"/>
      <c r="F601" s="93">
        <f t="shared" si="2"/>
        <v>727738</v>
      </c>
      <c r="G601" s="92"/>
      <c r="H601" s="98"/>
      <c r="I601" s="98"/>
      <c r="J601" s="98"/>
      <c r="K601" s="98"/>
      <c r="L601" s="98"/>
      <c r="M601" s="92"/>
      <c r="N601" s="98"/>
      <c r="O601" s="98"/>
      <c r="P601" s="98"/>
      <c r="Q601" s="98"/>
      <c r="R601" s="98"/>
      <c r="S601" s="92"/>
    </row>
    <row r="602" ht="15.0" customHeight="1">
      <c r="A602" s="92"/>
      <c r="B602" s="98"/>
      <c r="C602" s="93"/>
      <c r="D602" s="93">
        <f t="shared" si="1"/>
        <v>3249</v>
      </c>
      <c r="E602" s="93"/>
      <c r="F602" s="93">
        <f t="shared" si="2"/>
        <v>727738</v>
      </c>
      <c r="G602" s="92"/>
      <c r="H602" s="98"/>
      <c r="I602" s="98"/>
      <c r="J602" s="98"/>
      <c r="K602" s="98"/>
      <c r="L602" s="98"/>
      <c r="M602" s="92"/>
      <c r="N602" s="98"/>
      <c r="O602" s="98"/>
      <c r="P602" s="98"/>
      <c r="Q602" s="98"/>
      <c r="R602" s="98"/>
      <c r="S602" s="92"/>
    </row>
    <row r="603" ht="15.0" customHeight="1">
      <c r="A603" s="92"/>
      <c r="B603" s="98"/>
      <c r="C603" s="93"/>
      <c r="D603" s="93">
        <f t="shared" si="1"/>
        <v>3249</v>
      </c>
      <c r="E603" s="93"/>
      <c r="F603" s="93">
        <f t="shared" si="2"/>
        <v>727738</v>
      </c>
      <c r="G603" s="92"/>
      <c r="H603" s="98"/>
      <c r="I603" s="98"/>
      <c r="J603" s="98"/>
      <c r="K603" s="98"/>
      <c r="L603" s="98"/>
      <c r="M603" s="92"/>
      <c r="N603" s="98"/>
      <c r="O603" s="98"/>
      <c r="P603" s="98"/>
      <c r="Q603" s="98"/>
      <c r="R603" s="98"/>
      <c r="S603" s="9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2021-09-25T19:25:30Z</dcterms:created>
  <dc:creator>Daniel Cevelin</dc:creator>
</cp:coreProperties>
</file>